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yasu\Data Analytic Boot Camp\Module 24 Additional Resources\mjuf_om_costshare\mjuf\users_flow_data\"/>
    </mc:Choice>
  </mc:AlternateContent>
  <xr:revisionPtr revIDLastSave="0" documentId="13_ncr:1_{D72F7E19-C1CE-43D1-BF1C-975DD07DBA74}" xr6:coauthVersionLast="47" xr6:coauthVersionMax="47" xr10:uidLastSave="{00000000-0000-0000-0000-000000000000}"/>
  <bookViews>
    <workbookView xWindow="-110" yWindow="-110" windowWidth="19420" windowHeight="11500" tabRatio="529" firstSheet="6" activeTab="6" xr2:uid="{00000000-000D-0000-FFFF-FFFF00000000}"/>
  </bookViews>
  <sheets>
    <sheet name="Sheet2 (2)" sheetId="169" state="hidden" r:id="rId1"/>
    <sheet name="RPT_FLOW_CHRT" sheetId="38" state="hidden" r:id="rId2"/>
    <sheet name="S.O.P." sheetId="39" state="hidden" r:id="rId3"/>
    <sheet name="YR_FLOW_RPT" sheetId="97" state="hidden" r:id="rId4"/>
    <sheet name="YR_HC_RPT" sheetId="98" state="hidden" r:id="rId5"/>
    <sheet name="Chart1" sheetId="163" state="hidden" r:id="rId6"/>
    <sheet name="LOUDOUN" sheetId="3" r:id="rId7"/>
    <sheet name="Flow Ratios" sheetId="153" state="hidden" r:id="rId8"/>
    <sheet name="Sheet1" sheetId="156" state="hidden" r:id="rId9"/>
    <sheet name="Fairfax Charts" sheetId="166" state="hidden" r:id="rId10"/>
    <sheet name="Sheet2" sheetId="167" state="hidden" r:id="rId11"/>
  </sheets>
  <definedNames>
    <definedName name="_xlnm.Print_Area" localSheetId="7">'Flow Ratios'!$A$1:$J$29</definedName>
    <definedName name="_xlnm.Print_Area" localSheetId="6">LOUDOUN!#REF!</definedName>
    <definedName name="_xlnm.Print_Area" localSheetId="1">RPT_FLOW_CHRT!$A$1:$AB$64</definedName>
    <definedName name="_xlnm.Print_Area" localSheetId="2">'S.O.P.'!$A$1:$J$77</definedName>
    <definedName name="_xlnm.Print_Area" localSheetId="3">YR_FLOW_RPT!$A$7:$M$191</definedName>
    <definedName name="_xlnm.Print_Area" localSheetId="4">YR_HC_RPT!$A$1:$S$161</definedName>
    <definedName name="_xlnm.Print_Titles" localSheetId="6">LOUDOUN!#REF!,LOUDOUN!$1:$1</definedName>
    <definedName name="_xlnm.Print_Titles" localSheetId="3">YR_FLOW_RPT!$1:$6</definedName>
    <definedName name="_xlnm.Print_Titles" localSheetId="4">YR_HC_RPT!$1:$5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2" i="153" l="1"/>
  <c r="J163" i="153"/>
  <c r="K163" i="153" l="1"/>
  <c r="E163" i="153" l="1"/>
  <c r="G163" i="153"/>
  <c r="F163" i="153"/>
  <c r="D163" i="153" l="1"/>
  <c r="K162" i="153"/>
  <c r="G162" i="153" l="1"/>
  <c r="E162" i="153"/>
  <c r="D162" i="153" l="1"/>
  <c r="C163" i="153"/>
  <c r="J161" i="153"/>
  <c r="F162" i="153" l="1"/>
  <c r="H163" i="153"/>
  <c r="L163" i="153"/>
  <c r="K161" i="153"/>
  <c r="C162" i="153" l="1"/>
  <c r="G161" i="153" l="1"/>
  <c r="L162" i="153"/>
  <c r="H162" i="153"/>
  <c r="D161" i="153" l="1"/>
  <c r="E161" i="153"/>
  <c r="J160" i="153"/>
  <c r="F161" i="153" l="1"/>
  <c r="C161" i="153"/>
  <c r="F160" i="153"/>
  <c r="D160" i="153" l="1"/>
  <c r="L161" i="153"/>
  <c r="H161" i="153"/>
  <c r="G160" i="153" l="1"/>
  <c r="K160" i="153"/>
  <c r="J159" i="153"/>
  <c r="E160" i="153" l="1"/>
  <c r="C160" i="153" l="1"/>
  <c r="K159" i="153"/>
  <c r="H160" i="153" l="1"/>
  <c r="L160" i="153"/>
  <c r="G159" i="153"/>
  <c r="F159" i="153"/>
  <c r="D159" i="153"/>
  <c r="E159" i="153" l="1"/>
  <c r="C159" i="153" l="1"/>
  <c r="H159" i="153"/>
  <c r="L159" i="153"/>
  <c r="J156" i="153" l="1"/>
  <c r="J157" i="153"/>
  <c r="D158" i="153"/>
  <c r="F158" i="153"/>
  <c r="J158" i="153"/>
  <c r="K158" i="153" l="1"/>
  <c r="E158" i="153" l="1"/>
  <c r="G158" i="153"/>
  <c r="C158" i="153" l="1"/>
  <c r="H158" i="153" l="1"/>
  <c r="L158" i="153"/>
  <c r="K157" i="153"/>
  <c r="G157" i="153" l="1"/>
  <c r="E157" i="153" l="1"/>
  <c r="D157" i="153"/>
  <c r="F157" i="153" l="1"/>
  <c r="K156" i="153"/>
  <c r="J155" i="153"/>
  <c r="D156" i="153" l="1"/>
  <c r="F156" i="153"/>
  <c r="C157" i="153" l="1"/>
  <c r="G156" i="153" l="1"/>
  <c r="E156" i="153"/>
  <c r="L157" i="153"/>
  <c r="H157" i="153"/>
  <c r="D155" i="153" l="1"/>
  <c r="C156" i="153"/>
  <c r="G155" i="153"/>
  <c r="F155" i="153"/>
  <c r="K155" i="153"/>
  <c r="L156" i="153" l="1"/>
  <c r="H156" i="153"/>
  <c r="J154" i="153"/>
  <c r="E155" i="153" l="1"/>
  <c r="C155" i="153" l="1"/>
  <c r="H155" i="153" l="1"/>
  <c r="L155" i="153"/>
  <c r="K154" i="153"/>
  <c r="G154" i="153" l="1"/>
  <c r="J153" i="153"/>
  <c r="F154" i="153" l="1"/>
  <c r="D153" i="153"/>
  <c r="D154" i="153"/>
  <c r="K153" i="153"/>
  <c r="E154" i="153" l="1"/>
  <c r="C154" i="153" l="1"/>
  <c r="E153" i="153"/>
  <c r="G153" i="153"/>
  <c r="F153" i="153"/>
  <c r="J152" i="153"/>
  <c r="L154" i="153" l="1"/>
  <c r="H154" i="153"/>
  <c r="F152" i="153"/>
  <c r="C153" i="153" l="1"/>
  <c r="L153" i="153" l="1"/>
  <c r="H153" i="153"/>
  <c r="K152" i="153" l="1"/>
  <c r="G152" i="153" l="1"/>
  <c r="D152" i="153"/>
  <c r="J151" i="153" l="1"/>
  <c r="E152" i="153" l="1"/>
  <c r="K151" i="153" l="1"/>
  <c r="C152" i="153" l="1"/>
  <c r="H152" i="153"/>
  <c r="L152" i="153"/>
  <c r="F151" i="153" l="1"/>
  <c r="D151" i="153" l="1"/>
  <c r="E151" i="153" l="1"/>
  <c r="G151" i="153"/>
  <c r="C151" i="153" l="1"/>
  <c r="L151" i="153" l="1"/>
  <c r="H151" i="153"/>
  <c r="J150" i="153" l="1"/>
  <c r="K150" i="153"/>
  <c r="F150" i="153" l="1"/>
  <c r="G150" i="153"/>
  <c r="E150" i="153" l="1"/>
  <c r="J149" i="153"/>
  <c r="I149" i="153"/>
  <c r="D150" i="153" l="1"/>
  <c r="C150" i="153" l="1"/>
  <c r="K149" i="153"/>
  <c r="H150" i="153" l="1"/>
  <c r="L150" i="153"/>
  <c r="D149" i="153" l="1"/>
  <c r="E149" i="153"/>
  <c r="G149" i="153"/>
  <c r="J148" i="153"/>
  <c r="C149" i="153" l="1"/>
  <c r="F148" i="153" l="1"/>
  <c r="K148" i="153" l="1"/>
  <c r="E148" i="153" l="1"/>
  <c r="C148" i="153"/>
  <c r="J147" i="153" l="1"/>
  <c r="H148" i="153" l="1"/>
  <c r="G148" i="153"/>
  <c r="D148" i="153" l="1"/>
  <c r="L148" i="153"/>
  <c r="K147" i="153" l="1"/>
  <c r="K21" i="167" l="1"/>
  <c r="G147" i="153" l="1"/>
  <c r="D147" i="153" l="1"/>
  <c r="F147" i="153" l="1"/>
  <c r="E147" i="153" l="1"/>
  <c r="J146" i="153"/>
  <c r="I146" i="153"/>
  <c r="F146" i="153" l="1"/>
  <c r="C147" i="153" l="1"/>
  <c r="L147" i="153" l="1"/>
  <c r="H147" i="153"/>
  <c r="K146" i="153"/>
  <c r="G146" i="153" l="1"/>
  <c r="D146" i="153" l="1"/>
  <c r="E146" i="153" l="1"/>
  <c r="C146" i="153"/>
  <c r="J144" i="153"/>
  <c r="J145" i="153"/>
  <c r="H146" i="153" l="1"/>
  <c r="L146" i="153"/>
  <c r="K145" i="153" l="1"/>
  <c r="E145" i="153" l="1"/>
  <c r="D145" i="153"/>
  <c r="F145" i="153" l="1"/>
  <c r="G145" i="153"/>
  <c r="C145" i="153" l="1"/>
  <c r="H145" i="153" l="1"/>
  <c r="L145" i="153"/>
  <c r="K144" i="153" l="1"/>
  <c r="E144" i="153" l="1"/>
  <c r="G144" i="153"/>
  <c r="D144" i="153" l="1"/>
  <c r="F144" i="153"/>
  <c r="J143" i="153"/>
  <c r="C144" i="153" l="1"/>
  <c r="K143" i="153"/>
  <c r="H144" i="153" l="1"/>
  <c r="L144" i="153"/>
  <c r="F143" i="153" l="1"/>
  <c r="G143" i="153"/>
  <c r="E143" i="153" l="1"/>
  <c r="D143" i="153" l="1"/>
  <c r="C143" i="153" l="1"/>
  <c r="K142" i="153"/>
  <c r="L143" i="153" l="1"/>
  <c r="F142" i="153"/>
  <c r="H143" i="153"/>
  <c r="D142" i="153"/>
  <c r="G142" i="153" l="1"/>
  <c r="J141" i="153"/>
  <c r="E142" i="153" l="1"/>
  <c r="G141" i="153" l="1"/>
  <c r="C142" i="153"/>
  <c r="L142" i="153" l="1"/>
  <c r="H142" i="153"/>
  <c r="E141" i="153" l="1"/>
  <c r="K141" i="153"/>
  <c r="F141" i="153"/>
  <c r="D141" i="153" l="1"/>
  <c r="J140" i="153"/>
  <c r="G140" i="153" l="1"/>
  <c r="C141" i="153"/>
  <c r="L141" i="153" l="1"/>
  <c r="H141" i="153"/>
  <c r="K140" i="153" l="1"/>
  <c r="F140" i="153" l="1"/>
  <c r="E140" i="153"/>
  <c r="D140" i="153" l="1"/>
  <c r="J138" i="153"/>
  <c r="J139" i="153"/>
  <c r="J137" i="153"/>
  <c r="C140" i="153" l="1"/>
  <c r="L140" i="153" l="1"/>
  <c r="H140" i="153"/>
  <c r="K137" i="153"/>
  <c r="K138" i="153"/>
  <c r="K139" i="153"/>
  <c r="D137" i="153" l="1"/>
  <c r="D138" i="153"/>
  <c r="F137" i="153"/>
  <c r="E139" i="153"/>
  <c r="F138" i="153"/>
  <c r="E138" i="153" l="1"/>
  <c r="E137" i="153"/>
  <c r="D139" i="153" l="1"/>
  <c r="F139" i="153" l="1"/>
  <c r="G137" i="153"/>
  <c r="C137" i="153"/>
  <c r="C138" i="153"/>
  <c r="G139" i="153" l="1"/>
  <c r="L137" i="153"/>
  <c r="L138" i="153"/>
  <c r="G138" i="153"/>
  <c r="C139" i="153"/>
  <c r="H137" i="153" l="1"/>
  <c r="H138" i="153"/>
  <c r="L139" i="153"/>
  <c r="H139" i="153"/>
  <c r="K135" i="153" l="1"/>
  <c r="K136" i="153" l="1"/>
  <c r="E135" i="153" l="1"/>
  <c r="E136" i="153"/>
  <c r="C135" i="153" l="1"/>
  <c r="C136" i="153"/>
  <c r="G135" i="153" l="1"/>
  <c r="D136" i="153"/>
  <c r="D135" i="153"/>
  <c r="G136" i="153" l="1"/>
  <c r="B9" i="169"/>
  <c r="B9" i="167"/>
  <c r="L136" i="153" l="1"/>
  <c r="F136" i="153"/>
  <c r="L135" i="153"/>
  <c r="F135" i="153"/>
  <c r="K132" i="153"/>
  <c r="K133" i="153"/>
  <c r="H136" i="153" l="1"/>
  <c r="H135" i="153"/>
  <c r="K134" i="153"/>
  <c r="C133" i="153" l="1"/>
  <c r="C134" i="153"/>
  <c r="C132" i="153"/>
  <c r="E133" i="153" l="1"/>
  <c r="F134" i="153"/>
  <c r="E134" i="153" l="1"/>
  <c r="E132" i="153" l="1"/>
  <c r="D134" i="153" l="1"/>
  <c r="D133" i="153"/>
  <c r="G132" i="153"/>
  <c r="D132" i="153" l="1"/>
  <c r="G133" i="153"/>
  <c r="G134" i="153"/>
  <c r="L134" i="153" l="1"/>
  <c r="F133" i="153"/>
  <c r="H134" i="153"/>
  <c r="L133" i="153" l="1"/>
  <c r="H133" i="153"/>
  <c r="K129" i="153"/>
  <c r="K130" i="153"/>
  <c r="K131" i="153" l="1"/>
  <c r="E131" i="153" l="1"/>
  <c r="F131" i="153"/>
  <c r="E130" i="153"/>
  <c r="F132" i="153" l="1"/>
  <c r="L132" i="153"/>
  <c r="D130" i="153"/>
  <c r="H132" i="153" l="1"/>
  <c r="D131" i="153"/>
  <c r="D129" i="153"/>
  <c r="C131" i="153" l="1"/>
  <c r="G130" i="153"/>
  <c r="F130" i="153" l="1"/>
  <c r="H131" i="153"/>
  <c r="G131" i="153"/>
  <c r="C130" i="153"/>
  <c r="L130" i="153" l="1"/>
  <c r="C129" i="153"/>
  <c r="F129" i="153"/>
  <c r="L131" i="153"/>
  <c r="H130" i="153" l="1"/>
  <c r="K128" i="153"/>
  <c r="E129" i="153" l="1"/>
  <c r="G129" i="153" l="1"/>
  <c r="G128" i="153"/>
  <c r="E128" i="153"/>
  <c r="D128" i="153"/>
  <c r="L129" i="153" l="1"/>
  <c r="H129" i="153"/>
  <c r="C128" i="153"/>
  <c r="K125" i="153" l="1"/>
  <c r="K126" i="153"/>
  <c r="E126" i="153" l="1"/>
  <c r="E127" i="153" l="1"/>
  <c r="E125" i="153"/>
  <c r="C125" i="153" l="1"/>
  <c r="C127" i="153"/>
  <c r="D126" i="153" l="1"/>
  <c r="C126" i="153"/>
  <c r="G126" i="153" l="1"/>
  <c r="F127" i="153"/>
  <c r="G127" i="153"/>
  <c r="L125" i="153"/>
  <c r="G125" i="153"/>
  <c r="F125" i="153"/>
  <c r="K127" i="153"/>
  <c r="D127" i="153" l="1"/>
  <c r="L127" i="153"/>
  <c r="D125" i="153"/>
  <c r="L126" i="153"/>
  <c r="F126" i="153"/>
  <c r="H125" i="153"/>
  <c r="H126" i="153" l="1"/>
  <c r="H127" i="153"/>
  <c r="J121" i="153" l="1"/>
  <c r="J122" i="153"/>
  <c r="J123" i="153"/>
  <c r="J124" i="153"/>
  <c r="J120" i="153"/>
  <c r="K124" i="153" l="1"/>
  <c r="E124" i="153" l="1"/>
  <c r="G124" i="153" l="1"/>
  <c r="F124" i="153" l="1"/>
  <c r="D124" i="153"/>
  <c r="K123" i="153"/>
  <c r="L124" i="153" l="1"/>
  <c r="C124" i="153"/>
  <c r="H124" i="153" l="1"/>
  <c r="G123" i="153"/>
  <c r="E123" i="153"/>
  <c r="F123" i="153"/>
  <c r="D123" i="153" l="1"/>
  <c r="K121" i="153" l="1"/>
  <c r="K122" i="153"/>
  <c r="G122" i="153" l="1"/>
  <c r="L123" i="153"/>
  <c r="C123" i="153"/>
  <c r="E122" i="153" l="1"/>
  <c r="E121" i="153"/>
  <c r="H123" i="153"/>
  <c r="D121" i="153" l="1"/>
  <c r="D122" i="153"/>
  <c r="F122" i="153" l="1"/>
  <c r="L122" i="153" l="1"/>
  <c r="C121" i="153"/>
  <c r="C122" i="153" l="1"/>
  <c r="F121" i="153"/>
  <c r="H122" i="153"/>
  <c r="G121" i="153" l="1"/>
  <c r="K120" i="153"/>
  <c r="L121" i="153" l="1"/>
  <c r="H121" i="153"/>
  <c r="E120" i="153" l="1"/>
  <c r="G120" i="153"/>
  <c r="F120" i="153"/>
  <c r="D120" i="153" l="1"/>
  <c r="C120" i="153"/>
  <c r="H120" i="153" l="1"/>
  <c r="L120" i="153"/>
  <c r="G119" i="153" l="1"/>
  <c r="E119" i="153"/>
  <c r="F119" i="153"/>
  <c r="D119" i="153" l="1"/>
  <c r="C119" i="153"/>
  <c r="L119" i="153" l="1"/>
  <c r="H119" i="153" l="1"/>
  <c r="F118" i="153"/>
  <c r="D118" i="153" l="1"/>
  <c r="G118" i="153"/>
  <c r="E118" i="153"/>
  <c r="E117" i="153" l="1"/>
  <c r="D117" i="153"/>
  <c r="L118" i="153" l="1"/>
  <c r="F117" i="153"/>
  <c r="C118" i="153"/>
  <c r="H118" i="153" l="1"/>
  <c r="G117" i="153"/>
  <c r="H117" i="153" l="1"/>
  <c r="C117" i="153"/>
  <c r="E116" i="153" l="1"/>
  <c r="G116" i="153"/>
  <c r="F116" i="153"/>
  <c r="D116" i="153" l="1"/>
  <c r="C116" i="153" l="1"/>
  <c r="G115" i="153" l="1"/>
  <c r="H116" i="153"/>
  <c r="E115" i="153" l="1"/>
  <c r="F115" i="153"/>
  <c r="D115" i="153" l="1"/>
  <c r="C115" i="153" l="1"/>
  <c r="G114" i="153" l="1"/>
  <c r="H115" i="153"/>
  <c r="F114" i="153" l="1"/>
  <c r="E114" i="153"/>
  <c r="D114" i="153" l="1"/>
  <c r="C114" i="153" l="1"/>
  <c r="L128" i="153"/>
  <c r="F128" i="153"/>
  <c r="G113" i="153"/>
  <c r="E113" i="153"/>
  <c r="C113" i="153"/>
  <c r="F113" i="153"/>
  <c r="H128" i="153" l="1"/>
  <c r="H114" i="153"/>
  <c r="D113" i="153" l="1"/>
  <c r="J110" i="153"/>
  <c r="J111" i="153"/>
  <c r="J112" i="153"/>
  <c r="J109" i="153"/>
  <c r="H113" i="153" l="1"/>
  <c r="K119" i="153"/>
  <c r="K109" i="153"/>
  <c r="K113" i="153"/>
  <c r="K117" i="153"/>
  <c r="K114" i="153"/>
  <c r="K118" i="153"/>
  <c r="K115" i="153"/>
  <c r="K116" i="153"/>
  <c r="K112" i="153"/>
  <c r="K111" i="153"/>
  <c r="K110" i="153"/>
  <c r="G112" i="153" l="1"/>
  <c r="F112" i="153"/>
  <c r="E112" i="153" l="1"/>
  <c r="E111" i="153"/>
  <c r="G111" i="153" l="1"/>
  <c r="F111" i="153"/>
  <c r="C112" i="153"/>
  <c r="D112" i="153"/>
  <c r="D111" i="153" l="1"/>
  <c r="H112" i="153" l="1"/>
  <c r="C111" i="153"/>
  <c r="H111" i="153" l="1"/>
  <c r="F110" i="153" l="1"/>
  <c r="E110" i="153" l="1"/>
  <c r="G110" i="153"/>
  <c r="D110" i="153" l="1"/>
  <c r="G109" i="153" l="1"/>
  <c r="C110" i="153"/>
  <c r="E109" i="153" l="1"/>
  <c r="H110" i="153"/>
  <c r="F109" i="153" l="1"/>
  <c r="K108" i="153"/>
  <c r="D109" i="153" l="1"/>
  <c r="C109" i="153" l="1"/>
  <c r="H109" i="153" l="1"/>
  <c r="G108" i="153"/>
  <c r="F108" i="153"/>
  <c r="E108" i="153" l="1"/>
  <c r="D108" i="153" l="1"/>
  <c r="C108" i="153" l="1"/>
  <c r="H108" i="153"/>
  <c r="E107" i="153" l="1"/>
  <c r="G107" i="153" l="1"/>
  <c r="D107" i="153"/>
  <c r="F107" i="153"/>
  <c r="F106" i="153" l="1"/>
  <c r="G106" i="153"/>
  <c r="C107" i="153"/>
  <c r="E106" i="153" l="1"/>
  <c r="H107" i="153"/>
  <c r="D106" i="153" l="1"/>
  <c r="C106" i="153" l="1"/>
  <c r="H106" i="153" l="1"/>
  <c r="G105" i="153" l="1"/>
  <c r="F105" i="153"/>
  <c r="E105" i="153"/>
  <c r="D105" i="153" l="1"/>
  <c r="E104" i="153"/>
  <c r="F104" i="153" l="1"/>
  <c r="G104" i="153"/>
  <c r="C105" i="153"/>
  <c r="D104" i="153" l="1"/>
  <c r="H105" i="153"/>
  <c r="C104" i="153" l="1"/>
  <c r="G103" i="153"/>
  <c r="F103" i="153"/>
  <c r="E103" i="153"/>
  <c r="H104" i="153" l="1"/>
  <c r="D103" i="153"/>
  <c r="F102" i="153" l="1"/>
  <c r="G102" i="153" l="1"/>
  <c r="E102" i="153"/>
  <c r="C103" i="153"/>
  <c r="H103" i="153" l="1"/>
  <c r="D102" i="153" l="1"/>
  <c r="C102" i="153"/>
  <c r="H102" i="153" l="1"/>
  <c r="E101" i="153" l="1"/>
  <c r="D101" i="153" l="1"/>
  <c r="F101" i="153" l="1"/>
  <c r="G101" i="153"/>
  <c r="C101" i="153"/>
  <c r="H101" i="153" l="1"/>
  <c r="E100" i="153" l="1"/>
  <c r="D100" i="153"/>
  <c r="F100" i="153"/>
  <c r="C100" i="153" l="1"/>
  <c r="G100" i="153" l="1"/>
  <c r="H100" i="153" l="1"/>
  <c r="F99" i="153" l="1"/>
  <c r="G99" i="153"/>
  <c r="E99" i="153"/>
  <c r="D99" i="153" l="1"/>
  <c r="C99" i="153"/>
  <c r="H99" i="153" l="1"/>
  <c r="E98" i="153" l="1"/>
  <c r="F98" i="153" l="1"/>
  <c r="G98" i="153"/>
  <c r="D98" i="153" l="1"/>
  <c r="C98" i="153" l="1"/>
  <c r="H98" i="153" l="1"/>
  <c r="E97" i="153" l="1"/>
  <c r="F97" i="153" l="1"/>
  <c r="G97" i="153"/>
  <c r="D97" i="153"/>
  <c r="C97" i="153" l="1"/>
  <c r="G96" i="153" l="1"/>
  <c r="E96" i="153"/>
  <c r="F96" i="153"/>
  <c r="H97" i="153"/>
  <c r="D96" i="153" l="1"/>
  <c r="F95" i="153" l="1"/>
  <c r="G95" i="153"/>
  <c r="E95" i="153"/>
  <c r="D95" i="153" l="1"/>
  <c r="C96" i="153"/>
  <c r="E94" i="153" l="1"/>
  <c r="C95" i="153"/>
  <c r="H96" i="153"/>
  <c r="H95" i="153" l="1"/>
  <c r="F94" i="153" l="1"/>
  <c r="G94" i="153" l="1"/>
  <c r="D94" i="153"/>
  <c r="C94" i="153" l="1"/>
  <c r="H94" i="153" l="1"/>
  <c r="G93" i="153" l="1"/>
  <c r="E93" i="153" l="1"/>
  <c r="F93" i="153"/>
  <c r="D93" i="153"/>
  <c r="F92" i="153" l="1"/>
  <c r="E92" i="153"/>
  <c r="G92" i="153"/>
  <c r="C93" i="153"/>
  <c r="D92" i="153" l="1"/>
  <c r="H93" i="153"/>
  <c r="C92" i="153" l="1"/>
  <c r="G91" i="153"/>
  <c r="F91" i="153"/>
  <c r="E91" i="153"/>
  <c r="D91" i="153" l="1"/>
  <c r="H92" i="153"/>
  <c r="C91" i="153" l="1"/>
  <c r="F90" i="153"/>
  <c r="H91" i="153" l="1"/>
  <c r="E90" i="153"/>
  <c r="F89" i="153" l="1"/>
  <c r="D90" i="153"/>
  <c r="G90" i="153"/>
  <c r="G89" i="153" l="1"/>
  <c r="E89" i="153"/>
  <c r="C90" i="153"/>
  <c r="H90" i="153" l="1"/>
  <c r="D89" i="153" l="1"/>
  <c r="G88" i="153" l="1"/>
  <c r="C89" i="153"/>
  <c r="E88" i="153" l="1"/>
  <c r="H89" i="153"/>
  <c r="D88" i="153"/>
  <c r="F88" i="153"/>
  <c r="E87" i="153" l="1"/>
  <c r="G87" i="153" l="1"/>
  <c r="F87" i="153"/>
  <c r="C88" i="153"/>
  <c r="H88" i="153" l="1"/>
  <c r="C87" i="153"/>
  <c r="D87" i="153" l="1"/>
  <c r="E86" i="153"/>
  <c r="G86" i="153"/>
  <c r="F86" i="153"/>
  <c r="H87" i="153" l="1"/>
  <c r="D86" i="153" l="1"/>
  <c r="C86" i="153"/>
  <c r="F85" i="153"/>
  <c r="E85" i="153"/>
  <c r="G85" i="153"/>
  <c r="D85" i="153" l="1"/>
  <c r="H86" i="153"/>
  <c r="G84" i="153" l="1"/>
  <c r="E84" i="153"/>
  <c r="F84" i="153"/>
  <c r="C85" i="153"/>
  <c r="D84" i="153" l="1"/>
  <c r="H85" i="153"/>
  <c r="G83" i="153" l="1"/>
  <c r="C84" i="153" l="1"/>
  <c r="F83" i="153"/>
  <c r="E83" i="153"/>
  <c r="H84" i="153" l="1"/>
  <c r="D83" i="153"/>
  <c r="G82" i="153" l="1"/>
  <c r="F82" i="153"/>
  <c r="E82" i="153"/>
  <c r="C83" i="153" l="1"/>
  <c r="E81" i="153"/>
  <c r="F81" i="153"/>
  <c r="G81" i="153"/>
  <c r="D82" i="153"/>
  <c r="H83" i="153" l="1"/>
  <c r="C82" i="153"/>
  <c r="D81" i="153"/>
  <c r="F80" i="153" l="1"/>
  <c r="G80" i="153"/>
  <c r="E80" i="153"/>
  <c r="D80" i="153" l="1"/>
  <c r="H82" i="153"/>
  <c r="E79" i="153"/>
  <c r="G79" i="153"/>
  <c r="G78" i="153"/>
  <c r="G77" i="153"/>
  <c r="F77" i="153"/>
  <c r="C81" i="153"/>
  <c r="F79" i="153"/>
  <c r="F78" i="153"/>
  <c r="D78" i="153" l="1"/>
  <c r="E78" i="153"/>
  <c r="E77" i="153"/>
  <c r="C80" i="153"/>
  <c r="H81" i="153"/>
  <c r="D79" i="153" l="1"/>
  <c r="C78" i="153"/>
  <c r="H80" i="153"/>
  <c r="D77" i="153"/>
  <c r="C79" i="153" l="1"/>
  <c r="H78" i="153"/>
  <c r="C77" i="153"/>
  <c r="D76" i="153"/>
  <c r="F76" i="153"/>
  <c r="G76" i="153"/>
  <c r="E76" i="153"/>
  <c r="H79" i="153" l="1"/>
  <c r="C76" i="153"/>
  <c r="H77" i="153"/>
  <c r="H76" i="153" l="1"/>
  <c r="G75" i="153" l="1"/>
  <c r="E75" i="153"/>
  <c r="F75" i="153"/>
  <c r="J71" i="153"/>
  <c r="J72" i="153"/>
  <c r="J73" i="153"/>
  <c r="J74" i="153"/>
  <c r="J70" i="153"/>
  <c r="D75" i="153" l="1"/>
  <c r="C75" i="153" l="1"/>
  <c r="F74" i="153"/>
  <c r="G74" i="153"/>
  <c r="E74" i="153"/>
  <c r="D74" i="153" l="1"/>
  <c r="H75" i="153"/>
  <c r="E73" i="153"/>
  <c r="G73" i="153"/>
  <c r="F73" i="153"/>
  <c r="F72" i="153" l="1"/>
  <c r="G72" i="153"/>
  <c r="C73" i="153"/>
  <c r="E72" i="153"/>
  <c r="D73" i="153" l="1"/>
  <c r="C74" i="153"/>
  <c r="H73" i="153" l="1"/>
  <c r="H74" i="153"/>
  <c r="C72" i="153"/>
  <c r="G71" i="153"/>
  <c r="E71" i="153"/>
  <c r="F71" i="153"/>
  <c r="D72" i="153"/>
  <c r="D71" i="153" l="1"/>
  <c r="H72" i="153"/>
  <c r="G70" i="153" l="1"/>
  <c r="E70" i="153"/>
  <c r="F70" i="153"/>
  <c r="C71" i="153" l="1"/>
  <c r="H71" i="153" l="1"/>
  <c r="D70" i="153"/>
  <c r="C70" i="153" l="1"/>
  <c r="E69" i="153"/>
  <c r="F69" i="153"/>
  <c r="G69" i="153"/>
  <c r="H70" i="153" l="1"/>
  <c r="D69" i="153"/>
  <c r="C69" i="153" l="1"/>
  <c r="F68" i="153"/>
  <c r="E68" i="153"/>
  <c r="G68" i="153"/>
  <c r="E66" i="153" l="1"/>
  <c r="H69" i="153"/>
  <c r="C68" i="153"/>
  <c r="D68" i="153" l="1"/>
  <c r="H68" i="153" l="1"/>
  <c r="G66" i="153" l="1"/>
  <c r="F66" i="153"/>
  <c r="D66" i="153" l="1"/>
  <c r="C66" i="153" l="1"/>
  <c r="H66" i="153" l="1"/>
  <c r="F65" i="153" l="1"/>
  <c r="G65" i="153"/>
  <c r="E65" i="153"/>
  <c r="D65" i="153" l="1"/>
  <c r="F64" i="153" l="1"/>
  <c r="G64" i="153"/>
  <c r="E64" i="153" l="1"/>
  <c r="D64" i="153"/>
  <c r="C65" i="153"/>
  <c r="H65" i="153" l="1"/>
  <c r="E63" i="153"/>
  <c r="F63" i="153"/>
  <c r="G63" i="153"/>
  <c r="C64" i="153"/>
  <c r="H64" i="153" l="1"/>
  <c r="D63" i="153" l="1"/>
  <c r="E62" i="153"/>
  <c r="F62" i="153"/>
  <c r="G62" i="153"/>
  <c r="C63" i="153" l="1"/>
  <c r="D62" i="153" l="1"/>
  <c r="H63" i="153"/>
  <c r="C62" i="153" l="1"/>
  <c r="H62" i="153" l="1"/>
  <c r="E61" i="153" l="1"/>
  <c r="G61" i="153" l="1"/>
  <c r="F61" i="153"/>
  <c r="D129" i="156"/>
  <c r="E128" i="156"/>
  <c r="D128" i="156"/>
  <c r="D127" i="156"/>
  <c r="D126" i="156"/>
  <c r="D125" i="156"/>
  <c r="D124" i="156"/>
  <c r="D123" i="156"/>
  <c r="D122" i="156"/>
  <c r="D121" i="156"/>
  <c r="D120" i="156"/>
  <c r="D119" i="156"/>
  <c r="D118" i="156"/>
  <c r="D117" i="156"/>
  <c r="E116" i="156"/>
  <c r="D116" i="156"/>
  <c r="D115" i="156"/>
  <c r="D114" i="156"/>
  <c r="D113" i="156"/>
  <c r="D112" i="156"/>
  <c r="D111" i="156"/>
  <c r="D110" i="156"/>
  <c r="D109" i="156"/>
  <c r="D108" i="156"/>
  <c r="D107" i="156"/>
  <c r="D106" i="156"/>
  <c r="D105" i="156"/>
  <c r="E104" i="156"/>
  <c r="D104" i="156"/>
  <c r="D103" i="156"/>
  <c r="D102" i="156"/>
  <c r="D101" i="156"/>
  <c r="D100" i="156"/>
  <c r="D99" i="156"/>
  <c r="D98" i="156"/>
  <c r="D97" i="156"/>
  <c r="D96" i="156"/>
  <c r="D95" i="156"/>
  <c r="D94" i="156"/>
  <c r="D93" i="156"/>
  <c r="E92" i="156"/>
  <c r="D92" i="156"/>
  <c r="D91" i="156"/>
  <c r="D90" i="156"/>
  <c r="D89" i="156"/>
  <c r="D88" i="156"/>
  <c r="D87" i="156"/>
  <c r="D86" i="156"/>
  <c r="D85" i="156"/>
  <c r="D84" i="156"/>
  <c r="D83" i="156"/>
  <c r="D82" i="156"/>
  <c r="D81" i="156"/>
  <c r="E80" i="156"/>
  <c r="D80" i="156"/>
  <c r="D79" i="156"/>
  <c r="D78" i="156"/>
  <c r="D77" i="156"/>
  <c r="D76" i="156"/>
  <c r="D75" i="156"/>
  <c r="D74" i="156"/>
  <c r="D73" i="156"/>
  <c r="D72" i="156"/>
  <c r="D71" i="156"/>
  <c r="D70" i="156"/>
  <c r="D69" i="156"/>
  <c r="E68" i="156"/>
  <c r="D68" i="156"/>
  <c r="D67" i="156"/>
  <c r="D66" i="156"/>
  <c r="D65" i="156"/>
  <c r="D64" i="156"/>
  <c r="D63" i="156"/>
  <c r="D62" i="156"/>
  <c r="D61" i="156"/>
  <c r="D60" i="156"/>
  <c r="D59" i="156"/>
  <c r="D58" i="156"/>
  <c r="D57" i="156"/>
  <c r="E56" i="156"/>
  <c r="D56" i="156"/>
  <c r="D55" i="156"/>
  <c r="D54" i="156"/>
  <c r="D53" i="156"/>
  <c r="D52" i="156"/>
  <c r="D51" i="156"/>
  <c r="D50" i="156"/>
  <c r="D49" i="156"/>
  <c r="D48" i="156"/>
  <c r="D47" i="156"/>
  <c r="D46" i="156"/>
  <c r="D45" i="156"/>
  <c r="E44" i="156"/>
  <c r="D44" i="156"/>
  <c r="D43" i="156"/>
  <c r="D42" i="156"/>
  <c r="D41" i="156"/>
  <c r="D40" i="156"/>
  <c r="D39" i="156"/>
  <c r="D38" i="156"/>
  <c r="D37" i="156"/>
  <c r="D36" i="156"/>
  <c r="D35" i="156"/>
  <c r="D34" i="156"/>
  <c r="D33" i="156"/>
  <c r="E32" i="156"/>
  <c r="D32" i="156"/>
  <c r="D31" i="156"/>
  <c r="D30" i="156"/>
  <c r="D29" i="156"/>
  <c r="D28" i="156"/>
  <c r="D27" i="156"/>
  <c r="D26" i="156"/>
  <c r="D25" i="156"/>
  <c r="D24" i="156"/>
  <c r="D23" i="156"/>
  <c r="D22" i="156"/>
  <c r="D21" i="156"/>
  <c r="E20" i="156"/>
  <c r="D20" i="156"/>
  <c r="D19" i="156"/>
  <c r="D18" i="156"/>
  <c r="D17" i="156"/>
  <c r="D16" i="156"/>
  <c r="D15" i="156"/>
  <c r="D14" i="156"/>
  <c r="D13" i="156"/>
  <c r="D12" i="156"/>
  <c r="D11" i="156"/>
  <c r="D10" i="156"/>
  <c r="D9" i="156"/>
  <c r="F80" i="156" l="1"/>
  <c r="F128" i="156"/>
  <c r="F32" i="156"/>
  <c r="F68" i="156"/>
  <c r="F116" i="156"/>
  <c r="F44" i="156"/>
  <c r="F92" i="156"/>
  <c r="F56" i="156"/>
  <c r="F104" i="156"/>
  <c r="D61" i="153"/>
  <c r="C61" i="153" l="1"/>
  <c r="H61" i="153" l="1"/>
  <c r="C60" i="153" l="1"/>
  <c r="G60" i="153"/>
  <c r="E60" i="153"/>
  <c r="D60" i="153"/>
  <c r="F60" i="153"/>
  <c r="H60" i="153" l="1"/>
  <c r="E57" i="153" l="1"/>
  <c r="D56" i="153"/>
  <c r="D57" i="153"/>
  <c r="C58" i="153"/>
  <c r="H58" i="153" l="1"/>
  <c r="G58" i="153" s="1"/>
  <c r="F58" i="153" s="1"/>
  <c r="E58" i="153" s="1"/>
  <c r="D58" i="153" s="1"/>
  <c r="G54" i="153" l="1"/>
  <c r="F54" i="153"/>
  <c r="E54" i="153"/>
  <c r="F52" i="153" l="1"/>
  <c r="E52" i="153"/>
  <c r="C52" i="153"/>
  <c r="C50" i="153" l="1"/>
  <c r="F49" i="153" l="1"/>
  <c r="E49" i="153"/>
  <c r="D49" i="153"/>
  <c r="H51" i="153"/>
  <c r="G51" i="153" s="1"/>
  <c r="F51" i="153" s="1"/>
  <c r="E51" i="153" s="1"/>
  <c r="D51" i="153" s="1"/>
  <c r="C51" i="153" s="1"/>
  <c r="H50" i="153"/>
  <c r="G50" i="153" s="1"/>
  <c r="F50" i="153" s="1"/>
  <c r="E50" i="153" s="1"/>
  <c r="D50" i="153" s="1"/>
  <c r="G48" i="153"/>
  <c r="F48" i="153"/>
  <c r="E48" i="153"/>
  <c r="F47" i="153" l="1"/>
  <c r="E47" i="153"/>
  <c r="D47" i="153"/>
  <c r="G47" i="153"/>
  <c r="C48" i="153"/>
  <c r="C46" i="153" l="1"/>
  <c r="E46" i="153"/>
  <c r="D46" i="153"/>
  <c r="G46" i="153"/>
  <c r="F46" i="153"/>
  <c r="F45" i="153" l="1"/>
  <c r="E45" i="153"/>
  <c r="H46" i="153"/>
  <c r="C45" i="153"/>
  <c r="D45" i="153"/>
  <c r="G45" i="153"/>
  <c r="N151" i="98"/>
  <c r="F151" i="98"/>
  <c r="L143" i="98"/>
  <c r="J143" i="98"/>
  <c r="H143" i="98"/>
  <c r="N141" i="98"/>
  <c r="F140" i="98"/>
  <c r="N139" i="98"/>
  <c r="N138" i="98"/>
  <c r="N137" i="98"/>
  <c r="N136" i="98"/>
  <c r="F135" i="98"/>
  <c r="N134" i="98"/>
  <c r="F133" i="98"/>
  <c r="N132" i="98"/>
  <c r="L130" i="98"/>
  <c r="J130" i="98"/>
  <c r="H130" i="98"/>
  <c r="F128" i="98"/>
  <c r="N127" i="98"/>
  <c r="N126" i="98"/>
  <c r="N125" i="98"/>
  <c r="F124" i="98"/>
  <c r="N123" i="98"/>
  <c r="F120" i="98"/>
  <c r="L118" i="98"/>
  <c r="J118" i="98"/>
  <c r="H118" i="98"/>
  <c r="F118" i="98"/>
  <c r="N116" i="98"/>
  <c r="N115" i="98"/>
  <c r="N114" i="98"/>
  <c r="N113" i="98"/>
  <c r="N112" i="98"/>
  <c r="N111" i="98"/>
  <c r="N109" i="98"/>
  <c r="L106" i="98"/>
  <c r="J106" i="98"/>
  <c r="H106" i="98"/>
  <c r="N104" i="98"/>
  <c r="N103" i="98"/>
  <c r="N102" i="98"/>
  <c r="F101" i="98"/>
  <c r="F106" i="98" s="1"/>
  <c r="N100" i="98"/>
  <c r="N99" i="98"/>
  <c r="N98" i="98"/>
  <c r="N97" i="98"/>
  <c r="N96" i="98"/>
  <c r="N95" i="98"/>
  <c r="N94" i="98"/>
  <c r="N93" i="98"/>
  <c r="L91" i="98"/>
  <c r="J91" i="98"/>
  <c r="H91" i="98"/>
  <c r="F91" i="98"/>
  <c r="N90" i="98"/>
  <c r="N89" i="98"/>
  <c r="N88" i="98"/>
  <c r="N87" i="98"/>
  <c r="N86" i="98"/>
  <c r="N85" i="98"/>
  <c r="N84" i="98"/>
  <c r="N83" i="98"/>
  <c r="N82" i="98"/>
  <c r="F80" i="98"/>
  <c r="L78" i="98"/>
  <c r="J78" i="98"/>
  <c r="H78" i="98"/>
  <c r="P76" i="98"/>
  <c r="N74" i="98"/>
  <c r="N73" i="98"/>
  <c r="N72" i="98"/>
  <c r="N71" i="98"/>
  <c r="F70" i="98"/>
  <c r="F78" i="98" s="1"/>
  <c r="R76" i="98" s="1"/>
  <c r="N69" i="98"/>
  <c r="N68" i="98"/>
  <c r="N67" i="98"/>
  <c r="N66" i="98"/>
  <c r="N65" i="98"/>
  <c r="L63" i="98"/>
  <c r="J63" i="98"/>
  <c r="H63" i="98"/>
  <c r="F63" i="98"/>
  <c r="N61" i="98"/>
  <c r="N60" i="98"/>
  <c r="L57" i="98"/>
  <c r="J57" i="98"/>
  <c r="H57" i="98"/>
  <c r="F57" i="98"/>
  <c r="N55" i="98"/>
  <c r="N53" i="98"/>
  <c r="N52" i="98"/>
  <c r="N51" i="98"/>
  <c r="N50" i="98"/>
  <c r="N49" i="98"/>
  <c r="N48" i="98"/>
  <c r="N47" i="98"/>
  <c r="N46" i="98"/>
  <c r="N45" i="98"/>
  <c r="F43" i="98"/>
  <c r="L41" i="98"/>
  <c r="J41" i="98"/>
  <c r="N41" i="98" s="1"/>
  <c r="H41" i="98"/>
  <c r="F41" i="98"/>
  <c r="N39" i="98"/>
  <c r="N38" i="98"/>
  <c r="N37" i="98"/>
  <c r="N36" i="98"/>
  <c r="L34" i="98"/>
  <c r="J34" i="98"/>
  <c r="H34" i="98"/>
  <c r="F34" i="98"/>
  <c r="N32" i="98"/>
  <c r="N31" i="98"/>
  <c r="N30" i="98"/>
  <c r="N29" i="98"/>
  <c r="L27" i="98"/>
  <c r="J27" i="98"/>
  <c r="H27" i="98"/>
  <c r="F27" i="98"/>
  <c r="N25" i="98"/>
  <c r="N24" i="98"/>
  <c r="N23" i="98"/>
  <c r="N22" i="98"/>
  <c r="L20" i="98"/>
  <c r="J20" i="98"/>
  <c r="J158" i="98" s="1"/>
  <c r="H20" i="98"/>
  <c r="F20" i="98"/>
  <c r="N17" i="98"/>
  <c r="N16" i="98"/>
  <c r="N15" i="98"/>
  <c r="L13" i="98"/>
  <c r="J13" i="98"/>
  <c r="H13" i="98"/>
  <c r="H157" i="98" s="1"/>
  <c r="N11" i="98"/>
  <c r="N10" i="98"/>
  <c r="N9" i="98"/>
  <c r="N8" i="98"/>
  <c r="F8" i="98"/>
  <c r="N6" i="98"/>
  <c r="F6" i="98"/>
  <c r="E189" i="97"/>
  <c r="J186" i="97"/>
  <c r="J185" i="97"/>
  <c r="J184" i="97"/>
  <c r="J183" i="97"/>
  <c r="J182" i="97"/>
  <c r="J181" i="97"/>
  <c r="I181" i="97"/>
  <c r="J180" i="97"/>
  <c r="I180" i="97"/>
  <c r="X173" i="97"/>
  <c r="AF167" i="97"/>
  <c r="AE167" i="97"/>
  <c r="AD167" i="97"/>
  <c r="AC167" i="97"/>
  <c r="AB167" i="97"/>
  <c r="AA167" i="97"/>
  <c r="Z167" i="97"/>
  <c r="Y167" i="97"/>
  <c r="AF166" i="97"/>
  <c r="AE166" i="97"/>
  <c r="AD166" i="97"/>
  <c r="AC166" i="97"/>
  <c r="AB166" i="97"/>
  <c r="AA166" i="97"/>
  <c r="Z166" i="97"/>
  <c r="Y166" i="97"/>
  <c r="M164" i="97"/>
  <c r="T164" i="97" s="1"/>
  <c r="F130" i="98" l="1"/>
  <c r="N143" i="98"/>
  <c r="L157" i="98"/>
  <c r="P41" i="98"/>
  <c r="N57" i="98"/>
  <c r="H158" i="98"/>
  <c r="G29" i="153"/>
  <c r="C30" i="153"/>
  <c r="G32" i="153"/>
  <c r="F4" i="153"/>
  <c r="G25" i="153"/>
  <c r="C26" i="153"/>
  <c r="G26" i="153"/>
  <c r="C27" i="153"/>
  <c r="D30" i="153"/>
  <c r="G31" i="153"/>
  <c r="C32" i="153"/>
  <c r="H35" i="153"/>
  <c r="C36" i="153"/>
  <c r="F37" i="153"/>
  <c r="C39" i="153"/>
  <c r="F25" i="153"/>
  <c r="G4" i="153"/>
  <c r="C25" i="153"/>
  <c r="D26" i="153"/>
  <c r="C29" i="153"/>
  <c r="D35" i="153"/>
  <c r="E41" i="153"/>
  <c r="E4" i="153"/>
  <c r="F26" i="153"/>
  <c r="D4" i="153"/>
  <c r="E25" i="153"/>
  <c r="E26" i="153"/>
  <c r="G27" i="153"/>
  <c r="C28" i="153"/>
  <c r="C31" i="153"/>
  <c r="H32" i="153"/>
  <c r="C37" i="153"/>
  <c r="F41" i="153"/>
  <c r="E43" i="153"/>
  <c r="F44" i="153"/>
  <c r="N13" i="98"/>
  <c r="N106" i="98"/>
  <c r="H160" i="98"/>
  <c r="J157" i="98"/>
  <c r="N157" i="98" s="1"/>
  <c r="P164" i="97"/>
  <c r="U164" i="97"/>
  <c r="R164" i="97"/>
  <c r="V164" i="97"/>
  <c r="AF164" i="97" s="1"/>
  <c r="AE164" i="97" s="1"/>
  <c r="AD164" i="97" s="1"/>
  <c r="R41" i="98"/>
  <c r="P106" i="98"/>
  <c r="R106" i="98" s="1"/>
  <c r="S164" i="97"/>
  <c r="O164" i="97"/>
  <c r="N34" i="98"/>
  <c r="F143" i="98"/>
  <c r="D32" i="153"/>
  <c r="F13" i="98"/>
  <c r="F32" i="153"/>
  <c r="C4" i="153"/>
  <c r="C5" i="153"/>
  <c r="C13" i="153"/>
  <c r="C17" i="153"/>
  <c r="C21" i="153"/>
  <c r="F27" i="153"/>
  <c r="G33" i="153"/>
  <c r="G34" i="153"/>
  <c r="E35" i="153"/>
  <c r="E39" i="153"/>
  <c r="D40" i="153"/>
  <c r="C41" i="153"/>
  <c r="G41" i="153"/>
  <c r="G42" i="153"/>
  <c r="F43" i="153"/>
  <c r="C10" i="153"/>
  <c r="C12" i="153"/>
  <c r="C14" i="153"/>
  <c r="C15" i="153"/>
  <c r="C16" i="153"/>
  <c r="C20" i="153"/>
  <c r="C24" i="153"/>
  <c r="F33" i="153"/>
  <c r="F34" i="153"/>
  <c r="G36" i="153"/>
  <c r="E37" i="153"/>
  <c r="C38" i="153"/>
  <c r="G38" i="153"/>
  <c r="D39" i="153"/>
  <c r="C40" i="153"/>
  <c r="E42" i="153"/>
  <c r="C44" i="153"/>
  <c r="G44" i="153"/>
  <c r="C8" i="153"/>
  <c r="C9" i="153"/>
  <c r="C11" i="153"/>
  <c r="C19" i="153"/>
  <c r="C23" i="153"/>
  <c r="F30" i="153"/>
  <c r="F31" i="153"/>
  <c r="D34" i="153"/>
  <c r="C35" i="153"/>
  <c r="G35" i="153"/>
  <c r="F36" i="153"/>
  <c r="F38" i="153"/>
  <c r="G39" i="153"/>
  <c r="G40" i="153"/>
  <c r="D43" i="153"/>
  <c r="H45" i="153"/>
  <c r="C6" i="153"/>
  <c r="C7" i="153"/>
  <c r="C18" i="153"/>
  <c r="C22" i="153"/>
  <c r="F28" i="153"/>
  <c r="F29" i="153"/>
  <c r="C33" i="153"/>
  <c r="C34" i="153"/>
  <c r="F35" i="153"/>
  <c r="G37" i="153"/>
  <c r="E38" i="153"/>
  <c r="F39" i="153"/>
  <c r="E40" i="153"/>
  <c r="D41" i="153"/>
  <c r="C42" i="153"/>
  <c r="G43" i="153"/>
  <c r="E44" i="153"/>
  <c r="X155" i="97"/>
  <c r="P13" i="98" l="1"/>
  <c r="R13" i="98" s="1"/>
  <c r="E32" i="153"/>
  <c r="Q164" i="97"/>
  <c r="AB164" i="97"/>
  <c r="AC164" i="97"/>
  <c r="H41" i="153"/>
  <c r="H30" i="153"/>
  <c r="G30" i="153" s="1"/>
  <c r="H4" i="153"/>
  <c r="F40" i="153"/>
  <c r="E28" i="153"/>
  <c r="D28" i="153" s="1"/>
  <c r="E31" i="153"/>
  <c r="E34" i="153"/>
  <c r="E36" i="153"/>
  <c r="E27" i="153"/>
  <c r="E29" i="153"/>
  <c r="H26" i="153"/>
  <c r="E30" i="153"/>
  <c r="E33" i="153"/>
  <c r="H39" i="153"/>
  <c r="F42" i="153"/>
  <c r="AA164" i="97" l="1"/>
  <c r="Z164" i="97" s="1"/>
  <c r="Y164" i="97" s="1"/>
  <c r="H40" i="153"/>
  <c r="H28" i="153"/>
  <c r="G28" i="153" s="1"/>
  <c r="H34" i="153"/>
  <c r="X153" i="97" l="1"/>
  <c r="X171" i="97" s="1"/>
  <c r="X150" i="97"/>
  <c r="X147" i="97"/>
  <c r="X144" i="97"/>
  <c r="L144" i="97"/>
  <c r="X141" i="97"/>
  <c r="U141" i="97"/>
  <c r="Q141" i="97"/>
  <c r="P141" i="97" s="1"/>
  <c r="Z141" i="97" s="1"/>
  <c r="M141" i="97"/>
  <c r="T141" i="97" s="1"/>
  <c r="X138" i="97"/>
  <c r="X134" i="97"/>
  <c r="M130" i="97"/>
  <c r="L130" i="97" s="1"/>
  <c r="X129" i="97"/>
  <c r="M129" i="97"/>
  <c r="L129" i="97" s="1"/>
  <c r="M128" i="97"/>
  <c r="L128" i="97" s="1"/>
  <c r="X127" i="97"/>
  <c r="M127" i="97"/>
  <c r="P127" i="97" s="1"/>
  <c r="M126" i="97"/>
  <c r="R126" i="97" s="1"/>
  <c r="AB126" i="97" s="1"/>
  <c r="E125" i="97"/>
  <c r="E124" i="97"/>
  <c r="E123" i="97"/>
  <c r="X122" i="97"/>
  <c r="M122" i="97"/>
  <c r="U122" i="97" s="1"/>
  <c r="X121" i="97"/>
  <c r="X120" i="97"/>
  <c r="X119" i="97"/>
  <c r="M119" i="97"/>
  <c r="L119" i="97" s="1"/>
  <c r="F118" i="97"/>
  <c r="M118" i="97" s="1"/>
  <c r="AF116" i="97"/>
  <c r="AE116" i="97"/>
  <c r="AD116" i="97"/>
  <c r="AC116" i="97"/>
  <c r="AB116" i="97"/>
  <c r="AA116" i="97"/>
  <c r="Z116" i="97"/>
  <c r="X111" i="97"/>
  <c r="M111" i="97"/>
  <c r="S111" i="97" s="1"/>
  <c r="X108" i="97"/>
  <c r="M107" i="97"/>
  <c r="T107" i="97" s="1"/>
  <c r="M102" i="97"/>
  <c r="S102" i="97" s="1"/>
  <c r="P102" i="97" l="1"/>
  <c r="T102" i="97"/>
  <c r="Q107" i="97"/>
  <c r="U107" i="97"/>
  <c r="P111" i="97"/>
  <c r="T111" i="97"/>
  <c r="S126" i="97"/>
  <c r="AC126" i="97" s="1"/>
  <c r="Q102" i="97"/>
  <c r="U102" i="97"/>
  <c r="R107" i="97"/>
  <c r="V107" i="97"/>
  <c r="Q111" i="97"/>
  <c r="U111" i="97"/>
  <c r="P126" i="97"/>
  <c r="T126" i="97"/>
  <c r="R141" i="97"/>
  <c r="R102" i="97"/>
  <c r="AB102" i="97" s="1"/>
  <c r="V102" i="97"/>
  <c r="AF102" i="97" s="1"/>
  <c r="AE102" i="97" s="1"/>
  <c r="AD102" i="97" s="1"/>
  <c r="AC102" i="97" s="1"/>
  <c r="S107" i="97"/>
  <c r="R111" i="97"/>
  <c r="V111" i="97"/>
  <c r="AF111" i="97" s="1"/>
  <c r="AE111" i="97" s="1"/>
  <c r="AD111" i="97" s="1"/>
  <c r="AC111" i="97" s="1"/>
  <c r="Q126" i="97"/>
  <c r="AA126" i="97" s="1"/>
  <c r="Z126" i="97" s="1"/>
  <c r="U126" i="97"/>
  <c r="M138" i="97"/>
  <c r="S141" i="97"/>
  <c r="P107" i="97"/>
  <c r="O107" i="97" s="1"/>
  <c r="X172" i="97"/>
  <c r="X175" i="97" s="1"/>
  <c r="R119" i="97"/>
  <c r="T127" i="97"/>
  <c r="S128" i="97"/>
  <c r="Q119" i="97"/>
  <c r="P119" i="97" s="1"/>
  <c r="T122" i="97"/>
  <c r="S127" i="97"/>
  <c r="O128" i="97"/>
  <c r="S129" i="97"/>
  <c r="U119" i="97"/>
  <c r="AE119" i="97" s="1"/>
  <c r="O129" i="97"/>
  <c r="E119" i="97"/>
  <c r="O119" i="97" s="1"/>
  <c r="T119" i="97"/>
  <c r="S119" i="97"/>
  <c r="AC119" i="97" s="1"/>
  <c r="R122" i="97"/>
  <c r="R127" i="97"/>
  <c r="Q128" i="97"/>
  <c r="U128" i="97"/>
  <c r="Q129" i="97"/>
  <c r="U129" i="97"/>
  <c r="P130" i="97"/>
  <c r="T130" i="97"/>
  <c r="V119" i="97"/>
  <c r="P122" i="97"/>
  <c r="Q127" i="97"/>
  <c r="U127" i="97"/>
  <c r="P128" i="97"/>
  <c r="T128" i="97"/>
  <c r="P129" i="97"/>
  <c r="T129" i="97"/>
  <c r="O130" i="97"/>
  <c r="S130" i="97"/>
  <c r="R130" i="97"/>
  <c r="S122" i="97"/>
  <c r="R128" i="97"/>
  <c r="R129" i="97"/>
  <c r="V129" i="97"/>
  <c r="AF129" i="97" s="1"/>
  <c r="Q130" i="97"/>
  <c r="U130" i="97"/>
  <c r="X96" i="97"/>
  <c r="X93" i="97"/>
  <c r="T91" i="97"/>
  <c r="M91" i="97"/>
  <c r="S91" i="97" s="1"/>
  <c r="M87" i="97"/>
  <c r="M85" i="97"/>
  <c r="X81" i="97"/>
  <c r="X75" i="97"/>
  <c r="M75" i="97"/>
  <c r="R75" i="97" s="1"/>
  <c r="X63" i="97"/>
  <c r="X62" i="97"/>
  <c r="R91" i="97" l="1"/>
  <c r="AB111" i="97"/>
  <c r="AA111" i="97" s="1"/>
  <c r="AA102" i="97"/>
  <c r="AB119" i="97"/>
  <c r="Q91" i="97"/>
  <c r="P91" i="97"/>
  <c r="U91" i="97"/>
  <c r="Q75" i="97"/>
  <c r="P75" i="97" s="1"/>
  <c r="S75" i="97"/>
  <c r="O111" i="97"/>
  <c r="Y111" i="97" s="1"/>
  <c r="Z111" i="97"/>
  <c r="O102" i="97"/>
  <c r="Z102" i="97"/>
  <c r="T75" i="97"/>
  <c r="U75" i="97"/>
  <c r="U138" i="97"/>
  <c r="AE138" i="97" s="1"/>
  <c r="P138" i="97"/>
  <c r="T138" i="97"/>
  <c r="S138" i="97"/>
  <c r="Q138" i="97"/>
  <c r="AA119" i="97"/>
  <c r="Z119" i="97" s="1"/>
  <c r="Y119" i="97" s="1"/>
  <c r="AD119" i="97"/>
  <c r="Q122" i="97"/>
  <c r="AB122" i="97"/>
  <c r="AE129" i="97"/>
  <c r="AD129" i="97" s="1"/>
  <c r="AC129" i="97" s="1"/>
  <c r="AB129" i="97" s="1"/>
  <c r="AA129" i="97" s="1"/>
  <c r="Z129" i="97" s="1"/>
  <c r="Y129" i="97" s="1"/>
  <c r="Y102" i="97" l="1"/>
  <c r="R138" i="97"/>
  <c r="AC138" i="97"/>
  <c r="AB138" i="97" s="1"/>
  <c r="AA138" i="97" s="1"/>
  <c r="Z138" i="97" s="1"/>
  <c r="AD138" i="97"/>
  <c r="AA122" i="97"/>
  <c r="Z122" i="97" s="1"/>
  <c r="M48" i="97"/>
  <c r="V48" i="97" s="1"/>
  <c r="X45" i="97"/>
  <c r="M44" i="97"/>
  <c r="S44" i="97" s="1"/>
  <c r="V44" i="97" l="1"/>
  <c r="T44" i="97"/>
  <c r="O44" i="97"/>
  <c r="P44" i="97"/>
  <c r="R44" i="97"/>
  <c r="Q44" i="97" s="1"/>
  <c r="U44" i="97"/>
  <c r="S48" i="97"/>
  <c r="O48" i="97"/>
  <c r="T48" i="97"/>
  <c r="P48" i="97"/>
  <c r="U48" i="97"/>
  <c r="R48" i="97"/>
  <c r="Q48" i="97" s="1"/>
  <c r="E40" i="97"/>
  <c r="M40" i="97" s="1"/>
  <c r="X36" i="97"/>
  <c r="M36" i="97"/>
  <c r="U36" i="97" s="1"/>
  <c r="M30" i="97"/>
  <c r="E27" i="97"/>
  <c r="X19" i="97"/>
  <c r="E19" i="97"/>
  <c r="X14" i="97"/>
  <c r="X10" i="97"/>
  <c r="J20" i="97"/>
  <c r="F10" i="97"/>
  <c r="F23" i="97" s="1"/>
  <c r="R36" i="97" l="1"/>
  <c r="Q36" i="97" s="1"/>
  <c r="V36" i="97"/>
  <c r="AF36" i="97" s="1"/>
  <c r="AE36" i="97" s="1"/>
  <c r="AD36" i="97" s="1"/>
  <c r="S36" i="97"/>
  <c r="AC36" i="97" s="1"/>
  <c r="AB36" i="97" s="1"/>
  <c r="AA36" i="97" s="1"/>
  <c r="O36" i="97"/>
  <c r="Y36" i="97" s="1"/>
  <c r="T36" i="97"/>
  <c r="P36" i="97"/>
  <c r="K160" i="97"/>
  <c r="K155" i="97"/>
  <c r="K150" i="97"/>
  <c r="K154" i="97"/>
  <c r="K135" i="97"/>
  <c r="K153" i="97"/>
  <c r="K134" i="97"/>
  <c r="K67" i="97"/>
  <c r="K97" i="97"/>
  <c r="K93" i="97"/>
  <c r="K63" i="97"/>
  <c r="J31" i="97"/>
  <c r="K28" i="97"/>
  <c r="J28" i="97" s="1"/>
  <c r="K31" i="97"/>
  <c r="K23" i="97"/>
  <c r="I10" i="97"/>
  <c r="I154" i="97" s="1"/>
  <c r="J160" i="97"/>
  <c r="J155" i="97"/>
  <c r="J154" i="97"/>
  <c r="J135" i="97"/>
  <c r="J153" i="97"/>
  <c r="J134" i="97"/>
  <c r="J150" i="97"/>
  <c r="J67" i="97"/>
  <c r="J97" i="97"/>
  <c r="J93" i="97"/>
  <c r="J63" i="97"/>
  <c r="J23" i="97"/>
  <c r="U40" i="97"/>
  <c r="Q40" i="97"/>
  <c r="S40" i="97"/>
  <c r="R40" i="97"/>
  <c r="T40" i="97"/>
  <c r="P40" i="97"/>
  <c r="O40" i="97" s="1"/>
  <c r="V40" i="97"/>
  <c r="H10" i="97"/>
  <c r="E116" i="97"/>
  <c r="M116" i="97" s="1"/>
  <c r="E10" i="97"/>
  <c r="Z36" i="97" l="1"/>
  <c r="I31" i="97"/>
  <c r="I150" i="97"/>
  <c r="I67" i="97"/>
  <c r="I134" i="97"/>
  <c r="I20" i="97"/>
  <c r="I97" i="97"/>
  <c r="I155" i="97"/>
  <c r="I23" i="97"/>
  <c r="I28" i="97"/>
  <c r="I63" i="97"/>
  <c r="I135" i="97"/>
  <c r="I160" i="97"/>
  <c r="I93" i="97"/>
  <c r="I153" i="97"/>
  <c r="G10" i="97"/>
  <c r="H160" i="97"/>
  <c r="H155" i="97"/>
  <c r="H154" i="97"/>
  <c r="H150" i="97"/>
  <c r="H135" i="97"/>
  <c r="H134" i="97"/>
  <c r="H153" i="97"/>
  <c r="H67" i="97"/>
  <c r="H63" i="97"/>
  <c r="H97" i="97"/>
  <c r="H93" i="97"/>
  <c r="H28" i="97"/>
  <c r="H31" i="97"/>
  <c r="H23" i="97"/>
  <c r="H20" i="97"/>
  <c r="E20" i="97"/>
  <c r="G160" i="97" l="1"/>
  <c r="G155" i="97"/>
  <c r="G153" i="97"/>
  <c r="G154" i="97"/>
  <c r="G150" i="97"/>
  <c r="G135" i="97"/>
  <c r="G134" i="97"/>
  <c r="G97" i="97"/>
  <c r="G93" i="97"/>
  <c r="G67" i="97"/>
  <c r="G63" i="97"/>
  <c r="G31" i="97"/>
  <c r="G23" i="97"/>
  <c r="G20" i="97"/>
  <c r="G28" i="97"/>
  <c r="F20" i="97" l="1"/>
  <c r="K20" i="97" l="1"/>
  <c r="M20" i="97" s="1"/>
  <c r="P20" i="97" s="1"/>
  <c r="Q20" i="97" l="1"/>
  <c r="T20" i="97"/>
  <c r="R20" i="97"/>
  <c r="U20" i="97"/>
  <c r="O20" i="97"/>
  <c r="S20" i="97"/>
  <c r="V20" i="97"/>
  <c r="F25" i="97" l="1"/>
  <c r="F67" i="97" s="1"/>
  <c r="M19" i="97"/>
  <c r="V19" i="97" s="1"/>
  <c r="AF19" i="97" s="1"/>
  <c r="M117" i="97"/>
  <c r="S117" i="97" s="1"/>
  <c r="AC117" i="97" s="1"/>
  <c r="M10" i="97"/>
  <c r="O10" i="97" s="1"/>
  <c r="Y10" i="97" s="1"/>
  <c r="M121" i="97"/>
  <c r="U121" i="97" s="1"/>
  <c r="AE121" i="97" s="1"/>
  <c r="M79" i="97"/>
  <c r="R79" i="97" s="1"/>
  <c r="AB79" i="97" s="1"/>
  <c r="AE141" i="97"/>
  <c r="AD141" i="97"/>
  <c r="AC141" i="97"/>
  <c r="AB141" i="97"/>
  <c r="AA141" i="97"/>
  <c r="AE127" i="97"/>
  <c r="AD127" i="97"/>
  <c r="AC127" i="97"/>
  <c r="AB127" i="97"/>
  <c r="AA127" i="97"/>
  <c r="Z127" i="97"/>
  <c r="AE122" i="97"/>
  <c r="AD122" i="97"/>
  <c r="AC122" i="97"/>
  <c r="V128" i="97"/>
  <c r="AF128" i="97" s="1"/>
  <c r="AE128" i="97"/>
  <c r="AD128" i="97"/>
  <c r="AC128" i="97"/>
  <c r="AB128" i="97"/>
  <c r="AA128" i="97"/>
  <c r="Z128" i="97"/>
  <c r="Y128" i="97"/>
  <c r="M124" i="97"/>
  <c r="U124" i="97" s="1"/>
  <c r="AE124" i="97" s="1"/>
  <c r="M123" i="97"/>
  <c r="V123" i="97" s="1"/>
  <c r="AF123" i="97" s="1"/>
  <c r="P143" i="98"/>
  <c r="R143" i="98" s="1"/>
  <c r="E108" i="97" s="1"/>
  <c r="M67" i="97"/>
  <c r="AF119" i="97"/>
  <c r="V130" i="97"/>
  <c r="AF130" i="97" s="1"/>
  <c r="AE130" i="97"/>
  <c r="AD130" i="97"/>
  <c r="AC130" i="97"/>
  <c r="AB130" i="97"/>
  <c r="AA130" i="97"/>
  <c r="Z130" i="97"/>
  <c r="Y130" i="97"/>
  <c r="M125" i="97"/>
  <c r="Q125" i="97" s="1"/>
  <c r="AA125" i="97" s="1"/>
  <c r="AE126" i="97"/>
  <c r="AD126" i="97"/>
  <c r="P133" i="98"/>
  <c r="R133" i="98" s="1"/>
  <c r="P120" i="98"/>
  <c r="R120" i="98" s="1"/>
  <c r="P6" i="98"/>
  <c r="R6" i="98" s="1"/>
  <c r="P43" i="98"/>
  <c r="R43" i="98" s="1"/>
  <c r="P80" i="98"/>
  <c r="R80" i="98" s="1"/>
  <c r="P151" i="98"/>
  <c r="R151" i="98" s="1"/>
  <c r="P124" i="98"/>
  <c r="R124" i="98" s="1"/>
  <c r="E23" i="153"/>
  <c r="F23" i="153"/>
  <c r="G23" i="153"/>
  <c r="P128" i="98"/>
  <c r="R128" i="98" s="1"/>
  <c r="P140" i="98"/>
  <c r="R140" i="98" s="1"/>
  <c r="N130" i="98"/>
  <c r="P130" i="98" s="1"/>
  <c r="R130" i="98" s="1"/>
  <c r="L122" i="97" s="1"/>
  <c r="P101" i="98"/>
  <c r="R101" i="98" s="1"/>
  <c r="X158" i="97"/>
  <c r="X162" i="97" s="1"/>
  <c r="X169" i="97" s="1"/>
  <c r="P70" i="98"/>
  <c r="R70" i="98" s="1"/>
  <c r="P135" i="98"/>
  <c r="R135" i="98" s="1"/>
  <c r="N156" i="98"/>
  <c r="N78" i="98"/>
  <c r="P78" i="98" s="1"/>
  <c r="R78" i="98" s="1"/>
  <c r="L127" i="97" s="1"/>
  <c r="E59" i="153"/>
  <c r="D59" i="153"/>
  <c r="M71" i="97" l="1"/>
  <c r="Q71" i="97" s="1"/>
  <c r="F21" i="153"/>
  <c r="E19" i="153"/>
  <c r="D18" i="153"/>
  <c r="E14" i="153"/>
  <c r="E13" i="153"/>
  <c r="D12" i="153"/>
  <c r="E6" i="153"/>
  <c r="D24" i="153"/>
  <c r="E22" i="153"/>
  <c r="E21" i="153"/>
  <c r="D20" i="153"/>
  <c r="G18" i="153"/>
  <c r="G17" i="153"/>
  <c r="E16" i="153"/>
  <c r="E15" i="153"/>
  <c r="D14" i="153"/>
  <c r="H14" i="153"/>
  <c r="F10" i="153"/>
  <c r="F9" i="153"/>
  <c r="E8" i="153"/>
  <c r="E7" i="153"/>
  <c r="D6" i="153"/>
  <c r="H6" i="153"/>
  <c r="D22" i="153"/>
  <c r="D16" i="153"/>
  <c r="G14" i="153"/>
  <c r="F12" i="153"/>
  <c r="F11" i="153"/>
  <c r="E9" i="153"/>
  <c r="D8" i="153"/>
  <c r="F22" i="153"/>
  <c r="E20" i="153"/>
  <c r="F15" i="153"/>
  <c r="F7" i="153"/>
  <c r="G20" i="153"/>
  <c r="G19" i="153"/>
  <c r="F18" i="153"/>
  <c r="F17" i="153"/>
  <c r="F24" i="153"/>
  <c r="G22" i="153"/>
  <c r="G21" i="153"/>
  <c r="F19" i="153"/>
  <c r="E18" i="153"/>
  <c r="E17" i="153"/>
  <c r="G16" i="153"/>
  <c r="G15" i="153"/>
  <c r="F14" i="153"/>
  <c r="F13" i="153"/>
  <c r="E12" i="153"/>
  <c r="E11" i="153"/>
  <c r="D10" i="153"/>
  <c r="H10" i="153"/>
  <c r="F6" i="153"/>
  <c r="P67" i="97"/>
  <c r="Z67" i="97" s="1"/>
  <c r="T67" i="97"/>
  <c r="AD67" i="97" s="1"/>
  <c r="U67" i="97"/>
  <c r="AE67" i="97" s="1"/>
  <c r="R67" i="97"/>
  <c r="AB67" i="97" s="1"/>
  <c r="S67" i="97"/>
  <c r="AC67" i="97" s="1"/>
  <c r="Q67" i="97"/>
  <c r="AA67" i="97" s="1"/>
  <c r="F20" i="153"/>
  <c r="F8" i="153"/>
  <c r="G59" i="153"/>
  <c r="F153" i="97"/>
  <c r="M25" i="97"/>
  <c r="V25" i="97" s="1"/>
  <c r="E5" i="153"/>
  <c r="E10" i="153"/>
  <c r="G24" i="153"/>
  <c r="P121" i="97"/>
  <c r="Z121" i="97" s="1"/>
  <c r="Q117" i="97"/>
  <c r="AA117" i="97" s="1"/>
  <c r="U117" i="97"/>
  <c r="AE117" i="97" s="1"/>
  <c r="S121" i="97"/>
  <c r="AC121" i="97" s="1"/>
  <c r="R117" i="97"/>
  <c r="AB117" i="97" s="1"/>
  <c r="U79" i="97"/>
  <c r="AE79" i="97" s="1"/>
  <c r="P79" i="97"/>
  <c r="Z79" i="97" s="1"/>
  <c r="T117" i="97"/>
  <c r="AD117" i="97" s="1"/>
  <c r="S79" i="97"/>
  <c r="AC79" i="97" s="1"/>
  <c r="F5" i="153"/>
  <c r="S71" i="97"/>
  <c r="Q121" i="97"/>
  <c r="AA121" i="97" s="1"/>
  <c r="T121" i="97"/>
  <c r="AD121" i="97" s="1"/>
  <c r="Q79" i="97"/>
  <c r="AA79" i="97" s="1"/>
  <c r="P71" i="97"/>
  <c r="R121" i="97"/>
  <c r="AB121" i="97" s="1"/>
  <c r="P117" i="97"/>
  <c r="Z117" i="97" s="1"/>
  <c r="T79" i="97"/>
  <c r="AD79" i="97" s="1"/>
  <c r="G13" i="153"/>
  <c r="G9" i="153"/>
  <c r="G5" i="153"/>
  <c r="G12" i="153"/>
  <c r="G10" i="153"/>
  <c r="G6" i="153"/>
  <c r="T125" i="97"/>
  <c r="AD125" i="97" s="1"/>
  <c r="G11" i="153"/>
  <c r="G7" i="153"/>
  <c r="G8" i="153"/>
  <c r="F16" i="153"/>
  <c r="Q123" i="97"/>
  <c r="AA123" i="97" s="1"/>
  <c r="F59" i="153"/>
  <c r="E24" i="153"/>
  <c r="P123" i="97"/>
  <c r="Z123" i="97" s="1"/>
  <c r="F160" i="97"/>
  <c r="O123" i="97"/>
  <c r="Y123" i="97" s="1"/>
  <c r="U123" i="97"/>
  <c r="AE123" i="97" s="1"/>
  <c r="R124" i="97"/>
  <c r="AB124" i="97" s="1"/>
  <c r="F97" i="97"/>
  <c r="P124" i="97"/>
  <c r="Z124" i="97" s="1"/>
  <c r="T124" i="97"/>
  <c r="AD124" i="97" s="1"/>
  <c r="R19" i="97"/>
  <c r="AB19" i="97" s="1"/>
  <c r="L79" i="97"/>
  <c r="L81" i="97" s="1"/>
  <c r="V127" i="97"/>
  <c r="AF127" i="97" s="1"/>
  <c r="E127" i="97"/>
  <c r="R125" i="97"/>
  <c r="AB125" i="97" s="1"/>
  <c r="Q124" i="97"/>
  <c r="AA124" i="97" s="1"/>
  <c r="V124" i="97"/>
  <c r="AF124" i="97" s="1"/>
  <c r="F63" i="97"/>
  <c r="P19" i="97"/>
  <c r="Z19" i="97" s="1"/>
  <c r="V125" i="97"/>
  <c r="AF125" i="97" s="1"/>
  <c r="S123" i="97"/>
  <c r="AC123" i="97" s="1"/>
  <c r="O124" i="97"/>
  <c r="Y124" i="97" s="1"/>
  <c r="S124" i="97"/>
  <c r="AC124" i="97" s="1"/>
  <c r="F154" i="97"/>
  <c r="F135" i="97"/>
  <c r="T10" i="97"/>
  <c r="AD10" i="97" s="1"/>
  <c r="M108" i="97"/>
  <c r="O108" i="97" s="1"/>
  <c r="Y108" i="97" s="1"/>
  <c r="V122" i="97"/>
  <c r="AF122" i="97" s="1"/>
  <c r="E122" i="97"/>
  <c r="S125" i="97"/>
  <c r="AC125" i="97" s="1"/>
  <c r="U125" i="97"/>
  <c r="AE125" i="97" s="1"/>
  <c r="U71" i="97"/>
  <c r="R71" i="97"/>
  <c r="R123" i="97"/>
  <c r="AB123" i="97" s="1"/>
  <c r="T123" i="97"/>
  <c r="AD123" i="97" s="1"/>
  <c r="F155" i="97"/>
  <c r="F93" i="97"/>
  <c r="P10" i="97"/>
  <c r="Z10" i="97" s="1"/>
  <c r="F28" i="97"/>
  <c r="F31" i="97"/>
  <c r="O19" i="97"/>
  <c r="Y19" i="97" s="1"/>
  <c r="Q19" i="97"/>
  <c r="AA19" i="97" s="1"/>
  <c r="S19" i="97"/>
  <c r="AC19" i="97" s="1"/>
  <c r="U19" i="97"/>
  <c r="AE19" i="97" s="1"/>
  <c r="P125" i="97"/>
  <c r="Z125" i="97" s="1"/>
  <c r="U10" i="97"/>
  <c r="AE10" i="97" s="1"/>
  <c r="T19" i="97"/>
  <c r="AD19" i="97" s="1"/>
  <c r="O125" i="97"/>
  <c r="Y125" i="97" s="1"/>
  <c r="F134" i="97"/>
  <c r="F150" i="97"/>
  <c r="R10" i="97"/>
  <c r="AB10" i="97" s="1"/>
  <c r="S10" i="97"/>
  <c r="AC10" i="97" s="1"/>
  <c r="Q10" i="97"/>
  <c r="AA10" i="97" s="1"/>
  <c r="V10" i="97"/>
  <c r="AF10" i="97" s="1"/>
  <c r="T71" i="97" l="1"/>
  <c r="T25" i="97"/>
  <c r="R25" i="97"/>
  <c r="P25" i="97"/>
  <c r="U25" i="97"/>
  <c r="Q25" i="97"/>
  <c r="S25" i="97"/>
  <c r="O25" i="97"/>
  <c r="H22" i="153"/>
  <c r="V79" i="97"/>
  <c r="AF79" i="97" s="1"/>
  <c r="H18" i="153"/>
  <c r="E79" i="97"/>
  <c r="O127" i="97"/>
  <c r="Y127" i="97" s="1"/>
  <c r="H20" i="153"/>
  <c r="H16" i="153"/>
  <c r="H8" i="153"/>
  <c r="H12" i="153"/>
  <c r="L147" i="97"/>
  <c r="O122" i="97"/>
  <c r="Y122" i="97" s="1"/>
  <c r="E103" i="97"/>
  <c r="U108" i="97"/>
  <c r="AE108" i="97" s="1"/>
  <c r="S108" i="97"/>
  <c r="AC108" i="97" s="1"/>
  <c r="Q108" i="97"/>
  <c r="AA108" i="97" s="1"/>
  <c r="V108" i="97"/>
  <c r="AF108" i="97" s="1"/>
  <c r="T108" i="97"/>
  <c r="AD108" i="97" s="1"/>
  <c r="R108" i="97"/>
  <c r="AB108" i="97" s="1"/>
  <c r="P108" i="97"/>
  <c r="Z108" i="97" s="1"/>
  <c r="H24" i="153"/>
  <c r="O79" i="97" l="1"/>
  <c r="Y79" i="97" s="1"/>
  <c r="E81" i="97"/>
  <c r="M103" i="97"/>
  <c r="O103" i="97" s="1"/>
  <c r="E112" i="97"/>
  <c r="M81" i="97" l="1"/>
  <c r="E147" i="97"/>
  <c r="M147" i="97" s="1"/>
  <c r="T147" i="97" s="1"/>
  <c r="AD147" i="97" s="1"/>
  <c r="S103" i="97"/>
  <c r="U103" i="97"/>
  <c r="T103" i="97"/>
  <c r="Q103" i="97"/>
  <c r="P103" i="97"/>
  <c r="V103" i="97"/>
  <c r="R103" i="97"/>
  <c r="M112" i="97"/>
  <c r="O112" i="97" s="1"/>
  <c r="O147" i="97" l="1"/>
  <c r="Y147" i="97" s="1"/>
  <c r="U147" i="97"/>
  <c r="AE147" i="97" s="1"/>
  <c r="V147" i="97"/>
  <c r="AF147" i="97" s="1"/>
  <c r="R147" i="97"/>
  <c r="AB147" i="97" s="1"/>
  <c r="P147" i="97"/>
  <c r="Z147" i="97" s="1"/>
  <c r="Q147" i="97"/>
  <c r="AA147" i="97" s="1"/>
  <c r="V81" i="97"/>
  <c r="AF81" i="97" s="1"/>
  <c r="S81" i="97"/>
  <c r="AC81" i="97" s="1"/>
  <c r="P81" i="97"/>
  <c r="Z81" i="97" s="1"/>
  <c r="U81" i="97"/>
  <c r="AE81" i="97" s="1"/>
  <c r="R81" i="97"/>
  <c r="AB81" i="97" s="1"/>
  <c r="T81" i="97"/>
  <c r="AD81" i="97" s="1"/>
  <c r="O81" i="97"/>
  <c r="Y81" i="97" s="1"/>
  <c r="Q81" i="97"/>
  <c r="AA81" i="97" s="1"/>
  <c r="S147" i="97"/>
  <c r="AC147" i="97" s="1"/>
  <c r="R112" i="97"/>
  <c r="U112" i="97"/>
  <c r="S112" i="97"/>
  <c r="P112" i="97"/>
  <c r="V112" i="97"/>
  <c r="Q112" i="97"/>
  <c r="T112" i="97"/>
  <c r="C59" i="153" l="1"/>
  <c r="C57" i="153"/>
  <c r="C56" i="153"/>
  <c r="C49" i="153"/>
  <c r="H57" i="153" l="1"/>
  <c r="G57" i="153" s="1"/>
  <c r="F57" i="153" s="1"/>
  <c r="H56" i="153"/>
  <c r="G56" i="153" s="1"/>
  <c r="F56" i="153" s="1"/>
  <c r="E56" i="153" s="1"/>
  <c r="H59" i="153"/>
  <c r="C54" i="153"/>
  <c r="C43" i="153" l="1"/>
  <c r="C47" i="153"/>
  <c r="H47" i="153" l="1"/>
  <c r="H43" i="153"/>
  <c r="G55" i="153" l="1"/>
  <c r="F55" i="153"/>
  <c r="E55" i="153"/>
  <c r="C55" i="153"/>
  <c r="G53" i="153"/>
  <c r="F53" i="153"/>
  <c r="E53" i="153"/>
  <c r="C53" i="153"/>
  <c r="G52" i="153"/>
  <c r="H31" i="153" l="1"/>
  <c r="D52" i="153"/>
  <c r="H5" i="153"/>
  <c r="H23" i="153"/>
  <c r="D55" i="153"/>
  <c r="D38" i="153"/>
  <c r="H15" i="153"/>
  <c r="H29" i="153"/>
  <c r="H54" i="153"/>
  <c r="H13" i="153"/>
  <c r="H48" i="153"/>
  <c r="D53" i="153"/>
  <c r="D5" i="153"/>
  <c r="D11" i="153"/>
  <c r="D37" i="153"/>
  <c r="D25" i="153"/>
  <c r="D44" i="153"/>
  <c r="D13" i="153"/>
  <c r="D29" i="153"/>
  <c r="D42" i="153"/>
  <c r="D31" i="153"/>
  <c r="D17" i="153"/>
  <c r="D23" i="153"/>
  <c r="D21" i="153"/>
  <c r="D7" i="153"/>
  <c r="D48" i="153"/>
  <c r="D36" i="153"/>
  <c r="D33" i="153"/>
  <c r="D27" i="153"/>
  <c r="D9" i="153"/>
  <c r="D19" i="153"/>
  <c r="D54" i="153"/>
  <c r="D15" i="153"/>
  <c r="H25" i="153" l="1"/>
  <c r="H36" i="153"/>
  <c r="H44" i="153"/>
  <c r="H33" i="153"/>
  <c r="H53" i="153"/>
  <c r="H42" i="153"/>
  <c r="H37" i="153"/>
  <c r="H11" i="153"/>
  <c r="H55" i="153"/>
  <c r="H21" i="153"/>
  <c r="H17" i="153"/>
  <c r="H52" i="153"/>
  <c r="H19" i="153"/>
  <c r="H9" i="153"/>
  <c r="H7" i="153"/>
  <c r="H38" i="153"/>
  <c r="H27" i="153"/>
  <c r="N20" i="98" l="1"/>
  <c r="P20" i="98" s="1"/>
  <c r="P57" i="98"/>
  <c r="R57" i="98" s="1"/>
  <c r="E120" i="97" s="1"/>
  <c r="P34" i="98"/>
  <c r="R34" i="98" s="1"/>
  <c r="N27" i="98"/>
  <c r="P27" i="98" s="1"/>
  <c r="R27" i="98" s="1"/>
  <c r="P109" i="98"/>
  <c r="R109" i="98" s="1"/>
  <c r="L121" i="97" s="1"/>
  <c r="N118" i="98"/>
  <c r="P118" i="98" s="1"/>
  <c r="R118" i="98" s="1"/>
  <c r="N91" i="98"/>
  <c r="P91" i="98" s="1"/>
  <c r="R91" i="98" s="1"/>
  <c r="E141" i="97" s="1"/>
  <c r="M144" i="97"/>
  <c r="P144" i="97" s="1"/>
  <c r="Z144" i="97" s="1"/>
  <c r="N63" i="98"/>
  <c r="P63" i="98" s="1"/>
  <c r="R63" i="98" s="1"/>
  <c r="L158" i="98"/>
  <c r="N158" i="98" s="1"/>
  <c r="J160" i="98"/>
  <c r="L160" i="98" l="1"/>
  <c r="N160" i="98" s="1"/>
  <c r="P160" i="98" s="1"/>
  <c r="R160" i="98" s="1"/>
  <c r="N159" i="98"/>
  <c r="P159" i="98" s="1"/>
  <c r="R159" i="98" s="1"/>
  <c r="P158" i="98"/>
  <c r="R158" i="98" s="1"/>
  <c r="E121" i="97"/>
  <c r="O121" i="97" s="1"/>
  <c r="Y121" i="97" s="1"/>
  <c r="V121" i="97"/>
  <c r="AF121" i="97" s="1"/>
  <c r="L141" i="97"/>
  <c r="V141" i="97" s="1"/>
  <c r="AF141" i="97" s="1"/>
  <c r="O141" i="97"/>
  <c r="Y141" i="97" s="1"/>
  <c r="E38" i="97"/>
  <c r="R20" i="98"/>
  <c r="L117" i="97" s="1"/>
  <c r="P149" i="98"/>
  <c r="P153" i="98" s="1"/>
  <c r="R153" i="98" s="1"/>
  <c r="P146" i="98"/>
  <c r="R146" i="98" s="1"/>
  <c r="T144" i="97"/>
  <c r="AD144" i="97" s="1"/>
  <c r="S144" i="97"/>
  <c r="AC144" i="97" s="1"/>
  <c r="V144" i="97"/>
  <c r="AF144" i="97" s="1"/>
  <c r="U144" i="97"/>
  <c r="AE144" i="97" s="1"/>
  <c r="R144" i="97"/>
  <c r="AB144" i="97" s="1"/>
  <c r="O144" i="97"/>
  <c r="Y144" i="97" s="1"/>
  <c r="Q144" i="97"/>
  <c r="AA144" i="97" s="1"/>
  <c r="G49" i="153"/>
  <c r="R149" i="98" l="1"/>
  <c r="E71" i="97"/>
  <c r="E75" i="97" s="1"/>
  <c r="P156" i="98"/>
  <c r="P157" i="98" s="1"/>
  <c r="R157" i="98" s="1"/>
  <c r="V117" i="97"/>
  <c r="AF117" i="97" s="1"/>
  <c r="E117" i="97"/>
  <c r="E41" i="97"/>
  <c r="L38" i="97"/>
  <c r="H49" i="153"/>
  <c r="L71" i="97" l="1"/>
  <c r="V71" i="97" s="1"/>
  <c r="O71" i="97"/>
  <c r="L120" i="97"/>
  <c r="M38" i="97"/>
  <c r="O117" i="97"/>
  <c r="Y117" i="97" s="1"/>
  <c r="E14" i="97"/>
  <c r="E43" i="97"/>
  <c r="E47" i="97"/>
  <c r="L41" i="97"/>
  <c r="M41" i="97" s="1"/>
  <c r="E45" i="97"/>
  <c r="L45" i="97" s="1"/>
  <c r="L75" i="97"/>
  <c r="V75" i="97" s="1"/>
  <c r="E91" i="97"/>
  <c r="O75" i="97"/>
  <c r="M45" i="97" l="1"/>
  <c r="P45" i="97" s="1"/>
  <c r="Z45" i="97" s="1"/>
  <c r="V41" i="97"/>
  <c r="R41" i="97"/>
  <c r="S41" i="97"/>
  <c r="T41" i="97"/>
  <c r="O41" i="97"/>
  <c r="P41" i="97"/>
  <c r="U41" i="97"/>
  <c r="Q41" i="97"/>
  <c r="L43" i="97"/>
  <c r="M43" i="97" s="1"/>
  <c r="M120" i="97"/>
  <c r="V120" i="97" s="1"/>
  <c r="AF120" i="97" s="1"/>
  <c r="R38" i="97"/>
  <c r="T38" i="97"/>
  <c r="P38" i="97"/>
  <c r="S38" i="97"/>
  <c r="Q38" i="97"/>
  <c r="U38" i="97"/>
  <c r="O38" i="97"/>
  <c r="E23" i="97"/>
  <c r="L14" i="97"/>
  <c r="E49" i="97"/>
  <c r="L47" i="97"/>
  <c r="V38" i="97"/>
  <c r="E92" i="97"/>
  <c r="E126" i="97"/>
  <c r="L91" i="97"/>
  <c r="O91" i="97"/>
  <c r="O45" i="97" l="1"/>
  <c r="Y45" i="97" s="1"/>
  <c r="S45" i="97"/>
  <c r="AC45" i="97" s="1"/>
  <c r="U45" i="97"/>
  <c r="AE45" i="97" s="1"/>
  <c r="T45" i="97"/>
  <c r="AD45" i="97" s="1"/>
  <c r="R45" i="97"/>
  <c r="AB45" i="97" s="1"/>
  <c r="Q45" i="97"/>
  <c r="AA45" i="97" s="1"/>
  <c r="V45" i="97"/>
  <c r="AF45" i="97" s="1"/>
  <c r="T43" i="97"/>
  <c r="O43" i="97"/>
  <c r="U43" i="97"/>
  <c r="R43" i="97"/>
  <c r="P43" i="97"/>
  <c r="S43" i="97"/>
  <c r="Q43" i="97"/>
  <c r="M23" i="97"/>
  <c r="E28" i="97"/>
  <c r="M47" i="97"/>
  <c r="V47" i="97" s="1"/>
  <c r="U120" i="97"/>
  <c r="AE120" i="97" s="1"/>
  <c r="O120" i="97"/>
  <c r="Y120" i="97" s="1"/>
  <c r="Q120" i="97"/>
  <c r="AA120" i="97" s="1"/>
  <c r="R120" i="97"/>
  <c r="AB120" i="97" s="1"/>
  <c r="P120" i="97"/>
  <c r="Z120" i="97" s="1"/>
  <c r="S120" i="97"/>
  <c r="AC120" i="97" s="1"/>
  <c r="T120" i="97"/>
  <c r="AD120" i="97" s="1"/>
  <c r="E52" i="97"/>
  <c r="L49" i="97"/>
  <c r="M49" i="97" s="1"/>
  <c r="S49" i="97" s="1"/>
  <c r="M14" i="97"/>
  <c r="V14" i="97" s="1"/>
  <c r="AF14" i="97" s="1"/>
  <c r="L22" i="97"/>
  <c r="M22" i="97" s="1"/>
  <c r="V22" i="97" s="1"/>
  <c r="V43" i="97"/>
  <c r="M92" i="97"/>
  <c r="O92" i="97" s="1"/>
  <c r="Y92" i="97" s="1"/>
  <c r="E138" i="97"/>
  <c r="O138" i="97" s="1"/>
  <c r="Y138" i="97" s="1"/>
  <c r="L126" i="97"/>
  <c r="O126" i="97"/>
  <c r="Y126" i="97" s="1"/>
  <c r="L94" i="97"/>
  <c r="V91" i="97"/>
  <c r="P22" i="97" l="1"/>
  <c r="S22" i="97"/>
  <c r="V49" i="97"/>
  <c r="Q22" i="97"/>
  <c r="T49" i="97"/>
  <c r="U49" i="97"/>
  <c r="P49" i="97"/>
  <c r="O49" i="97"/>
  <c r="R22" i="97"/>
  <c r="R49" i="97"/>
  <c r="Q49" i="97"/>
  <c r="O22" i="97"/>
  <c r="U22" i="97"/>
  <c r="O23" i="97"/>
  <c r="T23" i="97"/>
  <c r="V23" i="97"/>
  <c r="Q23" i="97"/>
  <c r="R23" i="97"/>
  <c r="P23" i="97"/>
  <c r="U23" i="97"/>
  <c r="S23" i="97"/>
  <c r="L51" i="97"/>
  <c r="M51" i="97" s="1"/>
  <c r="V51" i="97" s="1"/>
  <c r="E55" i="97"/>
  <c r="M52" i="97"/>
  <c r="T22" i="97"/>
  <c r="O47" i="97"/>
  <c r="P47" i="97"/>
  <c r="R47" i="97"/>
  <c r="S47" i="97"/>
  <c r="Q47" i="97"/>
  <c r="T47" i="97"/>
  <c r="U47" i="97"/>
  <c r="P14" i="97"/>
  <c r="Z14" i="97" s="1"/>
  <c r="R14" i="97"/>
  <c r="AB14" i="97" s="1"/>
  <c r="S14" i="97"/>
  <c r="AC14" i="97" s="1"/>
  <c r="T14" i="97"/>
  <c r="AD14" i="97" s="1"/>
  <c r="O14" i="97"/>
  <c r="Y14" i="97" s="1"/>
  <c r="U14" i="97"/>
  <c r="AE14" i="97" s="1"/>
  <c r="Q14" i="97"/>
  <c r="AA14" i="97" s="1"/>
  <c r="L27" i="97"/>
  <c r="M27" i="97" s="1"/>
  <c r="V27" i="97" s="1"/>
  <c r="M28" i="97"/>
  <c r="E31" i="97"/>
  <c r="L96" i="97"/>
  <c r="M94" i="97"/>
  <c r="V94" i="97" s="1"/>
  <c r="AF94" i="97" s="1"/>
  <c r="L138" i="97"/>
  <c r="V138" i="97" s="1"/>
  <c r="AF138" i="97" s="1"/>
  <c r="V126" i="97"/>
  <c r="AF126" i="97" s="1"/>
  <c r="V92" i="97"/>
  <c r="AF92" i="97" s="1"/>
  <c r="S92" i="97"/>
  <c r="AC92" i="97" s="1"/>
  <c r="R92" i="97"/>
  <c r="AB92" i="97" s="1"/>
  <c r="T92" i="97"/>
  <c r="AD92" i="97" s="1"/>
  <c r="U92" i="97"/>
  <c r="AE92" i="97" s="1"/>
  <c r="P92" i="97"/>
  <c r="Z92" i="97" s="1"/>
  <c r="Q92" i="97"/>
  <c r="AA92" i="97" s="1"/>
  <c r="T27" i="97" l="1"/>
  <c r="R27" i="97"/>
  <c r="T51" i="97"/>
  <c r="O27" i="97"/>
  <c r="R51" i="97"/>
  <c r="S27" i="97"/>
  <c r="U51" i="97"/>
  <c r="P27" i="97"/>
  <c r="S51" i="97"/>
  <c r="O51" i="97"/>
  <c r="E59" i="97"/>
  <c r="M55" i="97"/>
  <c r="L54" i="97"/>
  <c r="M54" i="97" s="1"/>
  <c r="S54" i="97" s="1"/>
  <c r="E63" i="97"/>
  <c r="L63" i="97" s="1"/>
  <c r="L31" i="97"/>
  <c r="Q27" i="97"/>
  <c r="U27" i="97"/>
  <c r="P51" i="97"/>
  <c r="Q51" i="97"/>
  <c r="O28" i="97"/>
  <c r="S28" i="97"/>
  <c r="V28" i="97"/>
  <c r="U28" i="97"/>
  <c r="T28" i="97"/>
  <c r="R28" i="97"/>
  <c r="P28" i="97"/>
  <c r="Q28" i="97"/>
  <c r="O52" i="97"/>
  <c r="Y52" i="97" s="1"/>
  <c r="V52" i="97"/>
  <c r="AF52" i="97" s="1"/>
  <c r="U52" i="97"/>
  <c r="AE52" i="97" s="1"/>
  <c r="S52" i="97"/>
  <c r="AC52" i="97" s="1"/>
  <c r="T52" i="97"/>
  <c r="AD52" i="97" s="1"/>
  <c r="P52" i="97"/>
  <c r="Z52" i="97" s="1"/>
  <c r="Q52" i="97"/>
  <c r="AA52" i="97" s="1"/>
  <c r="R52" i="97"/>
  <c r="AB52" i="97" s="1"/>
  <c r="P94" i="97"/>
  <c r="Z94" i="97" s="1"/>
  <c r="Q94" i="97"/>
  <c r="AA94" i="97" s="1"/>
  <c r="O94" i="97"/>
  <c r="Y94" i="97" s="1"/>
  <c r="T94" i="97"/>
  <c r="AD94" i="97" s="1"/>
  <c r="R94" i="97"/>
  <c r="AB94" i="97" s="1"/>
  <c r="U94" i="97"/>
  <c r="AE94" i="97" s="1"/>
  <c r="S94" i="97"/>
  <c r="AC94" i="97" s="1"/>
  <c r="M96" i="97"/>
  <c r="V96" i="97" s="1"/>
  <c r="AF96" i="97" s="1"/>
  <c r="U54" i="97" l="1"/>
  <c r="Q54" i="97"/>
  <c r="P54" i="97"/>
  <c r="T54" i="97"/>
  <c r="O54" i="97"/>
  <c r="R54" i="97"/>
  <c r="M63" i="97"/>
  <c r="P63" i="97" s="1"/>
  <c r="Z63" i="97" s="1"/>
  <c r="V54" i="97"/>
  <c r="M31" i="97"/>
  <c r="L58" i="97"/>
  <c r="M58" i="97" s="1"/>
  <c r="V58" i="97" s="1"/>
  <c r="E60" i="97"/>
  <c r="M59" i="97"/>
  <c r="O55" i="97"/>
  <c r="T55" i="97"/>
  <c r="S55" i="97"/>
  <c r="V55" i="97"/>
  <c r="P55" i="97"/>
  <c r="Q55" i="97"/>
  <c r="R55" i="97"/>
  <c r="U55" i="97"/>
  <c r="S96" i="97"/>
  <c r="AC96" i="97" s="1"/>
  <c r="R96" i="97"/>
  <c r="AB96" i="97" s="1"/>
  <c r="T96" i="97"/>
  <c r="AD96" i="97" s="1"/>
  <c r="Q96" i="97"/>
  <c r="AA96" i="97" s="1"/>
  <c r="P96" i="97"/>
  <c r="Z96" i="97" s="1"/>
  <c r="O96" i="97"/>
  <c r="Y96" i="97" s="1"/>
  <c r="U96" i="97"/>
  <c r="AE96" i="97" s="1"/>
  <c r="U58" i="97" l="1"/>
  <c r="R58" i="97"/>
  <c r="O58" i="97"/>
  <c r="U63" i="97"/>
  <c r="AE63" i="97" s="1"/>
  <c r="R63" i="97"/>
  <c r="AB63" i="97" s="1"/>
  <c r="V63" i="97"/>
  <c r="AF63" i="97" s="1"/>
  <c r="S63" i="97"/>
  <c r="AC63" i="97" s="1"/>
  <c r="T63" i="97"/>
  <c r="AD63" i="97" s="1"/>
  <c r="O63" i="97"/>
  <c r="Y63" i="97" s="1"/>
  <c r="T58" i="97"/>
  <c r="Q63" i="97"/>
  <c r="AA63" i="97" s="1"/>
  <c r="O59" i="97"/>
  <c r="P59" i="97"/>
  <c r="Q59" i="97"/>
  <c r="T59" i="97"/>
  <c r="U59" i="97"/>
  <c r="R59" i="97"/>
  <c r="S59" i="97"/>
  <c r="V59" i="97"/>
  <c r="O31" i="97"/>
  <c r="Q31" i="97"/>
  <c r="P31" i="97"/>
  <c r="R31" i="97"/>
  <c r="U31" i="97"/>
  <c r="S31" i="97"/>
  <c r="T31" i="97"/>
  <c r="Q58" i="97"/>
  <c r="P58" i="97"/>
  <c r="E62" i="97"/>
  <c r="L60" i="97"/>
  <c r="S58" i="97"/>
  <c r="V31" i="97"/>
  <c r="M60" i="97" l="1"/>
  <c r="E134" i="97"/>
  <c r="E67" i="97"/>
  <c r="L62" i="97"/>
  <c r="M62" i="97" s="1"/>
  <c r="P62" i="97" s="1"/>
  <c r="Z62" i="97" s="1"/>
  <c r="E135" i="97"/>
  <c r="O62" i="97" l="1"/>
  <c r="Y62" i="97" s="1"/>
  <c r="Q60" i="97"/>
  <c r="U60" i="97"/>
  <c r="T60" i="97"/>
  <c r="O60" i="97"/>
  <c r="R60" i="97"/>
  <c r="S60" i="97"/>
  <c r="P60" i="97"/>
  <c r="S62" i="97"/>
  <c r="AC62" i="97" s="1"/>
  <c r="T62" i="97"/>
  <c r="AD62" i="97" s="1"/>
  <c r="O67" i="97"/>
  <c r="Y67" i="97" s="1"/>
  <c r="E93" i="97"/>
  <c r="L67" i="97"/>
  <c r="U62" i="97"/>
  <c r="AE62" i="97" s="1"/>
  <c r="R62" i="97"/>
  <c r="AB62" i="97" s="1"/>
  <c r="Q62" i="97"/>
  <c r="AA62" i="97" s="1"/>
  <c r="V62" i="97"/>
  <c r="AF62" i="97" s="1"/>
  <c r="V60" i="97"/>
  <c r="L93" i="97" l="1"/>
  <c r="L134" i="97"/>
  <c r="M134" i="97" s="1"/>
  <c r="R134" i="97" s="1"/>
  <c r="AB134" i="97" s="1"/>
  <c r="V67" i="97"/>
  <c r="AF67" i="97" s="1"/>
  <c r="L150" i="97"/>
  <c r="L135" i="97"/>
  <c r="M135" i="97" s="1"/>
  <c r="V135" i="97" s="1"/>
  <c r="AF135" i="97" s="1"/>
  <c r="L97" i="97"/>
  <c r="L153" i="97" s="1"/>
  <c r="L160" i="97" s="1"/>
  <c r="E150" i="97"/>
  <c r="E97" i="97"/>
  <c r="V134" i="97" l="1"/>
  <c r="AF134" i="97" s="1"/>
  <c r="T134" i="97"/>
  <c r="AD134" i="97" s="1"/>
  <c r="T135" i="97"/>
  <c r="AD135" i="97" s="1"/>
  <c r="S135" i="97"/>
  <c r="AC135" i="97" s="1"/>
  <c r="Q135" i="97"/>
  <c r="AA135" i="97" s="1"/>
  <c r="P135" i="97"/>
  <c r="Z135" i="97" s="1"/>
  <c r="S134" i="97"/>
  <c r="AC134" i="97" s="1"/>
  <c r="O135" i="97"/>
  <c r="Y135" i="97" s="1"/>
  <c r="R135" i="97"/>
  <c r="AB135" i="97" s="1"/>
  <c r="L155" i="97"/>
  <c r="U134" i="97"/>
  <c r="AE134" i="97" s="1"/>
  <c r="L154" i="97"/>
  <c r="P134" i="97"/>
  <c r="Z134" i="97" s="1"/>
  <c r="Q134" i="97"/>
  <c r="AA134" i="97" s="1"/>
  <c r="M150" i="97"/>
  <c r="T150" i="97" s="1"/>
  <c r="AD150" i="97" s="1"/>
  <c r="M93" i="97"/>
  <c r="V93" i="97" s="1"/>
  <c r="AF93" i="97" s="1"/>
  <c r="U135" i="97"/>
  <c r="AE135" i="97" s="1"/>
  <c r="O134" i="97"/>
  <c r="Y134" i="97" s="1"/>
  <c r="E155" i="97"/>
  <c r="E153" i="97"/>
  <c r="M153" i="97" s="1"/>
  <c r="O153" i="97" s="1"/>
  <c r="Y153" i="97" s="1"/>
  <c r="M97" i="97"/>
  <c r="E154" i="97"/>
  <c r="E160" i="97"/>
  <c r="M160" i="97" s="1"/>
  <c r="M155" i="97" l="1"/>
  <c r="Q155" i="97" s="1"/>
  <c r="AA155" i="97" s="1"/>
  <c r="M154" i="97"/>
  <c r="P154" i="97" s="1"/>
  <c r="Z154" i="97" s="1"/>
  <c r="R153" i="97"/>
  <c r="AB153" i="97" s="1"/>
  <c r="U153" i="97"/>
  <c r="AE153" i="97" s="1"/>
  <c r="Q153" i="97"/>
  <c r="AA153" i="97" s="1"/>
  <c r="T153" i="97"/>
  <c r="AD153" i="97" s="1"/>
  <c r="O150" i="97"/>
  <c r="Y150" i="97" s="1"/>
  <c r="Q150" i="97"/>
  <c r="AA150" i="97" s="1"/>
  <c r="R150" i="97"/>
  <c r="AB150" i="97" s="1"/>
  <c r="U150" i="97"/>
  <c r="AE150" i="97" s="1"/>
  <c r="P150" i="97"/>
  <c r="Z150" i="97" s="1"/>
  <c r="S150" i="97"/>
  <c r="AC150" i="97" s="1"/>
  <c r="V150" i="97"/>
  <c r="AF150" i="97" s="1"/>
  <c r="O160" i="97"/>
  <c r="Y160" i="97" s="1"/>
  <c r="U160" i="97"/>
  <c r="AE160" i="97" s="1"/>
  <c r="V160" i="97"/>
  <c r="AF160" i="97" s="1"/>
  <c r="Q160" i="97"/>
  <c r="AA160" i="97" s="1"/>
  <c r="S160" i="97"/>
  <c r="AC160" i="97" s="1"/>
  <c r="P160" i="97"/>
  <c r="Z160" i="97" s="1"/>
  <c r="T160" i="97"/>
  <c r="AD160" i="97" s="1"/>
  <c r="R160" i="97"/>
  <c r="AB160" i="97" s="1"/>
  <c r="O97" i="97"/>
  <c r="Y97" i="97" s="1"/>
  <c r="T97" i="97"/>
  <c r="AD97" i="97" s="1"/>
  <c r="R97" i="97"/>
  <c r="AB97" i="97" s="1"/>
  <c r="P97" i="97"/>
  <c r="Z97" i="97" s="1"/>
  <c r="V97" i="97"/>
  <c r="AF97" i="97" s="1"/>
  <c r="U97" i="97"/>
  <c r="AE97" i="97" s="1"/>
  <c r="S97" i="97"/>
  <c r="AC97" i="97" s="1"/>
  <c r="Q97" i="97"/>
  <c r="AA97" i="97" s="1"/>
  <c r="T93" i="97"/>
  <c r="AD93" i="97" s="1"/>
  <c r="R93" i="97"/>
  <c r="AB93" i="97" s="1"/>
  <c r="P93" i="97"/>
  <c r="Z93" i="97" s="1"/>
  <c r="Q93" i="97"/>
  <c r="AA93" i="97" s="1"/>
  <c r="S93" i="97"/>
  <c r="AC93" i="97" s="1"/>
  <c r="U93" i="97"/>
  <c r="AE93" i="97" s="1"/>
  <c r="O93" i="97"/>
  <c r="Y93" i="97" s="1"/>
  <c r="P153" i="97"/>
  <c r="Z153" i="97" s="1"/>
  <c r="V153" i="97"/>
  <c r="AF153" i="97" s="1"/>
  <c r="S153" i="97"/>
  <c r="AC153" i="97" s="1"/>
  <c r="S154" i="97" l="1"/>
  <c r="AC154" i="97" s="1"/>
  <c r="U154" i="97"/>
  <c r="AE154" i="97" s="1"/>
  <c r="P155" i="97"/>
  <c r="Z155" i="97" s="1"/>
  <c r="Z158" i="97" s="1"/>
  <c r="Z162" i="97" s="1"/>
  <c r="Z169" i="97" s="1"/>
  <c r="S155" i="97"/>
  <c r="AC155" i="97" s="1"/>
  <c r="T154" i="97"/>
  <c r="AD154" i="97" s="1"/>
  <c r="V155" i="97"/>
  <c r="AF155" i="97" s="1"/>
  <c r="V154" i="97"/>
  <c r="AF154" i="97" s="1"/>
  <c r="T155" i="97"/>
  <c r="AD155" i="97" s="1"/>
  <c r="Q154" i="97"/>
  <c r="AA154" i="97" s="1"/>
  <c r="AA158" i="97" s="1"/>
  <c r="AA162" i="97" s="1"/>
  <c r="AA169" i="97" s="1"/>
  <c r="O154" i="97"/>
  <c r="Y154" i="97" s="1"/>
  <c r="R154" i="97"/>
  <c r="AB154" i="97" s="1"/>
  <c r="AC158" i="97"/>
  <c r="AC162" i="97" s="1"/>
  <c r="AC169" i="97" s="1"/>
  <c r="R155" i="97"/>
  <c r="AB155" i="97" s="1"/>
  <c r="O155" i="97"/>
  <c r="Y155" i="97" s="1"/>
  <c r="U155" i="97"/>
  <c r="AE155" i="97" s="1"/>
  <c r="AE158" i="97" l="1"/>
  <c r="AE162" i="97" s="1"/>
  <c r="AE169" i="97" s="1"/>
  <c r="Y158" i="97"/>
  <c r="Y162" i="97" s="1"/>
  <c r="Y169" i="97" s="1"/>
  <c r="AD158" i="97"/>
  <c r="AD162" i="97" s="1"/>
  <c r="AD169" i="97" s="1"/>
  <c r="AF158" i="97"/>
  <c r="AF162" i="97" s="1"/>
  <c r="AF169" i="97" s="1"/>
  <c r="AB158" i="97"/>
  <c r="AB162" i="97" s="1"/>
  <c r="AB169" i="97" s="1"/>
  <c r="F149" i="153" l="1"/>
  <c r="L149" i="153" l="1"/>
  <c r="H149" i="1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DCWASA</author>
    <author>Antonio M. Ramos-Izquierdo</author>
    <author>Preferred Customer</author>
  </authors>
  <commentList>
    <comment ref="D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THE </t>
        </r>
        <r>
          <rPr>
            <b/>
            <sz val="8"/>
            <color indexed="81"/>
            <rFont val="Tahoma"/>
            <family val="2"/>
          </rPr>
          <t>YR_HC_RPT</t>
        </r>
        <r>
          <rPr>
            <sz val="8"/>
            <color indexed="81"/>
            <rFont val="Tahoma"/>
            <family val="2"/>
          </rPr>
          <t xml:space="preserve"> MUST BE COMPLETED PRIOR TO DOING THIS </t>
        </r>
        <r>
          <rPr>
            <b/>
            <sz val="8"/>
            <color indexed="81"/>
            <rFont val="Tahoma"/>
            <family val="2"/>
          </rPr>
          <t>YR_FLOW_RPT</t>
        </r>
        <r>
          <rPr>
            <sz val="8"/>
            <color indexed="81"/>
            <rFont val="Tahoma"/>
            <family val="2"/>
          </rPr>
          <t xml:space="preserve">, SINCE THE CELLS SHOWN IN </t>
        </r>
        <r>
          <rPr>
            <sz val="8"/>
            <color indexed="10"/>
            <rFont val="Tahoma"/>
            <family val="2"/>
          </rPr>
          <t>RED</t>
        </r>
        <r>
          <rPr>
            <sz val="8"/>
            <color indexed="81"/>
            <rFont val="Tahoma"/>
            <family val="2"/>
          </rPr>
          <t xml:space="preserve"> ARE LINKED TO THE </t>
        </r>
        <r>
          <rPr>
            <b/>
            <sz val="8"/>
            <color indexed="81"/>
            <rFont val="Tahoma"/>
            <family val="2"/>
          </rPr>
          <t>YR_HC_RPT</t>
        </r>
        <r>
          <rPr>
            <sz val="8"/>
            <color indexed="81"/>
            <rFont val="Tahoma"/>
            <family val="2"/>
          </rPr>
          <t xml:space="preserve">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6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 xml:space="preserve">DCWASA: AFTER YOU CREATE A WORKBOOK FOR THE NEW FISCAL YEAR.
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F</t>
        </r>
        <r>
          <rPr>
            <b/>
            <sz val="8"/>
            <color indexed="81"/>
            <rFont val="Tahoma"/>
            <family val="2"/>
          </rPr>
          <t>OR THE FISCAL YEAR REPORT WSSC USES TOTAL MG FROM OCTOBER TO SEPTEMBER DIVIDED BY DAYS IN THE YEAR (365 OR 366) FOR EACH METER,</t>
        </r>
        <r>
          <rPr>
            <sz val="8"/>
            <color indexed="81"/>
            <rFont val="Tahoma"/>
            <family val="2"/>
          </rPr>
          <t xml:space="preserve">
SO IT IS BETTER TO CREATE A NEW ROW IN THE WSSC SPREADSHEET WITH THE INFORMATION AND USE IT AS THE
REPLACEMENT CELLS.</t>
        </r>
      </text>
    </comment>
    <comment ref="F6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6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6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6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6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4" authorId="1" shapeId="0" xr:uid="{00000000-0006-0000-0400-000009000000}">
      <text>
        <r>
          <rPr>
            <sz val="8"/>
            <color indexed="81"/>
            <rFont val="Tahoma"/>
            <family val="2"/>
          </rPr>
          <t xml:space="preserve">D.C. FLOW = 35.7% OF REPORTED LITTLE FALLS FLOW.
</t>
        </r>
      </text>
    </comment>
    <comment ref="E19" authorId="1" shapeId="0" xr:uid="{00000000-0006-0000-0400-00000A000000}">
      <text>
        <r>
          <rPr>
            <sz val="8"/>
            <color indexed="81"/>
            <rFont val="Tahoma"/>
            <family val="2"/>
          </rPr>
          <t xml:space="preserve">MD UPI METERED FLOW 100% WSSC FLOW.
</t>
        </r>
      </text>
    </comment>
    <comment ref="L27" authorId="1" shapeId="0" xr:uid="{00000000-0006-0000-0400-00000B000000}">
      <text>
        <r>
          <rPr>
            <sz val="8"/>
            <color indexed="81"/>
            <rFont val="Tahoma"/>
            <family val="2"/>
          </rPr>
          <t xml:space="preserve">D.C. FLOW = 11% OF WSSC REPORTED FLOW.
</t>
        </r>
      </text>
    </comment>
    <comment ref="L31" authorId="1" shapeId="0" xr:uid="{00000000-0006-0000-0400-00000C000000}">
      <text>
        <r>
          <rPr>
            <sz val="8"/>
            <color indexed="81"/>
            <rFont val="Tahoma"/>
            <family val="2"/>
          </rPr>
          <t xml:space="preserve">D.C. FLOW = 19% OF WSSC REPORTED FLOW.
</t>
        </r>
      </text>
    </comment>
    <comment ref="L36" authorId="1" shapeId="0" xr:uid="{00000000-0006-0000-0400-00000D000000}">
      <text>
        <r>
          <rPr>
            <sz val="8"/>
            <color indexed="81"/>
            <rFont val="Tahoma"/>
            <family val="2"/>
          </rPr>
          <t xml:space="preserve">0.050 MGD CONSTANT
</t>
        </r>
      </text>
    </comment>
    <comment ref="L38" authorId="1" shapeId="0" xr:uid="{00000000-0006-0000-0400-00000E000000}">
      <text>
        <r>
          <rPr>
            <sz val="8"/>
            <color indexed="81"/>
            <rFont val="Tahoma"/>
            <family val="2"/>
          </rPr>
          <t xml:space="preserve">D.C. FLOW = 75% OF WSSC REPORTED FLOW.
</t>
        </r>
      </text>
    </comment>
    <comment ref="E41" authorId="1" shapeId="0" xr:uid="{00000000-0006-0000-0400-00000F000000}">
      <text>
        <r>
          <rPr>
            <sz val="8"/>
            <color indexed="81"/>
            <rFont val="Tahoma"/>
            <family val="2"/>
          </rPr>
          <t xml:space="preserve">0.195 MGD FROM YR_HC_RPT WSSC FLOW - PINEHURST RUN/ROCK CREEK (SUM OF LINES 8+9+10)
</t>
        </r>
      </text>
    </comment>
    <comment ref="L41" authorId="1" shapeId="0" xr:uid="{00000000-0006-0000-0400-000010000000}">
      <text>
        <r>
          <rPr>
            <sz val="8"/>
            <color indexed="81"/>
            <rFont val="Tahoma"/>
            <family val="2"/>
          </rPr>
          <t xml:space="preserve">D.C. FLOW = 12% OF WSSC REPORTED FLOW.
</t>
        </r>
      </text>
    </comment>
    <comment ref="L43" authorId="1" shapeId="0" xr:uid="{00000000-0006-0000-0400-000011000000}">
      <text>
        <r>
          <rPr>
            <sz val="8"/>
            <color indexed="81"/>
            <rFont val="Tahoma"/>
            <family val="2"/>
          </rPr>
          <t xml:space="preserve">D.C. FLOW = 18% OF WSSC REPORTED FLOW.
</t>
        </r>
      </text>
    </comment>
    <comment ref="E44" authorId="1" shapeId="0" xr:uid="{00000000-0006-0000-0400-000012000000}">
      <text>
        <r>
          <rPr>
            <sz val="8"/>
            <color indexed="81"/>
            <rFont val="Tahoma"/>
            <family val="2"/>
          </rPr>
          <t>6.970 MGD FIXED FLOW
FOR WSSC THRU RELIEF SEWER.</t>
        </r>
      </text>
    </comment>
    <comment ref="L45" authorId="1" shapeId="0" xr:uid="{00000000-0006-0000-0400-000013000000}">
      <text>
        <r>
          <rPr>
            <sz val="8"/>
            <color indexed="81"/>
            <rFont val="Tahoma"/>
            <family val="2"/>
          </rPr>
          <t xml:space="preserve">D.C. FLOW = 18% OF WSSC REPORTED FLOW.
</t>
        </r>
      </text>
    </comment>
    <comment ref="E47" authorId="1" shapeId="0" xr:uid="{00000000-0006-0000-0400-000014000000}">
      <text>
        <r>
          <rPr>
            <sz val="8"/>
            <color indexed="81"/>
            <rFont val="Tahoma"/>
            <family val="2"/>
          </rPr>
          <t xml:space="preserve"> 0.082 MGD FROM   YR_HC_RPT WSSC FLOW - BROAD BRANCH/ ROCK CREEK CELL R27
</t>
        </r>
      </text>
    </comment>
    <comment ref="L47" authorId="1" shapeId="0" xr:uid="{00000000-0006-0000-0400-000015000000}">
      <text>
        <r>
          <rPr>
            <sz val="8"/>
            <color indexed="81"/>
            <rFont val="Tahoma"/>
            <family val="2"/>
          </rPr>
          <t xml:space="preserve">D.C. FLOW = 31% OF WSSC REPORTED FLOW.
</t>
        </r>
      </text>
    </comment>
    <comment ref="E48" authorId="1" shapeId="0" xr:uid="{00000000-0006-0000-0400-000016000000}">
      <text>
        <r>
          <rPr>
            <sz val="8"/>
            <color indexed="81"/>
            <rFont val="Tahoma"/>
            <family val="2"/>
          </rPr>
          <t>17.180 MGD FIXED FLOW
FOR WSSC THRU RELIEF SEWER</t>
        </r>
      </text>
    </comment>
    <comment ref="L49" authorId="1" shapeId="0" xr:uid="{00000000-0006-0000-0400-000017000000}">
      <text>
        <r>
          <rPr>
            <sz val="8"/>
            <color indexed="81"/>
            <rFont val="Tahoma"/>
            <family val="2"/>
          </rPr>
          <t xml:space="preserve">D.C. FLOW = 32% OF WSSC REPORTED FLOW.
</t>
        </r>
      </text>
    </comment>
    <comment ref="L51" authorId="1" shapeId="0" xr:uid="{00000000-0006-0000-0400-000018000000}">
      <text>
        <r>
          <rPr>
            <sz val="8"/>
            <color indexed="81"/>
            <rFont val="Tahoma"/>
            <family val="2"/>
          </rPr>
          <t xml:space="preserve">D.C. FLOW = 37% OF WSSC REPORTED FLOW.
</t>
        </r>
      </text>
    </comment>
    <comment ref="L54" authorId="1" shapeId="0" xr:uid="{00000000-0006-0000-0400-000019000000}">
      <text>
        <r>
          <rPr>
            <sz val="8"/>
            <color indexed="81"/>
            <rFont val="Tahoma"/>
            <family val="2"/>
          </rPr>
          <t xml:space="preserve">D.C. FLOW = 52% OF WSSC REPORTED FLOW.
</t>
        </r>
      </text>
    </comment>
    <comment ref="L58" authorId="1" shapeId="0" xr:uid="{00000000-0006-0000-0400-00001A000000}">
      <text>
        <r>
          <rPr>
            <sz val="8"/>
            <color indexed="81"/>
            <rFont val="Tahoma"/>
            <family val="2"/>
          </rPr>
          <t xml:space="preserve">D.C. FLOW = 52% OF WSSC REPORTED FLOW.
</t>
        </r>
      </text>
    </comment>
    <comment ref="L60" authorId="1" shapeId="0" xr:uid="{00000000-0006-0000-0400-00001B000000}">
      <text>
        <r>
          <rPr>
            <sz val="8"/>
            <color indexed="81"/>
            <rFont val="Tahoma"/>
            <family val="2"/>
          </rPr>
          <t xml:space="preserve">D.C. FLOW = 85% OF WSSC REPORTED FLOW.
</t>
        </r>
      </text>
    </comment>
    <comment ref="L62" authorId="1" shapeId="0" xr:uid="{00000000-0006-0000-0400-00001C000000}">
      <text>
        <r>
          <rPr>
            <sz val="8"/>
            <color indexed="81"/>
            <rFont val="Tahoma"/>
            <family val="2"/>
          </rPr>
          <t xml:space="preserve">D.C. FLOW = 85% OF WSSC REPORTED FLOW + ROCK CREEK PSTA FLOW.
</t>
        </r>
      </text>
    </comment>
    <comment ref="L63" authorId="1" shapeId="0" xr:uid="{00000000-0006-0000-0400-00001D000000}">
      <text>
        <r>
          <rPr>
            <sz val="8"/>
            <color indexed="81"/>
            <rFont val="Tahoma"/>
            <family val="2"/>
          </rPr>
          <t xml:space="preserve">D.C. FLOW = 19% OF WSSC REPORTED FLOW.
</t>
        </r>
      </text>
    </comment>
    <comment ref="L75" authorId="1" shapeId="0" xr:uid="{00000000-0006-0000-0400-00001E000000}">
      <text>
        <r>
          <rPr>
            <sz val="8"/>
            <color indexed="81"/>
            <rFont val="Tahoma"/>
            <family val="2"/>
          </rPr>
          <t xml:space="preserve">D.C. FLOW = AVG. OF UPPER ANACOSTIA &amp; POPLAR POINT PSTA. FLOWS LESS(-) WSSC FLOW.
</t>
        </r>
      </text>
    </comment>
    <comment ref="L79" authorId="1" shapeId="0" xr:uid="{00000000-0006-0000-0400-00001F000000}">
      <text>
        <r>
          <rPr>
            <sz val="8"/>
            <color indexed="81"/>
            <rFont val="Tahoma"/>
            <family val="2"/>
          </rPr>
          <t xml:space="preserve">D.C. FLOW - ANACOSTIA FORCEMAIN = VALLEY DR. METER FLOW + HOUSE COUNT FLOW. FROM YR_HC_RPT
</t>
        </r>
      </text>
    </comment>
    <comment ref="L91" authorId="1" shapeId="0" xr:uid="{00000000-0006-0000-0400-000020000000}">
      <text>
        <r>
          <rPr>
            <b/>
            <sz val="8"/>
            <color indexed="81"/>
            <rFont val="Tahoma"/>
            <family val="2"/>
          </rPr>
          <t>D.C. FLOW = SUM OF MAIN + "O" ST + POPLAR POINT PSTA. FLOWS LESS(-) WSSC FLOW</t>
        </r>
        <r>
          <rPr>
            <sz val="8"/>
            <color indexed="81"/>
            <rFont val="Arial"/>
            <family val="2"/>
          </rPr>
          <t xml:space="preserve">
</t>
        </r>
      </text>
    </comment>
    <comment ref="L117" authorId="1" shapeId="0" xr:uid="{00000000-0006-0000-0400-000021000000}">
      <text>
        <r>
          <rPr>
            <sz val="8"/>
            <color indexed="81"/>
            <rFont val="Tahoma"/>
            <family val="2"/>
          </rPr>
          <t>0.044  MGD (FIXED) - ARMY MAP NOT PART OF THIS FLOW. FROM YR_HC_RPT D.C. FLOW - LITTLE FALLS BRANCH.
T. RAMOS 5/08/08.</t>
        </r>
      </text>
    </comment>
    <comment ref="L119" authorId="1" shapeId="0" xr:uid="{00000000-0006-0000-0400-000022000000}">
      <text>
        <r>
          <rPr>
            <sz val="8"/>
            <color indexed="81"/>
            <rFont val="Tahoma"/>
            <family val="2"/>
          </rPr>
          <t>0.039 MGD FROM YR_HC_RPT 
D.C. FLOW - ROCK CREEK MAIN INTERCEPTOR. (SUM OF LINES 101D THRU 101G)</t>
        </r>
      </text>
    </comment>
    <comment ref="E120" authorId="1" shapeId="0" xr:uid="{00000000-0006-0000-0400-000023000000}">
      <text>
        <r>
          <rPr>
            <sz val="8"/>
            <color indexed="81"/>
            <rFont val="Tahoma"/>
            <family val="2"/>
          </rPr>
          <t xml:space="preserve">2.465 MGD FROM YR_HC_RPT WSSC FLOW - BEACH DRIVES/ ROCK CREEK. (SUM OF LINES 12 THRU 20)
</t>
        </r>
      </text>
    </comment>
    <comment ref="L121" authorId="1" shapeId="0" xr:uid="{00000000-0006-0000-0400-000024000000}">
      <text>
        <r>
          <rPr>
            <sz val="8"/>
            <color indexed="81"/>
            <rFont val="Tahoma"/>
            <family val="2"/>
          </rPr>
          <t>.028 MGD FROM YR_HC_RPT 
D.C. FLOW - WATTS BRANCH METER.</t>
        </r>
      </text>
    </comment>
    <comment ref="L127" authorId="0" shapeId="0" xr:uid="{00000000-0006-0000-0400-000025000000}">
      <text>
        <r>
          <rPr>
            <sz val="8"/>
            <color indexed="81"/>
            <rFont val="Tahoma"/>
            <family val="2"/>
          </rPr>
          <t xml:space="preserve">YR_HC_RPT$R$78
</t>
        </r>
      </text>
    </comment>
    <comment ref="D164" authorId="2" shapeId="0" xr:uid="{00000000-0006-0000-0400-000026000000}">
      <text>
        <r>
          <rPr>
            <sz val="8"/>
            <color indexed="81"/>
            <rFont val="Tahoma"/>
            <family val="2"/>
          </rPr>
          <t xml:space="preserve">BASED ON ALLOCATED ANNUAL AVERAGE FLOWS TO BLUE PLAINS. ALLOCATED FLOWS CHANGED WHEN BLUE PLAINS CERTIFIED CAPACITY CHANGED FROM 309 MGD to 370 MGD.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DCWASA</author>
    <author>tramos</author>
    <author>EWoldemariam</author>
    <author>Preferred Customer</author>
    <author>Antonio M. Ramos-Izquierdo</author>
  </authors>
  <commentList>
    <comment ref="F2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 IN THE METERED FLOWS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</t>
        </r>
        <r>
          <rPr>
            <b/>
            <sz val="8"/>
            <color indexed="81"/>
            <rFont val="Tahoma"/>
            <family val="2"/>
          </rPr>
          <t>WSSC_ALL</t>
        </r>
        <r>
          <rPr>
            <sz val="8"/>
            <color indexed="81"/>
            <rFont val="Tahoma"/>
            <family val="2"/>
          </rPr>
          <t xml:space="preserve"> SPREADSHEET.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1" shapeId="0" xr:uid="{00000000-0006-0000-0500-00000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317</t>
        </r>
      </text>
    </comment>
    <comment ref="L8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28.956
</t>
        </r>
      </text>
    </comment>
    <comment ref="N8" authorId="1" shapeId="0" xr:uid="{00000000-0006-0000-0500-00000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345.065</t>
        </r>
      </text>
    </comment>
    <comment ref="H9" authorId="2" shapeId="0" xr:uid="{00000000-0006-0000-0500-00000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9" authorId="2" shapeId="0" xr:uid="{00000000-0006-0000-0500-000006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J10" authorId="2" shapeId="0" xr:uid="{00000000-0006-0000-0500-000007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1.332</t>
        </r>
      </text>
    </comment>
    <comment ref="N10" authorId="1" shapeId="0" xr:uid="{00000000-0006-0000-0500-00000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24.332
</t>
        </r>
      </text>
    </comment>
    <comment ref="L11" authorId="1" shapeId="0" xr:uid="{00000000-0006-0000-0500-00000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5.196</t>
        </r>
      </text>
    </comment>
    <comment ref="N11" authorId="1" shapeId="0" xr:uid="{00000000-0006-0000-0500-00000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32.966</t>
        </r>
      </text>
    </comment>
    <comment ref="C18" authorId="1" shapeId="0" xr:uid="{00000000-0006-0000-0500-00000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5/08/08 - ARMY MAP SERVICE LINE CHANGED TO MACARTHUR BLVD. CONN. SINCE ARMY MAP SERVICE  IS BILLED FOR WATER &amp; SEWER BY DCWASA, NO LONGER WILL BE SHOWN IN REPORT. FLOW HAS BEEN DEDUCTED FROM WSSC'S FLOWS SINCE 1987, PER SHARI D.(WSSC).</t>
        </r>
      </text>
    </comment>
    <comment ref="L18" authorId="3" shapeId="0" xr:uid="{00000000-0006-0000-0500-00000C000000}">
      <text>
        <r>
          <rPr>
            <sz val="8"/>
            <color indexed="81"/>
            <rFont val="Tahoma"/>
            <family val="2"/>
          </rPr>
          <t>FROM WATER/METERING/MILITARY ARMY MAP SERVICE.
TOTAL CONSUMPTION FOR THE YEAR (IN GALLONS)/ 125000 GLS PER UNIT = HOUSE COUNT (HC)</t>
        </r>
      </text>
    </comment>
    <comment ref="H22" authorId="1" shapeId="0" xr:uid="{00000000-0006-0000-0500-00000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47</t>
        </r>
      </text>
    </comment>
    <comment ref="J22" authorId="2" shapeId="0" xr:uid="{00000000-0006-0000-0500-00000E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135</t>
        </r>
      </text>
    </comment>
    <comment ref="L22" authorId="1" shapeId="0" xr:uid="{00000000-0006-0000-0500-00000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247.54</t>
        </r>
      </text>
    </comment>
    <comment ref="N22" authorId="1" shapeId="0" xr:uid="{00000000-0006-0000-0500-00001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200.02</t>
        </r>
      </text>
    </comment>
    <comment ref="H23" authorId="2" shapeId="0" xr:uid="{00000000-0006-0000-0500-000011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J23" authorId="2" shapeId="0" xr:uid="{00000000-0006-0000-0500-000012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23" authorId="2" shapeId="0" xr:uid="{00000000-0006-0000-0500-000013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H24" authorId="1" shapeId="0" xr:uid="{00000000-0006-0000-0500-00001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36
</t>
        </r>
      </text>
    </comment>
    <comment ref="N24" authorId="1" shapeId="0" xr:uid="{00000000-0006-0000-0500-000015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37</t>
        </r>
      </text>
    </comment>
    <comment ref="H29" authorId="1" shapeId="0" xr:uid="{00000000-0006-0000-0500-00001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493</t>
        </r>
      </text>
    </comment>
    <comment ref="L29" authorId="1" shapeId="0" xr:uid="{00000000-0006-0000-0500-000017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16.46</t>
        </r>
      </text>
    </comment>
    <comment ref="N29" authorId="1" shapeId="0" xr:uid="{00000000-0006-0000-0500-00001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502.95</t>
        </r>
      </text>
    </comment>
    <comment ref="H45" authorId="2" shapeId="0" xr:uid="{00000000-0006-0000-0500-000019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88</t>
        </r>
      </text>
    </comment>
    <comment ref="L45" authorId="2" shapeId="0" xr:uid="{00000000-0006-0000-0500-00001A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6.38
</t>
        </r>
      </text>
    </comment>
    <comment ref="N45" authorId="1" shapeId="0" xr:uid="{00000000-0006-0000-0500-00001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159.02</t>
        </r>
      </text>
    </comment>
    <comment ref="H46" authorId="2" shapeId="0" xr:uid="{00000000-0006-0000-0500-00001C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348.64</t>
        </r>
      </text>
    </comment>
    <comment ref="L46" authorId="1" shapeId="0" xr:uid="{00000000-0006-0000-0500-00001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20.93</t>
        </r>
      </text>
    </comment>
    <comment ref="N46" authorId="1" shapeId="0" xr:uid="{00000000-0006-0000-0500-00001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792.94</t>
        </r>
      </text>
    </comment>
    <comment ref="H47" authorId="1" shapeId="0" xr:uid="{00000000-0006-0000-0500-00001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479</t>
        </r>
      </text>
    </comment>
    <comment ref="L47" authorId="1" shapeId="0" xr:uid="{00000000-0006-0000-0500-00002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325</t>
        </r>
      </text>
    </comment>
    <comment ref="N47" authorId="1" shapeId="0" xr:uid="{00000000-0006-0000-0500-000021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2380.24</t>
        </r>
      </text>
    </comment>
    <comment ref="J48" authorId="2" shapeId="0" xr:uid="{00000000-0006-0000-0500-000022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286
</t>
        </r>
      </text>
    </comment>
    <comment ref="H49" authorId="2" shapeId="0" xr:uid="{00000000-0006-0000-0500-000023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65</t>
        </r>
      </text>
    </comment>
    <comment ref="L49" authorId="1" shapeId="0" xr:uid="{00000000-0006-0000-0500-00002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1275.41</t>
        </r>
      </text>
    </comment>
    <comment ref="N49" authorId="1" shapeId="0" xr:uid="{00000000-0006-0000-0500-000025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2011.81</t>
        </r>
      </text>
    </comment>
    <comment ref="L50" authorId="2" shapeId="0" xr:uid="{00000000-0006-0000-0500-000026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Was215.36
</t>
        </r>
      </text>
    </comment>
    <comment ref="J51" authorId="2" shapeId="0" xr:uid="{00000000-0006-0000-0500-000027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51" authorId="2" shapeId="0" xr:uid="{00000000-0006-0000-0500-000028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J52" authorId="1" shapeId="0" xr:uid="{00000000-0006-0000-0500-00002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112</t>
        </r>
      </text>
    </comment>
    <comment ref="L52" authorId="1" shapeId="0" xr:uid="{00000000-0006-0000-0500-00002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98.75
</t>
        </r>
      </text>
    </comment>
    <comment ref="N52" authorId="1" shapeId="0" xr:uid="{00000000-0006-0000-0500-00002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324.489</t>
        </r>
      </text>
    </comment>
    <comment ref="J53" authorId="2" shapeId="0" xr:uid="{00000000-0006-0000-0500-00002C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 </t>
        </r>
      </text>
    </comment>
    <comment ref="L53" authorId="2" shapeId="0" xr:uid="{00000000-0006-0000-0500-00002D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60" authorId="1" shapeId="0" xr:uid="{00000000-0006-0000-0500-00002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42.46
</t>
        </r>
      </text>
    </comment>
    <comment ref="N60" authorId="1" shapeId="0" xr:uid="{00000000-0006-0000-0500-00002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160.41</t>
        </r>
      </text>
    </comment>
    <comment ref="L68" authorId="0" shapeId="0" xr:uid="{00000000-0006-0000-0500-000030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1" authorId="0" shapeId="0" xr:uid="{00000000-0006-0000-0500-000031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6" authorId="2" shapeId="0" xr:uid="{00000000-0006-0000-0500-000032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409</t>
        </r>
      </text>
    </comment>
    <comment ref="L86" authorId="1" shapeId="0" xr:uid="{00000000-0006-0000-0500-00003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53.585</t>
        </r>
      </text>
    </comment>
    <comment ref="L89" authorId="1" shapeId="0" xr:uid="{00000000-0006-0000-0500-00003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28.956</t>
        </r>
      </text>
    </comment>
    <comment ref="L90" authorId="2" shapeId="0" xr:uid="{00000000-0006-0000-0500-00003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55.044</t>
        </r>
      </text>
    </comment>
    <comment ref="L93" authorId="1" shapeId="0" xr:uid="{00000000-0006-0000-0500-00003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6.827</t>
        </r>
      </text>
    </comment>
    <comment ref="N93" authorId="1" shapeId="0" xr:uid="{00000000-0006-0000-0500-000037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26.827</t>
        </r>
      </text>
    </comment>
    <comment ref="L94" authorId="1" shapeId="0" xr:uid="{00000000-0006-0000-0500-00003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2.628</t>
        </r>
      </text>
    </comment>
    <comment ref="N94" authorId="1" shapeId="0" xr:uid="{00000000-0006-0000-0500-00003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88.628</t>
        </r>
      </text>
    </comment>
    <comment ref="L95" authorId="1" shapeId="0" xr:uid="{00000000-0006-0000-0500-00003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1.572</t>
        </r>
      </text>
    </comment>
    <comment ref="N95" authorId="1" shapeId="0" xr:uid="{00000000-0006-0000-0500-00003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16.572</t>
        </r>
      </text>
    </comment>
    <comment ref="J97" authorId="1" shapeId="0" xr:uid="{00000000-0006-0000-0500-00003C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36</t>
        </r>
      </text>
    </comment>
    <comment ref="L97" authorId="1" shapeId="0" xr:uid="{00000000-0006-0000-0500-00003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3.3</t>
        </r>
      </text>
    </comment>
    <comment ref="N97" authorId="1" shapeId="0" xr:uid="{00000000-0006-0000-0500-00003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40.3</t>
        </r>
      </text>
    </comment>
    <comment ref="L98" authorId="1" shapeId="0" xr:uid="{00000000-0006-0000-0500-00003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3.12</t>
        </r>
      </text>
    </comment>
    <comment ref="N98" authorId="1" shapeId="0" xr:uid="{00000000-0006-0000-0500-00004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3.12</t>
        </r>
      </text>
    </comment>
    <comment ref="L99" authorId="1" shapeId="0" xr:uid="{00000000-0006-0000-0500-000041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4.2</t>
        </r>
      </text>
    </comment>
    <comment ref="N99" authorId="1" shapeId="0" xr:uid="{00000000-0006-0000-0500-00004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4.2</t>
        </r>
      </text>
    </comment>
    <comment ref="H103" authorId="2" shapeId="0" xr:uid="{00000000-0006-0000-0500-000043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H111" authorId="1" shapeId="0" xr:uid="{00000000-0006-0000-0500-00004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330</t>
        </r>
      </text>
    </comment>
    <comment ref="J111" authorId="2" shapeId="0" xr:uid="{00000000-0006-0000-0500-00004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 Blank</t>
        </r>
      </text>
    </comment>
    <comment ref="L111" authorId="1" shapeId="0" xr:uid="{00000000-0006-0000-0500-00004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5.194</t>
        </r>
      </text>
    </comment>
    <comment ref="N111" authorId="1" shapeId="0" xr:uid="{00000000-0006-0000-0500-000047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330</t>
        </r>
      </text>
    </comment>
    <comment ref="L113" authorId="1" shapeId="0" xr:uid="{00000000-0006-0000-0500-00004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0.132</t>
        </r>
      </text>
    </comment>
    <comment ref="N113" authorId="1" shapeId="0" xr:uid="{00000000-0006-0000-0500-00004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151.524</t>
        </r>
      </text>
    </comment>
    <comment ref="J115" authorId="1" shapeId="0" xr:uid="{00000000-0006-0000-0500-00004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0
</t>
        </r>
      </text>
    </comment>
    <comment ref="L115" authorId="1" shapeId="0" xr:uid="{00000000-0006-0000-0500-00004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6.366</t>
        </r>
      </text>
    </comment>
    <comment ref="N115" authorId="1" shapeId="0" xr:uid="{00000000-0006-0000-0500-00004C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148.96</t>
        </r>
      </text>
    </comment>
    <comment ref="H132" authorId="1" shapeId="0" xr:uid="{00000000-0006-0000-0500-00004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</t>
        </r>
      </text>
    </comment>
    <comment ref="L132" authorId="1" shapeId="0" xr:uid="{00000000-0006-0000-0500-00004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5.832</t>
        </r>
      </text>
    </comment>
    <comment ref="H134" authorId="2" shapeId="0" xr:uid="{00000000-0006-0000-0500-00004F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94</t>
        </r>
      </text>
    </comment>
    <comment ref="J134" authorId="1" shapeId="0" xr:uid="{00000000-0006-0000-0500-00005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50</t>
        </r>
      </text>
    </comment>
    <comment ref="H137" authorId="2" shapeId="0" xr:uid="{00000000-0006-0000-0500-000051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20 6</t>
        </r>
      </text>
    </comment>
    <comment ref="L137" authorId="1" shapeId="0" xr:uid="{00000000-0006-0000-0500-00005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0.504</t>
        </r>
      </text>
    </comment>
    <comment ref="H138" authorId="1" shapeId="0" xr:uid="{00000000-0006-0000-0500-00005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112</t>
        </r>
      </text>
    </comment>
    <comment ref="L138" authorId="1" shapeId="0" xr:uid="{00000000-0006-0000-0500-00005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3.78</t>
        </r>
      </text>
    </comment>
    <comment ref="H139" authorId="2" shapeId="0" xr:uid="{00000000-0006-0000-0500-00005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211</t>
        </r>
      </text>
    </comment>
    <comment ref="L139" authorId="1" shapeId="0" xr:uid="{00000000-0006-0000-0500-00005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51.468</t>
        </r>
      </text>
    </comment>
    <comment ref="R157" authorId="4" shapeId="0" xr:uid="{00000000-0006-0000-0500-000057000000}">
      <text>
        <r>
          <rPr>
            <sz val="8"/>
            <color indexed="81"/>
            <rFont val="Tahoma"/>
            <family val="2"/>
          </rPr>
          <t>= TOTAL WSSC FLOW - 
DC METERED FLOW THRU WSSC. THIS FLOW MINUS (-) DC H.C = NET WSSC FLOW TO B.P.</t>
        </r>
      </text>
    </comment>
    <comment ref="N158" authorId="3" shapeId="0" xr:uid="{00000000-0006-0000-0500-000058000000}">
      <text>
        <r>
          <rPr>
            <sz val="8"/>
            <color indexed="81"/>
            <rFont val="Tahoma"/>
            <family val="2"/>
          </rPr>
          <t xml:space="preserve">INCLUDES ARMY MAP SERVICE LINE N18
</t>
        </r>
      </text>
    </comment>
    <comment ref="N159" authorId="3" shapeId="0" xr:uid="{00000000-0006-0000-0500-000059000000}">
      <text>
        <r>
          <rPr>
            <sz val="8"/>
            <color indexed="81"/>
            <rFont val="Tahoma"/>
            <family val="2"/>
          </rPr>
          <t xml:space="preserve">D.C. H.C. LESS "ARMY MAP SERVICE" EQUIVALENT FROM WATER METERING (VARIES)=FIXED H.C.
</t>
        </r>
      </text>
    </comment>
    <comment ref="R159" authorId="3" shapeId="0" xr:uid="{00000000-0006-0000-0500-00005A000000}">
      <text>
        <r>
          <rPr>
            <sz val="8"/>
            <color indexed="81"/>
            <rFont val="Tahoma"/>
            <family val="2"/>
          </rPr>
          <t xml:space="preserve">FIXED FLOW, DOES NOT INCLUDE "ARMY MAP SERVICE" WATER METERING WHICH VARIES
</t>
        </r>
      </text>
    </comment>
  </commentList>
</comments>
</file>

<file path=xl/sharedStrings.xml><?xml version="1.0" encoding="utf-8"?>
<sst xmlns="http://schemas.openxmlformats.org/spreadsheetml/2006/main" count="25318" uniqueCount="768">
  <si>
    <t>5 YEAR AVERAGE TOTAL JURISDICTIONAL FLOW</t>
  </si>
  <si>
    <t>MAJOR INTERCEPTOR 5 YEAR AVERAGE FLOW</t>
  </si>
  <si>
    <t xml:space="preserve">BLUE PLAINS </t>
  </si>
  <si>
    <t>WSSC</t>
  </si>
  <si>
    <t>FAIRFAX</t>
  </si>
  <si>
    <t>LCSA</t>
  </si>
  <si>
    <t>VIENNA</t>
  </si>
  <si>
    <t>DULLES</t>
  </si>
  <si>
    <t>DC</t>
  </si>
  <si>
    <t>PI</t>
  </si>
  <si>
    <t>AFM</t>
  </si>
  <si>
    <t>OXON RUN</t>
  </si>
  <si>
    <t>ROCK CREEK</t>
  </si>
  <si>
    <t>MD UPI</t>
  </si>
  <si>
    <t xml:space="preserve">CABIN JOHN </t>
  </si>
  <si>
    <t>MUDDY BRANCH</t>
  </si>
  <si>
    <t>MGD</t>
  </si>
  <si>
    <t>MONTHLY FLOW REPORT</t>
  </si>
  <si>
    <t>FLOW CHART</t>
  </si>
  <si>
    <t>Mr. John R. Butcher</t>
  </si>
  <si>
    <t>Cherry Conway Appel</t>
  </si>
  <si>
    <t>Assistant Attorney General</t>
  </si>
  <si>
    <t>Programs and Planning Division</t>
  </si>
  <si>
    <t>5th Floor</t>
  </si>
  <si>
    <t>Suite 610</t>
  </si>
  <si>
    <t>101 North 8th Street</t>
  </si>
  <si>
    <t>9400 Peppercorn Place</t>
  </si>
  <si>
    <t>Richmond, Virginia  23219</t>
  </si>
  <si>
    <t>Largo, Maryland  20774</t>
  </si>
  <si>
    <t>Mr. Kenneth O. Shelton</t>
  </si>
  <si>
    <t>Office of the Corporation Counsel</t>
  </si>
  <si>
    <t>Loudoun County Sanitation Authority</t>
  </si>
  <si>
    <t>Department of Public Works</t>
  </si>
  <si>
    <t>880 Harrison Street, S.E.</t>
  </si>
  <si>
    <t>10th Floor</t>
  </si>
  <si>
    <t>P.O. Box 4000</t>
  </si>
  <si>
    <t>One Judiciary Square</t>
  </si>
  <si>
    <t>Leesburg, Virginia   22075-1403</t>
  </si>
  <si>
    <t>441 - 4th Street, N.W.  20001</t>
  </si>
  <si>
    <t>Mr. R. J. Gozikowski</t>
  </si>
  <si>
    <t>Mr. Cy Jones</t>
  </si>
  <si>
    <t>Bureau of Operations</t>
  </si>
  <si>
    <t>County of Fairfax</t>
  </si>
  <si>
    <t>W.S.S.C.</t>
  </si>
  <si>
    <t>12000 Government Center Parkway</t>
  </si>
  <si>
    <t>14501 Sweitzer Lane</t>
  </si>
  <si>
    <t>Fairfax, Virginia  22035-0050</t>
  </si>
  <si>
    <t>Laurel, Maryland  20707-5903</t>
  </si>
  <si>
    <t>Mr. Ed Jones</t>
  </si>
  <si>
    <t>Mr. Paul Michaels</t>
  </si>
  <si>
    <t>Metro. Washington Airports Authority</t>
  </si>
  <si>
    <t>Washington Dulles International Airport</t>
  </si>
  <si>
    <t>P.O. Box 17045</t>
  </si>
  <si>
    <t>Washington, D.C.  20041-0045</t>
  </si>
  <si>
    <t>Metering Section</t>
  </si>
  <si>
    <t>Mr. Dennis W. King</t>
  </si>
  <si>
    <t>Director of Public Works</t>
  </si>
  <si>
    <t>Town of Vienna</t>
  </si>
  <si>
    <t>6000 Fred's Oak Road</t>
  </si>
  <si>
    <t>127 Center Street</t>
  </si>
  <si>
    <t>Burke, Virginia   22015</t>
  </si>
  <si>
    <t>Vienna, Virginia  22180</t>
  </si>
  <si>
    <t>Mr. David Lake</t>
  </si>
  <si>
    <t>Tanya Spano</t>
  </si>
  <si>
    <t>YR_FLOW_RPT</t>
  </si>
  <si>
    <t>YR_HC_RPT</t>
  </si>
  <si>
    <t>MO_FLOW_RPT</t>
  </si>
  <si>
    <t>MO_RECAP</t>
  </si>
  <si>
    <t>WSSC_ALL</t>
  </si>
  <si>
    <t>Dept. of Environmental Protection</t>
  </si>
  <si>
    <t>Department of Environmental Programs</t>
  </si>
  <si>
    <t>Montgomery County Office Building</t>
  </si>
  <si>
    <t>Council of Governments</t>
  </si>
  <si>
    <t>LINK</t>
  </si>
  <si>
    <t>101 Monroe Street</t>
  </si>
  <si>
    <t>Suite 300</t>
  </si>
  <si>
    <t>Rockville, Maryland  20850</t>
  </si>
  <si>
    <t>777 North Capitol Street, N.E.</t>
  </si>
  <si>
    <t>Washington, D.C.  20002-4201</t>
  </si>
  <si>
    <t>Chairman</t>
  </si>
  <si>
    <t>David Taylor Naval Ship R&amp;D Center</t>
  </si>
  <si>
    <t>Bethesda, Maryland  20034</t>
  </si>
  <si>
    <t>Attention: Code 542</t>
  </si>
  <si>
    <t>IN-HOUSE</t>
  </si>
  <si>
    <t>Pat Davis</t>
  </si>
  <si>
    <t>Executive Director</t>
  </si>
  <si>
    <t>BOTH SHEETS</t>
  </si>
  <si>
    <t>Flow Monitoring Section</t>
  </si>
  <si>
    <t>I.C.P.R.B.</t>
  </si>
  <si>
    <t>E-MAIL</t>
  </si>
  <si>
    <t>6110 Executive Boulevard</t>
  </si>
  <si>
    <t>MICHAEL MARCOTTE</t>
  </si>
  <si>
    <t>AGM</t>
  </si>
  <si>
    <t>Rockville, Maryland  20852-3903</t>
  </si>
  <si>
    <t>LEONARD BENSON</t>
  </si>
  <si>
    <t>DETS</t>
  </si>
  <si>
    <t>Director, Water Protection Division</t>
  </si>
  <si>
    <t>Superintendent</t>
  </si>
  <si>
    <t>ROGER GANS</t>
  </si>
  <si>
    <t>E.P.A.      Region III</t>
  </si>
  <si>
    <t>C&amp;O Canal National Park</t>
  </si>
  <si>
    <t>MOHSIN SIDIQUE</t>
  </si>
  <si>
    <t>841 Chestnut Building</t>
  </si>
  <si>
    <t>P.O. Box 4</t>
  </si>
  <si>
    <t>Philadelphia, Pennsylvania  19107</t>
  </si>
  <si>
    <t>Sharpsburg, Maryland  21782</t>
  </si>
  <si>
    <t>WALTER BAILEY</t>
  </si>
  <si>
    <t>DWT</t>
  </si>
  <si>
    <t>AKLILE TESFAYE</t>
  </si>
  <si>
    <t>Mr. Tom Faha</t>
  </si>
  <si>
    <t>Virginia Dept. of Env. Quality</t>
  </si>
  <si>
    <t>13901 Crown Ct.</t>
  </si>
  <si>
    <t>JEAN WILSON</t>
  </si>
  <si>
    <t>CFO</t>
  </si>
  <si>
    <t>Woodbridge, Virginia  22193-1453</t>
  </si>
  <si>
    <t>DETS/A.R.I.- 8/2002</t>
  </si>
  <si>
    <t>J:\DATA\OES\JURISDICTION FLOWS\SEWER\</t>
  </si>
  <si>
    <t>SOPJUSER\RPT_FLOW_CHRT.XLS</t>
  </si>
  <si>
    <t xml:space="preserve">MONTHLY FLOW REPORTS </t>
  </si>
  <si>
    <t>PAGE 1 OF 2</t>
  </si>
  <si>
    <t>(MO_FLOW_RPT  &amp; MO_RECAP)</t>
  </si>
  <si>
    <t>STANDARD OPERATING PROCEDURE</t>
  </si>
  <si>
    <t>(S.O.P.)</t>
  </si>
  <si>
    <t>NOTE.- THIS  PROCEDURE MUST BE FOLLOWED IN ORDER TO PRESERVE</t>
  </si>
  <si>
    <t>VALUED INFORMATION AND TO ESTABLISH INFORMATIONAL "LINKS"</t>
  </si>
  <si>
    <t>THAT WILL DEVELOP THE REPORTS. THE REPORTS ARE TABS IN THE</t>
  </si>
  <si>
    <r>
      <t xml:space="preserve">WORKBOOK </t>
    </r>
    <r>
      <rPr>
        <b/>
        <sz val="10"/>
        <rFont val="Arial"/>
        <family val="2"/>
      </rPr>
      <t>" __JUSER.XLS"</t>
    </r>
  </si>
  <si>
    <t>DESCRIPTION</t>
  </si>
  <si>
    <t>STEPS</t>
  </si>
  <si>
    <t>1.-</t>
  </si>
  <si>
    <r>
      <t xml:space="preserve">IN </t>
    </r>
    <r>
      <rPr>
        <b/>
        <sz val="10"/>
        <rFont val="Arial"/>
        <family val="2"/>
      </rPr>
      <t>MO_FLOW_RPT TAB</t>
    </r>
    <r>
      <rPr>
        <sz val="10"/>
        <rFont val="Arial"/>
        <family val="2"/>
      </rPr>
      <t xml:space="preserve"> PREPARE TAB FOR RECEIPT OF DATA FROM JURISDICTION TABS</t>
    </r>
  </si>
  <si>
    <t>BY HIDING TOP ROW AND COPYING FORMULAE DOWN TO NEXT LINE.</t>
  </si>
  <si>
    <t>2.-</t>
  </si>
  <si>
    <t xml:space="preserve">COPY FLOW DATA FROM JURISDICTIONAL FLOW SHEETS TO THE </t>
  </si>
  <si>
    <r>
      <t xml:space="preserve">RELEVANT JURISDICTIONAL FLOW TABS SUCH AS </t>
    </r>
    <r>
      <rPr>
        <b/>
        <sz val="10"/>
        <rFont val="Arial"/>
        <family val="2"/>
      </rPr>
      <t xml:space="preserve">WSSC_ALL. </t>
    </r>
  </si>
  <si>
    <t>3.-</t>
  </si>
  <si>
    <r>
      <t xml:space="preserve">CHECK FORMULAE IN </t>
    </r>
    <r>
      <rPr>
        <b/>
        <sz val="10"/>
        <rFont val="Arial"/>
        <family val="2"/>
      </rPr>
      <t>MO_FLOW_RPT</t>
    </r>
    <r>
      <rPr>
        <sz val="10"/>
        <rFont val="Arial"/>
        <family val="2"/>
      </rPr>
      <t xml:space="preserve"> TAB REFERENCE THE RIGHT CELL IN JURISDICTIONAL TABS AND </t>
    </r>
  </si>
  <si>
    <r>
      <t xml:space="preserve">INPUT THE RAINFALL TOTAL FOR THE MONTH FROM </t>
    </r>
    <r>
      <rPr>
        <sz val="10"/>
        <color indexed="12"/>
        <rFont val="Arial"/>
        <family val="2"/>
      </rPr>
      <t xml:space="preserve">http://www.weather.gov/climate/index.php?wfo=lwx </t>
    </r>
  </si>
  <si>
    <t>ALSO INPUT THE MONTHLY EXCESS FLOW, 12 MONTH AVG. EXCESS FLOW AND WATER USAGE VALUES.</t>
  </si>
  <si>
    <t>4.-</t>
  </si>
  <si>
    <r>
      <t xml:space="preserve">AT BOTTOM OF </t>
    </r>
    <r>
      <rPr>
        <b/>
        <sz val="10"/>
        <rFont val="Arial"/>
        <family val="2"/>
      </rPr>
      <t xml:space="preserve">MO_FLOW_RPT </t>
    </r>
    <r>
      <rPr>
        <sz val="10"/>
        <rFont val="Arial"/>
        <family val="2"/>
      </rPr>
      <t xml:space="preserve">TAB UPDATE FORMULAE FOR MIN, MAX AND AVERAGE JURISDICTION </t>
    </r>
  </si>
  <si>
    <t>FLOWS USING FIND AND REPLACE.</t>
  </si>
  <si>
    <t>5.-</t>
  </si>
  <si>
    <r>
      <t xml:space="preserve">IN </t>
    </r>
    <r>
      <rPr>
        <b/>
        <sz val="10"/>
        <rFont val="Arial"/>
        <family val="2"/>
      </rPr>
      <t>MO_RECAP</t>
    </r>
    <r>
      <rPr>
        <sz val="10"/>
        <rFont val="Arial"/>
        <family val="2"/>
      </rPr>
      <t xml:space="preserve"> UPDATE FORMULAE IN WITH LATEST ROW NUMBERS FROM JURISDICTION TABS.</t>
    </r>
  </si>
  <si>
    <t>6.-</t>
  </si>
  <si>
    <r>
      <t xml:space="preserve">IN </t>
    </r>
    <r>
      <rPr>
        <b/>
        <sz val="10"/>
        <rFont val="Arial"/>
        <family val="2"/>
      </rPr>
      <t xml:space="preserve">MO_RECAP </t>
    </r>
    <r>
      <rPr>
        <sz val="10"/>
        <rFont val="Arial"/>
        <family val="2"/>
      </rPr>
      <t xml:space="preserve">TAB ROW 82 UPDATE THE FORMULAE FOR MONTHLY AVG </t>
    </r>
  </si>
  <si>
    <t>DAILY DOWN &amp; MONTHLY AVG PEAK. ALSO MANUALLY INPUT VALUE FOR MONTHLY AVERAGE PEAK RATE.</t>
  </si>
  <si>
    <t>7.-</t>
  </si>
  <si>
    <r>
      <t xml:space="preserve">IN </t>
    </r>
    <r>
      <rPr>
        <b/>
        <sz val="10"/>
        <rFont val="Arial"/>
        <family val="2"/>
      </rPr>
      <t xml:space="preserve">CHART 1 </t>
    </r>
    <r>
      <rPr>
        <sz val="10"/>
        <rFont val="Arial"/>
        <family val="2"/>
      </rPr>
      <t>TAB</t>
    </r>
    <r>
      <rPr>
        <sz val="10"/>
        <rFont val="Arial"/>
        <family val="2"/>
      </rPr>
      <t xml:space="preserve"> UPDATE HEADINGS AND X-AXIS LABELS AND GRAPH VALUES TO REFLECT CURRENT RANGE</t>
    </r>
  </si>
  <si>
    <t>8.-</t>
  </si>
  <si>
    <r>
      <t xml:space="preserve">IN </t>
    </r>
    <r>
      <rPr>
        <b/>
        <sz val="10"/>
        <rFont val="Arial"/>
        <family val="2"/>
      </rPr>
      <t xml:space="preserve">CHART 2 </t>
    </r>
    <r>
      <rPr>
        <sz val="10"/>
        <rFont val="Arial"/>
        <family val="2"/>
      </rPr>
      <t xml:space="preserve">TAB </t>
    </r>
    <r>
      <rPr>
        <sz val="10"/>
        <rFont val="Arial"/>
        <family val="2"/>
      </rPr>
      <t xml:space="preserve">UPDATE HEADINGS AND THE DATA SOURCE TO REFLECT CURRENT INFORMATION. </t>
    </r>
  </si>
  <si>
    <t>ALSO UPDATE THE EXCESS FLOW DATA VALUE AT THE BOTTOM OF THE CHART.</t>
  </si>
  <si>
    <t xml:space="preserve">ADDITIONAL INFORMATION REQUIRED FOR INTERNAL USE. </t>
  </si>
  <si>
    <r>
      <t xml:space="preserve">IN </t>
    </r>
    <r>
      <rPr>
        <sz val="10"/>
        <rFont val="Arial"/>
        <family val="2"/>
      </rPr>
      <t>SPREADSHEET</t>
    </r>
    <r>
      <rPr>
        <b/>
        <sz val="10"/>
        <rFont val="Arial"/>
        <family val="2"/>
      </rPr>
      <t xml:space="preserve"> ALLFLOWS </t>
    </r>
    <r>
      <rPr>
        <sz val="10"/>
        <rFont val="Arial"/>
        <family val="2"/>
      </rPr>
      <t>AND TAB</t>
    </r>
    <r>
      <rPr>
        <b/>
        <sz val="10"/>
        <rFont val="Arial"/>
        <family val="2"/>
      </rPr>
      <t xml:space="preserve"> ALLFLOWS </t>
    </r>
    <r>
      <rPr>
        <sz val="10"/>
        <rFont val="Arial"/>
        <family val="2"/>
      </rPr>
      <t>ADD A NEW LINE FOR CURRENT MONTH AND</t>
    </r>
    <r>
      <rPr>
        <b/>
        <sz val="10"/>
        <rFont val="Arial"/>
        <family val="2"/>
      </rPr>
      <t xml:space="preserve"> </t>
    </r>
  </si>
  <si>
    <t xml:space="preserve">UPDATE THE PUMP FLOW DATA AND FORMULAE. </t>
  </si>
  <si>
    <r>
      <t xml:space="preserve">IN </t>
    </r>
    <r>
      <rPr>
        <sz val="10"/>
        <rFont val="Arial"/>
        <family val="2"/>
      </rPr>
      <t>SPREADSHEET</t>
    </r>
    <r>
      <rPr>
        <b/>
        <sz val="10"/>
        <rFont val="Arial"/>
        <family val="2"/>
      </rPr>
      <t xml:space="preserve"> ALLFLOWS </t>
    </r>
    <r>
      <rPr>
        <sz val="10"/>
        <rFont val="Arial"/>
        <family val="2"/>
      </rPr>
      <t>AND TAB</t>
    </r>
    <r>
      <rPr>
        <b/>
        <sz val="10"/>
        <rFont val="Arial"/>
        <family val="2"/>
      </rPr>
      <t xml:space="preserve"> FLOWCHECK </t>
    </r>
    <r>
      <rPr>
        <sz val="10"/>
        <rFont val="Arial"/>
        <family val="2"/>
      </rPr>
      <t>INSERT A NEW LINE AND UPDATE</t>
    </r>
  </si>
  <si>
    <t xml:space="preserve">TO REFLECT THE LATEST INFORMATION. </t>
  </si>
  <si>
    <r>
      <t xml:space="preserve">IN SPREADSHEET </t>
    </r>
    <r>
      <rPr>
        <b/>
        <sz val="10"/>
        <rFont val="Arial"/>
        <family val="2"/>
      </rPr>
      <t xml:space="preserve">BP-DC-FAIRLAND </t>
    </r>
    <r>
      <rPr>
        <sz val="10"/>
        <rFont val="Arial"/>
        <family val="2"/>
      </rPr>
      <t xml:space="preserve">SPREADSHEET ENTER THE GW ELEV AND RAINFALL DATA </t>
    </r>
  </si>
  <si>
    <r>
      <t xml:space="preserve">IN SPREADSHEET </t>
    </r>
    <r>
      <rPr>
        <b/>
        <sz val="10"/>
        <rFont val="Arial"/>
        <family val="2"/>
      </rPr>
      <t xml:space="preserve">BP-DC-FAIRLAND </t>
    </r>
    <r>
      <rPr>
        <sz val="10"/>
        <rFont val="Arial"/>
        <family val="2"/>
      </rPr>
      <t>SPREADSHEET  UPDATE CHART WITH LATEST DATA.</t>
    </r>
  </si>
  <si>
    <r>
      <t xml:space="preserve">  THE </t>
    </r>
    <r>
      <rPr>
        <b/>
        <sz val="10"/>
        <rFont val="Arial"/>
        <family val="2"/>
      </rPr>
      <t>"MO_FLOW_RPT"</t>
    </r>
    <r>
      <rPr>
        <sz val="10"/>
        <rFont val="Arial"/>
        <family val="2"/>
      </rPr>
      <t xml:space="preserve"> IS NOW SET UP TO RECEIVE THE PERTINENT INFORMATION </t>
    </r>
  </si>
  <si>
    <t xml:space="preserve">THAT WILL BE ENTERED IN EACH OF THE JURISDICTIONS TABS-SPREADSHEETS. </t>
  </si>
  <si>
    <r>
      <t xml:space="preserve">THE JURISDICTIONS SPREADSHEETS ARE LINKED(CELLS) TO THE </t>
    </r>
    <r>
      <rPr>
        <b/>
        <sz val="10"/>
        <rFont val="Arial"/>
        <family val="2"/>
      </rPr>
      <t>"MO_FLOW_RPT"</t>
    </r>
    <r>
      <rPr>
        <sz val="10"/>
        <rFont val="Arial"/>
        <family val="2"/>
      </rPr>
      <t>.</t>
    </r>
  </si>
  <si>
    <t>DETS / A.R.I. - 8/08/02</t>
  </si>
  <si>
    <t>ANNUAL SEWER SERVICE BILLING - FISCAL YEAR 2009</t>
  </si>
  <si>
    <t>OCTOBER 1, 2008 THRU SEPTEMBER 30, 2009</t>
  </si>
  <si>
    <t xml:space="preserve">FINAL FLOWS (ANN. AVG. FLOWS THRU SEPTEMBER) -PREP. 10/22/2009- </t>
  </si>
  <si>
    <t>LINE</t>
  </si>
  <si>
    <t xml:space="preserve">      FLOWS IN M.G.D.</t>
  </si>
  <si>
    <t>%</t>
  </si>
  <si>
    <t xml:space="preserve"> OF USE BY</t>
  </si>
  <si>
    <t>TOTAL</t>
  </si>
  <si>
    <t>ANN. AVG.</t>
  </si>
  <si>
    <t>SEGMENT</t>
  </si>
  <si>
    <t>NO.</t>
  </si>
  <si>
    <t>JOB NO.</t>
  </si>
  <si>
    <t>FACILITY</t>
  </si>
  <si>
    <t>LOUDOUN</t>
  </si>
  <si>
    <t>PARKS</t>
  </si>
  <si>
    <t>NAVY</t>
  </si>
  <si>
    <t>D.C.</t>
  </si>
  <si>
    <t>EXPENDITURES</t>
  </si>
  <si>
    <t>CAPACITY</t>
  </si>
  <si>
    <t>|</t>
  </si>
  <si>
    <t>POTOMAC INTERCEPTOR SEWER</t>
  </si>
  <si>
    <t>R4173</t>
  </si>
  <si>
    <t>Horsepen Run to the D.C. Line</t>
  </si>
  <si>
    <t>LITTLE FALLS TRUNK SEWER</t>
  </si>
  <si>
    <t>R4001</t>
  </si>
  <si>
    <t xml:space="preserve">     </t>
  </si>
  <si>
    <t>UPPER POTOMAC INTERCEPTOR SEWER</t>
  </si>
  <si>
    <t>A-B</t>
  </si>
  <si>
    <t>D.C. Line to Newark Street</t>
  </si>
  <si>
    <t>R4002</t>
  </si>
  <si>
    <t xml:space="preserve">     Original Sewer - WSSC &gt;28.2 MGD</t>
  </si>
  <si>
    <t>R4006</t>
  </si>
  <si>
    <t xml:space="preserve">     Relief Sewer</t>
  </si>
  <si>
    <t>B-C</t>
  </si>
  <si>
    <t>Newark Street to Chain Bridge</t>
  </si>
  <si>
    <t xml:space="preserve"> </t>
  </si>
  <si>
    <t>R4003</t>
  </si>
  <si>
    <t xml:space="preserve">     Original Sewer - WSSC &gt;33.9 MGD</t>
  </si>
  <si>
    <t>R4007</t>
  </si>
  <si>
    <t xml:space="preserve">     Relief Sewer &lt; 33.9 MGD</t>
  </si>
  <si>
    <t>@C</t>
  </si>
  <si>
    <t>Chain Bridge</t>
  </si>
  <si>
    <t>R4067</t>
  </si>
  <si>
    <t xml:space="preserve">     Chain Bridge Meter &amp; Conn.</t>
  </si>
  <si>
    <t>C-D</t>
  </si>
  <si>
    <t>Chain Bridge to Glover Archibold</t>
  </si>
  <si>
    <t>R4004</t>
  </si>
  <si>
    <t>R4008</t>
  </si>
  <si>
    <t>D-E</t>
  </si>
  <si>
    <t>Glover Archibold to 27th &amp; K Sts.</t>
  </si>
  <si>
    <t>R4005</t>
  </si>
  <si>
    <t>R4009</t>
  </si>
  <si>
    <t>ROCK CREEK MAIN INTERCEPTOR</t>
  </si>
  <si>
    <t>G-H'</t>
  </si>
  <si>
    <t>D.C. Line to East Beach Dr.</t>
  </si>
  <si>
    <t>R4010</t>
  </si>
  <si>
    <t xml:space="preserve">     Original Sewer</t>
  </si>
  <si>
    <t>H'-H</t>
  </si>
  <si>
    <t>East Beach Dr. to Pinehurst Stream</t>
  </si>
  <si>
    <t>R4011</t>
  </si>
  <si>
    <t>G-H</t>
  </si>
  <si>
    <t>D.C. Line to Pinehurst Stream</t>
  </si>
  <si>
    <t>R4022</t>
  </si>
  <si>
    <t>H-I</t>
  </si>
  <si>
    <t>R4012</t>
  </si>
  <si>
    <t>Pinehurst Stream to Military Road</t>
  </si>
  <si>
    <t>I-J</t>
  </si>
  <si>
    <t>Military Road to 1200' South</t>
  </si>
  <si>
    <t>R4013</t>
  </si>
  <si>
    <t>R4023</t>
  </si>
  <si>
    <t>J-K</t>
  </si>
  <si>
    <t>R4014</t>
  </si>
  <si>
    <t>1200' South of Military to Broad Br</t>
  </si>
  <si>
    <t>K-L</t>
  </si>
  <si>
    <t>Broad Branch Rd. to Klingle Rd.</t>
  </si>
  <si>
    <t>R4015</t>
  </si>
  <si>
    <t>R4024</t>
  </si>
  <si>
    <t>L-M</t>
  </si>
  <si>
    <t>R4016</t>
  </si>
  <si>
    <t>Klingle Rd. to South End of Zoo</t>
  </si>
  <si>
    <t>M-N</t>
  </si>
  <si>
    <t xml:space="preserve">South End of Zoo to Normanstone </t>
  </si>
  <si>
    <t>R4017</t>
  </si>
  <si>
    <t>R4025</t>
  </si>
  <si>
    <t>N-O</t>
  </si>
  <si>
    <t>Normanstone Terr. to Montrose Park</t>
  </si>
  <si>
    <t>R4018</t>
  </si>
  <si>
    <t>R4026</t>
  </si>
  <si>
    <t>O-P</t>
  </si>
  <si>
    <t>Montrose Park to "P" Street</t>
  </si>
  <si>
    <t>R4019</t>
  </si>
  <si>
    <t>R4027</t>
  </si>
  <si>
    <t>P-E</t>
  </si>
  <si>
    <t>R4020</t>
  </si>
  <si>
    <t>P Street to 27th &amp; K Sts.</t>
  </si>
  <si>
    <t>E-Q</t>
  </si>
  <si>
    <t>27th &amp; K Sts. to Potomac Pump. Sta.</t>
  </si>
  <si>
    <t>R4021</t>
  </si>
  <si>
    <t>R4028</t>
  </si>
  <si>
    <t>POTOMAC RIVER FORCEMAINS</t>
  </si>
  <si>
    <t>Q-X</t>
  </si>
  <si>
    <t>R4029</t>
  </si>
  <si>
    <t>Potomac Pump. Sta. to Naval Air Sta.</t>
  </si>
  <si>
    <t>WATTS BRANCH TRUNK SEWER</t>
  </si>
  <si>
    <t>R4030</t>
  </si>
  <si>
    <t>56th &amp; Dix Sts. to Upper Anacostia  SPS</t>
  </si>
  <si>
    <t>ANACOSTIA MAIN INTERCEPTOR</t>
  </si>
  <si>
    <t>R-S</t>
  </si>
  <si>
    <t>R4031</t>
  </si>
  <si>
    <t xml:space="preserve">Upper Anac. Sta. to Poplar Point </t>
  </si>
  <si>
    <t xml:space="preserve">    </t>
  </si>
  <si>
    <t>ANACOSTIA FORCEMAIN (PROJECT 89)</t>
  </si>
  <si>
    <t>T-U</t>
  </si>
  <si>
    <t>R4034</t>
  </si>
  <si>
    <t>WSSC SPS #2 to Eastside Connection</t>
  </si>
  <si>
    <t>U-V</t>
  </si>
  <si>
    <t>R4035</t>
  </si>
  <si>
    <t>Eastside Connection to Barry Road Screens</t>
  </si>
  <si>
    <t>ANACOSTIA FORCEMAIN &amp; GRAVITY SEWER</t>
  </si>
  <si>
    <t>R4032</t>
  </si>
  <si>
    <t>R4033</t>
  </si>
  <si>
    <t>OUTFALL SEWERS</t>
  </si>
  <si>
    <t>S-V</t>
  </si>
  <si>
    <t>R4036</t>
  </si>
  <si>
    <t>Poplar Pt. Sta. to Barry Rd. Screen</t>
  </si>
  <si>
    <t>V-X</t>
  </si>
  <si>
    <t>R4039</t>
  </si>
  <si>
    <t>Barry Rd. Screen to Naval Air Sta.</t>
  </si>
  <si>
    <t>X-W</t>
  </si>
  <si>
    <t>R4040</t>
  </si>
  <si>
    <t>Naval Air Sta. to Bolling AFB</t>
  </si>
  <si>
    <t>V-W</t>
  </si>
  <si>
    <t>R4037</t>
  </si>
  <si>
    <t>Barry Rd. Screen to Bolling AFB</t>
  </si>
  <si>
    <t>W-Z</t>
  </si>
  <si>
    <t>Bolling AFB to Blue Plains WWTP</t>
  </si>
  <si>
    <t>R4038</t>
  </si>
  <si>
    <t>R4041</t>
  </si>
  <si>
    <t>OXON RUN INTERCEPTOR</t>
  </si>
  <si>
    <t>*-Y</t>
  </si>
  <si>
    <t>Southern &amp; Miss. Aves. to 1st &amp; Joliet Sts.</t>
  </si>
  <si>
    <t>R4042</t>
  </si>
  <si>
    <t>Southern &amp; Barnaby to 1st &amp; Joliet</t>
  </si>
  <si>
    <t>R4044</t>
  </si>
  <si>
    <t>Y-Z</t>
  </si>
  <si>
    <t>1st &amp; Joliet to Blue Plains WWTP</t>
  </si>
  <si>
    <t>R4043</t>
  </si>
  <si>
    <t>R4045</t>
  </si>
  <si>
    <t>SEWAGE METERS</t>
  </si>
  <si>
    <t xml:space="preserve">  </t>
  </si>
  <si>
    <t>R4053</t>
  </si>
  <si>
    <t>Upper Potomac Interceptor</t>
  </si>
  <si>
    <t>F-B</t>
  </si>
  <si>
    <t>R4054</t>
  </si>
  <si>
    <t>Little Falls Trunk Sewer</t>
  </si>
  <si>
    <t>R4055</t>
  </si>
  <si>
    <t>Rock Creek Main Interceptor</t>
  </si>
  <si>
    <t>R4056</t>
  </si>
  <si>
    <t>East Beach Drive</t>
  </si>
  <si>
    <t>R4059</t>
  </si>
  <si>
    <t>Watts Branch - 56th &amp; Dix Sts., N.E.</t>
  </si>
  <si>
    <t>R4061</t>
  </si>
  <si>
    <t>Oxon Run Trunk Sewer</t>
  </si>
  <si>
    <t>R4062</t>
  </si>
  <si>
    <t>8th Street, S.E. S. of Chesapeake St.</t>
  </si>
  <si>
    <t>R4063</t>
  </si>
  <si>
    <t>Owens Road &amp; Southern Ave., S.E.</t>
  </si>
  <si>
    <t>R4064</t>
  </si>
  <si>
    <t>Indian Head Hwy. &amp; Audrey Lane</t>
  </si>
  <si>
    <t>R4171</t>
  </si>
  <si>
    <t>Poplar Point Pumping Station</t>
  </si>
  <si>
    <t>R4058</t>
  </si>
  <si>
    <t>WSSC's Anacostia Pumping Station No.2</t>
  </si>
  <si>
    <t>R4057</t>
  </si>
  <si>
    <t>Valley Drive/Kennedy Street, N.E.</t>
  </si>
  <si>
    <t>R4060</t>
  </si>
  <si>
    <t>Belt Road/Fort Dupont Street, S.E.</t>
  </si>
  <si>
    <t>R4065</t>
  </si>
  <si>
    <t>30th Street &amp; Suitland Parkway, S.E.</t>
  </si>
  <si>
    <t>R4066</t>
  </si>
  <si>
    <t>WASA (BLUE PLAINS COB)</t>
  </si>
  <si>
    <t>@Q</t>
  </si>
  <si>
    <t>POTOMAC SEWAGE PUMPING STATION</t>
  </si>
  <si>
    <t>R4048</t>
  </si>
  <si>
    <t>GENERAL 0&amp;M</t>
  </si>
  <si>
    <t>WATER</t>
  </si>
  <si>
    <t>@S</t>
  </si>
  <si>
    <t>POPLAR POINT PUMPING STATION</t>
  </si>
  <si>
    <t>R4049</t>
  </si>
  <si>
    <t>@R</t>
  </si>
  <si>
    <t>UPPER ANACOSTIA PUMPING STATION</t>
  </si>
  <si>
    <t>R4047</t>
  </si>
  <si>
    <t>GENERAL O&amp;M</t>
  </si>
  <si>
    <t>@E</t>
  </si>
  <si>
    <t>ROCK CREEK PUMPING STATION</t>
  </si>
  <si>
    <t>R4050</t>
  </si>
  <si>
    <t>@V</t>
  </si>
  <si>
    <t>BARRY ROAD SCREENS CHAMBER</t>
  </si>
  <si>
    <t>R4051</t>
  </si>
  <si>
    <t>@W</t>
  </si>
  <si>
    <t>BOLLING AFB OVERFLOW CHAMBER</t>
  </si>
  <si>
    <t>R4052</t>
  </si>
  <si>
    <t>@Z</t>
  </si>
  <si>
    <t>BLUE PLAINS WWTP</t>
  </si>
  <si>
    <t>SLUDGE</t>
  </si>
  <si>
    <t>EXCESS FLOW (D.C. 1/8 OF COST PER MGD)</t>
  </si>
  <si>
    <t>INDIRECT @ 9.92%</t>
  </si>
  <si>
    <t>R3021</t>
  </si>
  <si>
    <t>SITE 2 SLUDGE COSTS</t>
  </si>
  <si>
    <t>TOTAL O&amp;M COSTS</t>
  </si>
  <si>
    <t>USER FEES</t>
  </si>
  <si>
    <t>TRANSMISSION RENTALS</t>
  </si>
  <si>
    <t>TREATMENT RENTALS</t>
  </si>
  <si>
    <t>GRAND TOTALS</t>
  </si>
  <si>
    <t>BLUE PLAINS/SITE 2 ONLY</t>
  </si>
  <si>
    <t>F.Y.</t>
  </si>
  <si>
    <t>SEWAGE PUMPING STATIONS</t>
  </si>
  <si>
    <t>FLOW-MG</t>
  </si>
  <si>
    <t>MAIN</t>
  </si>
  <si>
    <t>"O" STREET</t>
  </si>
  <si>
    <t>POTOMAC</t>
  </si>
  <si>
    <t>POPLAR POINT</t>
  </si>
  <si>
    <t>EASTSIDE</t>
  </si>
  <si>
    <t>UPPER ANACOSTIA</t>
  </si>
  <si>
    <t>DC-WSSC ANACOSTIA</t>
  </si>
  <si>
    <t xml:space="preserve">OXON RUN </t>
  </si>
  <si>
    <t>SUMMARY OF SEWAGE FLOWS - FISCAL YEAR 2007 - ANN. AVG. AS OF SEPTEMBER 2007</t>
  </si>
  <si>
    <t>PREPARED BY  T. RAMOS</t>
  </si>
  <si>
    <t>METERED</t>
  </si>
  <si>
    <t>SEWAGE</t>
  </si>
  <si>
    <t>ANNUAL</t>
  </si>
  <si>
    <t>FLOW</t>
  </si>
  <si>
    <t>UNITS</t>
  </si>
  <si>
    <t>AVG. FLOW</t>
  </si>
  <si>
    <t>MINIBAS</t>
  </si>
  <si>
    <t>MARYLAND SEWER</t>
  </si>
  <si>
    <t>D.C. SEWER</t>
  </si>
  <si>
    <t>1000 GALS.</t>
  </si>
  <si>
    <t>DWELLINGS</t>
  </si>
  <si>
    <t>APTS.</t>
  </si>
  <si>
    <t>COMM.</t>
  </si>
  <si>
    <t>-----</t>
  </si>
  <si>
    <t>---</t>
  </si>
  <si>
    <t>-------------------------</t>
  </si>
  <si>
    <t>-------------</t>
  </si>
  <si>
    <t>-----------</t>
  </si>
  <si>
    <t>---------</t>
  </si>
  <si>
    <t>---------------</t>
  </si>
  <si>
    <t>--</t>
  </si>
  <si>
    <t>1</t>
  </si>
  <si>
    <t>POTOMAC METER</t>
  </si>
  <si>
    <t>UPPER POTOMAC INT.</t>
  </si>
  <si>
    <t>2</t>
  </si>
  <si>
    <t>12009</t>
  </si>
  <si>
    <t>LITTLE FALL BRANCH</t>
  </si>
  <si>
    <t>LITTLE FALLS BRANCH</t>
  </si>
  <si>
    <t>3</t>
  </si>
  <si>
    <t>12997</t>
  </si>
  <si>
    <t>BAYARD PLACE</t>
  </si>
  <si>
    <t>S. OF CHESAPEAKE ST.</t>
  </si>
  <si>
    <t>4</t>
  </si>
  <si>
    <t>ALLEN PLACE</t>
  </si>
  <si>
    <t>CHESAPEAKE STREET</t>
  </si>
  <si>
    <t>12999</t>
  </si>
  <si>
    <t>ARMY MAP SERVICE</t>
  </si>
  <si>
    <t>WSSC FLOW - LITTLE FALLS BRANCH</t>
  </si>
  <si>
    <t>303</t>
  </si>
  <si>
    <t>TAIT COURT</t>
  </si>
  <si>
    <t>48TH STREET</t>
  </si>
  <si>
    <t>302</t>
  </si>
  <si>
    <t>RIVER ROAD</t>
  </si>
  <si>
    <t>301</t>
  </si>
  <si>
    <t>CORTLAND ROAD</t>
  </si>
  <si>
    <t>45TH STREET</t>
  </si>
  <si>
    <t>MAC ARTHUR BLVD. CONN.</t>
  </si>
  <si>
    <t>D.C. FLOW - LITTLE FALLS BRANCH</t>
  </si>
  <si>
    <t>5</t>
  </si>
  <si>
    <t>05999</t>
  </si>
  <si>
    <t>IRVING STREET</t>
  </si>
  <si>
    <t>S. OF RITTENHOUSE ST.</t>
  </si>
  <si>
    <t>6</t>
  </si>
  <si>
    <t>KIRKE STREET</t>
  </si>
  <si>
    <t>S. OF RUNNYMEADE ST.</t>
  </si>
  <si>
    <t>7</t>
  </si>
  <si>
    <t>MELROSE STREET</t>
  </si>
  <si>
    <t>NEVADA AVENUE</t>
  </si>
  <si>
    <t>DIRECT CONNECTIONS</t>
  </si>
  <si>
    <t>WSSC FLOW - BROAD BRANCH/ROCK CREEK</t>
  </si>
  <si>
    <t>8</t>
  </si>
  <si>
    <t>05997</t>
  </si>
  <si>
    <t>PINEHURST CIRCLE</t>
  </si>
  <si>
    <t>PINEHURST RUN</t>
  </si>
  <si>
    <t>9</t>
  </si>
  <si>
    <t>05996</t>
  </si>
  <si>
    <t>TURNER'S LANE</t>
  </si>
  <si>
    <t>BEECH STREET</t>
  </si>
  <si>
    <t>10</t>
  </si>
  <si>
    <t>05995</t>
  </si>
  <si>
    <t>WINNETT ROAD</t>
  </si>
  <si>
    <t>CHESTNUT STREET</t>
  </si>
  <si>
    <t>WSSC FLOW - PINEHURST RUN/ROCK CREEK</t>
  </si>
  <si>
    <t>101D</t>
  </si>
  <si>
    <t>PINEHURST PARKWAY</t>
  </si>
  <si>
    <t>101E</t>
  </si>
  <si>
    <t>GREENVALE STREET</t>
  </si>
  <si>
    <t>101F</t>
  </si>
  <si>
    <t>WYNDALE ROAD</t>
  </si>
  <si>
    <t>N. OF 32ND STREET</t>
  </si>
  <si>
    <t>101G</t>
  </si>
  <si>
    <t>DANIEL ROAD</t>
  </si>
  <si>
    <t>OREGON AVENUE</t>
  </si>
  <si>
    <t>D.C FLOW - ROCK CREEK MAIN INTERCEPTOR</t>
  </si>
  <si>
    <t>11</t>
  </si>
  <si>
    <t>ROCK CREEK MAIN INT.</t>
  </si>
  <si>
    <t>12</t>
  </si>
  <si>
    <t>05994</t>
  </si>
  <si>
    <t>GRUBB ROAD</t>
  </si>
  <si>
    <t>13</t>
  </si>
  <si>
    <t>05993</t>
  </si>
  <si>
    <t>ROSEMARY HILLS</t>
  </si>
  <si>
    <t>E. BEACH DRIVE</t>
  </si>
  <si>
    <t>14</t>
  </si>
  <si>
    <t>05992</t>
  </si>
  <si>
    <t>COLUMBIA BLVD.</t>
  </si>
  <si>
    <t>W. BEACH DRIVE</t>
  </si>
  <si>
    <t>15</t>
  </si>
  <si>
    <t>05991</t>
  </si>
  <si>
    <t>16TH STREET</t>
  </si>
  <si>
    <t>NORTH PORTAL DRIVE</t>
  </si>
  <si>
    <t>16</t>
  </si>
  <si>
    <t>05990</t>
  </si>
  <si>
    <t>COLESVILLE ROAD</t>
  </si>
  <si>
    <t>SOUTH PORTAL DRIVE</t>
  </si>
  <si>
    <t>17</t>
  </si>
  <si>
    <t>05989</t>
  </si>
  <si>
    <t>BLAIR MILL ROAD</t>
  </si>
  <si>
    <t>NORTHGATE ROAD</t>
  </si>
  <si>
    <t>18</t>
  </si>
  <si>
    <t>NEWELL STREET</t>
  </si>
  <si>
    <t>14TH STREET</t>
  </si>
  <si>
    <t>19</t>
  </si>
  <si>
    <t>05988</t>
  </si>
  <si>
    <t>13TH STREET</t>
  </si>
  <si>
    <t>20</t>
  </si>
  <si>
    <t>05987</t>
  </si>
  <si>
    <t>WEST OF BLAIR ROAD</t>
  </si>
  <si>
    <t>HEMLOCK STREET</t>
  </si>
  <si>
    <t>WEST BEACH DRIVE METER</t>
  </si>
  <si>
    <t>WSSC FLOW - BEACH DRIVES/ROCK CREEK</t>
  </si>
  <si>
    <t>D.C. FLOW - WEST BEACH DRIVE METER</t>
  </si>
  <si>
    <t>21</t>
  </si>
  <si>
    <t>BLAIR ROAD</t>
  </si>
  <si>
    <t>22</t>
  </si>
  <si>
    <t>CARROLL AVENUE</t>
  </si>
  <si>
    <t>CARROLL ROAD</t>
  </si>
  <si>
    <t>WSSC FLOW - PINEY BRANCH</t>
  </si>
  <si>
    <t>612</t>
  </si>
  <si>
    <t>WEST OF CEDAR AVENUE</t>
  </si>
  <si>
    <t>611</t>
  </si>
  <si>
    <t>WALNUT STREET</t>
  </si>
  <si>
    <t>610</t>
  </si>
  <si>
    <t>3RD STREET</t>
  </si>
  <si>
    <t>KANSAS AVENUE</t>
  </si>
  <si>
    <t>609</t>
  </si>
  <si>
    <t>CHILLUM ROAD</t>
  </si>
  <si>
    <t>608</t>
  </si>
  <si>
    <t>EAST OF CHILLUM ROAD</t>
  </si>
  <si>
    <t>QUACKENBOS STREET</t>
  </si>
  <si>
    <t>607</t>
  </si>
  <si>
    <t>VALLEY DRIVE</t>
  </si>
  <si>
    <t>KENNEDY STREET</t>
  </si>
  <si>
    <t xml:space="preserve"> ---</t>
  </si>
  <si>
    <t>606</t>
  </si>
  <si>
    <t>GALLATIN STREET</t>
  </si>
  <si>
    <t>605</t>
  </si>
  <si>
    <t>ARUNDEL ROAD</t>
  </si>
  <si>
    <t>22ND STREET</t>
  </si>
  <si>
    <t>604</t>
  </si>
  <si>
    <t>37TH AVENUE</t>
  </si>
  <si>
    <t>WEST OF B&amp;O RAILROAD</t>
  </si>
  <si>
    <t>603</t>
  </si>
  <si>
    <t>34TH STREET</t>
  </si>
  <si>
    <t>MONROE STREET</t>
  </si>
  <si>
    <t>D.C FLOW - ANACOSTIA FORCEMAIN</t>
  </si>
  <si>
    <t>25</t>
  </si>
  <si>
    <t>ANACOSTIA METER</t>
  </si>
  <si>
    <t>KENILWORTH AVENUE</t>
  </si>
  <si>
    <t>26</t>
  </si>
  <si>
    <t>18971</t>
  </si>
  <si>
    <t>ADDISON CHAPEL ROAD</t>
  </si>
  <si>
    <t>MINNESOTA AVENUE</t>
  </si>
  <si>
    <t>27</t>
  </si>
  <si>
    <t>48TH PLACE</t>
  </si>
  <si>
    <t>N. OF QUARLES STREET</t>
  </si>
  <si>
    <t>28</t>
  </si>
  <si>
    <t>QUARLES STREET</t>
  </si>
  <si>
    <t>29</t>
  </si>
  <si>
    <t>50TH PLACE</t>
  </si>
  <si>
    <t>WEST OF NASH STREET</t>
  </si>
  <si>
    <t>30</t>
  </si>
  <si>
    <t>NYE STREET</t>
  </si>
  <si>
    <t>NASH STREET</t>
  </si>
  <si>
    <t>31</t>
  </si>
  <si>
    <t>MANN STREET</t>
  </si>
  <si>
    <t>MEADE STREET</t>
  </si>
  <si>
    <t>RIGGS RD.</t>
  </si>
  <si>
    <t>NEW HAMPSHIRE</t>
  </si>
  <si>
    <t>WSSC FLOW - ANACOSTIA MAIN INT.</t>
  </si>
  <si>
    <t>32</t>
  </si>
  <si>
    <t>18972</t>
  </si>
  <si>
    <t>PRINCETON STREET</t>
  </si>
  <si>
    <t>WEST OF 58TH STREET</t>
  </si>
  <si>
    <t>33</t>
  </si>
  <si>
    <t>18973</t>
  </si>
  <si>
    <t>WHITE AVENUE</t>
  </si>
  <si>
    <t>EAST OF 58TH STREET</t>
  </si>
  <si>
    <t>34</t>
  </si>
  <si>
    <t>18974</t>
  </si>
  <si>
    <t>CHAPEL ROAD</t>
  </si>
  <si>
    <t>EAST OF 60TH STREET</t>
  </si>
  <si>
    <t>35</t>
  </si>
  <si>
    <t>18975</t>
  </si>
  <si>
    <t>GREGORY HEIGHTS</t>
  </si>
  <si>
    <t>EAST OF 61ST STREET</t>
  </si>
  <si>
    <t>36</t>
  </si>
  <si>
    <t>18976</t>
  </si>
  <si>
    <t>62ND PLACE</t>
  </si>
  <si>
    <t>WEST OF DIX STREET</t>
  </si>
  <si>
    <t>37</t>
  </si>
  <si>
    <t>18977</t>
  </si>
  <si>
    <t>GEORGE PALMER HIGHWAY</t>
  </si>
  <si>
    <t>DIX STREET</t>
  </si>
  <si>
    <t>38</t>
  </si>
  <si>
    <t>18978</t>
  </si>
  <si>
    <t>EAST OF DIX STREET</t>
  </si>
  <si>
    <t>39</t>
  </si>
  <si>
    <t>18979</t>
  </si>
  <si>
    <t>EASTERN &amp; SOUTHERN AVES.</t>
  </si>
  <si>
    <t>SOUTHERN AVENUE</t>
  </si>
  <si>
    <t>40</t>
  </si>
  <si>
    <t>WATTS BR. - P.G. METER</t>
  </si>
  <si>
    <t>WATTS BRANCH</t>
  </si>
  <si>
    <t>41</t>
  </si>
  <si>
    <t>18980</t>
  </si>
  <si>
    <t>SHADYSIDE</t>
  </si>
  <si>
    <t>EAST CAPITOL STREET</t>
  </si>
  <si>
    <t>42</t>
  </si>
  <si>
    <t>61ST AVENUE</t>
  </si>
  <si>
    <t>61ST STREET</t>
  </si>
  <si>
    <t>WSSC FLOW - WATTS BRANCH TRUNK SEWER</t>
  </si>
  <si>
    <t>D.C. FLOW - WATTS BRANCH P.G. METER</t>
  </si>
  <si>
    <t>43</t>
  </si>
  <si>
    <t>18981</t>
  </si>
  <si>
    <t>M STREET &amp; SOUTHERN AVE.</t>
  </si>
  <si>
    <t>PINEY RUN</t>
  </si>
  <si>
    <t>44</t>
  </si>
  <si>
    <t>18982</t>
  </si>
  <si>
    <t>N STREET &amp; SOUTHERN AVE.</t>
  </si>
  <si>
    <t>H STREET</t>
  </si>
  <si>
    <t>45</t>
  </si>
  <si>
    <t>18983</t>
  </si>
  <si>
    <t>O STREET &amp; SOUTHERN AVE.</t>
  </si>
  <si>
    <t>46</t>
  </si>
  <si>
    <t>18984</t>
  </si>
  <si>
    <t>BENNING ROAD</t>
  </si>
  <si>
    <t>47</t>
  </si>
  <si>
    <t>18981-99</t>
  </si>
  <si>
    <t>MARLBORO ROAD</t>
  </si>
  <si>
    <t>BOWEN ROAD</t>
  </si>
  <si>
    <t>WSSC FLOW - BENNING ROAD TRUNK SEWER</t>
  </si>
  <si>
    <t>54</t>
  </si>
  <si>
    <t>UPPER OXON RUN</t>
  </si>
  <si>
    <t>401</t>
  </si>
  <si>
    <t>T STREET</t>
  </si>
  <si>
    <t>SOUTH OF BURNS STREET</t>
  </si>
  <si>
    <t>402</t>
  </si>
  <si>
    <t>BELT ROAD</t>
  </si>
  <si>
    <t>FORT DUPONT STREET</t>
  </si>
  <si>
    <t>403</t>
  </si>
  <si>
    <t>SOUTH OF SUITLAND PKWY</t>
  </si>
  <si>
    <t>404</t>
  </si>
  <si>
    <t>GREENWAY DRIVE</t>
  </si>
  <si>
    <t>36TH PLACE</t>
  </si>
  <si>
    <t>405</t>
  </si>
  <si>
    <t>FAIRHILL DRIVE</t>
  </si>
  <si>
    <t>NORTH OF BRANCH AVENUE</t>
  </si>
  <si>
    <t>406</t>
  </si>
  <si>
    <t>30TH ST.(SUITLAND MTR.)</t>
  </si>
  <si>
    <t>30TH STREET</t>
  </si>
  <si>
    <t>D.C. FLOW - UPPER OXON RUN</t>
  </si>
  <si>
    <t>55</t>
  </si>
  <si>
    <t>18993</t>
  </si>
  <si>
    <t>WHEELER ROAD</t>
  </si>
  <si>
    <t>56</t>
  </si>
  <si>
    <t>BARNABY BRANCH</t>
  </si>
  <si>
    <t>----------</t>
  </si>
  <si>
    <t>57</t>
  </si>
  <si>
    <t>18994</t>
  </si>
  <si>
    <t>OAKCREST STREET</t>
  </si>
  <si>
    <t>S. OF CHESAPEAKE STREET</t>
  </si>
  <si>
    <t>58</t>
  </si>
  <si>
    <t>OWENS ROAD</t>
  </si>
  <si>
    <t>BONINI ROAD</t>
  </si>
  <si>
    <t>59</t>
  </si>
  <si>
    <t>18995</t>
  </si>
  <si>
    <t>EAST MEADOWS STREET</t>
  </si>
  <si>
    <t>N OF BARNABY ROAD</t>
  </si>
  <si>
    <t>60</t>
  </si>
  <si>
    <t>18996</t>
  </si>
  <si>
    <t>AUDREY LANE</t>
  </si>
  <si>
    <t>GALVESTON STREET</t>
  </si>
  <si>
    <t>61</t>
  </si>
  <si>
    <t>18997</t>
  </si>
  <si>
    <t>DORCHESTER AVENUE</t>
  </si>
  <si>
    <t>SOUTH OF 6TH STREET</t>
  </si>
  <si>
    <t>62</t>
  </si>
  <si>
    <t>18998</t>
  </si>
  <si>
    <t>N. INDIAN HEAD HWY</t>
  </si>
  <si>
    <t>E. OF S. CAPITOL STREET</t>
  </si>
  <si>
    <t>63</t>
  </si>
  <si>
    <t>S. INDIAN HEAD HWY</t>
  </si>
  <si>
    <t>W. OF S. CAPITOL STREET</t>
  </si>
  <si>
    <t>WSSC FLOW - LOWER OXON RUN</t>
  </si>
  <si>
    <t>D.C. FLOW THRU WSSC METERS</t>
  </si>
  <si>
    <t>NET WSSC "DOWN" FLOW</t>
  </si>
  <si>
    <t>WSSC POTOMAC INTERCEPTOR FLOW</t>
  </si>
  <si>
    <t>TOTAL WSSC FLOW TO BLUE PLAINS</t>
  </si>
  <si>
    <t>NET HOUSE COUNT FLOW</t>
  </si>
  <si>
    <t>DC. TO WSSC METERS SUBTRACTED IN WSSC REPORT</t>
  </si>
  <si>
    <t>EXCLUDING NEW METERS</t>
  </si>
  <si>
    <t>NET WSSC</t>
  </si>
  <si>
    <t>MONTHLY</t>
  </si>
  <si>
    <t>YEAR</t>
  </si>
  <si>
    <t>MONTH</t>
  </si>
  <si>
    <t>PURCHASES</t>
  </si>
  <si>
    <t xml:space="preserve">JANUARY </t>
  </si>
  <si>
    <t>APRIL</t>
  </si>
  <si>
    <t xml:space="preserve">JUNE </t>
  </si>
  <si>
    <t xml:space="preserve">JULY </t>
  </si>
  <si>
    <t>AUGUST</t>
  </si>
  <si>
    <t>SEPTEMBER</t>
  </si>
  <si>
    <t>OCTOBER</t>
  </si>
  <si>
    <t>NOVEMBER</t>
  </si>
  <si>
    <t>DECEMBER</t>
  </si>
  <si>
    <t>FEBRUARY</t>
  </si>
  <si>
    <t>MARCH</t>
  </si>
  <si>
    <t>MAY</t>
  </si>
  <si>
    <t>JULY</t>
  </si>
  <si>
    <r>
      <t>NOVEMBER</t>
    </r>
    <r>
      <rPr>
        <b/>
        <sz val="12"/>
        <rFont val="Arial"/>
        <family val="2"/>
      </rPr>
      <t xml:space="preserve"> *</t>
    </r>
  </si>
  <si>
    <t>JUNE</t>
  </si>
  <si>
    <t>JANUARY</t>
  </si>
  <si>
    <t>CABIN BRANCH</t>
  </si>
  <si>
    <t>HUGHES BRANCH</t>
  </si>
  <si>
    <t>BOISE CASCADE</t>
  </si>
  <si>
    <t>COUNTRYSIDE #1</t>
  </si>
  <si>
    <t>COUNTRYSIDE #2</t>
  </si>
  <si>
    <t>CASCADES WESTERN</t>
  </si>
  <si>
    <t>WOODSTONE</t>
  </si>
  <si>
    <t>BROAD RUN</t>
  </si>
  <si>
    <t>NORTHWESTERN</t>
  </si>
  <si>
    <t>NORTHEASTERN</t>
  </si>
  <si>
    <t>BEAUMEADE #1</t>
  </si>
  <si>
    <t>JEFFERSON VILLAGE</t>
  </si>
  <si>
    <t>LOUDOUN STATION</t>
  </si>
  <si>
    <t>WEST STERLING</t>
  </si>
  <si>
    <t>NOV</t>
  </si>
  <si>
    <t>N.A.</t>
  </si>
  <si>
    <t>FEB</t>
  </si>
  <si>
    <t>MAR</t>
  </si>
  <si>
    <t>APR</t>
  </si>
  <si>
    <t>NA</t>
  </si>
  <si>
    <t>BRIDGES 625/604 - S8</t>
  </si>
  <si>
    <t>SENECA  -   S 28</t>
  </si>
  <si>
    <t>GREAT FALLS FOREST #1</t>
  </si>
  <si>
    <t>GREAT FALLS FOREST #2</t>
  </si>
  <si>
    <t>TRIPLE 7 - S20</t>
  </si>
  <si>
    <t>PIP - ZEROX - S61</t>
  </si>
  <si>
    <t>CASCADES NORTH - P.L. NORTH</t>
  </si>
  <si>
    <t>MISC. WTR. METERS - UNMETERED</t>
  </si>
  <si>
    <t>JURISDICTIONAL FLOW AS PROPORTION OF BP FLOW</t>
  </si>
  <si>
    <t>FFX</t>
  </si>
  <si>
    <t>GWL Deviation</t>
  </si>
  <si>
    <t>Rainfall DC</t>
  </si>
  <si>
    <t xml:space="preserve">12- Month Rainfall Total </t>
  </si>
  <si>
    <t>OCT</t>
  </si>
  <si>
    <t>DEC</t>
  </si>
  <si>
    <t>JAN</t>
  </si>
  <si>
    <t>SEPT</t>
  </si>
  <si>
    <t>JUN</t>
  </si>
  <si>
    <t>JUL</t>
  </si>
  <si>
    <t>AUG</t>
  </si>
  <si>
    <t>SEP</t>
  </si>
  <si>
    <t>Month To Month Declines</t>
  </si>
  <si>
    <t xml:space="preserve">Yearly Totals for Water Purchased </t>
  </si>
  <si>
    <t>Year to Year Change</t>
  </si>
  <si>
    <t xml:space="preserve">No Data </t>
  </si>
  <si>
    <t>DC without Tunnel Flows</t>
  </si>
  <si>
    <t>BEAUMEADE 2 SM</t>
  </si>
  <si>
    <t>year</t>
  </si>
  <si>
    <t>month</t>
  </si>
  <si>
    <t>input_name</t>
  </si>
  <si>
    <t>flow</t>
  </si>
  <si>
    <t>DULLES TOWN CENTER 1 &amp; 2</t>
  </si>
  <si>
    <t>User</t>
  </si>
  <si>
    <t>loudoun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</si>
</sst>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70" formatCode="0.00000"/>
    <numFmt numFmtId="171" formatCode="0.00;[Red]0.00"/>
    <numFmt numFmtId="173" formatCode="[$-409]mmmmm;@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0"/>
      <name val="Arial"/>
      <family val="2"/>
    </font>
    <font>
      <sz val="8"/>
      <color indexed="81"/>
      <name val="Tahoma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indexed="63"/>
      <name val="Arial"/>
      <family val="2"/>
    </font>
    <font>
      <b/>
      <sz val="8"/>
      <color indexed="81"/>
      <name val="Tahoma"/>
      <family val="2"/>
    </font>
    <font>
      <sz val="8"/>
      <color indexed="81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12"/>
      <name val="Arial"/>
      <family val="2"/>
    </font>
    <font>
      <sz val="8"/>
      <color indexed="12"/>
      <name val="Tahoma"/>
      <family val="2"/>
    </font>
    <font>
      <sz val="8"/>
      <color indexed="10"/>
      <name val="Tahoma"/>
      <family val="2"/>
    </font>
    <font>
      <sz val="10"/>
      <color indexed="14"/>
      <name val="Arial"/>
      <family val="2"/>
    </font>
    <font>
      <sz val="9"/>
      <name val="Arial"/>
      <family val="2"/>
    </font>
    <font>
      <sz val="10"/>
      <color indexed="17"/>
      <name val="Arial"/>
      <family val="2"/>
    </font>
    <font>
      <sz val="10"/>
      <color indexed="53"/>
      <name val="Arial"/>
      <family val="2"/>
    </font>
    <font>
      <sz val="10"/>
      <color indexed="60"/>
      <name val="Arial"/>
      <family val="2"/>
    </font>
    <font>
      <b/>
      <sz val="10"/>
      <color indexed="53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12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75">
    <xf numFmtId="0" fontId="0" fillId="0" borderId="0">
      <protection locked="0"/>
    </xf>
    <xf numFmtId="0" fontId="4" fillId="0" borderId="0"/>
    <xf numFmtId="0" fontId="31" fillId="0" borderId="0"/>
    <xf numFmtId="0" fontId="31" fillId="0" borderId="0"/>
    <xf numFmtId="0" fontId="32" fillId="0" borderId="0"/>
    <xf numFmtId="0" fontId="32" fillId="0" borderId="0">
      <protection locked="0"/>
    </xf>
    <xf numFmtId="0" fontId="3" fillId="0" borderId="0"/>
    <xf numFmtId="0" fontId="5" fillId="0" borderId="0"/>
    <xf numFmtId="0" fontId="5" fillId="0" borderId="0"/>
    <xf numFmtId="0" fontId="32" fillId="0" borderId="0"/>
    <xf numFmtId="0" fontId="3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/>
    <xf numFmtId="0" fontId="35" fillId="0" borderId="0"/>
    <xf numFmtId="0" fontId="2" fillId="0" borderId="0"/>
    <xf numFmtId="0" fontId="5" fillId="0" borderId="0">
      <protection locked="0"/>
    </xf>
    <xf numFmtId="0" fontId="5" fillId="0" borderId="0">
      <protection locked="0"/>
    </xf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>
      <protection locked="0"/>
    </xf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" fillId="0" borderId="0"/>
    <xf numFmtId="0" fontId="37" fillId="0" borderId="0"/>
    <xf numFmtId="0" fontId="38" fillId="0" borderId="0"/>
    <xf numFmtId="0" fontId="39" fillId="0" borderId="0"/>
    <xf numFmtId="0" fontId="40" fillId="0" borderId="0"/>
    <xf numFmtId="0" fontId="40" fillId="0" borderId="0"/>
    <xf numFmtId="0" fontId="41" fillId="0" borderId="0"/>
    <xf numFmtId="0" fontId="41" fillId="0" borderId="0"/>
    <xf numFmtId="0" fontId="42" fillId="0" borderId="0"/>
    <xf numFmtId="0" fontId="42" fillId="0" borderId="0"/>
    <xf numFmtId="0" fontId="42" fillId="0" borderId="0"/>
    <xf numFmtId="0" fontId="43" fillId="0" borderId="0"/>
  </cellStyleXfs>
  <cellXfs count="86">
    <xf numFmtId="0" fontId="0" fillId="0" borderId="0" xfId="0">
      <protection locked="0"/>
    </xf>
    <xf numFmtId="164" fontId="0" fillId="0" borderId="0" xfId="0" applyNumberFormat="1">
      <protection locked="0"/>
    </xf>
    <xf numFmtId="2" fontId="0" fillId="0" borderId="0" xfId="0" applyNumberFormat="1">
      <protection locked="0"/>
    </xf>
    <xf numFmtId="0" fontId="6" fillId="0" borderId="0" xfId="0" applyFont="1">
      <protection locked="0"/>
    </xf>
    <xf numFmtId="165" fontId="0" fillId="0" borderId="0" xfId="0" applyNumberFormat="1">
      <protection locked="0"/>
    </xf>
    <xf numFmtId="49" fontId="0" fillId="0" borderId="0" xfId="0" applyNumberFormat="1" applyAlignment="1">
      <alignment horizontal="center"/>
      <protection locked="0"/>
    </xf>
    <xf numFmtId="164" fontId="6" fillId="0" borderId="0" xfId="0" applyNumberFormat="1" applyFont="1">
      <protection locked="0"/>
    </xf>
    <xf numFmtId="1" fontId="0" fillId="0" borderId="0" xfId="0" applyNumberFormat="1">
      <protection locked="0"/>
    </xf>
    <xf numFmtId="170" fontId="0" fillId="0" borderId="0" xfId="0" applyNumberFormat="1">
      <protection locked="0"/>
    </xf>
    <xf numFmtId="164" fontId="10" fillId="0" borderId="0" xfId="0" applyNumberFormat="1" applyFont="1">
      <protection locked="0"/>
    </xf>
    <xf numFmtId="0" fontId="0" fillId="0" borderId="0" xfId="0" applyProtection="1">
      <protection hidden="1"/>
    </xf>
    <xf numFmtId="0" fontId="13" fillId="0" borderId="0" xfId="0" applyFont="1">
      <protection locked="0"/>
    </xf>
    <xf numFmtId="1" fontId="13" fillId="0" borderId="0" xfId="0" applyNumberFormat="1" applyFont="1" applyAlignment="1">
      <alignment horizontal="left"/>
      <protection locked="0"/>
    </xf>
    <xf numFmtId="0" fontId="0" fillId="0" borderId="0" xfId="0" applyAlignment="1">
      <alignment horizontal="center"/>
      <protection locked="0"/>
    </xf>
    <xf numFmtId="171" fontId="0" fillId="0" borderId="0" xfId="0" applyNumberFormat="1">
      <protection locked="0"/>
    </xf>
    <xf numFmtId="0" fontId="14" fillId="0" borderId="0" xfId="0" applyFont="1">
      <protection locked="0"/>
    </xf>
    <xf numFmtId="0" fontId="15" fillId="0" borderId="0" xfId="0" applyFont="1">
      <protection locked="0"/>
    </xf>
    <xf numFmtId="0" fontId="17" fillId="0" borderId="0" xfId="0" applyFont="1">
      <protection locked="0"/>
    </xf>
    <xf numFmtId="0" fontId="16" fillId="0" borderId="0" xfId="0" applyFont="1">
      <protection locked="0"/>
    </xf>
    <xf numFmtId="0" fontId="9" fillId="0" borderId="0" xfId="0" applyFont="1">
      <protection locked="0"/>
    </xf>
    <xf numFmtId="164" fontId="18" fillId="0" borderId="0" xfId="0" applyNumberFormat="1" applyFont="1">
      <protection locked="0"/>
    </xf>
    <xf numFmtId="0" fontId="18" fillId="0" borderId="0" xfId="0" applyFont="1">
      <protection locked="0"/>
    </xf>
    <xf numFmtId="164" fontId="21" fillId="0" borderId="0" xfId="0" applyNumberFormat="1" applyFont="1">
      <protection locked="0"/>
    </xf>
    <xf numFmtId="164" fontId="23" fillId="0" borderId="0" xfId="0" applyNumberFormat="1" applyFont="1">
      <protection locked="0"/>
    </xf>
    <xf numFmtId="0" fontId="24" fillId="0" borderId="0" xfId="0" applyFont="1">
      <protection locked="0"/>
    </xf>
    <xf numFmtId="0" fontId="23" fillId="0" borderId="0" xfId="0" applyFont="1">
      <protection locked="0"/>
    </xf>
    <xf numFmtId="0" fontId="21" fillId="0" borderId="0" xfId="0" applyFont="1">
      <protection locked="0"/>
    </xf>
    <xf numFmtId="0" fontId="25" fillId="0" borderId="0" xfId="0" applyFont="1">
      <protection locked="0"/>
    </xf>
    <xf numFmtId="17" fontId="13" fillId="0" borderId="0" xfId="0" applyNumberFormat="1" applyFont="1">
      <protection locked="0"/>
    </xf>
    <xf numFmtId="0" fontId="0" fillId="0" borderId="0" xfId="0" quotePrefix="1">
      <protection locked="0"/>
    </xf>
    <xf numFmtId="164" fontId="0" fillId="2" borderId="0" xfId="0" applyNumberFormat="1" applyFill="1">
      <protection locked="0"/>
    </xf>
    <xf numFmtId="0" fontId="26" fillId="0" borderId="0" xfId="0" applyFont="1">
      <protection locked="0"/>
    </xf>
    <xf numFmtId="0" fontId="5" fillId="0" borderId="0" xfId="0" applyFont="1">
      <protection locked="0"/>
    </xf>
    <xf numFmtId="164" fontId="5" fillId="0" borderId="0" xfId="0" applyNumberFormat="1" applyFont="1">
      <protection locked="0"/>
    </xf>
    <xf numFmtId="164" fontId="23" fillId="0" borderId="0" xfId="0" applyNumberFormat="1" applyFont="1" applyAlignment="1">
      <alignment horizontal="right"/>
      <protection locked="0"/>
    </xf>
    <xf numFmtId="0" fontId="6" fillId="2" borderId="0" xfId="0" applyFont="1" applyFill="1">
      <protection locked="0"/>
    </xf>
    <xf numFmtId="0" fontId="0" fillId="2" borderId="0" xfId="0" applyFill="1">
      <protection locked="0"/>
    </xf>
    <xf numFmtId="49" fontId="0" fillId="2" borderId="0" xfId="0" applyNumberFormat="1" applyFill="1" applyAlignment="1">
      <alignment horizontal="center"/>
      <protection locked="0"/>
    </xf>
    <xf numFmtId="1" fontId="13" fillId="2" borderId="0" xfId="0" applyNumberFormat="1" applyFont="1" applyFill="1" applyAlignment="1">
      <alignment horizontal="left"/>
      <protection locked="0"/>
    </xf>
    <xf numFmtId="0" fontId="13" fillId="2" borderId="0" xfId="0" applyFont="1" applyFill="1">
      <protection locked="0"/>
    </xf>
    <xf numFmtId="0" fontId="28" fillId="0" borderId="0" xfId="0" applyFont="1">
      <protection locked="0"/>
    </xf>
    <xf numFmtId="0" fontId="29" fillId="0" borderId="0" xfId="0" applyFont="1" applyAlignment="1">
      <alignment horizontal="center"/>
      <protection locked="0"/>
    </xf>
    <xf numFmtId="0" fontId="30" fillId="0" borderId="0" xfId="0" applyFont="1" applyAlignment="1">
      <alignment horizontal="center"/>
      <protection locked="0"/>
    </xf>
    <xf numFmtId="0" fontId="28" fillId="0" borderId="0" xfId="0" applyFont="1" applyAlignment="1">
      <alignment horizontal="center"/>
      <protection locked="0"/>
    </xf>
    <xf numFmtId="170" fontId="28" fillId="0" borderId="0" xfId="0" applyNumberFormat="1" applyFont="1" applyAlignment="1">
      <alignment horizontal="center"/>
      <protection locked="0"/>
    </xf>
    <xf numFmtId="164" fontId="28" fillId="0" borderId="0" xfId="0" applyNumberFormat="1" applyFont="1" applyAlignment="1">
      <alignment horizontal="center"/>
      <protection locked="0"/>
    </xf>
    <xf numFmtId="164" fontId="21" fillId="2" borderId="0" xfId="0" applyNumberFormat="1" applyFont="1" applyFill="1">
      <protection locked="0"/>
    </xf>
    <xf numFmtId="164" fontId="0" fillId="3" borderId="0" xfId="0" applyNumberFormat="1" applyFill="1">
      <protection locked="0"/>
    </xf>
    <xf numFmtId="2" fontId="30" fillId="0" borderId="0" xfId="0" applyNumberFormat="1" applyFont="1" applyAlignment="1">
      <alignment horizontal="center"/>
      <protection locked="0"/>
    </xf>
    <xf numFmtId="2" fontId="28" fillId="0" borderId="0" xfId="0" applyNumberFormat="1" applyFont="1" applyAlignment="1">
      <alignment horizontal="center"/>
      <protection locked="0"/>
    </xf>
    <xf numFmtId="173" fontId="13" fillId="0" borderId="0" xfId="0" applyNumberFormat="1" applyFont="1">
      <protection locked="0"/>
    </xf>
    <xf numFmtId="0" fontId="0" fillId="0" borderId="0" xfId="0" applyProtection="1"/>
    <xf numFmtId="2" fontId="0" fillId="0" borderId="0" xfId="0" applyNumberFormat="1" applyAlignment="1">
      <alignment horizontal="center"/>
      <protection locked="0"/>
    </xf>
    <xf numFmtId="0" fontId="22" fillId="0" borderId="0" xfId="0" applyFont="1">
      <protection locked="0"/>
    </xf>
    <xf numFmtId="0" fontId="5" fillId="0" borderId="0" xfId="0" applyFont="1" applyAlignment="1">
      <alignment wrapText="1"/>
      <protection locked="0"/>
    </xf>
    <xf numFmtId="165" fontId="28" fillId="0" borderId="0" xfId="10" applyNumberFormat="1" applyFont="1" applyAlignment="1">
      <alignment horizontal="center" wrapText="1"/>
    </xf>
    <xf numFmtId="2" fontId="13" fillId="0" borderId="0" xfId="0" applyNumberFormat="1" applyFont="1" applyAlignment="1">
      <alignment horizontal="center"/>
      <protection locked="0"/>
    </xf>
    <xf numFmtId="2" fontId="0" fillId="0" borderId="0" xfId="0" applyNumberFormat="1" applyProtection="1"/>
    <xf numFmtId="165" fontId="28" fillId="0" borderId="0" xfId="0" applyNumberFormat="1" applyFont="1" applyAlignment="1">
      <alignment horizontal="center"/>
      <protection locked="0"/>
    </xf>
    <xf numFmtId="0" fontId="0" fillId="0" borderId="9" xfId="0" applyBorder="1">
      <protection locked="0"/>
    </xf>
    <xf numFmtId="0" fontId="0" fillId="0" borderId="11" xfId="0" applyBorder="1">
      <protection locked="0"/>
    </xf>
    <xf numFmtId="165" fontId="28" fillId="0" borderId="4" xfId="0" applyNumberFormat="1" applyFont="1" applyBorder="1" applyAlignment="1">
      <alignment horizontal="center"/>
      <protection locked="0"/>
    </xf>
    <xf numFmtId="2" fontId="28" fillId="0" borderId="6" xfId="0" applyNumberFormat="1" applyFont="1" applyBorder="1" applyAlignment="1">
      <alignment horizontal="right"/>
      <protection locked="0"/>
    </xf>
    <xf numFmtId="0" fontId="28" fillId="0" borderId="8" xfId="0" applyFont="1" applyBorder="1">
      <protection locked="0"/>
    </xf>
    <xf numFmtId="0" fontId="28" fillId="0" borderId="8" xfId="0" applyFont="1" applyBorder="1" applyAlignment="1">
      <alignment horizontal="center"/>
      <protection locked="0"/>
    </xf>
    <xf numFmtId="2" fontId="28" fillId="0" borderId="8" xfId="0" applyNumberFormat="1" applyFont="1" applyBorder="1" applyAlignment="1">
      <alignment horizontal="right"/>
      <protection locked="0"/>
    </xf>
    <xf numFmtId="0" fontId="28" fillId="0" borderId="4" xfId="0" applyFont="1" applyBorder="1">
      <protection locked="0"/>
    </xf>
    <xf numFmtId="0" fontId="29" fillId="0" borderId="9" xfId="0" applyFont="1" applyBorder="1">
      <protection locked="0"/>
    </xf>
    <xf numFmtId="0" fontId="29" fillId="0" borderId="10" xfId="0" applyFont="1" applyBorder="1">
      <protection locked="0"/>
    </xf>
    <xf numFmtId="2" fontId="5" fillId="0" borderId="5" xfId="255" applyNumberFormat="1" applyFont="1" applyBorder="1" applyAlignment="1" applyProtection="1">
      <alignment horizontal="right"/>
      <protection hidden="1"/>
    </xf>
    <xf numFmtId="0" fontId="0" fillId="0" borderId="7" xfId="0" applyBorder="1">
      <protection locked="0"/>
    </xf>
    <xf numFmtId="49" fontId="16" fillId="0" borderId="0" xfId="0" applyNumberFormat="1" applyFont="1" applyAlignment="1">
      <alignment horizontal="center"/>
      <protection locked="0"/>
    </xf>
    <xf numFmtId="0" fontId="9" fillId="0" borderId="0" xfId="0" applyFont="1" applyAlignment="1">
      <alignment horizontal="center"/>
      <protection locked="0"/>
    </xf>
    <xf numFmtId="0" fontId="29" fillId="0" borderId="9" xfId="0" applyFont="1" applyBorder="1" applyAlignment="1">
      <alignment horizontal="center"/>
      <protection locked="0"/>
    </xf>
    <xf numFmtId="0" fontId="29" fillId="0" borderId="10" xfId="0" applyFont="1" applyBorder="1" applyAlignment="1">
      <alignment horizontal="center"/>
      <protection locked="0"/>
    </xf>
    <xf numFmtId="0" fontId="0" fillId="0" borderId="1" xfId="0" applyBorder="1" applyAlignment="1">
      <alignment horizontal="center"/>
      <protection locked="0"/>
    </xf>
    <xf numFmtId="0" fontId="0" fillId="0" borderId="2" xfId="0" applyBorder="1" applyAlignment="1">
      <alignment horizontal="center"/>
      <protection locked="0"/>
    </xf>
    <xf numFmtId="0" fontId="16" fillId="0" borderId="1" xfId="0" applyFont="1" applyBorder="1" applyAlignment="1">
      <alignment horizontal="center"/>
      <protection locked="0"/>
    </xf>
    <xf numFmtId="0" fontId="16" fillId="0" borderId="2" xfId="0" applyFont="1" applyBorder="1" applyAlignment="1">
      <alignment horizontal="center"/>
      <protection locked="0"/>
    </xf>
    <xf numFmtId="0" fontId="0" fillId="0" borderId="3" xfId="0" applyBorder="1" applyAlignment="1">
      <alignment horizontal="center"/>
      <protection locked="0"/>
    </xf>
    <xf numFmtId="0" fontId="16" fillId="0" borderId="2" xfId="0" applyFont="1" applyBorder="1">
      <protection locked="0"/>
    </xf>
    <xf numFmtId="0" fontId="9" fillId="0" borderId="0" xfId="0" applyFont="1" applyAlignment="1">
      <alignment horizontal="center"/>
      <protection locked="0"/>
    </xf>
    <xf numFmtId="0" fontId="8" fillId="0" borderId="0" xfId="0" applyFont="1" applyAlignment="1">
      <alignment horizontal="center"/>
      <protection locked="0"/>
    </xf>
    <xf numFmtId="0" fontId="0" fillId="0" borderId="0" xfId="0">
      <protection locked="0"/>
    </xf>
    <xf numFmtId="0" fontId="30" fillId="0" borderId="0" xfId="0" applyFont="1" applyAlignment="1">
      <alignment horizontal="center" wrapText="1"/>
      <protection locked="0"/>
    </xf>
    <xf numFmtId="1" fontId="0" fillId="0" borderId="0" xfId="0" applyNumberFormat="1" applyProtection="1"/>
  </cellXfs>
  <cellStyles count="275">
    <cellStyle name="Normal" xfId="0" builtinId="0"/>
    <cellStyle name="Normal 10" xfId="12" xr:uid="{00000000-0005-0000-0000-000001000000}"/>
    <cellStyle name="Normal 10 2" xfId="127" xr:uid="{00000000-0005-0000-0000-000002000000}"/>
    <cellStyle name="Normal 100" xfId="102" xr:uid="{00000000-0005-0000-0000-000003000000}"/>
    <cellStyle name="Normal 100 2" xfId="224" xr:uid="{00000000-0005-0000-0000-000004000000}"/>
    <cellStyle name="Normal 101" xfId="103" xr:uid="{00000000-0005-0000-0000-000005000000}"/>
    <cellStyle name="Normal 101 2" xfId="225" xr:uid="{00000000-0005-0000-0000-000006000000}"/>
    <cellStyle name="Normal 102" xfId="104" xr:uid="{00000000-0005-0000-0000-000007000000}"/>
    <cellStyle name="Normal 102 2" xfId="226" xr:uid="{00000000-0005-0000-0000-000008000000}"/>
    <cellStyle name="Normal 103" xfId="105" xr:uid="{00000000-0005-0000-0000-000009000000}"/>
    <cellStyle name="Normal 103 2" xfId="227" xr:uid="{00000000-0005-0000-0000-00000A000000}"/>
    <cellStyle name="Normal 104" xfId="106" xr:uid="{00000000-0005-0000-0000-00000B000000}"/>
    <cellStyle name="Normal 104 2" xfId="228" xr:uid="{00000000-0005-0000-0000-00000C000000}"/>
    <cellStyle name="Normal 105" xfId="107" xr:uid="{00000000-0005-0000-0000-00000D000000}"/>
    <cellStyle name="Normal 105 2" xfId="229" xr:uid="{00000000-0005-0000-0000-00000E000000}"/>
    <cellStyle name="Normal 106" xfId="108" xr:uid="{00000000-0005-0000-0000-00000F000000}"/>
    <cellStyle name="Normal 106 2" xfId="230" xr:uid="{00000000-0005-0000-0000-000010000000}"/>
    <cellStyle name="Normal 107" xfId="109" xr:uid="{00000000-0005-0000-0000-000011000000}"/>
    <cellStyle name="Normal 107 2" xfId="231" xr:uid="{00000000-0005-0000-0000-000012000000}"/>
    <cellStyle name="Normal 108" xfId="110" xr:uid="{00000000-0005-0000-0000-000013000000}"/>
    <cellStyle name="Normal 108 2" xfId="232" xr:uid="{00000000-0005-0000-0000-000014000000}"/>
    <cellStyle name="Normal 109" xfId="111" xr:uid="{00000000-0005-0000-0000-000015000000}"/>
    <cellStyle name="Normal 109 2" xfId="233" xr:uid="{00000000-0005-0000-0000-000016000000}"/>
    <cellStyle name="Normal 11" xfId="13" xr:uid="{00000000-0005-0000-0000-000017000000}"/>
    <cellStyle name="Normal 11 2" xfId="136" xr:uid="{00000000-0005-0000-0000-000018000000}"/>
    <cellStyle name="Normal 110" xfId="112" xr:uid="{00000000-0005-0000-0000-000019000000}"/>
    <cellStyle name="Normal 110 2" xfId="234" xr:uid="{00000000-0005-0000-0000-00001A000000}"/>
    <cellStyle name="Normal 111" xfId="113" xr:uid="{00000000-0005-0000-0000-00001B000000}"/>
    <cellStyle name="Normal 111 2" xfId="235" xr:uid="{00000000-0005-0000-0000-00001C000000}"/>
    <cellStyle name="Normal 112" xfId="114" xr:uid="{00000000-0005-0000-0000-00001D000000}"/>
    <cellStyle name="Normal 112 2" xfId="236" xr:uid="{00000000-0005-0000-0000-00001E000000}"/>
    <cellStyle name="Normal 113" xfId="115" xr:uid="{00000000-0005-0000-0000-00001F000000}"/>
    <cellStyle name="Normal 113 2" xfId="237" xr:uid="{00000000-0005-0000-0000-000020000000}"/>
    <cellStyle name="Normal 114" xfId="116" xr:uid="{00000000-0005-0000-0000-000021000000}"/>
    <cellStyle name="Normal 114 2" xfId="238" xr:uid="{00000000-0005-0000-0000-000022000000}"/>
    <cellStyle name="Normal 115" xfId="117" xr:uid="{00000000-0005-0000-0000-000023000000}"/>
    <cellStyle name="Normal 115 2" xfId="239" xr:uid="{00000000-0005-0000-0000-000024000000}"/>
    <cellStyle name="Normal 116" xfId="118" xr:uid="{00000000-0005-0000-0000-000025000000}"/>
    <cellStyle name="Normal 116 2" xfId="240" xr:uid="{00000000-0005-0000-0000-000026000000}"/>
    <cellStyle name="Normal 117" xfId="119" xr:uid="{00000000-0005-0000-0000-000027000000}"/>
    <cellStyle name="Normal 117 2" xfId="241" xr:uid="{00000000-0005-0000-0000-000028000000}"/>
    <cellStyle name="Normal 118" xfId="120" xr:uid="{00000000-0005-0000-0000-000029000000}"/>
    <cellStyle name="Normal 118 2" xfId="242" xr:uid="{00000000-0005-0000-0000-00002A000000}"/>
    <cellStyle name="Normal 119" xfId="121" xr:uid="{00000000-0005-0000-0000-00002B000000}"/>
    <cellStyle name="Normal 119 2" xfId="243" xr:uid="{00000000-0005-0000-0000-00002C000000}"/>
    <cellStyle name="Normal 12" xfId="14" xr:uid="{00000000-0005-0000-0000-00002D000000}"/>
    <cellStyle name="Normal 12 2" xfId="137" xr:uid="{00000000-0005-0000-0000-00002E000000}"/>
    <cellStyle name="Normal 120" xfId="122" xr:uid="{00000000-0005-0000-0000-00002F000000}"/>
    <cellStyle name="Normal 121" xfId="123" xr:uid="{00000000-0005-0000-0000-000030000000}"/>
    <cellStyle name="Normal 122" xfId="124" xr:uid="{00000000-0005-0000-0000-000031000000}"/>
    <cellStyle name="Normal 123" xfId="244" xr:uid="{00000000-0005-0000-0000-000032000000}"/>
    <cellStyle name="Normal 124" xfId="245" xr:uid="{00000000-0005-0000-0000-000033000000}"/>
    <cellStyle name="Normal 125" xfId="246" xr:uid="{00000000-0005-0000-0000-000034000000}"/>
    <cellStyle name="Normal 126" xfId="247" xr:uid="{00000000-0005-0000-0000-000035000000}"/>
    <cellStyle name="Normal 127" xfId="248" xr:uid="{00000000-0005-0000-0000-000036000000}"/>
    <cellStyle name="Normal 128" xfId="249" xr:uid="{00000000-0005-0000-0000-000037000000}"/>
    <cellStyle name="Normal 129" xfId="250" xr:uid="{00000000-0005-0000-0000-000038000000}"/>
    <cellStyle name="Normal 13" xfId="15" xr:uid="{00000000-0005-0000-0000-000039000000}"/>
    <cellStyle name="Normal 13 2" xfId="138" xr:uid="{00000000-0005-0000-0000-00003A000000}"/>
    <cellStyle name="Normal 130" xfId="251" xr:uid="{00000000-0005-0000-0000-00003B000000}"/>
    <cellStyle name="Normal 131" xfId="252" xr:uid="{00000000-0005-0000-0000-00003C000000}"/>
    <cellStyle name="Normal 132" xfId="253" xr:uid="{00000000-0005-0000-0000-00003D000000}"/>
    <cellStyle name="Normal 133" xfId="254" xr:uid="{00000000-0005-0000-0000-00003E000000}"/>
    <cellStyle name="Normal 134" xfId="255" xr:uid="{00000000-0005-0000-0000-00003F000000}"/>
    <cellStyle name="Normal 135" xfId="256" xr:uid="{00000000-0005-0000-0000-000040000000}"/>
    <cellStyle name="Normal 136" xfId="257" xr:uid="{00000000-0005-0000-0000-000041000000}"/>
    <cellStyle name="Normal 137" xfId="258" xr:uid="{00000000-0005-0000-0000-000042000000}"/>
    <cellStyle name="Normal 138" xfId="259" xr:uid="{00000000-0005-0000-0000-000043000000}"/>
    <cellStyle name="Normal 139" xfId="260" xr:uid="{00000000-0005-0000-0000-000044000000}"/>
    <cellStyle name="Normal 14" xfId="16" xr:uid="{00000000-0005-0000-0000-000045000000}"/>
    <cellStyle name="Normal 14 2" xfId="139" xr:uid="{00000000-0005-0000-0000-000046000000}"/>
    <cellStyle name="Normal 140" xfId="261" xr:uid="{97293662-0CFB-4B4E-BD3F-10F63B2215BB}"/>
    <cellStyle name="Normal 141" xfId="262" xr:uid="{27E769B8-DC8D-4408-8E8C-6112345B1D6B}"/>
    <cellStyle name="Normal 142" xfId="264" xr:uid="{0D0193B9-B069-48CB-AB74-CB2C89A0E555}"/>
    <cellStyle name="Normal 143" xfId="265" xr:uid="{62D7B048-CB0D-4AF4-8DE0-52022F254827}"/>
    <cellStyle name="Normal 144" xfId="266" xr:uid="{233BEF70-4E1B-48AE-AD0F-D68CB2630C8C}"/>
    <cellStyle name="Normal 145" xfId="267" xr:uid="{3E424BB6-9D8A-4EC5-9CF1-087E748762B0}"/>
    <cellStyle name="Normal 146" xfId="268" xr:uid="{9A5C6507-1733-4E82-B097-C5632A912E19}"/>
    <cellStyle name="Normal 147" xfId="269" xr:uid="{6DFCAE4A-AF9C-4C20-8D1C-C27EFA1274E5}"/>
    <cellStyle name="Normal 148" xfId="270" xr:uid="{5B93781E-1390-473E-9340-2D8243F644D0}"/>
    <cellStyle name="Normal 149" xfId="271" xr:uid="{6F28FCDB-5623-4792-9BF1-6D7682B3E8EE}"/>
    <cellStyle name="Normal 15" xfId="17" xr:uid="{00000000-0005-0000-0000-000047000000}"/>
    <cellStyle name="Normal 15 2" xfId="140" xr:uid="{00000000-0005-0000-0000-000048000000}"/>
    <cellStyle name="Normal 150" xfId="272" xr:uid="{0E685C78-C2FA-4192-95B5-17D5A6524570}"/>
    <cellStyle name="Normal 151" xfId="273" xr:uid="{EE31B27B-9515-4A14-9504-7E88EB9CB7AD}"/>
    <cellStyle name="Normal 152" xfId="274" xr:uid="{5BA3C39A-37AF-4FDD-B331-B8742FE84A16}"/>
    <cellStyle name="Normal 16" xfId="18" xr:uid="{00000000-0005-0000-0000-000049000000}"/>
    <cellStyle name="Normal 16 2" xfId="141" xr:uid="{00000000-0005-0000-0000-00004A000000}"/>
    <cellStyle name="Normal 17" xfId="19" xr:uid="{00000000-0005-0000-0000-00004B000000}"/>
    <cellStyle name="Normal 17 2" xfId="142" xr:uid="{00000000-0005-0000-0000-00004C000000}"/>
    <cellStyle name="Normal 18" xfId="20" xr:uid="{00000000-0005-0000-0000-00004D000000}"/>
    <cellStyle name="Normal 18 2" xfId="143" xr:uid="{00000000-0005-0000-0000-00004E000000}"/>
    <cellStyle name="Normal 19" xfId="21" xr:uid="{00000000-0005-0000-0000-00004F000000}"/>
    <cellStyle name="Normal 19 2" xfId="144" xr:uid="{00000000-0005-0000-0000-000050000000}"/>
    <cellStyle name="Normal 2" xfId="1" xr:uid="{00000000-0005-0000-0000-000051000000}"/>
    <cellStyle name="Normal 2 2" xfId="6" xr:uid="{00000000-0005-0000-0000-000052000000}"/>
    <cellStyle name="Normal 2 2 2" xfId="132" xr:uid="{00000000-0005-0000-0000-000053000000}"/>
    <cellStyle name="Normal 2 3" xfId="125" xr:uid="{00000000-0005-0000-0000-000054000000}"/>
    <cellStyle name="Normal 2 4" xfId="129" xr:uid="{00000000-0005-0000-0000-000055000000}"/>
    <cellStyle name="Normal 2 5" xfId="263" xr:uid="{B3C28C4E-0A70-4CAD-920D-4DAE5E9B0887}"/>
    <cellStyle name="Normal 20" xfId="22" xr:uid="{00000000-0005-0000-0000-000056000000}"/>
    <cellStyle name="Normal 20 2" xfId="145" xr:uid="{00000000-0005-0000-0000-000057000000}"/>
    <cellStyle name="Normal 21" xfId="23" xr:uid="{00000000-0005-0000-0000-000058000000}"/>
    <cellStyle name="Normal 21 2" xfId="146" xr:uid="{00000000-0005-0000-0000-000059000000}"/>
    <cellStyle name="Normal 22" xfId="24" xr:uid="{00000000-0005-0000-0000-00005A000000}"/>
    <cellStyle name="Normal 22 2" xfId="147" xr:uid="{00000000-0005-0000-0000-00005B000000}"/>
    <cellStyle name="Normal 23" xfId="25" xr:uid="{00000000-0005-0000-0000-00005C000000}"/>
    <cellStyle name="Normal 23 2" xfId="148" xr:uid="{00000000-0005-0000-0000-00005D000000}"/>
    <cellStyle name="Normal 24" xfId="26" xr:uid="{00000000-0005-0000-0000-00005E000000}"/>
    <cellStyle name="Normal 24 2" xfId="149" xr:uid="{00000000-0005-0000-0000-00005F000000}"/>
    <cellStyle name="Normal 25" xfId="27" xr:uid="{00000000-0005-0000-0000-000060000000}"/>
    <cellStyle name="Normal 25 2" xfId="150" xr:uid="{00000000-0005-0000-0000-000061000000}"/>
    <cellStyle name="Normal 26" xfId="28" xr:uid="{00000000-0005-0000-0000-000062000000}"/>
    <cellStyle name="Normal 26 2" xfId="151" xr:uid="{00000000-0005-0000-0000-000063000000}"/>
    <cellStyle name="Normal 27" xfId="29" xr:uid="{00000000-0005-0000-0000-000064000000}"/>
    <cellStyle name="Normal 27 2" xfId="152" xr:uid="{00000000-0005-0000-0000-000065000000}"/>
    <cellStyle name="Normal 28" xfId="30" xr:uid="{00000000-0005-0000-0000-000066000000}"/>
    <cellStyle name="Normal 28 2" xfId="153" xr:uid="{00000000-0005-0000-0000-000067000000}"/>
    <cellStyle name="Normal 29" xfId="31" xr:uid="{00000000-0005-0000-0000-000068000000}"/>
    <cellStyle name="Normal 29 2" xfId="154" xr:uid="{00000000-0005-0000-0000-000069000000}"/>
    <cellStyle name="Normal 3" xfId="2" xr:uid="{00000000-0005-0000-0000-00006A000000}"/>
    <cellStyle name="Normal 3 2" xfId="7" xr:uid="{00000000-0005-0000-0000-00006B000000}"/>
    <cellStyle name="Normal 3 3" xfId="126" xr:uid="{00000000-0005-0000-0000-00006C000000}"/>
    <cellStyle name="Normal 30" xfId="32" xr:uid="{00000000-0005-0000-0000-00006D000000}"/>
    <cellStyle name="Normal 30 2" xfId="155" xr:uid="{00000000-0005-0000-0000-00006E000000}"/>
    <cellStyle name="Normal 31" xfId="33" xr:uid="{00000000-0005-0000-0000-00006F000000}"/>
    <cellStyle name="Normal 31 2" xfId="156" xr:uid="{00000000-0005-0000-0000-000070000000}"/>
    <cellStyle name="Normal 32" xfId="34" xr:uid="{00000000-0005-0000-0000-000071000000}"/>
    <cellStyle name="Normal 32 2" xfId="157" xr:uid="{00000000-0005-0000-0000-000072000000}"/>
    <cellStyle name="Normal 33" xfId="35" xr:uid="{00000000-0005-0000-0000-000073000000}"/>
    <cellStyle name="Normal 33 2" xfId="158" xr:uid="{00000000-0005-0000-0000-000074000000}"/>
    <cellStyle name="Normal 34" xfId="36" xr:uid="{00000000-0005-0000-0000-000075000000}"/>
    <cellStyle name="Normal 34 2" xfId="159" xr:uid="{00000000-0005-0000-0000-000076000000}"/>
    <cellStyle name="Normal 35" xfId="37" xr:uid="{00000000-0005-0000-0000-000077000000}"/>
    <cellStyle name="Normal 35 2" xfId="160" xr:uid="{00000000-0005-0000-0000-000078000000}"/>
    <cellStyle name="Normal 36" xfId="38" xr:uid="{00000000-0005-0000-0000-000079000000}"/>
    <cellStyle name="Normal 36 2" xfId="161" xr:uid="{00000000-0005-0000-0000-00007A000000}"/>
    <cellStyle name="Normal 37" xfId="39" xr:uid="{00000000-0005-0000-0000-00007B000000}"/>
    <cellStyle name="Normal 37 2" xfId="162" xr:uid="{00000000-0005-0000-0000-00007C000000}"/>
    <cellStyle name="Normal 38" xfId="40" xr:uid="{00000000-0005-0000-0000-00007D000000}"/>
    <cellStyle name="Normal 38 2" xfId="163" xr:uid="{00000000-0005-0000-0000-00007E000000}"/>
    <cellStyle name="Normal 39" xfId="41" xr:uid="{00000000-0005-0000-0000-00007F000000}"/>
    <cellStyle name="Normal 39 2" xfId="164" xr:uid="{00000000-0005-0000-0000-000080000000}"/>
    <cellStyle name="Normal 4" xfId="3" xr:uid="{00000000-0005-0000-0000-000081000000}"/>
    <cellStyle name="Normal 4 2" xfId="8" xr:uid="{00000000-0005-0000-0000-000082000000}"/>
    <cellStyle name="Normal 40" xfId="42" xr:uid="{00000000-0005-0000-0000-000083000000}"/>
    <cellStyle name="Normal 40 2" xfId="165" xr:uid="{00000000-0005-0000-0000-000084000000}"/>
    <cellStyle name="Normal 41" xfId="43" xr:uid="{00000000-0005-0000-0000-000085000000}"/>
    <cellStyle name="Normal 41 2" xfId="166" xr:uid="{00000000-0005-0000-0000-000086000000}"/>
    <cellStyle name="Normal 42" xfId="44" xr:uid="{00000000-0005-0000-0000-000087000000}"/>
    <cellStyle name="Normal 42 2" xfId="167" xr:uid="{00000000-0005-0000-0000-000088000000}"/>
    <cellStyle name="Normal 43" xfId="45" xr:uid="{00000000-0005-0000-0000-000089000000}"/>
    <cellStyle name="Normal 43 2" xfId="168" xr:uid="{00000000-0005-0000-0000-00008A000000}"/>
    <cellStyle name="Normal 44" xfId="46" xr:uid="{00000000-0005-0000-0000-00008B000000}"/>
    <cellStyle name="Normal 44 2" xfId="169" xr:uid="{00000000-0005-0000-0000-00008C000000}"/>
    <cellStyle name="Normal 45" xfId="47" xr:uid="{00000000-0005-0000-0000-00008D000000}"/>
    <cellStyle name="Normal 45 2" xfId="170" xr:uid="{00000000-0005-0000-0000-00008E000000}"/>
    <cellStyle name="Normal 46" xfId="48" xr:uid="{00000000-0005-0000-0000-00008F000000}"/>
    <cellStyle name="Normal 46 2" xfId="171" xr:uid="{00000000-0005-0000-0000-000090000000}"/>
    <cellStyle name="Normal 47" xfId="49" xr:uid="{00000000-0005-0000-0000-000091000000}"/>
    <cellStyle name="Normal 47 2" xfId="172" xr:uid="{00000000-0005-0000-0000-000092000000}"/>
    <cellStyle name="Normal 48" xfId="50" xr:uid="{00000000-0005-0000-0000-000093000000}"/>
    <cellStyle name="Normal 48 2" xfId="173" xr:uid="{00000000-0005-0000-0000-000094000000}"/>
    <cellStyle name="Normal 49" xfId="51" xr:uid="{00000000-0005-0000-0000-000095000000}"/>
    <cellStyle name="Normal 49 2" xfId="174" xr:uid="{00000000-0005-0000-0000-000096000000}"/>
    <cellStyle name="Normal 5" xfId="5" xr:uid="{00000000-0005-0000-0000-000097000000}"/>
    <cellStyle name="Normal 5 2" xfId="131" xr:uid="{00000000-0005-0000-0000-000098000000}"/>
    <cellStyle name="Normal 50" xfId="52" xr:uid="{00000000-0005-0000-0000-000099000000}"/>
    <cellStyle name="Normal 50 2" xfId="175" xr:uid="{00000000-0005-0000-0000-00009A000000}"/>
    <cellStyle name="Normal 51" xfId="53" xr:uid="{00000000-0005-0000-0000-00009B000000}"/>
    <cellStyle name="Normal 51 2" xfId="176" xr:uid="{00000000-0005-0000-0000-00009C000000}"/>
    <cellStyle name="Normal 52" xfId="54" xr:uid="{00000000-0005-0000-0000-00009D000000}"/>
    <cellStyle name="Normal 52 2" xfId="177" xr:uid="{00000000-0005-0000-0000-00009E000000}"/>
    <cellStyle name="Normal 53" xfId="55" xr:uid="{00000000-0005-0000-0000-00009F000000}"/>
    <cellStyle name="Normal 53 2" xfId="178" xr:uid="{00000000-0005-0000-0000-0000A0000000}"/>
    <cellStyle name="Normal 54" xfId="56" xr:uid="{00000000-0005-0000-0000-0000A1000000}"/>
    <cellStyle name="Normal 54 2" xfId="179" xr:uid="{00000000-0005-0000-0000-0000A2000000}"/>
    <cellStyle name="Normal 55" xfId="57" xr:uid="{00000000-0005-0000-0000-0000A3000000}"/>
    <cellStyle name="Normal 55 2" xfId="180" xr:uid="{00000000-0005-0000-0000-0000A4000000}"/>
    <cellStyle name="Normal 56" xfId="58" xr:uid="{00000000-0005-0000-0000-0000A5000000}"/>
    <cellStyle name="Normal 56 2" xfId="181" xr:uid="{00000000-0005-0000-0000-0000A6000000}"/>
    <cellStyle name="Normal 57" xfId="59" xr:uid="{00000000-0005-0000-0000-0000A7000000}"/>
    <cellStyle name="Normal 57 2" xfId="182" xr:uid="{00000000-0005-0000-0000-0000A8000000}"/>
    <cellStyle name="Normal 58" xfId="60" xr:uid="{00000000-0005-0000-0000-0000A9000000}"/>
    <cellStyle name="Normal 58 2" xfId="183" xr:uid="{00000000-0005-0000-0000-0000AA000000}"/>
    <cellStyle name="Normal 59" xfId="61" xr:uid="{00000000-0005-0000-0000-0000AB000000}"/>
    <cellStyle name="Normal 59 2" xfId="184" xr:uid="{00000000-0005-0000-0000-0000AC000000}"/>
    <cellStyle name="Normal 6" xfId="4" xr:uid="{00000000-0005-0000-0000-0000AD000000}"/>
    <cellStyle name="Normal 6 2" xfId="130" xr:uid="{00000000-0005-0000-0000-0000AE000000}"/>
    <cellStyle name="Normal 60" xfId="62" xr:uid="{00000000-0005-0000-0000-0000AF000000}"/>
    <cellStyle name="Normal 60 2" xfId="128" xr:uid="{00000000-0005-0000-0000-0000B0000000}"/>
    <cellStyle name="Normal 61" xfId="63" xr:uid="{00000000-0005-0000-0000-0000B1000000}"/>
    <cellStyle name="Normal 61 2" xfId="185" xr:uid="{00000000-0005-0000-0000-0000B2000000}"/>
    <cellStyle name="Normal 62" xfId="64" xr:uid="{00000000-0005-0000-0000-0000B3000000}"/>
    <cellStyle name="Normal 62 2" xfId="186" xr:uid="{00000000-0005-0000-0000-0000B4000000}"/>
    <cellStyle name="Normal 63" xfId="65" xr:uid="{00000000-0005-0000-0000-0000B5000000}"/>
    <cellStyle name="Normal 63 2" xfId="187" xr:uid="{00000000-0005-0000-0000-0000B6000000}"/>
    <cellStyle name="Normal 64" xfId="66" xr:uid="{00000000-0005-0000-0000-0000B7000000}"/>
    <cellStyle name="Normal 64 2" xfId="188" xr:uid="{00000000-0005-0000-0000-0000B8000000}"/>
    <cellStyle name="Normal 65" xfId="67" xr:uid="{00000000-0005-0000-0000-0000B9000000}"/>
    <cellStyle name="Normal 65 2" xfId="189" xr:uid="{00000000-0005-0000-0000-0000BA000000}"/>
    <cellStyle name="Normal 66" xfId="68" xr:uid="{00000000-0005-0000-0000-0000BB000000}"/>
    <cellStyle name="Normal 66 2" xfId="190" xr:uid="{00000000-0005-0000-0000-0000BC000000}"/>
    <cellStyle name="Normal 67" xfId="69" xr:uid="{00000000-0005-0000-0000-0000BD000000}"/>
    <cellStyle name="Normal 67 2" xfId="191" xr:uid="{00000000-0005-0000-0000-0000BE000000}"/>
    <cellStyle name="Normal 68" xfId="70" xr:uid="{00000000-0005-0000-0000-0000BF000000}"/>
    <cellStyle name="Normal 68 2" xfId="192" xr:uid="{00000000-0005-0000-0000-0000C0000000}"/>
    <cellStyle name="Normal 69" xfId="71" xr:uid="{00000000-0005-0000-0000-0000C1000000}"/>
    <cellStyle name="Normal 69 2" xfId="193" xr:uid="{00000000-0005-0000-0000-0000C2000000}"/>
    <cellStyle name="Normal 7" xfId="9" xr:uid="{00000000-0005-0000-0000-0000C3000000}"/>
    <cellStyle name="Normal 7 2" xfId="133" xr:uid="{00000000-0005-0000-0000-0000C4000000}"/>
    <cellStyle name="Normal 70" xfId="72" xr:uid="{00000000-0005-0000-0000-0000C5000000}"/>
    <cellStyle name="Normal 70 2" xfId="194" xr:uid="{00000000-0005-0000-0000-0000C6000000}"/>
    <cellStyle name="Normal 71" xfId="73" xr:uid="{00000000-0005-0000-0000-0000C7000000}"/>
    <cellStyle name="Normal 71 2" xfId="195" xr:uid="{00000000-0005-0000-0000-0000C8000000}"/>
    <cellStyle name="Normal 72" xfId="74" xr:uid="{00000000-0005-0000-0000-0000C9000000}"/>
    <cellStyle name="Normal 72 2" xfId="196" xr:uid="{00000000-0005-0000-0000-0000CA000000}"/>
    <cellStyle name="Normal 73" xfId="75" xr:uid="{00000000-0005-0000-0000-0000CB000000}"/>
    <cellStyle name="Normal 73 2" xfId="197" xr:uid="{00000000-0005-0000-0000-0000CC000000}"/>
    <cellStyle name="Normal 74" xfId="76" xr:uid="{00000000-0005-0000-0000-0000CD000000}"/>
    <cellStyle name="Normal 74 2" xfId="198" xr:uid="{00000000-0005-0000-0000-0000CE000000}"/>
    <cellStyle name="Normal 75" xfId="77" xr:uid="{00000000-0005-0000-0000-0000CF000000}"/>
    <cellStyle name="Normal 75 2" xfId="199" xr:uid="{00000000-0005-0000-0000-0000D0000000}"/>
    <cellStyle name="Normal 76" xfId="78" xr:uid="{00000000-0005-0000-0000-0000D1000000}"/>
    <cellStyle name="Normal 76 2" xfId="200" xr:uid="{00000000-0005-0000-0000-0000D2000000}"/>
    <cellStyle name="Normal 77" xfId="79" xr:uid="{00000000-0005-0000-0000-0000D3000000}"/>
    <cellStyle name="Normal 77 2" xfId="201" xr:uid="{00000000-0005-0000-0000-0000D4000000}"/>
    <cellStyle name="Normal 78" xfId="80" xr:uid="{00000000-0005-0000-0000-0000D5000000}"/>
    <cellStyle name="Normal 78 2" xfId="202" xr:uid="{00000000-0005-0000-0000-0000D6000000}"/>
    <cellStyle name="Normal 79" xfId="81" xr:uid="{00000000-0005-0000-0000-0000D7000000}"/>
    <cellStyle name="Normal 79 2" xfId="203" xr:uid="{00000000-0005-0000-0000-0000D8000000}"/>
    <cellStyle name="Normal 8" xfId="10" xr:uid="{00000000-0005-0000-0000-0000D9000000}"/>
    <cellStyle name="Normal 8 2" xfId="134" xr:uid="{00000000-0005-0000-0000-0000DA000000}"/>
    <cellStyle name="Normal 80" xfId="82" xr:uid="{00000000-0005-0000-0000-0000DB000000}"/>
    <cellStyle name="Normal 80 2" xfId="204" xr:uid="{00000000-0005-0000-0000-0000DC000000}"/>
    <cellStyle name="Normal 81" xfId="83" xr:uid="{00000000-0005-0000-0000-0000DD000000}"/>
    <cellStyle name="Normal 81 2" xfId="205" xr:uid="{00000000-0005-0000-0000-0000DE000000}"/>
    <cellStyle name="Normal 82" xfId="84" xr:uid="{00000000-0005-0000-0000-0000DF000000}"/>
    <cellStyle name="Normal 82 2" xfId="206" xr:uid="{00000000-0005-0000-0000-0000E0000000}"/>
    <cellStyle name="Normal 83" xfId="85" xr:uid="{00000000-0005-0000-0000-0000E1000000}"/>
    <cellStyle name="Normal 83 2" xfId="207" xr:uid="{00000000-0005-0000-0000-0000E2000000}"/>
    <cellStyle name="Normal 84" xfId="86" xr:uid="{00000000-0005-0000-0000-0000E3000000}"/>
    <cellStyle name="Normal 84 2" xfId="208" xr:uid="{00000000-0005-0000-0000-0000E4000000}"/>
    <cellStyle name="Normal 85" xfId="87" xr:uid="{00000000-0005-0000-0000-0000E5000000}"/>
    <cellStyle name="Normal 85 2" xfId="209" xr:uid="{00000000-0005-0000-0000-0000E6000000}"/>
    <cellStyle name="Normal 86" xfId="88" xr:uid="{00000000-0005-0000-0000-0000E7000000}"/>
    <cellStyle name="Normal 86 2" xfId="210" xr:uid="{00000000-0005-0000-0000-0000E8000000}"/>
    <cellStyle name="Normal 87" xfId="89" xr:uid="{00000000-0005-0000-0000-0000E9000000}"/>
    <cellStyle name="Normal 87 2" xfId="211" xr:uid="{00000000-0005-0000-0000-0000EA000000}"/>
    <cellStyle name="Normal 88" xfId="90" xr:uid="{00000000-0005-0000-0000-0000EB000000}"/>
    <cellStyle name="Normal 88 2" xfId="212" xr:uid="{00000000-0005-0000-0000-0000EC000000}"/>
    <cellStyle name="Normal 89" xfId="91" xr:uid="{00000000-0005-0000-0000-0000ED000000}"/>
    <cellStyle name="Normal 89 2" xfId="213" xr:uid="{00000000-0005-0000-0000-0000EE000000}"/>
    <cellStyle name="Normal 9" xfId="11" xr:uid="{00000000-0005-0000-0000-0000EF000000}"/>
    <cellStyle name="Normal 9 2" xfId="135" xr:uid="{00000000-0005-0000-0000-0000F0000000}"/>
    <cellStyle name="Normal 90" xfId="92" xr:uid="{00000000-0005-0000-0000-0000F1000000}"/>
    <cellStyle name="Normal 90 2" xfId="214" xr:uid="{00000000-0005-0000-0000-0000F2000000}"/>
    <cellStyle name="Normal 91" xfId="93" xr:uid="{00000000-0005-0000-0000-0000F3000000}"/>
    <cellStyle name="Normal 91 2" xfId="215" xr:uid="{00000000-0005-0000-0000-0000F4000000}"/>
    <cellStyle name="Normal 92" xfId="94" xr:uid="{00000000-0005-0000-0000-0000F5000000}"/>
    <cellStyle name="Normal 92 2" xfId="216" xr:uid="{00000000-0005-0000-0000-0000F6000000}"/>
    <cellStyle name="Normal 93" xfId="95" xr:uid="{00000000-0005-0000-0000-0000F7000000}"/>
    <cellStyle name="Normal 93 2" xfId="217" xr:uid="{00000000-0005-0000-0000-0000F8000000}"/>
    <cellStyle name="Normal 94" xfId="96" xr:uid="{00000000-0005-0000-0000-0000F9000000}"/>
    <cellStyle name="Normal 94 2" xfId="218" xr:uid="{00000000-0005-0000-0000-0000FA000000}"/>
    <cellStyle name="Normal 95" xfId="97" xr:uid="{00000000-0005-0000-0000-0000FB000000}"/>
    <cellStyle name="Normal 95 2" xfId="219" xr:uid="{00000000-0005-0000-0000-0000FC000000}"/>
    <cellStyle name="Normal 96" xfId="98" xr:uid="{00000000-0005-0000-0000-0000FD000000}"/>
    <cellStyle name="Normal 96 2" xfId="220" xr:uid="{00000000-0005-0000-0000-0000FE000000}"/>
    <cellStyle name="Normal 97" xfId="99" xr:uid="{00000000-0005-0000-0000-0000FF000000}"/>
    <cellStyle name="Normal 97 2" xfId="221" xr:uid="{00000000-0005-0000-0000-000000010000}"/>
    <cellStyle name="Normal 98" xfId="100" xr:uid="{00000000-0005-0000-0000-000001010000}"/>
    <cellStyle name="Normal 98 2" xfId="222" xr:uid="{00000000-0005-0000-0000-000002010000}"/>
    <cellStyle name="Normal 99" xfId="101" xr:uid="{00000000-0005-0000-0000-000003010000}"/>
    <cellStyle name="Normal 99 2" xfId="223" xr:uid="{00000000-0005-0000-0000-00000401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 of Rock</a:t>
            </a:r>
            <a:r>
              <a:rPr lang="en-US" baseline="0"/>
              <a:t> Creek 48-inch meter </a:t>
            </a:r>
            <a:endParaRPr lang="en-US"/>
          </a:p>
        </c:rich>
      </c:tx>
      <c:layout>
        <c:manualLayout>
          <c:xMode val="edge"/>
          <c:yMode val="edge"/>
          <c:x val="0.40326124888911752"/>
          <c:y val="3.06394225138799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346000306304446E-2"/>
          <c:y val="9.2317818523742365E-2"/>
          <c:w val="0.94666735009120828"/>
          <c:h val="0.7762166964672434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3.4359067666342502E-2"/>
                  <c:y val="7.402344805629902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4F-4EE5-AB41-5F9DC5BB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520032"/>
        <c:axId val="453521600"/>
      </c:lineChart>
      <c:catAx>
        <c:axId val="45352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1600"/>
        <c:crosses val="autoZero"/>
        <c:auto val="1"/>
        <c:lblAlgn val="ctr"/>
        <c:lblOffset val="100"/>
        <c:tickLblSkip val="1"/>
        <c:noMultiLvlLbl val="1"/>
      </c:catAx>
      <c:valAx>
        <c:axId val="45352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0032"/>
        <c:crossesAt val="3972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Fairfax</a:t>
            </a:r>
            <a:r>
              <a:rPr lang="en-US" baseline="0"/>
              <a:t> Actual Flow and Adjusted Flow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CE3-4466-A5C5-6AF4FD50E4E4}"/>
            </c:ext>
          </c:extLst>
        </c:ser>
        <c:ser>
          <c:idx val="3"/>
          <c:order val="1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2CE3-4466-A5C5-6AF4FD50E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47904"/>
        <c:axId val="648644296"/>
      </c:lineChart>
      <c:catAx>
        <c:axId val="64864790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4296"/>
        <c:crosses val="autoZero"/>
        <c:auto val="1"/>
        <c:lblAlgn val="ctr"/>
        <c:lblOffset val="100"/>
        <c:tickLblSkip val="1"/>
        <c:noMultiLvlLbl val="1"/>
      </c:catAx>
      <c:valAx>
        <c:axId val="648644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(MGD)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790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17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6"/>
  <sheetViews>
    <sheetView workbookViewId="0"/>
  </sheetViews>
  <pageMargins left="0.7" right="0.7" top="0.75" bottom="0.75" header="0.3" footer="0.3"/>
  <pageSetup orientation="landscape" r:id="rId1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9</xdr:col>
      <xdr:colOff>0</xdr:colOff>
      <xdr:row>5</xdr:row>
      <xdr:rowOff>0</xdr:rowOff>
    </xdr:to>
    <xdr:sp macro="" textlink="">
      <xdr:nvSpPr>
        <xdr:cNvPr id="74753" name="Rectangle 1">
          <a:extLst>
            <a:ext uri="{FF2B5EF4-FFF2-40B4-BE49-F238E27FC236}">
              <a16:creationId xmlns:a16="http://schemas.microsoft.com/office/drawing/2014/main" id="{00000000-0008-0000-0100-000001240100}"/>
            </a:ext>
          </a:extLst>
        </xdr:cNvPr>
        <xdr:cNvSpPr>
          <a:spLocks noChangeArrowheads="1"/>
        </xdr:cNvSpPr>
      </xdr:nvSpPr>
      <xdr:spPr bwMode="auto">
        <a:xfrm>
          <a:off x="4876800" y="581025"/>
          <a:ext cx="60960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DULLES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19050</xdr:colOff>
      <xdr:row>8</xdr:row>
      <xdr:rowOff>28575</xdr:rowOff>
    </xdr:to>
    <xdr:sp macro="" textlink="">
      <xdr:nvSpPr>
        <xdr:cNvPr id="74754" name="Text Box 2">
          <a:extLst>
            <a:ext uri="{FF2B5EF4-FFF2-40B4-BE49-F238E27FC236}">
              <a16:creationId xmlns:a16="http://schemas.microsoft.com/office/drawing/2014/main" id="{00000000-0008-0000-0100-000002240100}"/>
            </a:ext>
          </a:extLst>
        </xdr:cNvPr>
        <xdr:cNvSpPr txBox="1">
          <a:spLocks noChangeArrowheads="1"/>
        </xdr:cNvSpPr>
      </xdr:nvSpPr>
      <xdr:spPr bwMode="auto">
        <a:xfrm>
          <a:off x="4876800" y="1066800"/>
          <a:ext cx="6286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VIENNA</a:t>
          </a:r>
        </a:p>
      </xdr:txBody>
    </xdr:sp>
    <xdr:clientData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11</xdr:row>
      <xdr:rowOff>28575</xdr:rowOff>
    </xdr:to>
    <xdr:sp macro="" textlink="">
      <xdr:nvSpPr>
        <xdr:cNvPr id="74755" name="Text Box 3">
          <a:extLst>
            <a:ext uri="{FF2B5EF4-FFF2-40B4-BE49-F238E27FC236}">
              <a16:creationId xmlns:a16="http://schemas.microsoft.com/office/drawing/2014/main" id="{00000000-0008-0000-0100-000003240100}"/>
            </a:ext>
          </a:extLst>
        </xdr:cNvPr>
        <xdr:cNvSpPr txBox="1">
          <a:spLocks noChangeArrowheads="1"/>
        </xdr:cNvSpPr>
      </xdr:nvSpPr>
      <xdr:spPr bwMode="auto">
        <a:xfrm>
          <a:off x="4876800" y="1552575"/>
          <a:ext cx="60960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LCSA</a:t>
          </a:r>
        </a:p>
      </xdr:txBody>
    </xdr:sp>
    <xdr:clientData/>
  </xdr:twoCellAnchor>
  <xdr:twoCellAnchor>
    <xdr:from>
      <xdr:col>8</xdr:col>
      <xdr:colOff>9525</xdr:colOff>
      <xdr:row>12</xdr:row>
      <xdr:rowOff>9525</xdr:rowOff>
    </xdr:from>
    <xdr:to>
      <xdr:col>9</xdr:col>
      <xdr:colOff>0</xdr:colOff>
      <xdr:row>14</xdr:row>
      <xdr:rowOff>0</xdr:rowOff>
    </xdr:to>
    <xdr:sp macro="" textlink="">
      <xdr:nvSpPr>
        <xdr:cNvPr id="74756" name="Text Box 4">
          <a:extLst>
            <a:ext uri="{FF2B5EF4-FFF2-40B4-BE49-F238E27FC236}">
              <a16:creationId xmlns:a16="http://schemas.microsoft.com/office/drawing/2014/main" id="{00000000-0008-0000-0100-000004240100}"/>
            </a:ext>
          </a:extLst>
        </xdr:cNvPr>
        <xdr:cNvSpPr txBox="1">
          <a:spLocks noChangeArrowheads="1"/>
        </xdr:cNvSpPr>
      </xdr:nvSpPr>
      <xdr:spPr bwMode="auto">
        <a:xfrm>
          <a:off x="4886325" y="2047875"/>
          <a:ext cx="6000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FAIRFAX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COUNTY</a:t>
          </a:r>
        </a:p>
      </xdr:txBody>
    </xdr:sp>
    <xdr:clientData/>
  </xdr:twoCellAnchor>
  <xdr:twoCellAnchor editAs="oneCell">
    <xdr:from>
      <xdr:col>8</xdr:col>
      <xdr:colOff>0</xdr:colOff>
      <xdr:row>15</xdr:row>
      <xdr:rowOff>0</xdr:rowOff>
    </xdr:from>
    <xdr:to>
      <xdr:col>9</xdr:col>
      <xdr:colOff>0</xdr:colOff>
      <xdr:row>17</xdr:row>
      <xdr:rowOff>38100</xdr:rowOff>
    </xdr:to>
    <xdr:sp macro="" textlink="">
      <xdr:nvSpPr>
        <xdr:cNvPr id="74757" name="Text Box 5">
          <a:extLst>
            <a:ext uri="{FF2B5EF4-FFF2-40B4-BE49-F238E27FC236}">
              <a16:creationId xmlns:a16="http://schemas.microsoft.com/office/drawing/2014/main" id="{00000000-0008-0000-0100-000005240100}"/>
            </a:ext>
          </a:extLst>
        </xdr:cNvPr>
        <xdr:cNvSpPr txBox="1">
          <a:spLocks noChangeArrowheads="1"/>
        </xdr:cNvSpPr>
      </xdr:nvSpPr>
      <xdr:spPr bwMode="auto">
        <a:xfrm>
          <a:off x="4876800" y="2524125"/>
          <a:ext cx="609600" cy="361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WSSC</a:t>
          </a:r>
        </a:p>
      </xdr:txBody>
    </xdr:sp>
    <xdr:clientData/>
  </xdr:twoCellAnchor>
  <xdr:twoCellAnchor>
    <xdr:from>
      <xdr:col>8</xdr:col>
      <xdr:colOff>9525</xdr:colOff>
      <xdr:row>18</xdr:row>
      <xdr:rowOff>0</xdr:rowOff>
    </xdr:from>
    <xdr:to>
      <xdr:col>9</xdr:col>
      <xdr:colOff>0</xdr:colOff>
      <xdr:row>20</xdr:row>
      <xdr:rowOff>28575</xdr:rowOff>
    </xdr:to>
    <xdr:sp macro="" textlink="">
      <xdr:nvSpPr>
        <xdr:cNvPr id="74758" name="Text Box 6">
          <a:extLst>
            <a:ext uri="{FF2B5EF4-FFF2-40B4-BE49-F238E27FC236}">
              <a16:creationId xmlns:a16="http://schemas.microsoft.com/office/drawing/2014/main" id="{00000000-0008-0000-0100-000006240100}"/>
            </a:ext>
          </a:extLst>
        </xdr:cNvPr>
        <xdr:cNvSpPr txBox="1">
          <a:spLocks noChangeArrowheads="1"/>
        </xdr:cNvSpPr>
      </xdr:nvSpPr>
      <xdr:spPr bwMode="auto">
        <a:xfrm>
          <a:off x="4886325" y="3009900"/>
          <a:ext cx="600075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WASA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DWT</a:t>
          </a: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12</xdr:col>
      <xdr:colOff>0</xdr:colOff>
      <xdr:row>25</xdr:row>
      <xdr:rowOff>0</xdr:rowOff>
    </xdr:to>
    <xdr:sp macro="" textlink="">
      <xdr:nvSpPr>
        <xdr:cNvPr id="74759" name="Text Box 7">
          <a:extLst>
            <a:ext uri="{FF2B5EF4-FFF2-40B4-BE49-F238E27FC236}">
              <a16:creationId xmlns:a16="http://schemas.microsoft.com/office/drawing/2014/main" id="{00000000-0008-0000-0100-000007240100}"/>
            </a:ext>
          </a:extLst>
        </xdr:cNvPr>
        <xdr:cNvSpPr txBox="1">
          <a:spLocks noChangeArrowheads="1"/>
        </xdr:cNvSpPr>
      </xdr:nvSpPr>
      <xdr:spPr bwMode="auto">
        <a:xfrm>
          <a:off x="6096000" y="3495675"/>
          <a:ext cx="1323975" cy="647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BLUE PLAINS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SERVICE AREA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MONTHLY FLOW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REPORT</a:t>
          </a:r>
        </a:p>
      </xdr:txBody>
    </xdr:sp>
    <xdr:clientData/>
  </xdr:twoCellAnchor>
  <xdr:twoCellAnchor>
    <xdr:from>
      <xdr:col>10</xdr:col>
      <xdr:colOff>0</xdr:colOff>
      <xdr:row>26</xdr:row>
      <xdr:rowOff>0</xdr:rowOff>
    </xdr:from>
    <xdr:to>
      <xdr:col>12</xdr:col>
      <xdr:colOff>0</xdr:colOff>
      <xdr:row>30</xdr:row>
      <xdr:rowOff>0</xdr:rowOff>
    </xdr:to>
    <xdr:sp macro="" textlink="">
      <xdr:nvSpPr>
        <xdr:cNvPr id="74760" name="Text Box 8">
          <a:extLst>
            <a:ext uri="{FF2B5EF4-FFF2-40B4-BE49-F238E27FC236}">
              <a16:creationId xmlns:a16="http://schemas.microsoft.com/office/drawing/2014/main" id="{00000000-0008-0000-0100-000008240100}"/>
            </a:ext>
          </a:extLst>
        </xdr:cNvPr>
        <xdr:cNvSpPr txBox="1">
          <a:spLocks noChangeArrowheads="1"/>
        </xdr:cNvSpPr>
      </xdr:nvSpPr>
      <xdr:spPr bwMode="auto">
        <a:xfrm>
          <a:off x="6096000" y="4305300"/>
          <a:ext cx="1323975" cy="647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RECAP OF MONTHLY AND ANNUAL AVERAGE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DAILY FLOWS</a:t>
          </a: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1633693" name="Line 9">
          <a:extLst>
            <a:ext uri="{FF2B5EF4-FFF2-40B4-BE49-F238E27FC236}">
              <a16:creationId xmlns:a16="http://schemas.microsoft.com/office/drawing/2014/main" id="{00000000-0008-0000-0100-00009DED1800}"/>
            </a:ext>
          </a:extLst>
        </xdr:cNvPr>
        <xdr:cNvSpPr>
          <a:spLocks noChangeShapeType="1"/>
        </xdr:cNvSpPr>
      </xdr:nvSpPr>
      <xdr:spPr bwMode="auto">
        <a:xfrm flipH="1">
          <a:off x="5486400" y="3819525"/>
          <a:ext cx="6096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1633694" name="Line 10">
          <a:extLst>
            <a:ext uri="{FF2B5EF4-FFF2-40B4-BE49-F238E27FC236}">
              <a16:creationId xmlns:a16="http://schemas.microsoft.com/office/drawing/2014/main" id="{00000000-0008-0000-0100-00009EED1800}"/>
            </a:ext>
          </a:extLst>
        </xdr:cNvPr>
        <xdr:cNvSpPr>
          <a:spLocks noChangeShapeType="1"/>
        </xdr:cNvSpPr>
      </xdr:nvSpPr>
      <xdr:spPr bwMode="auto">
        <a:xfrm flipH="1" flipV="1">
          <a:off x="5486400" y="4305300"/>
          <a:ext cx="6096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238125</xdr:colOff>
      <xdr:row>24</xdr:row>
      <xdr:rowOff>0</xdr:rowOff>
    </xdr:from>
    <xdr:to>
      <xdr:col>9</xdr:col>
      <xdr:colOff>0</xdr:colOff>
      <xdr:row>27</xdr:row>
      <xdr:rowOff>0</xdr:rowOff>
    </xdr:to>
    <xdr:sp macro="" textlink="">
      <xdr:nvSpPr>
        <xdr:cNvPr id="74763" name="AutoShape 11">
          <a:extLst>
            <a:ext uri="{FF2B5EF4-FFF2-40B4-BE49-F238E27FC236}">
              <a16:creationId xmlns:a16="http://schemas.microsoft.com/office/drawing/2014/main" id="{00000000-0008-0000-0100-00000B240100}"/>
            </a:ext>
          </a:extLst>
        </xdr:cNvPr>
        <xdr:cNvSpPr>
          <a:spLocks noChangeArrowheads="1"/>
        </xdr:cNvSpPr>
      </xdr:nvSpPr>
      <xdr:spPr bwMode="auto">
        <a:xfrm>
          <a:off x="4505325" y="3981450"/>
          <a:ext cx="981075" cy="485775"/>
        </a:xfrm>
        <a:prstGeom prst="leftArrow">
          <a:avLst>
            <a:gd name="adj1" fmla="val 50000"/>
            <a:gd name="adj2" fmla="val 5049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74764" name="Text Box 12">
          <a:extLst>
            <a:ext uri="{FF2B5EF4-FFF2-40B4-BE49-F238E27FC236}">
              <a16:creationId xmlns:a16="http://schemas.microsoft.com/office/drawing/2014/main" id="{00000000-0008-0000-0100-00000C240100}"/>
            </a:ext>
          </a:extLst>
        </xdr:cNvPr>
        <xdr:cNvSpPr txBox="1">
          <a:spLocks noChangeArrowheads="1"/>
        </xdr:cNvSpPr>
      </xdr:nvSpPr>
      <xdr:spPr bwMode="auto">
        <a:xfrm>
          <a:off x="4876800" y="4143375"/>
          <a:ext cx="609600" cy="161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MAIL</a:t>
          </a:r>
        </a:p>
      </xdr:txBody>
    </xdr:sp>
    <xdr:clientData/>
  </xdr:twoCellAnchor>
  <xdr:twoCellAnchor>
    <xdr:from>
      <xdr:col>8</xdr:col>
      <xdr:colOff>600075</xdr:colOff>
      <xdr:row>19</xdr:row>
      <xdr:rowOff>0</xdr:rowOff>
    </xdr:from>
    <xdr:to>
      <xdr:col>14</xdr:col>
      <xdr:colOff>0</xdr:colOff>
      <xdr:row>19</xdr:row>
      <xdr:rowOff>0</xdr:rowOff>
    </xdr:to>
    <xdr:sp macro="" textlink="">
      <xdr:nvSpPr>
        <xdr:cNvPr id="1633697" name="Line 13">
          <a:extLst>
            <a:ext uri="{FF2B5EF4-FFF2-40B4-BE49-F238E27FC236}">
              <a16:creationId xmlns:a16="http://schemas.microsoft.com/office/drawing/2014/main" id="{00000000-0008-0000-0100-0000A1ED1800}"/>
            </a:ext>
          </a:extLst>
        </xdr:cNvPr>
        <xdr:cNvSpPr>
          <a:spLocks noChangeShapeType="1"/>
        </xdr:cNvSpPr>
      </xdr:nvSpPr>
      <xdr:spPr bwMode="auto">
        <a:xfrm>
          <a:off x="5476875" y="3171825"/>
          <a:ext cx="3162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26</xdr:col>
      <xdr:colOff>0</xdr:colOff>
      <xdr:row>4</xdr:row>
      <xdr:rowOff>0</xdr:rowOff>
    </xdr:from>
    <xdr:to>
      <xdr:col>26</xdr:col>
      <xdr:colOff>0</xdr:colOff>
      <xdr:row>33</xdr:row>
      <xdr:rowOff>0</xdr:rowOff>
    </xdr:to>
    <xdr:sp macro="" textlink="">
      <xdr:nvSpPr>
        <xdr:cNvPr id="1633698" name="Line 14">
          <a:extLst>
            <a:ext uri="{FF2B5EF4-FFF2-40B4-BE49-F238E27FC236}">
              <a16:creationId xmlns:a16="http://schemas.microsoft.com/office/drawing/2014/main" id="{00000000-0008-0000-0100-0000A2ED1800}"/>
            </a:ext>
          </a:extLst>
        </xdr:cNvPr>
        <xdr:cNvSpPr>
          <a:spLocks noChangeShapeType="1"/>
        </xdr:cNvSpPr>
      </xdr:nvSpPr>
      <xdr:spPr bwMode="auto">
        <a:xfrm>
          <a:off x="13639800" y="742950"/>
          <a:ext cx="0" cy="470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24</xdr:col>
      <xdr:colOff>0</xdr:colOff>
      <xdr:row>7</xdr:row>
      <xdr:rowOff>0</xdr:rowOff>
    </xdr:from>
    <xdr:to>
      <xdr:col>24</xdr:col>
      <xdr:colOff>0</xdr:colOff>
      <xdr:row>33</xdr:row>
      <xdr:rowOff>0</xdr:rowOff>
    </xdr:to>
    <xdr:sp macro="" textlink="">
      <xdr:nvSpPr>
        <xdr:cNvPr id="1633699" name="Line 15">
          <a:extLst>
            <a:ext uri="{FF2B5EF4-FFF2-40B4-BE49-F238E27FC236}">
              <a16:creationId xmlns:a16="http://schemas.microsoft.com/office/drawing/2014/main" id="{00000000-0008-0000-0100-0000A3ED1800}"/>
            </a:ext>
          </a:extLst>
        </xdr:cNvPr>
        <xdr:cNvSpPr>
          <a:spLocks noChangeShapeType="1"/>
        </xdr:cNvSpPr>
      </xdr:nvSpPr>
      <xdr:spPr bwMode="auto">
        <a:xfrm>
          <a:off x="12934950" y="1228725"/>
          <a:ext cx="0" cy="421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22</xdr:col>
      <xdr:colOff>0</xdr:colOff>
      <xdr:row>10</xdr:row>
      <xdr:rowOff>0</xdr:rowOff>
    </xdr:from>
    <xdr:to>
      <xdr:col>22</xdr:col>
      <xdr:colOff>0</xdr:colOff>
      <xdr:row>33</xdr:row>
      <xdr:rowOff>0</xdr:rowOff>
    </xdr:to>
    <xdr:sp macro="" textlink="">
      <xdr:nvSpPr>
        <xdr:cNvPr id="1633700" name="Line 16">
          <a:extLst>
            <a:ext uri="{FF2B5EF4-FFF2-40B4-BE49-F238E27FC236}">
              <a16:creationId xmlns:a16="http://schemas.microsoft.com/office/drawing/2014/main" id="{00000000-0008-0000-0100-0000A4ED1800}"/>
            </a:ext>
          </a:extLst>
        </xdr:cNvPr>
        <xdr:cNvSpPr>
          <a:spLocks noChangeShapeType="1"/>
        </xdr:cNvSpPr>
      </xdr:nvSpPr>
      <xdr:spPr bwMode="auto">
        <a:xfrm>
          <a:off x="12230100" y="1714500"/>
          <a:ext cx="0" cy="3733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20</xdr:col>
      <xdr:colOff>0</xdr:colOff>
      <xdr:row>13</xdr:row>
      <xdr:rowOff>0</xdr:rowOff>
    </xdr:from>
    <xdr:to>
      <xdr:col>20</xdr:col>
      <xdr:colOff>0</xdr:colOff>
      <xdr:row>33</xdr:row>
      <xdr:rowOff>0</xdr:rowOff>
    </xdr:to>
    <xdr:sp macro="" textlink="">
      <xdr:nvSpPr>
        <xdr:cNvPr id="1633701" name="Line 17">
          <a:extLst>
            <a:ext uri="{FF2B5EF4-FFF2-40B4-BE49-F238E27FC236}">
              <a16:creationId xmlns:a16="http://schemas.microsoft.com/office/drawing/2014/main" id="{00000000-0008-0000-0100-0000A5ED1800}"/>
            </a:ext>
          </a:extLst>
        </xdr:cNvPr>
        <xdr:cNvSpPr>
          <a:spLocks noChangeShapeType="1"/>
        </xdr:cNvSpPr>
      </xdr:nvSpPr>
      <xdr:spPr bwMode="auto">
        <a:xfrm>
          <a:off x="11525250" y="2200275"/>
          <a:ext cx="0" cy="3248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18</xdr:col>
      <xdr:colOff>0</xdr:colOff>
      <xdr:row>16</xdr:row>
      <xdr:rowOff>0</xdr:rowOff>
    </xdr:from>
    <xdr:to>
      <xdr:col>18</xdr:col>
      <xdr:colOff>0</xdr:colOff>
      <xdr:row>33</xdr:row>
      <xdr:rowOff>0</xdr:rowOff>
    </xdr:to>
    <xdr:sp macro="" textlink="">
      <xdr:nvSpPr>
        <xdr:cNvPr id="1633702" name="Line 18">
          <a:extLst>
            <a:ext uri="{FF2B5EF4-FFF2-40B4-BE49-F238E27FC236}">
              <a16:creationId xmlns:a16="http://schemas.microsoft.com/office/drawing/2014/main" id="{00000000-0008-0000-0100-0000A6ED1800}"/>
            </a:ext>
          </a:extLst>
        </xdr:cNvPr>
        <xdr:cNvSpPr>
          <a:spLocks noChangeShapeType="1"/>
        </xdr:cNvSpPr>
      </xdr:nvSpPr>
      <xdr:spPr bwMode="auto">
        <a:xfrm>
          <a:off x="10820400" y="2686050"/>
          <a:ext cx="0" cy="2762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36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1633703" name="Line 19">
          <a:extLst>
            <a:ext uri="{FF2B5EF4-FFF2-40B4-BE49-F238E27FC236}">
              <a16:creationId xmlns:a16="http://schemas.microsoft.com/office/drawing/2014/main" id="{00000000-0008-0000-0100-0000A7ED1800}"/>
            </a:ext>
          </a:extLst>
        </xdr:cNvPr>
        <xdr:cNvSpPr>
          <a:spLocks noChangeShapeType="1"/>
        </xdr:cNvSpPr>
      </xdr:nvSpPr>
      <xdr:spPr bwMode="auto">
        <a:xfrm flipH="1">
          <a:off x="8639175" y="59626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38</xdr:row>
      <xdr:rowOff>0</xdr:rowOff>
    </xdr:from>
    <xdr:to>
      <xdr:col>16</xdr:col>
      <xdr:colOff>0</xdr:colOff>
      <xdr:row>38</xdr:row>
      <xdr:rowOff>0</xdr:rowOff>
    </xdr:to>
    <xdr:sp macro="" textlink="">
      <xdr:nvSpPr>
        <xdr:cNvPr id="1633704" name="Line 20">
          <a:extLst>
            <a:ext uri="{FF2B5EF4-FFF2-40B4-BE49-F238E27FC236}">
              <a16:creationId xmlns:a16="http://schemas.microsoft.com/office/drawing/2014/main" id="{00000000-0008-0000-0100-0000A8ED1800}"/>
            </a:ext>
          </a:extLst>
        </xdr:cNvPr>
        <xdr:cNvSpPr>
          <a:spLocks noChangeShapeType="1"/>
        </xdr:cNvSpPr>
      </xdr:nvSpPr>
      <xdr:spPr bwMode="auto">
        <a:xfrm flipH="1">
          <a:off x="8639175" y="628650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581025</xdr:colOff>
      <xdr:row>22</xdr:row>
      <xdr:rowOff>114300</xdr:rowOff>
    </xdr:from>
    <xdr:to>
      <xdr:col>13</xdr:col>
      <xdr:colOff>28575</xdr:colOff>
      <xdr:row>22</xdr:row>
      <xdr:rowOff>152400</xdr:rowOff>
    </xdr:to>
    <xdr:sp macro="" textlink="">
      <xdr:nvSpPr>
        <xdr:cNvPr id="1633705" name="Freeform 21">
          <a:extLst>
            <a:ext uri="{FF2B5EF4-FFF2-40B4-BE49-F238E27FC236}">
              <a16:creationId xmlns:a16="http://schemas.microsoft.com/office/drawing/2014/main" id="{00000000-0008-0000-0100-0000A9ED1800}"/>
            </a:ext>
          </a:extLst>
        </xdr:cNvPr>
        <xdr:cNvSpPr>
          <a:spLocks/>
        </xdr:cNvSpPr>
      </xdr:nvSpPr>
      <xdr:spPr bwMode="auto">
        <a:xfrm flipV="1">
          <a:off x="7391400" y="3771900"/>
          <a:ext cx="666750" cy="38100"/>
        </a:xfrm>
        <a:custGeom>
          <a:avLst/>
          <a:gdLst>
            <a:gd name="T0" fmla="*/ 2147483647 w 186"/>
            <a:gd name="T1" fmla="*/ 0 h 1"/>
            <a:gd name="T2" fmla="*/ 2147483647 w 186"/>
            <a:gd name="T3" fmla="*/ 0 h 1"/>
            <a:gd name="T4" fmla="*/ 0 w 186"/>
            <a:gd name="T5" fmla="*/ 0 h 1"/>
            <a:gd name="T6" fmla="*/ 0 60000 65536"/>
            <a:gd name="T7" fmla="*/ 0 60000 65536"/>
            <a:gd name="T8" fmla="*/ 0 60000 65536"/>
            <a:gd name="T9" fmla="*/ 0 w 186"/>
            <a:gd name="T10" fmla="*/ 0 h 1"/>
            <a:gd name="T11" fmla="*/ 186 w 186"/>
            <a:gd name="T12" fmla="*/ 1 h 1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86" h="1">
              <a:moveTo>
                <a:pt x="186" y="0"/>
              </a:moveTo>
              <a:lnTo>
                <a:pt x="9" y="0"/>
              </a:lnTo>
              <a:lnTo>
                <a:pt x="0" y="0"/>
              </a:lnTo>
            </a:path>
          </a:pathLst>
        </a:custGeom>
        <a:noFill/>
        <a:ln w="127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28</xdr:row>
      <xdr:rowOff>0</xdr:rowOff>
    </xdr:from>
    <xdr:to>
      <xdr:col>16</xdr:col>
      <xdr:colOff>0</xdr:colOff>
      <xdr:row>33</xdr:row>
      <xdr:rowOff>0</xdr:rowOff>
    </xdr:to>
    <xdr:sp macro="" textlink="">
      <xdr:nvSpPr>
        <xdr:cNvPr id="1633706" name="Line 22">
          <a:extLst>
            <a:ext uri="{FF2B5EF4-FFF2-40B4-BE49-F238E27FC236}">
              <a16:creationId xmlns:a16="http://schemas.microsoft.com/office/drawing/2014/main" id="{00000000-0008-0000-0100-0000AAED1800}"/>
            </a:ext>
          </a:extLst>
        </xdr:cNvPr>
        <xdr:cNvSpPr>
          <a:spLocks noChangeShapeType="1"/>
        </xdr:cNvSpPr>
      </xdr:nvSpPr>
      <xdr:spPr bwMode="auto">
        <a:xfrm flipV="1">
          <a:off x="9858375" y="4629150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581025</xdr:colOff>
      <xdr:row>28</xdr:row>
      <xdr:rowOff>0</xdr:rowOff>
    </xdr:from>
    <xdr:to>
      <xdr:col>16</xdr:col>
      <xdr:colOff>0</xdr:colOff>
      <xdr:row>28</xdr:row>
      <xdr:rowOff>0</xdr:rowOff>
    </xdr:to>
    <xdr:sp macro="" textlink="">
      <xdr:nvSpPr>
        <xdr:cNvPr id="1633707" name="Line 23">
          <a:extLst>
            <a:ext uri="{FF2B5EF4-FFF2-40B4-BE49-F238E27FC236}">
              <a16:creationId xmlns:a16="http://schemas.microsoft.com/office/drawing/2014/main" id="{00000000-0008-0000-0100-0000ABED1800}"/>
            </a:ext>
          </a:extLst>
        </xdr:cNvPr>
        <xdr:cNvSpPr>
          <a:spLocks noChangeShapeType="1"/>
        </xdr:cNvSpPr>
      </xdr:nvSpPr>
      <xdr:spPr bwMode="auto">
        <a:xfrm flipH="1">
          <a:off x="7391400" y="4629150"/>
          <a:ext cx="2466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13</xdr:col>
      <xdr:colOff>0</xdr:colOff>
      <xdr:row>29</xdr:row>
      <xdr:rowOff>0</xdr:rowOff>
    </xdr:from>
    <xdr:to>
      <xdr:col>13</xdr:col>
      <xdr:colOff>0</xdr:colOff>
      <xdr:row>33</xdr:row>
      <xdr:rowOff>0</xdr:rowOff>
    </xdr:to>
    <xdr:sp macro="" textlink="">
      <xdr:nvSpPr>
        <xdr:cNvPr id="1633708" name="Line 24">
          <a:extLst>
            <a:ext uri="{FF2B5EF4-FFF2-40B4-BE49-F238E27FC236}">
              <a16:creationId xmlns:a16="http://schemas.microsoft.com/office/drawing/2014/main" id="{00000000-0008-0000-0100-0000ACED1800}"/>
            </a:ext>
          </a:extLst>
        </xdr:cNvPr>
        <xdr:cNvSpPr>
          <a:spLocks noChangeShapeType="1"/>
        </xdr:cNvSpPr>
      </xdr:nvSpPr>
      <xdr:spPr bwMode="auto">
        <a:xfrm flipV="1">
          <a:off x="8029575" y="479107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13</xdr:col>
      <xdr:colOff>0</xdr:colOff>
      <xdr:row>23</xdr:row>
      <xdr:rowOff>0</xdr:rowOff>
    </xdr:from>
    <xdr:to>
      <xdr:col>13</xdr:col>
      <xdr:colOff>0</xdr:colOff>
      <xdr:row>27</xdr:row>
      <xdr:rowOff>0</xdr:rowOff>
    </xdr:to>
    <xdr:sp macro="" textlink="">
      <xdr:nvSpPr>
        <xdr:cNvPr id="1633709" name="Line 25">
          <a:extLst>
            <a:ext uri="{FF2B5EF4-FFF2-40B4-BE49-F238E27FC236}">
              <a16:creationId xmlns:a16="http://schemas.microsoft.com/office/drawing/2014/main" id="{00000000-0008-0000-0100-0000ADED1800}"/>
            </a:ext>
          </a:extLst>
        </xdr:cNvPr>
        <xdr:cNvSpPr>
          <a:spLocks noChangeShapeType="1"/>
        </xdr:cNvSpPr>
      </xdr:nvSpPr>
      <xdr:spPr bwMode="auto">
        <a:xfrm flipV="1">
          <a:off x="8029575" y="3819525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19</xdr:row>
      <xdr:rowOff>0</xdr:rowOff>
    </xdr:from>
    <xdr:to>
      <xdr:col>14</xdr:col>
      <xdr:colOff>0</xdr:colOff>
      <xdr:row>27</xdr:row>
      <xdr:rowOff>0</xdr:rowOff>
    </xdr:to>
    <xdr:sp macro="" textlink="">
      <xdr:nvSpPr>
        <xdr:cNvPr id="1633710" name="Line 26">
          <a:extLst>
            <a:ext uri="{FF2B5EF4-FFF2-40B4-BE49-F238E27FC236}">
              <a16:creationId xmlns:a16="http://schemas.microsoft.com/office/drawing/2014/main" id="{00000000-0008-0000-0100-0000AEED1800}"/>
            </a:ext>
          </a:extLst>
        </xdr:cNvPr>
        <xdr:cNvSpPr>
          <a:spLocks noChangeShapeType="1"/>
        </xdr:cNvSpPr>
      </xdr:nvSpPr>
      <xdr:spPr bwMode="auto">
        <a:xfrm>
          <a:off x="8639175" y="3171825"/>
          <a:ext cx="0" cy="1295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29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1633711" name="Line 27">
          <a:extLst>
            <a:ext uri="{FF2B5EF4-FFF2-40B4-BE49-F238E27FC236}">
              <a16:creationId xmlns:a16="http://schemas.microsoft.com/office/drawing/2014/main" id="{00000000-0008-0000-0100-0000AFED1800}"/>
            </a:ext>
          </a:extLst>
        </xdr:cNvPr>
        <xdr:cNvSpPr>
          <a:spLocks noChangeShapeType="1"/>
        </xdr:cNvSpPr>
      </xdr:nvSpPr>
      <xdr:spPr bwMode="auto">
        <a:xfrm>
          <a:off x="8639175" y="479107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9525</xdr:colOff>
      <xdr:row>4</xdr:row>
      <xdr:rowOff>0</xdr:rowOff>
    </xdr:from>
    <xdr:to>
      <xdr:col>12</xdr:col>
      <xdr:colOff>600075</xdr:colOff>
      <xdr:row>4</xdr:row>
      <xdr:rowOff>0</xdr:rowOff>
    </xdr:to>
    <xdr:sp macro="" textlink="">
      <xdr:nvSpPr>
        <xdr:cNvPr id="1633712" name="Line 28">
          <a:extLst>
            <a:ext uri="{FF2B5EF4-FFF2-40B4-BE49-F238E27FC236}">
              <a16:creationId xmlns:a16="http://schemas.microsoft.com/office/drawing/2014/main" id="{00000000-0008-0000-0100-0000B0ED1800}"/>
            </a:ext>
          </a:extLst>
        </xdr:cNvPr>
        <xdr:cNvSpPr>
          <a:spLocks noChangeShapeType="1"/>
        </xdr:cNvSpPr>
      </xdr:nvSpPr>
      <xdr:spPr bwMode="auto">
        <a:xfrm>
          <a:off x="5495925" y="742950"/>
          <a:ext cx="2524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600075</xdr:colOff>
      <xdr:row>4</xdr:row>
      <xdr:rowOff>0</xdr:rowOff>
    </xdr:from>
    <xdr:to>
      <xdr:col>26</xdr:col>
      <xdr:colOff>0</xdr:colOff>
      <xdr:row>4</xdr:row>
      <xdr:rowOff>0</xdr:rowOff>
    </xdr:to>
    <xdr:sp macro="" textlink="">
      <xdr:nvSpPr>
        <xdr:cNvPr id="1633713" name="Line 29">
          <a:extLst>
            <a:ext uri="{FF2B5EF4-FFF2-40B4-BE49-F238E27FC236}">
              <a16:creationId xmlns:a16="http://schemas.microsoft.com/office/drawing/2014/main" id="{00000000-0008-0000-0100-0000B1ED1800}"/>
            </a:ext>
          </a:extLst>
        </xdr:cNvPr>
        <xdr:cNvSpPr>
          <a:spLocks noChangeShapeType="1"/>
        </xdr:cNvSpPr>
      </xdr:nvSpPr>
      <xdr:spPr bwMode="auto">
        <a:xfrm>
          <a:off x="6696075" y="742950"/>
          <a:ext cx="6943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38100</xdr:colOff>
      <xdr:row>7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633714" name="Line 30">
          <a:extLst>
            <a:ext uri="{FF2B5EF4-FFF2-40B4-BE49-F238E27FC236}">
              <a16:creationId xmlns:a16="http://schemas.microsoft.com/office/drawing/2014/main" id="{00000000-0008-0000-0100-0000B2ED1800}"/>
            </a:ext>
          </a:extLst>
        </xdr:cNvPr>
        <xdr:cNvSpPr>
          <a:spLocks noChangeShapeType="1"/>
        </xdr:cNvSpPr>
      </xdr:nvSpPr>
      <xdr:spPr bwMode="auto">
        <a:xfrm>
          <a:off x="5524500" y="1228725"/>
          <a:ext cx="2505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13</xdr:col>
      <xdr:colOff>0</xdr:colOff>
      <xdr:row>10</xdr:row>
      <xdr:rowOff>0</xdr:rowOff>
    </xdr:to>
    <xdr:sp macro="" textlink="">
      <xdr:nvSpPr>
        <xdr:cNvPr id="1633715" name="Line 31">
          <a:extLst>
            <a:ext uri="{FF2B5EF4-FFF2-40B4-BE49-F238E27FC236}">
              <a16:creationId xmlns:a16="http://schemas.microsoft.com/office/drawing/2014/main" id="{00000000-0008-0000-0100-0000B3ED1800}"/>
            </a:ext>
          </a:extLst>
        </xdr:cNvPr>
        <xdr:cNvSpPr>
          <a:spLocks noChangeShapeType="1"/>
        </xdr:cNvSpPr>
      </xdr:nvSpPr>
      <xdr:spPr bwMode="auto">
        <a:xfrm>
          <a:off x="5486400" y="1714500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10</xdr:row>
      <xdr:rowOff>0</xdr:rowOff>
    </xdr:from>
    <xdr:to>
      <xdr:col>22</xdr:col>
      <xdr:colOff>0</xdr:colOff>
      <xdr:row>10</xdr:row>
      <xdr:rowOff>0</xdr:rowOff>
    </xdr:to>
    <xdr:sp macro="" textlink="">
      <xdr:nvSpPr>
        <xdr:cNvPr id="1633716" name="Line 32">
          <a:extLst>
            <a:ext uri="{FF2B5EF4-FFF2-40B4-BE49-F238E27FC236}">
              <a16:creationId xmlns:a16="http://schemas.microsoft.com/office/drawing/2014/main" id="{00000000-0008-0000-0100-0000B4ED1800}"/>
            </a:ext>
          </a:extLst>
        </xdr:cNvPr>
        <xdr:cNvSpPr>
          <a:spLocks noChangeShapeType="1"/>
        </xdr:cNvSpPr>
      </xdr:nvSpPr>
      <xdr:spPr bwMode="auto">
        <a:xfrm>
          <a:off x="6810375" y="1714500"/>
          <a:ext cx="5419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1633717" name="Line 33">
          <a:extLst>
            <a:ext uri="{FF2B5EF4-FFF2-40B4-BE49-F238E27FC236}">
              <a16:creationId xmlns:a16="http://schemas.microsoft.com/office/drawing/2014/main" id="{00000000-0008-0000-0100-0000B5ED1800}"/>
            </a:ext>
          </a:extLst>
        </xdr:cNvPr>
        <xdr:cNvSpPr>
          <a:spLocks noChangeShapeType="1"/>
        </xdr:cNvSpPr>
      </xdr:nvSpPr>
      <xdr:spPr bwMode="auto">
        <a:xfrm>
          <a:off x="5486400" y="2200275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13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1633718" name="Line 34">
          <a:extLst>
            <a:ext uri="{FF2B5EF4-FFF2-40B4-BE49-F238E27FC236}">
              <a16:creationId xmlns:a16="http://schemas.microsoft.com/office/drawing/2014/main" id="{00000000-0008-0000-0100-0000B6ED1800}"/>
            </a:ext>
          </a:extLst>
        </xdr:cNvPr>
        <xdr:cNvSpPr>
          <a:spLocks noChangeShapeType="1"/>
        </xdr:cNvSpPr>
      </xdr:nvSpPr>
      <xdr:spPr bwMode="auto">
        <a:xfrm>
          <a:off x="6810375" y="2200275"/>
          <a:ext cx="4714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13</xdr:col>
      <xdr:colOff>0</xdr:colOff>
      <xdr:row>16</xdr:row>
      <xdr:rowOff>0</xdr:rowOff>
    </xdr:to>
    <xdr:sp macro="" textlink="">
      <xdr:nvSpPr>
        <xdr:cNvPr id="1633719" name="Line 35">
          <a:extLst>
            <a:ext uri="{FF2B5EF4-FFF2-40B4-BE49-F238E27FC236}">
              <a16:creationId xmlns:a16="http://schemas.microsoft.com/office/drawing/2014/main" id="{00000000-0008-0000-0100-0000B7ED1800}"/>
            </a:ext>
          </a:extLst>
        </xdr:cNvPr>
        <xdr:cNvSpPr>
          <a:spLocks noChangeShapeType="1"/>
        </xdr:cNvSpPr>
      </xdr:nvSpPr>
      <xdr:spPr bwMode="auto">
        <a:xfrm>
          <a:off x="5486400" y="2686050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16</xdr:row>
      <xdr:rowOff>0</xdr:rowOff>
    </xdr:from>
    <xdr:to>
      <xdr:col>18</xdr:col>
      <xdr:colOff>0</xdr:colOff>
      <xdr:row>16</xdr:row>
      <xdr:rowOff>0</xdr:rowOff>
    </xdr:to>
    <xdr:sp macro="" textlink="">
      <xdr:nvSpPr>
        <xdr:cNvPr id="1633720" name="Line 36">
          <a:extLst>
            <a:ext uri="{FF2B5EF4-FFF2-40B4-BE49-F238E27FC236}">
              <a16:creationId xmlns:a16="http://schemas.microsoft.com/office/drawing/2014/main" id="{00000000-0008-0000-0100-0000B8ED1800}"/>
            </a:ext>
          </a:extLst>
        </xdr:cNvPr>
        <xdr:cNvSpPr>
          <a:spLocks noChangeShapeType="1"/>
        </xdr:cNvSpPr>
      </xdr:nvSpPr>
      <xdr:spPr bwMode="auto">
        <a:xfrm>
          <a:off x="6810375" y="2686050"/>
          <a:ext cx="401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7</xdr:row>
      <xdr:rowOff>0</xdr:rowOff>
    </xdr:from>
    <xdr:to>
      <xdr:col>24</xdr:col>
      <xdr:colOff>0</xdr:colOff>
      <xdr:row>7</xdr:row>
      <xdr:rowOff>0</xdr:rowOff>
    </xdr:to>
    <xdr:sp macro="" textlink="">
      <xdr:nvSpPr>
        <xdr:cNvPr id="1633721" name="Line 37">
          <a:extLst>
            <a:ext uri="{FF2B5EF4-FFF2-40B4-BE49-F238E27FC236}">
              <a16:creationId xmlns:a16="http://schemas.microsoft.com/office/drawing/2014/main" id="{00000000-0008-0000-0100-0000B9ED1800}"/>
            </a:ext>
          </a:extLst>
        </xdr:cNvPr>
        <xdr:cNvSpPr>
          <a:spLocks noChangeShapeType="1"/>
        </xdr:cNvSpPr>
      </xdr:nvSpPr>
      <xdr:spPr bwMode="auto">
        <a:xfrm>
          <a:off x="6810375" y="1228725"/>
          <a:ext cx="6124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18</xdr:col>
      <xdr:colOff>0</xdr:colOff>
      <xdr:row>34</xdr:row>
      <xdr:rowOff>0</xdr:rowOff>
    </xdr:from>
    <xdr:to>
      <xdr:col>18</xdr:col>
      <xdr:colOff>0</xdr:colOff>
      <xdr:row>36</xdr:row>
      <xdr:rowOff>0</xdr:rowOff>
    </xdr:to>
    <xdr:sp macro="" textlink="">
      <xdr:nvSpPr>
        <xdr:cNvPr id="1633722" name="Line 38">
          <a:extLst>
            <a:ext uri="{FF2B5EF4-FFF2-40B4-BE49-F238E27FC236}">
              <a16:creationId xmlns:a16="http://schemas.microsoft.com/office/drawing/2014/main" id="{00000000-0008-0000-0100-0000BAED1800}"/>
            </a:ext>
          </a:extLst>
        </xdr:cNvPr>
        <xdr:cNvSpPr>
          <a:spLocks noChangeShapeType="1"/>
        </xdr:cNvSpPr>
      </xdr:nvSpPr>
      <xdr:spPr bwMode="auto">
        <a:xfrm>
          <a:off x="10820400" y="5629275"/>
          <a:ext cx="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36</xdr:row>
      <xdr:rowOff>0</xdr:rowOff>
    </xdr:from>
    <xdr:to>
      <xdr:col>18</xdr:col>
      <xdr:colOff>0</xdr:colOff>
      <xdr:row>36</xdr:row>
      <xdr:rowOff>0</xdr:rowOff>
    </xdr:to>
    <xdr:sp macro="" textlink="">
      <xdr:nvSpPr>
        <xdr:cNvPr id="1633723" name="Line 39">
          <a:extLst>
            <a:ext uri="{FF2B5EF4-FFF2-40B4-BE49-F238E27FC236}">
              <a16:creationId xmlns:a16="http://schemas.microsoft.com/office/drawing/2014/main" id="{00000000-0008-0000-0100-0000BBED1800}"/>
            </a:ext>
          </a:extLst>
        </xdr:cNvPr>
        <xdr:cNvSpPr>
          <a:spLocks noChangeShapeType="1"/>
        </xdr:cNvSpPr>
      </xdr:nvSpPr>
      <xdr:spPr bwMode="auto">
        <a:xfrm flipH="1">
          <a:off x="9858375" y="5962650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20</xdr:col>
      <xdr:colOff>0</xdr:colOff>
      <xdr:row>34</xdr:row>
      <xdr:rowOff>0</xdr:rowOff>
    </xdr:from>
    <xdr:to>
      <xdr:col>20</xdr:col>
      <xdr:colOff>0</xdr:colOff>
      <xdr:row>38</xdr:row>
      <xdr:rowOff>0</xdr:rowOff>
    </xdr:to>
    <xdr:sp macro="" textlink="">
      <xdr:nvSpPr>
        <xdr:cNvPr id="1633724" name="Line 40">
          <a:extLst>
            <a:ext uri="{FF2B5EF4-FFF2-40B4-BE49-F238E27FC236}">
              <a16:creationId xmlns:a16="http://schemas.microsoft.com/office/drawing/2014/main" id="{00000000-0008-0000-0100-0000BCED1800}"/>
            </a:ext>
          </a:extLst>
        </xdr:cNvPr>
        <xdr:cNvSpPr>
          <a:spLocks noChangeShapeType="1"/>
        </xdr:cNvSpPr>
      </xdr:nvSpPr>
      <xdr:spPr bwMode="auto">
        <a:xfrm>
          <a:off x="11525250" y="562927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38</xdr:row>
      <xdr:rowOff>0</xdr:rowOff>
    </xdr:from>
    <xdr:to>
      <xdr:col>20</xdr:col>
      <xdr:colOff>0</xdr:colOff>
      <xdr:row>38</xdr:row>
      <xdr:rowOff>0</xdr:rowOff>
    </xdr:to>
    <xdr:sp macro="" textlink="">
      <xdr:nvSpPr>
        <xdr:cNvPr id="1633725" name="Line 41">
          <a:extLst>
            <a:ext uri="{FF2B5EF4-FFF2-40B4-BE49-F238E27FC236}">
              <a16:creationId xmlns:a16="http://schemas.microsoft.com/office/drawing/2014/main" id="{00000000-0008-0000-0100-0000BDED1800}"/>
            </a:ext>
          </a:extLst>
        </xdr:cNvPr>
        <xdr:cNvSpPr>
          <a:spLocks noChangeShapeType="1"/>
        </xdr:cNvSpPr>
      </xdr:nvSpPr>
      <xdr:spPr bwMode="auto">
        <a:xfrm flipH="1">
          <a:off x="9858375" y="6286500"/>
          <a:ext cx="1666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22</xdr:col>
      <xdr:colOff>0</xdr:colOff>
      <xdr:row>34</xdr:row>
      <xdr:rowOff>0</xdr:rowOff>
    </xdr:from>
    <xdr:to>
      <xdr:col>22</xdr:col>
      <xdr:colOff>0</xdr:colOff>
      <xdr:row>40</xdr:row>
      <xdr:rowOff>0</xdr:rowOff>
    </xdr:to>
    <xdr:sp macro="" textlink="">
      <xdr:nvSpPr>
        <xdr:cNvPr id="1633726" name="Line 42">
          <a:extLst>
            <a:ext uri="{FF2B5EF4-FFF2-40B4-BE49-F238E27FC236}">
              <a16:creationId xmlns:a16="http://schemas.microsoft.com/office/drawing/2014/main" id="{00000000-0008-0000-0100-0000BEED1800}"/>
            </a:ext>
          </a:extLst>
        </xdr:cNvPr>
        <xdr:cNvSpPr>
          <a:spLocks noChangeShapeType="1"/>
        </xdr:cNvSpPr>
      </xdr:nvSpPr>
      <xdr:spPr bwMode="auto">
        <a:xfrm>
          <a:off x="12230100" y="5629275"/>
          <a:ext cx="0" cy="981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40</xdr:row>
      <xdr:rowOff>0</xdr:rowOff>
    </xdr:from>
    <xdr:to>
      <xdr:col>22</xdr:col>
      <xdr:colOff>0</xdr:colOff>
      <xdr:row>40</xdr:row>
      <xdr:rowOff>0</xdr:rowOff>
    </xdr:to>
    <xdr:sp macro="" textlink="">
      <xdr:nvSpPr>
        <xdr:cNvPr id="1633727" name="Line 43">
          <a:extLst>
            <a:ext uri="{FF2B5EF4-FFF2-40B4-BE49-F238E27FC236}">
              <a16:creationId xmlns:a16="http://schemas.microsoft.com/office/drawing/2014/main" id="{00000000-0008-0000-0100-0000BFED1800}"/>
            </a:ext>
          </a:extLst>
        </xdr:cNvPr>
        <xdr:cNvSpPr>
          <a:spLocks noChangeShapeType="1"/>
        </xdr:cNvSpPr>
      </xdr:nvSpPr>
      <xdr:spPr bwMode="auto">
        <a:xfrm flipH="1">
          <a:off x="9858375" y="661035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24</xdr:col>
      <xdr:colOff>0</xdr:colOff>
      <xdr:row>34</xdr:row>
      <xdr:rowOff>0</xdr:rowOff>
    </xdr:from>
    <xdr:to>
      <xdr:col>24</xdr:col>
      <xdr:colOff>0</xdr:colOff>
      <xdr:row>42</xdr:row>
      <xdr:rowOff>0</xdr:rowOff>
    </xdr:to>
    <xdr:sp macro="" textlink="">
      <xdr:nvSpPr>
        <xdr:cNvPr id="1633728" name="Line 44">
          <a:extLst>
            <a:ext uri="{FF2B5EF4-FFF2-40B4-BE49-F238E27FC236}">
              <a16:creationId xmlns:a16="http://schemas.microsoft.com/office/drawing/2014/main" id="{00000000-0008-0000-0100-0000C0ED1800}"/>
            </a:ext>
          </a:extLst>
        </xdr:cNvPr>
        <xdr:cNvSpPr>
          <a:spLocks noChangeShapeType="1"/>
        </xdr:cNvSpPr>
      </xdr:nvSpPr>
      <xdr:spPr bwMode="auto">
        <a:xfrm>
          <a:off x="12934950" y="5629275"/>
          <a:ext cx="0" cy="1304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42</xdr:row>
      <xdr:rowOff>0</xdr:rowOff>
    </xdr:from>
    <xdr:to>
      <xdr:col>24</xdr:col>
      <xdr:colOff>0</xdr:colOff>
      <xdr:row>42</xdr:row>
      <xdr:rowOff>0</xdr:rowOff>
    </xdr:to>
    <xdr:sp macro="" textlink="">
      <xdr:nvSpPr>
        <xdr:cNvPr id="1633729" name="Line 45">
          <a:extLst>
            <a:ext uri="{FF2B5EF4-FFF2-40B4-BE49-F238E27FC236}">
              <a16:creationId xmlns:a16="http://schemas.microsoft.com/office/drawing/2014/main" id="{00000000-0008-0000-0100-0000C1ED1800}"/>
            </a:ext>
          </a:extLst>
        </xdr:cNvPr>
        <xdr:cNvSpPr>
          <a:spLocks noChangeShapeType="1"/>
        </xdr:cNvSpPr>
      </xdr:nvSpPr>
      <xdr:spPr bwMode="auto">
        <a:xfrm flipH="1">
          <a:off x="9858375" y="6934200"/>
          <a:ext cx="3076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26</xdr:col>
      <xdr:colOff>0</xdr:colOff>
      <xdr:row>34</xdr:row>
      <xdr:rowOff>0</xdr:rowOff>
    </xdr:from>
    <xdr:to>
      <xdr:col>26</xdr:col>
      <xdr:colOff>0</xdr:colOff>
      <xdr:row>44</xdr:row>
      <xdr:rowOff>0</xdr:rowOff>
    </xdr:to>
    <xdr:sp macro="" textlink="">
      <xdr:nvSpPr>
        <xdr:cNvPr id="1633730" name="Line 46">
          <a:extLst>
            <a:ext uri="{FF2B5EF4-FFF2-40B4-BE49-F238E27FC236}">
              <a16:creationId xmlns:a16="http://schemas.microsoft.com/office/drawing/2014/main" id="{00000000-0008-0000-0100-0000C2ED1800}"/>
            </a:ext>
          </a:extLst>
        </xdr:cNvPr>
        <xdr:cNvSpPr>
          <a:spLocks noChangeShapeType="1"/>
        </xdr:cNvSpPr>
      </xdr:nvSpPr>
      <xdr:spPr bwMode="auto">
        <a:xfrm>
          <a:off x="13639800" y="5629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44</xdr:row>
      <xdr:rowOff>0</xdr:rowOff>
    </xdr:from>
    <xdr:to>
      <xdr:col>26</xdr:col>
      <xdr:colOff>0</xdr:colOff>
      <xdr:row>44</xdr:row>
      <xdr:rowOff>0</xdr:rowOff>
    </xdr:to>
    <xdr:sp macro="" textlink="">
      <xdr:nvSpPr>
        <xdr:cNvPr id="1633731" name="Line 47">
          <a:extLst>
            <a:ext uri="{FF2B5EF4-FFF2-40B4-BE49-F238E27FC236}">
              <a16:creationId xmlns:a16="http://schemas.microsoft.com/office/drawing/2014/main" id="{00000000-0008-0000-0100-0000C3ED1800}"/>
            </a:ext>
          </a:extLst>
        </xdr:cNvPr>
        <xdr:cNvSpPr>
          <a:spLocks noChangeShapeType="1"/>
        </xdr:cNvSpPr>
      </xdr:nvSpPr>
      <xdr:spPr bwMode="auto">
        <a:xfrm flipH="1">
          <a:off x="9858375" y="7258050"/>
          <a:ext cx="3781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1633732" name="Line 48">
          <a:extLst>
            <a:ext uri="{FF2B5EF4-FFF2-40B4-BE49-F238E27FC236}">
              <a16:creationId xmlns:a16="http://schemas.microsoft.com/office/drawing/2014/main" id="{00000000-0008-0000-0100-0000C4ED1800}"/>
            </a:ext>
          </a:extLst>
        </xdr:cNvPr>
        <xdr:cNvSpPr>
          <a:spLocks noChangeShapeType="1"/>
        </xdr:cNvSpPr>
      </xdr:nvSpPr>
      <xdr:spPr bwMode="auto">
        <a:xfrm flipH="1">
          <a:off x="8639175" y="66103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42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1633733" name="Line 49">
          <a:extLst>
            <a:ext uri="{FF2B5EF4-FFF2-40B4-BE49-F238E27FC236}">
              <a16:creationId xmlns:a16="http://schemas.microsoft.com/office/drawing/2014/main" id="{00000000-0008-0000-0100-0000C5ED1800}"/>
            </a:ext>
          </a:extLst>
        </xdr:cNvPr>
        <xdr:cNvSpPr>
          <a:spLocks noChangeShapeType="1"/>
        </xdr:cNvSpPr>
      </xdr:nvSpPr>
      <xdr:spPr bwMode="auto">
        <a:xfrm flipH="1">
          <a:off x="8639175" y="693420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44</xdr:row>
      <xdr:rowOff>0</xdr:rowOff>
    </xdr:from>
    <xdr:to>
      <xdr:col>16</xdr:col>
      <xdr:colOff>0</xdr:colOff>
      <xdr:row>44</xdr:row>
      <xdr:rowOff>0</xdr:rowOff>
    </xdr:to>
    <xdr:sp macro="" textlink="">
      <xdr:nvSpPr>
        <xdr:cNvPr id="1633734" name="Line 50">
          <a:extLst>
            <a:ext uri="{FF2B5EF4-FFF2-40B4-BE49-F238E27FC236}">
              <a16:creationId xmlns:a16="http://schemas.microsoft.com/office/drawing/2014/main" id="{00000000-0008-0000-0100-0000C6ED1800}"/>
            </a:ext>
          </a:extLst>
        </xdr:cNvPr>
        <xdr:cNvSpPr>
          <a:spLocks noChangeShapeType="1"/>
        </xdr:cNvSpPr>
      </xdr:nvSpPr>
      <xdr:spPr bwMode="auto">
        <a:xfrm flipH="1">
          <a:off x="8639175" y="72580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34</xdr:row>
      <xdr:rowOff>0</xdr:rowOff>
    </xdr:from>
    <xdr:to>
      <xdr:col>16</xdr:col>
      <xdr:colOff>0</xdr:colOff>
      <xdr:row>44</xdr:row>
      <xdr:rowOff>0</xdr:rowOff>
    </xdr:to>
    <xdr:sp macro="" textlink="">
      <xdr:nvSpPr>
        <xdr:cNvPr id="1633735" name="Line 51">
          <a:extLst>
            <a:ext uri="{FF2B5EF4-FFF2-40B4-BE49-F238E27FC236}">
              <a16:creationId xmlns:a16="http://schemas.microsoft.com/office/drawing/2014/main" id="{00000000-0008-0000-0100-0000C7ED1800}"/>
            </a:ext>
          </a:extLst>
        </xdr:cNvPr>
        <xdr:cNvSpPr>
          <a:spLocks noChangeShapeType="1"/>
        </xdr:cNvSpPr>
      </xdr:nvSpPr>
      <xdr:spPr bwMode="auto">
        <a:xfrm flipV="1">
          <a:off x="9858375" y="5629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34</xdr:row>
      <xdr:rowOff>0</xdr:rowOff>
    </xdr:from>
    <xdr:to>
      <xdr:col>14</xdr:col>
      <xdr:colOff>0</xdr:colOff>
      <xdr:row>44</xdr:row>
      <xdr:rowOff>0</xdr:rowOff>
    </xdr:to>
    <xdr:sp macro="" textlink="">
      <xdr:nvSpPr>
        <xdr:cNvPr id="1633736" name="Line 52">
          <a:extLst>
            <a:ext uri="{FF2B5EF4-FFF2-40B4-BE49-F238E27FC236}">
              <a16:creationId xmlns:a16="http://schemas.microsoft.com/office/drawing/2014/main" id="{00000000-0008-0000-0100-0000C8ED1800}"/>
            </a:ext>
          </a:extLst>
        </xdr:cNvPr>
        <xdr:cNvSpPr>
          <a:spLocks noChangeShapeType="1"/>
        </xdr:cNvSpPr>
      </xdr:nvSpPr>
      <xdr:spPr bwMode="auto">
        <a:xfrm flipV="1">
          <a:off x="8639175" y="5629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0.04395</cdr:x>
      <cdr:y>0.25999</cdr:y>
    </cdr:from>
    <cdr:to>
      <cdr:x>0.99166</cdr:x>
      <cdr:y>0.31742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9E951E-9B47-4CA1-947F-4F023928D612}"/>
            </a:ext>
          </a:extLst>
        </cdr:cNvPr>
        <cdr:cNvCxnSpPr/>
      </cdr:nvCxnSpPr>
      <cdr:spPr bwMode="auto">
        <a:xfrm xmlns:a="http://schemas.openxmlformats.org/drawingml/2006/main">
          <a:off x="381001" y="1635672"/>
          <a:ext cx="8215291" cy="36129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  <cdr:relSizeAnchor xmlns:cdr="http://schemas.openxmlformats.org/drawingml/2006/chartDrawing">
    <cdr:from>
      <cdr:x>0.04752</cdr:x>
      <cdr:y>0.4158</cdr:y>
    </cdr:from>
    <cdr:to>
      <cdr:x>1</cdr:x>
      <cdr:y>0.49388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64507EDD-76EB-4B6F-AB04-22B8D4030A48}"/>
            </a:ext>
          </a:extLst>
        </cdr:cNvPr>
        <cdr:cNvCxnSpPr/>
      </cdr:nvCxnSpPr>
      <cdr:spPr bwMode="auto">
        <a:xfrm xmlns:a="http://schemas.openxmlformats.org/drawingml/2006/main">
          <a:off x="411944" y="2615934"/>
          <a:ext cx="8256606" cy="49118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2</xdr:row>
      <xdr:rowOff>38100</xdr:rowOff>
    </xdr:from>
    <xdr:to>
      <xdr:col>20</xdr:col>
      <xdr:colOff>428065</xdr:colOff>
      <xdr:row>47</xdr:row>
      <xdr:rowOff>113740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45415D-8F53-4DC0-8AFE-76628C5175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3:O9"/>
  <sheetViews>
    <sheetView workbookViewId="0">
      <selection activeCell="I19" sqref="I19"/>
    </sheetView>
  </sheetViews>
  <sheetFormatPr defaultColWidth="9.08984375" defaultRowHeight="12.5" x14ac:dyDescent="0.25"/>
  <cols>
    <col min="2" max="2" width="13.6328125" bestFit="1" customWidth="1"/>
    <col min="3" max="3" width="8.36328125" bestFit="1" customWidth="1"/>
    <col min="4" max="4" width="10.90625" bestFit="1" customWidth="1"/>
    <col min="6" max="6" width="9.54296875" bestFit="1" customWidth="1"/>
    <col min="7" max="7" width="19.54296875" customWidth="1"/>
    <col min="8" max="8" width="11.6328125" customWidth="1"/>
    <col min="11" max="11" width="13.08984375" bestFit="1" customWidth="1"/>
    <col min="12" max="12" width="20.36328125" customWidth="1"/>
    <col min="14" max="14" width="14" bestFit="1" customWidth="1"/>
    <col min="15" max="15" width="18" bestFit="1" customWidth="1"/>
  </cols>
  <sheetData>
    <row r="3" spans="2:15" ht="13" thickBot="1" x14ac:dyDescent="0.3"/>
    <row r="4" spans="2:15" ht="14" x14ac:dyDescent="0.3">
      <c r="B4" s="59"/>
      <c r="C4" s="73" t="s">
        <v>0</v>
      </c>
      <c r="D4" s="74"/>
      <c r="E4" s="74"/>
      <c r="F4" s="74"/>
      <c r="G4" s="74"/>
      <c r="H4" s="74"/>
      <c r="I4" s="67" t="s">
        <v>1</v>
      </c>
      <c r="J4" s="68"/>
      <c r="K4" s="68"/>
      <c r="L4" s="68"/>
      <c r="M4" s="60"/>
    </row>
    <row r="5" spans="2:15" ht="14" x14ac:dyDescent="0.3">
      <c r="B5" s="66" t="s">
        <v>2</v>
      </c>
      <c r="C5" s="61" t="s">
        <v>3</v>
      </c>
      <c r="D5" s="58" t="s">
        <v>4</v>
      </c>
      <c r="E5" s="58" t="s">
        <v>5</v>
      </c>
      <c r="F5" s="58" t="s">
        <v>6</v>
      </c>
      <c r="G5" s="58" t="s">
        <v>7</v>
      </c>
      <c r="H5" s="58" t="s">
        <v>8</v>
      </c>
      <c r="I5" s="61" t="s">
        <v>9</v>
      </c>
      <c r="J5" s="58" t="s">
        <v>10</v>
      </c>
      <c r="K5" s="58" t="s">
        <v>11</v>
      </c>
      <c r="L5" s="58" t="s">
        <v>12</v>
      </c>
      <c r="M5" s="69" t="s">
        <v>13</v>
      </c>
      <c r="N5" s="58" t="s">
        <v>14</v>
      </c>
      <c r="O5" s="58" t="s">
        <v>15</v>
      </c>
    </row>
    <row r="6" spans="2:15" ht="14.5" thickBot="1" x14ac:dyDescent="0.35">
      <c r="B6" s="62">
        <v>291.40920832450519</v>
      </c>
      <c r="C6" s="62">
        <v>118.58322052355349</v>
      </c>
      <c r="D6" s="65">
        <v>27.768098911268265</v>
      </c>
      <c r="E6" s="65">
        <v>12.866963805498171</v>
      </c>
      <c r="F6" s="65">
        <v>0.96088661789113128</v>
      </c>
      <c r="G6" s="65">
        <v>0.9623597965993963</v>
      </c>
      <c r="H6" s="65">
        <v>130.20480406969466</v>
      </c>
      <c r="I6" s="62">
        <v>56</v>
      </c>
      <c r="J6" s="63">
        <v>55.54911666666667</v>
      </c>
      <c r="K6" s="64">
        <v>4.0734000000000012</v>
      </c>
      <c r="L6" s="63">
        <v>25.105770523553524</v>
      </c>
      <c r="M6" s="70">
        <v>5.6110666666666695</v>
      </c>
      <c r="N6">
        <v>5.523316666666668</v>
      </c>
      <c r="O6">
        <v>6.8899499999999971</v>
      </c>
    </row>
    <row r="9" spans="2:15" x14ac:dyDescent="0.25">
      <c r="B9" s="2">
        <f>+C6+D6+E6+F6+G6+H6</f>
        <v>291.34633372450514</v>
      </c>
    </row>
  </sheetData>
  <mergeCells count="1">
    <mergeCell ref="C4:H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AA130"/>
  <sheetViews>
    <sheetView zoomScale="70" zoomScaleNormal="75" workbookViewId="0">
      <selection activeCell="G35" sqref="G35"/>
    </sheetView>
  </sheetViews>
  <sheetFormatPr defaultRowHeight="12.5" x14ac:dyDescent="0.25"/>
  <cols>
    <col min="11" max="11" width="10.6328125" customWidth="1"/>
    <col min="18" max="27" width="5.36328125" customWidth="1"/>
  </cols>
  <sheetData>
    <row r="1" spans="1:11" ht="20" x14ac:dyDescent="0.4">
      <c r="A1" s="15" t="s">
        <v>17</v>
      </c>
      <c r="B1" s="15"/>
      <c r="C1" s="15"/>
      <c r="K1" s="15" t="s">
        <v>18</v>
      </c>
    </row>
    <row r="4" spans="1:11" x14ac:dyDescent="0.25">
      <c r="A4" s="16" t="s">
        <v>19</v>
      </c>
      <c r="B4" s="32"/>
      <c r="C4" s="32"/>
      <c r="D4" s="32"/>
      <c r="E4" s="16" t="s">
        <v>20</v>
      </c>
    </row>
    <row r="5" spans="1:11" x14ac:dyDescent="0.25">
      <c r="A5" s="16" t="s">
        <v>21</v>
      </c>
      <c r="B5" s="32"/>
      <c r="C5" s="32"/>
      <c r="D5" s="32"/>
      <c r="E5" s="16" t="s">
        <v>22</v>
      </c>
    </row>
    <row r="6" spans="1:11" x14ac:dyDescent="0.25">
      <c r="A6" s="16" t="s">
        <v>23</v>
      </c>
      <c r="B6" s="32"/>
      <c r="C6" s="32"/>
      <c r="D6" s="32"/>
      <c r="E6" s="16" t="s">
        <v>24</v>
      </c>
    </row>
    <row r="7" spans="1:11" x14ac:dyDescent="0.25">
      <c r="A7" s="16" t="s">
        <v>25</v>
      </c>
      <c r="B7" s="32"/>
      <c r="C7" s="32"/>
      <c r="D7" s="32"/>
      <c r="E7" s="16" t="s">
        <v>26</v>
      </c>
    </row>
    <row r="8" spans="1:11" x14ac:dyDescent="0.25">
      <c r="A8" s="16" t="s">
        <v>27</v>
      </c>
      <c r="B8" s="32"/>
      <c r="C8" s="32"/>
      <c r="D8" s="32"/>
      <c r="E8" s="16" t="s">
        <v>28</v>
      </c>
    </row>
    <row r="9" spans="1:11" x14ac:dyDescent="0.25">
      <c r="A9" s="16"/>
      <c r="B9" s="32"/>
      <c r="C9" s="32"/>
      <c r="D9" s="32"/>
    </row>
    <row r="10" spans="1:11" x14ac:dyDescent="0.25">
      <c r="A10" s="16" t="s">
        <v>29</v>
      </c>
      <c r="B10" s="32"/>
      <c r="C10" s="32"/>
      <c r="D10" s="32"/>
      <c r="E10" s="16" t="s">
        <v>30</v>
      </c>
    </row>
    <row r="11" spans="1:11" x14ac:dyDescent="0.25">
      <c r="A11" s="16" t="s">
        <v>31</v>
      </c>
      <c r="B11" s="32"/>
      <c r="C11" s="32"/>
      <c r="D11" s="32"/>
      <c r="E11" s="16" t="s">
        <v>32</v>
      </c>
    </row>
    <row r="12" spans="1:11" x14ac:dyDescent="0.25">
      <c r="A12" s="16" t="s">
        <v>33</v>
      </c>
      <c r="B12" s="32"/>
      <c r="C12" s="32"/>
      <c r="D12" s="32"/>
      <c r="E12" s="16" t="s">
        <v>34</v>
      </c>
    </row>
    <row r="13" spans="1:11" x14ac:dyDescent="0.25">
      <c r="A13" s="16" t="s">
        <v>35</v>
      </c>
      <c r="B13" s="32"/>
      <c r="C13" s="32"/>
      <c r="D13" s="32"/>
      <c r="E13" s="16" t="s">
        <v>36</v>
      </c>
    </row>
    <row r="14" spans="1:11" x14ac:dyDescent="0.25">
      <c r="A14" s="16" t="s">
        <v>37</v>
      </c>
      <c r="B14" s="32"/>
      <c r="C14" s="32"/>
      <c r="D14" s="32"/>
      <c r="E14" s="16" t="s">
        <v>38</v>
      </c>
    </row>
    <row r="15" spans="1:11" x14ac:dyDescent="0.25">
      <c r="C15" s="32"/>
      <c r="D15" s="32"/>
    </row>
    <row r="16" spans="1:11" x14ac:dyDescent="0.25">
      <c r="A16" s="16" t="s">
        <v>39</v>
      </c>
      <c r="B16" s="32"/>
      <c r="C16" s="32"/>
      <c r="D16" s="32"/>
      <c r="E16" s="16" t="s">
        <v>40</v>
      </c>
    </row>
    <row r="17" spans="1:15" x14ac:dyDescent="0.25">
      <c r="A17" s="16" t="s">
        <v>32</v>
      </c>
      <c r="B17" s="32"/>
      <c r="C17" s="32"/>
      <c r="D17" s="32"/>
      <c r="E17" s="16" t="s">
        <v>41</v>
      </c>
    </row>
    <row r="18" spans="1:15" x14ac:dyDescent="0.25">
      <c r="A18" s="16" t="s">
        <v>42</v>
      </c>
      <c r="B18" s="32"/>
      <c r="C18" s="32"/>
      <c r="D18" s="32"/>
      <c r="E18" s="16" t="s">
        <v>43</v>
      </c>
    </row>
    <row r="19" spans="1:15" x14ac:dyDescent="0.25">
      <c r="A19" s="16" t="s">
        <v>44</v>
      </c>
      <c r="B19" s="32"/>
      <c r="C19" s="32"/>
      <c r="D19" s="32"/>
      <c r="E19" s="16" t="s">
        <v>45</v>
      </c>
    </row>
    <row r="20" spans="1:15" x14ac:dyDescent="0.25">
      <c r="A20" s="16" t="s">
        <v>46</v>
      </c>
      <c r="B20" s="32"/>
      <c r="C20" s="32"/>
      <c r="D20" s="32"/>
      <c r="E20" s="16" t="s">
        <v>47</v>
      </c>
    </row>
    <row r="21" spans="1:15" x14ac:dyDescent="0.25">
      <c r="B21" s="32"/>
      <c r="C21" s="32"/>
      <c r="D21" s="32"/>
    </row>
    <row r="22" spans="1:15" x14ac:dyDescent="0.25">
      <c r="A22" s="16" t="s">
        <v>48</v>
      </c>
      <c r="B22" s="32"/>
      <c r="C22" s="32"/>
      <c r="D22" s="32"/>
      <c r="E22" s="16" t="s">
        <v>49</v>
      </c>
    </row>
    <row r="23" spans="1:15" x14ac:dyDescent="0.25">
      <c r="A23" s="16" t="s">
        <v>32</v>
      </c>
      <c r="B23" s="32"/>
      <c r="C23" s="32"/>
      <c r="D23" s="32"/>
      <c r="E23" s="16" t="s">
        <v>50</v>
      </c>
    </row>
    <row r="24" spans="1:15" x14ac:dyDescent="0.25">
      <c r="A24" s="16" t="s">
        <v>42</v>
      </c>
      <c r="B24" s="32"/>
      <c r="C24" s="32"/>
      <c r="D24" s="32"/>
      <c r="E24" s="16" t="s">
        <v>51</v>
      </c>
    </row>
    <row r="25" spans="1:15" x14ac:dyDescent="0.25">
      <c r="A25" s="16" t="s">
        <v>44</v>
      </c>
      <c r="B25" s="32"/>
      <c r="C25" s="32"/>
      <c r="D25" s="32"/>
      <c r="E25" s="16" t="s">
        <v>52</v>
      </c>
    </row>
    <row r="26" spans="1:15" x14ac:dyDescent="0.25">
      <c r="A26" s="16" t="s">
        <v>46</v>
      </c>
      <c r="B26" s="32"/>
      <c r="C26" s="32"/>
      <c r="D26" s="32"/>
      <c r="E26" s="16" t="s">
        <v>53</v>
      </c>
    </row>
    <row r="27" spans="1:15" x14ac:dyDescent="0.25">
      <c r="B27" s="32"/>
      <c r="C27" s="32"/>
      <c r="D27" s="32"/>
      <c r="E27" s="16"/>
    </row>
    <row r="28" spans="1:15" x14ac:dyDescent="0.25">
      <c r="A28" s="16" t="s">
        <v>54</v>
      </c>
      <c r="B28" s="32"/>
      <c r="C28" s="32"/>
      <c r="D28" s="32"/>
      <c r="E28" s="16" t="s">
        <v>55</v>
      </c>
    </row>
    <row r="29" spans="1:15" x14ac:dyDescent="0.25">
      <c r="A29" s="16" t="s">
        <v>32</v>
      </c>
      <c r="B29" s="32"/>
      <c r="C29" s="32"/>
      <c r="D29" s="32"/>
      <c r="E29" s="16" t="s">
        <v>56</v>
      </c>
    </row>
    <row r="30" spans="1:15" x14ac:dyDescent="0.25">
      <c r="A30" s="16" t="s">
        <v>42</v>
      </c>
      <c r="B30" s="32"/>
      <c r="C30" s="32"/>
      <c r="D30" s="32"/>
      <c r="E30" s="16" t="s">
        <v>57</v>
      </c>
    </row>
    <row r="31" spans="1:15" x14ac:dyDescent="0.25">
      <c r="A31" s="16" t="s">
        <v>58</v>
      </c>
      <c r="B31" s="32"/>
      <c r="C31" s="32"/>
      <c r="D31" s="32"/>
      <c r="E31" s="16" t="s">
        <v>59</v>
      </c>
      <c r="O31" s="13"/>
    </row>
    <row r="32" spans="1:15" x14ac:dyDescent="0.25">
      <c r="A32" s="16" t="s">
        <v>60</v>
      </c>
      <c r="B32" s="32"/>
      <c r="C32" s="32"/>
      <c r="D32" s="32"/>
      <c r="E32" s="16" t="s">
        <v>61</v>
      </c>
    </row>
    <row r="33" spans="1:27" ht="13" thickBot="1" x14ac:dyDescent="0.3">
      <c r="B33" s="32"/>
      <c r="C33" s="32"/>
      <c r="D33" s="32"/>
      <c r="E33" s="16"/>
    </row>
    <row r="34" spans="1:27" ht="13.5" thickTop="1" thickBot="1" x14ac:dyDescent="0.3">
      <c r="A34" s="16" t="s">
        <v>62</v>
      </c>
      <c r="B34" s="32"/>
      <c r="C34" s="32"/>
      <c r="D34" s="32"/>
      <c r="E34" s="16" t="s">
        <v>63</v>
      </c>
      <c r="I34" s="75" t="s">
        <v>64</v>
      </c>
      <c r="J34" s="76"/>
      <c r="K34" s="75" t="s">
        <v>65</v>
      </c>
      <c r="L34" s="76"/>
      <c r="M34" s="75" t="s">
        <v>66</v>
      </c>
      <c r="N34" s="79"/>
      <c r="O34" s="76"/>
      <c r="P34" s="75" t="s">
        <v>67</v>
      </c>
      <c r="Q34" s="76"/>
      <c r="R34" s="77" t="s">
        <v>68</v>
      </c>
      <c r="S34" s="76"/>
      <c r="T34" s="77" t="s">
        <v>4</v>
      </c>
      <c r="U34" s="76"/>
      <c r="V34" s="77" t="s">
        <v>5</v>
      </c>
      <c r="W34" s="80"/>
      <c r="X34" s="77" t="s">
        <v>6</v>
      </c>
      <c r="Y34" s="78"/>
      <c r="Z34" s="77" t="s">
        <v>7</v>
      </c>
      <c r="AA34" s="78"/>
    </row>
    <row r="35" spans="1:27" ht="13" thickTop="1" x14ac:dyDescent="0.25">
      <c r="A35" s="16" t="s">
        <v>69</v>
      </c>
      <c r="B35" s="32"/>
      <c r="C35" s="32"/>
      <c r="D35" s="32"/>
      <c r="E35" s="16" t="s">
        <v>70</v>
      </c>
      <c r="O35" s="13"/>
      <c r="Q35" s="13"/>
    </row>
    <row r="36" spans="1:27" x14ac:dyDescent="0.25">
      <c r="A36" s="16" t="s">
        <v>71</v>
      </c>
      <c r="B36" s="32"/>
      <c r="C36" s="32"/>
      <c r="D36" s="32"/>
      <c r="E36" s="16" t="s">
        <v>72</v>
      </c>
      <c r="O36" s="13" t="s">
        <v>73</v>
      </c>
      <c r="Q36" s="13" t="s">
        <v>73</v>
      </c>
    </row>
    <row r="37" spans="1:27" x14ac:dyDescent="0.25">
      <c r="A37" s="16" t="s">
        <v>74</v>
      </c>
      <c r="B37" s="32"/>
      <c r="C37" s="32"/>
      <c r="D37" s="32"/>
      <c r="E37" s="16" t="s">
        <v>75</v>
      </c>
      <c r="O37" s="13"/>
      <c r="Q37" s="13"/>
    </row>
    <row r="38" spans="1:27" x14ac:dyDescent="0.25">
      <c r="A38" s="16" t="s">
        <v>76</v>
      </c>
      <c r="B38" s="32"/>
      <c r="C38" s="32"/>
      <c r="D38" s="32"/>
      <c r="E38" s="16" t="s">
        <v>77</v>
      </c>
      <c r="O38" s="13" t="s">
        <v>73</v>
      </c>
      <c r="Q38" s="13" t="s">
        <v>73</v>
      </c>
    </row>
    <row r="39" spans="1:27" x14ac:dyDescent="0.25">
      <c r="B39" s="32"/>
      <c r="C39" s="32"/>
      <c r="D39" s="32"/>
      <c r="E39" s="16" t="s">
        <v>78</v>
      </c>
      <c r="O39" s="13"/>
      <c r="Q39" s="13"/>
    </row>
    <row r="40" spans="1:27" x14ac:dyDescent="0.25">
      <c r="A40" s="16" t="s">
        <v>79</v>
      </c>
      <c r="B40" s="32"/>
      <c r="C40" s="32"/>
      <c r="D40" s="32"/>
      <c r="E40" s="16"/>
      <c r="O40" s="13" t="s">
        <v>73</v>
      </c>
      <c r="Q40" s="13" t="s">
        <v>73</v>
      </c>
    </row>
    <row r="41" spans="1:27" x14ac:dyDescent="0.25">
      <c r="A41" s="16" t="s">
        <v>43</v>
      </c>
      <c r="B41" s="32"/>
      <c r="C41" s="32"/>
      <c r="D41" s="32"/>
      <c r="E41" s="16" t="s">
        <v>80</v>
      </c>
    </row>
    <row r="42" spans="1:27" x14ac:dyDescent="0.25">
      <c r="A42" s="16" t="s">
        <v>45</v>
      </c>
      <c r="B42" s="32"/>
      <c r="C42" s="32"/>
      <c r="D42" s="32"/>
      <c r="E42" s="16" t="s">
        <v>81</v>
      </c>
      <c r="O42" s="13" t="s">
        <v>73</v>
      </c>
      <c r="Q42" s="13" t="s">
        <v>73</v>
      </c>
    </row>
    <row r="43" spans="1:27" x14ac:dyDescent="0.25">
      <c r="A43" s="16" t="s">
        <v>47</v>
      </c>
      <c r="B43" s="32"/>
      <c r="C43" s="32"/>
      <c r="D43" s="32"/>
      <c r="E43" s="16" t="s">
        <v>82</v>
      </c>
    </row>
    <row r="44" spans="1:27" x14ac:dyDescent="0.25">
      <c r="A44" s="16"/>
      <c r="B44" s="32"/>
      <c r="C44" s="32"/>
      <c r="D44" s="32"/>
      <c r="J44" s="16" t="s">
        <v>83</v>
      </c>
      <c r="K44" s="16"/>
      <c r="L44" s="16"/>
      <c r="O44" s="13" t="s">
        <v>73</v>
      </c>
      <c r="Q44" s="13" t="s">
        <v>73</v>
      </c>
    </row>
    <row r="45" spans="1:27" x14ac:dyDescent="0.25">
      <c r="A45" s="16" t="s">
        <v>84</v>
      </c>
      <c r="B45" s="32"/>
      <c r="C45" s="32"/>
      <c r="D45" s="32"/>
      <c r="E45" s="16" t="s">
        <v>85</v>
      </c>
      <c r="J45" s="16" t="s">
        <v>86</v>
      </c>
      <c r="K45" s="16"/>
      <c r="L45" s="16"/>
    </row>
    <row r="46" spans="1:27" x14ac:dyDescent="0.25">
      <c r="A46" s="16" t="s">
        <v>87</v>
      </c>
      <c r="B46" s="32"/>
      <c r="C46" s="32"/>
      <c r="D46" s="32"/>
      <c r="E46" s="16" t="s">
        <v>88</v>
      </c>
      <c r="J46" s="16" t="s">
        <v>89</v>
      </c>
      <c r="K46" s="16"/>
      <c r="L46" s="16"/>
    </row>
    <row r="47" spans="1:27" x14ac:dyDescent="0.25">
      <c r="A47" s="16" t="s">
        <v>43</v>
      </c>
      <c r="B47" s="32"/>
      <c r="C47" s="32"/>
      <c r="D47" s="32"/>
      <c r="E47" s="16" t="s">
        <v>75</v>
      </c>
      <c r="J47" s="16"/>
      <c r="K47" s="16"/>
      <c r="L47" s="16"/>
    </row>
    <row r="48" spans="1:27" x14ac:dyDescent="0.25">
      <c r="A48" s="16" t="s">
        <v>45</v>
      </c>
      <c r="B48" s="32"/>
      <c r="C48" s="32"/>
      <c r="D48" s="32"/>
      <c r="E48" s="16" t="s">
        <v>90</v>
      </c>
      <c r="J48" s="16" t="s">
        <v>91</v>
      </c>
      <c r="K48" s="16"/>
      <c r="L48" s="16" t="s">
        <v>92</v>
      </c>
    </row>
    <row r="49" spans="1:12" x14ac:dyDescent="0.25">
      <c r="A49" s="16" t="s">
        <v>47</v>
      </c>
      <c r="B49" s="32"/>
      <c r="C49" s="32"/>
      <c r="D49" s="32"/>
      <c r="E49" s="16" t="s">
        <v>93</v>
      </c>
      <c r="J49" s="16"/>
      <c r="K49" s="16"/>
      <c r="L49" s="16"/>
    </row>
    <row r="50" spans="1:12" x14ac:dyDescent="0.25">
      <c r="A50" s="16"/>
      <c r="B50" s="32"/>
      <c r="C50" s="32"/>
      <c r="D50" s="32"/>
      <c r="J50" s="16" t="s">
        <v>94</v>
      </c>
      <c r="K50" s="16"/>
      <c r="L50" s="16" t="s">
        <v>95</v>
      </c>
    </row>
    <row r="51" spans="1:12" x14ac:dyDescent="0.25">
      <c r="A51" s="16" t="s">
        <v>96</v>
      </c>
      <c r="B51" s="32"/>
      <c r="C51" s="32"/>
      <c r="D51" s="32"/>
      <c r="E51" s="16" t="s">
        <v>97</v>
      </c>
      <c r="J51" s="16" t="s">
        <v>98</v>
      </c>
      <c r="K51" s="16"/>
      <c r="L51" s="16"/>
    </row>
    <row r="52" spans="1:12" x14ac:dyDescent="0.25">
      <c r="A52" s="16" t="s">
        <v>99</v>
      </c>
      <c r="B52" s="32"/>
      <c r="C52" s="32"/>
      <c r="D52" s="32"/>
      <c r="E52" s="16" t="s">
        <v>100</v>
      </c>
      <c r="J52" s="16" t="s">
        <v>101</v>
      </c>
      <c r="K52" s="16"/>
      <c r="L52" s="16"/>
    </row>
    <row r="53" spans="1:12" x14ac:dyDescent="0.25">
      <c r="A53" s="16" t="s">
        <v>102</v>
      </c>
      <c r="B53" s="32"/>
      <c r="C53" s="32"/>
      <c r="D53" s="32"/>
      <c r="E53" s="16" t="s">
        <v>103</v>
      </c>
      <c r="J53" s="16"/>
      <c r="K53" s="16"/>
      <c r="L53" s="16"/>
    </row>
    <row r="54" spans="1:12" x14ac:dyDescent="0.25">
      <c r="A54" s="16" t="s">
        <v>104</v>
      </c>
      <c r="B54" s="32"/>
      <c r="C54" s="32"/>
      <c r="D54" s="32"/>
      <c r="E54" s="16" t="s">
        <v>105</v>
      </c>
      <c r="J54" s="16" t="s">
        <v>106</v>
      </c>
      <c r="K54" s="16"/>
      <c r="L54" s="16" t="s">
        <v>107</v>
      </c>
    </row>
    <row r="55" spans="1:12" x14ac:dyDescent="0.25">
      <c r="B55" s="32"/>
      <c r="C55" s="32"/>
      <c r="D55" s="32"/>
      <c r="E55" s="32"/>
      <c r="J55" s="16" t="s">
        <v>108</v>
      </c>
      <c r="K55" s="16"/>
      <c r="L55" s="16"/>
    </row>
    <row r="56" spans="1:12" x14ac:dyDescent="0.25">
      <c r="A56" s="16" t="s">
        <v>109</v>
      </c>
      <c r="B56" s="32"/>
      <c r="C56" s="32"/>
      <c r="D56" s="32"/>
      <c r="E56" s="32"/>
      <c r="J56" s="16"/>
      <c r="K56" s="16"/>
      <c r="L56" s="16"/>
    </row>
    <row r="57" spans="1:12" x14ac:dyDescent="0.25">
      <c r="A57" s="16" t="s">
        <v>110</v>
      </c>
      <c r="B57" s="32"/>
      <c r="C57" s="32"/>
      <c r="D57" s="32"/>
      <c r="E57" s="32"/>
      <c r="J57" s="16"/>
      <c r="K57" s="16"/>
      <c r="L57" s="16"/>
    </row>
    <row r="58" spans="1:12" x14ac:dyDescent="0.25">
      <c r="A58" s="16" t="s">
        <v>111</v>
      </c>
      <c r="B58" s="32"/>
      <c r="C58" s="32"/>
      <c r="D58" s="32"/>
      <c r="E58" s="32"/>
      <c r="J58" s="16" t="s">
        <v>112</v>
      </c>
      <c r="K58" s="16"/>
      <c r="L58" s="16" t="s">
        <v>113</v>
      </c>
    </row>
    <row r="59" spans="1:12" x14ac:dyDescent="0.25">
      <c r="A59" s="16" t="s">
        <v>114</v>
      </c>
      <c r="B59" s="32"/>
      <c r="C59" s="32"/>
      <c r="D59" s="32"/>
      <c r="E59" s="32"/>
    </row>
    <row r="60" spans="1:12" x14ac:dyDescent="0.25">
      <c r="C60" s="32"/>
      <c r="D60" s="32"/>
      <c r="E60" s="32"/>
    </row>
    <row r="61" spans="1:12" x14ac:dyDescent="0.25">
      <c r="C61" s="32"/>
      <c r="D61" s="32"/>
      <c r="E61" s="32"/>
    </row>
    <row r="62" spans="1:12" x14ac:dyDescent="0.25">
      <c r="A62" s="16" t="s">
        <v>115</v>
      </c>
      <c r="C62" s="32"/>
      <c r="D62" s="32"/>
      <c r="E62" s="32"/>
    </row>
    <row r="63" spans="1:12" x14ac:dyDescent="0.25">
      <c r="A63" s="17" t="s">
        <v>116</v>
      </c>
      <c r="B63" s="18"/>
      <c r="C63" s="18"/>
      <c r="D63" s="18"/>
      <c r="E63" s="18"/>
    </row>
    <row r="64" spans="1:12" x14ac:dyDescent="0.25">
      <c r="A64" s="17" t="s">
        <v>117</v>
      </c>
      <c r="B64" s="18"/>
      <c r="C64" s="18"/>
      <c r="D64" s="18"/>
      <c r="E64" s="18"/>
    </row>
    <row r="65" spans="2:5" x14ac:dyDescent="0.25">
      <c r="C65" s="32"/>
      <c r="D65" s="32"/>
      <c r="E65" s="32"/>
    </row>
    <row r="66" spans="2:5" x14ac:dyDescent="0.25">
      <c r="C66" s="32"/>
      <c r="D66" s="32"/>
      <c r="E66" s="32"/>
    </row>
    <row r="67" spans="2:5" x14ac:dyDescent="0.25">
      <c r="B67" s="32"/>
      <c r="C67" s="32"/>
      <c r="D67" s="32"/>
      <c r="E67" s="32"/>
    </row>
    <row r="68" spans="2:5" x14ac:dyDescent="0.25">
      <c r="B68" s="32"/>
      <c r="C68" s="32"/>
      <c r="D68" s="32"/>
      <c r="E68" s="32"/>
    </row>
    <row r="69" spans="2:5" x14ac:dyDescent="0.25">
      <c r="B69" s="32"/>
      <c r="C69" s="32"/>
      <c r="D69" s="32"/>
      <c r="E69" s="32"/>
    </row>
    <row r="70" spans="2:5" x14ac:dyDescent="0.25">
      <c r="B70" s="32"/>
      <c r="C70" s="32"/>
      <c r="D70" s="32"/>
      <c r="E70" s="32"/>
    </row>
    <row r="71" spans="2:5" x14ac:dyDescent="0.25">
      <c r="B71" s="32"/>
      <c r="C71" s="32"/>
      <c r="D71" s="32"/>
      <c r="E71" s="32"/>
    </row>
    <row r="72" spans="2:5" x14ac:dyDescent="0.25">
      <c r="B72" s="32"/>
      <c r="C72" s="32"/>
      <c r="D72" s="32"/>
      <c r="E72" s="32"/>
    </row>
    <row r="73" spans="2:5" x14ac:dyDescent="0.25">
      <c r="B73" s="32"/>
      <c r="C73" s="32"/>
      <c r="D73" s="32"/>
      <c r="E73" s="32"/>
    </row>
    <row r="74" spans="2:5" x14ac:dyDescent="0.25">
      <c r="B74" s="32"/>
      <c r="C74" s="32"/>
      <c r="D74" s="32"/>
      <c r="E74" s="32"/>
    </row>
    <row r="75" spans="2:5" x14ac:dyDescent="0.25">
      <c r="B75" s="32"/>
      <c r="C75" s="32"/>
      <c r="D75" s="32"/>
      <c r="E75" s="32"/>
    </row>
    <row r="76" spans="2:5" x14ac:dyDescent="0.25">
      <c r="B76" s="32"/>
      <c r="C76" s="32"/>
      <c r="D76" s="32"/>
      <c r="E76" s="32"/>
    </row>
    <row r="77" spans="2:5" x14ac:dyDescent="0.25">
      <c r="B77" s="32"/>
      <c r="C77" s="32"/>
      <c r="D77" s="32"/>
      <c r="E77" s="32"/>
    </row>
    <row r="78" spans="2:5" x14ac:dyDescent="0.25">
      <c r="B78" s="32"/>
      <c r="C78" s="32"/>
      <c r="D78" s="32"/>
      <c r="E78" s="32"/>
    </row>
    <row r="79" spans="2:5" x14ac:dyDescent="0.25">
      <c r="B79" s="32"/>
      <c r="C79" s="32"/>
      <c r="D79" s="32"/>
      <c r="E79" s="32"/>
    </row>
    <row r="80" spans="2:5" x14ac:dyDescent="0.25">
      <c r="B80" s="32"/>
      <c r="C80" s="32"/>
      <c r="D80" s="32"/>
      <c r="E80" s="32"/>
    </row>
    <row r="81" spans="2:5" x14ac:dyDescent="0.25">
      <c r="B81" s="32"/>
      <c r="C81" s="32"/>
      <c r="D81" s="32"/>
      <c r="E81" s="32"/>
    </row>
    <row r="82" spans="2:5" x14ac:dyDescent="0.25">
      <c r="B82" s="32"/>
      <c r="C82" s="32"/>
      <c r="D82" s="32"/>
      <c r="E82" s="32"/>
    </row>
    <row r="83" spans="2:5" x14ac:dyDescent="0.25">
      <c r="B83" s="32"/>
      <c r="C83" s="32"/>
      <c r="D83" s="32"/>
      <c r="E83" s="32"/>
    </row>
    <row r="84" spans="2:5" x14ac:dyDescent="0.25">
      <c r="B84" s="32"/>
      <c r="C84" s="32"/>
      <c r="D84" s="32"/>
      <c r="E84" s="32"/>
    </row>
    <row r="85" spans="2:5" x14ac:dyDescent="0.25">
      <c r="B85" s="32"/>
      <c r="C85" s="32"/>
      <c r="D85" s="32"/>
      <c r="E85" s="32"/>
    </row>
    <row r="86" spans="2:5" x14ac:dyDescent="0.25">
      <c r="B86" s="32"/>
      <c r="C86" s="32"/>
      <c r="D86" s="32"/>
      <c r="E86" s="32"/>
    </row>
    <row r="87" spans="2:5" x14ac:dyDescent="0.25">
      <c r="B87" s="32"/>
      <c r="C87" s="32"/>
      <c r="D87" s="32"/>
      <c r="E87" s="32"/>
    </row>
    <row r="88" spans="2:5" x14ac:dyDescent="0.25">
      <c r="B88" s="32"/>
      <c r="C88" s="32"/>
      <c r="D88" s="32"/>
      <c r="E88" s="32"/>
    </row>
    <row r="89" spans="2:5" x14ac:dyDescent="0.25">
      <c r="B89" s="32"/>
      <c r="C89" s="32"/>
      <c r="D89" s="32"/>
      <c r="E89" s="32"/>
    </row>
    <row r="90" spans="2:5" x14ac:dyDescent="0.25">
      <c r="B90" s="32"/>
      <c r="C90" s="32"/>
      <c r="D90" s="32"/>
      <c r="E90" s="32"/>
    </row>
    <row r="91" spans="2:5" x14ac:dyDescent="0.25">
      <c r="B91" s="32"/>
      <c r="C91" s="32"/>
      <c r="D91" s="32"/>
      <c r="E91" s="32"/>
    </row>
    <row r="92" spans="2:5" x14ac:dyDescent="0.25">
      <c r="B92" s="32"/>
      <c r="C92" s="32"/>
      <c r="D92" s="32"/>
      <c r="E92" s="32"/>
    </row>
    <row r="93" spans="2:5" x14ac:dyDescent="0.25">
      <c r="B93" s="32"/>
      <c r="C93" s="32"/>
      <c r="D93" s="32"/>
      <c r="E93" s="32"/>
    </row>
    <row r="94" spans="2:5" x14ac:dyDescent="0.25">
      <c r="B94" s="32"/>
      <c r="C94" s="32"/>
      <c r="D94" s="32"/>
      <c r="E94" s="32"/>
    </row>
    <row r="95" spans="2:5" x14ac:dyDescent="0.25">
      <c r="B95" s="32"/>
      <c r="C95" s="32"/>
      <c r="D95" s="32"/>
      <c r="E95" s="32"/>
    </row>
    <row r="96" spans="2:5" x14ac:dyDescent="0.25">
      <c r="B96" s="32"/>
      <c r="C96" s="32"/>
      <c r="D96" s="32"/>
      <c r="E96" s="32"/>
    </row>
    <row r="97" spans="2:5" x14ac:dyDescent="0.25">
      <c r="B97" s="32"/>
      <c r="C97" s="32"/>
      <c r="D97" s="32"/>
      <c r="E97" s="32"/>
    </row>
    <row r="98" spans="2:5" x14ac:dyDescent="0.25">
      <c r="B98" s="32"/>
      <c r="C98" s="32"/>
      <c r="D98" s="32"/>
      <c r="E98" s="32"/>
    </row>
    <row r="99" spans="2:5" x14ac:dyDescent="0.25">
      <c r="B99" s="32"/>
      <c r="C99" s="32"/>
      <c r="D99" s="32"/>
      <c r="E99" s="32"/>
    </row>
    <row r="100" spans="2:5" x14ac:dyDescent="0.25">
      <c r="B100" s="32"/>
      <c r="C100" s="32"/>
      <c r="D100" s="32"/>
      <c r="E100" s="32"/>
    </row>
    <row r="101" spans="2:5" x14ac:dyDescent="0.25">
      <c r="B101" s="32"/>
      <c r="C101" s="32"/>
      <c r="D101" s="32"/>
      <c r="E101" s="32"/>
    </row>
    <row r="102" spans="2:5" x14ac:dyDescent="0.25">
      <c r="B102" s="32"/>
      <c r="C102" s="32"/>
      <c r="D102" s="32"/>
      <c r="E102" s="32"/>
    </row>
    <row r="103" spans="2:5" x14ac:dyDescent="0.25">
      <c r="B103" s="32"/>
      <c r="C103" s="32"/>
      <c r="D103" s="32"/>
      <c r="E103" s="32"/>
    </row>
    <row r="104" spans="2:5" x14ac:dyDescent="0.25">
      <c r="B104" s="32"/>
      <c r="C104" s="32"/>
      <c r="D104" s="32"/>
      <c r="E104" s="32"/>
    </row>
    <row r="105" spans="2:5" x14ac:dyDescent="0.25">
      <c r="B105" s="32"/>
      <c r="C105" s="32"/>
      <c r="D105" s="32"/>
      <c r="E105" s="32"/>
    </row>
    <row r="106" spans="2:5" x14ac:dyDescent="0.25">
      <c r="B106" s="32"/>
      <c r="C106" s="32"/>
      <c r="D106" s="32"/>
      <c r="E106" s="32"/>
    </row>
    <row r="107" spans="2:5" x14ac:dyDescent="0.25">
      <c r="B107" s="32"/>
      <c r="C107" s="32"/>
      <c r="D107" s="32"/>
      <c r="E107" s="32"/>
    </row>
    <row r="108" spans="2:5" x14ac:dyDescent="0.25">
      <c r="B108" s="32"/>
      <c r="C108" s="32"/>
      <c r="D108" s="32"/>
      <c r="E108" s="32"/>
    </row>
    <row r="109" spans="2:5" x14ac:dyDescent="0.25">
      <c r="B109" s="32"/>
      <c r="C109" s="32"/>
      <c r="D109" s="32"/>
      <c r="E109" s="32"/>
    </row>
    <row r="110" spans="2:5" x14ac:dyDescent="0.25">
      <c r="B110" s="32"/>
      <c r="C110" s="32"/>
      <c r="D110" s="32"/>
      <c r="E110" s="32"/>
    </row>
    <row r="111" spans="2:5" x14ac:dyDescent="0.25">
      <c r="B111" s="32"/>
      <c r="C111" s="32"/>
      <c r="D111" s="32"/>
      <c r="E111" s="32"/>
    </row>
    <row r="112" spans="2:5" x14ac:dyDescent="0.25">
      <c r="B112" s="32"/>
      <c r="C112" s="32"/>
      <c r="D112" s="32"/>
      <c r="E112" s="32"/>
    </row>
    <row r="113" spans="1:5" x14ac:dyDescent="0.25">
      <c r="B113" s="32"/>
      <c r="C113" s="32"/>
      <c r="D113" s="32"/>
      <c r="E113" s="32"/>
    </row>
    <row r="114" spans="1:5" x14ac:dyDescent="0.25">
      <c r="B114" s="32"/>
      <c r="C114" s="32"/>
      <c r="D114" s="32"/>
      <c r="E114" s="32"/>
    </row>
    <row r="115" spans="1:5" x14ac:dyDescent="0.25">
      <c r="B115" s="32"/>
      <c r="C115" s="32"/>
      <c r="D115" s="32"/>
      <c r="E115" s="32"/>
    </row>
    <row r="116" spans="1:5" x14ac:dyDescent="0.25">
      <c r="B116" s="32"/>
      <c r="C116" s="32"/>
      <c r="D116" s="32"/>
      <c r="E116" s="32"/>
    </row>
    <row r="117" spans="1:5" x14ac:dyDescent="0.25">
      <c r="B117" s="32"/>
      <c r="C117" s="32"/>
      <c r="D117" s="32"/>
      <c r="E117" s="32"/>
    </row>
    <row r="118" spans="1:5" x14ac:dyDescent="0.25">
      <c r="B118" s="32"/>
      <c r="C118" s="32"/>
      <c r="D118" s="32"/>
      <c r="E118" s="32"/>
    </row>
    <row r="119" spans="1:5" x14ac:dyDescent="0.25">
      <c r="A119" s="16"/>
      <c r="B119" s="32"/>
      <c r="C119" s="32"/>
      <c r="D119" s="32"/>
      <c r="E119" s="32"/>
    </row>
    <row r="120" spans="1:5" x14ac:dyDescent="0.25">
      <c r="B120" s="32"/>
      <c r="C120" s="32"/>
      <c r="D120" s="32"/>
      <c r="E120" s="32"/>
    </row>
    <row r="121" spans="1:5" x14ac:dyDescent="0.25">
      <c r="B121" s="32"/>
      <c r="C121" s="32"/>
      <c r="D121" s="32"/>
      <c r="E121" s="32"/>
    </row>
    <row r="122" spans="1:5" x14ac:dyDescent="0.25">
      <c r="B122" s="32"/>
      <c r="C122" s="32"/>
      <c r="D122" s="32"/>
      <c r="E122" s="32"/>
    </row>
    <row r="123" spans="1:5" x14ac:dyDescent="0.25">
      <c r="B123" s="32"/>
      <c r="C123" s="32"/>
      <c r="D123" s="32"/>
      <c r="E123" s="32"/>
    </row>
    <row r="124" spans="1:5" x14ac:dyDescent="0.25">
      <c r="B124" s="32"/>
      <c r="C124" s="32"/>
      <c r="D124" s="32"/>
      <c r="E124" s="32"/>
    </row>
    <row r="125" spans="1:5" x14ac:dyDescent="0.25">
      <c r="A125" s="16"/>
      <c r="B125" s="32"/>
      <c r="C125" s="32"/>
      <c r="D125" s="32"/>
      <c r="E125" s="32"/>
    </row>
    <row r="126" spans="1:5" x14ac:dyDescent="0.25">
      <c r="A126" s="16"/>
      <c r="B126" s="32"/>
      <c r="C126" s="32"/>
      <c r="D126" s="32"/>
      <c r="E126" s="32"/>
    </row>
    <row r="127" spans="1:5" x14ac:dyDescent="0.25">
      <c r="B127" s="32"/>
      <c r="C127" s="32"/>
      <c r="D127" s="32"/>
      <c r="E127" s="32"/>
    </row>
    <row r="128" spans="1:5" x14ac:dyDescent="0.25">
      <c r="B128" s="32"/>
      <c r="C128" s="32"/>
      <c r="D128" s="32"/>
      <c r="E128" s="32"/>
    </row>
    <row r="129" spans="2:5" x14ac:dyDescent="0.25">
      <c r="B129" s="32"/>
      <c r="C129" s="32"/>
      <c r="D129" s="32"/>
      <c r="E129" s="32"/>
    </row>
    <row r="130" spans="2:5" x14ac:dyDescent="0.25">
      <c r="B130" s="32"/>
      <c r="C130" s="32"/>
      <c r="D130" s="32"/>
      <c r="E130" s="32"/>
    </row>
  </sheetData>
  <mergeCells count="9">
    <mergeCell ref="I34:J34"/>
    <mergeCell ref="K34:L34"/>
    <mergeCell ref="P34:Q34"/>
    <mergeCell ref="Z34:AA34"/>
    <mergeCell ref="M34:O34"/>
    <mergeCell ref="R34:S34"/>
    <mergeCell ref="T34:U34"/>
    <mergeCell ref="V34:W34"/>
    <mergeCell ref="X34:Y34"/>
  </mergeCells>
  <phoneticPr fontId="0" type="noConversion"/>
  <printOptions horizontalCentered="1" verticalCentered="1"/>
  <pageMargins left="0.5" right="0" top="0.25" bottom="0.25" header="0" footer="0"/>
  <pageSetup scale="62" orientation="landscape" blackAndWhite="1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I57"/>
  <sheetViews>
    <sheetView workbookViewId="0">
      <selection activeCell="F24" sqref="F24"/>
    </sheetView>
  </sheetViews>
  <sheetFormatPr defaultRowHeight="12.5" x14ac:dyDescent="0.25"/>
  <cols>
    <col min="1" max="1" width="7.08984375" customWidth="1"/>
  </cols>
  <sheetData>
    <row r="1" spans="1:9" ht="15.5" x14ac:dyDescent="0.35">
      <c r="B1" s="82" t="s">
        <v>118</v>
      </c>
      <c r="C1" s="82"/>
      <c r="D1" s="82"/>
      <c r="E1" s="82"/>
      <c r="F1" s="82"/>
      <c r="G1" s="83"/>
      <c r="H1" s="83"/>
      <c r="I1" t="s">
        <v>119</v>
      </c>
    </row>
    <row r="2" spans="1:9" ht="15.5" x14ac:dyDescent="0.35">
      <c r="B2" s="82" t="s">
        <v>120</v>
      </c>
      <c r="C2" s="82"/>
      <c r="D2" s="82"/>
      <c r="E2" s="82"/>
      <c r="F2" s="82"/>
      <c r="G2" s="83"/>
      <c r="H2" s="83"/>
    </row>
    <row r="3" spans="1:9" ht="15.5" x14ac:dyDescent="0.35">
      <c r="B3" s="82" t="s">
        <v>121</v>
      </c>
      <c r="C3" s="82"/>
      <c r="D3" s="82"/>
      <c r="E3" s="82"/>
      <c r="F3" s="82"/>
      <c r="G3" s="83"/>
      <c r="H3" s="83"/>
    </row>
    <row r="4" spans="1:9" ht="15.5" x14ac:dyDescent="0.35">
      <c r="B4" s="82" t="s">
        <v>122</v>
      </c>
      <c r="C4" s="82"/>
      <c r="D4" s="82"/>
      <c r="E4" s="82"/>
      <c r="F4" s="82"/>
      <c r="G4" s="83"/>
      <c r="H4" s="83"/>
    </row>
    <row r="6" spans="1:9" x14ac:dyDescent="0.25">
      <c r="A6" t="s">
        <v>123</v>
      </c>
    </row>
    <row r="7" spans="1:9" x14ac:dyDescent="0.25">
      <c r="B7" t="s">
        <v>124</v>
      </c>
    </row>
    <row r="8" spans="1:9" x14ac:dyDescent="0.25">
      <c r="B8" t="s">
        <v>125</v>
      </c>
    </row>
    <row r="9" spans="1:9" ht="13" x14ac:dyDescent="0.3">
      <c r="B9" t="s">
        <v>126</v>
      </c>
    </row>
    <row r="11" spans="1:9" ht="13" x14ac:dyDescent="0.3">
      <c r="B11" s="81" t="s">
        <v>127</v>
      </c>
      <c r="C11" s="81"/>
      <c r="D11" s="81"/>
      <c r="E11" s="81"/>
      <c r="F11" s="81"/>
    </row>
    <row r="12" spans="1:9" x14ac:dyDescent="0.25">
      <c r="A12" t="s">
        <v>128</v>
      </c>
    </row>
    <row r="14" spans="1:9" ht="13" x14ac:dyDescent="0.3">
      <c r="A14" s="72" t="s">
        <v>129</v>
      </c>
      <c r="B14" s="32" t="s">
        <v>130</v>
      </c>
    </row>
    <row r="15" spans="1:9" x14ac:dyDescent="0.25">
      <c r="B15" t="s">
        <v>131</v>
      </c>
    </row>
    <row r="17" spans="1:2" ht="13" x14ac:dyDescent="0.3">
      <c r="A17" s="72" t="s">
        <v>132</v>
      </c>
      <c r="B17" s="32" t="s">
        <v>133</v>
      </c>
    </row>
    <row r="18" spans="1:2" ht="13" x14ac:dyDescent="0.3">
      <c r="B18" t="s">
        <v>134</v>
      </c>
    </row>
    <row r="20" spans="1:2" ht="13" x14ac:dyDescent="0.3">
      <c r="A20" s="72" t="s">
        <v>135</v>
      </c>
      <c r="B20" s="32" t="s">
        <v>136</v>
      </c>
    </row>
    <row r="21" spans="1:2" x14ac:dyDescent="0.25">
      <c r="B21" t="s">
        <v>137</v>
      </c>
    </row>
    <row r="22" spans="1:2" x14ac:dyDescent="0.25">
      <c r="B22" t="s">
        <v>138</v>
      </c>
    </row>
    <row r="24" spans="1:2" ht="13" x14ac:dyDescent="0.3">
      <c r="A24" s="72" t="s">
        <v>139</v>
      </c>
      <c r="B24" t="s">
        <v>140</v>
      </c>
    </row>
    <row r="25" spans="1:2" x14ac:dyDescent="0.25">
      <c r="B25" t="s">
        <v>141</v>
      </c>
    </row>
    <row r="27" spans="1:2" ht="13" x14ac:dyDescent="0.3">
      <c r="A27" s="72" t="s">
        <v>142</v>
      </c>
      <c r="B27" s="32" t="s">
        <v>143</v>
      </c>
    </row>
    <row r="29" spans="1:2" ht="13" x14ac:dyDescent="0.3">
      <c r="A29" s="72" t="s">
        <v>144</v>
      </c>
      <c r="B29" t="s">
        <v>145</v>
      </c>
    </row>
    <row r="30" spans="1:2" x14ac:dyDescent="0.25">
      <c r="B30" t="s">
        <v>146</v>
      </c>
    </row>
    <row r="32" spans="1:2" ht="13" x14ac:dyDescent="0.3">
      <c r="A32" s="72" t="s">
        <v>147</v>
      </c>
      <c r="B32" t="s">
        <v>148</v>
      </c>
    </row>
    <row r="35" spans="1:2" ht="13" x14ac:dyDescent="0.3">
      <c r="A35" s="72" t="s">
        <v>149</v>
      </c>
      <c r="B35" t="s">
        <v>150</v>
      </c>
    </row>
    <row r="36" spans="1:2" x14ac:dyDescent="0.25">
      <c r="B36" t="s">
        <v>151</v>
      </c>
    </row>
    <row r="39" spans="1:2" ht="13" x14ac:dyDescent="0.3">
      <c r="B39" s="19" t="s">
        <v>152</v>
      </c>
    </row>
    <row r="42" spans="1:2" ht="13" x14ac:dyDescent="0.3">
      <c r="A42" s="72" t="s">
        <v>129</v>
      </c>
      <c r="B42" t="s">
        <v>153</v>
      </c>
    </row>
    <row r="43" spans="1:2" x14ac:dyDescent="0.25">
      <c r="B43" t="s">
        <v>154</v>
      </c>
    </row>
    <row r="45" spans="1:2" ht="13" x14ac:dyDescent="0.3">
      <c r="A45" s="72" t="s">
        <v>132</v>
      </c>
      <c r="B45" t="s">
        <v>155</v>
      </c>
    </row>
    <row r="46" spans="1:2" x14ac:dyDescent="0.25">
      <c r="B46" t="s">
        <v>156</v>
      </c>
    </row>
    <row r="48" spans="1:2" ht="13" x14ac:dyDescent="0.3">
      <c r="A48" s="72" t="s">
        <v>135</v>
      </c>
      <c r="B48" t="s">
        <v>157</v>
      </c>
    </row>
    <row r="50" spans="1:2" ht="13" x14ac:dyDescent="0.3">
      <c r="A50" s="72" t="s">
        <v>139</v>
      </c>
      <c r="B50" t="s">
        <v>158</v>
      </c>
    </row>
    <row r="53" spans="1:2" ht="13" x14ac:dyDescent="0.3">
      <c r="A53" t="s">
        <v>159</v>
      </c>
    </row>
    <row r="54" spans="1:2" x14ac:dyDescent="0.25">
      <c r="A54" t="s">
        <v>160</v>
      </c>
    </row>
    <row r="55" spans="1:2" ht="13" x14ac:dyDescent="0.3">
      <c r="A55" t="s">
        <v>161</v>
      </c>
    </row>
    <row r="57" spans="1:2" x14ac:dyDescent="0.25">
      <c r="A57" t="s">
        <v>162</v>
      </c>
    </row>
  </sheetData>
  <mergeCells count="5">
    <mergeCell ref="B11:F11"/>
    <mergeCell ref="B1:H1"/>
    <mergeCell ref="B2:H2"/>
    <mergeCell ref="B3:H3"/>
    <mergeCell ref="B4:H4"/>
  </mergeCells>
  <phoneticPr fontId="0" type="noConversion"/>
  <printOptions horizontalCentered="1"/>
  <pageMargins left="1.25" right="0.75" top="1" bottom="1" header="0.5" footer="0.5"/>
  <pageSetup scale="67" orientation="portrait" blackAndWhite="1" draft="1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AI201"/>
  <sheetViews>
    <sheetView zoomScale="85" workbookViewId="0">
      <pane xSplit="4" ySplit="6" topLeftCell="E34" activePane="bottomRight" state="frozen"/>
      <selection pane="topRight" activeCell="S32" sqref="S32"/>
      <selection pane="bottomLeft" activeCell="S32" sqref="S32"/>
      <selection pane="bottomRight" activeCell="L91" sqref="L91"/>
    </sheetView>
  </sheetViews>
  <sheetFormatPr defaultRowHeight="12.5" x14ac:dyDescent="0.25"/>
  <cols>
    <col min="2" max="2" width="5" bestFit="1" customWidth="1"/>
    <col min="4" max="4" width="42.08984375" bestFit="1" customWidth="1"/>
    <col min="7" max="7" width="9.6328125" bestFit="1" customWidth="1"/>
    <col min="9" max="9" width="7.54296875" customWidth="1"/>
    <col min="14" max="14" width="1.54296875" customWidth="1"/>
    <col min="17" max="17" width="9.6328125" bestFit="1" customWidth="1"/>
    <col min="23" max="23" width="1.54296875" customWidth="1"/>
    <col min="24" max="24" width="14.90625" bestFit="1" customWidth="1"/>
    <col min="25" max="25" width="11.54296875" bestFit="1" customWidth="1"/>
    <col min="26" max="27" width="10.54296875" bestFit="1" customWidth="1"/>
    <col min="28" max="29" width="9.54296875" bestFit="1" customWidth="1"/>
    <col min="30" max="30" width="7.54296875" bestFit="1" customWidth="1"/>
    <col min="31" max="31" width="8.54296875" bestFit="1" customWidth="1"/>
    <col min="32" max="32" width="11.54296875" bestFit="1" customWidth="1"/>
    <col min="34" max="35" width="10.08984375" bestFit="1" customWidth="1"/>
  </cols>
  <sheetData>
    <row r="1" spans="1:35" x14ac:dyDescent="0.25">
      <c r="A1" t="s">
        <v>163</v>
      </c>
    </row>
    <row r="2" spans="1:35" x14ac:dyDescent="0.25">
      <c r="A2" t="s">
        <v>164</v>
      </c>
    </row>
    <row r="3" spans="1:35" x14ac:dyDescent="0.25">
      <c r="A3" t="s">
        <v>165</v>
      </c>
    </row>
    <row r="4" spans="1:35" x14ac:dyDescent="0.25">
      <c r="AH4" t="s">
        <v>3</v>
      </c>
      <c r="AI4" t="s">
        <v>4</v>
      </c>
    </row>
    <row r="5" spans="1:35" x14ac:dyDescent="0.25">
      <c r="B5" t="s">
        <v>166</v>
      </c>
      <c r="H5" t="s">
        <v>167</v>
      </c>
      <c r="R5" t="s">
        <v>168</v>
      </c>
      <c r="S5" t="s">
        <v>169</v>
      </c>
      <c r="X5" t="s">
        <v>170</v>
      </c>
      <c r="AH5" t="s">
        <v>171</v>
      </c>
      <c r="AI5" t="s">
        <v>171</v>
      </c>
    </row>
    <row r="6" spans="1:35" x14ac:dyDescent="0.25">
      <c r="A6" t="s">
        <v>172</v>
      </c>
      <c r="B6" t="s">
        <v>173</v>
      </c>
      <c r="C6" t="s">
        <v>174</v>
      </c>
      <c r="D6" t="s">
        <v>175</v>
      </c>
      <c r="E6" t="s">
        <v>43</v>
      </c>
      <c r="F6" t="s">
        <v>4</v>
      </c>
      <c r="G6" t="s">
        <v>176</v>
      </c>
      <c r="H6" t="s">
        <v>6</v>
      </c>
      <c r="I6" t="s">
        <v>7</v>
      </c>
      <c r="J6" t="s">
        <v>177</v>
      </c>
      <c r="K6" t="s">
        <v>178</v>
      </c>
      <c r="L6" t="s">
        <v>179</v>
      </c>
      <c r="M6" t="s">
        <v>170</v>
      </c>
      <c r="O6" t="s">
        <v>43</v>
      </c>
      <c r="P6" t="s">
        <v>4</v>
      </c>
      <c r="Q6" t="s">
        <v>176</v>
      </c>
      <c r="R6" t="s">
        <v>6</v>
      </c>
      <c r="S6" t="s">
        <v>7</v>
      </c>
      <c r="T6" t="s">
        <v>177</v>
      </c>
      <c r="U6" t="s">
        <v>178</v>
      </c>
      <c r="V6" t="s">
        <v>179</v>
      </c>
      <c r="X6" t="s">
        <v>180</v>
      </c>
      <c r="Y6" t="s">
        <v>3</v>
      </c>
      <c r="Z6" t="s">
        <v>4</v>
      </c>
      <c r="AA6" t="s">
        <v>176</v>
      </c>
      <c r="AB6" t="s">
        <v>6</v>
      </c>
      <c r="AC6" t="s">
        <v>7</v>
      </c>
      <c r="AD6" t="s">
        <v>177</v>
      </c>
      <c r="AE6" t="s">
        <v>178</v>
      </c>
      <c r="AF6" t="s">
        <v>179</v>
      </c>
      <c r="AH6" t="s">
        <v>181</v>
      </c>
      <c r="AI6" t="s">
        <v>181</v>
      </c>
    </row>
    <row r="7" spans="1:35" x14ac:dyDescent="0.25">
      <c r="N7" s="1" t="s">
        <v>182</v>
      </c>
      <c r="W7" s="1" t="s">
        <v>182</v>
      </c>
    </row>
    <row r="8" spans="1:35" x14ac:dyDescent="0.25">
      <c r="D8" t="s">
        <v>183</v>
      </c>
      <c r="M8" s="1"/>
      <c r="N8" s="1" t="s">
        <v>182</v>
      </c>
      <c r="O8" s="1"/>
      <c r="P8" s="1"/>
      <c r="Q8" s="1"/>
      <c r="R8" s="1"/>
      <c r="S8" s="1"/>
      <c r="T8" s="1"/>
      <c r="U8" s="1"/>
      <c r="V8" s="1"/>
      <c r="W8" s="1" t="s">
        <v>182</v>
      </c>
    </row>
    <row r="9" spans="1:35" x14ac:dyDescent="0.25">
      <c r="E9" s="1"/>
      <c r="F9" s="1"/>
      <c r="G9" s="1"/>
      <c r="H9" s="1"/>
      <c r="I9" s="1"/>
      <c r="J9" s="1"/>
      <c r="K9" s="1"/>
      <c r="L9" s="1"/>
      <c r="M9" s="1"/>
      <c r="N9" s="1" t="s">
        <v>182</v>
      </c>
      <c r="O9" s="1"/>
      <c r="P9" s="1"/>
      <c r="Q9" s="1"/>
      <c r="R9" s="1"/>
      <c r="S9" s="1"/>
      <c r="T9" s="1"/>
      <c r="U9" s="1"/>
      <c r="V9" s="1"/>
      <c r="W9" s="1" t="s">
        <v>182</v>
      </c>
    </row>
    <row r="10" spans="1:35" x14ac:dyDescent="0.25">
      <c r="B10" s="13">
        <v>101</v>
      </c>
      <c r="C10" t="s">
        <v>184</v>
      </c>
      <c r="D10" t="s">
        <v>185</v>
      </c>
      <c r="E10" s="20" t="e">
        <f>#REF!</f>
        <v>#REF!</v>
      </c>
      <c r="F10" s="20" t="e">
        <f>#REF!</f>
        <v>#REF!</v>
      </c>
      <c r="G10" s="20" t="e">
        <f>LOUDOUN!#REF!</f>
        <v>#REF!</v>
      </c>
      <c r="H10" s="20" t="e">
        <f>#REF!</f>
        <v>#REF!</v>
      </c>
      <c r="I10" s="20" t="e">
        <f>#REF!</f>
        <v>#REF!</v>
      </c>
      <c r="J10" s="23">
        <v>1.3032600000000004E-2</v>
      </c>
      <c r="K10" s="23">
        <v>4.9841999999999997E-2</v>
      </c>
      <c r="L10" s="33">
        <v>0</v>
      </c>
      <c r="M10" s="1" t="e">
        <f>SUM(E10:L10)</f>
        <v>#REF!</v>
      </c>
      <c r="N10" s="1" t="s">
        <v>182</v>
      </c>
      <c r="O10" s="1" t="e">
        <f t="shared" ref="O10:V10" si="0">(+E10/$M10)*100</f>
        <v>#REF!</v>
      </c>
      <c r="P10" s="1" t="e">
        <f t="shared" si="0"/>
        <v>#REF!</v>
      </c>
      <c r="Q10" s="1" t="e">
        <f t="shared" si="0"/>
        <v>#REF!</v>
      </c>
      <c r="R10" s="1" t="e">
        <f t="shared" si="0"/>
        <v>#REF!</v>
      </c>
      <c r="S10" s="1" t="e">
        <f t="shared" si="0"/>
        <v>#REF!</v>
      </c>
      <c r="T10" s="1" t="e">
        <f t="shared" si="0"/>
        <v>#REF!</v>
      </c>
      <c r="U10" s="1" t="e">
        <f t="shared" si="0"/>
        <v>#REF!</v>
      </c>
      <c r="V10" s="1" t="e">
        <f t="shared" si="0"/>
        <v>#REF!</v>
      </c>
      <c r="W10" s="1" t="s">
        <v>182</v>
      </c>
      <c r="X10">
        <f>122826.5+98397.13+1790.1+1977.74</f>
        <v>224991.47</v>
      </c>
      <c r="Y10" t="e">
        <f t="shared" ref="Y10:AF10" si="1">(+O10/100)*$X10</f>
        <v>#REF!</v>
      </c>
      <c r="Z10" t="e">
        <f t="shared" si="1"/>
        <v>#REF!</v>
      </c>
      <c r="AA10" t="e">
        <f t="shared" si="1"/>
        <v>#REF!</v>
      </c>
      <c r="AB10" t="e">
        <f t="shared" si="1"/>
        <v>#REF!</v>
      </c>
      <c r="AC10" t="e">
        <f t="shared" si="1"/>
        <v>#REF!</v>
      </c>
      <c r="AD10" t="e">
        <f t="shared" si="1"/>
        <v>#REF!</v>
      </c>
      <c r="AE10" t="e">
        <f t="shared" si="1"/>
        <v>#REF!</v>
      </c>
      <c r="AF10" t="e">
        <f t="shared" si="1"/>
        <v>#REF!</v>
      </c>
      <c r="AH10">
        <v>21.6</v>
      </c>
      <c r="AI10">
        <v>21.6</v>
      </c>
    </row>
    <row r="11" spans="1:35" x14ac:dyDescent="0.25">
      <c r="B11" s="7"/>
      <c r="N11" s="1" t="s">
        <v>182</v>
      </c>
      <c r="W11" s="1" t="s">
        <v>182</v>
      </c>
    </row>
    <row r="12" spans="1:35" x14ac:dyDescent="0.25">
      <c r="B12" s="7"/>
      <c r="D12" t="s">
        <v>186</v>
      </c>
      <c r="N12" s="1" t="s">
        <v>182</v>
      </c>
      <c r="W12" s="1" t="s">
        <v>182</v>
      </c>
    </row>
    <row r="13" spans="1:35" x14ac:dyDescent="0.25">
      <c r="B13" s="7"/>
      <c r="N13" s="1" t="s">
        <v>182</v>
      </c>
      <c r="W13" s="1" t="s">
        <v>182</v>
      </c>
    </row>
    <row r="14" spans="1:35" x14ac:dyDescent="0.25">
      <c r="B14" s="7">
        <v>111</v>
      </c>
      <c r="C14" t="s">
        <v>187</v>
      </c>
      <c r="E14" s="1" t="e">
        <f>E117</f>
        <v>#REF!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30" t="e">
        <f>E14*0.357</f>
        <v>#REF!</v>
      </c>
      <c r="M14" s="1" t="e">
        <f>SUM(E14:L14)</f>
        <v>#REF!</v>
      </c>
      <c r="N14" s="1" t="s">
        <v>182</v>
      </c>
      <c r="O14" s="1" t="e">
        <f t="shared" ref="O14:V14" si="2">(+E14/$M14)*100</f>
        <v>#REF!</v>
      </c>
      <c r="P14" s="1" t="e">
        <f t="shared" si="2"/>
        <v>#REF!</v>
      </c>
      <c r="Q14" s="1" t="e">
        <f t="shared" si="2"/>
        <v>#REF!</v>
      </c>
      <c r="R14" s="1" t="e">
        <f t="shared" si="2"/>
        <v>#REF!</v>
      </c>
      <c r="S14" s="1" t="e">
        <f t="shared" si="2"/>
        <v>#REF!</v>
      </c>
      <c r="T14" s="1" t="e">
        <f t="shared" si="2"/>
        <v>#REF!</v>
      </c>
      <c r="U14" s="1" t="e">
        <f t="shared" si="2"/>
        <v>#REF!</v>
      </c>
      <c r="V14" s="1" t="e">
        <f t="shared" si="2"/>
        <v>#REF!</v>
      </c>
      <c r="W14" s="1" t="s">
        <v>182</v>
      </c>
      <c r="X14" s="1">
        <f>6842.95+4440.6</f>
        <v>11283.55</v>
      </c>
      <c r="Y14" t="e">
        <f t="shared" ref="Y14:AF14" si="3">(+O14/100)*$X14</f>
        <v>#REF!</v>
      </c>
      <c r="Z14" t="e">
        <f t="shared" si="3"/>
        <v>#REF!</v>
      </c>
      <c r="AA14" t="e">
        <f t="shared" si="3"/>
        <v>#REF!</v>
      </c>
      <c r="AB14" t="e">
        <f t="shared" si="3"/>
        <v>#REF!</v>
      </c>
      <c r="AC14" t="e">
        <f t="shared" si="3"/>
        <v>#REF!</v>
      </c>
      <c r="AD14" t="e">
        <f t="shared" si="3"/>
        <v>#REF!</v>
      </c>
      <c r="AE14" t="e">
        <f t="shared" si="3"/>
        <v>#REF!</v>
      </c>
      <c r="AF14" t="e">
        <f t="shared" si="3"/>
        <v>#REF!</v>
      </c>
      <c r="AG14" s="1"/>
      <c r="AH14" s="1"/>
      <c r="AI14" s="1"/>
    </row>
    <row r="15" spans="1:35" x14ac:dyDescent="0.25">
      <c r="B15" s="7"/>
      <c r="N15" s="1" t="s">
        <v>182</v>
      </c>
      <c r="V15" s="8"/>
      <c r="W15" s="1" t="s">
        <v>182</v>
      </c>
    </row>
    <row r="16" spans="1:35" x14ac:dyDescent="0.25">
      <c r="A16" t="s">
        <v>188</v>
      </c>
      <c r="B16" s="7"/>
      <c r="D16" t="s">
        <v>189</v>
      </c>
      <c r="E16" s="1"/>
      <c r="F16" s="1"/>
      <c r="G16" s="1"/>
      <c r="H16" s="1"/>
      <c r="I16" s="1"/>
      <c r="J16" s="1"/>
      <c r="K16" s="1"/>
      <c r="L16" s="1"/>
      <c r="M16" s="1"/>
      <c r="N16" s="1" t="s">
        <v>182</v>
      </c>
      <c r="O16" s="1"/>
      <c r="P16" s="1"/>
      <c r="Q16" s="1"/>
      <c r="R16" s="1"/>
      <c r="S16" s="1"/>
      <c r="T16" s="1"/>
      <c r="U16" s="1"/>
      <c r="V16" s="1"/>
      <c r="W16" s="1" t="s">
        <v>182</v>
      </c>
    </row>
    <row r="17" spans="1:35" x14ac:dyDescent="0.25">
      <c r="B17" s="7"/>
      <c r="E17" s="1"/>
      <c r="F17" s="1"/>
      <c r="G17" s="1"/>
      <c r="H17" s="1"/>
      <c r="I17" s="1"/>
      <c r="J17" s="1"/>
      <c r="K17" s="1"/>
      <c r="L17" s="1"/>
      <c r="M17" s="1"/>
      <c r="N17" s="1" t="s">
        <v>182</v>
      </c>
      <c r="O17" s="1"/>
      <c r="P17" s="1"/>
      <c r="Q17" s="1"/>
      <c r="R17" s="1"/>
      <c r="S17" s="1"/>
      <c r="T17" s="1"/>
      <c r="U17" s="1"/>
      <c r="V17" s="1"/>
      <c r="W17" s="1" t="s">
        <v>182</v>
      </c>
    </row>
    <row r="18" spans="1:35" x14ac:dyDescent="0.25">
      <c r="A18" t="s">
        <v>190</v>
      </c>
      <c r="B18" s="7"/>
      <c r="D18" t="s">
        <v>191</v>
      </c>
      <c r="E18" s="1"/>
      <c r="F18" s="1"/>
      <c r="G18" s="1"/>
      <c r="H18" s="1"/>
      <c r="I18" s="1"/>
      <c r="J18" s="1"/>
      <c r="K18" s="1"/>
      <c r="L18" s="1"/>
      <c r="M18" s="1"/>
      <c r="N18" s="1" t="s">
        <v>182</v>
      </c>
      <c r="O18" s="1"/>
      <c r="P18" s="1"/>
      <c r="Q18" s="1"/>
      <c r="R18" s="1"/>
      <c r="S18" s="1"/>
      <c r="T18" s="1"/>
      <c r="U18" s="1"/>
      <c r="V18" s="1"/>
      <c r="W18" s="1" t="s">
        <v>182</v>
      </c>
    </row>
    <row r="19" spans="1:35" x14ac:dyDescent="0.25">
      <c r="B19" s="7">
        <v>121</v>
      </c>
      <c r="C19" t="s">
        <v>192</v>
      </c>
      <c r="D19" t="s">
        <v>193</v>
      </c>
      <c r="E19" s="20" t="e">
        <f>#REF!</f>
        <v>#REF!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 t="e">
        <f>SUM(E19:L19)</f>
        <v>#REF!</v>
      </c>
      <c r="N19" s="1" t="s">
        <v>182</v>
      </c>
      <c r="O19" s="1" t="e">
        <f>(+E19/M19)*100</f>
        <v>#REF!</v>
      </c>
      <c r="P19" s="1" t="e">
        <f>SUM(F19/M19)*100</f>
        <v>#REF!</v>
      </c>
      <c r="Q19" s="1" t="e">
        <f>SUM(G19/M19)*100</f>
        <v>#REF!</v>
      </c>
      <c r="R19" s="1" t="e">
        <f>SUM(H19/M19)*100</f>
        <v>#REF!</v>
      </c>
      <c r="S19" s="1" t="e">
        <f>SUM(I19/M19)*100</f>
        <v>#REF!</v>
      </c>
      <c r="T19" s="1" t="e">
        <f>SUM(J19/M19)*100</f>
        <v>#REF!</v>
      </c>
      <c r="U19" s="1" t="e">
        <f>SUM(K19/M19)*100</f>
        <v>#REF!</v>
      </c>
      <c r="V19" s="1" t="e">
        <f>SUM(L19/M19)*100</f>
        <v>#REF!</v>
      </c>
      <c r="W19" s="1" t="s">
        <v>182</v>
      </c>
      <c r="X19">
        <f>8953.67+2648.44+1967.73</f>
        <v>13569.84</v>
      </c>
      <c r="Y19" t="e">
        <f t="shared" ref="Y19:AF19" si="4">(+O19/100)*$X19</f>
        <v>#REF!</v>
      </c>
      <c r="Z19" t="e">
        <f t="shared" si="4"/>
        <v>#REF!</v>
      </c>
      <c r="AA19" t="e">
        <f t="shared" si="4"/>
        <v>#REF!</v>
      </c>
      <c r="AB19" t="e">
        <f t="shared" si="4"/>
        <v>#REF!</v>
      </c>
      <c r="AC19" t="e">
        <f t="shared" si="4"/>
        <v>#REF!</v>
      </c>
      <c r="AD19" t="e">
        <f t="shared" si="4"/>
        <v>#REF!</v>
      </c>
      <c r="AE19" t="e">
        <f t="shared" si="4"/>
        <v>#REF!</v>
      </c>
      <c r="AF19" t="e">
        <f t="shared" si="4"/>
        <v>#REF!</v>
      </c>
      <c r="AG19" s="1"/>
      <c r="AH19">
        <v>6.5</v>
      </c>
      <c r="AI19">
        <v>0</v>
      </c>
    </row>
    <row r="20" spans="1:35" x14ac:dyDescent="0.25">
      <c r="B20" s="7">
        <v>122</v>
      </c>
      <c r="C20" t="s">
        <v>194</v>
      </c>
      <c r="D20" t="s">
        <v>195</v>
      </c>
      <c r="E20" s="1" t="e">
        <f>E10</f>
        <v>#REF!</v>
      </c>
      <c r="F20" s="1" t="e">
        <f t="shared" ref="F20:K20" si="5">F$10</f>
        <v>#REF!</v>
      </c>
      <c r="G20" s="1" t="e">
        <f t="shared" si="5"/>
        <v>#REF!</v>
      </c>
      <c r="H20" s="1" t="e">
        <f t="shared" si="5"/>
        <v>#REF!</v>
      </c>
      <c r="I20" s="1" t="e">
        <f t="shared" si="5"/>
        <v>#REF!</v>
      </c>
      <c r="J20" s="1">
        <f t="shared" si="5"/>
        <v>1.3032600000000004E-2</v>
      </c>
      <c r="K20" s="1">
        <f t="shared" si="5"/>
        <v>4.9841999999999997E-2</v>
      </c>
      <c r="L20" s="1">
        <v>0</v>
      </c>
      <c r="M20" s="1" t="e">
        <f>SUM(E20:L20)</f>
        <v>#REF!</v>
      </c>
      <c r="N20" s="1" t="s">
        <v>182</v>
      </c>
      <c r="O20" s="1" t="e">
        <f>(+E20/M20)*100</f>
        <v>#REF!</v>
      </c>
      <c r="P20" s="1" t="e">
        <f>SUM(F20/M20)*100</f>
        <v>#REF!</v>
      </c>
      <c r="Q20" s="1" t="e">
        <f>SUM(G20/M20)*100</f>
        <v>#REF!</v>
      </c>
      <c r="R20" s="1" t="e">
        <f>SUM(H20/M20)*100</f>
        <v>#REF!</v>
      </c>
      <c r="S20" s="1" t="e">
        <f>SUM(I20/M20)*100</f>
        <v>#REF!</v>
      </c>
      <c r="T20" s="1" t="e">
        <f>SUM(J20/M20)*100</f>
        <v>#REF!</v>
      </c>
      <c r="U20" s="1" t="e">
        <f>SUM(K20/M20)*100</f>
        <v>#REF!</v>
      </c>
      <c r="V20" s="1" t="e">
        <f>SUM(L20/M20)*100</f>
        <v>#REF!</v>
      </c>
      <c r="W20" s="1" t="s">
        <v>182</v>
      </c>
      <c r="X20">
        <v>0</v>
      </c>
      <c r="AH20">
        <v>29.2</v>
      </c>
      <c r="AI20">
        <v>21.6</v>
      </c>
    </row>
    <row r="21" spans="1:35" x14ac:dyDescent="0.25">
      <c r="A21" t="s">
        <v>196</v>
      </c>
      <c r="B21" s="7"/>
      <c r="D21" t="s">
        <v>197</v>
      </c>
      <c r="E21" s="1"/>
      <c r="F21" s="1"/>
      <c r="G21" s="1"/>
      <c r="H21" s="1"/>
      <c r="I21" s="1"/>
      <c r="J21" s="1"/>
      <c r="K21" s="1"/>
      <c r="L21" s="1"/>
      <c r="M21" s="1"/>
      <c r="N21" s="1" t="s">
        <v>182</v>
      </c>
      <c r="O21" s="1" t="s">
        <v>198</v>
      </c>
      <c r="P21" s="1" t="s">
        <v>198</v>
      </c>
      <c r="Q21" s="1" t="s">
        <v>198</v>
      </c>
      <c r="R21" s="1"/>
      <c r="S21" s="1"/>
      <c r="T21" s="1"/>
      <c r="U21" s="1"/>
      <c r="V21" s="1"/>
      <c r="W21" s="1" t="s">
        <v>182</v>
      </c>
    </row>
    <row r="22" spans="1:35" x14ac:dyDescent="0.25">
      <c r="B22" s="7">
        <v>123</v>
      </c>
      <c r="C22" t="s">
        <v>199</v>
      </c>
      <c r="D22" t="s">
        <v>200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 t="e">
        <f>L14</f>
        <v>#REF!</v>
      </c>
      <c r="M22" s="1" t="e">
        <f>SUM(E22:L22)</f>
        <v>#REF!</v>
      </c>
      <c r="N22" s="1" t="s">
        <v>182</v>
      </c>
      <c r="O22" s="1" t="e">
        <f>(+E22/M22)*100</f>
        <v>#REF!</v>
      </c>
      <c r="P22" s="1" t="e">
        <f>SUM(F22/M22)*100</f>
        <v>#REF!</v>
      </c>
      <c r="Q22" s="1" t="e">
        <f>SUM(G22/M22)*100</f>
        <v>#REF!</v>
      </c>
      <c r="R22" s="1" t="e">
        <f>SUM(H22/M22)*100</f>
        <v>#REF!</v>
      </c>
      <c r="S22" s="1" t="e">
        <f>SUM(I22/M22)*100</f>
        <v>#REF!</v>
      </c>
      <c r="T22" s="1" t="e">
        <f>SUM(J22/M22)*100</f>
        <v>#REF!</v>
      </c>
      <c r="U22" s="1" t="e">
        <f>SUM(K22/M22)*100</f>
        <v>#REF!</v>
      </c>
      <c r="V22" s="1" t="e">
        <f>SUM(L22/M22)*100</f>
        <v>#REF!</v>
      </c>
      <c r="W22" s="1" t="s">
        <v>182</v>
      </c>
      <c r="X22">
        <v>0</v>
      </c>
      <c r="AH22">
        <v>8.5</v>
      </c>
      <c r="AI22">
        <v>0</v>
      </c>
    </row>
    <row r="23" spans="1:35" x14ac:dyDescent="0.25">
      <c r="B23" s="7">
        <v>124</v>
      </c>
      <c r="C23" t="s">
        <v>201</v>
      </c>
      <c r="D23" t="s">
        <v>202</v>
      </c>
      <c r="E23" s="1" t="e">
        <f>SUM(E14+E19+E20)</f>
        <v>#REF!</v>
      </c>
      <c r="F23" s="1" t="e">
        <f t="shared" ref="F23:K23" si="6">F$10</f>
        <v>#REF!</v>
      </c>
      <c r="G23" s="1" t="e">
        <f t="shared" si="6"/>
        <v>#REF!</v>
      </c>
      <c r="H23" s="1" t="e">
        <f t="shared" si="6"/>
        <v>#REF!</v>
      </c>
      <c r="I23" s="1" t="e">
        <f t="shared" si="6"/>
        <v>#REF!</v>
      </c>
      <c r="J23" s="1">
        <f t="shared" si="6"/>
        <v>1.3032600000000004E-2</v>
      </c>
      <c r="K23" s="1">
        <f t="shared" si="6"/>
        <v>4.9841999999999997E-2</v>
      </c>
      <c r="L23" s="1">
        <v>0</v>
      </c>
      <c r="M23" s="1" t="e">
        <f>SUM(E23:L23)</f>
        <v>#REF!</v>
      </c>
      <c r="N23" s="1" t="s">
        <v>182</v>
      </c>
      <c r="O23" s="1" t="e">
        <f>(+E23/M23)*100</f>
        <v>#REF!</v>
      </c>
      <c r="P23" s="1" t="e">
        <f>SUM(F23/M23)*100</f>
        <v>#REF!</v>
      </c>
      <c r="Q23" s="1" t="e">
        <f>SUM(G23/M23)*100</f>
        <v>#REF!</v>
      </c>
      <c r="R23" s="1" t="e">
        <f>SUM(H23/M23)*100</f>
        <v>#REF!</v>
      </c>
      <c r="S23" s="1" t="e">
        <f>SUM(I23/M23)*100</f>
        <v>#REF!</v>
      </c>
      <c r="T23" s="1" t="e">
        <f>SUM(J23/M23)*100</f>
        <v>#REF!</v>
      </c>
      <c r="U23" s="1" t="e">
        <f>SUM(K23/M23)*100</f>
        <v>#REF!</v>
      </c>
      <c r="V23" s="1" t="e">
        <f>SUM(L23/M23)*100</f>
        <v>#REF!</v>
      </c>
      <c r="W23" s="1" t="s">
        <v>182</v>
      </c>
      <c r="X23">
        <v>0</v>
      </c>
      <c r="AH23">
        <v>35</v>
      </c>
      <c r="AI23">
        <v>21.6</v>
      </c>
    </row>
    <row r="24" spans="1:35" x14ac:dyDescent="0.25">
      <c r="A24" t="s">
        <v>203</v>
      </c>
      <c r="B24" s="7"/>
      <c r="D24" t="s">
        <v>204</v>
      </c>
      <c r="E24" s="1"/>
      <c r="F24" s="1"/>
      <c r="G24" s="1"/>
      <c r="H24" s="1"/>
      <c r="I24" s="1"/>
      <c r="J24" s="1"/>
      <c r="K24" s="1"/>
      <c r="L24" s="1"/>
      <c r="M24" s="1"/>
      <c r="N24" s="1" t="s">
        <v>182</v>
      </c>
      <c r="O24" s="1" t="s">
        <v>198</v>
      </c>
      <c r="P24" s="1" t="s">
        <v>198</v>
      </c>
      <c r="Q24" s="1" t="s">
        <v>198</v>
      </c>
      <c r="R24" s="1"/>
      <c r="S24" s="1"/>
      <c r="T24" s="1"/>
      <c r="U24" s="1"/>
      <c r="V24" s="1" t="s">
        <v>198</v>
      </c>
      <c r="W24" s="1" t="s">
        <v>182</v>
      </c>
    </row>
    <row r="25" spans="1:35" x14ac:dyDescent="0.25">
      <c r="B25" s="7">
        <v>125</v>
      </c>
      <c r="C25" t="s">
        <v>205</v>
      </c>
      <c r="D25" t="s">
        <v>206</v>
      </c>
      <c r="E25" s="1">
        <v>0</v>
      </c>
      <c r="F25" s="1" t="e">
        <f>F118</f>
        <v>#REF!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 t="e">
        <f>SUM(E25:L25)</f>
        <v>#REF!</v>
      </c>
      <c r="N25" s="1" t="s">
        <v>182</v>
      </c>
      <c r="O25" s="1" t="e">
        <f>(+E25/M25)*100</f>
        <v>#REF!</v>
      </c>
      <c r="P25" s="1" t="e">
        <f>SUM(F25/M25)*100</f>
        <v>#REF!</v>
      </c>
      <c r="Q25" s="1" t="e">
        <f>SUM(G25/M25)*100</f>
        <v>#REF!</v>
      </c>
      <c r="R25" s="1" t="e">
        <f>SUM(H25/M25)*100</f>
        <v>#REF!</v>
      </c>
      <c r="S25" s="1" t="e">
        <f>SUM(I25/M25)*100</f>
        <v>#REF!</v>
      </c>
      <c r="T25" s="1" t="e">
        <f>SUM(J25/M25)*100</f>
        <v>#REF!</v>
      </c>
      <c r="U25" s="1" t="e">
        <f>SUM(K25/M25)*100</f>
        <v>#REF!</v>
      </c>
      <c r="V25" s="1" t="e">
        <f>SUM(L25/M25)*100</f>
        <v>#REF!</v>
      </c>
      <c r="W25" s="1" t="s">
        <v>182</v>
      </c>
      <c r="X25">
        <v>0</v>
      </c>
      <c r="AH25">
        <v>0</v>
      </c>
      <c r="AI25">
        <v>9.4</v>
      </c>
    </row>
    <row r="26" spans="1:35" x14ac:dyDescent="0.25">
      <c r="A26" t="s">
        <v>207</v>
      </c>
      <c r="B26" s="7"/>
      <c r="D26" t="s">
        <v>208</v>
      </c>
      <c r="E26" s="1"/>
      <c r="F26" s="1"/>
      <c r="G26" s="1"/>
      <c r="H26" s="1"/>
      <c r="I26" s="1"/>
      <c r="J26" s="1"/>
      <c r="K26" s="1"/>
      <c r="L26" s="1"/>
      <c r="M26" s="1"/>
      <c r="N26" s="1" t="s">
        <v>182</v>
      </c>
      <c r="O26" s="1" t="s">
        <v>198</v>
      </c>
      <c r="P26" s="1" t="s">
        <v>198</v>
      </c>
      <c r="Q26" s="1" t="s">
        <v>198</v>
      </c>
      <c r="R26" s="1"/>
      <c r="S26" s="1"/>
      <c r="T26" s="1"/>
      <c r="U26" s="1"/>
      <c r="V26" s="1" t="s">
        <v>198</v>
      </c>
      <c r="W26" s="1" t="s">
        <v>182</v>
      </c>
    </row>
    <row r="27" spans="1:35" x14ac:dyDescent="0.25">
      <c r="B27" s="7">
        <v>126</v>
      </c>
      <c r="C27" t="s">
        <v>209</v>
      </c>
      <c r="D27" t="s">
        <v>200</v>
      </c>
      <c r="E27" s="1">
        <f>E22</f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30" t="e">
        <f>(+E27+E28)*0.11</f>
        <v>#REF!</v>
      </c>
      <c r="M27" s="1" t="e">
        <f>SUM(E27:L27)</f>
        <v>#REF!</v>
      </c>
      <c r="N27" s="1" t="s">
        <v>182</v>
      </c>
      <c r="O27" s="1" t="e">
        <f>(+E27/M27)*100</f>
        <v>#REF!</v>
      </c>
      <c r="P27" s="1" t="e">
        <f>SUM(F27/M27)*100</f>
        <v>#REF!</v>
      </c>
      <c r="Q27" s="1" t="e">
        <f>SUM(G27/M27)*100</f>
        <v>#REF!</v>
      </c>
      <c r="R27" s="1" t="e">
        <f>SUM(H27/M27)*100</f>
        <v>#REF!</v>
      </c>
      <c r="S27" s="1" t="e">
        <f>SUM(I27/M27)*100</f>
        <v>#REF!</v>
      </c>
      <c r="T27" s="1" t="e">
        <f>SUM(J27/M27)*100</f>
        <v>#REF!</v>
      </c>
      <c r="U27" s="1" t="e">
        <f>SUM(K27/M27)*100</f>
        <v>#REF!</v>
      </c>
      <c r="V27" s="1" t="e">
        <f>SUM(L27/M27)*100</f>
        <v>#REF!</v>
      </c>
      <c r="W27" s="1" t="s">
        <v>182</v>
      </c>
      <c r="X27">
        <v>0</v>
      </c>
      <c r="AH27">
        <v>8.5</v>
      </c>
      <c r="AI27">
        <v>0</v>
      </c>
    </row>
    <row r="28" spans="1:35" x14ac:dyDescent="0.25">
      <c r="B28" s="7">
        <v>127</v>
      </c>
      <c r="C28" t="s">
        <v>210</v>
      </c>
      <c r="D28" t="s">
        <v>195</v>
      </c>
      <c r="E28" s="1" t="e">
        <f>E23</f>
        <v>#REF!</v>
      </c>
      <c r="F28" s="1" t="e">
        <f>F$10+F$25</f>
        <v>#REF!</v>
      </c>
      <c r="G28" s="1" t="e">
        <f>G$10</f>
        <v>#REF!</v>
      </c>
      <c r="H28" s="1" t="e">
        <f>H$10</f>
        <v>#REF!</v>
      </c>
      <c r="I28" s="1" t="e">
        <f>I$10</f>
        <v>#REF!</v>
      </c>
      <c r="J28" s="1">
        <f>J$10</f>
        <v>1.3032600000000004E-2</v>
      </c>
      <c r="K28" s="1">
        <f>K$10</f>
        <v>4.9841999999999997E-2</v>
      </c>
      <c r="L28" s="1">
        <v>0</v>
      </c>
      <c r="M28" s="1" t="e">
        <f>SUM(E28:L28)</f>
        <v>#REF!</v>
      </c>
      <c r="N28" s="1" t="s">
        <v>182</v>
      </c>
      <c r="O28" s="1" t="e">
        <f>(+E28/M28)*100</f>
        <v>#REF!</v>
      </c>
      <c r="P28" s="1" t="e">
        <f>SUM(F28/M28)*100</f>
        <v>#REF!</v>
      </c>
      <c r="Q28" s="1" t="e">
        <f>SUM(G28/M28)*100</f>
        <v>#REF!</v>
      </c>
      <c r="R28" s="1" t="e">
        <f>SUM(H28/M28)*100</f>
        <v>#REF!</v>
      </c>
      <c r="S28" s="1" t="e">
        <f>SUM(I28/M28)*100</f>
        <v>#REF!</v>
      </c>
      <c r="T28" s="1" t="e">
        <f>SUM(J28/M28)*100</f>
        <v>#REF!</v>
      </c>
      <c r="U28" s="1" t="e">
        <f>SUM(K28/M28)*100</f>
        <v>#REF!</v>
      </c>
      <c r="V28" s="1" t="e">
        <f>SUM(L28/M28)*100</f>
        <v>#REF!</v>
      </c>
      <c r="W28" s="1" t="s">
        <v>182</v>
      </c>
      <c r="X28">
        <v>0</v>
      </c>
      <c r="AH28">
        <v>35</v>
      </c>
      <c r="AI28">
        <v>31</v>
      </c>
    </row>
    <row r="29" spans="1:35" x14ac:dyDescent="0.25">
      <c r="A29" t="s">
        <v>211</v>
      </c>
      <c r="B29" s="7"/>
      <c r="D29" t="s">
        <v>212</v>
      </c>
      <c r="E29" s="1"/>
      <c r="F29" s="1"/>
      <c r="G29" s="1"/>
      <c r="H29" s="1"/>
      <c r="I29" s="1"/>
      <c r="J29" s="1"/>
      <c r="K29" s="1"/>
      <c r="L29" s="1"/>
      <c r="M29" s="1"/>
      <c r="N29" s="1" t="s">
        <v>182</v>
      </c>
      <c r="O29" s="1" t="s">
        <v>198</v>
      </c>
      <c r="P29" s="1" t="s">
        <v>198</v>
      </c>
      <c r="Q29" s="1" t="s">
        <v>198</v>
      </c>
      <c r="R29" s="1"/>
      <c r="S29" s="1"/>
      <c r="T29" s="1"/>
      <c r="U29" s="1"/>
      <c r="V29" s="1" t="s">
        <v>198</v>
      </c>
      <c r="W29" s="1" t="s">
        <v>182</v>
      </c>
    </row>
    <row r="30" spans="1:35" x14ac:dyDescent="0.25">
      <c r="B30" s="7"/>
      <c r="C30" t="s">
        <v>213</v>
      </c>
      <c r="D30" t="s">
        <v>200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f>SUM(E30:L30)</f>
        <v>0</v>
      </c>
      <c r="N30" s="1" t="s">
        <v>182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 t="s">
        <v>182</v>
      </c>
      <c r="X30">
        <v>0</v>
      </c>
      <c r="AH30">
        <v>35</v>
      </c>
      <c r="AI30">
        <v>31</v>
      </c>
    </row>
    <row r="31" spans="1:35" x14ac:dyDescent="0.25">
      <c r="B31" s="7">
        <v>128</v>
      </c>
      <c r="C31" t="s">
        <v>214</v>
      </c>
      <c r="D31" t="s">
        <v>195</v>
      </c>
      <c r="E31" s="1" t="e">
        <f>E27+E28</f>
        <v>#REF!</v>
      </c>
      <c r="F31" s="1" t="e">
        <f>F$10+F$25</f>
        <v>#REF!</v>
      </c>
      <c r="G31" s="1" t="e">
        <f>G$10</f>
        <v>#REF!</v>
      </c>
      <c r="H31" s="1" t="e">
        <f>H$10</f>
        <v>#REF!</v>
      </c>
      <c r="I31" s="1" t="e">
        <f>I$10</f>
        <v>#REF!</v>
      </c>
      <c r="J31" s="1">
        <f>J$10</f>
        <v>1.3032600000000004E-2</v>
      </c>
      <c r="K31" s="1">
        <f>K$10</f>
        <v>4.9841999999999997E-2</v>
      </c>
      <c r="L31" s="30" t="e">
        <f>E31*0.19</f>
        <v>#REF!</v>
      </c>
      <c r="M31" s="1" t="e">
        <f>SUM(E31:L31)</f>
        <v>#REF!</v>
      </c>
      <c r="N31" s="1" t="s">
        <v>182</v>
      </c>
      <c r="O31" s="1" t="e">
        <f>(+E31/M31)*100</f>
        <v>#REF!</v>
      </c>
      <c r="P31" s="1" t="e">
        <f>SUM(F31/M31)*100</f>
        <v>#REF!</v>
      </c>
      <c r="Q31" s="1" t="e">
        <f>SUM(G31/M31)*100</f>
        <v>#REF!</v>
      </c>
      <c r="R31" s="1" t="e">
        <f>SUM(H31/M31)*100</f>
        <v>#REF!</v>
      </c>
      <c r="S31" s="1" t="e">
        <f>SUM(I31/M31)*100</f>
        <v>#REF!</v>
      </c>
      <c r="T31" s="1" t="e">
        <f>SUM(J31/M31)*100</f>
        <v>#REF!</v>
      </c>
      <c r="U31" s="1" t="e">
        <f>SUM(K31/M31)*100</f>
        <v>#REF!</v>
      </c>
      <c r="V31" s="1" t="e">
        <f>SUM(L31/M31)*100</f>
        <v>#REF!</v>
      </c>
      <c r="W31" s="1" t="s">
        <v>182</v>
      </c>
      <c r="X31">
        <v>0</v>
      </c>
    </row>
    <row r="32" spans="1:35" x14ac:dyDescent="0.25">
      <c r="B32" s="7"/>
      <c r="N32" s="1" t="s">
        <v>182</v>
      </c>
      <c r="W32" s="1" t="s">
        <v>182</v>
      </c>
    </row>
    <row r="33" spans="1:32" x14ac:dyDescent="0.25">
      <c r="B33" s="7"/>
      <c r="D33" t="s">
        <v>215</v>
      </c>
      <c r="E33" s="1"/>
      <c r="F33" s="1"/>
      <c r="G33" s="1"/>
      <c r="H33" s="1"/>
      <c r="I33" s="1"/>
      <c r="J33" s="1"/>
      <c r="K33" s="1"/>
      <c r="L33" s="1"/>
      <c r="M33" s="1"/>
      <c r="N33" s="1" t="s">
        <v>182</v>
      </c>
      <c r="O33" s="1" t="s">
        <v>198</v>
      </c>
      <c r="P33" s="1" t="s">
        <v>198</v>
      </c>
      <c r="Q33" s="1" t="s">
        <v>198</v>
      </c>
      <c r="R33" s="1"/>
      <c r="S33" s="1"/>
      <c r="T33" s="1"/>
      <c r="U33" s="1"/>
      <c r="V33" s="1" t="s">
        <v>198</v>
      </c>
      <c r="W33" s="1" t="s">
        <v>182</v>
      </c>
    </row>
    <row r="34" spans="1:32" x14ac:dyDescent="0.25">
      <c r="B34" s="7"/>
      <c r="E34" s="1"/>
      <c r="F34" s="1"/>
      <c r="G34" s="1"/>
      <c r="H34" s="1"/>
      <c r="I34" s="1"/>
      <c r="J34" s="1"/>
      <c r="K34" s="1"/>
      <c r="L34" s="1"/>
      <c r="M34" s="1"/>
      <c r="N34" s="1" t="s">
        <v>182</v>
      </c>
      <c r="O34" s="1" t="s">
        <v>198</v>
      </c>
      <c r="P34" s="1" t="s">
        <v>198</v>
      </c>
      <c r="Q34" s="1" t="s">
        <v>198</v>
      </c>
      <c r="R34" s="1"/>
      <c r="S34" s="1"/>
      <c r="T34" s="1"/>
      <c r="U34" s="1"/>
      <c r="V34" s="1" t="s">
        <v>198</v>
      </c>
      <c r="W34" s="1" t="s">
        <v>182</v>
      </c>
    </row>
    <row r="35" spans="1:32" x14ac:dyDescent="0.25">
      <c r="A35" t="s">
        <v>216</v>
      </c>
      <c r="B35" s="7"/>
      <c r="D35" t="s">
        <v>217</v>
      </c>
      <c r="E35" s="1"/>
      <c r="F35" s="1"/>
      <c r="G35" s="1"/>
      <c r="H35" s="1"/>
      <c r="I35" s="1"/>
      <c r="J35" s="1"/>
      <c r="K35" s="1"/>
      <c r="L35" s="1"/>
      <c r="M35" s="1"/>
      <c r="N35" s="1" t="s">
        <v>182</v>
      </c>
      <c r="O35" s="1" t="s">
        <v>198</v>
      </c>
      <c r="P35" s="1" t="s">
        <v>198</v>
      </c>
      <c r="Q35" s="1" t="s">
        <v>198</v>
      </c>
      <c r="R35" s="1"/>
      <c r="S35" s="1"/>
      <c r="T35" s="1"/>
      <c r="U35" s="1"/>
      <c r="V35" s="1" t="s">
        <v>198</v>
      </c>
      <c r="W35" s="1" t="s">
        <v>182</v>
      </c>
    </row>
    <row r="36" spans="1:32" x14ac:dyDescent="0.25">
      <c r="B36" s="7">
        <v>141</v>
      </c>
      <c r="C36" t="s">
        <v>218</v>
      </c>
      <c r="D36" t="s">
        <v>219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0.05</v>
      </c>
      <c r="M36" s="1">
        <f>SUM(E36:L36)</f>
        <v>0.05</v>
      </c>
      <c r="N36" s="1" t="s">
        <v>182</v>
      </c>
      <c r="O36" s="1">
        <f>(+E36/M36)*100</f>
        <v>0</v>
      </c>
      <c r="P36" s="1">
        <f>SUM(F36/M36)*100</f>
        <v>0</v>
      </c>
      <c r="Q36" s="1">
        <f>SUM(G36/M36)*100</f>
        <v>0</v>
      </c>
      <c r="R36" s="1">
        <f>SUM(H36/M36)*100</f>
        <v>0</v>
      </c>
      <c r="S36" s="1">
        <f>SUM(I36/M36)*100</f>
        <v>0</v>
      </c>
      <c r="T36" s="1">
        <f>SUM(J36/M36)*100</f>
        <v>0</v>
      </c>
      <c r="U36" s="1">
        <f>SUM(K36/M36)*100</f>
        <v>0</v>
      </c>
      <c r="V36" s="1">
        <f>SUM(L36/M36)*100</f>
        <v>100</v>
      </c>
      <c r="W36" s="1" t="s">
        <v>182</v>
      </c>
      <c r="X36">
        <f>8487.73+977.24</f>
        <v>9464.9699999999993</v>
      </c>
      <c r="Y36">
        <f t="shared" ref="Y36:AF36" si="7">(+O36/100)*$X36</f>
        <v>0</v>
      </c>
      <c r="Z36">
        <f t="shared" si="7"/>
        <v>0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9464.9699999999993</v>
      </c>
    </row>
    <row r="37" spans="1:32" x14ac:dyDescent="0.25">
      <c r="A37" t="s">
        <v>220</v>
      </c>
      <c r="B37" s="7"/>
      <c r="D37" t="s">
        <v>221</v>
      </c>
      <c r="E37" s="1"/>
      <c r="F37" s="1"/>
      <c r="G37" s="1"/>
      <c r="H37" s="1"/>
      <c r="I37" s="1"/>
      <c r="J37" s="1"/>
      <c r="K37" s="1"/>
      <c r="L37" s="1"/>
      <c r="M37" s="1"/>
      <c r="N37" s="1" t="s">
        <v>182</v>
      </c>
      <c r="O37" s="1" t="s">
        <v>198</v>
      </c>
      <c r="P37" s="1" t="s">
        <v>198</v>
      </c>
      <c r="Q37" s="1" t="s">
        <v>198</v>
      </c>
      <c r="R37" s="1"/>
      <c r="S37" s="1"/>
      <c r="T37" s="1"/>
      <c r="U37" s="1"/>
      <c r="V37" s="1" t="s">
        <v>198</v>
      </c>
      <c r="W37" s="1" t="s">
        <v>182</v>
      </c>
    </row>
    <row r="38" spans="1:32" x14ac:dyDescent="0.25">
      <c r="B38" s="7">
        <v>142</v>
      </c>
      <c r="C38" t="s">
        <v>222</v>
      </c>
      <c r="D38" t="s">
        <v>219</v>
      </c>
      <c r="E38" s="33">
        <f>E120</f>
        <v>3.3347567808219183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30">
        <f>E38*0.75</f>
        <v>2.5010675856164388</v>
      </c>
      <c r="M38" s="1">
        <f>SUM(E38:L38)</f>
        <v>5.8358243664383576</v>
      </c>
      <c r="N38" s="1" t="s">
        <v>182</v>
      </c>
      <c r="O38" s="1">
        <f>(+E38/M38)*100</f>
        <v>57.142857142857139</v>
      </c>
      <c r="P38" s="1">
        <f>SUM(F38/M38)*100</f>
        <v>0</v>
      </c>
      <c r="Q38" s="1">
        <f>SUM(G38/M38)*100</f>
        <v>0</v>
      </c>
      <c r="R38" s="1">
        <f>SUM(H38/M38)*100</f>
        <v>0</v>
      </c>
      <c r="S38" s="1">
        <f>SUM(I38/M38)*100</f>
        <v>0</v>
      </c>
      <c r="T38" s="1">
        <f>SUM(J38/M38)*100</f>
        <v>0</v>
      </c>
      <c r="U38" s="1">
        <f>SUM(K38/M38)*100</f>
        <v>0</v>
      </c>
      <c r="V38" s="1">
        <f>SUM(L38/M38)*100</f>
        <v>42.857142857142854</v>
      </c>
      <c r="W38" s="1" t="s">
        <v>182</v>
      </c>
      <c r="X38">
        <v>0</v>
      </c>
    </row>
    <row r="39" spans="1:32" x14ac:dyDescent="0.25">
      <c r="A39" t="s">
        <v>223</v>
      </c>
      <c r="B39" s="7"/>
      <c r="D39" t="s">
        <v>224</v>
      </c>
      <c r="E39" s="1"/>
      <c r="F39" s="1"/>
      <c r="G39" s="1"/>
      <c r="H39" s="1"/>
      <c r="I39" s="1"/>
      <c r="J39" s="1"/>
      <c r="K39" s="1"/>
      <c r="L39" s="1"/>
      <c r="M39" s="1"/>
      <c r="N39" s="1" t="s">
        <v>182</v>
      </c>
      <c r="O39" s="1" t="s">
        <v>198</v>
      </c>
      <c r="P39" s="1" t="s">
        <v>198</v>
      </c>
      <c r="Q39" s="1" t="s">
        <v>198</v>
      </c>
      <c r="R39" s="1"/>
      <c r="S39" s="1"/>
      <c r="T39" s="1"/>
      <c r="U39" s="1"/>
      <c r="V39" s="1" t="s">
        <v>198</v>
      </c>
      <c r="W39" s="1" t="s">
        <v>182</v>
      </c>
    </row>
    <row r="40" spans="1:32" x14ac:dyDescent="0.25">
      <c r="B40" s="7">
        <v>143</v>
      </c>
      <c r="C40" t="s">
        <v>225</v>
      </c>
      <c r="D40" t="s">
        <v>195</v>
      </c>
      <c r="E40" s="1" t="e">
        <f>E119</f>
        <v>#REF!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 t="e">
        <f>SUM(E40:L40)</f>
        <v>#REF!</v>
      </c>
      <c r="N40" s="1" t="s">
        <v>182</v>
      </c>
      <c r="O40" s="1" t="e">
        <f>(+E40/M40)*100</f>
        <v>#REF!</v>
      </c>
      <c r="P40" s="1" t="e">
        <f>SUM(F40/M40)*100</f>
        <v>#REF!</v>
      </c>
      <c r="Q40" s="1" t="e">
        <f>SUM(G40/M40)*100</f>
        <v>#REF!</v>
      </c>
      <c r="R40" s="1" t="e">
        <f>SUM(H40/M40)*100</f>
        <v>#REF!</v>
      </c>
      <c r="S40" s="1" t="e">
        <f>SUM(I40/M40)*100</f>
        <v>#REF!</v>
      </c>
      <c r="T40" s="1" t="e">
        <f>SUM(J40/M40)*100</f>
        <v>#REF!</v>
      </c>
      <c r="U40" s="1" t="e">
        <f>SUM(K40/M40)*100</f>
        <v>#REF!</v>
      </c>
      <c r="V40" s="1" t="e">
        <f>SUM(L40/M40)*100</f>
        <v>#REF!</v>
      </c>
      <c r="W40" s="1" t="s">
        <v>182</v>
      </c>
      <c r="X40">
        <v>0</v>
      </c>
    </row>
    <row r="41" spans="1:32" x14ac:dyDescent="0.25">
      <c r="A41" t="s">
        <v>226</v>
      </c>
      <c r="B41" s="7">
        <v>144</v>
      </c>
      <c r="C41" t="s">
        <v>227</v>
      </c>
      <c r="D41" t="s">
        <v>228</v>
      </c>
      <c r="E41" s="1" t="e">
        <f>E$38+E$40+YR_HC_RPT!$R$34</f>
        <v>#REF!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30" t="e">
        <f>E41*0.12</f>
        <v>#REF!</v>
      </c>
      <c r="M41" s="1" t="e">
        <f>SUM(E41:L41)</f>
        <v>#REF!</v>
      </c>
      <c r="N41" s="1" t="s">
        <v>182</v>
      </c>
      <c r="O41" s="1" t="e">
        <f>(+E41/M41)*100</f>
        <v>#REF!</v>
      </c>
      <c r="P41" s="1" t="e">
        <f>SUM(F41/M41)*100</f>
        <v>#REF!</v>
      </c>
      <c r="Q41" s="1" t="e">
        <f>SUM(G41/M41)*100</f>
        <v>#REF!</v>
      </c>
      <c r="R41" s="1" t="e">
        <f>SUM(H41/M41)*100</f>
        <v>#REF!</v>
      </c>
      <c r="S41" s="1" t="e">
        <f>SUM(I41/M41)*100</f>
        <v>#REF!</v>
      </c>
      <c r="T41" s="1" t="e">
        <f>SUM(J41/M41)*100</f>
        <v>#REF!</v>
      </c>
      <c r="U41" s="1" t="e">
        <f>SUM(K41/M41)*100</f>
        <v>#REF!</v>
      </c>
      <c r="V41" s="1" t="e">
        <f>SUM(L41/M41)*100</f>
        <v>#REF!</v>
      </c>
      <c r="W41" s="1" t="s">
        <v>182</v>
      </c>
      <c r="X41">
        <v>0</v>
      </c>
    </row>
    <row r="42" spans="1:32" x14ac:dyDescent="0.25">
      <c r="A42" t="s">
        <v>229</v>
      </c>
      <c r="B42" s="7">
        <v>145</v>
      </c>
      <c r="D42" t="s">
        <v>230</v>
      </c>
      <c r="E42" s="1"/>
      <c r="F42" s="1"/>
      <c r="G42" s="1"/>
      <c r="H42" s="1"/>
      <c r="I42" s="1"/>
      <c r="J42" s="1"/>
      <c r="K42" s="1"/>
      <c r="L42" s="1"/>
      <c r="M42" s="1"/>
      <c r="N42" s="1" t="s">
        <v>182</v>
      </c>
      <c r="O42" s="1" t="s">
        <v>198</v>
      </c>
      <c r="P42" s="1" t="s">
        <v>198</v>
      </c>
      <c r="Q42" s="1" t="s">
        <v>198</v>
      </c>
      <c r="R42" s="1"/>
      <c r="S42" s="1"/>
      <c r="T42" s="1"/>
      <c r="U42" s="1"/>
      <c r="V42" s="1" t="s">
        <v>198</v>
      </c>
      <c r="W42" s="1" t="s">
        <v>182</v>
      </c>
      <c r="X42">
        <v>0</v>
      </c>
    </row>
    <row r="43" spans="1:32" x14ac:dyDescent="0.25">
      <c r="B43" s="7"/>
      <c r="C43" t="s">
        <v>231</v>
      </c>
      <c r="D43" t="s">
        <v>219</v>
      </c>
      <c r="E43" s="1" t="e">
        <f>E41-E44</f>
        <v>#REF!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30" t="e">
        <f>(+E43+E44)*0.18</f>
        <v>#REF!</v>
      </c>
      <c r="M43" s="1" t="e">
        <f>SUM(E43:L43)</f>
        <v>#REF!</v>
      </c>
      <c r="N43" s="1" t="s">
        <v>182</v>
      </c>
      <c r="O43" s="1" t="e">
        <f>(+E43/M43)*100</f>
        <v>#REF!</v>
      </c>
      <c r="P43" s="1" t="e">
        <f>SUM(F43/M43)*100</f>
        <v>#REF!</v>
      </c>
      <c r="Q43" s="1" t="e">
        <f>SUM(G43/M43)*100</f>
        <v>#REF!</v>
      </c>
      <c r="R43" s="1" t="e">
        <f>SUM(H43/M43)*100</f>
        <v>#REF!</v>
      </c>
      <c r="S43" s="1" t="e">
        <f>SUM(I43/M43)*100</f>
        <v>#REF!</v>
      </c>
      <c r="T43" s="1" t="e">
        <f>SUM(J43/M43)*100</f>
        <v>#REF!</v>
      </c>
      <c r="U43" s="1" t="e">
        <f>SUM(K43/M43)*100</f>
        <v>#REF!</v>
      </c>
      <c r="V43" s="1" t="e">
        <f>SUM(L43/M43)*100</f>
        <v>#REF!</v>
      </c>
      <c r="W43" s="1" t="s">
        <v>182</v>
      </c>
    </row>
    <row r="44" spans="1:32" x14ac:dyDescent="0.25">
      <c r="B44" s="7">
        <v>143</v>
      </c>
      <c r="C44" t="s">
        <v>232</v>
      </c>
      <c r="D44" t="s">
        <v>195</v>
      </c>
      <c r="E44" s="9">
        <v>6.97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f>SUM(E44:L44)</f>
        <v>6.97</v>
      </c>
      <c r="N44" s="1" t="s">
        <v>182</v>
      </c>
      <c r="O44" s="1">
        <f>(+E44/M44)*100</f>
        <v>100</v>
      </c>
      <c r="P44" s="1">
        <f>SUM(F44/M44)*100</f>
        <v>0</v>
      </c>
      <c r="Q44" s="1">
        <f>SUM(G44/M44)*100</f>
        <v>0</v>
      </c>
      <c r="R44" s="1">
        <f>SUM(H44/M44)*100</f>
        <v>0</v>
      </c>
      <c r="S44" s="1">
        <f>SUM(I44/M44)*100</f>
        <v>0</v>
      </c>
      <c r="T44" s="1">
        <f>SUM(J44/M44)*100</f>
        <v>0</v>
      </c>
      <c r="U44" s="1">
        <f>SUM(K44/M44)*100</f>
        <v>0</v>
      </c>
      <c r="V44" s="1">
        <f>SUM(L44/M44)*100</f>
        <v>0</v>
      </c>
      <c r="W44" s="1" t="s">
        <v>182</v>
      </c>
      <c r="X44">
        <v>0</v>
      </c>
    </row>
    <row r="45" spans="1:32" x14ac:dyDescent="0.25">
      <c r="A45" t="s">
        <v>233</v>
      </c>
      <c r="B45" s="7">
        <v>146</v>
      </c>
      <c r="C45" t="s">
        <v>234</v>
      </c>
      <c r="D45" t="s">
        <v>235</v>
      </c>
      <c r="E45" s="1" t="e">
        <f>E41</f>
        <v>#REF!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 t="e">
        <f>E45*0.18</f>
        <v>#REF!</v>
      </c>
      <c r="M45" s="1" t="e">
        <f>SUM(E45:L45)</f>
        <v>#REF!</v>
      </c>
      <c r="N45" s="1" t="s">
        <v>182</v>
      </c>
      <c r="O45" s="1" t="e">
        <f>(+E45/M45)*100</f>
        <v>#REF!</v>
      </c>
      <c r="P45" s="1" t="e">
        <f>SUM(F45/M45)*100</f>
        <v>#REF!</v>
      </c>
      <c r="Q45" s="1" t="e">
        <f>SUM(G45/M45)*100</f>
        <v>#REF!</v>
      </c>
      <c r="R45" s="1" t="e">
        <f>SUM(H45/M45)*100</f>
        <v>#REF!</v>
      </c>
      <c r="S45" s="1" t="e">
        <f>SUM(I45/M45)*100</f>
        <v>#REF!</v>
      </c>
      <c r="T45" s="1" t="e">
        <f>SUM(J45/M45)*100</f>
        <v>#REF!</v>
      </c>
      <c r="U45" s="1" t="e">
        <f>SUM(K45/M45)*100</f>
        <v>#REF!</v>
      </c>
      <c r="V45" s="1" t="e">
        <f>SUM(L45/M45)*100</f>
        <v>#REF!</v>
      </c>
      <c r="W45" s="1" t="s">
        <v>182</v>
      </c>
      <c r="X45">
        <f>126.47+82.07</f>
        <v>208.54</v>
      </c>
      <c r="Y45" t="e">
        <f t="shared" ref="Y45:AF45" si="8">(+O45/100)*$X45</f>
        <v>#REF!</v>
      </c>
      <c r="Z45" t="e">
        <f t="shared" si="8"/>
        <v>#REF!</v>
      </c>
      <c r="AA45" t="e">
        <f t="shared" si="8"/>
        <v>#REF!</v>
      </c>
      <c r="AB45" t="e">
        <f t="shared" si="8"/>
        <v>#REF!</v>
      </c>
      <c r="AC45" t="e">
        <f t="shared" si="8"/>
        <v>#REF!</v>
      </c>
      <c r="AD45" t="e">
        <f t="shared" si="8"/>
        <v>#REF!</v>
      </c>
      <c r="AE45" t="e">
        <f t="shared" si="8"/>
        <v>#REF!</v>
      </c>
      <c r="AF45" t="e">
        <f t="shared" si="8"/>
        <v>#REF!</v>
      </c>
    </row>
    <row r="46" spans="1:32" x14ac:dyDescent="0.25">
      <c r="A46" t="s">
        <v>236</v>
      </c>
      <c r="B46" s="7"/>
      <c r="D46" t="s">
        <v>237</v>
      </c>
      <c r="E46" s="1"/>
      <c r="F46" s="1"/>
      <c r="G46" s="1"/>
      <c r="H46" s="1"/>
      <c r="I46" s="1"/>
      <c r="J46" s="1"/>
      <c r="K46" s="1"/>
      <c r="L46" s="1"/>
      <c r="M46" s="1"/>
      <c r="N46" s="1" t="s">
        <v>182</v>
      </c>
      <c r="O46" s="1" t="s">
        <v>198</v>
      </c>
      <c r="P46" s="1" t="s">
        <v>198</v>
      </c>
      <c r="Q46" s="1" t="s">
        <v>198</v>
      </c>
      <c r="R46" s="1"/>
      <c r="S46" s="1"/>
      <c r="T46" s="1"/>
      <c r="U46" s="1"/>
      <c r="V46" s="1" t="s">
        <v>198</v>
      </c>
      <c r="W46" s="1" t="s">
        <v>182</v>
      </c>
    </row>
    <row r="47" spans="1:32" x14ac:dyDescent="0.25">
      <c r="B47" s="7">
        <v>147</v>
      </c>
      <c r="C47" t="s">
        <v>238</v>
      </c>
      <c r="D47" t="s">
        <v>219</v>
      </c>
      <c r="E47" s="1" t="e">
        <f>E41-E48+YR_HC_RPT!$R$27</f>
        <v>#REF!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30" t="e">
        <f>(+E47+E48)*0.31</f>
        <v>#REF!</v>
      </c>
      <c r="M47" s="1" t="e">
        <f>SUM(E47:L47)</f>
        <v>#REF!</v>
      </c>
      <c r="N47" s="1" t="s">
        <v>182</v>
      </c>
      <c r="O47" s="1" t="e">
        <f>(+E47/M47)*100</f>
        <v>#REF!</v>
      </c>
      <c r="P47" s="1" t="e">
        <f>SUM(F47/M47)*100</f>
        <v>#REF!</v>
      </c>
      <c r="Q47" s="1" t="e">
        <f>SUM(G47/M47)*100</f>
        <v>#REF!</v>
      </c>
      <c r="R47" s="1" t="e">
        <f>SUM(H47/M47)*100</f>
        <v>#REF!</v>
      </c>
      <c r="S47" s="1" t="e">
        <f>SUM(I47/M47)*100</f>
        <v>#REF!</v>
      </c>
      <c r="T47" s="1" t="e">
        <f>SUM(J47/M47)*100</f>
        <v>#REF!</v>
      </c>
      <c r="U47" s="1" t="e">
        <f>SUM(K47/M47)*100</f>
        <v>#REF!</v>
      </c>
      <c r="V47" s="1" t="e">
        <f>SUM(L47/M47)*100</f>
        <v>#REF!</v>
      </c>
      <c r="W47" s="1" t="s">
        <v>182</v>
      </c>
      <c r="X47">
        <v>0</v>
      </c>
    </row>
    <row r="48" spans="1:32" x14ac:dyDescent="0.25">
      <c r="B48" s="7">
        <v>143</v>
      </c>
      <c r="C48" t="s">
        <v>239</v>
      </c>
      <c r="D48" t="s">
        <v>195</v>
      </c>
      <c r="E48" s="9">
        <v>17.18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f>SUM(E48:L48)</f>
        <v>17.18</v>
      </c>
      <c r="N48" s="1" t="s">
        <v>182</v>
      </c>
      <c r="O48" s="1">
        <f>(+E48/M48)*100</f>
        <v>100</v>
      </c>
      <c r="P48" s="1">
        <f>SUM(F48/M48)*100</f>
        <v>0</v>
      </c>
      <c r="Q48" s="1">
        <f>SUM(G48/M48)*100</f>
        <v>0</v>
      </c>
      <c r="R48" s="1">
        <f>SUM(H48/M48)*100</f>
        <v>0</v>
      </c>
      <c r="S48" s="1">
        <f>SUM(I48/M48)*100</f>
        <v>0</v>
      </c>
      <c r="T48" s="1">
        <f>SUM(J48/M48)*100</f>
        <v>0</v>
      </c>
      <c r="U48" s="1">
        <f>SUM(K48/M48)*100</f>
        <v>0</v>
      </c>
      <c r="V48" s="1">
        <f>SUM(L48/M48)*100</f>
        <v>0</v>
      </c>
      <c r="W48" s="1" t="s">
        <v>182</v>
      </c>
      <c r="X48">
        <v>0</v>
      </c>
    </row>
    <row r="49" spans="1:32" x14ac:dyDescent="0.25">
      <c r="A49" t="s">
        <v>240</v>
      </c>
      <c r="B49" s="7">
        <v>148</v>
      </c>
      <c r="C49" t="s">
        <v>241</v>
      </c>
      <c r="D49" t="s">
        <v>242</v>
      </c>
      <c r="E49" s="1" t="e">
        <f>E47+E48</f>
        <v>#REF!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 t="e">
        <f>E49*0.32</f>
        <v>#REF!</v>
      </c>
      <c r="M49" s="1" t="e">
        <f>SUM(E49:L49)</f>
        <v>#REF!</v>
      </c>
      <c r="N49" s="1" t="s">
        <v>182</v>
      </c>
      <c r="O49" s="1" t="e">
        <f>(+E49/M49)*100</f>
        <v>#REF!</v>
      </c>
      <c r="P49" s="1" t="e">
        <f>SUM(F49/M49)*100</f>
        <v>#REF!</v>
      </c>
      <c r="Q49" s="1" t="e">
        <f>SUM(G49/M49)*100</f>
        <v>#REF!</v>
      </c>
      <c r="R49" s="1" t="e">
        <f>SUM(H49/M49)*100</f>
        <v>#REF!</v>
      </c>
      <c r="S49" s="1" t="e">
        <f>SUM(I49/M49)*100</f>
        <v>#REF!</v>
      </c>
      <c r="T49" s="1" t="e">
        <f>SUM(J49/M49)*100</f>
        <v>#REF!</v>
      </c>
      <c r="U49" s="1" t="e">
        <f>SUM(K49/M49)*100</f>
        <v>#REF!</v>
      </c>
      <c r="V49" s="1" t="e">
        <f>SUM(L49/M49)*100</f>
        <v>#REF!</v>
      </c>
      <c r="W49" s="1" t="s">
        <v>182</v>
      </c>
      <c r="X49">
        <v>0</v>
      </c>
    </row>
    <row r="50" spans="1:32" x14ac:dyDescent="0.25">
      <c r="A50" t="s">
        <v>243</v>
      </c>
      <c r="B50" s="7"/>
      <c r="D50" t="s">
        <v>244</v>
      </c>
      <c r="E50" s="33"/>
      <c r="F50" s="1"/>
      <c r="G50" s="1"/>
      <c r="H50" s="1"/>
      <c r="I50" s="1"/>
      <c r="J50" s="1"/>
      <c r="K50" s="1"/>
      <c r="L50" s="1"/>
      <c r="M50" s="1"/>
      <c r="N50" s="1" t="s">
        <v>182</v>
      </c>
      <c r="O50" s="1" t="s">
        <v>198</v>
      </c>
      <c r="P50" s="1" t="s">
        <v>198</v>
      </c>
      <c r="Q50" s="1" t="s">
        <v>198</v>
      </c>
      <c r="R50" s="1"/>
      <c r="S50" s="1"/>
      <c r="T50" s="1"/>
      <c r="U50" s="1"/>
      <c r="V50" s="1" t="s">
        <v>198</v>
      </c>
      <c r="W50" s="1" t="s">
        <v>182</v>
      </c>
      <c r="X50">
        <v>11.71</v>
      </c>
    </row>
    <row r="51" spans="1:32" x14ac:dyDescent="0.25">
      <c r="B51" s="7">
        <v>141</v>
      </c>
      <c r="C51" t="s">
        <v>245</v>
      </c>
      <c r="D51" t="s">
        <v>219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30" t="e">
        <f>E52*0.37</f>
        <v>#REF!</v>
      </c>
      <c r="M51" s="1" t="e">
        <f>SUM(E51:L51)</f>
        <v>#REF!</v>
      </c>
      <c r="N51" s="1" t="s">
        <v>182</v>
      </c>
      <c r="O51" s="1" t="e">
        <f>(+E51/M51)*100</f>
        <v>#REF!</v>
      </c>
      <c r="P51" s="1" t="e">
        <f>SUM(F51/M51)*100</f>
        <v>#REF!</v>
      </c>
      <c r="Q51" s="1" t="e">
        <f>SUM(G51/M51)*100</f>
        <v>#REF!</v>
      </c>
      <c r="R51" s="1" t="e">
        <f>SUM(H51/M51)*100</f>
        <v>#REF!</v>
      </c>
      <c r="S51" s="1" t="e">
        <f>SUM(I51/M51)*100</f>
        <v>#REF!</v>
      </c>
      <c r="T51" s="1" t="e">
        <f>SUM(J51/M51)*100</f>
        <v>#REF!</v>
      </c>
      <c r="U51" s="1" t="e">
        <f>SUM(K51/M51)*100</f>
        <v>#REF!</v>
      </c>
      <c r="V51" s="1" t="e">
        <f>SUM(L51/M51)*100</f>
        <v>#REF!</v>
      </c>
      <c r="W51" s="1" t="s">
        <v>182</v>
      </c>
      <c r="X51">
        <v>0</v>
      </c>
    </row>
    <row r="52" spans="1:32" x14ac:dyDescent="0.25">
      <c r="B52" s="7">
        <v>143</v>
      </c>
      <c r="C52" t="s">
        <v>246</v>
      </c>
      <c r="D52" t="s">
        <v>195</v>
      </c>
      <c r="E52" s="1" t="e">
        <f>E49</f>
        <v>#REF!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 t="e">
        <f>SUM(E52:L52)</f>
        <v>#REF!</v>
      </c>
      <c r="N52" s="1" t="s">
        <v>182</v>
      </c>
      <c r="O52" s="1" t="e">
        <f>(+E52/M52)*100</f>
        <v>#REF!</v>
      </c>
      <c r="P52" s="1" t="e">
        <f>SUM(F52/M52)*100</f>
        <v>#REF!</v>
      </c>
      <c r="Q52" s="1" t="e">
        <f>SUM(G52/M52)*100</f>
        <v>#REF!</v>
      </c>
      <c r="R52" s="1" t="e">
        <f>SUM(H52/M52)*100</f>
        <v>#REF!</v>
      </c>
      <c r="S52" s="1" t="e">
        <f>SUM(I52/M52)*100</f>
        <v>#REF!</v>
      </c>
      <c r="T52" s="1" t="e">
        <f>SUM(J52/M52)*100</f>
        <v>#REF!</v>
      </c>
      <c r="U52" s="1" t="e">
        <f>SUM(K52/M52)*100</f>
        <v>#REF!</v>
      </c>
      <c r="V52" s="1" t="e">
        <f>SUM(L52/M52)*100</f>
        <v>#REF!</v>
      </c>
      <c r="W52" s="1" t="s">
        <v>182</v>
      </c>
      <c r="X52">
        <v>11.71</v>
      </c>
      <c r="Y52" t="e">
        <f t="shared" ref="Y52:AF52" si="9">(+O52/100)*$X52</f>
        <v>#REF!</v>
      </c>
      <c r="Z52" t="e">
        <f t="shared" si="9"/>
        <v>#REF!</v>
      </c>
      <c r="AA52" t="e">
        <f t="shared" si="9"/>
        <v>#REF!</v>
      </c>
      <c r="AB52" t="e">
        <f t="shared" si="9"/>
        <v>#REF!</v>
      </c>
      <c r="AC52" t="e">
        <f t="shared" si="9"/>
        <v>#REF!</v>
      </c>
      <c r="AD52" t="e">
        <f t="shared" si="9"/>
        <v>#REF!</v>
      </c>
      <c r="AE52" t="e">
        <f t="shared" si="9"/>
        <v>#REF!</v>
      </c>
      <c r="AF52" t="e">
        <f t="shared" si="9"/>
        <v>#REF!</v>
      </c>
    </row>
    <row r="53" spans="1:32" x14ac:dyDescent="0.25">
      <c r="A53" t="s">
        <v>247</v>
      </c>
      <c r="B53" s="7"/>
      <c r="D53" t="s">
        <v>248</v>
      </c>
      <c r="E53" s="1"/>
      <c r="F53" s="1"/>
      <c r="G53" s="1"/>
      <c r="H53" s="1"/>
      <c r="I53" s="1"/>
      <c r="J53" s="1"/>
      <c r="K53" s="1"/>
      <c r="L53" s="1"/>
      <c r="M53" s="1"/>
      <c r="N53" s="1" t="s">
        <v>182</v>
      </c>
      <c r="O53" s="1" t="s">
        <v>198</v>
      </c>
      <c r="P53" s="1" t="s">
        <v>198</v>
      </c>
      <c r="Q53" s="1" t="s">
        <v>198</v>
      </c>
      <c r="R53" s="1"/>
      <c r="S53" s="1"/>
      <c r="T53" s="1"/>
      <c r="U53" s="1"/>
      <c r="V53" s="1" t="s">
        <v>198</v>
      </c>
      <c r="W53" s="1" t="s">
        <v>182</v>
      </c>
    </row>
    <row r="54" spans="1:32" x14ac:dyDescent="0.25">
      <c r="B54" s="7">
        <v>141</v>
      </c>
      <c r="C54" t="s">
        <v>249</v>
      </c>
      <c r="D54" t="s">
        <v>219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30" t="e">
        <f>E55*0.52</f>
        <v>#REF!</v>
      </c>
      <c r="M54" s="1" t="e">
        <f>SUM(E54:L54)</f>
        <v>#REF!</v>
      </c>
      <c r="N54" s="1" t="s">
        <v>182</v>
      </c>
      <c r="O54" s="1" t="e">
        <f>(+E54/M54)*100</f>
        <v>#REF!</v>
      </c>
      <c r="P54" s="1" t="e">
        <f>SUM(F54/M54)*100</f>
        <v>#REF!</v>
      </c>
      <c r="Q54" s="1" t="e">
        <f>SUM(G54/M54)*100</f>
        <v>#REF!</v>
      </c>
      <c r="R54" s="1" t="e">
        <f>SUM(H54/M54)*100</f>
        <v>#REF!</v>
      </c>
      <c r="S54" s="1" t="e">
        <f>SUM(I54/M54)*100</f>
        <v>#REF!</v>
      </c>
      <c r="T54" s="1" t="e">
        <f>SUM(J54/M54)*100</f>
        <v>#REF!</v>
      </c>
      <c r="U54" s="1" t="e">
        <f>SUM(K54/M54)*100</f>
        <v>#REF!</v>
      </c>
      <c r="V54" s="1" t="e">
        <f>SUM(L54/M54)*100</f>
        <v>#REF!</v>
      </c>
      <c r="W54" s="1" t="s">
        <v>182</v>
      </c>
      <c r="X54">
        <v>0</v>
      </c>
    </row>
    <row r="55" spans="1:32" x14ac:dyDescent="0.25">
      <c r="B55" s="7">
        <v>143</v>
      </c>
      <c r="C55" t="s">
        <v>250</v>
      </c>
      <c r="D55" t="s">
        <v>195</v>
      </c>
      <c r="E55" s="1" t="e">
        <f>E52</f>
        <v>#REF!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 t="e">
        <f>SUM(E55:L55)</f>
        <v>#REF!</v>
      </c>
      <c r="N55" s="1" t="s">
        <v>182</v>
      </c>
      <c r="O55" s="1" t="e">
        <f>(+E55/M55)*100</f>
        <v>#REF!</v>
      </c>
      <c r="P55" s="1" t="e">
        <f>SUM(F55/M55)*100</f>
        <v>#REF!</v>
      </c>
      <c r="Q55" s="1" t="e">
        <f>SUM(G55/M55)*100</f>
        <v>#REF!</v>
      </c>
      <c r="R55" s="1" t="e">
        <f>SUM(H55/M55)*100</f>
        <v>#REF!</v>
      </c>
      <c r="S55" s="1" t="e">
        <f>SUM(I55/M55)*100</f>
        <v>#REF!</v>
      </c>
      <c r="T55" s="1" t="e">
        <f>SUM(J55/M55)*100</f>
        <v>#REF!</v>
      </c>
      <c r="U55" s="1" t="e">
        <f>SUM(K55/M55)*100</f>
        <v>#REF!</v>
      </c>
      <c r="V55" s="1" t="e">
        <f>SUM(L55/M55)*100</f>
        <v>#REF!</v>
      </c>
      <c r="W55" s="1" t="s">
        <v>182</v>
      </c>
      <c r="X55">
        <v>0</v>
      </c>
    </row>
    <row r="56" spans="1:32" x14ac:dyDescent="0.25">
      <c r="N56" s="1" t="s">
        <v>182</v>
      </c>
      <c r="W56" s="1" t="s">
        <v>182</v>
      </c>
    </row>
    <row r="57" spans="1:32" x14ac:dyDescent="0.25">
      <c r="A57" t="s">
        <v>251</v>
      </c>
      <c r="B57" s="7"/>
      <c r="D57" t="s">
        <v>252</v>
      </c>
      <c r="E57" s="1"/>
      <c r="F57" s="1"/>
      <c r="G57" s="1"/>
      <c r="H57" s="1"/>
      <c r="I57" s="1"/>
      <c r="J57" s="1"/>
      <c r="K57" s="1"/>
      <c r="L57" s="1"/>
      <c r="M57" s="1"/>
      <c r="N57" s="1" t="s">
        <v>182</v>
      </c>
      <c r="O57" s="1" t="s">
        <v>198</v>
      </c>
      <c r="P57" s="1" t="s">
        <v>198</v>
      </c>
      <c r="Q57" s="1" t="s">
        <v>198</v>
      </c>
      <c r="R57" s="1"/>
      <c r="S57" s="1"/>
      <c r="T57" s="1"/>
      <c r="U57" s="1"/>
      <c r="V57" s="1" t="s">
        <v>198</v>
      </c>
      <c r="W57" s="1" t="s">
        <v>182</v>
      </c>
    </row>
    <row r="58" spans="1:32" x14ac:dyDescent="0.25">
      <c r="B58" s="7">
        <v>141</v>
      </c>
      <c r="C58" t="s">
        <v>253</v>
      </c>
      <c r="D58" t="s">
        <v>219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 t="e">
        <f>E59*0.52</f>
        <v>#REF!</v>
      </c>
      <c r="M58" s="1" t="e">
        <f>SUM(E58:L58)</f>
        <v>#REF!</v>
      </c>
      <c r="N58" s="1" t="s">
        <v>182</v>
      </c>
      <c r="O58" s="1" t="e">
        <f>(+E58/M58)*100</f>
        <v>#REF!</v>
      </c>
      <c r="P58" s="1" t="e">
        <f>SUM(F58/M58)*100</f>
        <v>#REF!</v>
      </c>
      <c r="Q58" s="1" t="e">
        <f>SUM(G58/M58)*100</f>
        <v>#REF!</v>
      </c>
      <c r="R58" s="1" t="e">
        <f>SUM(H58/M58)*100</f>
        <v>#REF!</v>
      </c>
      <c r="S58" s="1" t="e">
        <f>SUM(I58/M58)*100</f>
        <v>#REF!</v>
      </c>
      <c r="T58" s="1" t="e">
        <f>SUM(J58/M58)*100</f>
        <v>#REF!</v>
      </c>
      <c r="U58" s="1" t="e">
        <f>SUM(K58/M58)*100</f>
        <v>#REF!</v>
      </c>
      <c r="V58" s="1" t="e">
        <f>SUM(L58/M58)*100</f>
        <v>#REF!</v>
      </c>
      <c r="W58" s="1" t="s">
        <v>182</v>
      </c>
      <c r="X58">
        <v>0</v>
      </c>
    </row>
    <row r="59" spans="1:32" x14ac:dyDescent="0.25">
      <c r="B59" s="7">
        <v>143</v>
      </c>
      <c r="C59" t="s">
        <v>254</v>
      </c>
      <c r="D59" t="s">
        <v>195</v>
      </c>
      <c r="E59" s="1" t="e">
        <f>E55</f>
        <v>#REF!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 t="e">
        <f>SUM(E59:L59)</f>
        <v>#REF!</v>
      </c>
      <c r="N59" s="1" t="s">
        <v>182</v>
      </c>
      <c r="O59" s="1" t="e">
        <f>(+E59/M59)*100</f>
        <v>#REF!</v>
      </c>
      <c r="P59" s="1" t="e">
        <f>SUM(F59/M59)*100</f>
        <v>#REF!</v>
      </c>
      <c r="Q59" s="1" t="e">
        <f>SUM(G59/M59)*100</f>
        <v>#REF!</v>
      </c>
      <c r="R59" s="1" t="e">
        <f>SUM(H59/M59)*100</f>
        <v>#REF!</v>
      </c>
      <c r="S59" s="1" t="e">
        <f>SUM(I59/M59)*100</f>
        <v>#REF!</v>
      </c>
      <c r="T59" s="1" t="e">
        <f>SUM(J59/M59)*100</f>
        <v>#REF!</v>
      </c>
      <c r="U59" s="1" t="e">
        <f>SUM(K59/M59)*100</f>
        <v>#REF!</v>
      </c>
      <c r="V59" s="1" t="e">
        <f>SUM(L59/M59)*100</f>
        <v>#REF!</v>
      </c>
      <c r="W59" s="1" t="s">
        <v>182</v>
      </c>
      <c r="X59">
        <v>0</v>
      </c>
    </row>
    <row r="60" spans="1:32" x14ac:dyDescent="0.25">
      <c r="A60" t="s">
        <v>255</v>
      </c>
      <c r="B60" s="7">
        <v>149</v>
      </c>
      <c r="C60" t="s">
        <v>256</v>
      </c>
      <c r="D60" t="s">
        <v>257</v>
      </c>
      <c r="E60" s="1" t="e">
        <f>E59</f>
        <v>#REF!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30" t="e">
        <f>E60*0.85</f>
        <v>#REF!</v>
      </c>
      <c r="M60" s="1" t="e">
        <f>SUM(E60:L60)</f>
        <v>#REF!</v>
      </c>
      <c r="N60" s="1" t="s">
        <v>182</v>
      </c>
      <c r="O60" s="1" t="e">
        <f>(+E60/M60)*100</f>
        <v>#REF!</v>
      </c>
      <c r="P60" s="1" t="e">
        <f>SUM(F60/M60)*100</f>
        <v>#REF!</v>
      </c>
      <c r="Q60" s="1" t="e">
        <f>SUM(G60/M60)*100</f>
        <v>#REF!</v>
      </c>
      <c r="R60" s="1" t="e">
        <f>SUM(H60/M60)*100</f>
        <v>#REF!</v>
      </c>
      <c r="S60" s="1" t="e">
        <f>SUM(I60/M60)*100</f>
        <v>#REF!</v>
      </c>
      <c r="T60" s="1" t="e">
        <f>SUM(J60/M60)*100</f>
        <v>#REF!</v>
      </c>
      <c r="U60" s="1" t="e">
        <f>SUM(K60/M60)*100</f>
        <v>#REF!</v>
      </c>
      <c r="V60" s="1" t="e">
        <f>SUM(L60/M60)*100</f>
        <v>#REF!</v>
      </c>
      <c r="W60" s="1" t="s">
        <v>182</v>
      </c>
      <c r="X60">
        <v>0</v>
      </c>
    </row>
    <row r="61" spans="1:32" x14ac:dyDescent="0.25">
      <c r="A61" t="s">
        <v>258</v>
      </c>
      <c r="B61" s="7"/>
      <c r="D61" t="s">
        <v>259</v>
      </c>
      <c r="E61" s="1"/>
      <c r="F61" s="1"/>
      <c r="G61" s="1"/>
      <c r="H61" s="1"/>
      <c r="I61" s="1"/>
      <c r="J61" s="1"/>
      <c r="K61" s="1"/>
      <c r="L61" s="1"/>
      <c r="M61" s="1"/>
      <c r="N61" s="1" t="s">
        <v>182</v>
      </c>
      <c r="O61" s="1" t="s">
        <v>198</v>
      </c>
      <c r="P61" s="1" t="s">
        <v>198</v>
      </c>
      <c r="Q61" s="1" t="s">
        <v>198</v>
      </c>
      <c r="R61" s="1"/>
      <c r="S61" s="1"/>
      <c r="T61" s="1"/>
      <c r="U61" s="1"/>
      <c r="V61" s="1" t="s">
        <v>198</v>
      </c>
      <c r="W61" s="1" t="s">
        <v>182</v>
      </c>
    </row>
    <row r="62" spans="1:32" x14ac:dyDescent="0.25">
      <c r="B62" s="7">
        <v>150</v>
      </c>
      <c r="C62" t="s">
        <v>260</v>
      </c>
      <c r="D62" t="s">
        <v>219</v>
      </c>
      <c r="E62" s="1" t="e">
        <f>E60</f>
        <v>#REF!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46" t="e">
        <f>(+E62*0.85)+(+E185/365)</f>
        <v>#REF!</v>
      </c>
      <c r="M62" s="1" t="e">
        <f>SUM(E62:L62)</f>
        <v>#REF!</v>
      </c>
      <c r="N62" s="1" t="s">
        <v>182</v>
      </c>
      <c r="O62" s="1" t="e">
        <f>(+E62/M62)*100</f>
        <v>#REF!</v>
      </c>
      <c r="P62" s="1" t="e">
        <f>SUM(F62/M62)*100</f>
        <v>#REF!</v>
      </c>
      <c r="Q62" s="1" t="e">
        <f>SUM(G62/M62)*100</f>
        <v>#REF!</v>
      </c>
      <c r="R62" s="1" t="e">
        <f>SUM(H62/M62)*100</f>
        <v>#REF!</v>
      </c>
      <c r="S62" s="1" t="e">
        <f>SUM(I62/M62)*100</f>
        <v>#REF!</v>
      </c>
      <c r="T62" s="1" t="e">
        <f>SUM(J62/M62)*100</f>
        <v>#REF!</v>
      </c>
      <c r="U62" s="1" t="e">
        <f>SUM(K62/M62)*100</f>
        <v>#REF!</v>
      </c>
      <c r="V62" s="1" t="e">
        <f>SUM(L62/M62)*100</f>
        <v>#REF!</v>
      </c>
      <c r="W62" s="1" t="s">
        <v>182</v>
      </c>
      <c r="X62">
        <f>133.2+86.44</f>
        <v>219.64</v>
      </c>
      <c r="Y62" t="e">
        <f t="shared" ref="Y62:AF63" si="10">(+O62/100)*$X62</f>
        <v>#REF!</v>
      </c>
      <c r="Z62" t="e">
        <f t="shared" si="10"/>
        <v>#REF!</v>
      </c>
      <c r="AA62" t="e">
        <f t="shared" si="10"/>
        <v>#REF!</v>
      </c>
      <c r="AB62" t="e">
        <f t="shared" si="10"/>
        <v>#REF!</v>
      </c>
      <c r="AC62" t="e">
        <f t="shared" si="10"/>
        <v>#REF!</v>
      </c>
      <c r="AD62" t="e">
        <f t="shared" si="10"/>
        <v>#REF!</v>
      </c>
      <c r="AE62" t="e">
        <f t="shared" si="10"/>
        <v>#REF!</v>
      </c>
      <c r="AF62" t="e">
        <f t="shared" si="10"/>
        <v>#REF!</v>
      </c>
    </row>
    <row r="63" spans="1:32" x14ac:dyDescent="0.25">
      <c r="B63" s="7">
        <v>151</v>
      </c>
      <c r="C63" t="s">
        <v>261</v>
      </c>
      <c r="D63" t="s">
        <v>195</v>
      </c>
      <c r="E63" s="1" t="e">
        <f>E31</f>
        <v>#REF!</v>
      </c>
      <c r="F63" s="1" t="e">
        <f>F$10+F$25</f>
        <v>#REF!</v>
      </c>
      <c r="G63" s="1" t="e">
        <f>G$10</f>
        <v>#REF!</v>
      </c>
      <c r="H63" s="1" t="e">
        <f>H$10</f>
        <v>#REF!</v>
      </c>
      <c r="I63" s="1" t="e">
        <f>I$10</f>
        <v>#REF!</v>
      </c>
      <c r="J63" s="1">
        <f>J$10</f>
        <v>1.3032600000000004E-2</v>
      </c>
      <c r="K63" s="1">
        <f>K$10</f>
        <v>4.9841999999999997E-2</v>
      </c>
      <c r="L63" s="30" t="e">
        <f>E63*0.19</f>
        <v>#REF!</v>
      </c>
      <c r="M63" s="1" t="e">
        <f>SUM(E63:L63)</f>
        <v>#REF!</v>
      </c>
      <c r="N63" s="1" t="s">
        <v>182</v>
      </c>
      <c r="O63" s="1" t="e">
        <f>(+E63/M63)*100</f>
        <v>#REF!</v>
      </c>
      <c r="P63" s="1" t="e">
        <f>SUM(F63/M63)*100</f>
        <v>#REF!</v>
      </c>
      <c r="Q63" s="1" t="e">
        <f>SUM(G63/M63)*100</f>
        <v>#REF!</v>
      </c>
      <c r="R63" s="1" t="e">
        <f>SUM(H63/M63)*100</f>
        <v>#REF!</v>
      </c>
      <c r="S63" s="1" t="e">
        <f>SUM(I63/M63)*100</f>
        <v>#REF!</v>
      </c>
      <c r="T63" s="1" t="e">
        <f>SUM(J63/M63)*100</f>
        <v>#REF!</v>
      </c>
      <c r="U63" s="1" t="e">
        <f>SUM(K63/M63)*100</f>
        <v>#REF!</v>
      </c>
      <c r="V63" s="1" t="e">
        <f>SUM(L63/M63)*100</f>
        <v>#REF!</v>
      </c>
      <c r="W63" s="1" t="s">
        <v>182</v>
      </c>
      <c r="X63">
        <f>207.76+134.82</f>
        <v>342.58</v>
      </c>
      <c r="Y63" t="e">
        <f t="shared" si="10"/>
        <v>#REF!</v>
      </c>
      <c r="Z63" t="e">
        <f t="shared" si="10"/>
        <v>#REF!</v>
      </c>
      <c r="AA63" t="e">
        <f t="shared" si="10"/>
        <v>#REF!</v>
      </c>
      <c r="AB63" t="e">
        <f t="shared" si="10"/>
        <v>#REF!</v>
      </c>
      <c r="AC63" t="e">
        <f t="shared" si="10"/>
        <v>#REF!</v>
      </c>
      <c r="AD63" t="e">
        <f t="shared" si="10"/>
        <v>#REF!</v>
      </c>
      <c r="AE63" t="e">
        <f t="shared" si="10"/>
        <v>#REF!</v>
      </c>
      <c r="AF63" t="e">
        <f t="shared" si="10"/>
        <v>#REF!</v>
      </c>
    </row>
    <row r="64" spans="1:32" x14ac:dyDescent="0.25">
      <c r="B64" s="7"/>
      <c r="E64" s="1"/>
      <c r="F64" s="1"/>
      <c r="G64" s="1"/>
      <c r="H64" s="1"/>
      <c r="I64" s="1"/>
      <c r="J64" s="1"/>
      <c r="K64" s="1"/>
      <c r="L64" s="1"/>
      <c r="M64" s="1"/>
      <c r="N64" s="1" t="s">
        <v>182</v>
      </c>
      <c r="O64" s="1" t="s">
        <v>198</v>
      </c>
      <c r="P64" s="1" t="s">
        <v>198</v>
      </c>
      <c r="Q64" s="1" t="s">
        <v>198</v>
      </c>
      <c r="R64" s="1"/>
      <c r="S64" s="1"/>
      <c r="T64" s="1"/>
      <c r="U64" s="1"/>
      <c r="V64" s="1" t="s">
        <v>198</v>
      </c>
      <c r="W64" s="1" t="s">
        <v>182</v>
      </c>
    </row>
    <row r="65" spans="1:32" x14ac:dyDescent="0.25">
      <c r="B65" s="7"/>
      <c r="D65" t="s">
        <v>262</v>
      </c>
      <c r="F65" s="1"/>
      <c r="G65" s="1"/>
      <c r="H65" s="1"/>
      <c r="I65" s="1"/>
      <c r="J65" s="1"/>
      <c r="K65" s="1"/>
      <c r="L65" s="1"/>
      <c r="M65" s="1"/>
      <c r="N65" s="1" t="s">
        <v>182</v>
      </c>
      <c r="O65" s="1" t="s">
        <v>198</v>
      </c>
      <c r="P65" s="1" t="s">
        <v>198</v>
      </c>
      <c r="Q65" s="1" t="s">
        <v>198</v>
      </c>
      <c r="R65" s="1"/>
      <c r="S65" s="1"/>
      <c r="T65" s="1"/>
      <c r="U65" s="1"/>
      <c r="V65" s="1" t="s">
        <v>198</v>
      </c>
      <c r="W65" s="1" t="s">
        <v>182</v>
      </c>
    </row>
    <row r="66" spans="1:32" x14ac:dyDescent="0.25">
      <c r="B66" s="7"/>
      <c r="E66" s="1"/>
      <c r="F66" s="1"/>
      <c r="G66" s="1"/>
      <c r="H66" s="1"/>
      <c r="I66" s="1"/>
      <c r="J66" s="1"/>
      <c r="K66" s="1"/>
      <c r="L66" s="1"/>
      <c r="M66" s="1"/>
      <c r="N66" s="1" t="s">
        <v>182</v>
      </c>
      <c r="O66" s="1" t="s">
        <v>198</v>
      </c>
      <c r="P66" s="1" t="s">
        <v>198</v>
      </c>
      <c r="Q66" s="1" t="s">
        <v>198</v>
      </c>
      <c r="R66" s="1"/>
      <c r="S66" s="1"/>
      <c r="T66" s="1"/>
      <c r="U66" s="1"/>
      <c r="V66" s="1" t="s">
        <v>198</v>
      </c>
      <c r="W66" s="1" t="s">
        <v>182</v>
      </c>
    </row>
    <row r="67" spans="1:32" x14ac:dyDescent="0.25">
      <c r="A67" t="s">
        <v>263</v>
      </c>
      <c r="B67" s="7">
        <v>181</v>
      </c>
      <c r="C67" t="s">
        <v>264</v>
      </c>
      <c r="D67" t="s">
        <v>265</v>
      </c>
      <c r="E67" s="1" t="e">
        <f>E$62+E$63+0.184</f>
        <v>#REF!</v>
      </c>
      <c r="F67" s="1" t="e">
        <f>F$10+F$25</f>
        <v>#REF!</v>
      </c>
      <c r="G67" s="1" t="e">
        <f>G$10</f>
        <v>#REF!</v>
      </c>
      <c r="H67" s="1" t="e">
        <f>H$10</f>
        <v>#REF!</v>
      </c>
      <c r="I67" s="1" t="e">
        <f>I$10</f>
        <v>#REF!</v>
      </c>
      <c r="J67" s="1">
        <f>J$10</f>
        <v>1.3032600000000004E-2</v>
      </c>
      <c r="K67" s="1">
        <f>K$10</f>
        <v>4.9841999999999997E-2</v>
      </c>
      <c r="L67" s="1" t="e">
        <f>M67-SUM(E67:K67)</f>
        <v>#REF!</v>
      </c>
      <c r="M67" s="22">
        <f>J182</f>
        <v>125.34536986301369</v>
      </c>
      <c r="N67" s="1" t="s">
        <v>182</v>
      </c>
      <c r="O67" s="1" t="e">
        <f>(+E67/M67)*100</f>
        <v>#REF!</v>
      </c>
      <c r="P67" s="1" t="e">
        <f>SUM(F67/M67)*100</f>
        <v>#REF!</v>
      </c>
      <c r="Q67" s="1" t="e">
        <f>SUM(G67/M67)*100</f>
        <v>#REF!</v>
      </c>
      <c r="R67" s="1" t="e">
        <f>SUM(H67/M67)*100</f>
        <v>#REF!</v>
      </c>
      <c r="S67" s="1" t="e">
        <f>SUM(I67/M67)*100</f>
        <v>#REF!</v>
      </c>
      <c r="T67" s="1">
        <f>SUM(J67/M67)*100</f>
        <v>1.0397352542214328E-2</v>
      </c>
      <c r="U67" s="1">
        <f>SUM(K67/M67)*100</f>
        <v>3.9763734435879737E-2</v>
      </c>
      <c r="V67" s="1" t="e">
        <f>SUM(L67/M67)*100</f>
        <v>#REF!</v>
      </c>
      <c r="W67" s="1" t="s">
        <v>182</v>
      </c>
      <c r="X67">
        <v>0.71</v>
      </c>
      <c r="Y67" t="e">
        <f t="shared" ref="Y67:AF67" si="11">(+O67/100)*$X67</f>
        <v>#REF!</v>
      </c>
      <c r="Z67" t="e">
        <f t="shared" si="11"/>
        <v>#REF!</v>
      </c>
      <c r="AA67" t="e">
        <f t="shared" si="11"/>
        <v>#REF!</v>
      </c>
      <c r="AB67" t="e">
        <f t="shared" si="11"/>
        <v>#REF!</v>
      </c>
      <c r="AC67" t="e">
        <f t="shared" si="11"/>
        <v>#REF!</v>
      </c>
      <c r="AD67">
        <f t="shared" si="11"/>
        <v>7.3821203049721727E-5</v>
      </c>
      <c r="AE67">
        <f t="shared" si="11"/>
        <v>2.8232251449474612E-4</v>
      </c>
      <c r="AF67" t="e">
        <f t="shared" si="11"/>
        <v>#REF!</v>
      </c>
    </row>
    <row r="68" spans="1:32" x14ac:dyDescent="0.25">
      <c r="B68" s="7"/>
      <c r="N68" s="1" t="s">
        <v>182</v>
      </c>
      <c r="W68" s="1" t="s">
        <v>182</v>
      </c>
    </row>
    <row r="69" spans="1:32" x14ac:dyDescent="0.25">
      <c r="B69" s="7"/>
      <c r="D69" t="s">
        <v>266</v>
      </c>
      <c r="N69" s="1" t="s">
        <v>182</v>
      </c>
      <c r="W69" s="1" t="s">
        <v>182</v>
      </c>
    </row>
    <row r="70" spans="1:32" x14ac:dyDescent="0.25">
      <c r="B70" s="7"/>
      <c r="N70" s="1" t="s">
        <v>182</v>
      </c>
      <c r="W70" s="1" t="s">
        <v>182</v>
      </c>
    </row>
    <row r="71" spans="1:32" x14ac:dyDescent="0.25">
      <c r="B71" s="7"/>
      <c r="C71" t="s">
        <v>267</v>
      </c>
      <c r="D71" t="s">
        <v>268</v>
      </c>
      <c r="E71" s="1" t="e">
        <f>E121</f>
        <v>#REF!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 t="e">
        <f>M71-E71</f>
        <v>#REF!</v>
      </c>
      <c r="M71" s="22" t="e">
        <f>(+M121+(+E186/365))/2</f>
        <v>#REF!</v>
      </c>
      <c r="N71" s="1" t="s">
        <v>182</v>
      </c>
      <c r="O71" s="1" t="e">
        <f>(+E71/M71)*100</f>
        <v>#REF!</v>
      </c>
      <c r="P71" s="1" t="e">
        <f>SUM(F71/M71)*100</f>
        <v>#REF!</v>
      </c>
      <c r="Q71" s="1" t="e">
        <f>SUM(G71/M71)*100</f>
        <v>#REF!</v>
      </c>
      <c r="R71" s="1" t="e">
        <f>SUM(H71/M71)*100</f>
        <v>#REF!</v>
      </c>
      <c r="S71" s="1" t="e">
        <f>SUM(I71/M71)*100</f>
        <v>#REF!</v>
      </c>
      <c r="T71" s="1" t="e">
        <f>SUM(J71/M71)*100</f>
        <v>#REF!</v>
      </c>
      <c r="U71" s="1" t="e">
        <f>SUM(K71/M71)*100</f>
        <v>#REF!</v>
      </c>
      <c r="V71" s="1" t="e">
        <f>SUM(L71/M71)*100</f>
        <v>#REF!</v>
      </c>
      <c r="W71" s="1" t="s">
        <v>182</v>
      </c>
    </row>
    <row r="72" spans="1:32" x14ac:dyDescent="0.25">
      <c r="B72" s="7"/>
      <c r="E72" s="1"/>
      <c r="F72" s="1"/>
      <c r="G72" s="1"/>
      <c r="H72" s="1"/>
      <c r="I72" s="1"/>
      <c r="J72" s="1"/>
      <c r="K72" s="1"/>
      <c r="L72" s="1"/>
      <c r="M72" s="1"/>
      <c r="N72" s="1" t="s">
        <v>182</v>
      </c>
      <c r="O72" s="1"/>
      <c r="P72" s="1"/>
      <c r="Q72" s="1"/>
      <c r="R72" s="1"/>
      <c r="S72" s="1"/>
      <c r="T72" s="1"/>
      <c r="U72" s="1"/>
      <c r="V72" s="1"/>
      <c r="W72" s="1" t="s">
        <v>182</v>
      </c>
    </row>
    <row r="73" spans="1:32" x14ac:dyDescent="0.25">
      <c r="B73" s="7"/>
      <c r="D73" t="s">
        <v>269</v>
      </c>
      <c r="E73" s="1"/>
      <c r="F73" s="1"/>
      <c r="G73" s="1"/>
      <c r="H73" s="1"/>
      <c r="I73" s="1"/>
      <c r="J73" s="1"/>
      <c r="K73" s="1"/>
      <c r="L73" s="1"/>
      <c r="M73" s="1"/>
      <c r="N73" s="1" t="s">
        <v>182</v>
      </c>
      <c r="O73" s="1" t="s">
        <v>198</v>
      </c>
      <c r="P73" s="1" t="s">
        <v>198</v>
      </c>
      <c r="Q73" s="1" t="s">
        <v>198</v>
      </c>
      <c r="R73" s="1"/>
      <c r="S73" s="1"/>
      <c r="T73" s="1"/>
      <c r="U73" s="1"/>
      <c r="V73" s="1" t="s">
        <v>198</v>
      </c>
      <c r="W73" s="1" t="s">
        <v>182</v>
      </c>
    </row>
    <row r="74" spans="1:32" x14ac:dyDescent="0.25">
      <c r="B74" s="7"/>
      <c r="F74" s="1"/>
      <c r="G74" s="1"/>
      <c r="H74" s="1"/>
      <c r="I74" s="1"/>
      <c r="J74" s="1"/>
      <c r="K74" s="1"/>
      <c r="L74" s="1"/>
      <c r="M74" s="1"/>
      <c r="N74" s="1" t="s">
        <v>182</v>
      </c>
      <c r="O74" s="1" t="s">
        <v>198</v>
      </c>
      <c r="P74" s="1" t="s">
        <v>198</v>
      </c>
      <c r="Q74" s="1" t="s">
        <v>198</v>
      </c>
      <c r="R74" s="1"/>
      <c r="S74" s="1"/>
      <c r="T74" s="1"/>
      <c r="U74" s="1"/>
      <c r="V74" s="1" t="s">
        <v>198</v>
      </c>
      <c r="W74" s="1" t="s">
        <v>182</v>
      </c>
    </row>
    <row r="75" spans="1:32" x14ac:dyDescent="0.25">
      <c r="A75" t="s">
        <v>270</v>
      </c>
      <c r="B75" s="7">
        <v>201</v>
      </c>
      <c r="C75" t="s">
        <v>271</v>
      </c>
      <c r="D75" t="s">
        <v>272</v>
      </c>
      <c r="E75" s="1" t="e">
        <f>E71+YR_HC_RPT!$R$118+YR_HC_RPT!$R$91</f>
        <v>#REF!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 t="e">
        <f>M75-E75</f>
        <v>#REF!</v>
      </c>
      <c r="M75" s="22">
        <f>((+E183+E186)/365)/2</f>
        <v>8.3982739726027393</v>
      </c>
      <c r="N75" s="1" t="s">
        <v>182</v>
      </c>
      <c r="O75" s="1" t="e">
        <f>SUM(E75/M75)*100</f>
        <v>#REF!</v>
      </c>
      <c r="P75" s="1">
        <f>SUM(F75/M75)*100</f>
        <v>0</v>
      </c>
      <c r="Q75" s="1">
        <f>SUM(G75/M75)*100</f>
        <v>0</v>
      </c>
      <c r="R75" s="1">
        <f>SUM(H75/M75)*100</f>
        <v>0</v>
      </c>
      <c r="S75" s="1">
        <f>SUM(I75/M75)*100</f>
        <v>0</v>
      </c>
      <c r="T75" s="1">
        <f>SUM(J75/M75)*100</f>
        <v>0</v>
      </c>
      <c r="U75" s="1">
        <f>SUM(K75/M75)*100</f>
        <v>0</v>
      </c>
      <c r="V75" s="1" t="e">
        <f>SUM(L75/M75)*100</f>
        <v>#REF!</v>
      </c>
      <c r="W75" s="1" t="s">
        <v>182</v>
      </c>
      <c r="X75">
        <f>85.38+11.11+32.93</f>
        <v>129.41999999999999</v>
      </c>
    </row>
    <row r="76" spans="1:32" x14ac:dyDescent="0.25">
      <c r="B76" s="7"/>
      <c r="E76" s="1"/>
      <c r="F76" s="1"/>
      <c r="G76" s="1"/>
      <c r="H76" s="1"/>
      <c r="I76" s="1"/>
      <c r="J76" s="1"/>
      <c r="K76" s="1"/>
      <c r="L76" s="1"/>
      <c r="M76" s="1"/>
      <c r="N76" s="1" t="s">
        <v>182</v>
      </c>
      <c r="O76" s="1" t="s">
        <v>198</v>
      </c>
      <c r="P76" s="1" t="s">
        <v>198</v>
      </c>
      <c r="Q76" s="1" t="s">
        <v>198</v>
      </c>
      <c r="R76" s="1"/>
      <c r="S76" s="1"/>
      <c r="T76" s="1"/>
      <c r="U76" s="1"/>
      <c r="V76" s="1" t="s">
        <v>198</v>
      </c>
      <c r="W76" s="1" t="s">
        <v>182</v>
      </c>
    </row>
    <row r="77" spans="1:32" x14ac:dyDescent="0.25">
      <c r="A77" t="s">
        <v>273</v>
      </c>
      <c r="B77" s="7"/>
      <c r="C77" t="s">
        <v>188</v>
      </c>
      <c r="D77" t="s">
        <v>274</v>
      </c>
      <c r="E77" s="1"/>
      <c r="F77" s="1"/>
      <c r="G77" s="1"/>
      <c r="H77" s="1"/>
      <c r="I77" s="1"/>
      <c r="J77" s="1"/>
      <c r="L77" s="1"/>
      <c r="M77" s="1"/>
      <c r="N77" s="1" t="s">
        <v>182</v>
      </c>
      <c r="O77" s="1" t="s">
        <v>198</v>
      </c>
      <c r="P77" s="1" t="s">
        <v>198</v>
      </c>
      <c r="Q77" s="1" t="s">
        <v>198</v>
      </c>
      <c r="R77" s="1"/>
      <c r="S77" s="1"/>
      <c r="T77" s="1"/>
      <c r="U77" s="1"/>
      <c r="V77" s="1" t="s">
        <v>198</v>
      </c>
      <c r="W77" s="1" t="s">
        <v>182</v>
      </c>
    </row>
    <row r="78" spans="1:32" x14ac:dyDescent="0.25">
      <c r="B78" s="7"/>
      <c r="E78" s="1"/>
      <c r="F78" s="1"/>
      <c r="G78" s="1"/>
      <c r="H78" s="1"/>
      <c r="I78" s="1"/>
      <c r="J78" s="1"/>
      <c r="K78" s="1"/>
      <c r="L78" s="1"/>
      <c r="M78" s="1"/>
      <c r="N78" s="1" t="s">
        <v>182</v>
      </c>
      <c r="O78" s="1" t="s">
        <v>198</v>
      </c>
      <c r="P78" s="1" t="s">
        <v>198</v>
      </c>
      <c r="Q78" s="1" t="s">
        <v>198</v>
      </c>
      <c r="R78" s="1"/>
      <c r="S78" s="1"/>
      <c r="T78" s="1"/>
      <c r="U78" s="1"/>
      <c r="V78" s="1" t="s">
        <v>198</v>
      </c>
      <c r="W78" s="1" t="s">
        <v>182</v>
      </c>
    </row>
    <row r="79" spans="1:32" x14ac:dyDescent="0.25">
      <c r="A79" t="s">
        <v>275</v>
      </c>
      <c r="B79" s="7">
        <v>211</v>
      </c>
      <c r="C79" t="s">
        <v>276</v>
      </c>
      <c r="D79" t="s">
        <v>277</v>
      </c>
      <c r="E79" s="1" t="e">
        <f>E127</f>
        <v>#REF!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47" t="e">
        <f>L127</f>
        <v>#REF!</v>
      </c>
      <c r="M79" s="1" t="e">
        <f>M127</f>
        <v>#REF!</v>
      </c>
      <c r="N79" s="1" t="s">
        <v>182</v>
      </c>
      <c r="O79" s="1" t="e">
        <f>SUM(E79/M79)*100</f>
        <v>#REF!</v>
      </c>
      <c r="P79" s="1" t="e">
        <f>SUM(F79/M79)*100</f>
        <v>#REF!</v>
      </c>
      <c r="Q79" s="1" t="e">
        <f>SUM(G79/M79)*100</f>
        <v>#REF!</v>
      </c>
      <c r="R79" s="1" t="e">
        <f>SUM(H79/M79)*100</f>
        <v>#REF!</v>
      </c>
      <c r="S79" s="1" t="e">
        <f>SUM(I79/M79)*100</f>
        <v>#REF!</v>
      </c>
      <c r="T79" s="1" t="e">
        <f>SUM(J79/M79)*100</f>
        <v>#REF!</v>
      </c>
      <c r="U79" s="1" t="e">
        <f>SUM(K79/M79)*100</f>
        <v>#REF!</v>
      </c>
      <c r="V79" s="1" t="e">
        <f>SUM(L79/M79)*100</f>
        <v>#REF!</v>
      </c>
      <c r="W79" s="1" t="s">
        <v>182</v>
      </c>
      <c r="X79">
        <v>6980.66</v>
      </c>
      <c r="Y79" t="e">
        <f t="shared" ref="Y79:AF79" si="12">(+O79/100)*$X79</f>
        <v>#REF!</v>
      </c>
      <c r="Z79" t="e">
        <f t="shared" si="12"/>
        <v>#REF!</v>
      </c>
      <c r="AA79" t="e">
        <f t="shared" si="12"/>
        <v>#REF!</v>
      </c>
      <c r="AB79" t="e">
        <f t="shared" si="12"/>
        <v>#REF!</v>
      </c>
      <c r="AC79" t="e">
        <f t="shared" si="12"/>
        <v>#REF!</v>
      </c>
      <c r="AD79" t="e">
        <f t="shared" si="12"/>
        <v>#REF!</v>
      </c>
      <c r="AE79" t="e">
        <f t="shared" si="12"/>
        <v>#REF!</v>
      </c>
      <c r="AF79" t="e">
        <f t="shared" si="12"/>
        <v>#REF!</v>
      </c>
    </row>
    <row r="80" spans="1:32" x14ac:dyDescent="0.25">
      <c r="B80" s="7"/>
      <c r="E80" s="1"/>
      <c r="F80" s="1"/>
      <c r="G80" s="1"/>
      <c r="H80" s="1"/>
      <c r="I80" s="1"/>
      <c r="J80" s="1"/>
      <c r="K80" s="1"/>
      <c r="L80" s="1"/>
      <c r="M80" s="1"/>
      <c r="N80" s="1" t="s">
        <v>182</v>
      </c>
      <c r="O80" s="1" t="s">
        <v>198</v>
      </c>
      <c r="P80" s="1" t="s">
        <v>198</v>
      </c>
      <c r="Q80" s="1" t="s">
        <v>198</v>
      </c>
      <c r="R80" s="1"/>
      <c r="S80" s="1"/>
      <c r="T80" s="1"/>
      <c r="U80" s="1"/>
      <c r="V80" s="1" t="s">
        <v>198</v>
      </c>
      <c r="W80" s="1" t="s">
        <v>182</v>
      </c>
    </row>
    <row r="81" spans="1:32" x14ac:dyDescent="0.25">
      <c r="A81" t="s">
        <v>278</v>
      </c>
      <c r="B81" s="7">
        <v>212</v>
      </c>
      <c r="C81" t="s">
        <v>279</v>
      </c>
      <c r="D81" t="s">
        <v>280</v>
      </c>
      <c r="E81" s="1" t="e">
        <f>E79</f>
        <v>#REF!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22" t="e">
        <f>L79+(+E184/365)</f>
        <v>#REF!</v>
      </c>
      <c r="M81" s="1" t="e">
        <f>SUM(E81:L81)</f>
        <v>#REF!</v>
      </c>
      <c r="N81" s="1" t="s">
        <v>182</v>
      </c>
      <c r="O81" s="1" t="e">
        <f>SUM(E81/M81)*100</f>
        <v>#REF!</v>
      </c>
      <c r="P81" s="1" t="e">
        <f>SUM(F81/M81)*100</f>
        <v>#REF!</v>
      </c>
      <c r="Q81" s="1" t="e">
        <f>SUM(G81/M81)*100</f>
        <v>#REF!</v>
      </c>
      <c r="R81" s="1" t="e">
        <f>SUM(H81/M81)*100</f>
        <v>#REF!</v>
      </c>
      <c r="S81" s="1" t="e">
        <f>SUM(I81/M81)*100</f>
        <v>#REF!</v>
      </c>
      <c r="T81" s="1" t="e">
        <f>SUM(J81/M81)*100</f>
        <v>#REF!</v>
      </c>
      <c r="U81" s="1" t="e">
        <f>SUM(K81/M81)*100</f>
        <v>#REF!</v>
      </c>
      <c r="V81" s="1" t="e">
        <f>SUM(L81/M81)*100</f>
        <v>#REF!</v>
      </c>
      <c r="W81" s="1" t="s">
        <v>182</v>
      </c>
      <c r="X81">
        <f>157.93+17.35+67.39</f>
        <v>242.67000000000002</v>
      </c>
      <c r="Y81" t="e">
        <f t="shared" ref="Y81:AF81" si="13">(+O81/100)*$X81</f>
        <v>#REF!</v>
      </c>
      <c r="Z81" t="e">
        <f t="shared" si="13"/>
        <v>#REF!</v>
      </c>
      <c r="AA81" t="e">
        <f t="shared" si="13"/>
        <v>#REF!</v>
      </c>
      <c r="AB81" t="e">
        <f t="shared" si="13"/>
        <v>#REF!</v>
      </c>
      <c r="AC81" t="e">
        <f t="shared" si="13"/>
        <v>#REF!</v>
      </c>
      <c r="AD81" t="e">
        <f t="shared" si="13"/>
        <v>#REF!</v>
      </c>
      <c r="AE81" t="e">
        <f t="shared" si="13"/>
        <v>#REF!</v>
      </c>
      <c r="AF81" t="e">
        <f t="shared" si="13"/>
        <v>#REF!</v>
      </c>
    </row>
    <row r="82" spans="1:32" x14ac:dyDescent="0.25">
      <c r="B82" s="7"/>
      <c r="N82" s="1" t="s">
        <v>182</v>
      </c>
      <c r="W82" s="1" t="s">
        <v>182</v>
      </c>
    </row>
    <row r="83" spans="1:32" x14ac:dyDescent="0.25">
      <c r="A83" t="s">
        <v>273</v>
      </c>
      <c r="B83" s="7"/>
      <c r="C83" t="s">
        <v>188</v>
      </c>
      <c r="D83" t="s">
        <v>281</v>
      </c>
      <c r="E83" s="1"/>
      <c r="F83" s="1"/>
      <c r="G83" s="1"/>
      <c r="H83" s="1"/>
      <c r="I83" s="1"/>
      <c r="J83" s="1"/>
      <c r="K83" s="1"/>
      <c r="L83" s="1"/>
      <c r="M83" s="1"/>
      <c r="N83" s="1" t="s">
        <v>182</v>
      </c>
      <c r="W83" s="1" t="s">
        <v>182</v>
      </c>
    </row>
    <row r="84" spans="1:32" x14ac:dyDescent="0.25">
      <c r="B84" s="7"/>
      <c r="E84" s="1"/>
      <c r="F84" s="1"/>
      <c r="G84" s="1"/>
      <c r="H84" s="1"/>
      <c r="I84" s="1"/>
      <c r="J84" s="1"/>
      <c r="K84" s="1"/>
      <c r="L84" s="1"/>
      <c r="M84" s="1"/>
      <c r="N84" s="1" t="s">
        <v>182</v>
      </c>
      <c r="W84" s="1" t="s">
        <v>182</v>
      </c>
    </row>
    <row r="85" spans="1:32" x14ac:dyDescent="0.25">
      <c r="A85" t="s">
        <v>275</v>
      </c>
      <c r="B85" s="7"/>
      <c r="C85" t="s">
        <v>282</v>
      </c>
      <c r="D85" t="s">
        <v>277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f>SUM(E85:L85)</f>
        <v>0</v>
      </c>
      <c r="N85" s="1" t="s">
        <v>182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 t="s">
        <v>182</v>
      </c>
    </row>
    <row r="86" spans="1:32" x14ac:dyDescent="0.25">
      <c r="B86" s="7"/>
      <c r="E86" s="1"/>
      <c r="F86" s="1"/>
      <c r="G86" s="1"/>
      <c r="H86" s="1"/>
      <c r="I86" s="1"/>
      <c r="J86" s="1"/>
      <c r="K86" s="1"/>
      <c r="L86" s="1"/>
      <c r="M86" s="1"/>
      <c r="N86" s="1" t="s">
        <v>182</v>
      </c>
      <c r="W86" s="1" t="s">
        <v>182</v>
      </c>
    </row>
    <row r="87" spans="1:32" x14ac:dyDescent="0.25">
      <c r="A87" t="s">
        <v>278</v>
      </c>
      <c r="B87" s="7"/>
      <c r="C87" t="s">
        <v>283</v>
      </c>
      <c r="D87" t="s">
        <v>280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f>SUM(E87:L87)</f>
        <v>0</v>
      </c>
      <c r="N87" s="1" t="s">
        <v>182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 t="s">
        <v>182</v>
      </c>
    </row>
    <row r="88" spans="1:32" x14ac:dyDescent="0.25">
      <c r="B88" s="7"/>
      <c r="N88" s="1" t="s">
        <v>182</v>
      </c>
      <c r="W88" s="1" t="s">
        <v>182</v>
      </c>
    </row>
    <row r="89" spans="1:32" x14ac:dyDescent="0.25">
      <c r="B89" s="7"/>
      <c r="D89" t="s">
        <v>284</v>
      </c>
      <c r="E89" s="1"/>
      <c r="F89" s="1"/>
      <c r="G89" s="1"/>
      <c r="H89" s="1"/>
      <c r="I89" s="1"/>
      <c r="J89" s="1"/>
      <c r="K89" s="1"/>
      <c r="L89" s="1"/>
      <c r="M89" s="1"/>
      <c r="N89" s="1" t="s">
        <v>182</v>
      </c>
      <c r="O89" s="1" t="s">
        <v>198</v>
      </c>
      <c r="P89" s="1" t="s">
        <v>198</v>
      </c>
      <c r="Q89" s="1" t="s">
        <v>198</v>
      </c>
      <c r="R89" s="1"/>
      <c r="S89" s="1"/>
      <c r="T89" s="1"/>
      <c r="U89" s="1"/>
      <c r="V89" s="1" t="s">
        <v>198</v>
      </c>
      <c r="W89" s="1" t="s">
        <v>182</v>
      </c>
    </row>
    <row r="90" spans="1:32" x14ac:dyDescent="0.25">
      <c r="B90" s="7"/>
      <c r="E90" s="1"/>
      <c r="F90" s="1"/>
      <c r="G90" s="1"/>
      <c r="H90" s="1"/>
      <c r="I90" s="1"/>
      <c r="J90" s="1"/>
      <c r="K90" s="1"/>
      <c r="L90" s="10"/>
      <c r="M90" s="1"/>
      <c r="N90" s="1" t="s">
        <v>182</v>
      </c>
      <c r="O90" s="1" t="s">
        <v>198</v>
      </c>
      <c r="P90" s="1" t="s">
        <v>198</v>
      </c>
      <c r="Q90" s="1" t="s">
        <v>198</v>
      </c>
      <c r="R90" s="1"/>
      <c r="S90" s="1"/>
      <c r="T90" s="1"/>
      <c r="U90" s="1"/>
      <c r="V90" s="1" t="s">
        <v>198</v>
      </c>
      <c r="W90" s="1" t="s">
        <v>182</v>
      </c>
    </row>
    <row r="91" spans="1:32" x14ac:dyDescent="0.25">
      <c r="A91" t="s">
        <v>285</v>
      </c>
      <c r="B91" s="7">
        <v>221</v>
      </c>
      <c r="C91" t="s">
        <v>286</v>
      </c>
      <c r="D91" t="s">
        <v>287</v>
      </c>
      <c r="E91" s="1" t="e">
        <f>E75</f>
        <v>#REF!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 t="e">
        <f>M91-E91</f>
        <v>#REF!</v>
      </c>
      <c r="M91" s="22">
        <f>J180+J181+J183</f>
        <v>80.824041095890408</v>
      </c>
      <c r="N91" s="1" t="s">
        <v>182</v>
      </c>
      <c r="O91" s="1" t="e">
        <f>SUM(E91/M91)*100</f>
        <v>#REF!</v>
      </c>
      <c r="P91" s="1">
        <f>SUM(F91/M91)*100</f>
        <v>0</v>
      </c>
      <c r="Q91" s="1">
        <f>SUM(G91/M91)*100</f>
        <v>0</v>
      </c>
      <c r="R91" s="1">
        <f>SUM(H91/M91)*100</f>
        <v>0</v>
      </c>
      <c r="S91" s="1">
        <f>SUM(I91/M91)*100</f>
        <v>0</v>
      </c>
      <c r="T91" s="1">
        <f>SUM(J91/M91)*100</f>
        <v>0</v>
      </c>
      <c r="U91" s="1">
        <f>SUM(K91/M91)*100</f>
        <v>0</v>
      </c>
      <c r="V91" s="1" t="e">
        <f>SUM(L91/M91)*100</f>
        <v>#REF!</v>
      </c>
      <c r="W91" s="1" t="s">
        <v>182</v>
      </c>
      <c r="X91">
        <v>0</v>
      </c>
    </row>
    <row r="92" spans="1:32" x14ac:dyDescent="0.25">
      <c r="A92" t="s">
        <v>288</v>
      </c>
      <c r="B92" s="7">
        <v>222</v>
      </c>
      <c r="C92" t="s">
        <v>289</v>
      </c>
      <c r="D92" t="s">
        <v>290</v>
      </c>
      <c r="E92" s="1" t="e">
        <f>E81+E91</f>
        <v>#REF!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 t="e">
        <f>SUM(E92:L92)</f>
        <v>#REF!</v>
      </c>
      <c r="N92" s="1" t="s">
        <v>182</v>
      </c>
      <c r="O92" s="1" t="e">
        <f>SUM(E92/M92)*100</f>
        <v>#REF!</v>
      </c>
      <c r="P92" s="1" t="e">
        <f>SUM(F92/M92)*100</f>
        <v>#REF!</v>
      </c>
      <c r="Q92" s="1" t="e">
        <f>SUM(G92/M92)*100</f>
        <v>#REF!</v>
      </c>
      <c r="R92" s="1" t="e">
        <f>SUM(H92/M92)*100</f>
        <v>#REF!</v>
      </c>
      <c r="S92" s="1" t="e">
        <f>SUM(I92/M92)*100</f>
        <v>#REF!</v>
      </c>
      <c r="T92" s="1" t="e">
        <f>SUM(J92/M92)*100</f>
        <v>#REF!</v>
      </c>
      <c r="U92" s="1" t="e">
        <f>SUM(K92/M92)*100</f>
        <v>#REF!</v>
      </c>
      <c r="V92" s="1" t="e">
        <f>SUM(L92/M92)*100</f>
        <v>#REF!</v>
      </c>
      <c r="W92" s="1" t="s">
        <v>182</v>
      </c>
      <c r="X92">
        <v>2942.52</v>
      </c>
      <c r="Y92" t="e">
        <f t="shared" ref="Y92:AF94" si="14">(+O92/100)*$X92</f>
        <v>#REF!</v>
      </c>
      <c r="Z92" t="e">
        <f t="shared" si="14"/>
        <v>#REF!</v>
      </c>
      <c r="AA92" t="e">
        <f t="shared" si="14"/>
        <v>#REF!</v>
      </c>
      <c r="AB92" t="e">
        <f t="shared" si="14"/>
        <v>#REF!</v>
      </c>
      <c r="AC92" t="e">
        <f t="shared" si="14"/>
        <v>#REF!</v>
      </c>
      <c r="AD92" t="e">
        <f t="shared" si="14"/>
        <v>#REF!</v>
      </c>
      <c r="AE92" t="e">
        <f t="shared" si="14"/>
        <v>#REF!</v>
      </c>
      <c r="AF92" t="e">
        <f t="shared" si="14"/>
        <v>#REF!</v>
      </c>
    </row>
    <row r="93" spans="1:32" x14ac:dyDescent="0.25">
      <c r="A93" t="s">
        <v>291</v>
      </c>
      <c r="B93" s="7">
        <v>223</v>
      </c>
      <c r="C93" t="s">
        <v>292</v>
      </c>
      <c r="D93" t="s">
        <v>293</v>
      </c>
      <c r="E93" s="1" t="e">
        <f>E67+E92</f>
        <v>#REF!</v>
      </c>
      <c r="F93" s="1" t="e">
        <f>F$10+F$25</f>
        <v>#REF!</v>
      </c>
      <c r="G93" s="1" t="e">
        <f>G$10</f>
        <v>#REF!</v>
      </c>
      <c r="H93" s="1" t="e">
        <f>H$10</f>
        <v>#REF!</v>
      </c>
      <c r="I93" s="1" t="e">
        <f>I$10</f>
        <v>#REF!</v>
      </c>
      <c r="J93" s="1">
        <f>J$10</f>
        <v>1.3032600000000004E-2</v>
      </c>
      <c r="K93" s="1">
        <f>K$10</f>
        <v>4.9841999999999997E-2</v>
      </c>
      <c r="L93" s="1" t="e">
        <f>L$67</f>
        <v>#REF!</v>
      </c>
      <c r="M93" s="1" t="e">
        <f>SUM(E93:L93)</f>
        <v>#REF!</v>
      </c>
      <c r="N93" s="1" t="s">
        <v>182</v>
      </c>
      <c r="O93" s="1" t="e">
        <f>SUM(E93/M93)*100</f>
        <v>#REF!</v>
      </c>
      <c r="P93" s="1" t="e">
        <f>SUM(F93/M93)*100</f>
        <v>#REF!</v>
      </c>
      <c r="Q93" s="1" t="e">
        <f>SUM(G93/M93)*100</f>
        <v>#REF!</v>
      </c>
      <c r="R93" s="1" t="e">
        <f>SUM(H93/M93)*100</f>
        <v>#REF!</v>
      </c>
      <c r="S93" s="1" t="e">
        <f>SUM(I93/M93)*100</f>
        <v>#REF!</v>
      </c>
      <c r="T93" s="1" t="e">
        <f>SUM(J93/M93)*100</f>
        <v>#REF!</v>
      </c>
      <c r="U93" s="1" t="e">
        <f>SUM(K93/M93)*100</f>
        <v>#REF!</v>
      </c>
      <c r="V93" s="1" t="e">
        <f>SUM(L93/M93)*100</f>
        <v>#REF!</v>
      </c>
      <c r="W93" s="1" t="s">
        <v>182</v>
      </c>
      <c r="X93">
        <f>4321.74+77.45+2647.83</f>
        <v>7047.0199999999995</v>
      </c>
      <c r="Y93" t="e">
        <f t="shared" si="14"/>
        <v>#REF!</v>
      </c>
      <c r="Z93" t="e">
        <f t="shared" si="14"/>
        <v>#REF!</v>
      </c>
      <c r="AA93" t="e">
        <f t="shared" si="14"/>
        <v>#REF!</v>
      </c>
      <c r="AB93" t="e">
        <f t="shared" si="14"/>
        <v>#REF!</v>
      </c>
      <c r="AC93" t="e">
        <f t="shared" si="14"/>
        <v>#REF!</v>
      </c>
      <c r="AD93" t="e">
        <f t="shared" si="14"/>
        <v>#REF!</v>
      </c>
      <c r="AE93" t="e">
        <f t="shared" si="14"/>
        <v>#REF!</v>
      </c>
      <c r="AF93" t="e">
        <f t="shared" si="14"/>
        <v>#REF!</v>
      </c>
    </row>
    <row r="94" spans="1:32" x14ac:dyDescent="0.25">
      <c r="A94" t="s">
        <v>294</v>
      </c>
      <c r="B94" s="7">
        <v>224</v>
      </c>
      <c r="C94" t="s">
        <v>295</v>
      </c>
      <c r="D94" t="s">
        <v>296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 t="e">
        <f>L81+L91</f>
        <v>#REF!</v>
      </c>
      <c r="M94" s="1" t="e">
        <f>SUM(E94:L94)</f>
        <v>#REF!</v>
      </c>
      <c r="N94" s="1" t="s">
        <v>182</v>
      </c>
      <c r="O94" s="1" t="e">
        <f>SUM(E94/M94)*100</f>
        <v>#REF!</v>
      </c>
      <c r="P94" s="1" t="e">
        <f>SUM(F94/M94)*100</f>
        <v>#REF!</v>
      </c>
      <c r="Q94" s="1" t="e">
        <f>SUM(G94/M94)*100</f>
        <v>#REF!</v>
      </c>
      <c r="R94" s="1" t="e">
        <f>SUM(H94/M94)*100</f>
        <v>#REF!</v>
      </c>
      <c r="S94" s="1" t="e">
        <f>SUM(I94/M94)*100</f>
        <v>#REF!</v>
      </c>
      <c r="T94" s="1" t="e">
        <f>SUM(J94/M94)*100</f>
        <v>#REF!</v>
      </c>
      <c r="U94" s="1" t="e">
        <f>SUM(K94/M94)*100</f>
        <v>#REF!</v>
      </c>
      <c r="V94" s="1" t="e">
        <f>SUM(L94/M94)*100</f>
        <v>#REF!</v>
      </c>
      <c r="W94" s="1" t="s">
        <v>182</v>
      </c>
      <c r="X94">
        <v>1339.8</v>
      </c>
      <c r="Y94" t="e">
        <f t="shared" si="14"/>
        <v>#REF!</v>
      </c>
      <c r="Z94" t="e">
        <f t="shared" si="14"/>
        <v>#REF!</v>
      </c>
      <c r="AA94" t="e">
        <f t="shared" si="14"/>
        <v>#REF!</v>
      </c>
      <c r="AB94" t="e">
        <f t="shared" si="14"/>
        <v>#REF!</v>
      </c>
      <c r="AC94" t="e">
        <f t="shared" si="14"/>
        <v>#REF!</v>
      </c>
      <c r="AD94" t="e">
        <f t="shared" si="14"/>
        <v>#REF!</v>
      </c>
      <c r="AE94" t="e">
        <f t="shared" si="14"/>
        <v>#REF!</v>
      </c>
      <c r="AF94" t="e">
        <f t="shared" si="14"/>
        <v>#REF!</v>
      </c>
    </row>
    <row r="95" spans="1:32" x14ac:dyDescent="0.25">
      <c r="A95" t="s">
        <v>297</v>
      </c>
      <c r="B95" s="7"/>
      <c r="D95" t="s">
        <v>298</v>
      </c>
      <c r="E95" s="1"/>
      <c r="F95" s="1"/>
      <c r="G95" s="1"/>
      <c r="H95" s="1"/>
      <c r="I95" s="1"/>
      <c r="J95" s="1"/>
      <c r="K95" s="1"/>
      <c r="L95" s="1"/>
      <c r="M95" s="1"/>
      <c r="N95" s="1" t="s">
        <v>182</v>
      </c>
      <c r="O95" s="1" t="s">
        <v>198</v>
      </c>
      <c r="P95" s="1" t="s">
        <v>198</v>
      </c>
      <c r="Q95" s="1" t="s">
        <v>198</v>
      </c>
      <c r="R95" s="1"/>
      <c r="S95" s="1"/>
      <c r="T95" s="1"/>
      <c r="U95" s="1"/>
      <c r="V95" s="1" t="s">
        <v>198</v>
      </c>
      <c r="W95" s="1" t="s">
        <v>182</v>
      </c>
    </row>
    <row r="96" spans="1:32" x14ac:dyDescent="0.25">
      <c r="B96" s="7">
        <v>224</v>
      </c>
      <c r="C96" t="s">
        <v>299</v>
      </c>
      <c r="D96" t="s">
        <v>219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 t="e">
        <f>L94</f>
        <v>#REF!</v>
      </c>
      <c r="M96" s="1" t="e">
        <f>SUM(E96:L96)</f>
        <v>#REF!</v>
      </c>
      <c r="N96" s="1" t="s">
        <v>182</v>
      </c>
      <c r="O96" s="1" t="e">
        <f>SUM(E96/M96)*100</f>
        <v>#REF!</v>
      </c>
      <c r="P96" s="1" t="e">
        <f>SUM(F96/M96)*100</f>
        <v>#REF!</v>
      </c>
      <c r="Q96" s="1" t="e">
        <f>SUM(G96/M96)*100</f>
        <v>#REF!</v>
      </c>
      <c r="R96" s="1" t="e">
        <f>SUM(H96/M96)*100</f>
        <v>#REF!</v>
      </c>
      <c r="S96" s="1" t="e">
        <f>SUM(I96/M96)*100</f>
        <v>#REF!</v>
      </c>
      <c r="T96" s="1" t="e">
        <f>SUM(J96/M96)*100</f>
        <v>#REF!</v>
      </c>
      <c r="U96" s="1" t="e">
        <f>SUM(K96/M96)*100</f>
        <v>#REF!</v>
      </c>
      <c r="V96" s="1" t="e">
        <f>SUM(L96/M96)*100</f>
        <v>#REF!</v>
      </c>
      <c r="W96" s="1" t="s">
        <v>182</v>
      </c>
      <c r="X96">
        <f>2192.07+128.96</f>
        <v>2321.0300000000002</v>
      </c>
      <c r="Y96" t="e">
        <f t="shared" ref="Y96:AF97" si="15">(+O96/100)*$X96</f>
        <v>#REF!</v>
      </c>
      <c r="Z96" t="e">
        <f t="shared" si="15"/>
        <v>#REF!</v>
      </c>
      <c r="AA96" t="e">
        <f t="shared" si="15"/>
        <v>#REF!</v>
      </c>
      <c r="AB96" t="e">
        <f t="shared" si="15"/>
        <v>#REF!</v>
      </c>
      <c r="AC96" t="e">
        <f t="shared" si="15"/>
        <v>#REF!</v>
      </c>
      <c r="AD96" t="e">
        <f t="shared" si="15"/>
        <v>#REF!</v>
      </c>
      <c r="AE96" t="e">
        <f t="shared" si="15"/>
        <v>#REF!</v>
      </c>
      <c r="AF96" t="e">
        <f t="shared" si="15"/>
        <v>#REF!</v>
      </c>
    </row>
    <row r="97" spans="1:32" x14ac:dyDescent="0.25">
      <c r="B97" s="7">
        <v>223</v>
      </c>
      <c r="C97" t="s">
        <v>300</v>
      </c>
      <c r="D97" t="s">
        <v>195</v>
      </c>
      <c r="E97" s="1" t="e">
        <f>E$93</f>
        <v>#REF!</v>
      </c>
      <c r="F97" s="1" t="e">
        <f>F$10+F$25</f>
        <v>#REF!</v>
      </c>
      <c r="G97" s="1" t="e">
        <f>G$10</f>
        <v>#REF!</v>
      </c>
      <c r="H97" s="1" t="e">
        <f>H$10</f>
        <v>#REF!</v>
      </c>
      <c r="I97" s="1" t="e">
        <f>I$10</f>
        <v>#REF!</v>
      </c>
      <c r="J97" s="1">
        <f>J$10</f>
        <v>1.3032600000000004E-2</v>
      </c>
      <c r="K97" s="1">
        <f>K$10</f>
        <v>4.9841999999999997E-2</v>
      </c>
      <c r="L97" s="1" t="e">
        <f>L$67</f>
        <v>#REF!</v>
      </c>
      <c r="M97" s="1" t="e">
        <f>SUM(E97:L97)</f>
        <v>#REF!</v>
      </c>
      <c r="N97" s="1" t="s">
        <v>182</v>
      </c>
      <c r="O97" s="1" t="e">
        <f>SUM(E97/M97)*100</f>
        <v>#REF!</v>
      </c>
      <c r="P97" s="1" t="e">
        <f>SUM(F97/M97)*100</f>
        <v>#REF!</v>
      </c>
      <c r="Q97" s="1" t="e">
        <f>SUM(G97/M97)*100</f>
        <v>#REF!</v>
      </c>
      <c r="R97" s="1" t="e">
        <f>SUM(H97/M97)*100</f>
        <v>#REF!</v>
      </c>
      <c r="S97" s="1" t="e">
        <f>SUM(I97/M97)*100</f>
        <v>#REF!</v>
      </c>
      <c r="T97" s="1" t="e">
        <f>SUM(J97/M97)*100</f>
        <v>#REF!</v>
      </c>
      <c r="U97" s="1" t="e">
        <f>SUM(K97/M97)*100</f>
        <v>#REF!</v>
      </c>
      <c r="V97" s="1" t="e">
        <f>SUM(L97/M97)*100</f>
        <v>#REF!</v>
      </c>
      <c r="W97" s="1" t="s">
        <v>182</v>
      </c>
      <c r="X97">
        <v>6107.99</v>
      </c>
      <c r="Y97" t="e">
        <f t="shared" si="15"/>
        <v>#REF!</v>
      </c>
      <c r="Z97" t="e">
        <f t="shared" si="15"/>
        <v>#REF!</v>
      </c>
      <c r="AA97" t="e">
        <f t="shared" si="15"/>
        <v>#REF!</v>
      </c>
      <c r="AB97" t="e">
        <f t="shared" si="15"/>
        <v>#REF!</v>
      </c>
      <c r="AC97" t="e">
        <f t="shared" si="15"/>
        <v>#REF!</v>
      </c>
      <c r="AD97" t="e">
        <f t="shared" si="15"/>
        <v>#REF!</v>
      </c>
      <c r="AE97" t="e">
        <f t="shared" si="15"/>
        <v>#REF!</v>
      </c>
      <c r="AF97" t="e">
        <f t="shared" si="15"/>
        <v>#REF!</v>
      </c>
    </row>
    <row r="98" spans="1:32" x14ac:dyDescent="0.25">
      <c r="B98" s="7"/>
      <c r="E98" s="1"/>
      <c r="F98" s="1"/>
      <c r="G98" s="1"/>
      <c r="H98" s="1"/>
      <c r="I98" s="1"/>
      <c r="J98" s="1"/>
      <c r="K98" s="1"/>
      <c r="L98" s="1"/>
      <c r="M98" s="1"/>
      <c r="N98" s="1" t="s">
        <v>182</v>
      </c>
      <c r="O98" s="1" t="s">
        <v>198</v>
      </c>
      <c r="P98" s="1" t="s">
        <v>198</v>
      </c>
      <c r="Q98" s="1" t="s">
        <v>198</v>
      </c>
      <c r="R98" s="1"/>
      <c r="S98" s="1"/>
      <c r="T98" s="1"/>
      <c r="U98" s="1"/>
      <c r="V98" s="1" t="s">
        <v>198</v>
      </c>
      <c r="W98" s="1" t="s">
        <v>182</v>
      </c>
    </row>
    <row r="99" spans="1:32" x14ac:dyDescent="0.25">
      <c r="B99" s="7"/>
      <c r="D99" t="s">
        <v>301</v>
      </c>
      <c r="E99" s="1"/>
      <c r="F99" s="1"/>
      <c r="G99" s="1"/>
      <c r="H99" s="1"/>
      <c r="I99" s="1"/>
      <c r="J99" s="1"/>
      <c r="K99" s="1"/>
      <c r="L99" s="1"/>
      <c r="M99" s="1"/>
      <c r="N99" s="1" t="s">
        <v>182</v>
      </c>
      <c r="O99" s="1" t="s">
        <v>198</v>
      </c>
      <c r="P99" s="1" t="s">
        <v>198</v>
      </c>
      <c r="Q99" s="1" t="s">
        <v>198</v>
      </c>
      <c r="R99" s="1"/>
      <c r="S99" s="1"/>
      <c r="T99" s="1"/>
      <c r="U99" s="1"/>
      <c r="V99" s="1" t="s">
        <v>198</v>
      </c>
      <c r="W99" s="1" t="s">
        <v>182</v>
      </c>
    </row>
    <row r="100" spans="1:32" x14ac:dyDescent="0.25">
      <c r="B100" s="7"/>
      <c r="E100" s="1"/>
      <c r="F100" s="1"/>
      <c r="G100" s="1"/>
      <c r="H100" s="1"/>
      <c r="I100" s="1"/>
      <c r="J100" s="1"/>
      <c r="K100" s="1"/>
      <c r="L100" s="1"/>
      <c r="M100" s="1"/>
      <c r="N100" s="1" t="s">
        <v>182</v>
      </c>
      <c r="O100" s="1" t="s">
        <v>198</v>
      </c>
      <c r="P100" s="1" t="s">
        <v>198</v>
      </c>
      <c r="Q100" s="1" t="s">
        <v>198</v>
      </c>
      <c r="R100" s="1"/>
      <c r="S100" s="1"/>
      <c r="T100" s="1"/>
      <c r="U100" s="1"/>
      <c r="V100" s="1" t="s">
        <v>198</v>
      </c>
      <c r="W100" s="1" t="s">
        <v>182</v>
      </c>
    </row>
    <row r="101" spans="1:32" x14ac:dyDescent="0.25">
      <c r="A101" t="s">
        <v>302</v>
      </c>
      <c r="B101" s="7"/>
      <c r="D101" t="s">
        <v>303</v>
      </c>
      <c r="E101" s="1"/>
      <c r="F101" s="1"/>
      <c r="G101" s="1"/>
      <c r="H101" s="1"/>
      <c r="I101" s="1"/>
      <c r="J101" s="1"/>
      <c r="K101" s="1"/>
      <c r="L101" s="1"/>
      <c r="M101" s="1"/>
      <c r="N101" s="1" t="s">
        <v>182</v>
      </c>
      <c r="O101" s="1" t="s">
        <v>198</v>
      </c>
      <c r="P101" s="1" t="s">
        <v>198</v>
      </c>
      <c r="Q101" s="1" t="s">
        <v>198</v>
      </c>
      <c r="R101" s="1"/>
      <c r="S101" s="1"/>
      <c r="T101" s="1"/>
      <c r="U101" s="1"/>
      <c r="V101" s="1" t="s">
        <v>198</v>
      </c>
      <c r="W101" s="1" t="s">
        <v>182</v>
      </c>
    </row>
    <row r="102" spans="1:32" x14ac:dyDescent="0.25">
      <c r="D102" t="s">
        <v>219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2</v>
      </c>
      <c r="M102" s="1">
        <f>SUM(E102:L102)</f>
        <v>2</v>
      </c>
      <c r="N102" s="1" t="s">
        <v>182</v>
      </c>
      <c r="O102" s="1">
        <f>SUM(E102/M102)*100</f>
        <v>0</v>
      </c>
      <c r="P102" s="1">
        <f>SUM(F102/M102)*100</f>
        <v>0</v>
      </c>
      <c r="Q102" s="1">
        <f>SUM(G102/M102)*100</f>
        <v>0</v>
      </c>
      <c r="R102" s="1">
        <f>SUM(H102/M102)*100</f>
        <v>0</v>
      </c>
      <c r="S102" s="1">
        <f>SUM(I102/M102)*100</f>
        <v>0</v>
      </c>
      <c r="T102" s="1">
        <f>SUM(J102/M102)*100</f>
        <v>0</v>
      </c>
      <c r="U102" s="1">
        <f>SUM(K102/M102)*100</f>
        <v>0</v>
      </c>
      <c r="V102" s="1">
        <f>SUM(L102/M102)*100</f>
        <v>100</v>
      </c>
      <c r="W102" s="1" t="s">
        <v>182</v>
      </c>
      <c r="X102">
        <v>3202</v>
      </c>
      <c r="Y102">
        <f t="shared" ref="Y102:AF102" si="16">(+O102/100)*$X102</f>
        <v>0</v>
      </c>
      <c r="Z102">
        <f t="shared" si="16"/>
        <v>0</v>
      </c>
      <c r="AA102">
        <f t="shared" si="16"/>
        <v>0</v>
      </c>
      <c r="AB102">
        <f t="shared" si="16"/>
        <v>0</v>
      </c>
      <c r="AC102">
        <f t="shared" si="16"/>
        <v>0</v>
      </c>
      <c r="AD102">
        <f t="shared" si="16"/>
        <v>0</v>
      </c>
      <c r="AE102">
        <f t="shared" si="16"/>
        <v>0</v>
      </c>
      <c r="AF102">
        <f t="shared" si="16"/>
        <v>3202</v>
      </c>
    </row>
    <row r="103" spans="1:32" x14ac:dyDescent="0.25">
      <c r="B103" s="7">
        <v>231</v>
      </c>
      <c r="C103" t="s">
        <v>304</v>
      </c>
      <c r="D103" t="s">
        <v>195</v>
      </c>
      <c r="E103" s="1" t="e">
        <f>E122</f>
        <v>#REF!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4</v>
      </c>
      <c r="M103" s="1" t="e">
        <f>SUM(E103:L103)</f>
        <v>#REF!</v>
      </c>
      <c r="N103" s="1" t="s">
        <v>182</v>
      </c>
      <c r="O103" s="1" t="e">
        <f>SUM(E103/M103)*100</f>
        <v>#REF!</v>
      </c>
      <c r="P103" s="1" t="e">
        <f>SUM(F103/M103)*100</f>
        <v>#REF!</v>
      </c>
      <c r="Q103" s="1" t="e">
        <f>SUM(G103/M103)*100</f>
        <v>#REF!</v>
      </c>
      <c r="R103" s="1" t="e">
        <f>SUM(H103/M103)*100</f>
        <v>#REF!</v>
      </c>
      <c r="S103" s="1" t="e">
        <f>SUM(I103/M103)*100</f>
        <v>#REF!</v>
      </c>
      <c r="T103" s="1" t="e">
        <f>SUM(J103/M103)*100</f>
        <v>#REF!</v>
      </c>
      <c r="U103" s="1" t="e">
        <f>SUM(K103/M103)*100</f>
        <v>#REF!</v>
      </c>
      <c r="V103" s="1" t="e">
        <f>SUM(L103/M103)*100</f>
        <v>#REF!</v>
      </c>
      <c r="W103" s="1" t="s">
        <v>182</v>
      </c>
      <c r="X103">
        <v>0</v>
      </c>
    </row>
    <row r="105" spans="1:32" x14ac:dyDescent="0.25">
      <c r="B105" s="7"/>
      <c r="N105" s="1" t="s">
        <v>182</v>
      </c>
      <c r="W105" s="1" t="s">
        <v>182</v>
      </c>
    </row>
    <row r="106" spans="1:32" x14ac:dyDescent="0.25">
      <c r="B106" s="7"/>
      <c r="D106" t="s">
        <v>305</v>
      </c>
      <c r="N106" s="1" t="s">
        <v>182</v>
      </c>
      <c r="W106" s="1" t="s">
        <v>182</v>
      </c>
    </row>
    <row r="107" spans="1:32" x14ac:dyDescent="0.25">
      <c r="D107" t="s">
        <v>219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3.4</v>
      </c>
      <c r="M107" s="1">
        <f>SUM(E107:L107)</f>
        <v>3.4</v>
      </c>
      <c r="N107" s="1" t="s">
        <v>182</v>
      </c>
      <c r="O107" s="1">
        <f>SUM(E107/M107)*100</f>
        <v>0</v>
      </c>
      <c r="P107" s="1">
        <f>SUM(F107/M107)*100</f>
        <v>0</v>
      </c>
      <c r="Q107" s="1">
        <f>SUM(G107/M107)*100</f>
        <v>0</v>
      </c>
      <c r="R107" s="1">
        <f>SUM(H107/M107)*100</f>
        <v>0</v>
      </c>
      <c r="S107" s="1">
        <f>SUM(I107/M107)*100</f>
        <v>0</v>
      </c>
      <c r="T107" s="1">
        <f>SUM(J107/M107)*100</f>
        <v>0</v>
      </c>
      <c r="U107" s="1">
        <f>SUM(K107/M107)*100</f>
        <v>0</v>
      </c>
      <c r="V107" s="1">
        <f>SUM(L107/M107)*100</f>
        <v>100</v>
      </c>
      <c r="W107" s="1" t="s">
        <v>182</v>
      </c>
    </row>
    <row r="108" spans="1:32" x14ac:dyDescent="0.25">
      <c r="C108" t="s">
        <v>306</v>
      </c>
      <c r="D108" t="s">
        <v>195</v>
      </c>
      <c r="E108" s="6" t="e">
        <f>YR_HC_RPT!$R$143</f>
        <v>#REF!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 t="e">
        <f>SUM(E108:L108)</f>
        <v>#REF!</v>
      </c>
      <c r="N108" s="1" t="s">
        <v>182</v>
      </c>
      <c r="O108" s="1" t="e">
        <f>SUM(E108/M108)*100</f>
        <v>#REF!</v>
      </c>
      <c r="P108" s="1" t="e">
        <f>SUM(F108/M108)*100</f>
        <v>#REF!</v>
      </c>
      <c r="Q108" s="1" t="e">
        <f>SUM(G108/M108)*100</f>
        <v>#REF!</v>
      </c>
      <c r="R108" s="1" t="e">
        <f>SUM(H108/M108)*100</f>
        <v>#REF!</v>
      </c>
      <c r="S108" s="1" t="e">
        <f>SUM(I108/M108)*100</f>
        <v>#REF!</v>
      </c>
      <c r="T108" s="1" t="e">
        <f>SUM(J108/M108)*100</f>
        <v>#REF!</v>
      </c>
      <c r="U108" s="1" t="e">
        <f>SUM(K108/M108)*100</f>
        <v>#REF!</v>
      </c>
      <c r="V108" s="1" t="e">
        <f>SUM(L108/M108)*100</f>
        <v>#REF!</v>
      </c>
      <c r="W108" s="1" t="s">
        <v>182</v>
      </c>
      <c r="X108">
        <f>79513.99+21370.01+8850.14+2175.89</f>
        <v>111910.03</v>
      </c>
      <c r="Y108" t="e">
        <f t="shared" ref="Y108:AF108" si="17">(+O108/100)*$X108</f>
        <v>#REF!</v>
      </c>
      <c r="Z108" t="e">
        <f t="shared" si="17"/>
        <v>#REF!</v>
      </c>
      <c r="AA108" t="e">
        <f t="shared" si="17"/>
        <v>#REF!</v>
      </c>
      <c r="AB108" t="e">
        <f t="shared" si="17"/>
        <v>#REF!</v>
      </c>
      <c r="AC108" t="e">
        <f t="shared" si="17"/>
        <v>#REF!</v>
      </c>
      <c r="AD108" t="e">
        <f t="shared" si="17"/>
        <v>#REF!</v>
      </c>
      <c r="AE108" t="e">
        <f t="shared" si="17"/>
        <v>#REF!</v>
      </c>
      <c r="AF108" t="e">
        <f t="shared" si="17"/>
        <v>#REF!</v>
      </c>
    </row>
    <row r="109" spans="1:32" x14ac:dyDescent="0.25">
      <c r="B109" s="7"/>
      <c r="N109" s="1" t="s">
        <v>182</v>
      </c>
      <c r="W109" s="1" t="s">
        <v>182</v>
      </c>
    </row>
    <row r="110" spans="1:32" x14ac:dyDescent="0.25">
      <c r="A110" t="s">
        <v>307</v>
      </c>
      <c r="B110" s="7"/>
      <c r="D110" t="s">
        <v>308</v>
      </c>
      <c r="E110" s="1"/>
      <c r="F110" s="1"/>
      <c r="G110" s="1"/>
      <c r="H110" s="1"/>
      <c r="I110" s="1"/>
      <c r="J110" s="1"/>
      <c r="K110" s="1"/>
      <c r="L110" s="1"/>
      <c r="M110" s="1"/>
      <c r="N110" s="1" t="s">
        <v>182</v>
      </c>
      <c r="O110" s="1" t="s">
        <v>198</v>
      </c>
      <c r="P110" s="1" t="s">
        <v>198</v>
      </c>
      <c r="Q110" s="1" t="s">
        <v>198</v>
      </c>
      <c r="R110" s="1"/>
      <c r="S110" s="1"/>
      <c r="T110" s="1"/>
      <c r="U110" s="1"/>
      <c r="V110" s="1" t="s">
        <v>198</v>
      </c>
      <c r="W110" s="1" t="s">
        <v>182</v>
      </c>
    </row>
    <row r="111" spans="1:32" x14ac:dyDescent="0.25">
      <c r="B111" s="7"/>
      <c r="C111" t="s">
        <v>309</v>
      </c>
      <c r="D111" t="s">
        <v>219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7.4</v>
      </c>
      <c r="M111" s="1">
        <f>SUM(E111:L111)</f>
        <v>7.4</v>
      </c>
      <c r="N111" s="1" t="s">
        <v>182</v>
      </c>
      <c r="O111" s="1">
        <f>SUM(E111/M111)*100</f>
        <v>0</v>
      </c>
      <c r="P111" s="1">
        <f>SUM(F111/M111)*100</f>
        <v>0</v>
      </c>
      <c r="Q111" s="1">
        <f>SUM(G111/M111)*100</f>
        <v>0</v>
      </c>
      <c r="R111" s="1">
        <f>SUM(H111/M111)*100</f>
        <v>0</v>
      </c>
      <c r="S111" s="1">
        <f>SUM(I111/M111)*100</f>
        <v>0</v>
      </c>
      <c r="T111" s="1">
        <f>SUM(J111/M111)*100</f>
        <v>0</v>
      </c>
      <c r="U111" s="1">
        <f>SUM(K111/M111)*100</f>
        <v>0</v>
      </c>
      <c r="V111" s="1">
        <f>SUM(L111/M111)*100</f>
        <v>100</v>
      </c>
      <c r="W111" s="1" t="s">
        <v>182</v>
      </c>
      <c r="X111">
        <f>2772.8+1144.07+354.29</f>
        <v>4271.16</v>
      </c>
      <c r="Y111">
        <f t="shared" ref="Y111:AF111" si="18">(+O111/100)*$X111</f>
        <v>0</v>
      </c>
      <c r="Z111">
        <f t="shared" si="18"/>
        <v>0</v>
      </c>
      <c r="AA111">
        <f t="shared" si="18"/>
        <v>0</v>
      </c>
      <c r="AB111">
        <f t="shared" si="18"/>
        <v>0</v>
      </c>
      <c r="AC111">
        <f t="shared" si="18"/>
        <v>0</v>
      </c>
      <c r="AD111">
        <f t="shared" si="18"/>
        <v>0</v>
      </c>
      <c r="AE111">
        <f t="shared" si="18"/>
        <v>0</v>
      </c>
      <c r="AF111">
        <f t="shared" si="18"/>
        <v>4271.16</v>
      </c>
    </row>
    <row r="112" spans="1:32" x14ac:dyDescent="0.25">
      <c r="B112" s="7">
        <v>232</v>
      </c>
      <c r="C112" t="s">
        <v>310</v>
      </c>
      <c r="D112" t="s">
        <v>195</v>
      </c>
      <c r="E112" s="1" t="e">
        <f>E103+E108</f>
        <v>#REF!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8</v>
      </c>
      <c r="M112" s="1" t="e">
        <f>SUM(E112:L112)</f>
        <v>#REF!</v>
      </c>
      <c r="N112" s="1" t="s">
        <v>182</v>
      </c>
      <c r="O112" s="1" t="e">
        <f>SUM(E112/M112)*100</f>
        <v>#REF!</v>
      </c>
      <c r="P112" s="1" t="e">
        <f>SUM(F112/M112)*100</f>
        <v>#REF!</v>
      </c>
      <c r="Q112" s="1" t="e">
        <f>SUM(G112/M112)*100</f>
        <v>#REF!</v>
      </c>
      <c r="R112" s="1" t="e">
        <f>SUM(H112/M112)*100</f>
        <v>#REF!</v>
      </c>
      <c r="S112" s="1" t="e">
        <f>SUM(I112/M112)*100</f>
        <v>#REF!</v>
      </c>
      <c r="T112" s="1" t="e">
        <f>SUM(J112/M112)*100</f>
        <v>#REF!</v>
      </c>
      <c r="U112" s="1" t="e">
        <f>SUM(K112/M112)*100</f>
        <v>#REF!</v>
      </c>
      <c r="V112" s="1" t="e">
        <f>SUM(L112/M112)*100</f>
        <v>#REF!</v>
      </c>
      <c r="W112" s="1" t="s">
        <v>182</v>
      </c>
      <c r="X112">
        <v>0</v>
      </c>
    </row>
    <row r="113" spans="1:35" x14ac:dyDescent="0.25">
      <c r="B113" s="7"/>
      <c r="N113" s="1" t="s">
        <v>182</v>
      </c>
      <c r="W113" s="1" t="s">
        <v>182</v>
      </c>
    </row>
    <row r="114" spans="1:35" x14ac:dyDescent="0.25">
      <c r="B114" s="7"/>
      <c r="D114" t="s">
        <v>311</v>
      </c>
      <c r="E114" s="1"/>
      <c r="F114" s="1"/>
      <c r="G114" s="1"/>
      <c r="H114" s="1"/>
      <c r="I114" s="1"/>
      <c r="J114" s="1"/>
      <c r="K114" s="1"/>
      <c r="L114" s="1"/>
      <c r="M114" s="1"/>
      <c r="N114" s="1" t="s">
        <v>182</v>
      </c>
      <c r="O114" s="1" t="s">
        <v>312</v>
      </c>
      <c r="P114" s="1" t="s">
        <v>198</v>
      </c>
      <c r="Q114" s="1" t="s">
        <v>198</v>
      </c>
      <c r="R114" s="1"/>
      <c r="S114" s="1"/>
      <c r="T114" s="1"/>
      <c r="U114" s="1"/>
      <c r="V114" s="1" t="s">
        <v>198</v>
      </c>
      <c r="W114" s="1" t="s">
        <v>182</v>
      </c>
    </row>
    <row r="115" spans="1:35" x14ac:dyDescent="0.25">
      <c r="B115" s="7"/>
      <c r="N115" s="1" t="s">
        <v>182</v>
      </c>
      <c r="W115" s="1" t="s">
        <v>182</v>
      </c>
    </row>
    <row r="116" spans="1:35" x14ac:dyDescent="0.25">
      <c r="A116" t="s">
        <v>190</v>
      </c>
      <c r="B116" s="7"/>
      <c r="C116" t="s">
        <v>313</v>
      </c>
      <c r="D116" t="s">
        <v>314</v>
      </c>
      <c r="E116" s="1" t="e">
        <f>E19</f>
        <v>#REF!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 t="e">
        <f>SUM(E116:L116)</f>
        <v>#REF!</v>
      </c>
      <c r="N116" s="1" t="s">
        <v>182</v>
      </c>
      <c r="O116" s="1"/>
      <c r="P116" s="1"/>
      <c r="Q116" s="1"/>
      <c r="R116" s="1"/>
      <c r="S116" s="1"/>
      <c r="T116" s="1"/>
      <c r="U116" s="1"/>
      <c r="V116" s="1"/>
      <c r="W116" s="1"/>
      <c r="X116" s="1">
        <v>0</v>
      </c>
      <c r="Y116">
        <v>0</v>
      </c>
      <c r="Z116">
        <f t="shared" ref="Y116:AF117" si="19">(+P116/100)*$X116</f>
        <v>0</v>
      </c>
      <c r="AA116">
        <f t="shared" si="19"/>
        <v>0</v>
      </c>
      <c r="AB116">
        <f t="shared" si="19"/>
        <v>0</v>
      </c>
      <c r="AC116">
        <f t="shared" si="19"/>
        <v>0</v>
      </c>
      <c r="AD116">
        <f t="shared" si="19"/>
        <v>0</v>
      </c>
      <c r="AE116">
        <f t="shared" si="19"/>
        <v>0</v>
      </c>
      <c r="AF116">
        <f t="shared" si="19"/>
        <v>0</v>
      </c>
    </row>
    <row r="117" spans="1:35" x14ac:dyDescent="0.25">
      <c r="A117" t="s">
        <v>315</v>
      </c>
      <c r="B117" s="7"/>
      <c r="C117" t="s">
        <v>316</v>
      </c>
      <c r="D117" t="s">
        <v>317</v>
      </c>
      <c r="E117" s="33" t="e">
        <f>M117-L117</f>
        <v>#REF!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6">
        <f>YR_HC_RPT!$R$20</f>
        <v>4.446643835616438E-2</v>
      </c>
      <c r="M117" s="6" t="e">
        <f>YR_HC_RPT!$R$13</f>
        <v>#REF!</v>
      </c>
      <c r="N117" s="1" t="s">
        <v>182</v>
      </c>
      <c r="O117" s="1" t="e">
        <f>(E117/M117)*100</f>
        <v>#REF!</v>
      </c>
      <c r="P117" s="1" t="e">
        <f>(F117/M117)*100</f>
        <v>#REF!</v>
      </c>
      <c r="Q117" s="1" t="e">
        <f>(G117/M117)*100</f>
        <v>#REF!</v>
      </c>
      <c r="R117" s="1" t="e">
        <f>SUM(H117/M117)*100</f>
        <v>#REF!</v>
      </c>
      <c r="S117" s="1" t="e">
        <f>SUM(I117/M117)*100</f>
        <v>#REF!</v>
      </c>
      <c r="T117" s="1" t="e">
        <f>SUM(J117/M117)*100</f>
        <v>#REF!</v>
      </c>
      <c r="U117" s="1" t="e">
        <f>SUM(K117/M117)*100</f>
        <v>#REF!</v>
      </c>
      <c r="V117" s="1" t="e">
        <f>SUM(L117/M117)*100</f>
        <v>#REF!</v>
      </c>
      <c r="W117" s="1" t="s">
        <v>182</v>
      </c>
      <c r="X117" s="1">
        <v>0</v>
      </c>
      <c r="Y117" t="e">
        <f t="shared" si="19"/>
        <v>#REF!</v>
      </c>
      <c r="Z117" t="e">
        <f t="shared" si="19"/>
        <v>#REF!</v>
      </c>
      <c r="AA117" t="e">
        <f t="shared" si="19"/>
        <v>#REF!</v>
      </c>
      <c r="AB117" t="e">
        <f t="shared" si="19"/>
        <v>#REF!</v>
      </c>
      <c r="AC117" t="e">
        <f t="shared" si="19"/>
        <v>#REF!</v>
      </c>
      <c r="AD117" t="e">
        <f t="shared" si="19"/>
        <v>#REF!</v>
      </c>
      <c r="AE117" t="e">
        <f t="shared" si="19"/>
        <v>#REF!</v>
      </c>
      <c r="AF117" t="e">
        <f t="shared" si="19"/>
        <v>#REF!</v>
      </c>
    </row>
    <row r="118" spans="1:35" x14ac:dyDescent="0.25">
      <c r="A118" t="s">
        <v>203</v>
      </c>
      <c r="D118" s="1" t="s">
        <v>204</v>
      </c>
      <c r="E118" s="1"/>
      <c r="F118" s="20" t="e">
        <f>#REF!</f>
        <v>#REF!</v>
      </c>
      <c r="G118" s="1"/>
      <c r="H118" s="1"/>
      <c r="I118" s="1"/>
      <c r="J118" s="1"/>
      <c r="K118" s="1"/>
      <c r="L118" s="1"/>
      <c r="M118" s="1" t="e">
        <f>SUM(E118:L118)</f>
        <v>#REF!</v>
      </c>
    </row>
    <row r="119" spans="1:35" x14ac:dyDescent="0.25">
      <c r="A119" t="s">
        <v>216</v>
      </c>
      <c r="B119" s="7">
        <v>243</v>
      </c>
      <c r="C119" t="s">
        <v>318</v>
      </c>
      <c r="D119" t="s">
        <v>319</v>
      </c>
      <c r="E119" s="1" t="e">
        <f>SUM(M119-L119)</f>
        <v>#REF!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6">
        <f>YR_HC_RPT!$R$41</f>
        <v>3.9041095890410958E-2</v>
      </c>
      <c r="M119" s="20" t="e">
        <f>#REF!</f>
        <v>#REF!</v>
      </c>
      <c r="N119" s="1" t="s">
        <v>182</v>
      </c>
      <c r="O119" s="1" t="e">
        <f>(+E119/M119)*100</f>
        <v>#REF!</v>
      </c>
      <c r="P119" s="1" t="e">
        <f t="shared" ref="P119:P130" si="20">SUM(F119/M119)*100</f>
        <v>#REF!</v>
      </c>
      <c r="Q119" s="1" t="e">
        <f t="shared" ref="Q119:Q130" si="21">SUM(G119/M119)*100</f>
        <v>#REF!</v>
      </c>
      <c r="R119" s="1" t="e">
        <f t="shared" ref="R119:R130" si="22">SUM(H119/M119)*100</f>
        <v>#REF!</v>
      </c>
      <c r="S119" s="1" t="e">
        <f t="shared" ref="S119:S130" si="23">SUM(I119/M119)*100</f>
        <v>#REF!</v>
      </c>
      <c r="T119" s="1" t="e">
        <f t="shared" ref="T119:T130" si="24">SUM(J119/M119)*100</f>
        <v>#REF!</v>
      </c>
      <c r="U119" s="1" t="e">
        <f t="shared" ref="U119:U130" si="25">SUM(K119/M119)*100</f>
        <v>#REF!</v>
      </c>
      <c r="V119" s="1" t="e">
        <f t="shared" ref="V119:V130" si="26">SUM(L119/M119)*100</f>
        <v>#REF!</v>
      </c>
      <c r="W119" s="1" t="s">
        <v>182</v>
      </c>
      <c r="X119" s="2">
        <f>4486.79+627.19+561.02</f>
        <v>5675</v>
      </c>
      <c r="Y119" s="2" t="e">
        <f t="shared" ref="Y119:Y130" si="27">(+O119/100)*$X119</f>
        <v>#REF!</v>
      </c>
      <c r="Z119" t="e">
        <f t="shared" ref="Z119:Z130" si="28">(+P119/100)*$X119</f>
        <v>#REF!</v>
      </c>
      <c r="AA119" t="e">
        <f t="shared" ref="AA119:AA130" si="29">(+Q119/100)*$X119</f>
        <v>#REF!</v>
      </c>
      <c r="AB119" t="e">
        <f t="shared" ref="AB119:AB130" si="30">(+R119/100)*$X119</f>
        <v>#REF!</v>
      </c>
      <c r="AC119" t="e">
        <f t="shared" ref="AC119:AC130" si="31">(+S119/100)*$X119</f>
        <v>#REF!</v>
      </c>
      <c r="AD119" t="e">
        <f t="shared" ref="AD119:AD130" si="32">(+T119/100)*$X119</f>
        <v>#REF!</v>
      </c>
      <c r="AE119" t="e">
        <f t="shared" ref="AE119:AE130" si="33">(+U119/100)*$X119</f>
        <v>#REF!</v>
      </c>
      <c r="AF119" t="e">
        <f t="shared" ref="AF119:AF130" si="34">(+V119/100)*$X119</f>
        <v>#REF!</v>
      </c>
    </row>
    <row r="120" spans="1:35" x14ac:dyDescent="0.25">
      <c r="A120" t="s">
        <v>220</v>
      </c>
      <c r="B120" s="7">
        <v>244</v>
      </c>
      <c r="C120" t="s">
        <v>320</v>
      </c>
      <c r="D120" t="s">
        <v>321</v>
      </c>
      <c r="E120" s="6">
        <f>YR_HC_RPT!$R$57</f>
        <v>3.3347567808219183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f>L38-L36</f>
        <v>2.451067585616439</v>
      </c>
      <c r="M120" s="1">
        <f>SUM(E120:L120)</f>
        <v>5.7858243664383568</v>
      </c>
      <c r="N120" s="1" t="s">
        <v>182</v>
      </c>
      <c r="O120" s="1">
        <f>(+E120/M120)*100</f>
        <v>57.636674907827022</v>
      </c>
      <c r="P120" s="1">
        <f t="shared" si="20"/>
        <v>0</v>
      </c>
      <c r="Q120" s="1">
        <f t="shared" si="21"/>
        <v>0</v>
      </c>
      <c r="R120" s="1">
        <f t="shared" si="22"/>
        <v>0</v>
      </c>
      <c r="S120" s="1">
        <f t="shared" si="23"/>
        <v>0</v>
      </c>
      <c r="T120" s="1">
        <f t="shared" si="24"/>
        <v>0</v>
      </c>
      <c r="U120" s="1">
        <f t="shared" si="25"/>
        <v>0</v>
      </c>
      <c r="V120" s="1">
        <f t="shared" si="26"/>
        <v>42.363325092172985</v>
      </c>
      <c r="W120" s="1" t="s">
        <v>182</v>
      </c>
      <c r="X120" s="2">
        <f>609.44+195.5</f>
        <v>804.94</v>
      </c>
      <c r="Y120" s="2">
        <f t="shared" si="27"/>
        <v>463.9406510030629</v>
      </c>
      <c r="Z120">
        <f t="shared" si="28"/>
        <v>0</v>
      </c>
      <c r="AA120">
        <f t="shared" si="29"/>
        <v>0</v>
      </c>
      <c r="AB120">
        <f t="shared" si="30"/>
        <v>0</v>
      </c>
      <c r="AC120">
        <f t="shared" si="31"/>
        <v>0</v>
      </c>
      <c r="AD120">
        <f t="shared" si="32"/>
        <v>0</v>
      </c>
      <c r="AE120">
        <f t="shared" si="33"/>
        <v>0</v>
      </c>
      <c r="AF120">
        <f t="shared" si="34"/>
        <v>340.99934899693727</v>
      </c>
    </row>
    <row r="121" spans="1:35" x14ac:dyDescent="0.25">
      <c r="A121" t="s">
        <v>270</v>
      </c>
      <c r="B121" s="7">
        <v>191</v>
      </c>
      <c r="C121" t="s">
        <v>322</v>
      </c>
      <c r="D121" t="s">
        <v>323</v>
      </c>
      <c r="E121" s="1" t="e">
        <f>SUM(M121-L121)</f>
        <v>#REF!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6">
        <f>YR_HC_RPT!$R$109</f>
        <v>2.8424657534246573E-2</v>
      </c>
      <c r="M121" s="6" t="e">
        <f>YR_HC_RPT!$R$106</f>
        <v>#REF!</v>
      </c>
      <c r="N121" s="1" t="s">
        <v>182</v>
      </c>
      <c r="O121" s="1" t="e">
        <f>(+E121/M121)*100</f>
        <v>#REF!</v>
      </c>
      <c r="P121" s="1" t="e">
        <f t="shared" si="20"/>
        <v>#REF!</v>
      </c>
      <c r="Q121" s="1" t="e">
        <f t="shared" si="21"/>
        <v>#REF!</v>
      </c>
      <c r="R121" s="1" t="e">
        <f t="shared" si="22"/>
        <v>#REF!</v>
      </c>
      <c r="S121" s="1" t="e">
        <f t="shared" si="23"/>
        <v>#REF!</v>
      </c>
      <c r="T121" s="1" t="e">
        <f t="shared" si="24"/>
        <v>#REF!</v>
      </c>
      <c r="U121" s="1" t="e">
        <f t="shared" si="25"/>
        <v>#REF!</v>
      </c>
      <c r="V121" s="1" t="e">
        <f t="shared" si="26"/>
        <v>#REF!</v>
      </c>
      <c r="W121" s="1" t="s">
        <v>182</v>
      </c>
      <c r="X121" s="2">
        <f>6322.68+324.57+356.3</f>
        <v>7003.55</v>
      </c>
      <c r="Y121" s="2" t="e">
        <f t="shared" si="27"/>
        <v>#REF!</v>
      </c>
      <c r="Z121" t="e">
        <f t="shared" si="28"/>
        <v>#REF!</v>
      </c>
      <c r="AA121" t="e">
        <f t="shared" si="29"/>
        <v>#REF!</v>
      </c>
      <c r="AB121" t="e">
        <f t="shared" si="30"/>
        <v>#REF!</v>
      </c>
      <c r="AC121" t="e">
        <f t="shared" si="31"/>
        <v>#REF!</v>
      </c>
      <c r="AD121" t="e">
        <f t="shared" si="32"/>
        <v>#REF!</v>
      </c>
      <c r="AE121" t="e">
        <f t="shared" si="33"/>
        <v>#REF!</v>
      </c>
      <c r="AF121" t="e">
        <f t="shared" si="34"/>
        <v>#REF!</v>
      </c>
    </row>
    <row r="122" spans="1:35" x14ac:dyDescent="0.25">
      <c r="A122" t="s">
        <v>302</v>
      </c>
      <c r="B122" s="7">
        <v>231</v>
      </c>
      <c r="C122" t="s">
        <v>324</v>
      </c>
      <c r="D122" t="s">
        <v>325</v>
      </c>
      <c r="E122" s="1" t="e">
        <f>SUM(M122-L122)</f>
        <v>#REF!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6" t="e">
        <f>YR_HC_RPT!$R$130</f>
        <v>#REF!</v>
      </c>
      <c r="M122" s="20" t="e">
        <f>#REF!</f>
        <v>#REF!</v>
      </c>
      <c r="N122" s="1" t="s">
        <v>182</v>
      </c>
      <c r="O122" s="1" t="e">
        <f>(+E122/M122)*100</f>
        <v>#REF!</v>
      </c>
      <c r="P122" s="1" t="e">
        <f t="shared" si="20"/>
        <v>#REF!</v>
      </c>
      <c r="Q122" s="1" t="e">
        <f t="shared" si="21"/>
        <v>#REF!</v>
      </c>
      <c r="R122" s="1" t="e">
        <f t="shared" si="22"/>
        <v>#REF!</v>
      </c>
      <c r="S122" s="1" t="e">
        <f t="shared" si="23"/>
        <v>#REF!</v>
      </c>
      <c r="T122" s="1" t="e">
        <f t="shared" si="24"/>
        <v>#REF!</v>
      </c>
      <c r="U122" s="1" t="e">
        <f t="shared" si="25"/>
        <v>#REF!</v>
      </c>
      <c r="V122" s="1" t="e">
        <f t="shared" si="26"/>
        <v>#REF!</v>
      </c>
      <c r="W122" s="1" t="s">
        <v>182</v>
      </c>
      <c r="X122" s="2">
        <f>3277.77+2850.65+2127.05</f>
        <v>8255.4700000000012</v>
      </c>
      <c r="Y122" s="2" t="e">
        <f t="shared" si="27"/>
        <v>#REF!</v>
      </c>
      <c r="Z122" t="e">
        <f t="shared" si="28"/>
        <v>#REF!</v>
      </c>
      <c r="AA122" t="e">
        <f t="shared" si="29"/>
        <v>#REF!</v>
      </c>
      <c r="AB122" t="e">
        <f t="shared" si="30"/>
        <v>#REF!</v>
      </c>
      <c r="AC122" t="e">
        <f t="shared" si="31"/>
        <v>#REF!</v>
      </c>
      <c r="AD122" t="e">
        <f t="shared" si="32"/>
        <v>#REF!</v>
      </c>
      <c r="AE122" t="e">
        <f t="shared" si="33"/>
        <v>#REF!</v>
      </c>
      <c r="AF122" t="e">
        <f t="shared" si="34"/>
        <v>#REF!</v>
      </c>
    </row>
    <row r="123" spans="1:35" x14ac:dyDescent="0.25">
      <c r="A123" t="s">
        <v>307</v>
      </c>
      <c r="B123" s="7">
        <v>241</v>
      </c>
      <c r="C123" t="s">
        <v>326</v>
      </c>
      <c r="D123" t="s">
        <v>327</v>
      </c>
      <c r="E123" s="20" t="e">
        <f>#REF!</f>
        <v>#REF!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 t="e">
        <f>SUM(E123:L123)</f>
        <v>#REF!</v>
      </c>
      <c r="N123" s="1" t="s">
        <v>182</v>
      </c>
      <c r="O123" s="1" t="e">
        <f t="shared" ref="O123:O130" si="35">SUM(E123/M123)*100</f>
        <v>#REF!</v>
      </c>
      <c r="P123" s="1" t="e">
        <f t="shared" si="20"/>
        <v>#REF!</v>
      </c>
      <c r="Q123" s="1" t="e">
        <f t="shared" si="21"/>
        <v>#REF!</v>
      </c>
      <c r="R123" s="1" t="e">
        <f t="shared" si="22"/>
        <v>#REF!</v>
      </c>
      <c r="S123" s="1" t="e">
        <f t="shared" si="23"/>
        <v>#REF!</v>
      </c>
      <c r="T123" s="1" t="e">
        <f t="shared" si="24"/>
        <v>#REF!</v>
      </c>
      <c r="U123" s="1" t="e">
        <f t="shared" si="25"/>
        <v>#REF!</v>
      </c>
      <c r="V123" s="1" t="e">
        <f t="shared" si="26"/>
        <v>#REF!</v>
      </c>
      <c r="W123" s="1" t="s">
        <v>182</v>
      </c>
      <c r="X123">
        <v>18756.84</v>
      </c>
      <c r="Y123" t="e">
        <f t="shared" si="27"/>
        <v>#REF!</v>
      </c>
      <c r="Z123" t="e">
        <f t="shared" si="28"/>
        <v>#REF!</v>
      </c>
      <c r="AA123" t="e">
        <f t="shared" si="29"/>
        <v>#REF!</v>
      </c>
      <c r="AB123" t="e">
        <f t="shared" si="30"/>
        <v>#REF!</v>
      </c>
      <c r="AC123" t="e">
        <f t="shared" si="31"/>
        <v>#REF!</v>
      </c>
      <c r="AD123" t="e">
        <f t="shared" si="32"/>
        <v>#REF!</v>
      </c>
      <c r="AE123" t="e">
        <f t="shared" si="33"/>
        <v>#REF!</v>
      </c>
      <c r="AF123" t="e">
        <f t="shared" si="34"/>
        <v>#REF!</v>
      </c>
    </row>
    <row r="124" spans="1:35" x14ac:dyDescent="0.25">
      <c r="A124" t="s">
        <v>307</v>
      </c>
      <c r="B124" s="7">
        <v>241</v>
      </c>
      <c r="C124" t="s">
        <v>328</v>
      </c>
      <c r="D124" t="s">
        <v>329</v>
      </c>
      <c r="E124" s="20" t="e">
        <f>#REF!</f>
        <v>#REF!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 t="e">
        <f>SUM(E124:L124)</f>
        <v>#REF!</v>
      </c>
      <c r="N124" s="1" t="s">
        <v>182</v>
      </c>
      <c r="O124" s="1" t="e">
        <f t="shared" si="35"/>
        <v>#REF!</v>
      </c>
      <c r="P124" s="1" t="e">
        <f t="shared" si="20"/>
        <v>#REF!</v>
      </c>
      <c r="Q124" s="1" t="e">
        <f t="shared" si="21"/>
        <v>#REF!</v>
      </c>
      <c r="R124" s="1" t="e">
        <f t="shared" si="22"/>
        <v>#REF!</v>
      </c>
      <c r="S124" s="1" t="e">
        <f t="shared" si="23"/>
        <v>#REF!</v>
      </c>
      <c r="T124" s="1" t="e">
        <f t="shared" si="24"/>
        <v>#REF!</v>
      </c>
      <c r="U124" s="1" t="e">
        <f t="shared" si="25"/>
        <v>#REF!</v>
      </c>
      <c r="V124" s="1" t="e">
        <f t="shared" si="26"/>
        <v>#REF!</v>
      </c>
      <c r="W124" s="1" t="s">
        <v>182</v>
      </c>
      <c r="X124">
        <v>0</v>
      </c>
      <c r="Y124" t="e">
        <f t="shared" si="27"/>
        <v>#REF!</v>
      </c>
      <c r="Z124" t="e">
        <f t="shared" si="28"/>
        <v>#REF!</v>
      </c>
      <c r="AA124" t="e">
        <f t="shared" si="29"/>
        <v>#REF!</v>
      </c>
      <c r="AB124" t="e">
        <f t="shared" si="30"/>
        <v>#REF!</v>
      </c>
      <c r="AC124" t="e">
        <f t="shared" si="31"/>
        <v>#REF!</v>
      </c>
      <c r="AD124" t="e">
        <f t="shared" si="32"/>
        <v>#REF!</v>
      </c>
      <c r="AE124" t="e">
        <f t="shared" si="33"/>
        <v>#REF!</v>
      </c>
      <c r="AF124" t="e">
        <f t="shared" si="34"/>
        <v>#REF!</v>
      </c>
    </row>
    <row r="125" spans="1:35" x14ac:dyDescent="0.25">
      <c r="A125" t="s">
        <v>307</v>
      </c>
      <c r="B125" s="7">
        <v>241</v>
      </c>
      <c r="C125" t="s">
        <v>330</v>
      </c>
      <c r="D125" t="s">
        <v>331</v>
      </c>
      <c r="E125" s="20" t="e">
        <f>#REF!</f>
        <v>#REF!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 t="e">
        <f>SUM(E125:L125)</f>
        <v>#REF!</v>
      </c>
      <c r="N125" s="1" t="s">
        <v>182</v>
      </c>
      <c r="O125" s="1" t="e">
        <f t="shared" si="35"/>
        <v>#REF!</v>
      </c>
      <c r="P125" s="1" t="e">
        <f t="shared" si="20"/>
        <v>#REF!</v>
      </c>
      <c r="Q125" s="1" t="e">
        <f t="shared" si="21"/>
        <v>#REF!</v>
      </c>
      <c r="R125" s="1" t="e">
        <f t="shared" si="22"/>
        <v>#REF!</v>
      </c>
      <c r="S125" s="1" t="e">
        <f t="shared" si="23"/>
        <v>#REF!</v>
      </c>
      <c r="T125" s="1" t="e">
        <f t="shared" si="24"/>
        <v>#REF!</v>
      </c>
      <c r="U125" s="1" t="e">
        <f t="shared" si="25"/>
        <v>#REF!</v>
      </c>
      <c r="V125" s="1" t="e">
        <f t="shared" si="26"/>
        <v>#REF!</v>
      </c>
      <c r="W125" s="1" t="s">
        <v>182</v>
      </c>
      <c r="X125">
        <v>1203.99</v>
      </c>
      <c r="Y125" t="e">
        <f t="shared" si="27"/>
        <v>#REF!</v>
      </c>
      <c r="Z125" t="e">
        <f t="shared" si="28"/>
        <v>#REF!</v>
      </c>
      <c r="AA125" t="e">
        <f t="shared" si="29"/>
        <v>#REF!</v>
      </c>
      <c r="AB125" t="e">
        <f t="shared" si="30"/>
        <v>#REF!</v>
      </c>
      <c r="AC125" t="e">
        <f t="shared" si="31"/>
        <v>#REF!</v>
      </c>
      <c r="AD125" t="e">
        <f t="shared" si="32"/>
        <v>#REF!</v>
      </c>
      <c r="AE125" t="e">
        <f t="shared" si="33"/>
        <v>#REF!</v>
      </c>
      <c r="AF125" t="e">
        <f t="shared" si="34"/>
        <v>#REF!</v>
      </c>
      <c r="AH125" s="1"/>
      <c r="AI125" s="1"/>
    </row>
    <row r="126" spans="1:35" x14ac:dyDescent="0.25">
      <c r="A126" t="s">
        <v>285</v>
      </c>
      <c r="B126" s="7">
        <v>247</v>
      </c>
      <c r="C126" t="s">
        <v>332</v>
      </c>
      <c r="D126" t="s">
        <v>333</v>
      </c>
      <c r="E126" s="1" t="e">
        <f>E91</f>
        <v>#REF!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 t="e">
        <f>M126-E126</f>
        <v>#REF!</v>
      </c>
      <c r="M126" s="22">
        <f>E183/365</f>
        <v>15.520000000000001</v>
      </c>
      <c r="N126" s="1" t="s">
        <v>182</v>
      </c>
      <c r="O126" s="1" t="e">
        <f t="shared" si="35"/>
        <v>#REF!</v>
      </c>
      <c r="P126" s="1">
        <f t="shared" si="20"/>
        <v>0</v>
      </c>
      <c r="Q126" s="1">
        <f t="shared" si="21"/>
        <v>0</v>
      </c>
      <c r="R126" s="1">
        <f t="shared" si="22"/>
        <v>0</v>
      </c>
      <c r="S126" s="1">
        <f t="shared" si="23"/>
        <v>0</v>
      </c>
      <c r="T126" s="1">
        <f t="shared" si="24"/>
        <v>0</v>
      </c>
      <c r="U126" s="1">
        <f t="shared" si="25"/>
        <v>0</v>
      </c>
      <c r="V126" s="1" t="e">
        <f t="shared" si="26"/>
        <v>#REF!</v>
      </c>
      <c r="W126" s="1" t="s">
        <v>182</v>
      </c>
      <c r="X126">
        <v>0</v>
      </c>
      <c r="Y126" t="e">
        <f t="shared" si="27"/>
        <v>#REF!</v>
      </c>
      <c r="Z126">
        <f t="shared" si="28"/>
        <v>0</v>
      </c>
      <c r="AA126">
        <f t="shared" si="29"/>
        <v>0</v>
      </c>
      <c r="AB126">
        <f t="shared" si="30"/>
        <v>0</v>
      </c>
      <c r="AC126">
        <f t="shared" si="31"/>
        <v>0</v>
      </c>
      <c r="AD126">
        <f t="shared" si="32"/>
        <v>0</v>
      </c>
      <c r="AE126">
        <f t="shared" si="33"/>
        <v>0</v>
      </c>
      <c r="AF126" t="e">
        <f t="shared" si="34"/>
        <v>#REF!</v>
      </c>
      <c r="AH126" s="1"/>
      <c r="AI126" s="1"/>
    </row>
    <row r="127" spans="1:35" x14ac:dyDescent="0.25">
      <c r="A127" t="s">
        <v>275</v>
      </c>
      <c r="B127" s="7">
        <v>248</v>
      </c>
      <c r="C127" t="s">
        <v>334</v>
      </c>
      <c r="D127" t="s">
        <v>335</v>
      </c>
      <c r="E127" s="1" t="e">
        <f>M127-L127</f>
        <v>#REF!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6" t="e">
        <f>YR_HC_RPT!$R$78</f>
        <v>#REF!</v>
      </c>
      <c r="M127" s="20" t="e">
        <f>#REF!</f>
        <v>#REF!</v>
      </c>
      <c r="N127" s="1" t="s">
        <v>182</v>
      </c>
      <c r="O127" s="1" t="e">
        <f t="shared" si="35"/>
        <v>#REF!</v>
      </c>
      <c r="P127" s="1" t="e">
        <f t="shared" si="20"/>
        <v>#REF!</v>
      </c>
      <c r="Q127" s="1" t="e">
        <f t="shared" si="21"/>
        <v>#REF!</v>
      </c>
      <c r="R127" s="1" t="e">
        <f t="shared" si="22"/>
        <v>#REF!</v>
      </c>
      <c r="S127" s="1" t="e">
        <f t="shared" si="23"/>
        <v>#REF!</v>
      </c>
      <c r="T127" s="1" t="e">
        <f t="shared" si="24"/>
        <v>#REF!</v>
      </c>
      <c r="U127" s="1" t="e">
        <f t="shared" si="25"/>
        <v>#REF!</v>
      </c>
      <c r="V127" s="1" t="e">
        <f t="shared" si="26"/>
        <v>#REF!</v>
      </c>
      <c r="W127" s="1" t="s">
        <v>182</v>
      </c>
      <c r="X127">
        <f>3129.97+470.01+1080.31</f>
        <v>4680.2899999999991</v>
      </c>
      <c r="Y127" s="2" t="e">
        <f t="shared" si="27"/>
        <v>#REF!</v>
      </c>
      <c r="Z127" t="e">
        <f t="shared" si="28"/>
        <v>#REF!</v>
      </c>
      <c r="AA127" t="e">
        <f t="shared" si="29"/>
        <v>#REF!</v>
      </c>
      <c r="AB127" t="e">
        <f t="shared" si="30"/>
        <v>#REF!</v>
      </c>
      <c r="AC127" t="e">
        <f t="shared" si="31"/>
        <v>#REF!</v>
      </c>
      <c r="AD127" t="e">
        <f t="shared" si="32"/>
        <v>#REF!</v>
      </c>
      <c r="AE127" t="e">
        <f t="shared" si="33"/>
        <v>#REF!</v>
      </c>
      <c r="AF127" t="e">
        <f t="shared" si="34"/>
        <v>#REF!</v>
      </c>
      <c r="AH127" s="1"/>
      <c r="AI127" s="1"/>
    </row>
    <row r="128" spans="1:35" x14ac:dyDescent="0.25">
      <c r="A128" t="s">
        <v>275</v>
      </c>
      <c r="B128" s="7">
        <v>249</v>
      </c>
      <c r="C128" t="s">
        <v>336</v>
      </c>
      <c r="D128" t="s">
        <v>337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 t="e">
        <f>M128</f>
        <v>#REF!</v>
      </c>
      <c r="M128" s="20" t="e">
        <f>#REF!</f>
        <v>#REF!</v>
      </c>
      <c r="N128" s="1" t="s">
        <v>182</v>
      </c>
      <c r="O128" s="1" t="e">
        <f t="shared" si="35"/>
        <v>#REF!</v>
      </c>
      <c r="P128" s="1" t="e">
        <f t="shared" si="20"/>
        <v>#REF!</v>
      </c>
      <c r="Q128" s="1" t="e">
        <f t="shared" si="21"/>
        <v>#REF!</v>
      </c>
      <c r="R128" s="1" t="e">
        <f t="shared" si="22"/>
        <v>#REF!</v>
      </c>
      <c r="S128" s="1" t="e">
        <f t="shared" si="23"/>
        <v>#REF!</v>
      </c>
      <c r="T128" s="1" t="e">
        <f t="shared" si="24"/>
        <v>#REF!</v>
      </c>
      <c r="U128" s="1" t="e">
        <f t="shared" si="25"/>
        <v>#REF!</v>
      </c>
      <c r="V128" s="1" t="e">
        <f t="shared" si="26"/>
        <v>#REF!</v>
      </c>
      <c r="W128" s="1" t="s">
        <v>182</v>
      </c>
      <c r="X128">
        <v>0</v>
      </c>
      <c r="Y128" t="e">
        <f t="shared" si="27"/>
        <v>#REF!</v>
      </c>
      <c r="Z128" t="e">
        <f t="shared" si="28"/>
        <v>#REF!</v>
      </c>
      <c r="AA128" t="e">
        <f t="shared" si="29"/>
        <v>#REF!</v>
      </c>
      <c r="AB128" t="e">
        <f t="shared" si="30"/>
        <v>#REF!</v>
      </c>
      <c r="AC128" t="e">
        <f t="shared" si="31"/>
        <v>#REF!</v>
      </c>
      <c r="AD128" t="e">
        <f t="shared" si="32"/>
        <v>#REF!</v>
      </c>
      <c r="AE128" t="e">
        <f t="shared" si="33"/>
        <v>#REF!</v>
      </c>
      <c r="AF128" t="e">
        <f t="shared" si="34"/>
        <v>#REF!</v>
      </c>
    </row>
    <row r="129" spans="1:35" x14ac:dyDescent="0.25">
      <c r="A129" t="s">
        <v>302</v>
      </c>
      <c r="B129" s="7">
        <v>249</v>
      </c>
      <c r="C129" t="s">
        <v>338</v>
      </c>
      <c r="D129" t="s">
        <v>339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33" t="e">
        <f xml:space="preserve"> M129</f>
        <v>#REF!</v>
      </c>
      <c r="M129" s="20" t="e">
        <f>#REF!</f>
        <v>#REF!</v>
      </c>
      <c r="N129" s="1" t="s">
        <v>182</v>
      </c>
      <c r="O129" s="1" t="e">
        <f t="shared" si="35"/>
        <v>#REF!</v>
      </c>
      <c r="P129" s="1" t="e">
        <f t="shared" si="20"/>
        <v>#REF!</v>
      </c>
      <c r="Q129" s="1" t="e">
        <f t="shared" si="21"/>
        <v>#REF!</v>
      </c>
      <c r="R129" s="1" t="e">
        <f t="shared" si="22"/>
        <v>#REF!</v>
      </c>
      <c r="S129" s="1" t="e">
        <f t="shared" si="23"/>
        <v>#REF!</v>
      </c>
      <c r="T129" s="1" t="e">
        <f t="shared" si="24"/>
        <v>#REF!</v>
      </c>
      <c r="U129" s="1" t="e">
        <f t="shared" si="25"/>
        <v>#REF!</v>
      </c>
      <c r="V129" s="1" t="e">
        <f t="shared" si="26"/>
        <v>#REF!</v>
      </c>
      <c r="W129" s="1" t="s">
        <v>182</v>
      </c>
      <c r="X129">
        <f>2254.94+285.8+885.13</f>
        <v>3425.8700000000003</v>
      </c>
      <c r="Y129" t="e">
        <f t="shared" si="27"/>
        <v>#REF!</v>
      </c>
      <c r="Z129" t="e">
        <f t="shared" si="28"/>
        <v>#REF!</v>
      </c>
      <c r="AA129" t="e">
        <f t="shared" si="29"/>
        <v>#REF!</v>
      </c>
      <c r="AB129" t="e">
        <f t="shared" si="30"/>
        <v>#REF!</v>
      </c>
      <c r="AC129" t="e">
        <f t="shared" si="31"/>
        <v>#REF!</v>
      </c>
      <c r="AD129" t="e">
        <f t="shared" si="32"/>
        <v>#REF!</v>
      </c>
      <c r="AE129" t="e">
        <f t="shared" si="33"/>
        <v>#REF!</v>
      </c>
      <c r="AF129" t="e">
        <f t="shared" si="34"/>
        <v>#REF!</v>
      </c>
    </row>
    <row r="130" spans="1:35" x14ac:dyDescent="0.25">
      <c r="A130" t="s">
        <v>302</v>
      </c>
      <c r="B130" s="7">
        <v>249</v>
      </c>
      <c r="C130" t="s">
        <v>340</v>
      </c>
      <c r="D130" t="s">
        <v>341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 t="e">
        <f>M130</f>
        <v>#REF!</v>
      </c>
      <c r="M130" s="20" t="e">
        <f>#REF!</f>
        <v>#REF!</v>
      </c>
      <c r="N130" s="1" t="s">
        <v>182</v>
      </c>
      <c r="O130" s="1" t="e">
        <f t="shared" si="35"/>
        <v>#REF!</v>
      </c>
      <c r="P130" s="1" t="e">
        <f t="shared" si="20"/>
        <v>#REF!</v>
      </c>
      <c r="Q130" s="1" t="e">
        <f t="shared" si="21"/>
        <v>#REF!</v>
      </c>
      <c r="R130" s="1" t="e">
        <f t="shared" si="22"/>
        <v>#REF!</v>
      </c>
      <c r="S130" s="1" t="e">
        <f t="shared" si="23"/>
        <v>#REF!</v>
      </c>
      <c r="T130" s="1" t="e">
        <f t="shared" si="24"/>
        <v>#REF!</v>
      </c>
      <c r="U130" s="1" t="e">
        <f t="shared" si="25"/>
        <v>#REF!</v>
      </c>
      <c r="V130" s="1" t="e">
        <f t="shared" si="26"/>
        <v>#REF!</v>
      </c>
      <c r="W130" s="1" t="s">
        <v>182</v>
      </c>
      <c r="X130">
        <v>356.3</v>
      </c>
      <c r="Y130" t="e">
        <f t="shared" si="27"/>
        <v>#REF!</v>
      </c>
      <c r="Z130" t="e">
        <f t="shared" si="28"/>
        <v>#REF!</v>
      </c>
      <c r="AA130" t="e">
        <f t="shared" si="29"/>
        <v>#REF!</v>
      </c>
      <c r="AB130" t="e">
        <f t="shared" si="30"/>
        <v>#REF!</v>
      </c>
      <c r="AC130" t="e">
        <f t="shared" si="31"/>
        <v>#REF!</v>
      </c>
      <c r="AD130" t="e">
        <f t="shared" si="32"/>
        <v>#REF!</v>
      </c>
      <c r="AE130" t="e">
        <f t="shared" si="33"/>
        <v>#REF!</v>
      </c>
      <c r="AF130" t="e">
        <f t="shared" si="34"/>
        <v>#REF!</v>
      </c>
    </row>
    <row r="131" spans="1:35" x14ac:dyDescent="0.25">
      <c r="B131" s="7"/>
      <c r="C131" t="s">
        <v>342</v>
      </c>
      <c r="D131" t="s">
        <v>343</v>
      </c>
      <c r="N131" s="1" t="s">
        <v>182</v>
      </c>
      <c r="W131" s="1" t="s">
        <v>182</v>
      </c>
    </row>
    <row r="132" spans="1:35" x14ac:dyDescent="0.25">
      <c r="B132" s="7"/>
      <c r="F132" s="1"/>
      <c r="G132" s="1"/>
      <c r="H132" s="1"/>
      <c r="I132" s="1"/>
      <c r="J132" s="1"/>
      <c r="K132" s="1"/>
      <c r="L132" s="1"/>
      <c r="M132" s="1"/>
      <c r="N132" s="1" t="s">
        <v>182</v>
      </c>
      <c r="O132" s="1"/>
      <c r="P132" s="1"/>
      <c r="Q132" s="1"/>
      <c r="R132" s="1"/>
      <c r="S132" s="1"/>
      <c r="T132" s="1"/>
      <c r="U132" s="1"/>
      <c r="V132" s="1"/>
      <c r="W132" s="1" t="s">
        <v>182</v>
      </c>
    </row>
    <row r="133" spans="1:35" x14ac:dyDescent="0.25">
      <c r="A133" t="s">
        <v>344</v>
      </c>
      <c r="B133" s="7"/>
      <c r="D133" t="s">
        <v>345</v>
      </c>
      <c r="E133" s="1"/>
      <c r="F133" s="1"/>
      <c r="G133" s="1"/>
      <c r="H133" s="1"/>
      <c r="I133" s="1"/>
      <c r="J133" s="1"/>
      <c r="K133" s="1"/>
      <c r="L133" s="1"/>
      <c r="M133" s="1"/>
      <c r="N133" s="1" t="s">
        <v>182</v>
      </c>
      <c r="O133" s="1" t="s">
        <v>198</v>
      </c>
      <c r="P133" s="1" t="s">
        <v>198</v>
      </c>
      <c r="Q133" s="1" t="s">
        <v>198</v>
      </c>
      <c r="R133" s="1"/>
      <c r="S133" s="1"/>
      <c r="T133" s="1"/>
      <c r="U133" s="1"/>
      <c r="V133" s="1" t="s">
        <v>198</v>
      </c>
      <c r="W133" s="1" t="s">
        <v>182</v>
      </c>
    </row>
    <row r="134" spans="1:35" x14ac:dyDescent="0.25">
      <c r="B134" s="7">
        <v>261</v>
      </c>
      <c r="C134" t="s">
        <v>346</v>
      </c>
      <c r="D134" t="s">
        <v>347</v>
      </c>
      <c r="E134" s="1" t="e">
        <f>E$62+E$63+0.17</f>
        <v>#REF!</v>
      </c>
      <c r="F134" s="1" t="e">
        <f>F$10+F$25</f>
        <v>#REF!</v>
      </c>
      <c r="G134" s="1" t="e">
        <f t="shared" ref="G134:K135" si="36">G$10</f>
        <v>#REF!</v>
      </c>
      <c r="H134" s="1" t="e">
        <f t="shared" si="36"/>
        <v>#REF!</v>
      </c>
      <c r="I134" s="1" t="e">
        <f t="shared" si="36"/>
        <v>#REF!</v>
      </c>
      <c r="J134" s="1">
        <f t="shared" si="36"/>
        <v>1.3032600000000004E-2</v>
      </c>
      <c r="K134" s="1">
        <f t="shared" si="36"/>
        <v>4.9841999999999997E-2</v>
      </c>
      <c r="L134" s="1" t="e">
        <f>L67</f>
        <v>#REF!</v>
      </c>
      <c r="M134" s="1" t="e">
        <f>SUM(E134:L134)</f>
        <v>#REF!</v>
      </c>
      <c r="N134" s="1" t="s">
        <v>182</v>
      </c>
      <c r="O134" s="1" t="e">
        <f>SUM(E134/M134)*100</f>
        <v>#REF!</v>
      </c>
      <c r="P134" s="1" t="e">
        <f>SUM(F134/M134)*100</f>
        <v>#REF!</v>
      </c>
      <c r="Q134" s="1" t="e">
        <f>SUM(G134/M134)*100</f>
        <v>#REF!</v>
      </c>
      <c r="R134" s="1" t="e">
        <f>SUM(H134/M134)*100</f>
        <v>#REF!</v>
      </c>
      <c r="S134" s="1" t="e">
        <f>SUM(I134/M134)*100</f>
        <v>#REF!</v>
      </c>
      <c r="T134" s="1" t="e">
        <f>SUM(J134/M134)*100</f>
        <v>#REF!</v>
      </c>
      <c r="U134" s="1" t="e">
        <f>SUM(K134/M134)*100</f>
        <v>#REF!</v>
      </c>
      <c r="V134" s="1" t="e">
        <f>SUM(L134/M134)*100</f>
        <v>#REF!</v>
      </c>
      <c r="W134" s="1" t="s">
        <v>182</v>
      </c>
      <c r="X134">
        <f>451275.32+145255.43+84110.83+48548.51</f>
        <v>729190.09</v>
      </c>
      <c r="Y134" t="e">
        <f t="shared" ref="Y134:AF135" si="37">(+O134/100)*$X134</f>
        <v>#REF!</v>
      </c>
      <c r="Z134" t="e">
        <f t="shared" si="37"/>
        <v>#REF!</v>
      </c>
      <c r="AA134" t="e">
        <f t="shared" si="37"/>
        <v>#REF!</v>
      </c>
      <c r="AB134" t="e">
        <f t="shared" si="37"/>
        <v>#REF!</v>
      </c>
      <c r="AC134" t="e">
        <f t="shared" si="37"/>
        <v>#REF!</v>
      </c>
      <c r="AD134" t="e">
        <f t="shared" si="37"/>
        <v>#REF!</v>
      </c>
      <c r="AE134" t="e">
        <f t="shared" si="37"/>
        <v>#REF!</v>
      </c>
      <c r="AF134" t="e">
        <f t="shared" si="37"/>
        <v>#REF!</v>
      </c>
      <c r="AH134">
        <v>63</v>
      </c>
      <c r="AI134">
        <v>31</v>
      </c>
    </row>
    <row r="135" spans="1:35" x14ac:dyDescent="0.25">
      <c r="B135" s="7">
        <v>261</v>
      </c>
      <c r="D135" t="s">
        <v>348</v>
      </c>
      <c r="E135" s="1" t="e">
        <f>E$62+E$63+0.17</f>
        <v>#REF!</v>
      </c>
      <c r="F135" s="1" t="e">
        <f>F$10+F$25</f>
        <v>#REF!</v>
      </c>
      <c r="G135" s="1" t="e">
        <f t="shared" si="36"/>
        <v>#REF!</v>
      </c>
      <c r="H135" s="1" t="e">
        <f t="shared" si="36"/>
        <v>#REF!</v>
      </c>
      <c r="I135" s="1" t="e">
        <f t="shared" si="36"/>
        <v>#REF!</v>
      </c>
      <c r="J135" s="1">
        <f t="shared" si="36"/>
        <v>1.3032600000000004E-2</v>
      </c>
      <c r="K135" s="1">
        <f t="shared" si="36"/>
        <v>4.9841999999999997E-2</v>
      </c>
      <c r="L135" s="1" t="e">
        <f>L67</f>
        <v>#REF!</v>
      </c>
      <c r="M135" s="1" t="e">
        <f>SUM(E135:L135)</f>
        <v>#REF!</v>
      </c>
      <c r="N135" s="1" t="s">
        <v>182</v>
      </c>
      <c r="O135" s="1" t="e">
        <f>SUM(E135/M135)*100</f>
        <v>#REF!</v>
      </c>
      <c r="P135" s="1" t="e">
        <f>SUM(F135/M135)*100</f>
        <v>#REF!</v>
      </c>
      <c r="Q135" s="1" t="e">
        <f>SUM(G135/M135)*100</f>
        <v>#REF!</v>
      </c>
      <c r="R135" s="1" t="e">
        <f>SUM(H135/M135)*100</f>
        <v>#REF!</v>
      </c>
      <c r="S135" s="1" t="e">
        <f>SUM(I135/M135)*100</f>
        <v>#REF!</v>
      </c>
      <c r="T135" s="1" t="e">
        <f>SUM(J135/M135)*100</f>
        <v>#REF!</v>
      </c>
      <c r="U135" s="1" t="e">
        <f>SUM(K135/M135)*100</f>
        <v>#REF!</v>
      </c>
      <c r="V135" s="1" t="e">
        <f>SUM(L135/M135)*100</f>
        <v>#REF!</v>
      </c>
      <c r="W135" s="1" t="s">
        <v>182</v>
      </c>
      <c r="X135">
        <v>34629.97</v>
      </c>
      <c r="Y135" t="e">
        <f t="shared" si="37"/>
        <v>#REF!</v>
      </c>
      <c r="Z135" t="e">
        <f t="shared" si="37"/>
        <v>#REF!</v>
      </c>
      <c r="AA135" t="e">
        <f t="shared" si="37"/>
        <v>#REF!</v>
      </c>
      <c r="AB135" t="e">
        <f t="shared" si="37"/>
        <v>#REF!</v>
      </c>
      <c r="AC135" t="e">
        <f t="shared" si="37"/>
        <v>#REF!</v>
      </c>
      <c r="AD135" t="e">
        <f t="shared" si="37"/>
        <v>#REF!</v>
      </c>
      <c r="AE135" t="e">
        <f t="shared" si="37"/>
        <v>#REF!</v>
      </c>
      <c r="AF135" t="e">
        <f t="shared" si="37"/>
        <v>#REF!</v>
      </c>
    </row>
    <row r="136" spans="1:35" x14ac:dyDescent="0.25">
      <c r="B136" s="7"/>
      <c r="E136" s="1"/>
      <c r="F136" s="1"/>
      <c r="G136" s="1"/>
      <c r="H136" s="1"/>
      <c r="I136" s="1"/>
      <c r="J136" s="1"/>
      <c r="K136" s="1"/>
      <c r="L136" s="1"/>
      <c r="M136" s="1"/>
      <c r="N136" s="1" t="s">
        <v>182</v>
      </c>
      <c r="O136" s="1"/>
      <c r="P136" s="1"/>
      <c r="Q136" s="1"/>
      <c r="R136" s="1"/>
      <c r="S136" s="1"/>
      <c r="T136" s="1"/>
      <c r="U136" s="1"/>
      <c r="V136" s="1"/>
      <c r="W136" s="1" t="s">
        <v>182</v>
      </c>
    </row>
    <row r="137" spans="1:35" x14ac:dyDescent="0.25">
      <c r="A137" t="s">
        <v>349</v>
      </c>
      <c r="B137" s="7"/>
      <c r="D137" t="s">
        <v>350</v>
      </c>
      <c r="E137" s="1"/>
      <c r="F137" s="1"/>
      <c r="G137" s="1"/>
      <c r="H137" s="1"/>
      <c r="I137" s="1"/>
      <c r="J137" s="1"/>
      <c r="K137" s="1"/>
      <c r="L137" s="1"/>
      <c r="M137" s="1"/>
      <c r="N137" s="1" t="s">
        <v>182</v>
      </c>
      <c r="O137" s="1" t="s">
        <v>198</v>
      </c>
      <c r="P137" s="1" t="s">
        <v>198</v>
      </c>
      <c r="Q137" s="1" t="s">
        <v>198</v>
      </c>
      <c r="R137" s="1"/>
      <c r="S137" s="1"/>
      <c r="T137" s="1"/>
      <c r="U137" s="1"/>
      <c r="V137" s="1" t="s">
        <v>198</v>
      </c>
      <c r="W137" s="1" t="s">
        <v>182</v>
      </c>
    </row>
    <row r="138" spans="1:35" x14ac:dyDescent="0.25">
      <c r="B138" s="7">
        <v>262</v>
      </c>
      <c r="C138" t="s">
        <v>351</v>
      </c>
      <c r="D138" t="s">
        <v>347</v>
      </c>
      <c r="E138" s="1" t="e">
        <f>E126</f>
        <v>#REF!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 t="e">
        <f>L126</f>
        <v>#REF!</v>
      </c>
      <c r="M138" s="1">
        <f>M126</f>
        <v>15.520000000000001</v>
      </c>
      <c r="N138" s="1" t="s">
        <v>182</v>
      </c>
      <c r="O138" s="1" t="e">
        <f>SUM(E138/M138)*100</f>
        <v>#REF!</v>
      </c>
      <c r="P138" s="1">
        <f>SUM(F138/M138)*100</f>
        <v>0</v>
      </c>
      <c r="Q138" s="1">
        <f>SUM(G138/M138)*100</f>
        <v>0</v>
      </c>
      <c r="R138" s="1">
        <f>SUM(H138/M138)*100</f>
        <v>0</v>
      </c>
      <c r="S138" s="1">
        <f>SUM(I138/M138)*100</f>
        <v>0</v>
      </c>
      <c r="T138" s="1">
        <f>SUM(J138/M138)*100</f>
        <v>0</v>
      </c>
      <c r="U138" s="1">
        <f>SUM(K138/M138)*100</f>
        <v>0</v>
      </c>
      <c r="V138" s="1" t="e">
        <f>SUM(L138/M138)*100</f>
        <v>#REF!</v>
      </c>
      <c r="W138" s="1" t="s">
        <v>182</v>
      </c>
      <c r="X138">
        <f>45904.16+1588.84+36562.41+27125.08</f>
        <v>111180.49</v>
      </c>
      <c r="Y138" t="e">
        <f t="shared" ref="Y138:AF138" si="38">(+O138/100)*$X138</f>
        <v>#REF!</v>
      </c>
      <c r="Z138">
        <f t="shared" si="38"/>
        <v>0</v>
      </c>
      <c r="AA138">
        <f t="shared" si="38"/>
        <v>0</v>
      </c>
      <c r="AB138">
        <f t="shared" si="38"/>
        <v>0</v>
      </c>
      <c r="AC138">
        <f t="shared" si="38"/>
        <v>0</v>
      </c>
      <c r="AD138">
        <f t="shared" si="38"/>
        <v>0</v>
      </c>
      <c r="AE138">
        <f t="shared" si="38"/>
        <v>0</v>
      </c>
      <c r="AF138" t="e">
        <f t="shared" si="38"/>
        <v>#REF!</v>
      </c>
    </row>
    <row r="139" spans="1:35" x14ac:dyDescent="0.25">
      <c r="B139" s="7"/>
      <c r="N139" s="1" t="s">
        <v>182</v>
      </c>
      <c r="W139" s="1" t="s">
        <v>182</v>
      </c>
    </row>
    <row r="140" spans="1:35" x14ac:dyDescent="0.25">
      <c r="A140" t="s">
        <v>352</v>
      </c>
      <c r="B140" s="7"/>
      <c r="D140" t="s">
        <v>353</v>
      </c>
      <c r="N140" s="1" t="s">
        <v>182</v>
      </c>
      <c r="W140" s="1" t="s">
        <v>182</v>
      </c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5" x14ac:dyDescent="0.25">
      <c r="B141" s="7">
        <v>263</v>
      </c>
      <c r="C141" t="s">
        <v>354</v>
      </c>
      <c r="D141" t="s">
        <v>355</v>
      </c>
      <c r="E141" s="6">
        <f>YR_HC_RPT!$R$91</f>
        <v>0.29837705479452059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f>SUM(M141-E141)</f>
        <v>0.97817089041095895</v>
      </c>
      <c r="M141" s="22">
        <f>E186/365</f>
        <v>1.2765479452054795</v>
      </c>
      <c r="N141" s="1" t="s">
        <v>182</v>
      </c>
      <c r="O141" s="1">
        <f>SUM(E141/M141)*100</f>
        <v>23.373744473537368</v>
      </c>
      <c r="P141" s="1">
        <f>SUM(F141/M141)*100</f>
        <v>0</v>
      </c>
      <c r="Q141" s="1">
        <f>SUM(G141/M141)*100</f>
        <v>0</v>
      </c>
      <c r="R141" s="1">
        <f>SUM(H141/M141)*100</f>
        <v>0</v>
      </c>
      <c r="S141" s="1">
        <f>SUM(I141/M141)*100</f>
        <v>0</v>
      </c>
      <c r="T141" s="1">
        <f>SUM(J141/M141)*100</f>
        <v>0</v>
      </c>
      <c r="U141" s="1">
        <f>SUM(K141/M141)*100</f>
        <v>0</v>
      </c>
      <c r="V141" s="1">
        <f>SUM(L141/M141)*100</f>
        <v>76.626255526462629</v>
      </c>
      <c r="W141" s="1" t="s">
        <v>182</v>
      </c>
      <c r="X141">
        <f>33023.84+932.2+20487.16+20024.63</f>
        <v>74467.83</v>
      </c>
      <c r="Y141">
        <f t="shared" ref="Y141:AF141" si="39">(+O141/100)*$X141</f>
        <v>17405.920299188201</v>
      </c>
      <c r="Z141">
        <f t="shared" si="39"/>
        <v>0</v>
      </c>
      <c r="AA141">
        <f t="shared" si="39"/>
        <v>0</v>
      </c>
      <c r="AB141">
        <f t="shared" si="39"/>
        <v>0</v>
      </c>
      <c r="AC141">
        <f t="shared" si="39"/>
        <v>0</v>
      </c>
      <c r="AD141">
        <f t="shared" si="39"/>
        <v>0</v>
      </c>
      <c r="AE141">
        <f t="shared" si="39"/>
        <v>0</v>
      </c>
      <c r="AF141">
        <f t="shared" si="39"/>
        <v>57061.909700811797</v>
      </c>
    </row>
    <row r="142" spans="1:35" x14ac:dyDescent="0.25">
      <c r="B142" s="7"/>
      <c r="N142" s="1" t="s">
        <v>182</v>
      </c>
      <c r="W142" s="1" t="s">
        <v>182</v>
      </c>
    </row>
    <row r="143" spans="1:35" x14ac:dyDescent="0.25">
      <c r="A143" t="s">
        <v>356</v>
      </c>
      <c r="B143" s="7"/>
      <c r="D143" t="s">
        <v>357</v>
      </c>
      <c r="N143" s="1" t="s">
        <v>182</v>
      </c>
      <c r="W143" s="1" t="s">
        <v>182</v>
      </c>
    </row>
    <row r="144" spans="1:35" x14ac:dyDescent="0.25">
      <c r="B144" s="7">
        <v>264</v>
      </c>
      <c r="C144" t="s">
        <v>358</v>
      </c>
      <c r="D144" t="s">
        <v>355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22">
        <f>E185/365</f>
        <v>6.1520547945205477</v>
      </c>
      <c r="M144" s="1">
        <f>SUM(E144:L144)</f>
        <v>6.1520547945205477</v>
      </c>
      <c r="N144" s="1" t="s">
        <v>182</v>
      </c>
      <c r="O144" s="1">
        <f>SUM(E144/M144)*100</f>
        <v>0</v>
      </c>
      <c r="P144" s="1">
        <f>SUM(F144/M144)*100</f>
        <v>0</v>
      </c>
      <c r="Q144" s="1">
        <f>SUM(G144/M144)*100</f>
        <v>0</v>
      </c>
      <c r="R144" s="1">
        <f>SUM(H144/M144)*100</f>
        <v>0</v>
      </c>
      <c r="S144" s="1">
        <f>SUM(I144/M144)*100</f>
        <v>0</v>
      </c>
      <c r="T144" s="1">
        <f>SUM(J144/M144)*100</f>
        <v>0</v>
      </c>
      <c r="U144" s="1">
        <f>SUM(K144/M144)*100</f>
        <v>0</v>
      </c>
      <c r="V144" s="1">
        <f>SUM(L144/M144)*100</f>
        <v>100</v>
      </c>
      <c r="W144" s="1" t="s">
        <v>182</v>
      </c>
      <c r="X144">
        <f>19593.97+1614.38+26021.89+8815.85</f>
        <v>56046.090000000004</v>
      </c>
      <c r="Y144">
        <f t="shared" ref="Y144:AF144" si="40">(+O144/100)*$X144</f>
        <v>0</v>
      </c>
      <c r="Z144">
        <f t="shared" si="40"/>
        <v>0</v>
      </c>
      <c r="AA144">
        <f t="shared" si="40"/>
        <v>0</v>
      </c>
      <c r="AB144">
        <f t="shared" si="40"/>
        <v>0</v>
      </c>
      <c r="AC144">
        <f t="shared" si="40"/>
        <v>0</v>
      </c>
      <c r="AD144">
        <f t="shared" si="40"/>
        <v>0</v>
      </c>
      <c r="AE144">
        <f t="shared" si="40"/>
        <v>0</v>
      </c>
      <c r="AF144">
        <f t="shared" si="40"/>
        <v>56046.090000000004</v>
      </c>
    </row>
    <row r="145" spans="1:32" x14ac:dyDescent="0.25">
      <c r="B145" s="7"/>
      <c r="N145" s="1" t="s">
        <v>182</v>
      </c>
      <c r="W145" s="1" t="s">
        <v>182</v>
      </c>
    </row>
    <row r="146" spans="1:32" x14ac:dyDescent="0.25">
      <c r="A146" t="s">
        <v>359</v>
      </c>
      <c r="B146" s="7"/>
      <c r="D146" t="s">
        <v>360</v>
      </c>
      <c r="E146" s="1"/>
      <c r="F146" s="1"/>
      <c r="G146" s="1"/>
      <c r="H146" s="1"/>
      <c r="I146" s="1"/>
      <c r="J146" s="1"/>
      <c r="K146" s="1"/>
      <c r="L146" s="1"/>
      <c r="M146" s="1"/>
      <c r="N146" s="1" t="s">
        <v>182</v>
      </c>
      <c r="O146" s="1" t="s">
        <v>198</v>
      </c>
      <c r="P146" s="1" t="s">
        <v>198</v>
      </c>
      <c r="Q146" s="1" t="s">
        <v>198</v>
      </c>
      <c r="R146" s="1"/>
      <c r="S146" s="1"/>
      <c r="T146" s="1"/>
      <c r="U146" s="1"/>
      <c r="V146" s="1" t="s">
        <v>198</v>
      </c>
      <c r="W146" s="1" t="s">
        <v>182</v>
      </c>
      <c r="Y146" s="1"/>
      <c r="Z146" s="1"/>
      <c r="AA146" s="1"/>
      <c r="AB146" s="1"/>
      <c r="AC146" s="1"/>
      <c r="AD146" s="1"/>
      <c r="AE146" s="1"/>
      <c r="AF146" s="1"/>
    </row>
    <row r="147" spans="1:32" x14ac:dyDescent="0.25">
      <c r="B147" s="7">
        <v>270</v>
      </c>
      <c r="C147" t="s">
        <v>361</v>
      </c>
      <c r="D147" t="s">
        <v>347</v>
      </c>
      <c r="E147" s="1" t="e">
        <f>E$81</f>
        <v>#REF!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 t="e">
        <f>L$81</f>
        <v>#REF!</v>
      </c>
      <c r="M147" s="1" t="e">
        <f>SUM(E147:L147)</f>
        <v>#REF!</v>
      </c>
      <c r="N147" s="1" t="s">
        <v>182</v>
      </c>
      <c r="O147" s="1" t="e">
        <f>SUM(E147/M147)*100</f>
        <v>#REF!</v>
      </c>
      <c r="P147" s="1" t="e">
        <f>SUM(F147/M147)*100</f>
        <v>#REF!</v>
      </c>
      <c r="Q147" s="1" t="e">
        <f>SUM(G147/M147)*100</f>
        <v>#REF!</v>
      </c>
      <c r="R147" s="1" t="e">
        <f>SUM(H147/M147)*100</f>
        <v>#REF!</v>
      </c>
      <c r="S147" s="1" t="e">
        <f>SUM(I147/M147)*100</f>
        <v>#REF!</v>
      </c>
      <c r="T147" s="1" t="e">
        <f>SUM(J147/M147)*100</f>
        <v>#REF!</v>
      </c>
      <c r="U147" s="1" t="e">
        <f>SUM(K147/M147)*100</f>
        <v>#REF!</v>
      </c>
      <c r="V147" s="1" t="e">
        <f>SUM(L147/M147)*100</f>
        <v>#REF!</v>
      </c>
      <c r="W147" s="1" t="s">
        <v>182</v>
      </c>
      <c r="X147">
        <f>829.43+103.34+28.63+90.82</f>
        <v>1052.22</v>
      </c>
      <c r="Y147" t="e">
        <f t="shared" ref="Y147:AF147" si="41">(+O147/100)*$X147</f>
        <v>#REF!</v>
      </c>
      <c r="Z147" t="e">
        <f t="shared" si="41"/>
        <v>#REF!</v>
      </c>
      <c r="AA147" t="e">
        <f t="shared" si="41"/>
        <v>#REF!</v>
      </c>
      <c r="AB147" t="e">
        <f t="shared" si="41"/>
        <v>#REF!</v>
      </c>
      <c r="AC147" t="e">
        <f t="shared" si="41"/>
        <v>#REF!</v>
      </c>
      <c r="AD147" t="e">
        <f t="shared" si="41"/>
        <v>#REF!</v>
      </c>
      <c r="AE147" t="e">
        <f t="shared" si="41"/>
        <v>#REF!</v>
      </c>
      <c r="AF147" t="e">
        <f t="shared" si="41"/>
        <v>#REF!</v>
      </c>
    </row>
    <row r="148" spans="1:32" x14ac:dyDescent="0.25">
      <c r="B148" s="7"/>
      <c r="N148" s="1" t="s">
        <v>182</v>
      </c>
      <c r="W148" s="1" t="s">
        <v>182</v>
      </c>
    </row>
    <row r="149" spans="1:32" x14ac:dyDescent="0.25">
      <c r="A149" t="s">
        <v>362</v>
      </c>
      <c r="B149" s="7"/>
      <c r="D149" t="s">
        <v>363</v>
      </c>
      <c r="N149" s="1" t="s">
        <v>182</v>
      </c>
      <c r="W149" s="1" t="s">
        <v>182</v>
      </c>
    </row>
    <row r="150" spans="1:32" x14ac:dyDescent="0.25">
      <c r="B150" s="7">
        <v>271</v>
      </c>
      <c r="C150" t="s">
        <v>364</v>
      </c>
      <c r="D150" t="s">
        <v>347</v>
      </c>
      <c r="E150" s="1" t="e">
        <f>E$93</f>
        <v>#REF!</v>
      </c>
      <c r="F150" s="1" t="e">
        <f>F$10+F$25</f>
        <v>#REF!</v>
      </c>
      <c r="G150" s="1" t="e">
        <f>G$10</f>
        <v>#REF!</v>
      </c>
      <c r="H150" s="1" t="e">
        <f>H$10</f>
        <v>#REF!</v>
      </c>
      <c r="I150" s="1" t="e">
        <f>I$10</f>
        <v>#REF!</v>
      </c>
      <c r="J150" s="1">
        <f>J$10</f>
        <v>1.3032600000000004E-2</v>
      </c>
      <c r="K150" s="1">
        <f>K$10</f>
        <v>4.9841999999999997E-2</v>
      </c>
      <c r="L150" s="1" t="e">
        <f>L$67+L$96</f>
        <v>#REF!</v>
      </c>
      <c r="M150" s="1" t="e">
        <f>SUM(E150:L150)</f>
        <v>#REF!</v>
      </c>
      <c r="N150" s="1" t="s">
        <v>182</v>
      </c>
      <c r="O150" s="1" t="e">
        <f>SUM(E150/M150)*100</f>
        <v>#REF!</v>
      </c>
      <c r="P150" s="1" t="e">
        <f>SUM(F150/M150)*100</f>
        <v>#REF!</v>
      </c>
      <c r="Q150" s="1" t="e">
        <f>SUM(G150/M150)*100</f>
        <v>#REF!</v>
      </c>
      <c r="R150" s="1" t="e">
        <f>SUM(H150/M150)*100</f>
        <v>#REF!</v>
      </c>
      <c r="S150" s="1" t="e">
        <f>SUM(I150/M150)*100</f>
        <v>#REF!</v>
      </c>
      <c r="T150" s="1" t="e">
        <f>SUM(J150/M150)*100</f>
        <v>#REF!</v>
      </c>
      <c r="U150" s="1" t="e">
        <f>SUM(K150/M150)*100</f>
        <v>#REF!</v>
      </c>
      <c r="V150" s="1" t="e">
        <f>SUM(L150/M150)*100</f>
        <v>#REF!</v>
      </c>
      <c r="W150" s="1" t="s">
        <v>182</v>
      </c>
      <c r="X150">
        <f>690+194.58+160.2</f>
        <v>1044.78</v>
      </c>
      <c r="Y150" t="e">
        <f t="shared" ref="Y150:AF150" si="42">(+O150/100)*$X150</f>
        <v>#REF!</v>
      </c>
      <c r="Z150" t="e">
        <f t="shared" si="42"/>
        <v>#REF!</v>
      </c>
      <c r="AA150" t="e">
        <f t="shared" si="42"/>
        <v>#REF!</v>
      </c>
      <c r="AB150" t="e">
        <f t="shared" si="42"/>
        <v>#REF!</v>
      </c>
      <c r="AC150" t="e">
        <f t="shared" si="42"/>
        <v>#REF!</v>
      </c>
      <c r="AD150" t="e">
        <f t="shared" si="42"/>
        <v>#REF!</v>
      </c>
      <c r="AE150" t="e">
        <f t="shared" si="42"/>
        <v>#REF!</v>
      </c>
      <c r="AF150" t="e">
        <f t="shared" si="42"/>
        <v>#REF!</v>
      </c>
    </row>
    <row r="151" spans="1:32" x14ac:dyDescent="0.25">
      <c r="B151" s="7"/>
      <c r="E151" s="1"/>
      <c r="F151" s="1"/>
      <c r="G151" s="1"/>
      <c r="H151" s="1"/>
      <c r="I151" s="1"/>
      <c r="J151" s="1"/>
      <c r="K151" s="1"/>
      <c r="L151" s="1"/>
      <c r="M151" s="1"/>
      <c r="N151" s="1" t="s">
        <v>182</v>
      </c>
      <c r="O151" s="1" t="s">
        <v>198</v>
      </c>
      <c r="P151" s="1" t="s">
        <v>198</v>
      </c>
      <c r="Q151" s="1" t="s">
        <v>198</v>
      </c>
      <c r="R151" s="1"/>
      <c r="S151" s="1"/>
      <c r="T151" s="1"/>
      <c r="U151" s="1"/>
      <c r="V151" s="1" t="s">
        <v>198</v>
      </c>
      <c r="W151" s="1" t="s">
        <v>182</v>
      </c>
    </row>
    <row r="152" spans="1:32" x14ac:dyDescent="0.25">
      <c r="A152" t="s">
        <v>365</v>
      </c>
      <c r="B152" s="7"/>
      <c r="D152" t="s">
        <v>366</v>
      </c>
      <c r="E152" s="1"/>
      <c r="F152" s="1"/>
      <c r="G152" s="1"/>
      <c r="H152" s="1"/>
      <c r="I152" s="1"/>
      <c r="J152" s="1"/>
      <c r="K152" s="1"/>
      <c r="L152" s="1"/>
      <c r="M152" s="1"/>
      <c r="N152" s="1" t="s">
        <v>182</v>
      </c>
      <c r="O152" s="1"/>
      <c r="P152" s="1"/>
      <c r="Q152" s="1"/>
      <c r="R152" s="1"/>
      <c r="S152" s="1"/>
      <c r="T152" s="1"/>
      <c r="U152" s="1"/>
      <c r="V152" s="1"/>
      <c r="W152" s="1" t="s">
        <v>182</v>
      </c>
    </row>
    <row r="153" spans="1:32" x14ac:dyDescent="0.25">
      <c r="B153" s="7"/>
      <c r="D153" t="s">
        <v>355</v>
      </c>
      <c r="E153" s="1" t="e">
        <f>E$97+E$112</f>
        <v>#REF!</v>
      </c>
      <c r="F153" s="1" t="e">
        <f>F$10+F$25</f>
        <v>#REF!</v>
      </c>
      <c r="G153" s="1" t="e">
        <f t="shared" ref="G153:K155" si="43">G$10</f>
        <v>#REF!</v>
      </c>
      <c r="H153" s="1" t="e">
        <f t="shared" si="43"/>
        <v>#REF!</v>
      </c>
      <c r="I153" s="1" t="e">
        <f t="shared" si="43"/>
        <v>#REF!</v>
      </c>
      <c r="J153" s="1">
        <f t="shared" si="43"/>
        <v>1.3032600000000004E-2</v>
      </c>
      <c r="K153" s="1">
        <f t="shared" si="43"/>
        <v>4.9841999999999997E-2</v>
      </c>
      <c r="L153" s="1" t="e">
        <f>L96+L97+L111+L112</f>
        <v>#REF!</v>
      </c>
      <c r="M153" s="1" t="e">
        <f>SUM(E153:L153)</f>
        <v>#REF!</v>
      </c>
      <c r="N153" s="1" t="s">
        <v>182</v>
      </c>
      <c r="O153" s="1" t="e">
        <f>SUM(E153/M153)*100</f>
        <v>#REF!</v>
      </c>
      <c r="P153" s="1" t="e">
        <f>SUM(F153/M153)*100</f>
        <v>#REF!</v>
      </c>
      <c r="Q153" s="1" t="e">
        <f>SUM(G153/M153)*100</f>
        <v>#REF!</v>
      </c>
      <c r="R153" s="1" t="e">
        <f>SUM(H153/M153)*100</f>
        <v>#REF!</v>
      </c>
      <c r="S153" s="1" t="e">
        <f>SUM(I153/M153)*100</f>
        <v>#REF!</v>
      </c>
      <c r="T153" s="1" t="e">
        <f>SUM(J153/M153)*100</f>
        <v>#REF!</v>
      </c>
      <c r="U153" s="1" t="e">
        <f>SUM(K153/M153)*100</f>
        <v>#REF!</v>
      </c>
      <c r="V153" s="1" t="e">
        <f>SUM(L153/M153)*100</f>
        <v>#REF!</v>
      </c>
      <c r="W153" s="1" t="s">
        <v>182</v>
      </c>
      <c r="X153">
        <f>46084320.54+4040292.07+10681.84+4227039.3-4421568.17-240788.7-27777.92</f>
        <v>49672198.959999993</v>
      </c>
      <c r="Y153" t="e">
        <f t="shared" ref="Y153:AF155" si="44">(+O153/100)*$X153</f>
        <v>#REF!</v>
      </c>
      <c r="Z153" t="e">
        <f t="shared" si="44"/>
        <v>#REF!</v>
      </c>
      <c r="AA153" t="e">
        <f t="shared" si="44"/>
        <v>#REF!</v>
      </c>
      <c r="AB153" t="e">
        <f t="shared" si="44"/>
        <v>#REF!</v>
      </c>
      <c r="AC153" t="e">
        <f t="shared" si="44"/>
        <v>#REF!</v>
      </c>
      <c r="AD153" t="e">
        <f t="shared" si="44"/>
        <v>#REF!</v>
      </c>
      <c r="AE153" t="e">
        <f t="shared" si="44"/>
        <v>#REF!</v>
      </c>
      <c r="AF153" t="e">
        <f t="shared" si="44"/>
        <v>#REF!</v>
      </c>
    </row>
    <row r="154" spans="1:32" x14ac:dyDescent="0.25">
      <c r="B154" s="7"/>
      <c r="D154" t="s">
        <v>348</v>
      </c>
      <c r="E154" s="1" t="e">
        <f>E$97+E$112</f>
        <v>#REF!</v>
      </c>
      <c r="F154" s="1" t="e">
        <f>F$10+F$25</f>
        <v>#REF!</v>
      </c>
      <c r="G154" s="1" t="e">
        <f t="shared" si="43"/>
        <v>#REF!</v>
      </c>
      <c r="H154" s="1" t="e">
        <f t="shared" si="43"/>
        <v>#REF!</v>
      </c>
      <c r="I154" s="1" t="e">
        <f t="shared" si="43"/>
        <v>#REF!</v>
      </c>
      <c r="J154" s="1">
        <f t="shared" si="43"/>
        <v>1.3032600000000004E-2</v>
      </c>
      <c r="K154" s="1">
        <f t="shared" si="43"/>
        <v>4.9841999999999997E-2</v>
      </c>
      <c r="L154" s="1" t="e">
        <f>L153</f>
        <v>#REF!</v>
      </c>
      <c r="M154" s="1" t="e">
        <f>SUM(E154:L154)</f>
        <v>#REF!</v>
      </c>
      <c r="N154" s="1" t="s">
        <v>182</v>
      </c>
      <c r="O154" s="1" t="e">
        <f>SUM(E154/M154)*100</f>
        <v>#REF!</v>
      </c>
      <c r="P154" s="1" t="e">
        <f>SUM(F154/M154)*100</f>
        <v>#REF!</v>
      </c>
      <c r="Q154" s="1" t="e">
        <f>SUM(G154/M154)*100</f>
        <v>#REF!</v>
      </c>
      <c r="R154" s="1" t="e">
        <f>SUM(H154/M154)*100</f>
        <v>#REF!</v>
      </c>
      <c r="S154" s="1" t="e">
        <f>SUM(I154/M154)*100</f>
        <v>#REF!</v>
      </c>
      <c r="T154" s="1" t="e">
        <f>SUM(J154/M154)*100</f>
        <v>#REF!</v>
      </c>
      <c r="U154" s="1" t="e">
        <f>SUM(K154/M154)*100</f>
        <v>#REF!</v>
      </c>
      <c r="V154" s="1" t="e">
        <f>SUM(L154/M154)*100</f>
        <v>#REF!</v>
      </c>
      <c r="W154" s="1" t="s">
        <v>182</v>
      </c>
      <c r="X154">
        <v>599994.69999999995</v>
      </c>
      <c r="Y154" t="e">
        <f t="shared" si="44"/>
        <v>#REF!</v>
      </c>
      <c r="Z154" t="e">
        <f t="shared" si="44"/>
        <v>#REF!</v>
      </c>
      <c r="AA154" t="e">
        <f t="shared" si="44"/>
        <v>#REF!</v>
      </c>
      <c r="AB154" t="e">
        <f t="shared" si="44"/>
        <v>#REF!</v>
      </c>
      <c r="AC154" t="e">
        <f t="shared" si="44"/>
        <v>#REF!</v>
      </c>
      <c r="AD154" t="e">
        <f t="shared" si="44"/>
        <v>#REF!</v>
      </c>
      <c r="AE154" t="e">
        <f t="shared" si="44"/>
        <v>#REF!</v>
      </c>
      <c r="AF154" t="e">
        <f t="shared" si="44"/>
        <v>#REF!</v>
      </c>
    </row>
    <row r="155" spans="1:32" x14ac:dyDescent="0.25">
      <c r="B155" s="7"/>
      <c r="D155" t="s">
        <v>367</v>
      </c>
      <c r="E155" s="1" t="e">
        <f>E$97+E$112</f>
        <v>#REF!</v>
      </c>
      <c r="F155" s="1" t="e">
        <f>F$10+F$25</f>
        <v>#REF!</v>
      </c>
      <c r="G155" s="1" t="e">
        <f t="shared" si="43"/>
        <v>#REF!</v>
      </c>
      <c r="H155" s="1" t="e">
        <f t="shared" si="43"/>
        <v>#REF!</v>
      </c>
      <c r="I155" s="1" t="e">
        <f t="shared" si="43"/>
        <v>#REF!</v>
      </c>
      <c r="J155" s="1">
        <f t="shared" si="43"/>
        <v>1.3032600000000004E-2</v>
      </c>
      <c r="K155" s="1">
        <f t="shared" si="43"/>
        <v>4.9841999999999997E-2</v>
      </c>
      <c r="L155" s="1" t="e">
        <f>L153</f>
        <v>#REF!</v>
      </c>
      <c r="M155" s="1" t="e">
        <f>SUM(E155:L155)</f>
        <v>#REF!</v>
      </c>
      <c r="N155" s="1" t="s">
        <v>182</v>
      </c>
      <c r="O155" s="1" t="e">
        <f>SUM(E155/M155)*100</f>
        <v>#REF!</v>
      </c>
      <c r="P155" s="1" t="e">
        <f>SUM(F155/M155)*100</f>
        <v>#REF!</v>
      </c>
      <c r="Q155" s="1" t="e">
        <f>SUM(G155/M155)*100</f>
        <v>#REF!</v>
      </c>
      <c r="R155" s="1" t="e">
        <f>SUM(H155/M155)*100</f>
        <v>#REF!</v>
      </c>
      <c r="S155" s="1" t="e">
        <f>SUM(I155/M155)*100</f>
        <v>#REF!</v>
      </c>
      <c r="T155" s="1" t="e">
        <f>SUM(J155/M155)*100</f>
        <v>#REF!</v>
      </c>
      <c r="U155" s="1" t="e">
        <f>SUM(K155/M155)*100</f>
        <v>#REF!</v>
      </c>
      <c r="V155" s="1" t="e">
        <f>SUM(L155/M155)*100</f>
        <v>#REF!</v>
      </c>
      <c r="W155" s="1" t="s">
        <v>182</v>
      </c>
      <c r="X155">
        <f>15441997.91+541.44+5870.16+5581.1-15789.25</f>
        <v>15438201.359999999</v>
      </c>
      <c r="Y155" t="e">
        <f t="shared" si="44"/>
        <v>#REF!</v>
      </c>
      <c r="Z155" t="e">
        <f t="shared" si="44"/>
        <v>#REF!</v>
      </c>
      <c r="AA155" t="e">
        <f t="shared" si="44"/>
        <v>#REF!</v>
      </c>
      <c r="AB155" t="e">
        <f t="shared" si="44"/>
        <v>#REF!</v>
      </c>
      <c r="AC155" t="e">
        <f t="shared" si="44"/>
        <v>#REF!</v>
      </c>
      <c r="AD155" t="e">
        <f t="shared" si="44"/>
        <v>#REF!</v>
      </c>
      <c r="AE155" t="e">
        <f t="shared" si="44"/>
        <v>#REF!</v>
      </c>
      <c r="AF155" t="e">
        <f t="shared" si="44"/>
        <v>#REF!</v>
      </c>
    </row>
    <row r="156" spans="1:32" x14ac:dyDescent="0.25">
      <c r="B156" s="7"/>
      <c r="D156" t="s">
        <v>368</v>
      </c>
      <c r="E156" s="1"/>
      <c r="F156" s="1"/>
      <c r="G156" s="1"/>
      <c r="H156" s="1"/>
      <c r="I156" s="1"/>
      <c r="J156" s="1"/>
      <c r="K156" s="1"/>
      <c r="L156" s="1"/>
      <c r="M156" s="34">
        <v>1.7697500000000002</v>
      </c>
      <c r="N156" s="1" t="s">
        <v>182</v>
      </c>
      <c r="O156" s="1"/>
      <c r="P156" s="1"/>
      <c r="Q156" s="1"/>
      <c r="R156" s="1"/>
      <c r="S156" s="1"/>
      <c r="T156" s="1"/>
      <c r="U156" s="1"/>
      <c r="V156" s="1"/>
      <c r="W156" s="1" t="s">
        <v>182</v>
      </c>
    </row>
    <row r="157" spans="1:32" x14ac:dyDescent="0.25">
      <c r="B157" s="7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32" x14ac:dyDescent="0.25">
      <c r="B158" s="7"/>
      <c r="D158" t="s">
        <v>369</v>
      </c>
      <c r="E158" s="1"/>
      <c r="F158" s="1"/>
      <c r="G158" s="1"/>
      <c r="H158" s="1"/>
      <c r="I158" s="1"/>
      <c r="J158" s="1"/>
      <c r="K158" s="1"/>
      <c r="L158" s="1"/>
      <c r="N158" s="1" t="s">
        <v>182</v>
      </c>
      <c r="O158" s="1"/>
      <c r="P158" s="1"/>
      <c r="Q158" s="1"/>
      <c r="R158" s="1"/>
      <c r="S158" s="1"/>
      <c r="T158" s="1"/>
      <c r="U158" s="1"/>
      <c r="V158" s="1"/>
      <c r="W158" s="1" t="s">
        <v>182</v>
      </c>
      <c r="X158">
        <f t="shared" ref="X158:AF158" si="45">SUM(X10:X155)*0.0992</f>
        <v>6663736.9617919987</v>
      </c>
      <c r="Y158" t="e">
        <f t="shared" si="45"/>
        <v>#REF!</v>
      </c>
      <c r="Z158" t="e">
        <f t="shared" si="45"/>
        <v>#REF!</v>
      </c>
      <c r="AA158" t="e">
        <f t="shared" si="45"/>
        <v>#REF!</v>
      </c>
      <c r="AB158" t="e">
        <f t="shared" si="45"/>
        <v>#REF!</v>
      </c>
      <c r="AC158" t="e">
        <f t="shared" si="45"/>
        <v>#REF!</v>
      </c>
      <c r="AD158" t="e">
        <f t="shared" si="45"/>
        <v>#REF!</v>
      </c>
      <c r="AE158" t="e">
        <f t="shared" si="45"/>
        <v>#REF!</v>
      </c>
      <c r="AF158" t="e">
        <f t="shared" si="45"/>
        <v>#REF!</v>
      </c>
    </row>
    <row r="159" spans="1:32" x14ac:dyDescent="0.25">
      <c r="B159" s="7"/>
      <c r="E159" s="1"/>
      <c r="F159" s="1"/>
      <c r="G159" s="1"/>
      <c r="H159" s="1"/>
      <c r="I159" s="1"/>
      <c r="J159" s="1"/>
      <c r="K159" s="1"/>
      <c r="L159" s="1"/>
      <c r="M159" s="1"/>
      <c r="N159" s="1" t="s">
        <v>182</v>
      </c>
      <c r="O159" s="1"/>
      <c r="P159" s="1"/>
      <c r="Q159" s="1"/>
      <c r="R159" s="1"/>
      <c r="S159" s="1"/>
      <c r="T159" s="1"/>
      <c r="U159" s="1"/>
      <c r="V159" s="1"/>
      <c r="W159" s="1" t="s">
        <v>182</v>
      </c>
    </row>
    <row r="160" spans="1:32" x14ac:dyDescent="0.25">
      <c r="B160" s="7"/>
      <c r="C160" t="s">
        <v>370</v>
      </c>
      <c r="D160" t="s">
        <v>371</v>
      </c>
      <c r="E160" s="1" t="e">
        <f>E$97+E$112</f>
        <v>#REF!</v>
      </c>
      <c r="F160" s="1" t="e">
        <f>F$10+F$25</f>
        <v>#REF!</v>
      </c>
      <c r="G160" s="1" t="e">
        <f>G$10</f>
        <v>#REF!</v>
      </c>
      <c r="H160" s="1" t="e">
        <f>H$10</f>
        <v>#REF!</v>
      </c>
      <c r="I160" s="1" t="e">
        <f>I$10</f>
        <v>#REF!</v>
      </c>
      <c r="J160" s="1">
        <f>J$10</f>
        <v>1.3032600000000004E-2</v>
      </c>
      <c r="K160" s="1">
        <f>K$10</f>
        <v>4.9841999999999997E-2</v>
      </c>
      <c r="L160" s="1" t="e">
        <f>L153</f>
        <v>#REF!</v>
      </c>
      <c r="M160" s="1" t="e">
        <f>SUM(E160:L160)</f>
        <v>#REF!</v>
      </c>
      <c r="N160" s="1" t="s">
        <v>182</v>
      </c>
      <c r="O160" s="1" t="e">
        <f>SUM(E160/M160)*100</f>
        <v>#REF!</v>
      </c>
      <c r="P160" s="1" t="e">
        <f>SUM(F160/M160)*100</f>
        <v>#REF!</v>
      </c>
      <c r="Q160" s="1" t="e">
        <f>SUM(G160/M160)*100</f>
        <v>#REF!</v>
      </c>
      <c r="R160" s="1" t="e">
        <f>SUM(H160/M160)*100</f>
        <v>#REF!</v>
      </c>
      <c r="S160" s="1" t="e">
        <f>SUM(I160/M160)*100</f>
        <v>#REF!</v>
      </c>
      <c r="T160" s="1" t="e">
        <f>SUM(J160/M160)*100</f>
        <v>#REF!</v>
      </c>
      <c r="U160" s="1" t="e">
        <f>SUM(K160/M160)*100</f>
        <v>#REF!</v>
      </c>
      <c r="V160" s="1" t="e">
        <f>SUM(L160/M160)*100</f>
        <v>#REF!</v>
      </c>
      <c r="W160" s="1" t="s">
        <v>182</v>
      </c>
      <c r="X160">
        <v>10041829</v>
      </c>
      <c r="Y160" t="e">
        <f t="shared" ref="Y160:AF160" si="46">(+O160/100)*$X160</f>
        <v>#REF!</v>
      </c>
      <c r="Z160" t="e">
        <f t="shared" si="46"/>
        <v>#REF!</v>
      </c>
      <c r="AA160" t="e">
        <f t="shared" si="46"/>
        <v>#REF!</v>
      </c>
      <c r="AB160" t="e">
        <f t="shared" si="46"/>
        <v>#REF!</v>
      </c>
      <c r="AC160" t="e">
        <f t="shared" si="46"/>
        <v>#REF!</v>
      </c>
      <c r="AD160" t="e">
        <f t="shared" si="46"/>
        <v>#REF!</v>
      </c>
      <c r="AE160" t="e">
        <f t="shared" si="46"/>
        <v>#REF!</v>
      </c>
      <c r="AF160" t="e">
        <f t="shared" si="46"/>
        <v>#REF!</v>
      </c>
    </row>
    <row r="161" spans="2:32" x14ac:dyDescent="0.25">
      <c r="B161" s="7"/>
      <c r="E161" s="1"/>
      <c r="F161" s="1"/>
      <c r="G161" s="1"/>
      <c r="H161" s="1"/>
      <c r="I161" s="1"/>
      <c r="J161" s="1"/>
      <c r="K161" s="1"/>
      <c r="L161" s="1"/>
      <c r="M161" s="1"/>
      <c r="N161" s="1" t="s">
        <v>182</v>
      </c>
      <c r="O161" s="1"/>
      <c r="P161" s="1"/>
      <c r="Q161" s="1"/>
      <c r="R161" s="1"/>
      <c r="S161" s="1"/>
      <c r="T161" s="1"/>
      <c r="U161" s="1"/>
      <c r="V161" s="1"/>
      <c r="W161" s="1" t="s">
        <v>182</v>
      </c>
    </row>
    <row r="162" spans="2:32" x14ac:dyDescent="0.25">
      <c r="B162" s="7"/>
      <c r="D162" t="s">
        <v>372</v>
      </c>
      <c r="E162" s="1"/>
      <c r="F162" s="1"/>
      <c r="G162" s="1"/>
      <c r="H162" s="1"/>
      <c r="I162" s="1"/>
      <c r="J162" s="1"/>
      <c r="K162" s="1"/>
      <c r="L162" s="1"/>
      <c r="M162" s="1"/>
      <c r="N162" s="1" t="s">
        <v>182</v>
      </c>
      <c r="O162" s="1"/>
      <c r="P162" s="1"/>
      <c r="Q162" s="1"/>
      <c r="R162" s="1"/>
      <c r="S162" s="1"/>
      <c r="T162" s="1"/>
      <c r="U162" s="1"/>
      <c r="V162" s="1"/>
      <c r="W162" s="1" t="s">
        <v>182</v>
      </c>
      <c r="X162">
        <f t="shared" ref="X162:AF162" si="47">SUM(X10:X155)+X158+X160</f>
        <v>83880333.721791983</v>
      </c>
      <c r="Y162" t="e">
        <f t="shared" si="47"/>
        <v>#REF!</v>
      </c>
      <c r="Z162" t="e">
        <f t="shared" si="47"/>
        <v>#REF!</v>
      </c>
      <c r="AA162" t="e">
        <f t="shared" si="47"/>
        <v>#REF!</v>
      </c>
      <c r="AB162" t="e">
        <f t="shared" si="47"/>
        <v>#REF!</v>
      </c>
      <c r="AC162" t="e">
        <f t="shared" si="47"/>
        <v>#REF!</v>
      </c>
      <c r="AD162" t="e">
        <f t="shared" si="47"/>
        <v>#REF!</v>
      </c>
      <c r="AE162" t="e">
        <f t="shared" si="47"/>
        <v>#REF!</v>
      </c>
      <c r="AF162" t="e">
        <f t="shared" si="47"/>
        <v>#REF!</v>
      </c>
    </row>
    <row r="163" spans="2:32" x14ac:dyDescent="0.25">
      <c r="B163" s="7"/>
      <c r="E163" s="1"/>
      <c r="F163" s="1"/>
      <c r="G163" s="1"/>
      <c r="H163" s="1"/>
      <c r="I163" s="1"/>
      <c r="J163" s="1"/>
      <c r="K163" s="1"/>
      <c r="L163" s="1"/>
      <c r="M163" s="1"/>
      <c r="N163" s="1" t="s">
        <v>182</v>
      </c>
      <c r="O163" s="1"/>
      <c r="P163" s="1"/>
      <c r="Q163" s="1"/>
      <c r="R163" s="1"/>
      <c r="S163" s="1"/>
      <c r="T163" s="1"/>
      <c r="U163" s="1"/>
      <c r="V163" s="1"/>
      <c r="W163" s="1" t="s">
        <v>182</v>
      </c>
    </row>
    <row r="164" spans="2:32" x14ac:dyDescent="0.25">
      <c r="B164" s="7"/>
      <c r="D164" t="s">
        <v>373</v>
      </c>
      <c r="E164" s="1">
        <v>169.6</v>
      </c>
      <c r="F164" s="1">
        <v>31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f>SUM(E164:L164)</f>
        <v>200.6</v>
      </c>
      <c r="N164" s="1" t="s">
        <v>182</v>
      </c>
      <c r="O164" s="1">
        <f>SUM(E164/M164)*100</f>
        <v>84.546360917248251</v>
      </c>
      <c r="P164" s="1">
        <f>SUM(F164/M164)*100</f>
        <v>15.453639082751744</v>
      </c>
      <c r="Q164" s="1">
        <f>SUM(G164/M164)*100</f>
        <v>0</v>
      </c>
      <c r="R164" s="1">
        <f>SUM(H164/M164)*100</f>
        <v>0</v>
      </c>
      <c r="S164" s="1">
        <f>SUM(I164/M164)*100</f>
        <v>0</v>
      </c>
      <c r="T164" s="1">
        <f>SUM(J164/M164)*100</f>
        <v>0</v>
      </c>
      <c r="U164" s="1">
        <f>SUM(K164/M164)*100</f>
        <v>0</v>
      </c>
      <c r="V164" s="1">
        <f>SUM(L164/M164)*100</f>
        <v>0</v>
      </c>
      <c r="W164" s="1" t="s">
        <v>182</v>
      </c>
      <c r="X164">
        <v>1704311</v>
      </c>
      <c r="Y164">
        <f t="shared" ref="Y164:AF164" si="48">(+O164/100)*$X164</f>
        <v>1440932.929212363</v>
      </c>
      <c r="Z164">
        <f t="shared" si="48"/>
        <v>263378.07078763709</v>
      </c>
      <c r="AA164">
        <f t="shared" si="48"/>
        <v>0</v>
      </c>
      <c r="AB164">
        <f t="shared" si="48"/>
        <v>0</v>
      </c>
      <c r="AC164">
        <f t="shared" si="48"/>
        <v>0</v>
      </c>
      <c r="AD164">
        <f t="shared" si="48"/>
        <v>0</v>
      </c>
      <c r="AE164">
        <f t="shared" si="48"/>
        <v>0</v>
      </c>
      <c r="AF164">
        <f t="shared" si="48"/>
        <v>0</v>
      </c>
    </row>
    <row r="165" spans="2:32" x14ac:dyDescent="0.25">
      <c r="B165" s="7"/>
      <c r="E165" s="1"/>
      <c r="F165" s="1"/>
      <c r="G165" s="1"/>
      <c r="H165" s="1"/>
      <c r="I165" s="1"/>
      <c r="J165" s="1"/>
      <c r="K165" s="1"/>
      <c r="L165" s="1"/>
      <c r="M165" s="1"/>
      <c r="N165" s="1" t="s">
        <v>182</v>
      </c>
      <c r="O165" s="1"/>
      <c r="P165" s="1"/>
      <c r="Q165" s="1"/>
      <c r="R165" s="1"/>
      <c r="S165" s="1"/>
      <c r="T165" s="1"/>
      <c r="U165" s="1"/>
      <c r="V165" s="1"/>
      <c r="W165" s="1" t="s">
        <v>182</v>
      </c>
    </row>
    <row r="166" spans="2:32" x14ac:dyDescent="0.25">
      <c r="B166" s="7"/>
      <c r="D166" t="s">
        <v>374</v>
      </c>
      <c r="E166" s="1"/>
      <c r="F166" s="1"/>
      <c r="G166" s="1"/>
      <c r="H166" s="1"/>
      <c r="I166" s="1"/>
      <c r="J166" s="1"/>
      <c r="K166" s="1"/>
      <c r="L166" s="1"/>
      <c r="M166" s="1"/>
      <c r="N166" s="1" t="s">
        <v>182</v>
      </c>
      <c r="O166" s="1">
        <v>100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 t="s">
        <v>182</v>
      </c>
      <c r="X166">
        <v>8235</v>
      </c>
      <c r="Y166">
        <f t="shared" ref="Y166:AF167" si="49">(+O166/100)*$X166</f>
        <v>8235</v>
      </c>
      <c r="Z166">
        <f t="shared" si="49"/>
        <v>0</v>
      </c>
      <c r="AA166">
        <f t="shared" si="49"/>
        <v>0</v>
      </c>
      <c r="AB166">
        <f t="shared" si="49"/>
        <v>0</v>
      </c>
      <c r="AC166">
        <f t="shared" si="49"/>
        <v>0</v>
      </c>
      <c r="AD166">
        <f t="shared" si="49"/>
        <v>0</v>
      </c>
      <c r="AE166">
        <f t="shared" si="49"/>
        <v>0</v>
      </c>
      <c r="AF166">
        <f t="shared" si="49"/>
        <v>0</v>
      </c>
    </row>
    <row r="167" spans="2:32" x14ac:dyDescent="0.25">
      <c r="B167" s="7"/>
      <c r="D167" t="s">
        <v>375</v>
      </c>
      <c r="E167" s="1"/>
      <c r="F167" s="1"/>
      <c r="G167" s="1"/>
      <c r="H167" s="1"/>
      <c r="I167" s="1"/>
      <c r="J167" s="1"/>
      <c r="K167" s="1"/>
      <c r="L167" s="1"/>
      <c r="M167" s="1"/>
      <c r="N167" s="1" t="s">
        <v>182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 t="s">
        <v>182</v>
      </c>
      <c r="X167">
        <v>0</v>
      </c>
      <c r="Y167">
        <f t="shared" si="49"/>
        <v>0</v>
      </c>
      <c r="Z167">
        <f t="shared" si="49"/>
        <v>0</v>
      </c>
      <c r="AA167">
        <f t="shared" si="49"/>
        <v>0</v>
      </c>
      <c r="AB167">
        <f t="shared" si="49"/>
        <v>0</v>
      </c>
      <c r="AC167">
        <f t="shared" si="49"/>
        <v>0</v>
      </c>
      <c r="AD167">
        <f t="shared" si="49"/>
        <v>0</v>
      </c>
      <c r="AE167">
        <f t="shared" si="49"/>
        <v>0</v>
      </c>
      <c r="AF167">
        <f t="shared" si="49"/>
        <v>0</v>
      </c>
    </row>
    <row r="168" spans="2:32" x14ac:dyDescent="0.25">
      <c r="B168" s="7"/>
      <c r="E168" s="1"/>
      <c r="F168" s="1"/>
      <c r="G168" s="1"/>
      <c r="H168" s="1"/>
      <c r="I168" s="1"/>
      <c r="J168" s="1"/>
      <c r="K168" s="1"/>
      <c r="L168" s="1"/>
      <c r="M168" s="1"/>
      <c r="N168" s="1" t="s">
        <v>182</v>
      </c>
      <c r="O168" s="1"/>
      <c r="P168" s="1"/>
      <c r="Q168" s="1"/>
      <c r="R168" s="1"/>
      <c r="S168" s="1"/>
      <c r="T168" s="1"/>
      <c r="U168" s="1"/>
      <c r="V168" s="1"/>
      <c r="W168" s="1" t="s">
        <v>182</v>
      </c>
    </row>
    <row r="169" spans="2:32" x14ac:dyDescent="0.25">
      <c r="B169" s="7"/>
      <c r="D169" t="s">
        <v>376</v>
      </c>
      <c r="E169" s="1"/>
      <c r="F169" s="1"/>
      <c r="G169" s="1"/>
      <c r="H169" s="1"/>
      <c r="I169" s="1"/>
      <c r="J169" s="1"/>
      <c r="K169" s="1"/>
      <c r="L169" s="1"/>
      <c r="M169" s="1"/>
      <c r="N169" s="1" t="s">
        <v>182</v>
      </c>
      <c r="O169" s="1"/>
      <c r="P169" s="1"/>
      <c r="Q169" s="1"/>
      <c r="R169" s="1"/>
      <c r="S169" s="1"/>
      <c r="T169" s="1"/>
      <c r="U169" s="1"/>
      <c r="V169" s="1"/>
      <c r="W169" s="1" t="s">
        <v>182</v>
      </c>
      <c r="X169">
        <f t="shared" ref="X169:AF169" si="50">X162+X164+X166+X167</f>
        <v>85592879.721791983</v>
      </c>
      <c r="Y169" t="e">
        <f t="shared" si="50"/>
        <v>#REF!</v>
      </c>
      <c r="Z169" t="e">
        <f t="shared" si="50"/>
        <v>#REF!</v>
      </c>
      <c r="AA169" t="e">
        <f t="shared" si="50"/>
        <v>#REF!</v>
      </c>
      <c r="AB169" t="e">
        <f t="shared" si="50"/>
        <v>#REF!</v>
      </c>
      <c r="AC169" t="e">
        <f t="shared" si="50"/>
        <v>#REF!</v>
      </c>
      <c r="AD169" t="e">
        <f t="shared" si="50"/>
        <v>#REF!</v>
      </c>
      <c r="AE169" t="e">
        <f t="shared" si="50"/>
        <v>#REF!</v>
      </c>
      <c r="AF169" t="e">
        <f t="shared" si="50"/>
        <v>#REF!</v>
      </c>
    </row>
    <row r="170" spans="2:32" x14ac:dyDescent="0.25">
      <c r="B170" s="7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</row>
    <row r="171" spans="2:32" x14ac:dyDescent="0.25">
      <c r="B171" s="7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X171">
        <f>SUM(X153:X155)</f>
        <v>65710395.019999996</v>
      </c>
    </row>
    <row r="172" spans="2:32" x14ac:dyDescent="0.25">
      <c r="B172" s="7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X172">
        <f>X171*0.0992</f>
        <v>6518471.1859839996</v>
      </c>
    </row>
    <row r="173" spans="2:32" x14ac:dyDescent="0.25">
      <c r="B173" s="7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X173">
        <f>X160</f>
        <v>10041829</v>
      </c>
    </row>
    <row r="174" spans="2:32" x14ac:dyDescent="0.25">
      <c r="B174" s="7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</row>
    <row r="175" spans="2:32" x14ac:dyDescent="0.25">
      <c r="B175" s="7"/>
      <c r="D175" t="s">
        <v>377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X175">
        <f>SUM(X171:X173)</f>
        <v>82270695.205983996</v>
      </c>
    </row>
    <row r="176" spans="2:32" x14ac:dyDescent="0.25">
      <c r="B176" s="7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</row>
    <row r="177" spans="2:22" x14ac:dyDescent="0.25">
      <c r="B177" s="7"/>
      <c r="E177" s="1" t="s">
        <v>378</v>
      </c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</row>
    <row r="178" spans="2:22" x14ac:dyDescent="0.25">
      <c r="B178" s="7"/>
      <c r="D178" s="1" t="s">
        <v>379</v>
      </c>
      <c r="E178" t="s">
        <v>380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</row>
    <row r="179" spans="2:22" x14ac:dyDescent="0.25">
      <c r="B179" s="7"/>
      <c r="D179" s="1"/>
    </row>
    <row r="180" spans="2:22" x14ac:dyDescent="0.25">
      <c r="B180" s="7"/>
      <c r="D180" s="1" t="s">
        <v>381</v>
      </c>
      <c r="E180" s="4">
        <v>21863.8</v>
      </c>
      <c r="F180" s="4"/>
      <c r="I180" s="4">
        <f>E180</f>
        <v>21863.8</v>
      </c>
      <c r="J180" s="1">
        <f>E180/365*0.9804</f>
        <v>58.726765808219177</v>
      </c>
    </row>
    <row r="181" spans="2:22" x14ac:dyDescent="0.25">
      <c r="B181" s="7"/>
      <c r="D181" s="1" t="s">
        <v>382</v>
      </c>
      <c r="E181" s="4">
        <v>2448.6999999999998</v>
      </c>
      <c r="I181" s="4">
        <f>E181</f>
        <v>2448.6999999999998</v>
      </c>
      <c r="J181" s="1">
        <f>E181/365*0.9804</f>
        <v>6.5772752876712328</v>
      </c>
    </row>
    <row r="182" spans="2:22" x14ac:dyDescent="0.25">
      <c r="B182" s="7"/>
      <c r="D182" s="1" t="s">
        <v>383</v>
      </c>
      <c r="E182" s="4">
        <v>45751.06</v>
      </c>
      <c r="J182" s="1">
        <f>E182/365</f>
        <v>125.34536986301369</v>
      </c>
    </row>
    <row r="183" spans="2:22" x14ac:dyDescent="0.25">
      <c r="B183" s="7"/>
      <c r="D183" s="1" t="s">
        <v>384</v>
      </c>
      <c r="E183" s="4">
        <v>5664.8</v>
      </c>
      <c r="J183" s="1">
        <f>E183/365</f>
        <v>15.520000000000001</v>
      </c>
    </row>
    <row r="184" spans="2:22" x14ac:dyDescent="0.25">
      <c r="B184" s="7"/>
      <c r="D184" t="s">
        <v>385</v>
      </c>
      <c r="E184" s="4">
        <v>5452.5</v>
      </c>
      <c r="J184" s="1">
        <f>E184/365</f>
        <v>14.938356164383562</v>
      </c>
      <c r="L184" s="1"/>
    </row>
    <row r="185" spans="2:22" x14ac:dyDescent="0.25">
      <c r="B185" s="7"/>
      <c r="D185" s="35" t="s">
        <v>12</v>
      </c>
      <c r="E185" s="4">
        <v>2245.5</v>
      </c>
      <c r="J185" s="1">
        <f>E185/365</f>
        <v>6.1520547945205477</v>
      </c>
    </row>
    <row r="186" spans="2:22" x14ac:dyDescent="0.25">
      <c r="B186" s="7"/>
      <c r="D186" s="3" t="s">
        <v>386</v>
      </c>
      <c r="E186" s="4">
        <v>465.94</v>
      </c>
      <c r="J186" s="1">
        <f>E186/365</f>
        <v>1.2765479452054795</v>
      </c>
    </row>
    <row r="187" spans="2:22" x14ac:dyDescent="0.25">
      <c r="B187" s="7"/>
      <c r="D187" s="36" t="s">
        <v>387</v>
      </c>
      <c r="E187" s="4">
        <v>20789.560000000001</v>
      </c>
    </row>
    <row r="188" spans="2:22" x14ac:dyDescent="0.25">
      <c r="B188" s="7"/>
      <c r="D188" s="36" t="s">
        <v>388</v>
      </c>
      <c r="E188" s="4">
        <v>7300</v>
      </c>
    </row>
    <row r="189" spans="2:22" x14ac:dyDescent="0.25">
      <c r="B189" s="7"/>
      <c r="E189" s="14">
        <f>(SUM(E180:E184)+E187+E188)/365</f>
        <v>299.37101369863012</v>
      </c>
    </row>
    <row r="190" spans="2:22" x14ac:dyDescent="0.25">
      <c r="B190" s="7"/>
    </row>
    <row r="191" spans="2:22" x14ac:dyDescent="0.25">
      <c r="B191" s="7"/>
    </row>
    <row r="192" spans="2:22" x14ac:dyDescent="0.25">
      <c r="B192" s="7"/>
    </row>
    <row r="193" spans="2:7" x14ac:dyDescent="0.25">
      <c r="B193" s="7"/>
    </row>
    <row r="196" spans="2:7" x14ac:dyDescent="0.25">
      <c r="G196" s="4"/>
    </row>
    <row r="197" spans="2:7" x14ac:dyDescent="0.25">
      <c r="G197" s="4"/>
    </row>
    <row r="198" spans="2:7" x14ac:dyDescent="0.25">
      <c r="G198" s="4"/>
    </row>
    <row r="199" spans="2:7" x14ac:dyDescent="0.25">
      <c r="G199" s="4"/>
    </row>
    <row r="200" spans="2:7" x14ac:dyDescent="0.25">
      <c r="G200" s="4"/>
    </row>
    <row r="201" spans="2:7" x14ac:dyDescent="0.25">
      <c r="G201" s="4"/>
    </row>
  </sheetData>
  <phoneticPr fontId="0" type="noConversion"/>
  <printOptions horizontalCentered="1" verticalCentered="1" headings="1" gridLines="1"/>
  <pageMargins left="0.75" right="0.75" top="1" bottom="1" header="0.5" footer="0.5"/>
  <pageSetup scale="83" fitToHeight="16" orientation="landscape" blackAndWhite="1" cellComments="atEnd" horizontalDpi="180" verticalDpi="180" r:id="rId1"/>
  <headerFooter alignWithMargins="0"/>
  <rowBreaks count="4" manualBreakCount="4">
    <brk id="45" max="35" man="1"/>
    <brk id="82" max="12" man="1"/>
    <brk id="113" max="16383" man="1"/>
    <brk id="151" max="16383" man="1"/>
  </rowBreaks>
  <colBreaks count="1" manualBreakCount="1">
    <brk id="13" max="1048575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T172"/>
  <sheetViews>
    <sheetView zoomScale="70" workbookViewId="0">
      <pane ySplit="4" topLeftCell="A5" activePane="bottomLeft" state="frozen"/>
      <selection pane="bottomLeft" activeCell="W53" sqref="W53"/>
    </sheetView>
  </sheetViews>
  <sheetFormatPr defaultColWidth="12.453125" defaultRowHeight="12.5" x14ac:dyDescent="0.25"/>
  <cols>
    <col min="1" max="1" width="7" customWidth="1"/>
    <col min="2" max="2" width="8.54296875" style="5" bestFit="1" customWidth="1"/>
    <col min="3" max="4" width="31.453125" customWidth="1"/>
    <col min="5" max="5" width="4.54296875" customWidth="1"/>
    <col min="6" max="6" width="16.6328125" customWidth="1"/>
    <col min="7" max="7" width="4.54296875" customWidth="1"/>
    <col min="8" max="8" width="14.36328125" customWidth="1"/>
    <col min="9" max="9" width="4.54296875" customWidth="1"/>
    <col min="10" max="10" width="11.90625" customWidth="1"/>
    <col min="11" max="11" width="4.54296875" customWidth="1"/>
    <col min="12" max="12" width="11.90625" customWidth="1"/>
    <col min="13" max="13" width="4.54296875" customWidth="1"/>
    <col min="14" max="14" width="14.36328125" customWidth="1"/>
    <col min="15" max="15" width="4.54296875" customWidth="1"/>
    <col min="16" max="16" width="19.36328125" customWidth="1"/>
    <col min="17" max="17" width="4.54296875" customWidth="1"/>
    <col min="18" max="18" width="11.90625" customWidth="1"/>
    <col min="19" max="19" width="4.54296875" customWidth="1"/>
  </cols>
  <sheetData>
    <row r="1" spans="1:19" x14ac:dyDescent="0.25">
      <c r="A1" t="s">
        <v>389</v>
      </c>
    </row>
    <row r="2" spans="1:19" x14ac:dyDescent="0.25">
      <c r="A2" t="s">
        <v>390</v>
      </c>
      <c r="E2" t="s">
        <v>182</v>
      </c>
      <c r="F2" t="s">
        <v>391</v>
      </c>
      <c r="G2" t="s">
        <v>182</v>
      </c>
      <c r="H2" t="s">
        <v>392</v>
      </c>
      <c r="I2" t="s">
        <v>182</v>
      </c>
      <c r="J2" t="s">
        <v>392</v>
      </c>
      <c r="K2" t="s">
        <v>182</v>
      </c>
      <c r="L2" t="s">
        <v>392</v>
      </c>
      <c r="M2" t="s">
        <v>182</v>
      </c>
      <c r="N2" t="s">
        <v>170</v>
      </c>
      <c r="O2" t="s">
        <v>182</v>
      </c>
      <c r="P2" t="s">
        <v>170</v>
      </c>
      <c r="Q2" t="s">
        <v>182</v>
      </c>
      <c r="R2" t="s">
        <v>393</v>
      </c>
      <c r="S2" t="s">
        <v>182</v>
      </c>
    </row>
    <row r="3" spans="1:19" x14ac:dyDescent="0.25">
      <c r="B3" s="71" t="s">
        <v>3</v>
      </c>
      <c r="E3" t="s">
        <v>182</v>
      </c>
      <c r="F3" t="s">
        <v>394</v>
      </c>
      <c r="G3" t="s">
        <v>182</v>
      </c>
      <c r="H3" t="s">
        <v>395</v>
      </c>
      <c r="I3" t="s">
        <v>182</v>
      </c>
      <c r="J3" t="s">
        <v>395</v>
      </c>
      <c r="K3" t="s">
        <v>182</v>
      </c>
      <c r="L3" t="s">
        <v>395</v>
      </c>
      <c r="M3" t="s">
        <v>182</v>
      </c>
      <c r="N3" t="s">
        <v>392</v>
      </c>
      <c r="O3" t="s">
        <v>182</v>
      </c>
      <c r="P3" t="s">
        <v>394</v>
      </c>
      <c r="Q3" t="s">
        <v>182</v>
      </c>
      <c r="R3" t="s">
        <v>396</v>
      </c>
      <c r="S3" t="s">
        <v>182</v>
      </c>
    </row>
    <row r="4" spans="1:19" x14ac:dyDescent="0.25">
      <c r="B4" s="71" t="s">
        <v>397</v>
      </c>
      <c r="C4" t="s">
        <v>398</v>
      </c>
      <c r="D4" t="s">
        <v>399</v>
      </c>
      <c r="E4" t="s">
        <v>182</v>
      </c>
      <c r="F4" t="s">
        <v>400</v>
      </c>
      <c r="G4" t="s">
        <v>182</v>
      </c>
      <c r="H4" t="s">
        <v>401</v>
      </c>
      <c r="I4" t="s">
        <v>182</v>
      </c>
      <c r="J4" t="s">
        <v>402</v>
      </c>
      <c r="K4" t="s">
        <v>182</v>
      </c>
      <c r="L4" t="s">
        <v>403</v>
      </c>
      <c r="M4" t="s">
        <v>182</v>
      </c>
      <c r="N4" t="s">
        <v>395</v>
      </c>
      <c r="O4" t="s">
        <v>182</v>
      </c>
      <c r="P4" t="s">
        <v>400</v>
      </c>
      <c r="Q4" t="s">
        <v>182</v>
      </c>
      <c r="R4" t="s">
        <v>16</v>
      </c>
      <c r="S4" t="s">
        <v>182</v>
      </c>
    </row>
    <row r="5" spans="1:19" x14ac:dyDescent="0.25">
      <c r="A5" t="s">
        <v>404</v>
      </c>
      <c r="B5" s="5" t="s">
        <v>405</v>
      </c>
      <c r="C5" t="s">
        <v>406</v>
      </c>
      <c r="D5" t="s">
        <v>406</v>
      </c>
      <c r="E5" t="s">
        <v>405</v>
      </c>
      <c r="F5" t="s">
        <v>407</v>
      </c>
      <c r="G5" t="s">
        <v>405</v>
      </c>
      <c r="H5" t="s">
        <v>408</v>
      </c>
      <c r="I5" t="s">
        <v>405</v>
      </c>
      <c r="J5" t="s">
        <v>409</v>
      </c>
      <c r="K5" t="s">
        <v>405</v>
      </c>
      <c r="L5" t="s">
        <v>409</v>
      </c>
      <c r="M5" t="s">
        <v>405</v>
      </c>
      <c r="N5" t="s">
        <v>408</v>
      </c>
      <c r="O5" t="s">
        <v>405</v>
      </c>
      <c r="P5" t="s">
        <v>410</v>
      </c>
      <c r="Q5" t="s">
        <v>405</v>
      </c>
      <c r="R5" t="s">
        <v>409</v>
      </c>
      <c r="S5" t="s">
        <v>411</v>
      </c>
    </row>
    <row r="6" spans="1:19" x14ac:dyDescent="0.25">
      <c r="A6" t="s">
        <v>412</v>
      </c>
      <c r="B6" s="5" t="s">
        <v>182</v>
      </c>
      <c r="C6" t="s">
        <v>413</v>
      </c>
      <c r="D6" t="s">
        <v>414</v>
      </c>
      <c r="E6" t="s">
        <v>182</v>
      </c>
      <c r="F6" s="21" t="e">
        <f>#REF!*365*1000</f>
        <v>#REF!</v>
      </c>
      <c r="G6" t="s">
        <v>182</v>
      </c>
      <c r="H6">
        <v>0</v>
      </c>
      <c r="I6" t="s">
        <v>182</v>
      </c>
      <c r="J6">
        <v>0</v>
      </c>
      <c r="K6" t="s">
        <v>182</v>
      </c>
      <c r="L6">
        <v>0</v>
      </c>
      <c r="M6" t="s">
        <v>182</v>
      </c>
      <c r="N6">
        <f>SUM(H6:L6)</f>
        <v>0</v>
      </c>
      <c r="O6" t="s">
        <v>182</v>
      </c>
      <c r="P6" t="e">
        <f>F6+(N6*125)</f>
        <v>#REF!</v>
      </c>
      <c r="Q6" t="s">
        <v>182</v>
      </c>
      <c r="R6" s="1" t="e">
        <f>P6/365/1000</f>
        <v>#REF!</v>
      </c>
      <c r="S6" t="s">
        <v>182</v>
      </c>
    </row>
    <row r="7" spans="1:19" x14ac:dyDescent="0.25">
      <c r="A7" t="s">
        <v>404</v>
      </c>
      <c r="B7" s="5" t="s">
        <v>405</v>
      </c>
      <c r="C7" t="s">
        <v>406</v>
      </c>
      <c r="D7" t="s">
        <v>406</v>
      </c>
      <c r="E7" t="s">
        <v>405</v>
      </c>
      <c r="F7" t="s">
        <v>407</v>
      </c>
      <c r="G7" t="s">
        <v>405</v>
      </c>
      <c r="H7" t="s">
        <v>408</v>
      </c>
      <c r="I7" t="s">
        <v>405</v>
      </c>
      <c r="J7" t="s">
        <v>409</v>
      </c>
      <c r="K7" t="s">
        <v>405</v>
      </c>
      <c r="L7" t="s">
        <v>409</v>
      </c>
      <c r="M7" t="s">
        <v>405</v>
      </c>
      <c r="N7" t="s">
        <v>408</v>
      </c>
      <c r="O7" t="s">
        <v>405</v>
      </c>
      <c r="P7" t="s">
        <v>410</v>
      </c>
      <c r="Q7" t="s">
        <v>405</v>
      </c>
      <c r="R7" s="1" t="s">
        <v>409</v>
      </c>
      <c r="S7" t="s">
        <v>411</v>
      </c>
    </row>
    <row r="8" spans="1:19" ht="13" x14ac:dyDescent="0.3">
      <c r="A8" t="s">
        <v>415</v>
      </c>
      <c r="B8" s="5" t="s">
        <v>416</v>
      </c>
      <c r="C8" t="s">
        <v>417</v>
      </c>
      <c r="D8" t="s">
        <v>418</v>
      </c>
      <c r="E8" t="s">
        <v>182</v>
      </c>
      <c r="F8" s="21" t="e">
        <f>#REF!*365*1000</f>
        <v>#REF!</v>
      </c>
      <c r="G8" t="s">
        <v>182</v>
      </c>
      <c r="H8" s="19">
        <v>322</v>
      </c>
      <c r="I8" t="s">
        <v>182</v>
      </c>
      <c r="J8" s="24"/>
      <c r="K8" t="s">
        <v>182</v>
      </c>
      <c r="L8" s="19">
        <v>28.009</v>
      </c>
      <c r="M8" t="s">
        <v>182</v>
      </c>
      <c r="N8">
        <f>SUM(H8:L8)</f>
        <v>350.00900000000001</v>
      </c>
      <c r="O8" t="s">
        <v>182</v>
      </c>
      <c r="Q8" t="s">
        <v>182</v>
      </c>
      <c r="R8" s="1"/>
      <c r="S8" t="s">
        <v>182</v>
      </c>
    </row>
    <row r="9" spans="1:19" x14ac:dyDescent="0.25">
      <c r="A9" t="s">
        <v>419</v>
      </c>
      <c r="B9" s="5" t="s">
        <v>420</v>
      </c>
      <c r="C9" t="s">
        <v>421</v>
      </c>
      <c r="D9" t="s">
        <v>422</v>
      </c>
      <c r="E9" t="s">
        <v>182</v>
      </c>
      <c r="G9" t="s">
        <v>182</v>
      </c>
      <c r="I9" t="s">
        <v>182</v>
      </c>
      <c r="K9" t="s">
        <v>182</v>
      </c>
      <c r="M9" t="s">
        <v>182</v>
      </c>
      <c r="N9">
        <f>SUM(H9:L9)</f>
        <v>0</v>
      </c>
      <c r="O9" t="s">
        <v>182</v>
      </c>
      <c r="Q9" t="s">
        <v>182</v>
      </c>
      <c r="R9" s="1"/>
      <c r="S9" t="s">
        <v>182</v>
      </c>
    </row>
    <row r="10" spans="1:19" ht="13" x14ac:dyDescent="0.3">
      <c r="A10" t="s">
        <v>423</v>
      </c>
      <c r="B10" s="5" t="s">
        <v>420</v>
      </c>
      <c r="C10" t="s">
        <v>424</v>
      </c>
      <c r="D10" t="s">
        <v>425</v>
      </c>
      <c r="E10" t="s">
        <v>182</v>
      </c>
      <c r="G10" t="s">
        <v>182</v>
      </c>
      <c r="H10">
        <v>23</v>
      </c>
      <c r="I10" t="s">
        <v>182</v>
      </c>
      <c r="J10">
        <v>0</v>
      </c>
      <c r="K10" t="s">
        <v>182</v>
      </c>
      <c r="L10" s="19">
        <v>1.0680000000000001</v>
      </c>
      <c r="M10" t="s">
        <v>182</v>
      </c>
      <c r="N10" s="19">
        <f>SUM(H10:L10)</f>
        <v>24.068000000000001</v>
      </c>
      <c r="O10" t="s">
        <v>182</v>
      </c>
      <c r="Q10" t="s">
        <v>182</v>
      </c>
      <c r="R10" s="1"/>
      <c r="S10" t="s">
        <v>182</v>
      </c>
    </row>
    <row r="11" spans="1:19" ht="13" x14ac:dyDescent="0.3">
      <c r="B11" s="5" t="s">
        <v>426</v>
      </c>
      <c r="C11" t="s">
        <v>427</v>
      </c>
      <c r="E11" t="s">
        <v>182</v>
      </c>
      <c r="G11" t="s">
        <v>182</v>
      </c>
      <c r="H11">
        <v>1</v>
      </c>
      <c r="I11" t="s">
        <v>182</v>
      </c>
      <c r="J11">
        <v>0</v>
      </c>
      <c r="K11" t="s">
        <v>182</v>
      </c>
      <c r="L11" s="19">
        <v>4.1159999999999997</v>
      </c>
      <c r="M11" t="s">
        <v>182</v>
      </c>
      <c r="N11" s="19">
        <f>SUM(H11:L11)</f>
        <v>5.1159999999999997</v>
      </c>
      <c r="O11" t="s">
        <v>182</v>
      </c>
      <c r="Q11" t="s">
        <v>182</v>
      </c>
      <c r="R11" s="1"/>
      <c r="S11" t="s">
        <v>182</v>
      </c>
    </row>
    <row r="12" spans="1:19" x14ac:dyDescent="0.25">
      <c r="B12" s="5" t="s">
        <v>182</v>
      </c>
      <c r="E12" t="s">
        <v>182</v>
      </c>
      <c r="G12" t="s">
        <v>182</v>
      </c>
      <c r="I12" t="s">
        <v>182</v>
      </c>
      <c r="K12" t="s">
        <v>182</v>
      </c>
      <c r="M12" t="s">
        <v>182</v>
      </c>
      <c r="O12" t="s">
        <v>182</v>
      </c>
      <c r="Q12" t="s">
        <v>182</v>
      </c>
      <c r="R12" s="1"/>
      <c r="S12" t="s">
        <v>182</v>
      </c>
    </row>
    <row r="13" spans="1:19" x14ac:dyDescent="0.25">
      <c r="B13" s="5" t="s">
        <v>182</v>
      </c>
      <c r="C13" t="s">
        <v>428</v>
      </c>
      <c r="E13" t="s">
        <v>182</v>
      </c>
      <c r="F13" t="e">
        <f>SUM(F8:F11)</f>
        <v>#REF!</v>
      </c>
      <c r="G13" t="s">
        <v>182</v>
      </c>
      <c r="H13">
        <f>SUM(H8:H11)</f>
        <v>346</v>
      </c>
      <c r="I13" t="s">
        <v>182</v>
      </c>
      <c r="J13" s="32">
        <f>SUM(J8:J11)</f>
        <v>0</v>
      </c>
      <c r="K13" t="s">
        <v>182</v>
      </c>
      <c r="L13">
        <f>SUM(L8:L11)</f>
        <v>33.192999999999998</v>
      </c>
      <c r="M13" t="s">
        <v>182</v>
      </c>
      <c r="N13" s="25">
        <f>SUM(H13:L13)</f>
        <v>379.19299999999998</v>
      </c>
      <c r="O13" t="s">
        <v>182</v>
      </c>
      <c r="P13" t="e">
        <f>F13+(N13*125)</f>
        <v>#REF!</v>
      </c>
      <c r="Q13" t="s">
        <v>182</v>
      </c>
      <c r="R13" s="1" t="e">
        <f>P13/365/1000</f>
        <v>#REF!</v>
      </c>
      <c r="S13" t="s">
        <v>182</v>
      </c>
    </row>
    <row r="14" spans="1:19" x14ac:dyDescent="0.25">
      <c r="A14" t="s">
        <v>404</v>
      </c>
      <c r="B14" s="5" t="s">
        <v>405</v>
      </c>
      <c r="C14" t="s">
        <v>406</v>
      </c>
      <c r="D14" t="s">
        <v>406</v>
      </c>
      <c r="E14" t="s">
        <v>405</v>
      </c>
      <c r="F14" t="s">
        <v>407</v>
      </c>
      <c r="G14" t="s">
        <v>405</v>
      </c>
      <c r="H14" t="s">
        <v>408</v>
      </c>
      <c r="I14" t="s">
        <v>405</v>
      </c>
      <c r="J14" t="s">
        <v>409</v>
      </c>
      <c r="K14" t="s">
        <v>405</v>
      </c>
      <c r="L14" t="s">
        <v>409</v>
      </c>
      <c r="M14" t="s">
        <v>405</v>
      </c>
      <c r="N14" t="s">
        <v>408</v>
      </c>
      <c r="O14" t="s">
        <v>405</v>
      </c>
      <c r="P14" t="s">
        <v>410</v>
      </c>
      <c r="Q14" t="s">
        <v>405</v>
      </c>
      <c r="R14" s="1" t="s">
        <v>409</v>
      </c>
      <c r="S14" t="s">
        <v>411</v>
      </c>
    </row>
    <row r="15" spans="1:19" x14ac:dyDescent="0.25">
      <c r="A15" s="36" t="s">
        <v>429</v>
      </c>
      <c r="B15" s="37" t="s">
        <v>182</v>
      </c>
      <c r="C15" s="36" t="s">
        <v>430</v>
      </c>
      <c r="D15" s="36" t="s">
        <v>431</v>
      </c>
      <c r="E15" t="s">
        <v>182</v>
      </c>
      <c r="G15" t="s">
        <v>182</v>
      </c>
      <c r="H15">
        <v>42</v>
      </c>
      <c r="I15" t="s">
        <v>182</v>
      </c>
      <c r="K15" t="s">
        <v>182</v>
      </c>
      <c r="M15" t="s">
        <v>182</v>
      </c>
      <c r="N15">
        <f>SUM(H15:L15)</f>
        <v>42</v>
      </c>
      <c r="O15" t="s">
        <v>182</v>
      </c>
      <c r="Q15" t="s">
        <v>182</v>
      </c>
      <c r="R15" s="1"/>
      <c r="S15" t="s">
        <v>182</v>
      </c>
    </row>
    <row r="16" spans="1:19" x14ac:dyDescent="0.25">
      <c r="A16" s="36" t="s">
        <v>432</v>
      </c>
      <c r="B16" s="37" t="s">
        <v>182</v>
      </c>
      <c r="C16" s="36" t="s">
        <v>433</v>
      </c>
      <c r="D16" s="36" t="s">
        <v>433</v>
      </c>
      <c r="E16" t="s">
        <v>182</v>
      </c>
      <c r="G16" t="s">
        <v>182</v>
      </c>
      <c r="H16">
        <v>39</v>
      </c>
      <c r="I16" t="s">
        <v>182</v>
      </c>
      <c r="K16" t="s">
        <v>182</v>
      </c>
      <c r="M16" t="s">
        <v>182</v>
      </c>
      <c r="N16">
        <f>SUM(H16:L16)</f>
        <v>39</v>
      </c>
      <c r="O16" t="s">
        <v>182</v>
      </c>
      <c r="Q16" t="s">
        <v>182</v>
      </c>
      <c r="R16" s="1"/>
      <c r="S16" t="s">
        <v>182</v>
      </c>
    </row>
    <row r="17" spans="1:19" x14ac:dyDescent="0.25">
      <c r="A17" s="36" t="s">
        <v>434</v>
      </c>
      <c r="B17" s="37" t="s">
        <v>182</v>
      </c>
      <c r="C17" s="36" t="s">
        <v>435</v>
      </c>
      <c r="D17" s="36" t="s">
        <v>436</v>
      </c>
      <c r="E17" t="s">
        <v>182</v>
      </c>
      <c r="G17" t="s">
        <v>182</v>
      </c>
      <c r="H17">
        <v>16</v>
      </c>
      <c r="I17" t="s">
        <v>182</v>
      </c>
      <c r="K17" t="s">
        <v>182</v>
      </c>
      <c r="L17">
        <v>32.841999999999999</v>
      </c>
      <c r="M17" t="s">
        <v>182</v>
      </c>
      <c r="N17">
        <f>SUM(H17:L17)</f>
        <v>48.841999999999999</v>
      </c>
      <c r="O17" t="s">
        <v>182</v>
      </c>
      <c r="Q17" t="s">
        <v>182</v>
      </c>
      <c r="R17" s="1"/>
      <c r="S17" t="s">
        <v>182</v>
      </c>
    </row>
    <row r="18" spans="1:19" x14ac:dyDescent="0.25">
      <c r="A18" s="36"/>
      <c r="B18" s="37" t="s">
        <v>182</v>
      </c>
      <c r="C18" s="36" t="s">
        <v>437</v>
      </c>
      <c r="D18" s="36"/>
      <c r="E18" t="s">
        <v>182</v>
      </c>
      <c r="G18" t="s">
        <v>182</v>
      </c>
      <c r="I18" t="s">
        <v>182</v>
      </c>
      <c r="K18" t="s">
        <v>182</v>
      </c>
      <c r="M18" t="s">
        <v>182</v>
      </c>
      <c r="O18" t="s">
        <v>182</v>
      </c>
      <c r="Q18" t="s">
        <v>182</v>
      </c>
      <c r="R18" s="1"/>
      <c r="S18" t="s">
        <v>182</v>
      </c>
    </row>
    <row r="19" spans="1:19" x14ac:dyDescent="0.25">
      <c r="B19" s="5" t="s">
        <v>182</v>
      </c>
      <c r="E19" t="s">
        <v>182</v>
      </c>
      <c r="G19" t="s">
        <v>182</v>
      </c>
      <c r="I19" t="s">
        <v>182</v>
      </c>
      <c r="K19" t="s">
        <v>182</v>
      </c>
      <c r="M19" t="s">
        <v>182</v>
      </c>
      <c r="O19" t="s">
        <v>182</v>
      </c>
      <c r="Q19" t="s">
        <v>182</v>
      </c>
      <c r="R19" s="1"/>
      <c r="S19" t="s">
        <v>182</v>
      </c>
    </row>
    <row r="20" spans="1:19" x14ac:dyDescent="0.25">
      <c r="B20" s="5" t="s">
        <v>182</v>
      </c>
      <c r="C20" s="3" t="s">
        <v>438</v>
      </c>
      <c r="D20" s="3"/>
      <c r="E20" s="3" t="s">
        <v>182</v>
      </c>
      <c r="F20" s="3">
        <f>SUM(F15:F18)</f>
        <v>0</v>
      </c>
      <c r="G20" s="3" t="s">
        <v>182</v>
      </c>
      <c r="H20" s="3">
        <f>SUM(H15:H18)</f>
        <v>97</v>
      </c>
      <c r="I20" s="3" t="s">
        <v>182</v>
      </c>
      <c r="J20" s="3">
        <f>SUM(J15:J18)</f>
        <v>0</v>
      </c>
      <c r="K20" s="3" t="s">
        <v>182</v>
      </c>
      <c r="L20" s="3">
        <f>SUM(L15:L18)</f>
        <v>32.841999999999999</v>
      </c>
      <c r="M20" s="3" t="s">
        <v>182</v>
      </c>
      <c r="N20" s="3">
        <f>SUM(H20:L20)</f>
        <v>129.84199999999998</v>
      </c>
      <c r="O20" s="3" t="s">
        <v>182</v>
      </c>
      <c r="P20" s="3">
        <f>F20+(N20*125)</f>
        <v>16230.249999999998</v>
      </c>
      <c r="Q20" s="3" t="s">
        <v>182</v>
      </c>
      <c r="R20" s="6">
        <f>P20/365/1000</f>
        <v>4.446643835616438E-2</v>
      </c>
      <c r="S20" t="s">
        <v>182</v>
      </c>
    </row>
    <row r="21" spans="1:19" x14ac:dyDescent="0.25">
      <c r="A21" t="s">
        <v>404</v>
      </c>
      <c r="B21" s="5" t="s">
        <v>405</v>
      </c>
      <c r="C21" t="s">
        <v>406</v>
      </c>
      <c r="D21" t="s">
        <v>406</v>
      </c>
      <c r="E21" t="s">
        <v>405</v>
      </c>
      <c r="F21" t="s">
        <v>407</v>
      </c>
      <c r="G21" t="s">
        <v>405</v>
      </c>
      <c r="H21" t="s">
        <v>408</v>
      </c>
      <c r="I21" t="s">
        <v>405</v>
      </c>
      <c r="J21" t="s">
        <v>409</v>
      </c>
      <c r="K21" t="s">
        <v>405</v>
      </c>
      <c r="L21" t="s">
        <v>409</v>
      </c>
      <c r="M21" t="s">
        <v>405</v>
      </c>
      <c r="N21" t="s">
        <v>408</v>
      </c>
      <c r="O21" t="s">
        <v>405</v>
      </c>
      <c r="P21" t="s">
        <v>410</v>
      </c>
      <c r="Q21" t="s">
        <v>405</v>
      </c>
      <c r="R21" s="1" t="s">
        <v>409</v>
      </c>
      <c r="S21" t="s">
        <v>411</v>
      </c>
    </row>
    <row r="22" spans="1:19" ht="13" x14ac:dyDescent="0.3">
      <c r="A22" t="s">
        <v>439</v>
      </c>
      <c r="B22" s="5" t="s">
        <v>440</v>
      </c>
      <c r="C22" t="s">
        <v>441</v>
      </c>
      <c r="D22" t="s">
        <v>442</v>
      </c>
      <c r="E22" t="s">
        <v>182</v>
      </c>
      <c r="G22" t="s">
        <v>182</v>
      </c>
      <c r="H22" s="19">
        <v>72</v>
      </c>
      <c r="I22" t="s">
        <v>182</v>
      </c>
      <c r="J22">
        <v>135</v>
      </c>
      <c r="K22" t="s">
        <v>182</v>
      </c>
      <c r="L22" s="19">
        <v>30.82</v>
      </c>
      <c r="M22" t="s">
        <v>182</v>
      </c>
      <c r="N22" s="19">
        <f>SUM(H22:L22)</f>
        <v>237.82</v>
      </c>
      <c r="O22" t="s">
        <v>182</v>
      </c>
      <c r="Q22" t="s">
        <v>182</v>
      </c>
      <c r="R22" s="1"/>
      <c r="S22" t="s">
        <v>182</v>
      </c>
    </row>
    <row r="23" spans="1:19" x14ac:dyDescent="0.25">
      <c r="A23" t="s">
        <v>443</v>
      </c>
      <c r="B23" s="5" t="s">
        <v>440</v>
      </c>
      <c r="C23" t="s">
        <v>444</v>
      </c>
      <c r="D23" t="s">
        <v>445</v>
      </c>
      <c r="E23" t="s">
        <v>182</v>
      </c>
      <c r="G23" t="s">
        <v>182</v>
      </c>
      <c r="M23" t="s">
        <v>182</v>
      </c>
      <c r="N23">
        <f>SUM(H23:L23)</f>
        <v>0</v>
      </c>
      <c r="O23" t="s">
        <v>182</v>
      </c>
      <c r="Q23" t="s">
        <v>182</v>
      </c>
      <c r="R23" s="1"/>
      <c r="S23" t="s">
        <v>182</v>
      </c>
    </row>
    <row r="24" spans="1:19" ht="13" x14ac:dyDescent="0.3">
      <c r="A24" t="s">
        <v>446</v>
      </c>
      <c r="B24" s="5" t="s">
        <v>182</v>
      </c>
      <c r="C24" t="s">
        <v>447</v>
      </c>
      <c r="D24" t="s">
        <v>448</v>
      </c>
      <c r="E24" t="s">
        <v>182</v>
      </c>
      <c r="G24" t="s">
        <v>182</v>
      </c>
      <c r="H24" s="19">
        <v>35</v>
      </c>
      <c r="I24" t="s">
        <v>182</v>
      </c>
      <c r="K24" t="s">
        <v>182</v>
      </c>
      <c r="M24" t="s">
        <v>182</v>
      </c>
      <c r="N24" s="19">
        <f>SUM(H24:L24)</f>
        <v>35</v>
      </c>
      <c r="O24" t="s">
        <v>182</v>
      </c>
      <c r="Q24" t="s">
        <v>182</v>
      </c>
      <c r="R24" s="1"/>
      <c r="S24" t="s">
        <v>182</v>
      </c>
    </row>
    <row r="25" spans="1:19" x14ac:dyDescent="0.25">
      <c r="B25" s="5" t="s">
        <v>182</v>
      </c>
      <c r="C25" t="s">
        <v>449</v>
      </c>
      <c r="E25" t="s">
        <v>182</v>
      </c>
      <c r="G25" t="s">
        <v>182</v>
      </c>
      <c r="I25" t="s">
        <v>182</v>
      </c>
      <c r="K25" t="s">
        <v>182</v>
      </c>
      <c r="M25" t="s">
        <v>182</v>
      </c>
      <c r="N25">
        <f>SUM(H25:L25)</f>
        <v>0</v>
      </c>
      <c r="O25" t="s">
        <v>182</v>
      </c>
      <c r="Q25" t="s">
        <v>182</v>
      </c>
      <c r="R25" s="1"/>
      <c r="S25" t="s">
        <v>182</v>
      </c>
    </row>
    <row r="26" spans="1:19" x14ac:dyDescent="0.25">
      <c r="B26" s="5" t="s">
        <v>182</v>
      </c>
      <c r="E26" t="s">
        <v>182</v>
      </c>
      <c r="G26" t="s">
        <v>182</v>
      </c>
      <c r="I26" t="s">
        <v>182</v>
      </c>
      <c r="K26" t="s">
        <v>182</v>
      </c>
      <c r="M26" t="s">
        <v>182</v>
      </c>
      <c r="O26" t="s">
        <v>182</v>
      </c>
      <c r="Q26" t="s">
        <v>182</v>
      </c>
      <c r="R26" s="1"/>
      <c r="S26" t="s">
        <v>182</v>
      </c>
    </row>
    <row r="27" spans="1:19" x14ac:dyDescent="0.25">
      <c r="B27" s="5" t="s">
        <v>182</v>
      </c>
      <c r="C27" t="s">
        <v>450</v>
      </c>
      <c r="E27" t="s">
        <v>182</v>
      </c>
      <c r="F27">
        <f>SUM(F22:F25)</f>
        <v>0</v>
      </c>
      <c r="G27" t="s">
        <v>182</v>
      </c>
      <c r="H27">
        <f>SUM(H22:H25)</f>
        <v>107</v>
      </c>
      <c r="I27" t="s">
        <v>182</v>
      </c>
      <c r="J27">
        <f>SUM(J22:J25)</f>
        <v>135</v>
      </c>
      <c r="K27" t="s">
        <v>182</v>
      </c>
      <c r="L27">
        <f>SUM(L22:L25)</f>
        <v>30.82</v>
      </c>
      <c r="M27" t="s">
        <v>182</v>
      </c>
      <c r="N27" s="26">
        <f>SUM(H27:L27)</f>
        <v>272.82</v>
      </c>
      <c r="O27" t="s">
        <v>182</v>
      </c>
      <c r="P27">
        <f>F27+(N27*125)</f>
        <v>34102.5</v>
      </c>
      <c r="Q27" t="s">
        <v>182</v>
      </c>
      <c r="R27" s="1">
        <f>P27/365/1000</f>
        <v>9.3431506849315074E-2</v>
      </c>
      <c r="S27" t="s">
        <v>182</v>
      </c>
    </row>
    <row r="28" spans="1:19" x14ac:dyDescent="0.25">
      <c r="A28" t="s">
        <v>404</v>
      </c>
      <c r="B28" s="5" t="s">
        <v>405</v>
      </c>
      <c r="C28" t="s">
        <v>406</v>
      </c>
      <c r="D28" t="s">
        <v>406</v>
      </c>
      <c r="E28" t="s">
        <v>405</v>
      </c>
      <c r="F28" t="s">
        <v>407</v>
      </c>
      <c r="G28" t="s">
        <v>405</v>
      </c>
      <c r="H28" t="s">
        <v>408</v>
      </c>
      <c r="I28" t="s">
        <v>405</v>
      </c>
      <c r="J28" t="s">
        <v>409</v>
      </c>
      <c r="K28" t="s">
        <v>405</v>
      </c>
      <c r="L28" t="s">
        <v>409</v>
      </c>
      <c r="M28" t="s">
        <v>405</v>
      </c>
      <c r="N28" t="s">
        <v>408</v>
      </c>
      <c r="O28" t="s">
        <v>405</v>
      </c>
      <c r="P28" t="s">
        <v>410</v>
      </c>
      <c r="Q28" t="s">
        <v>405</v>
      </c>
      <c r="R28" s="1" t="s">
        <v>409</v>
      </c>
      <c r="S28" t="s">
        <v>411</v>
      </c>
    </row>
    <row r="29" spans="1:19" ht="13" x14ac:dyDescent="0.3">
      <c r="A29" t="s">
        <v>451</v>
      </c>
      <c r="B29" s="5" t="s">
        <v>452</v>
      </c>
      <c r="C29" t="s">
        <v>453</v>
      </c>
      <c r="D29" t="s">
        <v>454</v>
      </c>
      <c r="E29" t="s">
        <v>182</v>
      </c>
      <c r="G29" t="s">
        <v>182</v>
      </c>
      <c r="H29" s="19">
        <v>497</v>
      </c>
      <c r="I29" t="s">
        <v>182</v>
      </c>
      <c r="K29" t="s">
        <v>182</v>
      </c>
      <c r="L29" s="19">
        <v>14.32</v>
      </c>
      <c r="M29" t="s">
        <v>182</v>
      </c>
      <c r="N29" s="19">
        <f>SUM(H29:L29)</f>
        <v>511.32</v>
      </c>
      <c r="O29" t="s">
        <v>182</v>
      </c>
      <c r="Q29" t="s">
        <v>182</v>
      </c>
      <c r="R29" s="1"/>
      <c r="S29" t="s">
        <v>182</v>
      </c>
    </row>
    <row r="30" spans="1:19" x14ac:dyDescent="0.25">
      <c r="A30" t="s">
        <v>455</v>
      </c>
      <c r="B30" s="5" t="s">
        <v>456</v>
      </c>
      <c r="C30" t="s">
        <v>457</v>
      </c>
      <c r="D30" t="s">
        <v>458</v>
      </c>
      <c r="E30" t="s">
        <v>182</v>
      </c>
      <c r="G30" t="s">
        <v>182</v>
      </c>
      <c r="H30">
        <v>29</v>
      </c>
      <c r="I30" t="s">
        <v>182</v>
      </c>
      <c r="K30" t="s">
        <v>182</v>
      </c>
      <c r="M30" t="s">
        <v>182</v>
      </c>
      <c r="N30">
        <f>SUM(H30:L30)</f>
        <v>29</v>
      </c>
      <c r="O30" t="s">
        <v>182</v>
      </c>
      <c r="Q30" t="s">
        <v>182</v>
      </c>
      <c r="R30" s="1"/>
      <c r="S30" t="s">
        <v>182</v>
      </c>
    </row>
    <row r="31" spans="1:19" x14ac:dyDescent="0.25">
      <c r="A31" t="s">
        <v>459</v>
      </c>
      <c r="B31" s="5" t="s">
        <v>460</v>
      </c>
      <c r="C31" t="s">
        <v>461</v>
      </c>
      <c r="D31" t="s">
        <v>462</v>
      </c>
      <c r="E31" t="s">
        <v>182</v>
      </c>
      <c r="G31" t="s">
        <v>182</v>
      </c>
      <c r="H31">
        <v>34</v>
      </c>
      <c r="I31" t="s">
        <v>182</v>
      </c>
      <c r="K31" t="s">
        <v>182</v>
      </c>
      <c r="M31" t="s">
        <v>182</v>
      </c>
      <c r="N31">
        <f>SUM(H31:L31)</f>
        <v>34</v>
      </c>
      <c r="O31" t="s">
        <v>182</v>
      </c>
      <c r="Q31" t="s">
        <v>182</v>
      </c>
      <c r="R31" s="1"/>
      <c r="S31" t="s">
        <v>182</v>
      </c>
    </row>
    <row r="32" spans="1:19" x14ac:dyDescent="0.25">
      <c r="B32" s="5" t="s">
        <v>182</v>
      </c>
      <c r="C32" t="s">
        <v>449</v>
      </c>
      <c r="E32" t="s">
        <v>182</v>
      </c>
      <c r="G32" t="s">
        <v>182</v>
      </c>
      <c r="I32" t="s">
        <v>182</v>
      </c>
      <c r="K32" t="s">
        <v>182</v>
      </c>
      <c r="M32" t="s">
        <v>182</v>
      </c>
      <c r="N32">
        <f>SUM(H32:L32)</f>
        <v>0</v>
      </c>
      <c r="O32" t="s">
        <v>182</v>
      </c>
      <c r="Q32" t="s">
        <v>182</v>
      </c>
      <c r="R32" s="1"/>
      <c r="S32" t="s">
        <v>182</v>
      </c>
    </row>
    <row r="33" spans="1:19" x14ac:dyDescent="0.25">
      <c r="B33" s="5" t="s">
        <v>182</v>
      </c>
      <c r="E33" t="s">
        <v>182</v>
      </c>
      <c r="G33" t="s">
        <v>182</v>
      </c>
      <c r="I33" t="s">
        <v>182</v>
      </c>
      <c r="K33" t="s">
        <v>182</v>
      </c>
      <c r="M33" t="s">
        <v>182</v>
      </c>
      <c r="O33" t="s">
        <v>182</v>
      </c>
      <c r="Q33" t="s">
        <v>182</v>
      </c>
      <c r="R33" s="1"/>
      <c r="S33" t="s">
        <v>182</v>
      </c>
    </row>
    <row r="34" spans="1:19" x14ac:dyDescent="0.25">
      <c r="B34" s="5" t="s">
        <v>182</v>
      </c>
      <c r="C34" t="s">
        <v>463</v>
      </c>
      <c r="E34" t="s">
        <v>182</v>
      </c>
      <c r="F34">
        <f>SUM(F29:F32)</f>
        <v>0</v>
      </c>
      <c r="G34" t="s">
        <v>182</v>
      </c>
      <c r="H34">
        <f>SUM(H29:H32)</f>
        <v>560</v>
      </c>
      <c r="I34" t="s">
        <v>182</v>
      </c>
      <c r="J34">
        <f>SUM(J29:J32)</f>
        <v>0</v>
      </c>
      <c r="K34" t="s">
        <v>182</v>
      </c>
      <c r="L34">
        <f>SUM(L29:L32)</f>
        <v>14.32</v>
      </c>
      <c r="M34" t="s">
        <v>182</v>
      </c>
      <c r="N34" s="26">
        <f>SUM(N29:N32)</f>
        <v>574.31999999999994</v>
      </c>
      <c r="O34" t="s">
        <v>182</v>
      </c>
      <c r="P34">
        <f>F34+(N34*125)</f>
        <v>71789.999999999985</v>
      </c>
      <c r="Q34" t="s">
        <v>182</v>
      </c>
      <c r="R34" s="1">
        <f>P34/365/1000</f>
        <v>0.19668493150684926</v>
      </c>
      <c r="S34" t="s">
        <v>182</v>
      </c>
    </row>
    <row r="35" spans="1:19" x14ac:dyDescent="0.25">
      <c r="A35" t="s">
        <v>404</v>
      </c>
      <c r="B35" s="5" t="s">
        <v>405</v>
      </c>
      <c r="C35" t="s">
        <v>406</v>
      </c>
      <c r="D35" t="s">
        <v>406</v>
      </c>
      <c r="E35" t="s">
        <v>405</v>
      </c>
      <c r="F35" t="s">
        <v>407</v>
      </c>
      <c r="G35" t="s">
        <v>405</v>
      </c>
      <c r="H35" t="s">
        <v>408</v>
      </c>
      <c r="I35" t="s">
        <v>405</v>
      </c>
      <c r="J35" t="s">
        <v>409</v>
      </c>
      <c r="K35" t="s">
        <v>405</v>
      </c>
      <c r="L35" t="s">
        <v>409</v>
      </c>
      <c r="M35" t="s">
        <v>405</v>
      </c>
      <c r="N35" t="s">
        <v>408</v>
      </c>
      <c r="O35" t="s">
        <v>405</v>
      </c>
      <c r="P35" t="s">
        <v>410</v>
      </c>
      <c r="Q35" t="s">
        <v>405</v>
      </c>
      <c r="R35" s="1" t="s">
        <v>409</v>
      </c>
      <c r="S35" t="s">
        <v>411</v>
      </c>
    </row>
    <row r="36" spans="1:19" x14ac:dyDescent="0.25">
      <c r="A36" s="36" t="s">
        <v>464</v>
      </c>
      <c r="B36" s="37" t="s">
        <v>182</v>
      </c>
      <c r="C36" s="36" t="s">
        <v>465</v>
      </c>
      <c r="D36" s="36"/>
      <c r="E36" t="s">
        <v>182</v>
      </c>
      <c r="G36" t="s">
        <v>182</v>
      </c>
      <c r="H36">
        <v>28</v>
      </c>
      <c r="I36" t="s">
        <v>182</v>
      </c>
      <c r="K36" t="s">
        <v>182</v>
      </c>
      <c r="M36" t="s">
        <v>182</v>
      </c>
      <c r="N36">
        <f>SUM(H36:L36)</f>
        <v>28</v>
      </c>
      <c r="O36" t="s">
        <v>182</v>
      </c>
      <c r="Q36" t="s">
        <v>182</v>
      </c>
      <c r="R36" s="1"/>
      <c r="S36" t="s">
        <v>182</v>
      </c>
    </row>
    <row r="37" spans="1:19" x14ac:dyDescent="0.25">
      <c r="A37" s="36" t="s">
        <v>466</v>
      </c>
      <c r="B37" s="37" t="s">
        <v>182</v>
      </c>
      <c r="C37" s="36" t="s">
        <v>467</v>
      </c>
      <c r="D37" s="36"/>
      <c r="E37" t="s">
        <v>182</v>
      </c>
      <c r="G37" t="s">
        <v>182</v>
      </c>
      <c r="H37">
        <v>14</v>
      </c>
      <c r="I37" t="s">
        <v>182</v>
      </c>
      <c r="K37" t="s">
        <v>182</v>
      </c>
      <c r="M37" t="s">
        <v>182</v>
      </c>
      <c r="N37">
        <f>SUM(H37:L37)</f>
        <v>14</v>
      </c>
      <c r="O37" t="s">
        <v>182</v>
      </c>
      <c r="Q37" t="s">
        <v>182</v>
      </c>
      <c r="R37" s="1"/>
      <c r="S37" t="s">
        <v>182</v>
      </c>
    </row>
    <row r="38" spans="1:19" x14ac:dyDescent="0.25">
      <c r="A38" s="36" t="s">
        <v>468</v>
      </c>
      <c r="B38" s="37" t="s">
        <v>182</v>
      </c>
      <c r="C38" s="36" t="s">
        <v>469</v>
      </c>
      <c r="D38" s="36" t="s">
        <v>470</v>
      </c>
      <c r="E38" t="s">
        <v>182</v>
      </c>
      <c r="G38" t="s">
        <v>182</v>
      </c>
      <c r="H38">
        <v>65</v>
      </c>
      <c r="I38" t="s">
        <v>182</v>
      </c>
      <c r="K38" t="s">
        <v>182</v>
      </c>
      <c r="M38" t="s">
        <v>182</v>
      </c>
      <c r="N38">
        <f>SUM(H38:L38)</f>
        <v>65</v>
      </c>
      <c r="O38" t="s">
        <v>182</v>
      </c>
      <c r="Q38" t="s">
        <v>182</v>
      </c>
      <c r="R38" s="1"/>
      <c r="S38" t="s">
        <v>182</v>
      </c>
    </row>
    <row r="39" spans="1:19" x14ac:dyDescent="0.25">
      <c r="A39" s="36" t="s">
        <v>471</v>
      </c>
      <c r="B39" s="37" t="s">
        <v>182</v>
      </c>
      <c r="C39" s="36" t="s">
        <v>472</v>
      </c>
      <c r="D39" s="36" t="s">
        <v>473</v>
      </c>
      <c r="E39" t="s">
        <v>182</v>
      </c>
      <c r="G39" t="s">
        <v>182</v>
      </c>
      <c r="H39">
        <v>7</v>
      </c>
      <c r="I39" t="s">
        <v>182</v>
      </c>
      <c r="K39" t="s">
        <v>182</v>
      </c>
      <c r="M39" t="s">
        <v>182</v>
      </c>
      <c r="N39">
        <f>SUM(H39:L39)</f>
        <v>7</v>
      </c>
      <c r="O39" t="s">
        <v>182</v>
      </c>
      <c r="Q39" t="s">
        <v>182</v>
      </c>
      <c r="R39" s="1"/>
      <c r="S39" t="s">
        <v>182</v>
      </c>
    </row>
    <row r="40" spans="1:19" x14ac:dyDescent="0.25">
      <c r="A40" s="36"/>
      <c r="B40" s="37" t="s">
        <v>182</v>
      </c>
      <c r="C40" s="36"/>
      <c r="D40" s="36"/>
      <c r="E40" t="s">
        <v>182</v>
      </c>
      <c r="G40" t="s">
        <v>182</v>
      </c>
      <c r="I40" t="s">
        <v>182</v>
      </c>
      <c r="K40" t="s">
        <v>182</v>
      </c>
      <c r="M40" t="s">
        <v>182</v>
      </c>
      <c r="O40" t="s">
        <v>182</v>
      </c>
      <c r="Q40" t="s">
        <v>182</v>
      </c>
      <c r="R40" s="1"/>
      <c r="S40" t="s">
        <v>182</v>
      </c>
    </row>
    <row r="41" spans="1:19" x14ac:dyDescent="0.25">
      <c r="B41" s="5" t="s">
        <v>182</v>
      </c>
      <c r="C41" s="3" t="s">
        <v>474</v>
      </c>
      <c r="D41" s="3"/>
      <c r="E41" s="3" t="s">
        <v>182</v>
      </c>
      <c r="F41" s="3">
        <f>SUM(F36:F39)</f>
        <v>0</v>
      </c>
      <c r="G41" s="3" t="s">
        <v>182</v>
      </c>
      <c r="H41" s="3">
        <f>SUM(H36:H39)</f>
        <v>114</v>
      </c>
      <c r="I41" s="3" t="s">
        <v>182</v>
      </c>
      <c r="J41" s="3">
        <f>SUM(J36:J39)</f>
        <v>0</v>
      </c>
      <c r="K41" s="3" t="s">
        <v>182</v>
      </c>
      <c r="L41" s="3">
        <f>SUM(L36:L39)</f>
        <v>0</v>
      </c>
      <c r="M41" s="3" t="s">
        <v>182</v>
      </c>
      <c r="N41" s="3">
        <f>SUM(H41:L41)</f>
        <v>114</v>
      </c>
      <c r="O41" s="3" t="s">
        <v>182</v>
      </c>
      <c r="P41" s="3">
        <f>F41+(N41*125)</f>
        <v>14250</v>
      </c>
      <c r="Q41" s="3" t="s">
        <v>182</v>
      </c>
      <c r="R41" s="6">
        <f>P41/365/1000</f>
        <v>3.9041095890410958E-2</v>
      </c>
      <c r="S41" t="s">
        <v>182</v>
      </c>
    </row>
    <row r="42" spans="1:19" x14ac:dyDescent="0.25">
      <c r="A42" t="s">
        <v>404</v>
      </c>
      <c r="B42" s="5" t="s">
        <v>405</v>
      </c>
      <c r="C42" t="s">
        <v>406</v>
      </c>
      <c r="D42" t="s">
        <v>406</v>
      </c>
      <c r="E42" t="s">
        <v>405</v>
      </c>
      <c r="F42" t="s">
        <v>407</v>
      </c>
      <c r="G42" t="s">
        <v>405</v>
      </c>
      <c r="H42" t="s">
        <v>408</v>
      </c>
      <c r="I42" t="s">
        <v>405</v>
      </c>
      <c r="J42" t="s">
        <v>409</v>
      </c>
      <c r="K42" t="s">
        <v>405</v>
      </c>
      <c r="L42" t="s">
        <v>409</v>
      </c>
      <c r="M42" t="s">
        <v>405</v>
      </c>
      <c r="N42" t="s">
        <v>408</v>
      </c>
      <c r="O42" t="s">
        <v>405</v>
      </c>
      <c r="P42" t="s">
        <v>410</v>
      </c>
      <c r="Q42" t="s">
        <v>405</v>
      </c>
      <c r="R42" s="1" t="s">
        <v>409</v>
      </c>
      <c r="S42" t="s">
        <v>411</v>
      </c>
    </row>
    <row r="43" spans="1:19" x14ac:dyDescent="0.25">
      <c r="A43" t="s">
        <v>475</v>
      </c>
      <c r="B43" s="5" t="s">
        <v>182</v>
      </c>
      <c r="C43" t="s">
        <v>476</v>
      </c>
      <c r="D43" t="s">
        <v>476</v>
      </c>
      <c r="E43" t="s">
        <v>182</v>
      </c>
      <c r="F43" s="21" t="e">
        <f>#REF!*365*1000</f>
        <v>#REF!</v>
      </c>
      <c r="G43" t="s">
        <v>182</v>
      </c>
      <c r="I43" t="s">
        <v>182</v>
      </c>
      <c r="K43" t="s">
        <v>182</v>
      </c>
      <c r="M43" t="s">
        <v>182</v>
      </c>
      <c r="O43" t="s">
        <v>182</v>
      </c>
      <c r="P43" t="e">
        <f>F43+(N43*125)</f>
        <v>#REF!</v>
      </c>
      <c r="Q43" t="s">
        <v>182</v>
      </c>
      <c r="R43" s="1" t="e">
        <f>P43/365/1000</f>
        <v>#REF!</v>
      </c>
      <c r="S43" t="s">
        <v>182</v>
      </c>
    </row>
    <row r="44" spans="1:19" x14ac:dyDescent="0.25">
      <c r="A44" t="s">
        <v>404</v>
      </c>
      <c r="B44" s="5" t="s">
        <v>405</v>
      </c>
      <c r="C44" t="s">
        <v>406</v>
      </c>
      <c r="D44" t="s">
        <v>406</v>
      </c>
      <c r="E44" t="s">
        <v>405</v>
      </c>
      <c r="F44" t="s">
        <v>407</v>
      </c>
      <c r="G44" t="s">
        <v>405</v>
      </c>
      <c r="H44" t="s">
        <v>408</v>
      </c>
      <c r="I44" t="s">
        <v>405</v>
      </c>
      <c r="J44" t="s">
        <v>409</v>
      </c>
      <c r="K44" t="s">
        <v>405</v>
      </c>
      <c r="L44" t="s">
        <v>409</v>
      </c>
      <c r="M44" t="s">
        <v>405</v>
      </c>
      <c r="N44" t="s">
        <v>408</v>
      </c>
      <c r="O44" t="s">
        <v>405</v>
      </c>
      <c r="P44" t="s">
        <v>410</v>
      </c>
      <c r="Q44" t="s">
        <v>405</v>
      </c>
      <c r="R44" s="1" t="s">
        <v>409</v>
      </c>
      <c r="S44" t="s">
        <v>411</v>
      </c>
    </row>
    <row r="45" spans="1:19" ht="13" x14ac:dyDescent="0.3">
      <c r="A45" t="s">
        <v>477</v>
      </c>
      <c r="B45" s="5" t="s">
        <v>478</v>
      </c>
      <c r="C45" t="s">
        <v>479</v>
      </c>
      <c r="D45" t="s">
        <v>479</v>
      </c>
      <c r="E45" t="s">
        <v>182</v>
      </c>
      <c r="G45" t="s">
        <v>182</v>
      </c>
      <c r="H45" s="19">
        <v>90</v>
      </c>
      <c r="I45" t="s">
        <v>182</v>
      </c>
      <c r="J45" s="19">
        <v>52.5</v>
      </c>
      <c r="K45" t="s">
        <v>182</v>
      </c>
      <c r="L45">
        <v>3.9</v>
      </c>
      <c r="M45" t="s">
        <v>182</v>
      </c>
      <c r="N45" s="19">
        <f t="shared" ref="N45:N53" si="0">SUM(H45:L45)</f>
        <v>146.4</v>
      </c>
      <c r="O45" t="s">
        <v>182</v>
      </c>
      <c r="Q45" t="s">
        <v>182</v>
      </c>
      <c r="R45" s="1"/>
      <c r="S45" t="s">
        <v>182</v>
      </c>
    </row>
    <row r="46" spans="1:19" ht="13" x14ac:dyDescent="0.3">
      <c r="A46" t="s">
        <v>480</v>
      </c>
      <c r="B46" s="5" t="s">
        <v>481</v>
      </c>
      <c r="C46" t="s">
        <v>482</v>
      </c>
      <c r="D46" t="s">
        <v>483</v>
      </c>
      <c r="E46" t="s">
        <v>182</v>
      </c>
      <c r="G46" t="s">
        <v>182</v>
      </c>
      <c r="H46" s="19">
        <v>350.64</v>
      </c>
      <c r="I46" t="s">
        <v>182</v>
      </c>
      <c r="J46" s="19">
        <v>404</v>
      </c>
      <c r="K46" t="s">
        <v>182</v>
      </c>
      <c r="L46" s="19">
        <v>48.33</v>
      </c>
      <c r="M46" t="s">
        <v>182</v>
      </c>
      <c r="N46" s="19">
        <f t="shared" si="0"/>
        <v>802.97</v>
      </c>
      <c r="O46" t="s">
        <v>182</v>
      </c>
      <c r="Q46" t="s">
        <v>182</v>
      </c>
      <c r="R46" s="1"/>
      <c r="S46" t="s">
        <v>182</v>
      </c>
    </row>
    <row r="47" spans="1:19" ht="13" x14ac:dyDescent="0.3">
      <c r="A47" t="s">
        <v>484</v>
      </c>
      <c r="B47" s="5" t="s">
        <v>485</v>
      </c>
      <c r="C47" t="s">
        <v>486</v>
      </c>
      <c r="D47" t="s">
        <v>487</v>
      </c>
      <c r="E47" t="s">
        <v>182</v>
      </c>
      <c r="G47" t="s">
        <v>182</v>
      </c>
      <c r="H47" s="19">
        <v>481</v>
      </c>
      <c r="I47" t="s">
        <v>182</v>
      </c>
      <c r="J47">
        <v>1661.5</v>
      </c>
      <c r="K47" t="s">
        <v>182</v>
      </c>
      <c r="L47" s="19">
        <v>289.16000000000003</v>
      </c>
      <c r="M47" t="s">
        <v>182</v>
      </c>
      <c r="N47" s="19">
        <f t="shared" si="0"/>
        <v>2431.66</v>
      </c>
      <c r="O47" t="s">
        <v>182</v>
      </c>
      <c r="Q47" t="s">
        <v>182</v>
      </c>
      <c r="R47" s="1"/>
      <c r="S47" t="s">
        <v>182</v>
      </c>
    </row>
    <row r="48" spans="1:19" ht="13" x14ac:dyDescent="0.3">
      <c r="A48" t="s">
        <v>488</v>
      </c>
      <c r="B48" s="5" t="s">
        <v>489</v>
      </c>
      <c r="C48" t="s">
        <v>490</v>
      </c>
      <c r="D48" t="s">
        <v>491</v>
      </c>
      <c r="E48" t="s">
        <v>182</v>
      </c>
      <c r="G48" t="s">
        <v>182</v>
      </c>
      <c r="I48" t="s">
        <v>182</v>
      </c>
      <c r="J48" s="19">
        <v>287</v>
      </c>
      <c r="K48" t="s">
        <v>182</v>
      </c>
      <c r="L48">
        <v>1.1499999999999999</v>
      </c>
      <c r="M48" t="s">
        <v>182</v>
      </c>
      <c r="N48" s="19">
        <f t="shared" si="0"/>
        <v>288.14999999999998</v>
      </c>
      <c r="O48" t="s">
        <v>182</v>
      </c>
      <c r="Q48" t="s">
        <v>182</v>
      </c>
      <c r="R48" s="1"/>
      <c r="S48" t="s">
        <v>182</v>
      </c>
    </row>
    <row r="49" spans="1:19" ht="13" x14ac:dyDescent="0.3">
      <c r="A49" t="s">
        <v>492</v>
      </c>
      <c r="B49" s="5" t="s">
        <v>493</v>
      </c>
      <c r="C49" t="s">
        <v>494</v>
      </c>
      <c r="D49" t="s">
        <v>495</v>
      </c>
      <c r="E49" t="s">
        <v>182</v>
      </c>
      <c r="G49" t="s">
        <v>182</v>
      </c>
      <c r="H49">
        <v>66</v>
      </c>
      <c r="I49" t="s">
        <v>182</v>
      </c>
      <c r="J49">
        <v>866</v>
      </c>
      <c r="K49" t="s">
        <v>182</v>
      </c>
      <c r="L49" s="19">
        <v>3715.93</v>
      </c>
      <c r="M49" t="s">
        <v>182</v>
      </c>
      <c r="N49" s="19">
        <f t="shared" si="0"/>
        <v>4647.93</v>
      </c>
      <c r="O49" t="s">
        <v>182</v>
      </c>
      <c r="Q49" t="s">
        <v>182</v>
      </c>
      <c r="R49" s="1"/>
      <c r="S49" t="s">
        <v>182</v>
      </c>
    </row>
    <row r="50" spans="1:19" ht="13" x14ac:dyDescent="0.3">
      <c r="A50" t="s">
        <v>496</v>
      </c>
      <c r="B50" s="5" t="s">
        <v>497</v>
      </c>
      <c r="C50" t="s">
        <v>498</v>
      </c>
      <c r="D50" t="s">
        <v>499</v>
      </c>
      <c r="E50" t="s">
        <v>182</v>
      </c>
      <c r="G50" t="s">
        <v>182</v>
      </c>
      <c r="I50" t="s">
        <v>182</v>
      </c>
      <c r="J50" s="19">
        <v>551</v>
      </c>
      <c r="K50" t="s">
        <v>182</v>
      </c>
      <c r="L50" s="19"/>
      <c r="M50" t="s">
        <v>182</v>
      </c>
      <c r="N50" s="19">
        <f t="shared" si="0"/>
        <v>551</v>
      </c>
      <c r="O50" t="s">
        <v>182</v>
      </c>
      <c r="Q50" t="s">
        <v>182</v>
      </c>
      <c r="R50" s="1"/>
      <c r="S50" t="s">
        <v>182</v>
      </c>
    </row>
    <row r="51" spans="1:19" ht="13" x14ac:dyDescent="0.3">
      <c r="A51" t="s">
        <v>500</v>
      </c>
      <c r="B51" s="5" t="s">
        <v>497</v>
      </c>
      <c r="C51" t="s">
        <v>501</v>
      </c>
      <c r="D51" t="s">
        <v>502</v>
      </c>
      <c r="E51" t="s">
        <v>182</v>
      </c>
      <c r="G51" t="s">
        <v>182</v>
      </c>
      <c r="I51" t="s">
        <v>182</v>
      </c>
      <c r="K51" t="s">
        <v>182</v>
      </c>
      <c r="L51" s="19">
        <v>508.45</v>
      </c>
      <c r="M51" t="s">
        <v>182</v>
      </c>
      <c r="N51" s="19">
        <f t="shared" si="0"/>
        <v>508.45</v>
      </c>
      <c r="O51" t="s">
        <v>182</v>
      </c>
      <c r="Q51" t="s">
        <v>182</v>
      </c>
      <c r="R51" s="1"/>
      <c r="S51" t="s">
        <v>182</v>
      </c>
    </row>
    <row r="52" spans="1:19" ht="13" x14ac:dyDescent="0.3">
      <c r="A52" t="s">
        <v>503</v>
      </c>
      <c r="B52" s="5" t="s">
        <v>504</v>
      </c>
      <c r="C52" t="s">
        <v>505</v>
      </c>
      <c r="D52" t="s">
        <v>505</v>
      </c>
      <c r="E52" t="s">
        <v>182</v>
      </c>
      <c r="G52" t="s">
        <v>182</v>
      </c>
      <c r="I52" t="s">
        <v>182</v>
      </c>
      <c r="J52" s="19">
        <v>0</v>
      </c>
      <c r="K52" t="s">
        <v>182</v>
      </c>
      <c r="L52" s="19">
        <v>55.02</v>
      </c>
      <c r="M52" t="s">
        <v>182</v>
      </c>
      <c r="N52" s="19">
        <f t="shared" si="0"/>
        <v>55.02</v>
      </c>
      <c r="O52" t="s">
        <v>182</v>
      </c>
      <c r="Q52" t="s">
        <v>182</v>
      </c>
      <c r="R52" s="1"/>
      <c r="S52" t="s">
        <v>182</v>
      </c>
    </row>
    <row r="53" spans="1:19" ht="13" x14ac:dyDescent="0.3">
      <c r="A53" t="s">
        <v>506</v>
      </c>
      <c r="B53" s="5" t="s">
        <v>507</v>
      </c>
      <c r="C53" t="s">
        <v>508</v>
      </c>
      <c r="D53" t="s">
        <v>509</v>
      </c>
      <c r="E53" t="s">
        <v>182</v>
      </c>
      <c r="G53" t="s">
        <v>182</v>
      </c>
      <c r="H53">
        <v>5</v>
      </c>
      <c r="I53" t="s">
        <v>182</v>
      </c>
      <c r="J53">
        <v>84</v>
      </c>
      <c r="K53" t="s">
        <v>182</v>
      </c>
      <c r="L53" s="19">
        <v>37.939799999999998</v>
      </c>
      <c r="M53" t="s">
        <v>182</v>
      </c>
      <c r="N53">
        <f t="shared" si="0"/>
        <v>126.93979999999999</v>
      </c>
      <c r="O53" t="s">
        <v>182</v>
      </c>
      <c r="Q53" t="s">
        <v>182</v>
      </c>
      <c r="R53" s="1"/>
      <c r="S53" t="s">
        <v>182</v>
      </c>
    </row>
    <row r="54" spans="1:19" x14ac:dyDescent="0.25">
      <c r="B54" s="5" t="s">
        <v>182</v>
      </c>
      <c r="C54" t="s">
        <v>510</v>
      </c>
      <c r="E54" t="s">
        <v>182</v>
      </c>
      <c r="G54" t="s">
        <v>182</v>
      </c>
      <c r="I54" t="s">
        <v>182</v>
      </c>
      <c r="K54" t="s">
        <v>182</v>
      </c>
      <c r="M54" t="s">
        <v>182</v>
      </c>
      <c r="O54" t="s">
        <v>182</v>
      </c>
      <c r="Q54" t="s">
        <v>182</v>
      </c>
      <c r="R54" s="1"/>
      <c r="S54" t="s">
        <v>182</v>
      </c>
    </row>
    <row r="55" spans="1:19" x14ac:dyDescent="0.25">
      <c r="B55" s="5" t="s">
        <v>182</v>
      </c>
      <c r="C55" t="s">
        <v>449</v>
      </c>
      <c r="E55" t="s">
        <v>182</v>
      </c>
      <c r="G55" t="s">
        <v>182</v>
      </c>
      <c r="H55" s="32">
        <v>16</v>
      </c>
      <c r="I55" t="s">
        <v>182</v>
      </c>
      <c r="J55">
        <v>81</v>
      </c>
      <c r="K55" t="s">
        <v>182</v>
      </c>
      <c r="L55">
        <v>81.97</v>
      </c>
      <c r="M55" t="s">
        <v>182</v>
      </c>
      <c r="N55">
        <f>SUM(H55:L55)</f>
        <v>178.97</v>
      </c>
      <c r="O55" t="s">
        <v>182</v>
      </c>
      <c r="Q55" t="s">
        <v>182</v>
      </c>
      <c r="R55" s="1"/>
      <c r="S55" t="s">
        <v>182</v>
      </c>
    </row>
    <row r="56" spans="1:19" x14ac:dyDescent="0.25">
      <c r="B56" s="5" t="s">
        <v>182</v>
      </c>
      <c r="E56" t="s">
        <v>182</v>
      </c>
      <c r="G56" t="s">
        <v>182</v>
      </c>
      <c r="I56" t="s">
        <v>182</v>
      </c>
      <c r="K56" t="s">
        <v>182</v>
      </c>
      <c r="M56" t="s">
        <v>182</v>
      </c>
      <c r="O56" t="s">
        <v>182</v>
      </c>
      <c r="Q56" t="s">
        <v>182</v>
      </c>
      <c r="R56" s="1"/>
      <c r="S56" t="s">
        <v>182</v>
      </c>
    </row>
    <row r="57" spans="1:19" x14ac:dyDescent="0.25">
      <c r="B57" s="5" t="s">
        <v>182</v>
      </c>
      <c r="C57" t="s">
        <v>511</v>
      </c>
      <c r="E57" t="s">
        <v>182</v>
      </c>
      <c r="F57">
        <f>SUM(F45:F55)</f>
        <v>0</v>
      </c>
      <c r="G57" t="s">
        <v>182</v>
      </c>
      <c r="H57">
        <f>SUM(H45:H55)</f>
        <v>1008.64</v>
      </c>
      <c r="I57" t="s">
        <v>182</v>
      </c>
      <c r="J57">
        <f>SUM(J45:J55)</f>
        <v>3987</v>
      </c>
      <c r="K57" t="s">
        <v>182</v>
      </c>
      <c r="L57">
        <f>SUM(L45:L55)</f>
        <v>4741.8498000000009</v>
      </c>
      <c r="M57" t="s">
        <v>182</v>
      </c>
      <c r="N57" s="26">
        <f>SUM(H57:L57)</f>
        <v>9737.4898000000012</v>
      </c>
      <c r="O57" t="s">
        <v>182</v>
      </c>
      <c r="P57">
        <f>F57+(N57*125)</f>
        <v>1217186.2250000001</v>
      </c>
      <c r="Q57" t="s">
        <v>182</v>
      </c>
      <c r="R57" s="1">
        <f>P57/365/1000</f>
        <v>3.3347567808219183</v>
      </c>
      <c r="S57" t="s">
        <v>182</v>
      </c>
    </row>
    <row r="58" spans="1:19" x14ac:dyDescent="0.25">
      <c r="B58" s="5" t="s">
        <v>182</v>
      </c>
      <c r="C58" t="s">
        <v>512</v>
      </c>
      <c r="E58" t="s">
        <v>182</v>
      </c>
      <c r="G58" t="s">
        <v>182</v>
      </c>
      <c r="H58" t="s">
        <v>198</v>
      </c>
      <c r="I58" t="s">
        <v>182</v>
      </c>
      <c r="K58" t="s">
        <v>182</v>
      </c>
      <c r="M58" t="s">
        <v>182</v>
      </c>
      <c r="O58" t="s">
        <v>182</v>
      </c>
      <c r="Q58" t="s">
        <v>182</v>
      </c>
      <c r="R58" s="1"/>
      <c r="S58" t="s">
        <v>182</v>
      </c>
    </row>
    <row r="59" spans="1:19" x14ac:dyDescent="0.25">
      <c r="A59" t="s">
        <v>404</v>
      </c>
      <c r="B59" s="5" t="s">
        <v>405</v>
      </c>
      <c r="C59" t="s">
        <v>406</v>
      </c>
      <c r="D59" t="s">
        <v>406</v>
      </c>
      <c r="E59" t="s">
        <v>405</v>
      </c>
      <c r="F59" t="s">
        <v>407</v>
      </c>
      <c r="G59" t="s">
        <v>405</v>
      </c>
      <c r="H59" t="s">
        <v>408</v>
      </c>
      <c r="I59" t="s">
        <v>405</v>
      </c>
      <c r="J59" t="s">
        <v>409</v>
      </c>
      <c r="K59" t="s">
        <v>405</v>
      </c>
      <c r="L59" t="s">
        <v>409</v>
      </c>
      <c r="M59" t="s">
        <v>405</v>
      </c>
      <c r="N59" t="s">
        <v>408</v>
      </c>
      <c r="O59" t="s">
        <v>405</v>
      </c>
      <c r="P59" t="s">
        <v>410</v>
      </c>
      <c r="Q59" t="s">
        <v>405</v>
      </c>
      <c r="R59" s="1" t="s">
        <v>409</v>
      </c>
      <c r="S59" t="s">
        <v>411</v>
      </c>
    </row>
    <row r="60" spans="1:19" ht="13" x14ac:dyDescent="0.3">
      <c r="A60" t="s">
        <v>513</v>
      </c>
      <c r="B60" s="5" t="s">
        <v>507</v>
      </c>
      <c r="C60" t="s">
        <v>514</v>
      </c>
      <c r="D60" t="s">
        <v>514</v>
      </c>
      <c r="E60" t="s">
        <v>182</v>
      </c>
      <c r="G60" t="s">
        <v>182</v>
      </c>
      <c r="H60" s="19"/>
      <c r="L60" s="19"/>
      <c r="M60" t="s">
        <v>182</v>
      </c>
      <c r="N60" s="19">
        <f>SUM(H60:L60)</f>
        <v>0</v>
      </c>
      <c r="O60" t="s">
        <v>182</v>
      </c>
      <c r="Q60" t="s">
        <v>182</v>
      </c>
      <c r="R60" s="1"/>
      <c r="S60" t="s">
        <v>182</v>
      </c>
    </row>
    <row r="61" spans="1:19" x14ac:dyDescent="0.25">
      <c r="A61" s="36" t="s">
        <v>515</v>
      </c>
      <c r="B61" s="37" t="s">
        <v>182</v>
      </c>
      <c r="C61" s="36" t="s">
        <v>516</v>
      </c>
      <c r="D61" s="36" t="s">
        <v>517</v>
      </c>
      <c r="E61" t="s">
        <v>182</v>
      </c>
      <c r="G61" t="s">
        <v>182</v>
      </c>
      <c r="I61" t="s">
        <v>182</v>
      </c>
      <c r="K61" t="s">
        <v>182</v>
      </c>
      <c r="M61" t="s">
        <v>182</v>
      </c>
      <c r="N61">
        <f>SUM(H61:L61)</f>
        <v>0</v>
      </c>
      <c r="O61" t="s">
        <v>182</v>
      </c>
      <c r="Q61" t="s">
        <v>182</v>
      </c>
      <c r="R61" s="1"/>
      <c r="S61" t="s">
        <v>182</v>
      </c>
    </row>
    <row r="62" spans="1:19" x14ac:dyDescent="0.25">
      <c r="B62" s="5" t="s">
        <v>182</v>
      </c>
      <c r="E62" t="s">
        <v>182</v>
      </c>
      <c r="G62" t="s">
        <v>182</v>
      </c>
      <c r="I62" t="s">
        <v>182</v>
      </c>
      <c r="K62" t="s">
        <v>182</v>
      </c>
      <c r="M62" t="s">
        <v>182</v>
      </c>
      <c r="O62" t="s">
        <v>182</v>
      </c>
      <c r="Q62" t="s">
        <v>182</v>
      </c>
      <c r="R62" s="1"/>
      <c r="S62" t="s">
        <v>182</v>
      </c>
    </row>
    <row r="63" spans="1:19" x14ac:dyDescent="0.25">
      <c r="B63" s="5" t="s">
        <v>182</v>
      </c>
      <c r="C63" t="s">
        <v>518</v>
      </c>
      <c r="E63" t="s">
        <v>182</v>
      </c>
      <c r="F63">
        <f>SUM(F60:F61)</f>
        <v>0</v>
      </c>
      <c r="G63" t="s">
        <v>182</v>
      </c>
      <c r="H63">
        <f>SUM(H60:H61)</f>
        <v>0</v>
      </c>
      <c r="I63" t="s">
        <v>182</v>
      </c>
      <c r="J63">
        <f>SUM(J60:J61)</f>
        <v>0</v>
      </c>
      <c r="K63" t="s">
        <v>182</v>
      </c>
      <c r="L63">
        <f>SUM(L60:L61)</f>
        <v>0</v>
      </c>
      <c r="M63" t="s">
        <v>182</v>
      </c>
      <c r="N63" s="26">
        <f>SUM(H63:L63)</f>
        <v>0</v>
      </c>
      <c r="O63" t="s">
        <v>182</v>
      </c>
      <c r="P63">
        <f>F63+(N63*125)</f>
        <v>0</v>
      </c>
      <c r="Q63" t="s">
        <v>182</v>
      </c>
      <c r="R63" s="1">
        <f>P63/365/1000</f>
        <v>0</v>
      </c>
      <c r="S63" t="s">
        <v>182</v>
      </c>
    </row>
    <row r="64" spans="1:19" x14ac:dyDescent="0.25">
      <c r="A64" t="s">
        <v>404</v>
      </c>
      <c r="B64" s="5" t="s">
        <v>405</v>
      </c>
      <c r="C64" t="s">
        <v>406</v>
      </c>
      <c r="D64" t="s">
        <v>406</v>
      </c>
      <c r="E64" t="s">
        <v>405</v>
      </c>
      <c r="F64" t="s">
        <v>407</v>
      </c>
      <c r="G64" t="s">
        <v>405</v>
      </c>
      <c r="H64" t="s">
        <v>408</v>
      </c>
      <c r="I64" t="s">
        <v>405</v>
      </c>
      <c r="J64" t="s">
        <v>409</v>
      </c>
      <c r="K64" t="s">
        <v>405</v>
      </c>
      <c r="L64" t="s">
        <v>409</v>
      </c>
      <c r="M64" t="s">
        <v>405</v>
      </c>
      <c r="N64" t="s">
        <v>408</v>
      </c>
      <c r="O64" t="s">
        <v>405</v>
      </c>
      <c r="P64" t="s">
        <v>410</v>
      </c>
      <c r="Q64" t="s">
        <v>405</v>
      </c>
      <c r="R64" s="1" t="s">
        <v>409</v>
      </c>
      <c r="S64" t="s">
        <v>411</v>
      </c>
    </row>
    <row r="65" spans="1:19" x14ac:dyDescent="0.25">
      <c r="A65" s="36" t="s">
        <v>519</v>
      </c>
      <c r="B65" s="37" t="s">
        <v>182</v>
      </c>
      <c r="C65" s="36" t="s">
        <v>520</v>
      </c>
      <c r="D65" s="36" t="s">
        <v>520</v>
      </c>
      <c r="E65" t="s">
        <v>182</v>
      </c>
      <c r="F65" s="3"/>
      <c r="G65" t="s">
        <v>182</v>
      </c>
      <c r="H65">
        <v>6</v>
      </c>
      <c r="I65" t="s">
        <v>182</v>
      </c>
      <c r="J65">
        <v>58</v>
      </c>
      <c r="K65" t="s">
        <v>182</v>
      </c>
      <c r="L65">
        <v>0.61</v>
      </c>
      <c r="M65" t="s">
        <v>182</v>
      </c>
      <c r="N65">
        <f>SUM(H65:L65)</f>
        <v>64.61</v>
      </c>
      <c r="O65" t="s">
        <v>182</v>
      </c>
      <c r="Q65" t="s">
        <v>182</v>
      </c>
      <c r="R65" s="1"/>
      <c r="S65" t="s">
        <v>182</v>
      </c>
    </row>
    <row r="66" spans="1:19" x14ac:dyDescent="0.25">
      <c r="A66" s="36" t="s">
        <v>521</v>
      </c>
      <c r="B66" s="37" t="s">
        <v>182</v>
      </c>
      <c r="C66" s="36" t="s">
        <v>522</v>
      </c>
      <c r="D66" s="36" t="s">
        <v>522</v>
      </c>
      <c r="E66" t="s">
        <v>182</v>
      </c>
      <c r="F66" s="3"/>
      <c r="G66" t="s">
        <v>182</v>
      </c>
      <c r="H66">
        <v>56</v>
      </c>
      <c r="I66" t="s">
        <v>182</v>
      </c>
      <c r="K66" t="s">
        <v>182</v>
      </c>
      <c r="L66">
        <v>1.137</v>
      </c>
      <c r="M66" t="s">
        <v>182</v>
      </c>
      <c r="N66">
        <f>SUM(H66:L66)</f>
        <v>57.137</v>
      </c>
      <c r="O66" t="s">
        <v>182</v>
      </c>
      <c r="Q66" t="s">
        <v>182</v>
      </c>
      <c r="R66" s="1"/>
      <c r="S66" t="s">
        <v>182</v>
      </c>
    </row>
    <row r="67" spans="1:19" x14ac:dyDescent="0.25">
      <c r="A67" s="36" t="s">
        <v>523</v>
      </c>
      <c r="B67" s="37" t="s">
        <v>182</v>
      </c>
      <c r="C67" s="36" t="s">
        <v>524</v>
      </c>
      <c r="D67" s="36" t="s">
        <v>525</v>
      </c>
      <c r="E67" t="s">
        <v>182</v>
      </c>
      <c r="F67" s="3"/>
      <c r="G67" t="s">
        <v>182</v>
      </c>
      <c r="H67">
        <v>529</v>
      </c>
      <c r="I67" t="s">
        <v>182</v>
      </c>
      <c r="J67">
        <v>4</v>
      </c>
      <c r="K67" t="s">
        <v>182</v>
      </c>
      <c r="L67">
        <v>34.877000000000002</v>
      </c>
      <c r="M67" t="s">
        <v>182</v>
      </c>
      <c r="N67">
        <f>SUM(H67:L67)</f>
        <v>567.87699999999995</v>
      </c>
      <c r="O67" t="s">
        <v>182</v>
      </c>
      <c r="Q67" t="s">
        <v>182</v>
      </c>
      <c r="R67" s="1"/>
      <c r="S67" t="s">
        <v>182</v>
      </c>
    </row>
    <row r="68" spans="1:19" x14ac:dyDescent="0.25">
      <c r="A68" s="36" t="s">
        <v>526</v>
      </c>
      <c r="B68" s="37" t="s">
        <v>182</v>
      </c>
      <c r="C68" s="36" t="s">
        <v>527</v>
      </c>
      <c r="D68" s="36" t="s">
        <v>527</v>
      </c>
      <c r="E68" t="s">
        <v>182</v>
      </c>
      <c r="F68" s="3"/>
      <c r="G68" t="s">
        <v>182</v>
      </c>
      <c r="H68">
        <v>103</v>
      </c>
      <c r="I68" t="s">
        <v>182</v>
      </c>
      <c r="K68" t="s">
        <v>182</v>
      </c>
      <c r="L68">
        <v>20.285</v>
      </c>
      <c r="M68" t="s">
        <v>182</v>
      </c>
      <c r="N68">
        <f>SUM(H68:L68)</f>
        <v>123.285</v>
      </c>
      <c r="O68" t="s">
        <v>182</v>
      </c>
      <c r="Q68" t="s">
        <v>182</v>
      </c>
      <c r="R68" s="1"/>
      <c r="S68" t="s">
        <v>182</v>
      </c>
    </row>
    <row r="69" spans="1:19" x14ac:dyDescent="0.25">
      <c r="A69" s="36" t="s">
        <v>528</v>
      </c>
      <c r="B69" s="37" t="s">
        <v>182</v>
      </c>
      <c r="C69" s="36" t="s">
        <v>529</v>
      </c>
      <c r="D69" s="36" t="s">
        <v>530</v>
      </c>
      <c r="E69" t="s">
        <v>182</v>
      </c>
      <c r="F69" s="3"/>
      <c r="G69" t="s">
        <v>182</v>
      </c>
      <c r="H69">
        <v>146</v>
      </c>
      <c r="I69" t="s">
        <v>182</v>
      </c>
      <c r="K69" t="s">
        <v>182</v>
      </c>
      <c r="M69" t="s">
        <v>182</v>
      </c>
      <c r="N69">
        <f>SUM(H69:L69)</f>
        <v>146</v>
      </c>
      <c r="O69" t="s">
        <v>182</v>
      </c>
      <c r="Q69" t="s">
        <v>182</v>
      </c>
      <c r="R69" s="1"/>
      <c r="S69" t="s">
        <v>182</v>
      </c>
    </row>
    <row r="70" spans="1:19" x14ac:dyDescent="0.25">
      <c r="A70" s="36" t="s">
        <v>531</v>
      </c>
      <c r="B70" s="37" t="s">
        <v>182</v>
      </c>
      <c r="C70" s="36" t="s">
        <v>532</v>
      </c>
      <c r="D70" s="36" t="s">
        <v>533</v>
      </c>
      <c r="E70" t="s">
        <v>182</v>
      </c>
      <c r="F70" s="3" t="e">
        <f>#REF!*365*1000</f>
        <v>#REF!</v>
      </c>
      <c r="G70" t="s">
        <v>405</v>
      </c>
      <c r="H70">
        <v>0</v>
      </c>
      <c r="I70" t="s">
        <v>534</v>
      </c>
      <c r="J70">
        <v>0</v>
      </c>
      <c r="K70" t="s">
        <v>405</v>
      </c>
      <c r="L70">
        <v>0</v>
      </c>
      <c r="M70" t="s">
        <v>405</v>
      </c>
      <c r="N70">
        <v>0</v>
      </c>
      <c r="O70" t="s">
        <v>405</v>
      </c>
      <c r="P70" t="e">
        <f>F70</f>
        <v>#REF!</v>
      </c>
      <c r="Q70" t="s">
        <v>182</v>
      </c>
      <c r="R70" s="1" t="e">
        <f>P70/365/1000</f>
        <v>#REF!</v>
      </c>
      <c r="S70" t="s">
        <v>182</v>
      </c>
    </row>
    <row r="71" spans="1:19" x14ac:dyDescent="0.25">
      <c r="A71" s="36" t="s">
        <v>535</v>
      </c>
      <c r="B71" s="37" t="s">
        <v>182</v>
      </c>
      <c r="C71" s="36" t="s">
        <v>490</v>
      </c>
      <c r="D71" s="36" t="s">
        <v>536</v>
      </c>
      <c r="E71" t="s">
        <v>182</v>
      </c>
      <c r="F71" s="3"/>
      <c r="G71" t="s">
        <v>182</v>
      </c>
      <c r="H71">
        <v>581</v>
      </c>
      <c r="I71" t="s">
        <v>182</v>
      </c>
      <c r="J71">
        <v>18</v>
      </c>
      <c r="K71" t="s">
        <v>182</v>
      </c>
      <c r="L71">
        <v>4.6980000000000004</v>
      </c>
      <c r="M71" t="s">
        <v>182</v>
      </c>
      <c r="N71">
        <f>SUM(H71:L71)</f>
        <v>603.69799999999998</v>
      </c>
      <c r="O71" t="s">
        <v>182</v>
      </c>
      <c r="Q71" t="s">
        <v>182</v>
      </c>
      <c r="R71" s="1"/>
      <c r="S71" t="s">
        <v>182</v>
      </c>
    </row>
    <row r="72" spans="1:19" x14ac:dyDescent="0.25">
      <c r="A72" s="36" t="s">
        <v>537</v>
      </c>
      <c r="B72" s="37" t="s">
        <v>182</v>
      </c>
      <c r="C72" s="36" t="s">
        <v>538</v>
      </c>
      <c r="D72" s="36" t="s">
        <v>539</v>
      </c>
      <c r="E72" t="s">
        <v>182</v>
      </c>
      <c r="F72" s="3"/>
      <c r="G72" t="s">
        <v>182</v>
      </c>
      <c r="H72">
        <v>444</v>
      </c>
      <c r="I72" t="s">
        <v>182</v>
      </c>
      <c r="K72" t="s">
        <v>182</v>
      </c>
      <c r="L72">
        <v>18.731000000000002</v>
      </c>
      <c r="M72" t="s">
        <v>182</v>
      </c>
      <c r="N72">
        <f>SUM(H72:L72)</f>
        <v>462.73099999999999</v>
      </c>
      <c r="O72" t="s">
        <v>182</v>
      </c>
      <c r="Q72" t="s">
        <v>182</v>
      </c>
      <c r="R72" s="1"/>
      <c r="S72" t="s">
        <v>182</v>
      </c>
    </row>
    <row r="73" spans="1:19" x14ac:dyDescent="0.25">
      <c r="A73" s="36" t="s">
        <v>540</v>
      </c>
      <c r="B73" s="37" t="s">
        <v>182</v>
      </c>
      <c r="C73" s="36" t="s">
        <v>541</v>
      </c>
      <c r="D73" s="36" t="s">
        <v>542</v>
      </c>
      <c r="E73" t="s">
        <v>182</v>
      </c>
      <c r="F73" s="3"/>
      <c r="G73" t="s">
        <v>182</v>
      </c>
      <c r="H73">
        <v>36</v>
      </c>
      <c r="I73" t="s">
        <v>182</v>
      </c>
      <c r="K73" t="s">
        <v>182</v>
      </c>
      <c r="M73" t="s">
        <v>182</v>
      </c>
      <c r="N73">
        <f>SUM(H73:L73)</f>
        <v>36</v>
      </c>
      <c r="O73" t="s">
        <v>182</v>
      </c>
      <c r="Q73" t="s">
        <v>182</v>
      </c>
      <c r="R73" s="1"/>
      <c r="S73" t="s">
        <v>182</v>
      </c>
    </row>
    <row r="74" spans="1:19" x14ac:dyDescent="0.25">
      <c r="A74" s="36" t="s">
        <v>543</v>
      </c>
      <c r="B74" s="37" t="s">
        <v>182</v>
      </c>
      <c r="C74" s="36" t="s">
        <v>544</v>
      </c>
      <c r="D74" s="36" t="s">
        <v>545</v>
      </c>
      <c r="E74" t="s">
        <v>182</v>
      </c>
      <c r="F74" s="3"/>
      <c r="G74" t="s">
        <v>182</v>
      </c>
      <c r="H74">
        <v>567</v>
      </c>
      <c r="I74" t="s">
        <v>182</v>
      </c>
      <c r="J74">
        <v>30</v>
      </c>
      <c r="K74" t="s">
        <v>182</v>
      </c>
      <c r="L74">
        <v>2.9630000000000001</v>
      </c>
      <c r="M74" t="s">
        <v>182</v>
      </c>
      <c r="N74">
        <f>SUM(H74:L74)</f>
        <v>599.96299999999997</v>
      </c>
      <c r="O74" t="s">
        <v>182</v>
      </c>
      <c r="Q74" t="s">
        <v>182</v>
      </c>
      <c r="R74" s="1"/>
      <c r="S74" t="s">
        <v>182</v>
      </c>
    </row>
    <row r="75" spans="1:19" x14ac:dyDescent="0.25">
      <c r="E75" t="s">
        <v>182</v>
      </c>
      <c r="G75" t="s">
        <v>182</v>
      </c>
      <c r="I75" t="s">
        <v>182</v>
      </c>
      <c r="K75" t="s">
        <v>182</v>
      </c>
      <c r="M75" t="s">
        <v>182</v>
      </c>
      <c r="O75" t="s">
        <v>182</v>
      </c>
      <c r="Q75" t="s">
        <v>182</v>
      </c>
      <c r="R75" s="1"/>
      <c r="S75" t="s">
        <v>182</v>
      </c>
    </row>
    <row r="76" spans="1:19" x14ac:dyDescent="0.25">
      <c r="B76" s="5" t="s">
        <v>182</v>
      </c>
      <c r="E76" t="s">
        <v>182</v>
      </c>
      <c r="G76" t="s">
        <v>405</v>
      </c>
      <c r="I76" t="s">
        <v>182</v>
      </c>
      <c r="K76" t="s">
        <v>182</v>
      </c>
      <c r="M76" t="s">
        <v>182</v>
      </c>
      <c r="O76" t="s">
        <v>182</v>
      </c>
      <c r="P76">
        <f>F76+(N76*125)</f>
        <v>0</v>
      </c>
      <c r="Q76" t="s">
        <v>182</v>
      </c>
      <c r="R76" s="1">
        <f>P76/365/1000</f>
        <v>0</v>
      </c>
      <c r="S76" t="s">
        <v>182</v>
      </c>
    </row>
    <row r="77" spans="1:19" x14ac:dyDescent="0.25">
      <c r="A77" t="s">
        <v>404</v>
      </c>
      <c r="B77" s="5" t="s">
        <v>405</v>
      </c>
      <c r="C77" t="s">
        <v>406</v>
      </c>
      <c r="D77" t="s">
        <v>406</v>
      </c>
      <c r="E77" t="s">
        <v>405</v>
      </c>
      <c r="F77" t="s">
        <v>407</v>
      </c>
      <c r="G77" t="s">
        <v>405</v>
      </c>
      <c r="H77" t="s">
        <v>408</v>
      </c>
      <c r="I77" t="s">
        <v>405</v>
      </c>
      <c r="J77" t="s">
        <v>409</v>
      </c>
      <c r="K77" t="s">
        <v>405</v>
      </c>
      <c r="L77" t="s">
        <v>409</v>
      </c>
      <c r="M77" t="s">
        <v>405</v>
      </c>
      <c r="N77" t="s">
        <v>408</v>
      </c>
      <c r="O77" t="s">
        <v>405</v>
      </c>
      <c r="P77" t="s">
        <v>410</v>
      </c>
      <c r="Q77" t="s">
        <v>405</v>
      </c>
      <c r="R77" s="1" t="s">
        <v>409</v>
      </c>
      <c r="S77" t="s">
        <v>411</v>
      </c>
    </row>
    <row r="78" spans="1:19" x14ac:dyDescent="0.25">
      <c r="B78" s="5" t="s">
        <v>182</v>
      </c>
      <c r="C78" s="3" t="s">
        <v>546</v>
      </c>
      <c r="D78" s="3"/>
      <c r="E78" s="3" t="s">
        <v>182</v>
      </c>
      <c r="F78" s="3" t="e">
        <f>SUM(F65:F74)</f>
        <v>#REF!</v>
      </c>
      <c r="G78" s="3" t="s">
        <v>182</v>
      </c>
      <c r="H78" s="3">
        <f>SUM(H65:H74)-H70</f>
        <v>2468</v>
      </c>
      <c r="I78" s="3" t="s">
        <v>182</v>
      </c>
      <c r="J78" s="3">
        <f>SUM(J65:J74)-J70</f>
        <v>110</v>
      </c>
      <c r="K78" s="3" t="s">
        <v>182</v>
      </c>
      <c r="L78" s="3">
        <f>SUM(L65:L74)-L70</f>
        <v>83.301000000000002</v>
      </c>
      <c r="M78" s="3" t="s">
        <v>182</v>
      </c>
      <c r="N78" s="3">
        <f>SUM(H78:L78)</f>
        <v>2661.3009999999999</v>
      </c>
      <c r="O78" s="3" t="s">
        <v>182</v>
      </c>
      <c r="P78" s="3" t="e">
        <f>F78+(N78*125)</f>
        <v>#REF!</v>
      </c>
      <c r="Q78" s="3" t="s">
        <v>182</v>
      </c>
      <c r="R78" s="6" t="e">
        <f>P78/365/1000</f>
        <v>#REF!</v>
      </c>
      <c r="S78" t="s">
        <v>182</v>
      </c>
    </row>
    <row r="79" spans="1:19" x14ac:dyDescent="0.25">
      <c r="A79" t="s">
        <v>404</v>
      </c>
      <c r="B79" s="5" t="s">
        <v>405</v>
      </c>
      <c r="C79" t="s">
        <v>406</v>
      </c>
      <c r="D79" t="s">
        <v>406</v>
      </c>
      <c r="E79" t="s">
        <v>405</v>
      </c>
      <c r="F79" t="s">
        <v>407</v>
      </c>
      <c r="G79" t="s">
        <v>405</v>
      </c>
      <c r="H79" t="s">
        <v>408</v>
      </c>
      <c r="I79" t="s">
        <v>405</v>
      </c>
      <c r="J79" t="s">
        <v>409</v>
      </c>
      <c r="K79" t="s">
        <v>405</v>
      </c>
      <c r="L79" t="s">
        <v>409</v>
      </c>
      <c r="M79" t="s">
        <v>405</v>
      </c>
      <c r="N79" t="s">
        <v>408</v>
      </c>
      <c r="O79" t="s">
        <v>405</v>
      </c>
      <c r="P79" t="s">
        <v>410</v>
      </c>
      <c r="Q79" t="s">
        <v>405</v>
      </c>
      <c r="R79" s="1" t="s">
        <v>409</v>
      </c>
      <c r="S79" t="s">
        <v>411</v>
      </c>
    </row>
    <row r="80" spans="1:19" x14ac:dyDescent="0.25">
      <c r="A80" t="s">
        <v>547</v>
      </c>
      <c r="B80" s="5" t="s">
        <v>182</v>
      </c>
      <c r="C80" t="s">
        <v>548</v>
      </c>
      <c r="D80" t="s">
        <v>549</v>
      </c>
      <c r="E80" t="s">
        <v>182</v>
      </c>
      <c r="F80" s="21" t="e">
        <f>#REF!*365*1000</f>
        <v>#REF!</v>
      </c>
      <c r="G80" t="s">
        <v>182</v>
      </c>
      <c r="I80" t="s">
        <v>182</v>
      </c>
      <c r="K80" t="s">
        <v>182</v>
      </c>
      <c r="M80" t="s">
        <v>182</v>
      </c>
      <c r="O80" t="s">
        <v>182</v>
      </c>
      <c r="P80" t="e">
        <f>F80+(N80*125)</f>
        <v>#REF!</v>
      </c>
      <c r="Q80" t="s">
        <v>182</v>
      </c>
      <c r="R80" s="1" t="e">
        <f>P80/365/1000</f>
        <v>#REF!</v>
      </c>
      <c r="S80" t="s">
        <v>182</v>
      </c>
    </row>
    <row r="81" spans="1:19" x14ac:dyDescent="0.25">
      <c r="A81" t="s">
        <v>404</v>
      </c>
      <c r="B81" s="5" t="s">
        <v>405</v>
      </c>
      <c r="C81" t="s">
        <v>406</v>
      </c>
      <c r="D81" t="s">
        <v>406</v>
      </c>
      <c r="E81" t="s">
        <v>405</v>
      </c>
      <c r="F81" t="s">
        <v>407</v>
      </c>
      <c r="G81" t="s">
        <v>405</v>
      </c>
      <c r="H81" t="s">
        <v>408</v>
      </c>
      <c r="I81" t="s">
        <v>405</v>
      </c>
      <c r="J81" t="s">
        <v>409</v>
      </c>
      <c r="K81" t="s">
        <v>405</v>
      </c>
      <c r="L81" t="s">
        <v>409</v>
      </c>
      <c r="M81" t="s">
        <v>405</v>
      </c>
      <c r="N81" t="s">
        <v>408</v>
      </c>
      <c r="O81" t="s">
        <v>405</v>
      </c>
      <c r="P81" t="s">
        <v>410</v>
      </c>
      <c r="Q81" t="s">
        <v>405</v>
      </c>
      <c r="R81" s="1" t="s">
        <v>409</v>
      </c>
      <c r="S81" t="s">
        <v>411</v>
      </c>
    </row>
    <row r="82" spans="1:19" x14ac:dyDescent="0.25">
      <c r="A82" t="s">
        <v>550</v>
      </c>
      <c r="B82" s="5" t="s">
        <v>551</v>
      </c>
      <c r="C82" t="s">
        <v>552</v>
      </c>
      <c r="D82" t="s">
        <v>553</v>
      </c>
      <c r="E82" t="s">
        <v>182</v>
      </c>
      <c r="G82" t="s">
        <v>182</v>
      </c>
      <c r="M82" t="s">
        <v>182</v>
      </c>
      <c r="N82">
        <f t="shared" ref="N82:N90" si="1">SUM(H82:L82)</f>
        <v>0</v>
      </c>
      <c r="O82" t="s">
        <v>182</v>
      </c>
      <c r="Q82" t="s">
        <v>182</v>
      </c>
      <c r="R82" s="1"/>
      <c r="S82" t="s">
        <v>182</v>
      </c>
    </row>
    <row r="83" spans="1:19" x14ac:dyDescent="0.25">
      <c r="A83" t="s">
        <v>554</v>
      </c>
      <c r="B83" s="5" t="s">
        <v>551</v>
      </c>
      <c r="C83" t="s">
        <v>555</v>
      </c>
      <c r="D83" t="s">
        <v>556</v>
      </c>
      <c r="E83" t="s">
        <v>182</v>
      </c>
      <c r="G83" t="s">
        <v>182</v>
      </c>
      <c r="H83">
        <v>1</v>
      </c>
      <c r="I83" t="s">
        <v>182</v>
      </c>
      <c r="M83" t="s">
        <v>182</v>
      </c>
      <c r="N83">
        <f t="shared" si="1"/>
        <v>1</v>
      </c>
      <c r="O83" t="s">
        <v>182</v>
      </c>
      <c r="Q83" t="s">
        <v>182</v>
      </c>
      <c r="R83" s="1"/>
      <c r="S83" t="s">
        <v>182</v>
      </c>
    </row>
    <row r="84" spans="1:19" x14ac:dyDescent="0.25">
      <c r="A84" t="s">
        <v>557</v>
      </c>
      <c r="B84" s="5" t="s">
        <v>551</v>
      </c>
      <c r="C84" t="s">
        <v>558</v>
      </c>
      <c r="D84" t="s">
        <v>558</v>
      </c>
      <c r="E84" t="s">
        <v>182</v>
      </c>
      <c r="G84" t="s">
        <v>182</v>
      </c>
      <c r="H84">
        <v>12</v>
      </c>
      <c r="I84" t="s">
        <v>182</v>
      </c>
      <c r="M84" t="s">
        <v>182</v>
      </c>
      <c r="N84">
        <f t="shared" si="1"/>
        <v>12</v>
      </c>
      <c r="O84" t="s">
        <v>182</v>
      </c>
      <c r="Q84" t="s">
        <v>182</v>
      </c>
      <c r="R84" s="1"/>
      <c r="S84" t="s">
        <v>182</v>
      </c>
    </row>
    <row r="85" spans="1:19" x14ac:dyDescent="0.25">
      <c r="A85" t="s">
        <v>559</v>
      </c>
      <c r="B85" s="5" t="s">
        <v>551</v>
      </c>
      <c r="C85" t="s">
        <v>560</v>
      </c>
      <c r="D85" t="s">
        <v>561</v>
      </c>
      <c r="E85" t="s">
        <v>182</v>
      </c>
      <c r="G85" t="s">
        <v>182</v>
      </c>
      <c r="H85">
        <v>4</v>
      </c>
      <c r="I85" t="s">
        <v>182</v>
      </c>
      <c r="M85" t="s">
        <v>182</v>
      </c>
      <c r="N85">
        <f t="shared" si="1"/>
        <v>4</v>
      </c>
      <c r="O85" t="s">
        <v>182</v>
      </c>
      <c r="Q85" t="s">
        <v>182</v>
      </c>
      <c r="R85" s="1"/>
      <c r="S85" t="s">
        <v>182</v>
      </c>
    </row>
    <row r="86" spans="1:19" x14ac:dyDescent="0.25">
      <c r="A86" t="s">
        <v>562</v>
      </c>
      <c r="B86" s="5" t="s">
        <v>551</v>
      </c>
      <c r="C86" t="s">
        <v>563</v>
      </c>
      <c r="D86" t="s">
        <v>564</v>
      </c>
      <c r="E86" t="s">
        <v>182</v>
      </c>
      <c r="G86" t="s">
        <v>182</v>
      </c>
      <c r="H86">
        <v>421</v>
      </c>
      <c r="I86" t="s">
        <v>182</v>
      </c>
      <c r="J86">
        <v>178</v>
      </c>
      <c r="K86" t="s">
        <v>182</v>
      </c>
      <c r="L86">
        <v>58.338999999999999</v>
      </c>
      <c r="M86" t="s">
        <v>182</v>
      </c>
      <c r="N86">
        <f t="shared" si="1"/>
        <v>657.33899999999994</v>
      </c>
      <c r="O86" t="s">
        <v>182</v>
      </c>
      <c r="Q86" t="s">
        <v>182</v>
      </c>
      <c r="R86" s="1"/>
      <c r="S86" t="s">
        <v>182</v>
      </c>
    </row>
    <row r="87" spans="1:19" x14ac:dyDescent="0.25">
      <c r="A87" t="s">
        <v>565</v>
      </c>
      <c r="B87" s="5" t="s">
        <v>551</v>
      </c>
      <c r="C87" t="s">
        <v>566</v>
      </c>
      <c r="D87" t="s">
        <v>567</v>
      </c>
      <c r="E87" t="s">
        <v>182</v>
      </c>
      <c r="G87" t="s">
        <v>182</v>
      </c>
      <c r="H87">
        <v>10</v>
      </c>
      <c r="I87" t="s">
        <v>182</v>
      </c>
      <c r="K87" t="s">
        <v>182</v>
      </c>
      <c r="M87" t="s">
        <v>182</v>
      </c>
      <c r="N87">
        <f t="shared" si="1"/>
        <v>10</v>
      </c>
      <c r="O87" t="s">
        <v>182</v>
      </c>
      <c r="Q87" t="s">
        <v>182</v>
      </c>
      <c r="R87" s="1"/>
      <c r="S87" t="s">
        <v>182</v>
      </c>
    </row>
    <row r="88" spans="1:19" ht="13" x14ac:dyDescent="0.3">
      <c r="B88" s="5" t="s">
        <v>182</v>
      </c>
      <c r="C88" t="s">
        <v>449</v>
      </c>
      <c r="E88" t="s">
        <v>182</v>
      </c>
      <c r="G88" t="s">
        <v>182</v>
      </c>
      <c r="H88" s="24">
        <v>43</v>
      </c>
      <c r="I88" t="s">
        <v>182</v>
      </c>
      <c r="K88" t="s">
        <v>182</v>
      </c>
      <c r="L88" s="31">
        <v>54.56</v>
      </c>
      <c r="M88" t="s">
        <v>182</v>
      </c>
      <c r="N88" s="31">
        <f t="shared" si="1"/>
        <v>97.56</v>
      </c>
      <c r="O88" t="s">
        <v>182</v>
      </c>
      <c r="Q88" t="s">
        <v>182</v>
      </c>
      <c r="R88" s="1"/>
      <c r="S88" t="s">
        <v>182</v>
      </c>
    </row>
    <row r="89" spans="1:19" ht="13" x14ac:dyDescent="0.3">
      <c r="B89" s="5" t="s">
        <v>182</v>
      </c>
      <c r="C89" t="s">
        <v>568</v>
      </c>
      <c r="E89" t="s">
        <v>182</v>
      </c>
      <c r="G89" t="s">
        <v>182</v>
      </c>
      <c r="H89" s="24">
        <v>3</v>
      </c>
      <c r="I89" t="s">
        <v>182</v>
      </c>
      <c r="J89" s="24">
        <v>23</v>
      </c>
      <c r="K89" t="s">
        <v>182</v>
      </c>
      <c r="L89" s="31">
        <v>9.7260000000000009</v>
      </c>
      <c r="M89" t="s">
        <v>182</v>
      </c>
      <c r="N89">
        <f t="shared" si="1"/>
        <v>35.725999999999999</v>
      </c>
      <c r="O89" t="s">
        <v>182</v>
      </c>
      <c r="Q89" t="s">
        <v>182</v>
      </c>
      <c r="R89" s="1"/>
      <c r="S89" t="s">
        <v>182</v>
      </c>
    </row>
    <row r="90" spans="1:19" x14ac:dyDescent="0.25">
      <c r="C90" t="s">
        <v>569</v>
      </c>
      <c r="H90" s="24">
        <v>2</v>
      </c>
      <c r="L90" s="24">
        <v>51.636000000000003</v>
      </c>
      <c r="N90">
        <f t="shared" si="1"/>
        <v>53.636000000000003</v>
      </c>
      <c r="R90" s="1"/>
    </row>
    <row r="91" spans="1:19" x14ac:dyDescent="0.25">
      <c r="B91" s="5" t="s">
        <v>182</v>
      </c>
      <c r="C91" t="s">
        <v>570</v>
      </c>
      <c r="E91" t="s">
        <v>182</v>
      </c>
      <c r="F91">
        <f>SUM(F82:F88)</f>
        <v>0</v>
      </c>
      <c r="G91" t="s">
        <v>182</v>
      </c>
      <c r="H91" s="24">
        <f>SUM(H82:H90)</f>
        <v>496</v>
      </c>
      <c r="I91" t="s">
        <v>182</v>
      </c>
      <c r="J91" s="24">
        <f>SUM(J82:J89)</f>
        <v>201</v>
      </c>
      <c r="K91" t="s">
        <v>182</v>
      </c>
      <c r="L91" s="24">
        <f>SUM(L82:L90)</f>
        <v>174.261</v>
      </c>
      <c r="M91" t="s">
        <v>182</v>
      </c>
      <c r="N91" s="24">
        <f>SUM(H91:L91)</f>
        <v>871.26099999999997</v>
      </c>
      <c r="O91" t="s">
        <v>182</v>
      </c>
      <c r="P91">
        <f>F91+(N91*125)</f>
        <v>108907.625</v>
      </c>
      <c r="Q91" t="s">
        <v>182</v>
      </c>
      <c r="R91" s="1">
        <f>P91/365/1000</f>
        <v>0.29837705479452059</v>
      </c>
      <c r="S91" t="s">
        <v>182</v>
      </c>
    </row>
    <row r="92" spans="1:19" x14ac:dyDescent="0.25">
      <c r="A92" t="s">
        <v>404</v>
      </c>
      <c r="B92" s="5" t="s">
        <v>405</v>
      </c>
      <c r="C92" t="s">
        <v>406</v>
      </c>
      <c r="D92" t="s">
        <v>406</v>
      </c>
      <c r="E92" t="s">
        <v>405</v>
      </c>
      <c r="F92" t="s">
        <v>407</v>
      </c>
      <c r="G92" t="s">
        <v>405</v>
      </c>
      <c r="H92" t="s">
        <v>408</v>
      </c>
      <c r="I92" t="s">
        <v>405</v>
      </c>
      <c r="J92" t="s">
        <v>409</v>
      </c>
      <c r="K92" t="s">
        <v>405</v>
      </c>
      <c r="L92" t="s">
        <v>409</v>
      </c>
      <c r="M92" t="s">
        <v>405</v>
      </c>
      <c r="N92" t="s">
        <v>408</v>
      </c>
      <c r="O92" t="s">
        <v>405</v>
      </c>
      <c r="P92" t="s">
        <v>410</v>
      </c>
      <c r="Q92" t="s">
        <v>405</v>
      </c>
      <c r="R92" s="1" t="s">
        <v>409</v>
      </c>
      <c r="S92" t="s">
        <v>411</v>
      </c>
    </row>
    <row r="93" spans="1:19" ht="13" x14ac:dyDescent="0.3">
      <c r="A93" t="s">
        <v>571</v>
      </c>
      <c r="B93" s="5" t="s">
        <v>572</v>
      </c>
      <c r="C93" t="s">
        <v>573</v>
      </c>
      <c r="D93" t="s">
        <v>574</v>
      </c>
      <c r="E93" t="s">
        <v>182</v>
      </c>
      <c r="G93" t="s">
        <v>182</v>
      </c>
      <c r="H93">
        <v>20</v>
      </c>
      <c r="I93" t="s">
        <v>182</v>
      </c>
      <c r="K93" t="s">
        <v>182</v>
      </c>
      <c r="L93" s="19">
        <v>2.0760000000000001</v>
      </c>
      <c r="M93" t="s">
        <v>182</v>
      </c>
      <c r="N93" s="19">
        <f t="shared" ref="N93:N100" si="2">SUM(H93:L93)</f>
        <v>22.076000000000001</v>
      </c>
      <c r="O93" t="s">
        <v>182</v>
      </c>
      <c r="Q93" t="s">
        <v>182</v>
      </c>
      <c r="R93" s="1"/>
      <c r="S93" t="s">
        <v>182</v>
      </c>
    </row>
    <row r="94" spans="1:19" ht="13" x14ac:dyDescent="0.3">
      <c r="A94" t="s">
        <v>575</v>
      </c>
      <c r="B94" s="5" t="s">
        <v>576</v>
      </c>
      <c r="C94" t="s">
        <v>577</v>
      </c>
      <c r="D94" t="s">
        <v>578</v>
      </c>
      <c r="E94" t="s">
        <v>182</v>
      </c>
      <c r="G94" t="s">
        <v>182</v>
      </c>
      <c r="H94">
        <v>82</v>
      </c>
      <c r="I94" t="s">
        <v>182</v>
      </c>
      <c r="J94">
        <v>4</v>
      </c>
      <c r="K94" t="s">
        <v>182</v>
      </c>
      <c r="L94" s="19">
        <v>2.4119999999999999</v>
      </c>
      <c r="M94" t="s">
        <v>182</v>
      </c>
      <c r="N94" s="19">
        <f t="shared" si="2"/>
        <v>88.412000000000006</v>
      </c>
      <c r="O94" t="s">
        <v>182</v>
      </c>
      <c r="Q94" t="s">
        <v>182</v>
      </c>
      <c r="R94" s="1"/>
      <c r="S94" t="s">
        <v>182</v>
      </c>
    </row>
    <row r="95" spans="1:19" ht="13" x14ac:dyDescent="0.3">
      <c r="A95" t="s">
        <v>579</v>
      </c>
      <c r="B95" s="5" t="s">
        <v>580</v>
      </c>
      <c r="C95" t="s">
        <v>581</v>
      </c>
      <c r="D95" t="s">
        <v>582</v>
      </c>
      <c r="E95" t="s">
        <v>182</v>
      </c>
      <c r="G95" t="s">
        <v>182</v>
      </c>
      <c r="H95">
        <v>15</v>
      </c>
      <c r="I95" t="s">
        <v>182</v>
      </c>
      <c r="K95" t="s">
        <v>182</v>
      </c>
      <c r="L95" s="19">
        <v>1.9079999999999999</v>
      </c>
      <c r="M95" t="s">
        <v>182</v>
      </c>
      <c r="N95" s="19">
        <f t="shared" si="2"/>
        <v>16.908000000000001</v>
      </c>
      <c r="O95" t="s">
        <v>182</v>
      </c>
      <c r="Q95" t="s">
        <v>182</v>
      </c>
      <c r="R95" s="1"/>
      <c r="S95" t="s">
        <v>182</v>
      </c>
    </row>
    <row r="96" spans="1:19" x14ac:dyDescent="0.25">
      <c r="A96" t="s">
        <v>583</v>
      </c>
      <c r="B96" s="5" t="s">
        <v>584</v>
      </c>
      <c r="C96" t="s">
        <v>585</v>
      </c>
      <c r="D96" t="s">
        <v>586</v>
      </c>
      <c r="E96" t="s">
        <v>182</v>
      </c>
      <c r="G96" t="s">
        <v>182</v>
      </c>
      <c r="H96">
        <v>3</v>
      </c>
      <c r="I96" t="s">
        <v>182</v>
      </c>
      <c r="J96">
        <v>8</v>
      </c>
      <c r="K96" t="s">
        <v>182</v>
      </c>
      <c r="M96" t="s">
        <v>182</v>
      </c>
      <c r="N96">
        <f t="shared" si="2"/>
        <v>11</v>
      </c>
      <c r="O96" t="s">
        <v>182</v>
      </c>
      <c r="Q96" t="s">
        <v>182</v>
      </c>
      <c r="R96" s="1"/>
      <c r="S96" t="s">
        <v>182</v>
      </c>
    </row>
    <row r="97" spans="1:19" ht="13" x14ac:dyDescent="0.3">
      <c r="A97" t="s">
        <v>587</v>
      </c>
      <c r="B97" s="5" t="s">
        <v>588</v>
      </c>
      <c r="C97" t="s">
        <v>589</v>
      </c>
      <c r="D97" t="s">
        <v>590</v>
      </c>
      <c r="E97" t="s">
        <v>182</v>
      </c>
      <c r="G97" t="s">
        <v>182</v>
      </c>
      <c r="H97">
        <v>1</v>
      </c>
      <c r="I97" t="s">
        <v>182</v>
      </c>
      <c r="J97" s="19">
        <v>44</v>
      </c>
      <c r="K97" t="s">
        <v>182</v>
      </c>
      <c r="L97" s="19">
        <v>2.8439999999999999</v>
      </c>
      <c r="M97" t="s">
        <v>182</v>
      </c>
      <c r="N97" s="19">
        <f t="shared" si="2"/>
        <v>47.844000000000001</v>
      </c>
      <c r="O97" t="s">
        <v>182</v>
      </c>
      <c r="Q97" t="s">
        <v>182</v>
      </c>
      <c r="R97" s="1"/>
      <c r="S97" t="s">
        <v>182</v>
      </c>
    </row>
    <row r="98" spans="1:19" ht="13" x14ac:dyDescent="0.3">
      <c r="A98" t="s">
        <v>591</v>
      </c>
      <c r="B98" s="5" t="s">
        <v>592</v>
      </c>
      <c r="C98" t="s">
        <v>593</v>
      </c>
      <c r="D98" t="s">
        <v>594</v>
      </c>
      <c r="E98" t="s">
        <v>182</v>
      </c>
      <c r="G98" t="s">
        <v>182</v>
      </c>
      <c r="I98" t="s">
        <v>182</v>
      </c>
      <c r="K98" t="s">
        <v>182</v>
      </c>
      <c r="L98" s="19">
        <v>3.1080000000000001</v>
      </c>
      <c r="M98" t="s">
        <v>182</v>
      </c>
      <c r="N98" s="19">
        <f t="shared" si="2"/>
        <v>3.1080000000000001</v>
      </c>
      <c r="O98" t="s">
        <v>182</v>
      </c>
      <c r="Q98" t="s">
        <v>182</v>
      </c>
      <c r="R98" s="1"/>
      <c r="S98" t="s">
        <v>182</v>
      </c>
    </row>
    <row r="99" spans="1:19" ht="13" x14ac:dyDescent="0.3">
      <c r="A99" t="s">
        <v>595</v>
      </c>
      <c r="B99" s="5" t="s">
        <v>596</v>
      </c>
      <c r="C99" t="s">
        <v>593</v>
      </c>
      <c r="D99" t="s">
        <v>597</v>
      </c>
      <c r="E99" t="s">
        <v>182</v>
      </c>
      <c r="G99" t="s">
        <v>182</v>
      </c>
      <c r="I99" t="s">
        <v>182</v>
      </c>
      <c r="K99" t="s">
        <v>182</v>
      </c>
      <c r="L99" s="19">
        <v>7.2</v>
      </c>
      <c r="M99" t="s">
        <v>182</v>
      </c>
      <c r="N99" s="19">
        <f t="shared" si="2"/>
        <v>7.2</v>
      </c>
      <c r="O99" t="s">
        <v>182</v>
      </c>
      <c r="Q99" t="s">
        <v>182</v>
      </c>
      <c r="R99" s="1"/>
      <c r="S99" t="s">
        <v>182</v>
      </c>
    </row>
    <row r="100" spans="1:19" x14ac:dyDescent="0.25">
      <c r="A100" t="s">
        <v>598</v>
      </c>
      <c r="B100" s="5" t="s">
        <v>599</v>
      </c>
      <c r="C100" t="s">
        <v>600</v>
      </c>
      <c r="D100" t="s">
        <v>601</v>
      </c>
      <c r="E100" t="s">
        <v>182</v>
      </c>
      <c r="G100" t="s">
        <v>182</v>
      </c>
      <c r="H100">
        <v>40</v>
      </c>
      <c r="I100" t="s">
        <v>182</v>
      </c>
      <c r="K100" t="s">
        <v>182</v>
      </c>
      <c r="M100" t="s">
        <v>182</v>
      </c>
      <c r="N100">
        <f t="shared" si="2"/>
        <v>40</v>
      </c>
      <c r="O100" t="s">
        <v>182</v>
      </c>
      <c r="Q100" t="s">
        <v>182</v>
      </c>
      <c r="R100" s="1"/>
      <c r="S100" t="s">
        <v>182</v>
      </c>
    </row>
    <row r="101" spans="1:19" x14ac:dyDescent="0.25">
      <c r="A101" t="s">
        <v>602</v>
      </c>
      <c r="B101" s="5" t="s">
        <v>182</v>
      </c>
      <c r="C101" t="s">
        <v>603</v>
      </c>
      <c r="D101" t="s">
        <v>604</v>
      </c>
      <c r="E101" t="s">
        <v>182</v>
      </c>
      <c r="F101" s="21" t="e">
        <f>#REF!*365*1000</f>
        <v>#REF!</v>
      </c>
      <c r="G101" t="s">
        <v>405</v>
      </c>
      <c r="H101" t="s">
        <v>408</v>
      </c>
      <c r="I101" t="s">
        <v>405</v>
      </c>
      <c r="J101" t="s">
        <v>409</v>
      </c>
      <c r="K101" t="s">
        <v>405</v>
      </c>
      <c r="L101" t="s">
        <v>409</v>
      </c>
      <c r="M101" t="s">
        <v>405</v>
      </c>
      <c r="N101" t="s">
        <v>408</v>
      </c>
      <c r="O101" t="s">
        <v>405</v>
      </c>
      <c r="P101" t="e">
        <f>F101</f>
        <v>#REF!</v>
      </c>
      <c r="Q101" t="s">
        <v>182</v>
      </c>
      <c r="R101" s="1" t="e">
        <f>P101/365/1000</f>
        <v>#REF!</v>
      </c>
      <c r="S101" t="s">
        <v>182</v>
      </c>
    </row>
    <row r="102" spans="1:19" x14ac:dyDescent="0.25">
      <c r="A102" t="s">
        <v>605</v>
      </c>
      <c r="B102" s="5" t="s">
        <v>606</v>
      </c>
      <c r="C102" t="s">
        <v>607</v>
      </c>
      <c r="D102" t="s">
        <v>608</v>
      </c>
      <c r="E102" t="s">
        <v>182</v>
      </c>
      <c r="G102" t="s">
        <v>182</v>
      </c>
      <c r="I102" t="s">
        <v>182</v>
      </c>
      <c r="K102" t="s">
        <v>182</v>
      </c>
      <c r="M102" t="s">
        <v>182</v>
      </c>
      <c r="N102">
        <f>SUM(H102:L102)</f>
        <v>0</v>
      </c>
      <c r="O102" t="s">
        <v>182</v>
      </c>
      <c r="Q102" t="s">
        <v>182</v>
      </c>
      <c r="R102" s="1"/>
      <c r="S102" t="s">
        <v>182</v>
      </c>
    </row>
    <row r="103" spans="1:19" x14ac:dyDescent="0.25">
      <c r="A103" t="s">
        <v>609</v>
      </c>
      <c r="B103" s="5" t="s">
        <v>606</v>
      </c>
      <c r="C103" t="s">
        <v>610</v>
      </c>
      <c r="D103" t="s">
        <v>611</v>
      </c>
      <c r="E103" t="s">
        <v>182</v>
      </c>
      <c r="G103" t="s">
        <v>182</v>
      </c>
      <c r="H103">
        <v>7</v>
      </c>
      <c r="I103" t="s">
        <v>182</v>
      </c>
      <c r="K103" t="s">
        <v>182</v>
      </c>
      <c r="M103" t="s">
        <v>182</v>
      </c>
      <c r="N103">
        <f>SUM(H103:L103)</f>
        <v>7</v>
      </c>
      <c r="O103" t="s">
        <v>182</v>
      </c>
      <c r="Q103" t="s">
        <v>182</v>
      </c>
      <c r="R103" s="1"/>
      <c r="S103" t="s">
        <v>182</v>
      </c>
    </row>
    <row r="104" spans="1:19" x14ac:dyDescent="0.25">
      <c r="B104" s="5" t="s">
        <v>182</v>
      </c>
      <c r="C104" t="s">
        <v>449</v>
      </c>
      <c r="E104" t="s">
        <v>182</v>
      </c>
      <c r="G104" t="s">
        <v>182</v>
      </c>
      <c r="H104">
        <v>19</v>
      </c>
      <c r="I104" t="s">
        <v>182</v>
      </c>
      <c r="J104">
        <v>8</v>
      </c>
      <c r="K104" t="s">
        <v>182</v>
      </c>
      <c r="L104">
        <v>0.28999999999999998</v>
      </c>
      <c r="M104" t="s">
        <v>182</v>
      </c>
      <c r="N104">
        <f>SUM(H104:L104)</f>
        <v>27.29</v>
      </c>
      <c r="O104" t="s">
        <v>182</v>
      </c>
      <c r="Q104" t="s">
        <v>182</v>
      </c>
      <c r="R104" s="1"/>
      <c r="S104" t="s">
        <v>182</v>
      </c>
    </row>
    <row r="105" spans="1:19" x14ac:dyDescent="0.25">
      <c r="B105" s="5" t="s">
        <v>182</v>
      </c>
      <c r="E105" t="s">
        <v>182</v>
      </c>
      <c r="G105" t="s">
        <v>182</v>
      </c>
      <c r="I105" t="s">
        <v>182</v>
      </c>
      <c r="K105" t="s">
        <v>182</v>
      </c>
      <c r="M105" t="s">
        <v>182</v>
      </c>
      <c r="O105" t="s">
        <v>182</v>
      </c>
      <c r="Q105" t="s">
        <v>182</v>
      </c>
      <c r="R105" s="1"/>
      <c r="S105" t="s">
        <v>182</v>
      </c>
    </row>
    <row r="106" spans="1:19" x14ac:dyDescent="0.25">
      <c r="B106" s="5" t="s">
        <v>182</v>
      </c>
      <c r="C106" s="27" t="s">
        <v>612</v>
      </c>
      <c r="E106" t="s">
        <v>182</v>
      </c>
      <c r="F106" t="e">
        <f>SUM(F93:F104)</f>
        <v>#REF!</v>
      </c>
      <c r="G106" t="s">
        <v>182</v>
      </c>
      <c r="H106">
        <f>SUM(H93:H104)</f>
        <v>187</v>
      </c>
      <c r="I106" t="s">
        <v>182</v>
      </c>
      <c r="J106">
        <f>SUM(J93:J104)</f>
        <v>64</v>
      </c>
      <c r="K106" t="s">
        <v>182</v>
      </c>
      <c r="L106">
        <f>SUM(L93:L104)</f>
        <v>19.837999999999997</v>
      </c>
      <c r="M106" t="s">
        <v>182</v>
      </c>
      <c r="N106" s="27">
        <f>SUM(H106:L106)</f>
        <v>270.83800000000002</v>
      </c>
      <c r="O106" t="s">
        <v>182</v>
      </c>
      <c r="P106" t="e">
        <f>F106+(N106*125)</f>
        <v>#REF!</v>
      </c>
      <c r="Q106" t="s">
        <v>182</v>
      </c>
      <c r="R106" s="1" t="e">
        <f>P106/365/1000</f>
        <v>#REF!</v>
      </c>
      <c r="S106" t="s">
        <v>182</v>
      </c>
    </row>
    <row r="107" spans="1:19" x14ac:dyDescent="0.25">
      <c r="A107" t="s">
        <v>404</v>
      </c>
      <c r="B107" s="5" t="s">
        <v>405</v>
      </c>
      <c r="C107" t="s">
        <v>406</v>
      </c>
      <c r="D107" t="s">
        <v>406</v>
      </c>
      <c r="E107" t="s">
        <v>405</v>
      </c>
      <c r="F107" t="s">
        <v>407</v>
      </c>
      <c r="G107" t="s">
        <v>405</v>
      </c>
      <c r="H107" t="s">
        <v>408</v>
      </c>
      <c r="I107" t="s">
        <v>405</v>
      </c>
      <c r="J107" t="s">
        <v>409</v>
      </c>
      <c r="K107" t="s">
        <v>405</v>
      </c>
      <c r="L107" t="s">
        <v>409</v>
      </c>
      <c r="M107" t="s">
        <v>405</v>
      </c>
      <c r="N107" t="s">
        <v>408</v>
      </c>
      <c r="O107" t="s">
        <v>405</v>
      </c>
      <c r="P107" t="s">
        <v>410</v>
      </c>
      <c r="Q107" t="s">
        <v>405</v>
      </c>
      <c r="R107" s="1" t="s">
        <v>409</v>
      </c>
      <c r="S107" t="s">
        <v>411</v>
      </c>
    </row>
    <row r="108" spans="1:19" x14ac:dyDescent="0.25">
      <c r="R108" s="1"/>
    </row>
    <row r="109" spans="1:19" x14ac:dyDescent="0.25">
      <c r="B109" s="5" t="s">
        <v>182</v>
      </c>
      <c r="C109" s="3" t="s">
        <v>613</v>
      </c>
      <c r="D109" s="3"/>
      <c r="E109" s="3" t="s">
        <v>182</v>
      </c>
      <c r="F109" s="3"/>
      <c r="G109" s="3" t="s">
        <v>182</v>
      </c>
      <c r="H109" s="3">
        <v>83</v>
      </c>
      <c r="I109" s="3" t="s">
        <v>182</v>
      </c>
      <c r="J109" s="3">
        <v>0</v>
      </c>
      <c r="K109" s="3" t="s">
        <v>182</v>
      </c>
      <c r="L109" s="3">
        <v>0</v>
      </c>
      <c r="M109" s="3" t="s">
        <v>182</v>
      </c>
      <c r="N109" s="3">
        <f>SUM(H109:L109)</f>
        <v>83</v>
      </c>
      <c r="O109" s="3" t="s">
        <v>182</v>
      </c>
      <c r="P109" s="3">
        <f>F109+(N109*125)</f>
        <v>10375</v>
      </c>
      <c r="Q109" s="3" t="s">
        <v>182</v>
      </c>
      <c r="R109" s="6">
        <f>P109/365/1000</f>
        <v>2.8424657534246573E-2</v>
      </c>
      <c r="S109" t="s">
        <v>182</v>
      </c>
    </row>
    <row r="110" spans="1:19" x14ac:dyDescent="0.25">
      <c r="A110" t="s">
        <v>404</v>
      </c>
      <c r="B110" s="5" t="s">
        <v>405</v>
      </c>
      <c r="C110" t="s">
        <v>406</v>
      </c>
      <c r="D110" t="s">
        <v>406</v>
      </c>
      <c r="E110" t="s">
        <v>405</v>
      </c>
      <c r="F110" t="s">
        <v>407</v>
      </c>
      <c r="G110" t="s">
        <v>405</v>
      </c>
      <c r="H110" t="s">
        <v>408</v>
      </c>
      <c r="I110" t="s">
        <v>405</v>
      </c>
      <c r="J110" t="s">
        <v>409</v>
      </c>
      <c r="K110" t="s">
        <v>405</v>
      </c>
      <c r="L110" t="s">
        <v>409</v>
      </c>
      <c r="M110" t="s">
        <v>405</v>
      </c>
      <c r="N110" t="s">
        <v>408</v>
      </c>
      <c r="O110" t="s">
        <v>405</v>
      </c>
      <c r="P110" t="s">
        <v>410</v>
      </c>
      <c r="Q110" t="s">
        <v>405</v>
      </c>
      <c r="R110" s="1" t="s">
        <v>409</v>
      </c>
      <c r="S110" t="s">
        <v>411</v>
      </c>
    </row>
    <row r="111" spans="1:19" ht="13" x14ac:dyDescent="0.3">
      <c r="A111" t="s">
        <v>614</v>
      </c>
      <c r="B111" s="5" t="s">
        <v>615</v>
      </c>
      <c r="C111" t="s">
        <v>616</v>
      </c>
      <c r="D111" t="s">
        <v>617</v>
      </c>
      <c r="E111" t="s">
        <v>182</v>
      </c>
      <c r="G111" t="s">
        <v>182</v>
      </c>
      <c r="H111" s="19">
        <v>327</v>
      </c>
      <c r="I111" t="s">
        <v>182</v>
      </c>
      <c r="J111">
        <v>0.5</v>
      </c>
      <c r="K111" t="s">
        <v>182</v>
      </c>
      <c r="L111" s="19">
        <v>1.841</v>
      </c>
      <c r="M111" t="s">
        <v>182</v>
      </c>
      <c r="N111" s="19">
        <f t="shared" ref="N111:N116" si="3">SUM(H111:L111)</f>
        <v>329.34100000000001</v>
      </c>
      <c r="O111" t="s">
        <v>182</v>
      </c>
      <c r="Q111" t="s">
        <v>182</v>
      </c>
      <c r="R111" s="1"/>
      <c r="S111" t="s">
        <v>182</v>
      </c>
    </row>
    <row r="112" spans="1:19" ht="13" x14ac:dyDescent="0.3">
      <c r="A112" t="s">
        <v>618</v>
      </c>
      <c r="B112" s="5" t="s">
        <v>619</v>
      </c>
      <c r="C112" t="s">
        <v>620</v>
      </c>
      <c r="D112" t="s">
        <v>621</v>
      </c>
      <c r="E112" t="s">
        <v>182</v>
      </c>
      <c r="G112" t="s">
        <v>182</v>
      </c>
      <c r="H112" s="19">
        <v>62</v>
      </c>
      <c r="I112" t="s">
        <v>182</v>
      </c>
      <c r="J112" s="19">
        <v>30</v>
      </c>
      <c r="K112" t="s">
        <v>182</v>
      </c>
      <c r="M112" t="s">
        <v>182</v>
      </c>
      <c r="N112" s="19">
        <f t="shared" si="3"/>
        <v>92</v>
      </c>
      <c r="O112" t="s">
        <v>182</v>
      </c>
      <c r="Q112" t="s">
        <v>182</v>
      </c>
      <c r="R112" s="1"/>
      <c r="S112" t="s">
        <v>182</v>
      </c>
    </row>
    <row r="113" spans="1:19" ht="13" x14ac:dyDescent="0.3">
      <c r="A113" t="s">
        <v>622</v>
      </c>
      <c r="B113" s="5" t="s">
        <v>623</v>
      </c>
      <c r="C113" t="s">
        <v>624</v>
      </c>
      <c r="D113" t="s">
        <v>611</v>
      </c>
      <c r="E113" t="s">
        <v>182</v>
      </c>
      <c r="G113" t="s">
        <v>182</v>
      </c>
      <c r="H113">
        <v>114</v>
      </c>
      <c r="I113" t="s">
        <v>182</v>
      </c>
      <c r="J113">
        <v>37.5</v>
      </c>
      <c r="K113" t="s">
        <v>182</v>
      </c>
      <c r="L113" s="19">
        <v>0.06</v>
      </c>
      <c r="M113" t="s">
        <v>182</v>
      </c>
      <c r="N113" s="19">
        <f t="shared" si="3"/>
        <v>151.56</v>
      </c>
      <c r="O113" t="s">
        <v>182</v>
      </c>
      <c r="Q113" t="s">
        <v>182</v>
      </c>
      <c r="R113" s="1"/>
      <c r="S113" t="s">
        <v>182</v>
      </c>
    </row>
    <row r="114" spans="1:19" ht="13" x14ac:dyDescent="0.3">
      <c r="A114" t="s">
        <v>625</v>
      </c>
      <c r="B114" s="5" t="s">
        <v>626</v>
      </c>
      <c r="C114" t="s">
        <v>627</v>
      </c>
      <c r="D114" t="s">
        <v>627</v>
      </c>
      <c r="E114" t="s">
        <v>182</v>
      </c>
      <c r="G114" t="s">
        <v>182</v>
      </c>
      <c r="H114">
        <v>1</v>
      </c>
      <c r="I114" t="s">
        <v>182</v>
      </c>
      <c r="J114" s="19">
        <v>98</v>
      </c>
      <c r="K114" t="s">
        <v>182</v>
      </c>
      <c r="L114" s="19">
        <v>109.873</v>
      </c>
      <c r="M114" t="s">
        <v>182</v>
      </c>
      <c r="N114" s="19">
        <f t="shared" si="3"/>
        <v>208.87299999999999</v>
      </c>
      <c r="O114" t="s">
        <v>182</v>
      </c>
      <c r="Q114" t="s">
        <v>182</v>
      </c>
      <c r="R114" s="1"/>
      <c r="S114" t="s">
        <v>182</v>
      </c>
    </row>
    <row r="115" spans="1:19" ht="13" x14ac:dyDescent="0.3">
      <c r="A115" t="s">
        <v>628</v>
      </c>
      <c r="B115" s="5" t="s">
        <v>629</v>
      </c>
      <c r="C115" t="s">
        <v>630</v>
      </c>
      <c r="D115" t="s">
        <v>631</v>
      </c>
      <c r="E115" t="s">
        <v>182</v>
      </c>
      <c r="G115" t="s">
        <v>182</v>
      </c>
      <c r="H115" s="19">
        <v>76</v>
      </c>
      <c r="I115" t="s">
        <v>182</v>
      </c>
      <c r="J115" s="19">
        <v>5.5</v>
      </c>
      <c r="K115" t="s">
        <v>182</v>
      </c>
      <c r="L115" s="19">
        <v>102.65600000000001</v>
      </c>
      <c r="M115" t="s">
        <v>182</v>
      </c>
      <c r="N115" s="19">
        <f t="shared" si="3"/>
        <v>184.15600000000001</v>
      </c>
      <c r="O115" t="s">
        <v>182</v>
      </c>
      <c r="Q115" t="s">
        <v>182</v>
      </c>
      <c r="R115" s="1"/>
      <c r="S115" t="s">
        <v>182</v>
      </c>
    </row>
    <row r="116" spans="1:19" x14ac:dyDescent="0.25">
      <c r="B116" s="5" t="s">
        <v>182</v>
      </c>
      <c r="C116" t="s">
        <v>449</v>
      </c>
      <c r="E116" t="s">
        <v>182</v>
      </c>
      <c r="G116" t="s">
        <v>182</v>
      </c>
      <c r="H116">
        <v>28</v>
      </c>
      <c r="I116" t="s">
        <v>182</v>
      </c>
      <c r="J116">
        <v>31.5</v>
      </c>
      <c r="K116" t="s">
        <v>182</v>
      </c>
      <c r="L116">
        <v>9.9700000000000006</v>
      </c>
      <c r="M116" t="s">
        <v>182</v>
      </c>
      <c r="N116">
        <f t="shared" si="3"/>
        <v>69.47</v>
      </c>
      <c r="O116" t="s">
        <v>182</v>
      </c>
      <c r="Q116" t="s">
        <v>182</v>
      </c>
      <c r="R116" s="1"/>
      <c r="S116" t="s">
        <v>182</v>
      </c>
    </row>
    <row r="117" spans="1:19" x14ac:dyDescent="0.25">
      <c r="B117" s="5" t="s">
        <v>182</v>
      </c>
      <c r="E117" t="s">
        <v>182</v>
      </c>
      <c r="G117" t="s">
        <v>182</v>
      </c>
      <c r="I117" t="s">
        <v>182</v>
      </c>
      <c r="K117" t="s">
        <v>182</v>
      </c>
      <c r="M117" t="s">
        <v>182</v>
      </c>
      <c r="O117" t="s">
        <v>182</v>
      </c>
      <c r="Q117" t="s">
        <v>182</v>
      </c>
      <c r="R117" s="1"/>
      <c r="S117" t="s">
        <v>182</v>
      </c>
    </row>
    <row r="118" spans="1:19" x14ac:dyDescent="0.25">
      <c r="B118" s="5" t="s">
        <v>182</v>
      </c>
      <c r="C118" t="s">
        <v>632</v>
      </c>
      <c r="E118" t="s">
        <v>182</v>
      </c>
      <c r="F118">
        <f>SUM(F111:F116)</f>
        <v>0</v>
      </c>
      <c r="G118" t="s">
        <v>182</v>
      </c>
      <c r="H118">
        <f>SUM(H111:H116)</f>
        <v>608</v>
      </c>
      <c r="I118" t="s">
        <v>182</v>
      </c>
      <c r="J118">
        <f>SUM(J111:J116)</f>
        <v>203</v>
      </c>
      <c r="K118" t="s">
        <v>182</v>
      </c>
      <c r="L118">
        <f>SUM(L111:L116)</f>
        <v>224.4</v>
      </c>
      <c r="M118" t="s">
        <v>182</v>
      </c>
      <c r="N118" s="27">
        <f>SUM(H118:L118)</f>
        <v>1035.4000000000001</v>
      </c>
      <c r="O118" t="s">
        <v>182</v>
      </c>
      <c r="P118">
        <f>F118+(N118*125)</f>
        <v>129425.00000000001</v>
      </c>
      <c r="Q118" t="s">
        <v>182</v>
      </c>
      <c r="R118" s="1">
        <f>P118/365/1000</f>
        <v>0.3545890410958904</v>
      </c>
      <c r="S118" t="s">
        <v>182</v>
      </c>
    </row>
    <row r="119" spans="1:19" x14ac:dyDescent="0.25">
      <c r="A119" t="s">
        <v>404</v>
      </c>
      <c r="B119" s="5" t="s">
        <v>405</v>
      </c>
      <c r="C119" t="s">
        <v>406</v>
      </c>
      <c r="D119" t="s">
        <v>406</v>
      </c>
      <c r="E119" t="s">
        <v>405</v>
      </c>
      <c r="F119" t="s">
        <v>407</v>
      </c>
      <c r="G119" t="s">
        <v>405</v>
      </c>
      <c r="H119" t="s">
        <v>408</v>
      </c>
      <c r="I119" t="s">
        <v>405</v>
      </c>
      <c r="J119" t="s">
        <v>409</v>
      </c>
      <c r="K119" t="s">
        <v>405</v>
      </c>
      <c r="L119" t="s">
        <v>409</v>
      </c>
      <c r="M119" t="s">
        <v>405</v>
      </c>
      <c r="N119" t="s">
        <v>408</v>
      </c>
      <c r="O119" t="s">
        <v>405</v>
      </c>
      <c r="P119" t="s">
        <v>410</v>
      </c>
      <c r="Q119" t="s">
        <v>405</v>
      </c>
      <c r="R119" s="1" t="s">
        <v>409</v>
      </c>
      <c r="S119" t="s">
        <v>411</v>
      </c>
    </row>
    <row r="120" spans="1:19" x14ac:dyDescent="0.25">
      <c r="A120" t="s">
        <v>633</v>
      </c>
      <c r="B120" s="5" t="s">
        <v>182</v>
      </c>
      <c r="C120" t="s">
        <v>388</v>
      </c>
      <c r="D120" t="s">
        <v>634</v>
      </c>
      <c r="E120" t="s">
        <v>182</v>
      </c>
      <c r="F120" s="21" t="e">
        <f>#REF!*365*1000</f>
        <v>#REF!</v>
      </c>
      <c r="G120" t="s">
        <v>182</v>
      </c>
      <c r="I120" t="s">
        <v>182</v>
      </c>
      <c r="K120" t="s">
        <v>182</v>
      </c>
      <c r="M120" t="s">
        <v>182</v>
      </c>
      <c r="O120" t="s">
        <v>182</v>
      </c>
      <c r="P120" t="e">
        <f>F120+(N120*125)</f>
        <v>#REF!</v>
      </c>
      <c r="Q120" t="s">
        <v>182</v>
      </c>
      <c r="R120" s="1" t="e">
        <f>P120/365/1000</f>
        <v>#REF!</v>
      </c>
      <c r="S120" t="s">
        <v>182</v>
      </c>
    </row>
    <row r="121" spans="1:19" x14ac:dyDescent="0.25">
      <c r="A121" t="s">
        <v>404</v>
      </c>
      <c r="B121" s="5" t="s">
        <v>405</v>
      </c>
      <c r="C121" t="s">
        <v>406</v>
      </c>
      <c r="D121" t="s">
        <v>406</v>
      </c>
      <c r="E121" t="s">
        <v>405</v>
      </c>
      <c r="F121" t="s">
        <v>407</v>
      </c>
      <c r="G121" t="s">
        <v>405</v>
      </c>
      <c r="H121" t="s">
        <v>408</v>
      </c>
      <c r="I121" t="s">
        <v>405</v>
      </c>
      <c r="J121" t="s">
        <v>409</v>
      </c>
      <c r="K121" t="s">
        <v>405</v>
      </c>
      <c r="L121" t="s">
        <v>409</v>
      </c>
      <c r="M121" t="s">
        <v>405</v>
      </c>
      <c r="N121" t="s">
        <v>408</v>
      </c>
      <c r="O121" t="s">
        <v>405</v>
      </c>
      <c r="P121" t="s">
        <v>410</v>
      </c>
      <c r="Q121" t="s">
        <v>405</v>
      </c>
      <c r="R121" s="1" t="s">
        <v>409</v>
      </c>
      <c r="S121" t="s">
        <v>411</v>
      </c>
    </row>
    <row r="122" spans="1:19" x14ac:dyDescent="0.25">
      <c r="R122" s="1"/>
    </row>
    <row r="123" spans="1:19" x14ac:dyDescent="0.25">
      <c r="A123" s="36" t="s">
        <v>635</v>
      </c>
      <c r="B123" s="37" t="s">
        <v>182</v>
      </c>
      <c r="C123" s="36" t="s">
        <v>636</v>
      </c>
      <c r="D123" s="36" t="s">
        <v>637</v>
      </c>
      <c r="E123" t="s">
        <v>182</v>
      </c>
      <c r="F123" s="3"/>
      <c r="G123" t="s">
        <v>182</v>
      </c>
      <c r="H123">
        <v>53</v>
      </c>
      <c r="I123" t="s">
        <v>182</v>
      </c>
      <c r="J123">
        <v>2</v>
      </c>
      <c r="K123" t="s">
        <v>182</v>
      </c>
      <c r="M123" t="s">
        <v>182</v>
      </c>
      <c r="N123">
        <f>SUM(H123:L123)</f>
        <v>55</v>
      </c>
      <c r="O123" t="s">
        <v>182</v>
      </c>
      <c r="Q123" t="s">
        <v>182</v>
      </c>
      <c r="R123" s="1"/>
      <c r="S123" t="s">
        <v>182</v>
      </c>
    </row>
    <row r="124" spans="1:19" x14ac:dyDescent="0.25">
      <c r="A124" s="36" t="s">
        <v>638</v>
      </c>
      <c r="B124" s="37" t="s">
        <v>182</v>
      </c>
      <c r="C124" s="36" t="s">
        <v>639</v>
      </c>
      <c r="D124" s="36" t="s">
        <v>640</v>
      </c>
      <c r="E124" t="s">
        <v>182</v>
      </c>
      <c r="F124" s="3" t="e">
        <f>#REF!*365*1000</f>
        <v>#REF!</v>
      </c>
      <c r="G124" t="s">
        <v>405</v>
      </c>
      <c r="H124" t="s">
        <v>408</v>
      </c>
      <c r="I124" t="s">
        <v>405</v>
      </c>
      <c r="J124" t="s">
        <v>408</v>
      </c>
      <c r="K124" t="s">
        <v>405</v>
      </c>
      <c r="L124" t="s">
        <v>408</v>
      </c>
      <c r="M124" t="s">
        <v>405</v>
      </c>
      <c r="N124" t="s">
        <v>408</v>
      </c>
      <c r="O124" t="s">
        <v>405</v>
      </c>
      <c r="P124" t="e">
        <f>F124</f>
        <v>#REF!</v>
      </c>
      <c r="Q124" t="s">
        <v>182</v>
      </c>
      <c r="R124" s="1" t="e">
        <f>P124/365/1000</f>
        <v>#REF!</v>
      </c>
      <c r="S124" t="s">
        <v>182</v>
      </c>
    </row>
    <row r="125" spans="1:19" x14ac:dyDescent="0.25">
      <c r="A125" s="36" t="s">
        <v>641</v>
      </c>
      <c r="B125" s="37" t="s">
        <v>182</v>
      </c>
      <c r="C125" s="36" t="s">
        <v>642</v>
      </c>
      <c r="D125" s="36" t="s">
        <v>642</v>
      </c>
      <c r="E125" t="s">
        <v>182</v>
      </c>
      <c r="F125" s="3"/>
      <c r="G125" t="s">
        <v>182</v>
      </c>
      <c r="H125">
        <v>244</v>
      </c>
      <c r="I125" t="s">
        <v>182</v>
      </c>
      <c r="J125">
        <v>275.5</v>
      </c>
      <c r="K125" t="s">
        <v>182</v>
      </c>
      <c r="L125">
        <v>42.597000000000001</v>
      </c>
      <c r="M125" t="s">
        <v>182</v>
      </c>
      <c r="N125">
        <f>SUM(H125:L125)</f>
        <v>562.09699999999998</v>
      </c>
      <c r="O125" t="s">
        <v>182</v>
      </c>
      <c r="Q125" t="s">
        <v>182</v>
      </c>
      <c r="R125" s="1"/>
      <c r="S125" t="s">
        <v>182</v>
      </c>
    </row>
    <row r="126" spans="1:19" x14ac:dyDescent="0.25">
      <c r="A126" s="36" t="s">
        <v>643</v>
      </c>
      <c r="B126" s="37" t="s">
        <v>182</v>
      </c>
      <c r="C126" s="36" t="s">
        <v>644</v>
      </c>
      <c r="D126" s="36" t="s">
        <v>645</v>
      </c>
      <c r="E126" t="s">
        <v>182</v>
      </c>
      <c r="F126" s="3"/>
      <c r="G126" t="s">
        <v>182</v>
      </c>
      <c r="H126">
        <v>151</v>
      </c>
      <c r="I126" t="s">
        <v>182</v>
      </c>
      <c r="K126" t="s">
        <v>182</v>
      </c>
      <c r="M126" t="s">
        <v>182</v>
      </c>
      <c r="N126">
        <f>SUM(H126:L126)</f>
        <v>151</v>
      </c>
      <c r="O126" t="s">
        <v>182</v>
      </c>
      <c r="Q126" t="s">
        <v>182</v>
      </c>
      <c r="R126" s="1"/>
      <c r="S126" t="s">
        <v>182</v>
      </c>
    </row>
    <row r="127" spans="1:19" x14ac:dyDescent="0.25">
      <c r="A127" s="36" t="s">
        <v>646</v>
      </c>
      <c r="B127" s="37" t="s">
        <v>182</v>
      </c>
      <c r="C127" s="36" t="s">
        <v>647</v>
      </c>
      <c r="D127" s="36" t="s">
        <v>648</v>
      </c>
      <c r="E127" t="s">
        <v>182</v>
      </c>
      <c r="F127" s="3"/>
      <c r="G127" t="s">
        <v>182</v>
      </c>
      <c r="H127">
        <v>160</v>
      </c>
      <c r="I127" t="s">
        <v>182</v>
      </c>
      <c r="K127" t="s">
        <v>182</v>
      </c>
      <c r="M127" t="s">
        <v>182</v>
      </c>
      <c r="N127">
        <f>SUM(H127:L127)</f>
        <v>160</v>
      </c>
      <c r="O127" t="s">
        <v>182</v>
      </c>
      <c r="Q127" t="s">
        <v>182</v>
      </c>
      <c r="R127" s="1"/>
      <c r="S127" t="s">
        <v>182</v>
      </c>
    </row>
    <row r="128" spans="1:19" x14ac:dyDescent="0.25">
      <c r="A128" s="36" t="s">
        <v>649</v>
      </c>
      <c r="B128" s="37" t="s">
        <v>182</v>
      </c>
      <c r="C128" s="36" t="s">
        <v>650</v>
      </c>
      <c r="D128" s="36" t="s">
        <v>651</v>
      </c>
      <c r="E128" t="s">
        <v>182</v>
      </c>
      <c r="F128" s="3" t="e">
        <f>#REF!*365*1000</f>
        <v>#REF!</v>
      </c>
      <c r="G128" t="s">
        <v>405</v>
      </c>
      <c r="H128" t="s">
        <v>408</v>
      </c>
      <c r="I128" t="s">
        <v>405</v>
      </c>
      <c r="J128" t="s">
        <v>409</v>
      </c>
      <c r="K128" t="s">
        <v>405</v>
      </c>
      <c r="L128" t="s">
        <v>409</v>
      </c>
      <c r="M128" t="s">
        <v>405</v>
      </c>
      <c r="N128" t="s">
        <v>408</v>
      </c>
      <c r="O128" t="s">
        <v>405</v>
      </c>
      <c r="P128" t="e">
        <f>F128</f>
        <v>#REF!</v>
      </c>
      <c r="Q128" t="s">
        <v>182</v>
      </c>
      <c r="R128" s="1" t="e">
        <f>P128/365/1000</f>
        <v>#REF!</v>
      </c>
      <c r="S128" t="s">
        <v>182</v>
      </c>
    </row>
    <row r="129" spans="1:19" x14ac:dyDescent="0.25">
      <c r="B129" s="5" t="s">
        <v>182</v>
      </c>
      <c r="E129" t="s">
        <v>182</v>
      </c>
      <c r="G129" t="s">
        <v>182</v>
      </c>
      <c r="I129" t="s">
        <v>182</v>
      </c>
      <c r="K129" t="s">
        <v>182</v>
      </c>
      <c r="M129" t="s">
        <v>182</v>
      </c>
      <c r="O129" t="s">
        <v>182</v>
      </c>
      <c r="Q129" t="s">
        <v>182</v>
      </c>
      <c r="R129" s="1"/>
      <c r="S129" t="s">
        <v>182</v>
      </c>
    </row>
    <row r="130" spans="1:19" x14ac:dyDescent="0.25">
      <c r="B130" s="5" t="s">
        <v>182</v>
      </c>
      <c r="C130" s="3" t="s">
        <v>652</v>
      </c>
      <c r="D130" s="3"/>
      <c r="E130" s="3" t="s">
        <v>182</v>
      </c>
      <c r="F130" s="3" t="e">
        <f>SUM(F123:F128)</f>
        <v>#REF!</v>
      </c>
      <c r="G130" s="3" t="s">
        <v>182</v>
      </c>
      <c r="H130" s="3">
        <f>SUM(H123:H128)</f>
        <v>608</v>
      </c>
      <c r="I130" s="3" t="s">
        <v>182</v>
      </c>
      <c r="J130" s="3">
        <f>SUM(J123:J128)</f>
        <v>277.5</v>
      </c>
      <c r="K130" s="3" t="s">
        <v>182</v>
      </c>
      <c r="L130" s="3">
        <f>SUM(L123:L128)</f>
        <v>42.597000000000001</v>
      </c>
      <c r="M130" s="3" t="s">
        <v>182</v>
      </c>
      <c r="N130" s="3">
        <f>SUM(H130:L130)</f>
        <v>928.09699999999998</v>
      </c>
      <c r="O130" s="3" t="s">
        <v>182</v>
      </c>
      <c r="P130" s="3" t="e">
        <f>F130+(N130*125)</f>
        <v>#REF!</v>
      </c>
      <c r="Q130" s="3" t="s">
        <v>182</v>
      </c>
      <c r="R130" s="6" t="e">
        <f>P130/365/1000</f>
        <v>#REF!</v>
      </c>
      <c r="S130" t="s">
        <v>182</v>
      </c>
    </row>
    <row r="131" spans="1:19" x14ac:dyDescent="0.25">
      <c r="A131" t="s">
        <v>404</v>
      </c>
      <c r="B131" s="5" t="s">
        <v>405</v>
      </c>
      <c r="C131" t="s">
        <v>406</v>
      </c>
      <c r="D131" t="s">
        <v>406</v>
      </c>
      <c r="E131" t="s">
        <v>405</v>
      </c>
      <c r="F131" t="s">
        <v>407</v>
      </c>
      <c r="G131" t="s">
        <v>405</v>
      </c>
      <c r="H131" t="s">
        <v>408</v>
      </c>
      <c r="I131" t="s">
        <v>405</v>
      </c>
      <c r="J131" t="s">
        <v>409</v>
      </c>
      <c r="K131" t="s">
        <v>405</v>
      </c>
      <c r="L131" t="s">
        <v>409</v>
      </c>
      <c r="M131" t="s">
        <v>405</v>
      </c>
      <c r="N131" t="s">
        <v>408</v>
      </c>
      <c r="O131" t="s">
        <v>405</v>
      </c>
      <c r="P131" t="s">
        <v>410</v>
      </c>
      <c r="Q131" t="s">
        <v>405</v>
      </c>
      <c r="R131" s="1" t="s">
        <v>409</v>
      </c>
      <c r="S131" t="s">
        <v>411</v>
      </c>
    </row>
    <row r="132" spans="1:19" ht="13" x14ac:dyDescent="0.3">
      <c r="A132" t="s">
        <v>653</v>
      </c>
      <c r="B132" s="5" t="s">
        <v>654</v>
      </c>
      <c r="C132" t="s">
        <v>655</v>
      </c>
      <c r="D132" t="s">
        <v>655</v>
      </c>
      <c r="E132" t="s">
        <v>182</v>
      </c>
      <c r="G132" t="s">
        <v>182</v>
      </c>
      <c r="H132" s="19">
        <v>3</v>
      </c>
      <c r="I132" t="s">
        <v>182</v>
      </c>
      <c r="J132">
        <v>0</v>
      </c>
      <c r="K132" t="s">
        <v>182</v>
      </c>
      <c r="L132" s="19">
        <v>6.1920000000000002</v>
      </c>
      <c r="M132" t="s">
        <v>182</v>
      </c>
      <c r="N132">
        <f>SUM(H132:L132)</f>
        <v>9.1920000000000002</v>
      </c>
      <c r="O132" t="s">
        <v>182</v>
      </c>
      <c r="Q132" t="s">
        <v>182</v>
      </c>
      <c r="R132" s="1"/>
      <c r="S132" t="s">
        <v>182</v>
      </c>
    </row>
    <row r="133" spans="1:19" x14ac:dyDescent="0.25">
      <c r="A133" t="s">
        <v>656</v>
      </c>
      <c r="B133" s="5" t="s">
        <v>182</v>
      </c>
      <c r="C133" t="s">
        <v>657</v>
      </c>
      <c r="D133" t="s">
        <v>425</v>
      </c>
      <c r="E133" t="s">
        <v>182</v>
      </c>
      <c r="F133" s="21" t="e">
        <f>#REF!*365*1000</f>
        <v>#REF!</v>
      </c>
      <c r="G133" t="s">
        <v>405</v>
      </c>
      <c r="H133" s="29" t="s">
        <v>658</v>
      </c>
      <c r="I133" t="s">
        <v>405</v>
      </c>
      <c r="J133" t="s">
        <v>409</v>
      </c>
      <c r="K133" t="s">
        <v>405</v>
      </c>
      <c r="L133" t="s">
        <v>409</v>
      </c>
      <c r="M133" t="s">
        <v>405</v>
      </c>
      <c r="N133" t="s">
        <v>408</v>
      </c>
      <c r="O133" t="s">
        <v>405</v>
      </c>
      <c r="P133" t="e">
        <f>F133</f>
        <v>#REF!</v>
      </c>
      <c r="Q133" t="s">
        <v>182</v>
      </c>
      <c r="R133" s="1" t="e">
        <f>P133/365/1000</f>
        <v>#REF!</v>
      </c>
      <c r="S133" t="s">
        <v>182</v>
      </c>
    </row>
    <row r="134" spans="1:19" ht="13" x14ac:dyDescent="0.3">
      <c r="A134" t="s">
        <v>659</v>
      </c>
      <c r="B134" s="5" t="s">
        <v>660</v>
      </c>
      <c r="C134" t="s">
        <v>661</v>
      </c>
      <c r="D134" t="s">
        <v>662</v>
      </c>
      <c r="E134" t="s">
        <v>182</v>
      </c>
      <c r="G134" t="s">
        <v>182</v>
      </c>
      <c r="H134">
        <v>93</v>
      </c>
      <c r="I134" t="s">
        <v>182</v>
      </c>
      <c r="J134" s="19">
        <v>165</v>
      </c>
      <c r="K134" t="s">
        <v>182</v>
      </c>
      <c r="L134">
        <v>0</v>
      </c>
      <c r="M134" t="s">
        <v>182</v>
      </c>
      <c r="N134" s="19">
        <f>SUM(H134:L134)</f>
        <v>258</v>
      </c>
      <c r="O134" t="s">
        <v>182</v>
      </c>
      <c r="Q134" t="s">
        <v>182</v>
      </c>
      <c r="R134" s="1"/>
      <c r="S134" t="s">
        <v>182</v>
      </c>
    </row>
    <row r="135" spans="1:19" x14ac:dyDescent="0.25">
      <c r="A135" t="s">
        <v>663</v>
      </c>
      <c r="B135" s="5" t="s">
        <v>182</v>
      </c>
      <c r="C135" t="s">
        <v>664</v>
      </c>
      <c r="D135" t="s">
        <v>665</v>
      </c>
      <c r="E135" t="s">
        <v>182</v>
      </c>
      <c r="F135" s="21" t="e">
        <f>#REF!*365*1000</f>
        <v>#REF!</v>
      </c>
      <c r="G135" t="s">
        <v>405</v>
      </c>
      <c r="H135" t="s">
        <v>408</v>
      </c>
      <c r="I135" t="s">
        <v>405</v>
      </c>
      <c r="J135" t="s">
        <v>409</v>
      </c>
      <c r="K135" t="s">
        <v>405</v>
      </c>
      <c r="L135" t="s">
        <v>409</v>
      </c>
      <c r="M135" t="s">
        <v>405</v>
      </c>
      <c r="N135" t="s">
        <v>408</v>
      </c>
      <c r="O135" t="s">
        <v>405</v>
      </c>
      <c r="P135" t="e">
        <f>F135</f>
        <v>#REF!</v>
      </c>
      <c r="Q135" t="s">
        <v>182</v>
      </c>
      <c r="R135" s="1" t="e">
        <f>P135/365/1000</f>
        <v>#REF!</v>
      </c>
      <c r="S135" t="s">
        <v>182</v>
      </c>
    </row>
    <row r="136" spans="1:19" ht="13" x14ac:dyDescent="0.3">
      <c r="A136" t="s">
        <v>666</v>
      </c>
      <c r="B136" s="5" t="s">
        <v>667</v>
      </c>
      <c r="C136" t="s">
        <v>668</v>
      </c>
      <c r="D136" t="s">
        <v>669</v>
      </c>
      <c r="E136" t="s">
        <v>182</v>
      </c>
      <c r="G136" t="s">
        <v>182</v>
      </c>
      <c r="H136">
        <v>21</v>
      </c>
      <c r="I136" t="s">
        <v>182</v>
      </c>
      <c r="J136">
        <v>0</v>
      </c>
      <c r="K136" t="s">
        <v>182</v>
      </c>
      <c r="M136" t="s">
        <v>182</v>
      </c>
      <c r="N136" s="19">
        <f>SUM(H136:L136)</f>
        <v>21</v>
      </c>
      <c r="O136" t="s">
        <v>182</v>
      </c>
      <c r="Q136" t="s">
        <v>182</v>
      </c>
      <c r="R136" s="1"/>
      <c r="S136" t="s">
        <v>182</v>
      </c>
    </row>
    <row r="137" spans="1:19" ht="13" x14ac:dyDescent="0.3">
      <c r="A137" t="s">
        <v>670</v>
      </c>
      <c r="B137" s="5" t="s">
        <v>671</v>
      </c>
      <c r="C137" t="s">
        <v>672</v>
      </c>
      <c r="D137" t="s">
        <v>673</v>
      </c>
      <c r="E137" t="s">
        <v>182</v>
      </c>
      <c r="G137" t="s">
        <v>182</v>
      </c>
      <c r="H137">
        <v>209</v>
      </c>
      <c r="I137" t="s">
        <v>182</v>
      </c>
      <c r="J137">
        <v>201</v>
      </c>
      <c r="K137" t="s">
        <v>182</v>
      </c>
      <c r="L137" s="19">
        <v>1.5960000000000001</v>
      </c>
      <c r="M137" t="s">
        <v>182</v>
      </c>
      <c r="N137">
        <f>SUM(H137:L137)</f>
        <v>411.596</v>
      </c>
      <c r="O137" t="s">
        <v>182</v>
      </c>
      <c r="Q137" t="s">
        <v>182</v>
      </c>
      <c r="R137" s="1"/>
      <c r="S137" t="s">
        <v>182</v>
      </c>
    </row>
    <row r="138" spans="1:19" ht="13" x14ac:dyDescent="0.3">
      <c r="A138" t="s">
        <v>674</v>
      </c>
      <c r="B138" s="5" t="s">
        <v>675</v>
      </c>
      <c r="C138" t="s">
        <v>676</v>
      </c>
      <c r="D138" t="s">
        <v>677</v>
      </c>
      <c r="E138" t="s">
        <v>182</v>
      </c>
      <c r="G138" t="s">
        <v>182</v>
      </c>
      <c r="H138" s="19">
        <v>113</v>
      </c>
      <c r="I138" t="s">
        <v>182</v>
      </c>
      <c r="J138">
        <v>15</v>
      </c>
      <c r="K138" t="s">
        <v>182</v>
      </c>
      <c r="L138" s="19">
        <v>5.9039999999999999</v>
      </c>
      <c r="M138" t="s">
        <v>182</v>
      </c>
      <c r="N138" s="19">
        <f>SUM(H138:L138)</f>
        <v>133.904</v>
      </c>
      <c r="O138" t="s">
        <v>182</v>
      </c>
      <c r="Q138" t="s">
        <v>182</v>
      </c>
      <c r="R138" s="1"/>
      <c r="S138" t="s">
        <v>182</v>
      </c>
    </row>
    <row r="139" spans="1:19" ht="13" x14ac:dyDescent="0.3">
      <c r="A139" t="s">
        <v>678</v>
      </c>
      <c r="B139" s="5" t="s">
        <v>679</v>
      </c>
      <c r="C139" t="s">
        <v>680</v>
      </c>
      <c r="D139" t="s">
        <v>681</v>
      </c>
      <c r="E139" t="s">
        <v>182</v>
      </c>
      <c r="G139" t="s">
        <v>182</v>
      </c>
      <c r="H139">
        <v>212</v>
      </c>
      <c r="I139" t="s">
        <v>182</v>
      </c>
      <c r="J139" s="19">
        <v>121</v>
      </c>
      <c r="K139" t="s">
        <v>182</v>
      </c>
      <c r="L139" s="19">
        <v>48.72</v>
      </c>
      <c r="M139" t="s">
        <v>182</v>
      </c>
      <c r="N139" s="19">
        <f>SUM(H139:L139)</f>
        <v>381.72</v>
      </c>
      <c r="O139" t="s">
        <v>182</v>
      </c>
      <c r="Q139" t="s">
        <v>182</v>
      </c>
      <c r="R139" s="1"/>
      <c r="S139" t="s">
        <v>182</v>
      </c>
    </row>
    <row r="140" spans="1:19" x14ac:dyDescent="0.25">
      <c r="A140" t="s">
        <v>682</v>
      </c>
      <c r="B140" s="5" t="s">
        <v>182</v>
      </c>
      <c r="C140" t="s">
        <v>683</v>
      </c>
      <c r="D140" t="s">
        <v>684</v>
      </c>
      <c r="E140" t="s">
        <v>182</v>
      </c>
      <c r="F140" s="21" t="e">
        <f>#REF!*365*1000</f>
        <v>#REF!</v>
      </c>
      <c r="G140" t="s">
        <v>405</v>
      </c>
      <c r="H140" t="s">
        <v>408</v>
      </c>
      <c r="I140" t="s">
        <v>405</v>
      </c>
      <c r="J140" t="s">
        <v>409</v>
      </c>
      <c r="K140" t="s">
        <v>405</v>
      </c>
      <c r="L140" t="s">
        <v>409</v>
      </c>
      <c r="M140" t="s">
        <v>405</v>
      </c>
      <c r="N140" t="s">
        <v>408</v>
      </c>
      <c r="O140" t="s">
        <v>405</v>
      </c>
      <c r="P140" t="e">
        <f>F140</f>
        <v>#REF!</v>
      </c>
      <c r="Q140" t="s">
        <v>182</v>
      </c>
      <c r="R140" s="1" t="e">
        <f>P140/365/1000</f>
        <v>#REF!</v>
      </c>
      <c r="S140" t="s">
        <v>182</v>
      </c>
    </row>
    <row r="141" spans="1:19" x14ac:dyDescent="0.25">
      <c r="B141" s="5" t="s">
        <v>182</v>
      </c>
      <c r="C141" t="s">
        <v>449</v>
      </c>
      <c r="E141" t="s">
        <v>182</v>
      </c>
      <c r="G141" t="s">
        <v>182</v>
      </c>
      <c r="H141">
        <v>5</v>
      </c>
      <c r="I141" t="s">
        <v>182</v>
      </c>
      <c r="J141">
        <v>282</v>
      </c>
      <c r="K141" t="s">
        <v>182</v>
      </c>
      <c r="L141">
        <v>55.56</v>
      </c>
      <c r="M141" t="s">
        <v>182</v>
      </c>
      <c r="N141">
        <f>SUM(H141:L141)</f>
        <v>342.56</v>
      </c>
      <c r="O141" t="s">
        <v>182</v>
      </c>
      <c r="Q141" t="s">
        <v>182</v>
      </c>
      <c r="R141" s="1"/>
      <c r="S141" t="s">
        <v>182</v>
      </c>
    </row>
    <row r="142" spans="1:19" x14ac:dyDescent="0.25">
      <c r="B142" s="5" t="s">
        <v>182</v>
      </c>
      <c r="E142" t="s">
        <v>182</v>
      </c>
      <c r="G142" t="s">
        <v>182</v>
      </c>
      <c r="I142" t="s">
        <v>182</v>
      </c>
      <c r="K142" t="s">
        <v>182</v>
      </c>
      <c r="M142" t="s">
        <v>182</v>
      </c>
      <c r="O142" t="s">
        <v>182</v>
      </c>
      <c r="Q142" t="s">
        <v>182</v>
      </c>
      <c r="R142" s="1"/>
      <c r="S142" t="s">
        <v>182</v>
      </c>
    </row>
    <row r="143" spans="1:19" x14ac:dyDescent="0.25">
      <c r="B143" s="5" t="s">
        <v>182</v>
      </c>
      <c r="C143" s="27" t="s">
        <v>685</v>
      </c>
      <c r="E143" t="s">
        <v>182</v>
      </c>
      <c r="F143" t="e">
        <f>SUM(F132:F141)</f>
        <v>#REF!</v>
      </c>
      <c r="G143" t="s">
        <v>182</v>
      </c>
      <c r="H143">
        <f>SUM(H132:H141)</f>
        <v>656</v>
      </c>
      <c r="I143" t="s">
        <v>182</v>
      </c>
      <c r="J143">
        <f>SUM(J132:J141)</f>
        <v>784</v>
      </c>
      <c r="K143" t="s">
        <v>182</v>
      </c>
      <c r="L143">
        <f>SUM(L132:L141)</f>
        <v>117.97200000000001</v>
      </c>
      <c r="M143" t="s">
        <v>182</v>
      </c>
      <c r="N143" s="27">
        <f>SUM(H143:L143)</f>
        <v>1557.972</v>
      </c>
      <c r="O143" t="s">
        <v>182</v>
      </c>
      <c r="P143" t="e">
        <f>F143+(N143*125)</f>
        <v>#REF!</v>
      </c>
      <c r="Q143" t="s">
        <v>182</v>
      </c>
      <c r="R143" s="1" t="e">
        <f>P143/365/1000</f>
        <v>#REF!</v>
      </c>
      <c r="S143" t="s">
        <v>182</v>
      </c>
    </row>
    <row r="144" spans="1:19" x14ac:dyDescent="0.25">
      <c r="A144" t="s">
        <v>404</v>
      </c>
      <c r="B144" s="5" t="s">
        <v>405</v>
      </c>
      <c r="C144" t="s">
        <v>406</v>
      </c>
      <c r="D144" t="s">
        <v>406</v>
      </c>
      <c r="E144" t="s">
        <v>405</v>
      </c>
      <c r="F144" t="s">
        <v>407</v>
      </c>
      <c r="G144" t="s">
        <v>405</v>
      </c>
      <c r="H144" t="s">
        <v>408</v>
      </c>
      <c r="I144" t="s">
        <v>405</v>
      </c>
      <c r="J144" t="s">
        <v>409</v>
      </c>
      <c r="K144" t="s">
        <v>405</v>
      </c>
      <c r="L144" t="s">
        <v>409</v>
      </c>
      <c r="M144" t="s">
        <v>405</v>
      </c>
      <c r="N144" t="s">
        <v>408</v>
      </c>
      <c r="O144" t="s">
        <v>405</v>
      </c>
      <c r="P144" t="s">
        <v>410</v>
      </c>
      <c r="Q144" t="s">
        <v>405</v>
      </c>
      <c r="R144" s="1" t="s">
        <v>409</v>
      </c>
      <c r="S144" t="s">
        <v>411</v>
      </c>
    </row>
    <row r="145" spans="1:20" x14ac:dyDescent="0.25">
      <c r="R145" s="1"/>
    </row>
    <row r="146" spans="1:20" x14ac:dyDescent="0.25">
      <c r="B146" s="5" t="s">
        <v>182</v>
      </c>
      <c r="C146" s="3" t="s">
        <v>686</v>
      </c>
      <c r="D146" s="3"/>
      <c r="E146" s="3" t="s">
        <v>182</v>
      </c>
      <c r="F146" s="3"/>
      <c r="G146" s="3" t="s">
        <v>182</v>
      </c>
      <c r="H146" s="3"/>
      <c r="I146" s="3" t="s">
        <v>182</v>
      </c>
      <c r="J146" s="3"/>
      <c r="K146" s="3" t="s">
        <v>182</v>
      </c>
      <c r="L146" s="3"/>
      <c r="M146" s="3" t="s">
        <v>182</v>
      </c>
      <c r="N146" s="3"/>
      <c r="O146" s="3" t="s">
        <v>182</v>
      </c>
      <c r="P146" s="3" t="e">
        <f>P20+P41+P78+P109+P130</f>
        <v>#REF!</v>
      </c>
      <c r="Q146" s="3" t="s">
        <v>182</v>
      </c>
      <c r="R146" s="6" t="e">
        <f>P146/365/1000</f>
        <v>#REF!</v>
      </c>
      <c r="S146" t="s">
        <v>182</v>
      </c>
    </row>
    <row r="147" spans="1:20" x14ac:dyDescent="0.25">
      <c r="A147" t="s">
        <v>404</v>
      </c>
      <c r="B147" s="5" t="s">
        <v>405</v>
      </c>
      <c r="C147" t="s">
        <v>406</v>
      </c>
      <c r="D147" t="s">
        <v>406</v>
      </c>
      <c r="E147" t="s">
        <v>405</v>
      </c>
      <c r="F147" t="s">
        <v>407</v>
      </c>
      <c r="G147" t="s">
        <v>405</v>
      </c>
      <c r="H147" t="s">
        <v>408</v>
      </c>
      <c r="I147" t="s">
        <v>405</v>
      </c>
      <c r="J147" t="s">
        <v>409</v>
      </c>
      <c r="K147" t="s">
        <v>405</v>
      </c>
      <c r="L147" t="s">
        <v>409</v>
      </c>
      <c r="M147" t="s">
        <v>405</v>
      </c>
      <c r="N147" t="s">
        <v>408</v>
      </c>
      <c r="O147" t="s">
        <v>405</v>
      </c>
      <c r="P147" t="s">
        <v>410</v>
      </c>
      <c r="Q147" t="s">
        <v>405</v>
      </c>
      <c r="R147" s="1" t="s">
        <v>409</v>
      </c>
      <c r="S147" t="s">
        <v>411</v>
      </c>
    </row>
    <row r="148" spans="1:20" x14ac:dyDescent="0.25">
      <c r="B148" s="5" t="s">
        <v>182</v>
      </c>
      <c r="E148" t="s">
        <v>182</v>
      </c>
      <c r="G148" t="s">
        <v>182</v>
      </c>
      <c r="I148" t="s">
        <v>182</v>
      </c>
      <c r="K148" t="s">
        <v>182</v>
      </c>
      <c r="M148" t="s">
        <v>182</v>
      </c>
      <c r="O148" t="s">
        <v>182</v>
      </c>
      <c r="Q148" t="s">
        <v>182</v>
      </c>
      <c r="R148" s="1"/>
      <c r="S148" t="s">
        <v>182</v>
      </c>
    </row>
    <row r="149" spans="1:20" x14ac:dyDescent="0.25">
      <c r="B149" s="5" t="s">
        <v>182</v>
      </c>
      <c r="C149" t="s">
        <v>687</v>
      </c>
      <c r="E149" t="s">
        <v>182</v>
      </c>
      <c r="G149" t="s">
        <v>182</v>
      </c>
      <c r="I149" t="s">
        <v>182</v>
      </c>
      <c r="K149" t="s">
        <v>182</v>
      </c>
      <c r="M149" t="s">
        <v>182</v>
      </c>
      <c r="O149" t="s">
        <v>182</v>
      </c>
      <c r="P149" t="e">
        <f>P6+P13-P20+P27+P34-P41+P43+P57+P63-P78+P80+P91+P106-P109+P118+P120-P130+P143</f>
        <v>#REF!</v>
      </c>
      <c r="Q149" t="s">
        <v>182</v>
      </c>
      <c r="R149" s="1" t="e">
        <f>P149/365/1000</f>
        <v>#REF!</v>
      </c>
      <c r="S149" t="s">
        <v>182</v>
      </c>
    </row>
    <row r="150" spans="1:20" x14ac:dyDescent="0.25">
      <c r="B150" s="5" t="s">
        <v>182</v>
      </c>
      <c r="E150" t="s">
        <v>182</v>
      </c>
      <c r="G150" t="s">
        <v>182</v>
      </c>
      <c r="I150" t="s">
        <v>182</v>
      </c>
      <c r="K150" t="s">
        <v>182</v>
      </c>
      <c r="M150" t="s">
        <v>182</v>
      </c>
      <c r="O150" t="s">
        <v>182</v>
      </c>
      <c r="P150" t="s">
        <v>312</v>
      </c>
      <c r="Q150" t="s">
        <v>182</v>
      </c>
      <c r="R150" s="1" t="s">
        <v>312</v>
      </c>
      <c r="S150" t="s">
        <v>182</v>
      </c>
    </row>
    <row r="151" spans="1:20" x14ac:dyDescent="0.25">
      <c r="B151" s="5" t="s">
        <v>182</v>
      </c>
      <c r="C151" t="s">
        <v>688</v>
      </c>
      <c r="E151" t="s">
        <v>182</v>
      </c>
      <c r="F151" s="21" t="e">
        <f>(#REF!-#REF!)*365*1000</f>
        <v>#REF!</v>
      </c>
      <c r="G151" t="s">
        <v>182</v>
      </c>
      <c r="H151">
        <v>1248</v>
      </c>
      <c r="I151" t="s">
        <v>182</v>
      </c>
      <c r="J151">
        <v>0</v>
      </c>
      <c r="K151" t="s">
        <v>182</v>
      </c>
      <c r="L151">
        <v>38.951999999999998</v>
      </c>
      <c r="M151" t="s">
        <v>182</v>
      </c>
      <c r="N151">
        <f>SUM(H151:L151)</f>
        <v>1286.952</v>
      </c>
      <c r="O151" t="s">
        <v>182</v>
      </c>
      <c r="P151" t="e">
        <f>F151+(N151*125)</f>
        <v>#REF!</v>
      </c>
      <c r="Q151" t="s">
        <v>182</v>
      </c>
      <c r="R151" s="1" t="e">
        <f>P151/365/1000</f>
        <v>#REF!</v>
      </c>
      <c r="S151" t="s">
        <v>182</v>
      </c>
    </row>
    <row r="152" spans="1:20" x14ac:dyDescent="0.25">
      <c r="B152" s="5" t="s">
        <v>182</v>
      </c>
      <c r="E152" t="s">
        <v>182</v>
      </c>
      <c r="G152" t="s">
        <v>182</v>
      </c>
      <c r="I152" t="s">
        <v>182</v>
      </c>
      <c r="K152" t="s">
        <v>182</v>
      </c>
      <c r="M152" t="s">
        <v>182</v>
      </c>
      <c r="O152" t="s">
        <v>182</v>
      </c>
      <c r="Q152" t="s">
        <v>182</v>
      </c>
      <c r="R152" s="1" t="s">
        <v>312</v>
      </c>
      <c r="S152" t="s">
        <v>182</v>
      </c>
    </row>
    <row r="153" spans="1:20" x14ac:dyDescent="0.25">
      <c r="B153" s="5" t="s">
        <v>182</v>
      </c>
      <c r="C153" t="s">
        <v>689</v>
      </c>
      <c r="E153" t="s">
        <v>182</v>
      </c>
      <c r="G153" t="s">
        <v>182</v>
      </c>
      <c r="I153" t="s">
        <v>182</v>
      </c>
      <c r="K153" t="s">
        <v>182</v>
      </c>
      <c r="M153" t="s">
        <v>182</v>
      </c>
      <c r="O153" t="s">
        <v>182</v>
      </c>
      <c r="P153" t="e">
        <f>P149+P151</f>
        <v>#REF!</v>
      </c>
      <c r="Q153" t="s">
        <v>182</v>
      </c>
      <c r="R153" s="1" t="e">
        <f>P153/365/1000</f>
        <v>#REF!</v>
      </c>
      <c r="S153" t="s">
        <v>182</v>
      </c>
    </row>
    <row r="154" spans="1:20" x14ac:dyDescent="0.25">
      <c r="A154" t="s">
        <v>404</v>
      </c>
      <c r="B154" s="5" t="s">
        <v>405</v>
      </c>
      <c r="C154" t="s">
        <v>406</v>
      </c>
      <c r="D154" t="s">
        <v>406</v>
      </c>
      <c r="E154" t="s">
        <v>405</v>
      </c>
      <c r="F154" t="s">
        <v>407</v>
      </c>
      <c r="G154" t="s">
        <v>405</v>
      </c>
      <c r="H154" t="s">
        <v>408</v>
      </c>
      <c r="I154" t="s">
        <v>405</v>
      </c>
      <c r="J154" t="s">
        <v>409</v>
      </c>
      <c r="K154" t="s">
        <v>405</v>
      </c>
      <c r="L154" t="s">
        <v>409</v>
      </c>
      <c r="M154" t="s">
        <v>405</v>
      </c>
      <c r="N154" t="s">
        <v>408</v>
      </c>
      <c r="O154" t="s">
        <v>405</v>
      </c>
      <c r="P154" t="s">
        <v>410</v>
      </c>
      <c r="Q154" t="s">
        <v>405</v>
      </c>
      <c r="R154" s="1" t="s">
        <v>409</v>
      </c>
      <c r="S154" t="s">
        <v>411</v>
      </c>
    </row>
    <row r="155" spans="1:20" x14ac:dyDescent="0.25">
      <c r="L155" s="4"/>
      <c r="M155" s="4"/>
      <c r="R155" s="1"/>
    </row>
    <row r="156" spans="1:20" x14ac:dyDescent="0.25">
      <c r="L156" s="4"/>
      <c r="M156" s="4"/>
      <c r="N156" s="4">
        <f>SUM(H157+J157+L157)</f>
        <v>14699.293799999999</v>
      </c>
      <c r="P156" t="e">
        <f>P146+P153</f>
        <v>#REF!</v>
      </c>
      <c r="R156" s="1"/>
    </row>
    <row r="157" spans="1:20" x14ac:dyDescent="0.25">
      <c r="C157" t="s">
        <v>690</v>
      </c>
      <c r="D157" t="s">
        <v>3</v>
      </c>
      <c r="H157">
        <f>H13+H27+H34+H57+H63+H91+H106+H118+H143</f>
        <v>3968.64</v>
      </c>
      <c r="J157">
        <f>J13+J27+J34+J57+J63+J91+J106+J118+J143</f>
        <v>5374</v>
      </c>
      <c r="L157">
        <f>L13+L27+L34+L57+L63+L91+L106+L118+L143</f>
        <v>5356.6538</v>
      </c>
      <c r="M157" s="4"/>
      <c r="N157" s="2">
        <f>SUM(H157:M157)</f>
        <v>14699.293799999999</v>
      </c>
      <c r="P157" t="e">
        <f>P156-(F70+F124+F128)</f>
        <v>#REF!</v>
      </c>
      <c r="R157" s="1" t="e">
        <f>P157/365/1000</f>
        <v>#REF!</v>
      </c>
      <c r="T157" t="s">
        <v>691</v>
      </c>
    </row>
    <row r="158" spans="1:20" x14ac:dyDescent="0.25">
      <c r="C158" t="s">
        <v>692</v>
      </c>
      <c r="D158" t="s">
        <v>179</v>
      </c>
      <c r="H158">
        <f>H20+H41+H78+H109+H130</f>
        <v>3370</v>
      </c>
      <c r="J158">
        <f>J20+J41+J78+J109+J130</f>
        <v>387.5</v>
      </c>
      <c r="L158">
        <f>L20+L41+L78+L109+L130</f>
        <v>158.74</v>
      </c>
      <c r="M158" s="4"/>
      <c r="N158" s="2">
        <f>SUM(H158:M158)</f>
        <v>3916.24</v>
      </c>
      <c r="P158">
        <f>N158*125</f>
        <v>489530</v>
      </c>
      <c r="R158" s="1">
        <f>P158/365/1000</f>
        <v>1.3411780821917807</v>
      </c>
    </row>
    <row r="159" spans="1:20" x14ac:dyDescent="0.25">
      <c r="M159" s="4"/>
      <c r="N159" s="2">
        <f>N158-N18</f>
        <v>3916.24</v>
      </c>
      <c r="P159">
        <f>N159*125</f>
        <v>489530</v>
      </c>
      <c r="R159" s="1">
        <f>P159/365/1000</f>
        <v>1.3411780821917807</v>
      </c>
    </row>
    <row r="160" spans="1:20" x14ac:dyDescent="0.25">
      <c r="D160" t="s">
        <v>693</v>
      </c>
      <c r="H160">
        <f>H157-H158</f>
        <v>598.63999999999987</v>
      </c>
      <c r="J160">
        <f>J157-J158</f>
        <v>4986.5</v>
      </c>
      <c r="L160">
        <f>L157-L158</f>
        <v>5197.9138000000003</v>
      </c>
      <c r="M160" s="4"/>
      <c r="N160" s="2">
        <f>H160+J160+L160</f>
        <v>10783.0538</v>
      </c>
      <c r="P160">
        <f>N160*125</f>
        <v>1347881.7249999999</v>
      </c>
      <c r="R160" s="1">
        <f>P160/365/1000</f>
        <v>3.6928266438356157</v>
      </c>
    </row>
    <row r="161" spans="12:18" x14ac:dyDescent="0.25">
      <c r="L161" s="4"/>
      <c r="M161" s="4"/>
      <c r="N161" s="4"/>
      <c r="R161" s="1"/>
    </row>
    <row r="162" spans="12:18" x14ac:dyDescent="0.25">
      <c r="L162" s="4"/>
      <c r="M162" s="4"/>
      <c r="N162" s="4"/>
      <c r="R162" s="1"/>
    </row>
    <row r="163" spans="12:18" x14ac:dyDescent="0.25">
      <c r="L163" s="4"/>
      <c r="M163" s="4"/>
      <c r="N163" s="4"/>
      <c r="R163" s="1"/>
    </row>
    <row r="164" spans="12:18" x14ac:dyDescent="0.25">
      <c r="L164" s="4"/>
      <c r="M164" s="4"/>
      <c r="N164" s="4"/>
      <c r="R164" s="1"/>
    </row>
    <row r="165" spans="12:18" x14ac:dyDescent="0.25">
      <c r="L165" s="4"/>
      <c r="M165" s="4"/>
      <c r="N165" s="4"/>
      <c r="R165" s="1"/>
    </row>
    <row r="166" spans="12:18" x14ac:dyDescent="0.25">
      <c r="L166" s="4"/>
      <c r="M166" s="4"/>
      <c r="N166" s="4"/>
      <c r="R166" s="1"/>
    </row>
    <row r="167" spans="12:18" x14ac:dyDescent="0.25">
      <c r="L167" s="4"/>
      <c r="M167" s="4"/>
      <c r="N167" s="4"/>
      <c r="R167" s="1"/>
    </row>
    <row r="168" spans="12:18" x14ac:dyDescent="0.25">
      <c r="L168" s="4"/>
      <c r="M168" s="4"/>
      <c r="N168" s="4"/>
      <c r="R168" s="1"/>
    </row>
    <row r="169" spans="12:18" x14ac:dyDescent="0.25">
      <c r="L169" s="4"/>
      <c r="M169" s="4"/>
      <c r="N169" s="4"/>
      <c r="R169" s="1"/>
    </row>
    <row r="170" spans="12:18" x14ac:dyDescent="0.25">
      <c r="L170" s="4"/>
      <c r="M170" s="4"/>
      <c r="N170" s="4"/>
    </row>
    <row r="171" spans="12:18" x14ac:dyDescent="0.25">
      <c r="L171" s="4"/>
      <c r="M171" s="4"/>
      <c r="N171" s="4"/>
    </row>
    <row r="172" spans="12:18" x14ac:dyDescent="0.25">
      <c r="L172" s="4"/>
      <c r="M172" s="4"/>
      <c r="N172" s="4"/>
    </row>
  </sheetData>
  <phoneticPr fontId="0" type="noConversion"/>
  <printOptions horizontalCentered="1" verticalCentered="1" headings="1" gridLines="1"/>
  <pageMargins left="0.75" right="0.75" top="1" bottom="1" header="0.5" footer="0.5"/>
  <pageSetup scale="56" fitToHeight="6" orientation="landscape" blackAndWhite="1" horizontalDpi="4294967292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E7489"/>
  <sheetViews>
    <sheetView tabSelected="1" workbookViewId="0">
      <pane xSplit="2" ySplit="1" topLeftCell="C2" activePane="bottomRight" state="frozen"/>
      <selection activeCell="AM240" sqref="AM240"/>
      <selection pane="topRight" activeCell="AM240" sqref="AM240"/>
      <selection pane="bottomLeft" activeCell="AM240" sqref="AM240"/>
      <selection pane="bottomRight" activeCell="H7476" sqref="H7476"/>
    </sheetView>
  </sheetViews>
  <sheetFormatPr defaultRowHeight="12.5" x14ac:dyDescent="0.25"/>
  <cols>
    <col min="2" max="2" width="8.7265625" style="7"/>
    <col min="3" max="3" width="8.7265625" style="51"/>
    <col min="4" max="4" width="19.08984375" customWidth="1"/>
    <col min="5" max="5" width="8.7265625" style="2"/>
  </cols>
  <sheetData>
    <row r="1" spans="1:5" x14ac:dyDescent="0.25">
      <c r="A1" s="51" t="s">
        <v>766</v>
      </c>
      <c r="B1" s="51" t="s">
        <v>761</v>
      </c>
      <c r="C1" s="51" t="s">
        <v>762</v>
      </c>
      <c r="D1" s="51" t="s">
        <v>763</v>
      </c>
      <c r="E1" s="51" t="s">
        <v>764</v>
      </c>
    </row>
    <row r="2" spans="1:5" x14ac:dyDescent="0.25">
      <c r="A2" s="32" t="s">
        <v>767</v>
      </c>
      <c r="B2" s="7">
        <v>1997</v>
      </c>
      <c r="C2" s="51" t="s">
        <v>704</v>
      </c>
      <c r="D2" t="s">
        <v>714</v>
      </c>
      <c r="E2" s="2">
        <v>33.704999999999998</v>
      </c>
    </row>
    <row r="3" spans="1:5" x14ac:dyDescent="0.25">
      <c r="A3" s="32" t="s">
        <v>767</v>
      </c>
      <c r="B3" s="7">
        <v>1997</v>
      </c>
      <c r="C3" s="51" t="s">
        <v>705</v>
      </c>
      <c r="D3" t="s">
        <v>714</v>
      </c>
      <c r="E3" s="2">
        <v>42.116999999999997</v>
      </c>
    </row>
    <row r="4" spans="1:5" x14ac:dyDescent="0.25">
      <c r="A4" s="32" t="s">
        <v>767</v>
      </c>
      <c r="B4" s="7">
        <v>1997</v>
      </c>
      <c r="C4" s="51" t="s">
        <v>706</v>
      </c>
      <c r="D4" t="s">
        <v>714</v>
      </c>
      <c r="E4" s="2">
        <v>36.142000000000003</v>
      </c>
    </row>
    <row r="5" spans="1:5" x14ac:dyDescent="0.25">
      <c r="A5" s="32" t="s">
        <v>767</v>
      </c>
      <c r="B5" s="7">
        <v>1998</v>
      </c>
      <c r="C5" s="51" t="s">
        <v>713</v>
      </c>
      <c r="D5" t="s">
        <v>714</v>
      </c>
      <c r="E5" s="2">
        <v>50.427999999999997</v>
      </c>
    </row>
    <row r="6" spans="1:5" x14ac:dyDescent="0.25">
      <c r="A6" s="32" t="s">
        <v>767</v>
      </c>
      <c r="B6" s="7">
        <v>1998</v>
      </c>
      <c r="C6" s="51" t="s">
        <v>707</v>
      </c>
      <c r="D6" t="s">
        <v>714</v>
      </c>
      <c r="E6" s="2">
        <v>50.201999999999998</v>
      </c>
    </row>
    <row r="7" spans="1:5" x14ac:dyDescent="0.25">
      <c r="A7" s="32" t="s">
        <v>767</v>
      </c>
      <c r="B7" s="7">
        <v>1998</v>
      </c>
      <c r="C7" s="51" t="s">
        <v>708</v>
      </c>
      <c r="D7" t="s">
        <v>714</v>
      </c>
      <c r="E7" s="2">
        <v>50.610999999999997</v>
      </c>
    </row>
    <row r="8" spans="1:5" x14ac:dyDescent="0.25">
      <c r="A8" s="32" t="s">
        <v>767</v>
      </c>
      <c r="B8" s="7">
        <v>1998</v>
      </c>
      <c r="C8" s="51" t="s">
        <v>699</v>
      </c>
      <c r="D8" t="s">
        <v>714</v>
      </c>
      <c r="E8" s="2">
        <v>36.176000000000002</v>
      </c>
    </row>
    <row r="9" spans="1:5" x14ac:dyDescent="0.25">
      <c r="A9" s="32" t="s">
        <v>767</v>
      </c>
      <c r="B9" s="7">
        <v>1998</v>
      </c>
      <c r="C9" s="51" t="s">
        <v>709</v>
      </c>
      <c r="D9" t="s">
        <v>714</v>
      </c>
      <c r="E9" s="2">
        <v>43.284999999999997</v>
      </c>
    </row>
    <row r="10" spans="1:5" x14ac:dyDescent="0.25">
      <c r="A10" s="32" t="s">
        <v>767</v>
      </c>
      <c r="B10" s="7">
        <v>1998</v>
      </c>
      <c r="C10" s="51" t="s">
        <v>712</v>
      </c>
      <c r="D10" t="s">
        <v>714</v>
      </c>
      <c r="E10" s="2">
        <v>33.938000000000002</v>
      </c>
    </row>
    <row r="11" spans="1:5" x14ac:dyDescent="0.25">
      <c r="A11" s="32" t="s">
        <v>767</v>
      </c>
      <c r="B11" s="7">
        <v>1998</v>
      </c>
      <c r="C11" s="51" t="s">
        <v>710</v>
      </c>
      <c r="D11" t="s">
        <v>714</v>
      </c>
      <c r="E11" s="2">
        <v>36.712000000000003</v>
      </c>
    </row>
    <row r="12" spans="1:5" x14ac:dyDescent="0.25">
      <c r="A12" s="32" t="s">
        <v>767</v>
      </c>
      <c r="B12" s="7">
        <v>1998</v>
      </c>
      <c r="C12" s="51" t="s">
        <v>702</v>
      </c>
      <c r="D12" t="s">
        <v>714</v>
      </c>
      <c r="E12" s="2">
        <v>32.972999999999999</v>
      </c>
    </row>
    <row r="13" spans="1:5" x14ac:dyDescent="0.25">
      <c r="A13" s="32" t="s">
        <v>767</v>
      </c>
      <c r="B13" s="7">
        <v>1998</v>
      </c>
      <c r="C13" s="51" t="s">
        <v>703</v>
      </c>
      <c r="D13" t="s">
        <v>714</v>
      </c>
      <c r="E13" s="2">
        <v>31.065000000000001</v>
      </c>
    </row>
    <row r="14" spans="1:5" x14ac:dyDescent="0.25">
      <c r="A14" s="32" t="s">
        <v>767</v>
      </c>
      <c r="B14" s="7">
        <v>1998</v>
      </c>
      <c r="C14" s="51" t="s">
        <v>704</v>
      </c>
      <c r="D14" t="s">
        <v>714</v>
      </c>
      <c r="E14" s="2">
        <v>34.116</v>
      </c>
    </row>
    <row r="15" spans="1:5" x14ac:dyDescent="0.25">
      <c r="A15" s="32" t="s">
        <v>767</v>
      </c>
      <c r="B15" s="7">
        <v>1998</v>
      </c>
      <c r="C15" s="51" t="s">
        <v>705</v>
      </c>
      <c r="D15" t="s">
        <v>714</v>
      </c>
      <c r="E15" s="2">
        <v>31.899000000000001</v>
      </c>
    </row>
    <row r="16" spans="1:5" x14ac:dyDescent="0.25">
      <c r="A16" s="32" t="s">
        <v>767</v>
      </c>
      <c r="B16" s="7">
        <v>1998</v>
      </c>
      <c r="C16" s="51" t="s">
        <v>706</v>
      </c>
      <c r="D16" t="s">
        <v>714</v>
      </c>
      <c r="E16" s="2">
        <v>32.542999999999999</v>
      </c>
    </row>
    <row r="17" spans="1:5" x14ac:dyDescent="0.25">
      <c r="A17" s="32" t="s">
        <v>767</v>
      </c>
      <c r="B17" s="7">
        <v>1999</v>
      </c>
      <c r="C17" s="51" t="s">
        <v>713</v>
      </c>
      <c r="D17" t="s">
        <v>714</v>
      </c>
      <c r="E17" s="2">
        <v>44.829000000000001</v>
      </c>
    </row>
    <row r="18" spans="1:5" x14ac:dyDescent="0.25">
      <c r="A18" s="32" t="s">
        <v>767</v>
      </c>
      <c r="B18" s="7">
        <v>1999</v>
      </c>
      <c r="C18" s="51" t="s">
        <v>707</v>
      </c>
      <c r="D18" t="s">
        <v>714</v>
      </c>
      <c r="E18" s="2">
        <v>36.161000000000001</v>
      </c>
    </row>
    <row r="19" spans="1:5" x14ac:dyDescent="0.25">
      <c r="A19" s="32" t="s">
        <v>767</v>
      </c>
      <c r="B19" s="7">
        <v>1999</v>
      </c>
      <c r="C19" s="51" t="s">
        <v>708</v>
      </c>
      <c r="D19" t="s">
        <v>714</v>
      </c>
      <c r="E19" s="2">
        <v>47.106000000000002</v>
      </c>
    </row>
    <row r="20" spans="1:5" x14ac:dyDescent="0.25">
      <c r="A20" s="32" t="s">
        <v>767</v>
      </c>
      <c r="B20" s="7">
        <v>1999</v>
      </c>
      <c r="C20" s="51" t="s">
        <v>699</v>
      </c>
      <c r="D20" t="s">
        <v>714</v>
      </c>
      <c r="E20" s="2">
        <v>35.981000000000002</v>
      </c>
    </row>
    <row r="21" spans="1:5" x14ac:dyDescent="0.25">
      <c r="A21" s="32" t="s">
        <v>767</v>
      </c>
      <c r="B21" s="7">
        <v>1999</v>
      </c>
      <c r="C21" s="51" t="s">
        <v>709</v>
      </c>
      <c r="D21" t="s">
        <v>714</v>
      </c>
      <c r="E21" s="2">
        <v>34.877000000000002</v>
      </c>
    </row>
    <row r="22" spans="1:5" x14ac:dyDescent="0.25">
      <c r="A22" s="32" t="s">
        <v>767</v>
      </c>
      <c r="B22" s="7">
        <v>1999</v>
      </c>
      <c r="C22" s="51" t="s">
        <v>712</v>
      </c>
      <c r="D22" t="s">
        <v>714</v>
      </c>
      <c r="E22" s="2">
        <v>35.484999999999999</v>
      </c>
    </row>
    <row r="23" spans="1:5" x14ac:dyDescent="0.25">
      <c r="A23" s="32" t="s">
        <v>767</v>
      </c>
      <c r="B23" s="7">
        <v>1999</v>
      </c>
      <c r="C23" s="51" t="s">
        <v>710</v>
      </c>
      <c r="D23" t="s">
        <v>714</v>
      </c>
      <c r="E23" s="2">
        <v>35.302</v>
      </c>
    </row>
    <row r="24" spans="1:5" x14ac:dyDescent="0.25">
      <c r="A24" s="32" t="s">
        <v>767</v>
      </c>
      <c r="B24" s="7">
        <v>1999</v>
      </c>
      <c r="C24" s="51" t="s">
        <v>702</v>
      </c>
      <c r="D24" t="s">
        <v>714</v>
      </c>
      <c r="E24" s="2">
        <v>36.676000000000002</v>
      </c>
    </row>
    <row r="25" spans="1:5" x14ac:dyDescent="0.25">
      <c r="A25" s="32" t="s">
        <v>767</v>
      </c>
      <c r="B25" s="7">
        <v>1999</v>
      </c>
      <c r="C25" s="51" t="s">
        <v>703</v>
      </c>
      <c r="D25" t="s">
        <v>714</v>
      </c>
      <c r="E25" s="2">
        <v>43.292000000000002</v>
      </c>
    </row>
    <row r="26" spans="1:5" x14ac:dyDescent="0.25">
      <c r="A26" s="32" t="s">
        <v>767</v>
      </c>
      <c r="B26" s="7">
        <v>1999</v>
      </c>
      <c r="C26" s="51" t="s">
        <v>704</v>
      </c>
      <c r="D26" t="s">
        <v>714</v>
      </c>
      <c r="E26" s="2">
        <v>43.314</v>
      </c>
    </row>
    <row r="27" spans="1:5" x14ac:dyDescent="0.25">
      <c r="A27" s="32" t="s">
        <v>767</v>
      </c>
      <c r="B27" s="7">
        <v>1999</v>
      </c>
      <c r="C27" s="51" t="s">
        <v>705</v>
      </c>
      <c r="D27" t="s">
        <v>714</v>
      </c>
      <c r="E27" s="2">
        <v>34.637</v>
      </c>
    </row>
    <row r="28" spans="1:5" x14ac:dyDescent="0.25">
      <c r="A28" s="32" t="s">
        <v>767</v>
      </c>
      <c r="B28" s="7">
        <v>1999</v>
      </c>
      <c r="C28" s="51" t="s">
        <v>706</v>
      </c>
      <c r="D28" t="s">
        <v>714</v>
      </c>
      <c r="E28" s="2">
        <v>38.255000000000003</v>
      </c>
    </row>
    <row r="29" spans="1:5" x14ac:dyDescent="0.25">
      <c r="A29" s="32" t="s">
        <v>767</v>
      </c>
      <c r="B29" s="7">
        <v>2000</v>
      </c>
      <c r="C29" s="51" t="s">
        <v>713</v>
      </c>
      <c r="D29" t="s">
        <v>714</v>
      </c>
      <c r="E29" s="2">
        <v>38.180999999999997</v>
      </c>
    </row>
    <row r="30" spans="1:5" x14ac:dyDescent="0.25">
      <c r="A30" s="32" t="s">
        <v>767</v>
      </c>
      <c r="B30" s="7">
        <v>2000</v>
      </c>
      <c r="C30" s="51" t="s">
        <v>707</v>
      </c>
      <c r="D30" t="s">
        <v>714</v>
      </c>
      <c r="E30" s="2">
        <v>45.014000000000003</v>
      </c>
    </row>
    <row r="31" spans="1:5" x14ac:dyDescent="0.25">
      <c r="A31" s="32" t="s">
        <v>767</v>
      </c>
      <c r="B31" s="7">
        <v>2000</v>
      </c>
      <c r="C31" s="51" t="s">
        <v>708</v>
      </c>
      <c r="D31" t="s">
        <v>714</v>
      </c>
      <c r="E31" s="2">
        <v>46.683</v>
      </c>
    </row>
    <row r="32" spans="1:5" x14ac:dyDescent="0.25">
      <c r="A32" s="32" t="s">
        <v>767</v>
      </c>
      <c r="B32" s="7">
        <v>2000</v>
      </c>
      <c r="C32" s="51" t="s">
        <v>699</v>
      </c>
      <c r="D32" t="s">
        <v>714</v>
      </c>
      <c r="E32" s="2">
        <v>47.383000000000003</v>
      </c>
    </row>
    <row r="33" spans="1:5" x14ac:dyDescent="0.25">
      <c r="A33" s="32" t="s">
        <v>767</v>
      </c>
      <c r="B33" s="7">
        <v>2000</v>
      </c>
      <c r="C33" s="51" t="s">
        <v>709</v>
      </c>
      <c r="D33" t="s">
        <v>714</v>
      </c>
      <c r="E33" s="2">
        <v>40.097999999999999</v>
      </c>
    </row>
    <row r="34" spans="1:5" x14ac:dyDescent="0.25">
      <c r="A34" s="32" t="s">
        <v>767</v>
      </c>
      <c r="B34" s="7">
        <v>2000</v>
      </c>
      <c r="C34" s="51" t="s">
        <v>712</v>
      </c>
      <c r="D34" t="s">
        <v>714</v>
      </c>
      <c r="E34" s="2">
        <v>40.767000000000003</v>
      </c>
    </row>
    <row r="35" spans="1:5" x14ac:dyDescent="0.25">
      <c r="A35" s="32" t="s">
        <v>767</v>
      </c>
      <c r="B35" s="7">
        <v>2000</v>
      </c>
      <c r="C35" s="51" t="s">
        <v>710</v>
      </c>
      <c r="D35" t="s">
        <v>714</v>
      </c>
      <c r="E35" s="2">
        <v>39.613</v>
      </c>
    </row>
    <row r="36" spans="1:5" x14ac:dyDescent="0.25">
      <c r="A36" s="32" t="s">
        <v>767</v>
      </c>
      <c r="B36" s="7">
        <v>2000</v>
      </c>
      <c r="C36" s="51" t="s">
        <v>702</v>
      </c>
      <c r="D36" t="s">
        <v>714</v>
      </c>
      <c r="E36" s="2">
        <v>43.042000000000002</v>
      </c>
    </row>
    <row r="37" spans="1:5" x14ac:dyDescent="0.25">
      <c r="A37" s="32" t="s">
        <v>767</v>
      </c>
      <c r="B37" s="7">
        <v>2000</v>
      </c>
      <c r="C37" s="51" t="s">
        <v>703</v>
      </c>
      <c r="D37" t="s">
        <v>714</v>
      </c>
      <c r="E37" s="2">
        <v>39.53</v>
      </c>
    </row>
    <row r="38" spans="1:5" x14ac:dyDescent="0.25">
      <c r="A38" s="32" t="s">
        <v>767</v>
      </c>
      <c r="B38" s="7">
        <v>2000</v>
      </c>
      <c r="C38" s="51" t="s">
        <v>704</v>
      </c>
      <c r="D38" t="s">
        <v>714</v>
      </c>
      <c r="E38" s="2">
        <v>38.76</v>
      </c>
    </row>
    <row r="39" spans="1:5" x14ac:dyDescent="0.25">
      <c r="A39" s="32" t="s">
        <v>767</v>
      </c>
      <c r="B39" s="7">
        <v>2000</v>
      </c>
      <c r="C39" s="51" t="s">
        <v>705</v>
      </c>
      <c r="D39" t="s">
        <v>714</v>
      </c>
      <c r="E39" s="2">
        <v>37.816000000000003</v>
      </c>
    </row>
    <row r="40" spans="1:5" x14ac:dyDescent="0.25">
      <c r="A40" s="32" t="s">
        <v>767</v>
      </c>
      <c r="B40" s="7">
        <v>2000</v>
      </c>
      <c r="C40" s="51" t="s">
        <v>706</v>
      </c>
      <c r="D40" t="s">
        <v>714</v>
      </c>
      <c r="E40" s="2">
        <v>41.276000000000003</v>
      </c>
    </row>
    <row r="41" spans="1:5" x14ac:dyDescent="0.25">
      <c r="A41" s="32" t="s">
        <v>767</v>
      </c>
      <c r="B41" s="7">
        <v>2001</v>
      </c>
      <c r="C41" s="51" t="s">
        <v>713</v>
      </c>
      <c r="D41" t="s">
        <v>714</v>
      </c>
      <c r="E41" s="2">
        <v>42.886000000000003</v>
      </c>
    </row>
    <row r="42" spans="1:5" x14ac:dyDescent="0.25">
      <c r="A42" s="32" t="s">
        <v>767</v>
      </c>
      <c r="B42" s="7">
        <v>2001</v>
      </c>
      <c r="C42" s="51" t="s">
        <v>707</v>
      </c>
      <c r="D42" t="s">
        <v>714</v>
      </c>
      <c r="E42" s="2">
        <v>39.97</v>
      </c>
    </row>
    <row r="43" spans="1:5" x14ac:dyDescent="0.25">
      <c r="A43" s="32" t="s">
        <v>767</v>
      </c>
      <c r="B43" s="7">
        <v>2001</v>
      </c>
      <c r="C43" s="51" t="s">
        <v>708</v>
      </c>
      <c r="D43" t="s">
        <v>714</v>
      </c>
      <c r="E43" s="2">
        <v>49.203000000000003</v>
      </c>
    </row>
    <row r="44" spans="1:5" x14ac:dyDescent="0.25">
      <c r="A44" s="32" t="s">
        <v>767</v>
      </c>
      <c r="B44" s="7">
        <v>2001</v>
      </c>
      <c r="C44" s="51" t="s">
        <v>699</v>
      </c>
      <c r="D44" t="s">
        <v>714</v>
      </c>
      <c r="E44" s="2">
        <v>44.823</v>
      </c>
    </row>
    <row r="45" spans="1:5" x14ac:dyDescent="0.25">
      <c r="A45" s="32" t="s">
        <v>767</v>
      </c>
      <c r="B45" s="7">
        <v>2001</v>
      </c>
      <c r="C45" s="51" t="s">
        <v>709</v>
      </c>
      <c r="D45" t="s">
        <v>714</v>
      </c>
      <c r="E45" s="2">
        <v>41.198</v>
      </c>
    </row>
    <row r="46" spans="1:5" x14ac:dyDescent="0.25">
      <c r="A46" s="32" t="s">
        <v>767</v>
      </c>
      <c r="B46" s="7">
        <v>2001</v>
      </c>
      <c r="C46" s="51" t="s">
        <v>712</v>
      </c>
      <c r="D46" t="s">
        <v>714</v>
      </c>
      <c r="E46" s="2">
        <v>43.210999999999999</v>
      </c>
    </row>
    <row r="47" spans="1:5" x14ac:dyDescent="0.25">
      <c r="A47" s="32" t="s">
        <v>767</v>
      </c>
      <c r="B47" s="7">
        <v>2001</v>
      </c>
      <c r="C47" s="51" t="s">
        <v>710</v>
      </c>
      <c r="D47" t="s">
        <v>714</v>
      </c>
      <c r="E47" s="2">
        <v>43.896000000000001</v>
      </c>
    </row>
    <row r="48" spans="1:5" x14ac:dyDescent="0.25">
      <c r="A48" s="32" t="s">
        <v>767</v>
      </c>
      <c r="B48" s="7">
        <v>2001</v>
      </c>
      <c r="C48" s="51" t="s">
        <v>702</v>
      </c>
      <c r="D48" t="s">
        <v>714</v>
      </c>
      <c r="E48" s="2">
        <v>42.607999999999997</v>
      </c>
    </row>
    <row r="49" spans="1:5" x14ac:dyDescent="0.25">
      <c r="A49" s="32" t="s">
        <v>767</v>
      </c>
      <c r="B49" s="7">
        <v>2001</v>
      </c>
      <c r="C49" s="51" t="s">
        <v>703</v>
      </c>
      <c r="D49" t="s">
        <v>714</v>
      </c>
      <c r="E49" s="2">
        <v>40.924999999999997</v>
      </c>
    </row>
    <row r="50" spans="1:5" x14ac:dyDescent="0.25">
      <c r="A50" s="32" t="s">
        <v>767</v>
      </c>
      <c r="B50" s="7">
        <v>2001</v>
      </c>
      <c r="C50" s="51" t="s">
        <v>704</v>
      </c>
      <c r="D50" t="s">
        <v>714</v>
      </c>
      <c r="E50" s="2">
        <v>40.405999999999999</v>
      </c>
    </row>
    <row r="51" spans="1:5" x14ac:dyDescent="0.25">
      <c r="A51" s="32" t="s">
        <v>767</v>
      </c>
      <c r="B51" s="7">
        <v>2001</v>
      </c>
      <c r="C51" s="51" t="s">
        <v>705</v>
      </c>
      <c r="D51" t="s">
        <v>714</v>
      </c>
      <c r="E51" s="2">
        <v>39.1</v>
      </c>
    </row>
    <row r="52" spans="1:5" x14ac:dyDescent="0.25">
      <c r="A52" s="32" t="s">
        <v>767</v>
      </c>
      <c r="B52" s="7">
        <v>2001</v>
      </c>
      <c r="C52" s="51" t="s">
        <v>706</v>
      </c>
      <c r="D52" t="s">
        <v>714</v>
      </c>
      <c r="E52" s="2">
        <v>39.1</v>
      </c>
    </row>
    <row r="53" spans="1:5" x14ac:dyDescent="0.25">
      <c r="A53" s="32" t="s">
        <v>767</v>
      </c>
      <c r="B53" s="7">
        <v>2002</v>
      </c>
      <c r="C53" s="51" t="s">
        <v>713</v>
      </c>
      <c r="D53" t="s">
        <v>714</v>
      </c>
      <c r="E53" s="2">
        <v>41.408000000000001</v>
      </c>
    </row>
    <row r="54" spans="1:5" x14ac:dyDescent="0.25">
      <c r="A54" s="32" t="s">
        <v>767</v>
      </c>
      <c r="B54" s="7">
        <v>2002</v>
      </c>
      <c r="C54" s="51" t="s">
        <v>707</v>
      </c>
      <c r="D54" t="s">
        <v>714</v>
      </c>
      <c r="E54" s="2">
        <v>37.037999999999997</v>
      </c>
    </row>
    <row r="55" spans="1:5" x14ac:dyDescent="0.25">
      <c r="A55" s="32" t="s">
        <v>767</v>
      </c>
      <c r="B55" s="7">
        <v>2002</v>
      </c>
      <c r="C55" s="51" t="s">
        <v>708</v>
      </c>
      <c r="D55" t="s">
        <v>714</v>
      </c>
      <c r="E55" s="2">
        <v>44.868000000000002</v>
      </c>
    </row>
    <row r="56" spans="1:5" x14ac:dyDescent="0.25">
      <c r="A56" s="32" t="s">
        <v>767</v>
      </c>
      <c r="B56" s="7">
        <v>2002</v>
      </c>
      <c r="C56" s="51" t="s">
        <v>699</v>
      </c>
      <c r="D56" t="s">
        <v>714</v>
      </c>
      <c r="E56" s="2">
        <v>42.84</v>
      </c>
    </row>
    <row r="57" spans="1:5" x14ac:dyDescent="0.25">
      <c r="A57" s="32" t="s">
        <v>767</v>
      </c>
      <c r="B57" s="7">
        <v>2002</v>
      </c>
      <c r="C57" s="51" t="s">
        <v>709</v>
      </c>
      <c r="D57" t="s">
        <v>714</v>
      </c>
      <c r="E57" s="2">
        <v>45.109000000000002</v>
      </c>
    </row>
    <row r="58" spans="1:5" x14ac:dyDescent="0.25">
      <c r="A58" s="32" t="s">
        <v>767</v>
      </c>
      <c r="B58" s="7">
        <v>2002</v>
      </c>
      <c r="C58" s="51" t="s">
        <v>712</v>
      </c>
      <c r="D58" t="s">
        <v>714</v>
      </c>
      <c r="E58" s="2">
        <v>41.683</v>
      </c>
    </row>
    <row r="59" spans="1:5" x14ac:dyDescent="0.25">
      <c r="A59" s="32" t="s">
        <v>767</v>
      </c>
      <c r="B59" s="7">
        <v>2002</v>
      </c>
      <c r="C59" s="51" t="s">
        <v>710</v>
      </c>
      <c r="D59" t="s">
        <v>714</v>
      </c>
      <c r="E59" s="2">
        <v>40.5</v>
      </c>
    </row>
    <row r="60" spans="1:5" s="1" customFormat="1" x14ac:dyDescent="0.25">
      <c r="A60" s="32" t="s">
        <v>767</v>
      </c>
      <c r="B60" s="7">
        <v>2002</v>
      </c>
      <c r="C60" s="51" t="s">
        <v>702</v>
      </c>
      <c r="D60" s="1" t="s">
        <v>714</v>
      </c>
      <c r="E60" s="2">
        <v>41.47</v>
      </c>
    </row>
    <row r="61" spans="1:5" x14ac:dyDescent="0.25">
      <c r="A61" s="32" t="s">
        <v>767</v>
      </c>
      <c r="B61" s="7">
        <v>2002</v>
      </c>
      <c r="C61" s="51" t="s">
        <v>703</v>
      </c>
      <c r="D61" t="s">
        <v>714</v>
      </c>
      <c r="E61" s="2">
        <v>41.774000000000001</v>
      </c>
    </row>
    <row r="62" spans="1:5" x14ac:dyDescent="0.25">
      <c r="A62" s="32" t="s">
        <v>767</v>
      </c>
      <c r="B62" s="7">
        <v>2002</v>
      </c>
      <c r="C62" s="51" t="s">
        <v>704</v>
      </c>
      <c r="D62" t="s">
        <v>714</v>
      </c>
      <c r="E62" s="2">
        <v>49.292999999999999</v>
      </c>
    </row>
    <row r="63" spans="1:5" x14ac:dyDescent="0.25">
      <c r="A63" s="32" t="s">
        <v>767</v>
      </c>
      <c r="B63" s="7">
        <v>2002</v>
      </c>
      <c r="C63" s="51" t="s">
        <v>705</v>
      </c>
      <c r="D63" t="s">
        <v>714</v>
      </c>
      <c r="E63" s="2">
        <v>54.923000000000002</v>
      </c>
    </row>
    <row r="64" spans="1:5" x14ac:dyDescent="0.25">
      <c r="A64" s="32" t="s">
        <v>767</v>
      </c>
      <c r="B64" s="7">
        <v>2002</v>
      </c>
      <c r="C64" s="51" t="s">
        <v>706</v>
      </c>
      <c r="D64" t="s">
        <v>714</v>
      </c>
      <c r="E64" s="2">
        <v>56.753999999999998</v>
      </c>
    </row>
    <row r="65" spans="1:5" x14ac:dyDescent="0.25">
      <c r="A65" s="32" t="s">
        <v>767</v>
      </c>
      <c r="B65" s="7">
        <v>2003</v>
      </c>
      <c r="C65" s="51" t="s">
        <v>713</v>
      </c>
      <c r="D65" t="s">
        <v>714</v>
      </c>
      <c r="E65" s="2">
        <v>55.006999999999998</v>
      </c>
    </row>
    <row r="66" spans="1:5" x14ac:dyDescent="0.25">
      <c r="A66" s="32" t="s">
        <v>767</v>
      </c>
      <c r="B66" s="7">
        <v>2003</v>
      </c>
      <c r="C66" s="51" t="s">
        <v>707</v>
      </c>
      <c r="D66" t="s">
        <v>714</v>
      </c>
      <c r="E66" s="2">
        <v>54.476999999999997</v>
      </c>
    </row>
    <row r="67" spans="1:5" x14ac:dyDescent="0.25">
      <c r="A67" s="32" t="s">
        <v>767</v>
      </c>
      <c r="B67" s="7">
        <v>2003</v>
      </c>
      <c r="C67" s="51" t="s">
        <v>708</v>
      </c>
      <c r="D67" t="s">
        <v>714</v>
      </c>
      <c r="E67" s="2">
        <v>69.509</v>
      </c>
    </row>
    <row r="68" spans="1:5" x14ac:dyDescent="0.25">
      <c r="A68" s="32" t="s">
        <v>767</v>
      </c>
      <c r="B68" s="7">
        <v>2003</v>
      </c>
      <c r="C68" s="51" t="s">
        <v>699</v>
      </c>
      <c r="D68" t="s">
        <v>714</v>
      </c>
      <c r="E68" s="2">
        <v>53.517000000000003</v>
      </c>
    </row>
    <row r="69" spans="1:5" x14ac:dyDescent="0.25">
      <c r="A69" s="32" t="s">
        <v>767</v>
      </c>
      <c r="B69" s="7">
        <v>2003</v>
      </c>
      <c r="C69" s="51" t="s">
        <v>709</v>
      </c>
      <c r="D69" t="s">
        <v>714</v>
      </c>
      <c r="E69" s="2">
        <v>62.710999999999999</v>
      </c>
    </row>
    <row r="70" spans="1:5" x14ac:dyDescent="0.25">
      <c r="A70" s="32" t="s">
        <v>767</v>
      </c>
      <c r="B70" s="7">
        <v>2003</v>
      </c>
      <c r="C70" s="51" t="s">
        <v>712</v>
      </c>
      <c r="D70" t="s">
        <v>714</v>
      </c>
      <c r="E70" s="2">
        <v>62.854999999999997</v>
      </c>
    </row>
    <row r="71" spans="1:5" x14ac:dyDescent="0.25">
      <c r="A71" s="32" t="s">
        <v>767</v>
      </c>
      <c r="B71" s="7">
        <v>2003</v>
      </c>
      <c r="C71" s="51" t="s">
        <v>710</v>
      </c>
      <c r="D71" t="s">
        <v>714</v>
      </c>
      <c r="E71" s="2">
        <v>47.938000000000002</v>
      </c>
    </row>
    <row r="72" spans="1:5" x14ac:dyDescent="0.25">
      <c r="A72" s="32" t="s">
        <v>767</v>
      </c>
      <c r="B72" s="7">
        <v>2003</v>
      </c>
      <c r="C72" s="51" t="s">
        <v>702</v>
      </c>
      <c r="D72" t="s">
        <v>714</v>
      </c>
      <c r="E72" s="2">
        <v>42.445</v>
      </c>
    </row>
    <row r="73" spans="1:5" x14ac:dyDescent="0.25">
      <c r="A73" s="32" t="s">
        <v>767</v>
      </c>
      <c r="B73" s="7">
        <v>2003</v>
      </c>
      <c r="C73" s="51" t="s">
        <v>703</v>
      </c>
      <c r="D73" t="s">
        <v>714</v>
      </c>
      <c r="E73" s="2">
        <v>54.917000000000002</v>
      </c>
    </row>
    <row r="74" spans="1:5" x14ac:dyDescent="0.25">
      <c r="A74" s="32" t="s">
        <v>767</v>
      </c>
      <c r="B74" s="7">
        <v>2003</v>
      </c>
      <c r="C74" s="51" t="s">
        <v>704</v>
      </c>
      <c r="D74" t="s">
        <v>714</v>
      </c>
      <c r="E74" s="2">
        <v>51.673000000000002</v>
      </c>
    </row>
    <row r="75" spans="1:5" x14ac:dyDescent="0.25">
      <c r="A75" s="32" t="s">
        <v>767</v>
      </c>
      <c r="B75" s="7">
        <v>2003</v>
      </c>
      <c r="C75" s="51" t="s">
        <v>705</v>
      </c>
      <c r="D75" t="s">
        <v>714</v>
      </c>
      <c r="E75" s="2">
        <v>57.854999999999997</v>
      </c>
    </row>
    <row r="76" spans="1:5" x14ac:dyDescent="0.25">
      <c r="A76" s="32" t="s">
        <v>767</v>
      </c>
      <c r="B76" s="7">
        <v>2003</v>
      </c>
      <c r="C76" s="51" t="s">
        <v>706</v>
      </c>
      <c r="D76" t="s">
        <v>714</v>
      </c>
      <c r="E76" s="2">
        <v>63.055999999999997</v>
      </c>
    </row>
    <row r="77" spans="1:5" x14ac:dyDescent="0.25">
      <c r="A77" s="32" t="s">
        <v>767</v>
      </c>
      <c r="B77" s="7">
        <v>2004</v>
      </c>
      <c r="C77" s="51" t="s">
        <v>713</v>
      </c>
      <c r="D77" t="s">
        <v>714</v>
      </c>
      <c r="E77" s="2">
        <v>49.087000000000003</v>
      </c>
    </row>
    <row r="78" spans="1:5" x14ac:dyDescent="0.25">
      <c r="A78" s="32" t="s">
        <v>767</v>
      </c>
      <c r="B78" s="7">
        <v>2004</v>
      </c>
      <c r="C78" s="51" t="s">
        <v>707</v>
      </c>
      <c r="D78" t="s">
        <v>714</v>
      </c>
      <c r="E78" s="2">
        <v>55.003</v>
      </c>
    </row>
    <row r="79" spans="1:5" s="1" customFormat="1" x14ac:dyDescent="0.25">
      <c r="A79" s="32" t="s">
        <v>767</v>
      </c>
      <c r="B79" s="7">
        <v>2004</v>
      </c>
      <c r="C79" s="51" t="s">
        <v>708</v>
      </c>
      <c r="D79" s="1" t="s">
        <v>714</v>
      </c>
      <c r="E79" s="2">
        <v>51.253</v>
      </c>
    </row>
    <row r="80" spans="1:5" s="1" customFormat="1" x14ac:dyDescent="0.25">
      <c r="A80" s="32" t="s">
        <v>767</v>
      </c>
      <c r="B80" s="7">
        <v>2004</v>
      </c>
      <c r="C80" s="51" t="s">
        <v>699</v>
      </c>
      <c r="D80" s="1" t="s">
        <v>714</v>
      </c>
      <c r="E80" s="2">
        <v>58.325000000000003</v>
      </c>
    </row>
    <row r="81" spans="1:5" x14ac:dyDescent="0.25">
      <c r="A81" s="32" t="s">
        <v>767</v>
      </c>
      <c r="B81" s="7">
        <v>2004</v>
      </c>
      <c r="C81" s="51" t="s">
        <v>709</v>
      </c>
      <c r="D81" t="s">
        <v>714</v>
      </c>
      <c r="E81" s="2">
        <v>49.366</v>
      </c>
    </row>
    <row r="82" spans="1:5" x14ac:dyDescent="0.25">
      <c r="A82" s="32" t="s">
        <v>767</v>
      </c>
      <c r="B82" s="7">
        <v>2004</v>
      </c>
      <c r="C82" s="51" t="s">
        <v>712</v>
      </c>
      <c r="D82" t="s">
        <v>714</v>
      </c>
      <c r="E82" s="2">
        <v>50.533999999999999</v>
      </c>
    </row>
    <row r="83" spans="1:5" x14ac:dyDescent="0.25">
      <c r="A83" s="32" t="s">
        <v>767</v>
      </c>
      <c r="B83" s="7">
        <v>2004</v>
      </c>
      <c r="C83" s="51" t="s">
        <v>710</v>
      </c>
      <c r="D83" t="s">
        <v>714</v>
      </c>
      <c r="E83" s="2">
        <v>48.07</v>
      </c>
    </row>
    <row r="84" spans="1:5" x14ac:dyDescent="0.25">
      <c r="A84" s="32" t="s">
        <v>767</v>
      </c>
      <c r="B84" s="7">
        <v>2004</v>
      </c>
      <c r="C84" s="51" t="s">
        <v>702</v>
      </c>
      <c r="D84" t="s">
        <v>714</v>
      </c>
      <c r="E84" s="2">
        <v>48.124000000000002</v>
      </c>
    </row>
    <row r="85" spans="1:5" x14ac:dyDescent="0.25">
      <c r="A85" s="32" t="s">
        <v>767</v>
      </c>
      <c r="B85" s="7">
        <v>2004</v>
      </c>
      <c r="C85" s="51" t="s">
        <v>703</v>
      </c>
      <c r="D85" t="s">
        <v>714</v>
      </c>
      <c r="E85" s="2">
        <v>48.543999999999997</v>
      </c>
    </row>
    <row r="86" spans="1:5" x14ac:dyDescent="0.25">
      <c r="A86" s="32" t="s">
        <v>767</v>
      </c>
      <c r="B86" s="7">
        <v>2004</v>
      </c>
      <c r="C86" s="51" t="s">
        <v>704</v>
      </c>
      <c r="D86" t="s">
        <v>714</v>
      </c>
      <c r="E86" s="2">
        <v>46.137999999999998</v>
      </c>
    </row>
    <row r="87" spans="1:5" x14ac:dyDescent="0.25">
      <c r="A87" s="32" t="s">
        <v>767</v>
      </c>
      <c r="B87" s="7">
        <v>2004</v>
      </c>
      <c r="C87" s="51" t="s">
        <v>705</v>
      </c>
      <c r="D87" t="s">
        <v>714</v>
      </c>
      <c r="E87" s="2">
        <v>55.454000000000001</v>
      </c>
    </row>
    <row r="88" spans="1:5" x14ac:dyDescent="0.25">
      <c r="A88" s="32" t="s">
        <v>767</v>
      </c>
      <c r="B88" s="7">
        <v>2004</v>
      </c>
      <c r="C88" s="51" t="s">
        <v>706</v>
      </c>
      <c r="D88" t="s">
        <v>714</v>
      </c>
      <c r="E88" s="2">
        <v>53.875999999999998</v>
      </c>
    </row>
    <row r="89" spans="1:5" x14ac:dyDescent="0.25">
      <c r="A89" s="32" t="s">
        <v>767</v>
      </c>
      <c r="B89" s="7">
        <v>2005</v>
      </c>
      <c r="C89" s="51" t="s">
        <v>713</v>
      </c>
      <c r="D89" t="s">
        <v>714</v>
      </c>
      <c r="E89" s="2">
        <v>54.084000000000003</v>
      </c>
    </row>
    <row r="90" spans="1:5" x14ac:dyDescent="0.25">
      <c r="A90" s="32" t="s">
        <v>767</v>
      </c>
      <c r="B90" s="7">
        <v>2005</v>
      </c>
      <c r="C90" s="51" t="s">
        <v>707</v>
      </c>
      <c r="D90" t="s">
        <v>714</v>
      </c>
      <c r="E90" s="2">
        <v>47.408999999999999</v>
      </c>
    </row>
    <row r="91" spans="1:5" x14ac:dyDescent="0.25">
      <c r="A91" s="32" t="s">
        <v>767</v>
      </c>
      <c r="B91" s="7">
        <v>2005</v>
      </c>
      <c r="C91" s="51" t="s">
        <v>708</v>
      </c>
      <c r="D91" t="s">
        <v>714</v>
      </c>
      <c r="E91" s="2">
        <v>63.316000000000003</v>
      </c>
    </row>
    <row r="92" spans="1:5" x14ac:dyDescent="0.25">
      <c r="A92" s="32" t="s">
        <v>767</v>
      </c>
      <c r="B92" s="7">
        <v>2005</v>
      </c>
      <c r="C92" s="51" t="s">
        <v>699</v>
      </c>
      <c r="D92" t="s">
        <v>714</v>
      </c>
      <c r="E92" s="2">
        <v>56.654000000000003</v>
      </c>
    </row>
    <row r="93" spans="1:5" x14ac:dyDescent="0.25">
      <c r="A93" s="32" t="s">
        <v>767</v>
      </c>
      <c r="B93" s="7">
        <v>2005</v>
      </c>
      <c r="C93" s="51" t="s">
        <v>709</v>
      </c>
      <c r="D93" t="s">
        <v>714</v>
      </c>
      <c r="E93" s="2">
        <v>53.984000000000002</v>
      </c>
    </row>
    <row r="94" spans="1:5" x14ac:dyDescent="0.25">
      <c r="A94" s="32" t="s">
        <v>767</v>
      </c>
      <c r="B94" s="7">
        <v>2005</v>
      </c>
      <c r="C94" s="51" t="s">
        <v>712</v>
      </c>
      <c r="D94" t="s">
        <v>714</v>
      </c>
      <c r="E94" s="2">
        <v>47.283000000000001</v>
      </c>
    </row>
    <row r="95" spans="1:5" x14ac:dyDescent="0.25">
      <c r="A95" s="32" t="s">
        <v>767</v>
      </c>
      <c r="B95" s="7">
        <v>2005</v>
      </c>
      <c r="C95" s="51" t="s">
        <v>710</v>
      </c>
      <c r="D95" t="s">
        <v>714</v>
      </c>
      <c r="E95" s="2">
        <v>53.826999999999998</v>
      </c>
    </row>
    <row r="96" spans="1:5" x14ac:dyDescent="0.25">
      <c r="A96" s="32" t="s">
        <v>767</v>
      </c>
      <c r="B96" s="7">
        <v>2005</v>
      </c>
      <c r="C96" s="51" t="s">
        <v>702</v>
      </c>
      <c r="D96" t="s">
        <v>714</v>
      </c>
      <c r="E96" s="2">
        <v>49.186</v>
      </c>
    </row>
    <row r="97" spans="1:5" x14ac:dyDescent="0.25">
      <c r="A97" s="32" t="s">
        <v>767</v>
      </c>
      <c r="B97" s="7">
        <v>2005</v>
      </c>
      <c r="C97" s="51" t="s">
        <v>703</v>
      </c>
      <c r="D97" t="s">
        <v>714</v>
      </c>
      <c r="E97" s="2">
        <v>45.247</v>
      </c>
    </row>
    <row r="98" spans="1:5" x14ac:dyDescent="0.25">
      <c r="A98" s="32" t="s">
        <v>767</v>
      </c>
      <c r="B98" s="7">
        <v>2005</v>
      </c>
      <c r="C98" s="51" t="s">
        <v>704</v>
      </c>
      <c r="D98" t="s">
        <v>714</v>
      </c>
      <c r="E98" s="2">
        <v>59.783000000000001</v>
      </c>
    </row>
    <row r="99" spans="1:5" x14ac:dyDescent="0.25">
      <c r="A99" s="32" t="s">
        <v>767</v>
      </c>
      <c r="B99" s="7">
        <v>2005</v>
      </c>
      <c r="C99" s="51" t="s">
        <v>705</v>
      </c>
      <c r="D99" t="s">
        <v>714</v>
      </c>
      <c r="E99" s="2">
        <v>49.933</v>
      </c>
    </row>
    <row r="100" spans="1:5" x14ac:dyDescent="0.25">
      <c r="A100" s="32" t="s">
        <v>767</v>
      </c>
      <c r="B100" s="7">
        <v>2005</v>
      </c>
      <c r="C100" s="51" t="s">
        <v>706</v>
      </c>
      <c r="D100" t="s">
        <v>714</v>
      </c>
      <c r="E100" s="2">
        <v>58.509</v>
      </c>
    </row>
    <row r="101" spans="1:5" x14ac:dyDescent="0.25">
      <c r="A101" s="32" t="s">
        <v>767</v>
      </c>
      <c r="B101" s="7">
        <v>2006</v>
      </c>
      <c r="C101" s="51" t="s">
        <v>713</v>
      </c>
      <c r="D101" t="s">
        <v>714</v>
      </c>
      <c r="E101" s="2">
        <v>59.402999999999999</v>
      </c>
    </row>
    <row r="102" spans="1:5" x14ac:dyDescent="0.25">
      <c r="A102" s="32" t="s">
        <v>767</v>
      </c>
      <c r="B102" s="7">
        <v>2006</v>
      </c>
      <c r="C102" s="51" t="s">
        <v>707</v>
      </c>
      <c r="D102" t="s">
        <v>714</v>
      </c>
      <c r="E102" s="2">
        <v>53.982999999999997</v>
      </c>
    </row>
    <row r="103" spans="1:5" x14ac:dyDescent="0.25">
      <c r="A103" s="32" t="s">
        <v>767</v>
      </c>
      <c r="B103" s="7">
        <v>2006</v>
      </c>
      <c r="C103" s="51" t="s">
        <v>708</v>
      </c>
      <c r="D103" t="s">
        <v>714</v>
      </c>
      <c r="E103" s="2">
        <v>48.558</v>
      </c>
    </row>
    <row r="104" spans="1:5" x14ac:dyDescent="0.25">
      <c r="A104" s="32" t="s">
        <v>767</v>
      </c>
      <c r="B104" s="7">
        <v>2006</v>
      </c>
      <c r="C104" s="51" t="s">
        <v>699</v>
      </c>
      <c r="D104" t="s">
        <v>714</v>
      </c>
      <c r="E104" s="2">
        <v>50.469000000000001</v>
      </c>
    </row>
    <row r="105" spans="1:5" x14ac:dyDescent="0.25">
      <c r="A105" s="32" t="s">
        <v>767</v>
      </c>
      <c r="B105" s="7">
        <v>2006</v>
      </c>
      <c r="C105" s="51" t="s">
        <v>709</v>
      </c>
      <c r="D105" t="s">
        <v>714</v>
      </c>
      <c r="E105" s="2">
        <v>49.429000000000002</v>
      </c>
    </row>
    <row r="106" spans="1:5" x14ac:dyDescent="0.25">
      <c r="A106" s="32" t="s">
        <v>767</v>
      </c>
      <c r="B106" s="7">
        <v>2006</v>
      </c>
      <c r="C106" s="51" t="s">
        <v>712</v>
      </c>
      <c r="D106" t="s">
        <v>714</v>
      </c>
      <c r="E106" s="2">
        <v>56.098999999999997</v>
      </c>
    </row>
    <row r="107" spans="1:5" x14ac:dyDescent="0.25">
      <c r="A107" s="32" t="s">
        <v>767</v>
      </c>
      <c r="B107" s="7">
        <v>2006</v>
      </c>
      <c r="C107" s="51" t="s">
        <v>710</v>
      </c>
      <c r="D107" t="s">
        <v>714</v>
      </c>
      <c r="E107" s="2">
        <v>48.12</v>
      </c>
    </row>
    <row r="108" spans="1:5" x14ac:dyDescent="0.25">
      <c r="A108" s="32" t="s">
        <v>767</v>
      </c>
      <c r="B108" s="7">
        <v>2006</v>
      </c>
      <c r="C108" s="51" t="s">
        <v>702</v>
      </c>
      <c r="D108" t="s">
        <v>714</v>
      </c>
      <c r="E108" s="2">
        <v>44.768000000000001</v>
      </c>
    </row>
    <row r="109" spans="1:5" x14ac:dyDescent="0.25">
      <c r="A109" s="32" t="s">
        <v>767</v>
      </c>
      <c r="B109" s="7">
        <v>2006</v>
      </c>
      <c r="C109" s="51" t="s">
        <v>703</v>
      </c>
      <c r="D109" t="s">
        <v>714</v>
      </c>
      <c r="E109" s="2">
        <v>52.732999999999997</v>
      </c>
    </row>
    <row r="110" spans="1:5" x14ac:dyDescent="0.25">
      <c r="A110" s="32" t="s">
        <v>767</v>
      </c>
      <c r="B110" s="7">
        <v>2006</v>
      </c>
      <c r="C110" s="51" t="s">
        <v>704</v>
      </c>
      <c r="D110" t="s">
        <v>714</v>
      </c>
      <c r="E110" s="2">
        <v>58.546999999999997</v>
      </c>
    </row>
    <row r="111" spans="1:5" x14ac:dyDescent="0.25">
      <c r="A111" s="32" t="s">
        <v>767</v>
      </c>
      <c r="B111" s="7">
        <v>2006</v>
      </c>
      <c r="C111" s="51" t="s">
        <v>705</v>
      </c>
      <c r="D111" t="s">
        <v>714</v>
      </c>
      <c r="E111" s="2">
        <v>61.05</v>
      </c>
    </row>
    <row r="112" spans="1:5" x14ac:dyDescent="0.25">
      <c r="A112" s="32" t="s">
        <v>767</v>
      </c>
      <c r="B112" s="7">
        <v>2006</v>
      </c>
      <c r="C112" s="51" t="s">
        <v>706</v>
      </c>
      <c r="D112" t="s">
        <v>714</v>
      </c>
      <c r="E112" s="2">
        <v>51.438000000000002</v>
      </c>
    </row>
    <row r="113" spans="1:5" x14ac:dyDescent="0.25">
      <c r="A113" s="32" t="s">
        <v>767</v>
      </c>
      <c r="B113" s="7">
        <v>2007</v>
      </c>
      <c r="C113" s="51" t="s">
        <v>713</v>
      </c>
      <c r="D113" t="s">
        <v>714</v>
      </c>
      <c r="E113" s="2">
        <v>50.22</v>
      </c>
    </row>
    <row r="114" spans="1:5" x14ac:dyDescent="0.25">
      <c r="A114" s="32" t="s">
        <v>767</v>
      </c>
      <c r="B114" s="7">
        <v>2007</v>
      </c>
      <c r="C114" s="51" t="s">
        <v>707</v>
      </c>
      <c r="D114" t="s">
        <v>714</v>
      </c>
      <c r="E114" s="2">
        <v>46.456000000000003</v>
      </c>
    </row>
    <row r="115" spans="1:5" x14ac:dyDescent="0.25">
      <c r="A115" s="32" t="s">
        <v>767</v>
      </c>
      <c r="B115" s="7">
        <v>2007</v>
      </c>
      <c r="C115" s="51" t="s">
        <v>708</v>
      </c>
      <c r="D115" t="s">
        <v>714</v>
      </c>
      <c r="E115" s="2">
        <v>59.591000000000001</v>
      </c>
    </row>
    <row r="116" spans="1:5" x14ac:dyDescent="0.25">
      <c r="A116" s="32" t="s">
        <v>767</v>
      </c>
      <c r="B116" s="7">
        <v>2007</v>
      </c>
      <c r="C116" s="51" t="s">
        <v>699</v>
      </c>
      <c r="D116" t="s">
        <v>714</v>
      </c>
      <c r="E116" s="2">
        <v>50.771000000000001</v>
      </c>
    </row>
    <row r="117" spans="1:5" x14ac:dyDescent="0.25">
      <c r="A117" s="32" t="s">
        <v>767</v>
      </c>
      <c r="B117" s="7">
        <v>2007</v>
      </c>
      <c r="C117" s="51" t="s">
        <v>709</v>
      </c>
      <c r="D117" t="s">
        <v>714</v>
      </c>
      <c r="E117" s="2">
        <v>51.692999999999998</v>
      </c>
    </row>
    <row r="118" spans="1:5" x14ac:dyDescent="0.25">
      <c r="A118" s="32" t="s">
        <v>767</v>
      </c>
      <c r="B118" s="7">
        <v>2007</v>
      </c>
      <c r="C118" s="51" t="s">
        <v>712</v>
      </c>
      <c r="D118" t="s">
        <v>714</v>
      </c>
      <c r="E118" s="2">
        <v>49.334000000000003</v>
      </c>
    </row>
    <row r="119" spans="1:5" x14ac:dyDescent="0.25">
      <c r="A119" s="32" t="s">
        <v>767</v>
      </c>
      <c r="B119" s="7">
        <v>2007</v>
      </c>
      <c r="C119" s="51" t="s">
        <v>710</v>
      </c>
      <c r="D119" t="s">
        <v>714</v>
      </c>
      <c r="E119" s="2">
        <v>48.283999999999999</v>
      </c>
    </row>
    <row r="120" spans="1:5" x14ac:dyDescent="0.25">
      <c r="A120" s="32" t="s">
        <v>767</v>
      </c>
      <c r="B120" s="7">
        <v>2007</v>
      </c>
      <c r="C120" s="51" t="s">
        <v>702</v>
      </c>
      <c r="D120" t="s">
        <v>714</v>
      </c>
      <c r="E120" s="2">
        <v>49.767000000000003</v>
      </c>
    </row>
    <row r="121" spans="1:5" x14ac:dyDescent="0.25">
      <c r="A121" s="32" t="s">
        <v>767</v>
      </c>
      <c r="B121" s="7">
        <v>2007</v>
      </c>
      <c r="C121" s="51" t="s">
        <v>703</v>
      </c>
      <c r="D121" t="s">
        <v>714</v>
      </c>
      <c r="E121" s="2">
        <v>45.552</v>
      </c>
    </row>
    <row r="122" spans="1:5" x14ac:dyDescent="0.25">
      <c r="A122" s="32" t="s">
        <v>767</v>
      </c>
      <c r="B122" s="7">
        <v>2007</v>
      </c>
      <c r="C122" s="51" t="s">
        <v>704</v>
      </c>
      <c r="D122" t="s">
        <v>714</v>
      </c>
      <c r="E122" s="2">
        <v>50.311999999999998</v>
      </c>
    </row>
    <row r="123" spans="1:5" x14ac:dyDescent="0.25">
      <c r="A123" s="32" t="s">
        <v>767</v>
      </c>
      <c r="B123" s="7">
        <v>2007</v>
      </c>
      <c r="C123" s="51" t="s">
        <v>705</v>
      </c>
      <c r="D123" t="s">
        <v>714</v>
      </c>
      <c r="E123" s="2">
        <v>48.021000000000001</v>
      </c>
    </row>
    <row r="124" spans="1:5" x14ac:dyDescent="0.25">
      <c r="A124" s="32" t="s">
        <v>767</v>
      </c>
      <c r="B124" s="7">
        <v>2007</v>
      </c>
      <c r="C124" s="51" t="s">
        <v>706</v>
      </c>
      <c r="D124" t="s">
        <v>714</v>
      </c>
      <c r="E124" s="2">
        <v>54.052999999999997</v>
      </c>
    </row>
    <row r="125" spans="1:5" x14ac:dyDescent="0.25">
      <c r="A125" s="32" t="s">
        <v>767</v>
      </c>
      <c r="B125" s="7">
        <v>2008</v>
      </c>
      <c r="C125" s="51" t="s">
        <v>713</v>
      </c>
      <c r="D125" t="s">
        <v>714</v>
      </c>
      <c r="E125" s="2">
        <v>51.042000000000002</v>
      </c>
    </row>
    <row r="126" spans="1:5" x14ac:dyDescent="0.25">
      <c r="A126" s="32" t="s">
        <v>767</v>
      </c>
      <c r="B126" s="7">
        <v>2008</v>
      </c>
      <c r="C126" s="51" t="s">
        <v>707</v>
      </c>
      <c r="D126" t="s">
        <v>714</v>
      </c>
      <c r="E126" s="2">
        <v>59.192999999999998</v>
      </c>
    </row>
    <row r="127" spans="1:5" x14ac:dyDescent="0.25">
      <c r="A127" s="32" t="s">
        <v>767</v>
      </c>
      <c r="B127" s="7">
        <v>2008</v>
      </c>
      <c r="C127" s="51" t="s">
        <v>708</v>
      </c>
      <c r="D127" t="s">
        <v>714</v>
      </c>
      <c r="E127" s="2">
        <v>54.088000000000001</v>
      </c>
    </row>
    <row r="128" spans="1:5" x14ac:dyDescent="0.25">
      <c r="A128" s="32" t="s">
        <v>767</v>
      </c>
      <c r="B128" s="7">
        <v>2008</v>
      </c>
      <c r="C128" s="51" t="s">
        <v>699</v>
      </c>
      <c r="D128" t="s">
        <v>714</v>
      </c>
      <c r="E128" s="2">
        <v>64.888000000000005</v>
      </c>
    </row>
    <row r="129" spans="1:5" x14ac:dyDescent="0.25">
      <c r="A129" s="32" t="s">
        <v>767</v>
      </c>
      <c r="B129" s="7">
        <v>2008</v>
      </c>
      <c r="C129" s="51" t="s">
        <v>709</v>
      </c>
      <c r="D129" t="s">
        <v>714</v>
      </c>
      <c r="E129" s="2">
        <v>74.867999999999995</v>
      </c>
    </row>
    <row r="130" spans="1:5" x14ac:dyDescent="0.25">
      <c r="A130" s="32" t="s">
        <v>767</v>
      </c>
      <c r="B130" s="7">
        <v>2008</v>
      </c>
      <c r="C130" s="51" t="s">
        <v>712</v>
      </c>
      <c r="D130" t="s">
        <v>714</v>
      </c>
      <c r="E130" s="2">
        <v>52.558999999999997</v>
      </c>
    </row>
    <row r="131" spans="1:5" x14ac:dyDescent="0.25">
      <c r="A131" s="32" t="s">
        <v>767</v>
      </c>
      <c r="B131" s="7">
        <v>2008</v>
      </c>
      <c r="C131" s="51" t="s">
        <v>710</v>
      </c>
      <c r="D131" t="s">
        <v>714</v>
      </c>
      <c r="E131" s="2">
        <v>49.866</v>
      </c>
    </row>
    <row r="132" spans="1:5" x14ac:dyDescent="0.25">
      <c r="A132" s="32" t="s">
        <v>767</v>
      </c>
      <c r="B132" s="7">
        <v>2008</v>
      </c>
      <c r="C132" s="51" t="s">
        <v>702</v>
      </c>
      <c r="D132" t="s">
        <v>714</v>
      </c>
      <c r="E132" s="2">
        <v>49.502000000000002</v>
      </c>
    </row>
    <row r="133" spans="1:5" x14ac:dyDescent="0.25">
      <c r="A133" s="32" t="s">
        <v>767</v>
      </c>
      <c r="B133" s="7">
        <v>2008</v>
      </c>
      <c r="C133" s="51" t="s">
        <v>703</v>
      </c>
      <c r="D133" t="s">
        <v>714</v>
      </c>
      <c r="E133" s="2">
        <v>54.256999999999998</v>
      </c>
    </row>
    <row r="134" spans="1:5" x14ac:dyDescent="0.25">
      <c r="A134" s="32" t="s">
        <v>767</v>
      </c>
      <c r="B134" s="7">
        <v>2008</v>
      </c>
      <c r="C134" s="51" t="s">
        <v>704</v>
      </c>
      <c r="D134" t="s">
        <v>714</v>
      </c>
      <c r="E134" s="2">
        <v>54.283000000000001</v>
      </c>
    </row>
    <row r="135" spans="1:5" x14ac:dyDescent="0.25">
      <c r="A135" s="32" t="s">
        <v>767</v>
      </c>
      <c r="B135" s="7">
        <v>2008</v>
      </c>
      <c r="C135" s="51" t="s">
        <v>705</v>
      </c>
      <c r="D135" t="s">
        <v>714</v>
      </c>
      <c r="E135" s="2">
        <v>46.780999999999999</v>
      </c>
    </row>
    <row r="136" spans="1:5" x14ac:dyDescent="0.25">
      <c r="A136" s="32" t="s">
        <v>767</v>
      </c>
      <c r="B136" s="7">
        <v>2008</v>
      </c>
      <c r="C136" s="51" t="s">
        <v>706</v>
      </c>
      <c r="D136" t="s">
        <v>714</v>
      </c>
      <c r="E136" s="2">
        <v>55.176000000000002</v>
      </c>
    </row>
    <row r="137" spans="1:5" x14ac:dyDescent="0.25">
      <c r="A137" s="32" t="s">
        <v>767</v>
      </c>
      <c r="B137" s="7">
        <v>2009</v>
      </c>
      <c r="C137" s="51" t="s">
        <v>713</v>
      </c>
      <c r="D137" t="s">
        <v>714</v>
      </c>
      <c r="E137" s="2">
        <v>61.84</v>
      </c>
    </row>
    <row r="138" spans="1:5" x14ac:dyDescent="0.25">
      <c r="A138" s="32" t="s">
        <v>767</v>
      </c>
      <c r="B138" s="7">
        <v>2009</v>
      </c>
      <c r="C138" s="51" t="s">
        <v>707</v>
      </c>
      <c r="D138" t="s">
        <v>714</v>
      </c>
      <c r="E138" s="2">
        <v>50.043999999999997</v>
      </c>
    </row>
    <row r="139" spans="1:5" x14ac:dyDescent="0.25">
      <c r="A139" s="32" t="s">
        <v>767</v>
      </c>
      <c r="B139" s="7">
        <v>2009</v>
      </c>
      <c r="C139" s="51" t="s">
        <v>708</v>
      </c>
      <c r="D139" t="s">
        <v>714</v>
      </c>
      <c r="E139" s="2">
        <v>53.738</v>
      </c>
    </row>
    <row r="140" spans="1:5" x14ac:dyDescent="0.25">
      <c r="A140" s="32" t="s">
        <v>767</v>
      </c>
      <c r="B140" s="7">
        <v>2009</v>
      </c>
      <c r="C140" s="51" t="s">
        <v>699</v>
      </c>
      <c r="D140" t="s">
        <v>714</v>
      </c>
      <c r="E140" s="2">
        <v>64.081999999999994</v>
      </c>
    </row>
    <row r="141" spans="1:5" x14ac:dyDescent="0.25">
      <c r="A141" s="32" t="s">
        <v>767</v>
      </c>
      <c r="B141" s="7">
        <v>2009</v>
      </c>
      <c r="C141" s="51" t="s">
        <v>709</v>
      </c>
      <c r="D141" t="s">
        <v>714</v>
      </c>
      <c r="E141" s="2">
        <v>79.197999999999993</v>
      </c>
    </row>
    <row r="142" spans="1:5" x14ac:dyDescent="0.25">
      <c r="A142" s="32" t="s">
        <v>767</v>
      </c>
      <c r="B142" s="7">
        <v>2009</v>
      </c>
      <c r="C142" s="51" t="s">
        <v>712</v>
      </c>
      <c r="D142" t="s">
        <v>714</v>
      </c>
      <c r="E142" s="2">
        <v>76.456999999999994</v>
      </c>
    </row>
    <row r="143" spans="1:5" x14ac:dyDescent="0.25">
      <c r="A143" s="32" t="s">
        <v>767</v>
      </c>
      <c r="B143" s="7">
        <v>2009</v>
      </c>
      <c r="C143" s="51" t="s">
        <v>710</v>
      </c>
      <c r="D143" t="s">
        <v>714</v>
      </c>
      <c r="E143" s="2">
        <v>52.959000000000003</v>
      </c>
    </row>
    <row r="144" spans="1:5" x14ac:dyDescent="0.25">
      <c r="A144" s="32" t="s">
        <v>767</v>
      </c>
      <c r="B144" s="7">
        <v>2009</v>
      </c>
      <c r="C144" s="51" t="s">
        <v>702</v>
      </c>
      <c r="D144" t="s">
        <v>714</v>
      </c>
      <c r="E144" s="2">
        <v>49.722999999999999</v>
      </c>
    </row>
    <row r="145" spans="1:5" x14ac:dyDescent="0.25">
      <c r="A145" s="32" t="s">
        <v>767</v>
      </c>
      <c r="B145" s="7">
        <v>2009</v>
      </c>
      <c r="C145" s="51" t="s">
        <v>703</v>
      </c>
      <c r="D145" t="s">
        <v>714</v>
      </c>
      <c r="E145" s="2">
        <v>49.497999999999998</v>
      </c>
    </row>
    <row r="146" spans="1:5" x14ac:dyDescent="0.25">
      <c r="A146" s="32" t="s">
        <v>767</v>
      </c>
      <c r="B146" s="7">
        <v>2009</v>
      </c>
      <c r="C146" s="51" t="s">
        <v>704</v>
      </c>
      <c r="D146" t="s">
        <v>714</v>
      </c>
      <c r="E146" s="2">
        <v>62.234000000000002</v>
      </c>
    </row>
    <row r="147" spans="1:5" x14ac:dyDescent="0.25">
      <c r="A147" s="32" t="s">
        <v>767</v>
      </c>
      <c r="B147" s="7">
        <v>2009</v>
      </c>
      <c r="C147" s="51" t="s">
        <v>705</v>
      </c>
      <c r="D147" t="s">
        <v>714</v>
      </c>
      <c r="E147" s="2">
        <v>62.206000000000003</v>
      </c>
    </row>
    <row r="148" spans="1:5" x14ac:dyDescent="0.25">
      <c r="A148" s="32" t="s">
        <v>767</v>
      </c>
      <c r="B148" s="7">
        <v>2009</v>
      </c>
      <c r="C148" s="51" t="s">
        <v>706</v>
      </c>
      <c r="D148" t="s">
        <v>714</v>
      </c>
      <c r="E148" s="2">
        <v>87.123000000000005</v>
      </c>
    </row>
    <row r="149" spans="1:5" x14ac:dyDescent="0.25">
      <c r="A149" s="32" t="s">
        <v>767</v>
      </c>
      <c r="B149" s="7">
        <v>2010</v>
      </c>
      <c r="C149" s="51" t="s">
        <v>713</v>
      </c>
      <c r="D149" t="s">
        <v>714</v>
      </c>
      <c r="E149" s="2">
        <v>61.307000000000002</v>
      </c>
    </row>
    <row r="150" spans="1:5" x14ac:dyDescent="0.25">
      <c r="A150" s="32" t="s">
        <v>767</v>
      </c>
      <c r="B150" s="7">
        <v>2010</v>
      </c>
      <c r="C150" s="51" t="s">
        <v>707</v>
      </c>
      <c r="D150" t="s">
        <v>714</v>
      </c>
      <c r="E150" s="2">
        <v>71.885999999999996</v>
      </c>
    </row>
    <row r="151" spans="1:5" x14ac:dyDescent="0.25">
      <c r="A151" s="32" t="s">
        <v>767</v>
      </c>
      <c r="B151" s="7">
        <v>2010</v>
      </c>
      <c r="C151" s="51" t="s">
        <v>708</v>
      </c>
      <c r="D151" t="s">
        <v>714</v>
      </c>
      <c r="E151" s="2">
        <v>80.382999999999996</v>
      </c>
    </row>
    <row r="152" spans="1:5" x14ac:dyDescent="0.25">
      <c r="A152" s="32" t="s">
        <v>767</v>
      </c>
      <c r="B152" s="7">
        <v>2010</v>
      </c>
      <c r="C152" s="51" t="s">
        <v>699</v>
      </c>
      <c r="D152" t="s">
        <v>714</v>
      </c>
      <c r="E152" s="2">
        <v>55.195999999999998</v>
      </c>
    </row>
    <row r="153" spans="1:5" x14ac:dyDescent="0.25">
      <c r="A153" s="32" t="s">
        <v>767</v>
      </c>
      <c r="B153" s="7">
        <v>2010</v>
      </c>
      <c r="C153" s="51" t="s">
        <v>709</v>
      </c>
      <c r="D153" t="s">
        <v>714</v>
      </c>
      <c r="E153" s="2">
        <v>51.52</v>
      </c>
    </row>
    <row r="154" spans="1:5" x14ac:dyDescent="0.25">
      <c r="A154" s="32" t="s">
        <v>767</v>
      </c>
      <c r="B154" s="7">
        <v>2010</v>
      </c>
      <c r="C154" s="51" t="s">
        <v>712</v>
      </c>
      <c r="D154" t="s">
        <v>714</v>
      </c>
      <c r="E154" s="2">
        <v>50.341000000000001</v>
      </c>
    </row>
    <row r="155" spans="1:5" x14ac:dyDescent="0.25">
      <c r="A155" s="32" t="s">
        <v>767</v>
      </c>
      <c r="B155" s="7">
        <v>2010</v>
      </c>
      <c r="C155" s="51" t="s">
        <v>710</v>
      </c>
      <c r="D155" t="s">
        <v>714</v>
      </c>
      <c r="E155" s="2">
        <v>48.689</v>
      </c>
    </row>
    <row r="156" spans="1:5" x14ac:dyDescent="0.25">
      <c r="A156" s="32" t="s">
        <v>767</v>
      </c>
      <c r="B156" s="7">
        <v>2010</v>
      </c>
      <c r="C156" s="51" t="s">
        <v>702</v>
      </c>
      <c r="D156" t="s">
        <v>714</v>
      </c>
      <c r="E156" s="2">
        <v>54.845999999999997</v>
      </c>
    </row>
    <row r="157" spans="1:5" x14ac:dyDescent="0.25">
      <c r="A157" s="32" t="s">
        <v>767</v>
      </c>
      <c r="B157" s="7">
        <v>2010</v>
      </c>
      <c r="C157" s="51" t="s">
        <v>703</v>
      </c>
      <c r="D157" t="s">
        <v>714</v>
      </c>
      <c r="E157" s="2">
        <v>48.296999999999997</v>
      </c>
    </row>
    <row r="158" spans="1:5" x14ac:dyDescent="0.25">
      <c r="A158" s="32" t="s">
        <v>767</v>
      </c>
      <c r="B158" s="7">
        <v>2010</v>
      </c>
      <c r="C158" s="51" t="s">
        <v>704</v>
      </c>
      <c r="D158" t="s">
        <v>714</v>
      </c>
      <c r="E158" s="2">
        <v>55.51</v>
      </c>
    </row>
    <row r="159" spans="1:5" x14ac:dyDescent="0.25">
      <c r="A159" s="32" t="s">
        <v>767</v>
      </c>
      <c r="B159" s="7">
        <v>2010</v>
      </c>
      <c r="C159" s="51" t="s">
        <v>705</v>
      </c>
      <c r="D159" t="s">
        <v>714</v>
      </c>
      <c r="E159" s="2">
        <v>52.2</v>
      </c>
    </row>
    <row r="160" spans="1:5" x14ac:dyDescent="0.25">
      <c r="A160" s="32" t="s">
        <v>767</v>
      </c>
      <c r="B160" s="7">
        <v>2010</v>
      </c>
      <c r="C160" s="51" t="s">
        <v>706</v>
      </c>
      <c r="D160" t="s">
        <v>714</v>
      </c>
      <c r="E160" s="2">
        <v>49.220999999999997</v>
      </c>
    </row>
    <row r="161" spans="1:5" x14ac:dyDescent="0.25">
      <c r="A161" s="32" t="s">
        <v>767</v>
      </c>
      <c r="B161" s="7">
        <v>2011</v>
      </c>
      <c r="C161" s="51" t="s">
        <v>713</v>
      </c>
      <c r="D161" t="s">
        <v>714</v>
      </c>
      <c r="E161" s="2">
        <v>52.542000000000002</v>
      </c>
    </row>
    <row r="162" spans="1:5" x14ac:dyDescent="0.25">
      <c r="A162" s="32" t="s">
        <v>767</v>
      </c>
      <c r="B162" s="7">
        <v>2011</v>
      </c>
      <c r="C162" s="51" t="s">
        <v>707</v>
      </c>
      <c r="D162" t="s">
        <v>714</v>
      </c>
      <c r="E162" s="2">
        <v>59.765000000000001</v>
      </c>
    </row>
    <row r="163" spans="1:5" x14ac:dyDescent="0.25">
      <c r="A163" s="32" t="s">
        <v>767</v>
      </c>
      <c r="B163" s="7">
        <v>2011</v>
      </c>
      <c r="C163" s="51" t="s">
        <v>708</v>
      </c>
      <c r="D163" t="s">
        <v>714</v>
      </c>
      <c r="E163" s="2">
        <v>74.006</v>
      </c>
    </row>
    <row r="164" spans="1:5" s="51" customFormat="1" x14ac:dyDescent="0.25">
      <c r="A164" s="32" t="s">
        <v>767</v>
      </c>
      <c r="B164" s="85">
        <v>2011</v>
      </c>
      <c r="C164" s="51" t="s">
        <v>699</v>
      </c>
      <c r="D164" s="51" t="s">
        <v>714</v>
      </c>
      <c r="E164" s="57">
        <v>64.593999999999994</v>
      </c>
    </row>
    <row r="165" spans="1:5" x14ac:dyDescent="0.25">
      <c r="A165" s="32" t="s">
        <v>767</v>
      </c>
      <c r="B165" s="7">
        <v>2011</v>
      </c>
      <c r="C165" s="51" t="s">
        <v>709</v>
      </c>
      <c r="D165" t="s">
        <v>714</v>
      </c>
      <c r="E165" s="2">
        <v>63.581000000000003</v>
      </c>
    </row>
    <row r="166" spans="1:5" x14ac:dyDescent="0.25">
      <c r="A166" s="32" t="s">
        <v>767</v>
      </c>
      <c r="B166" s="7">
        <v>2011</v>
      </c>
      <c r="C166" s="51" t="s">
        <v>712</v>
      </c>
      <c r="D166" t="s">
        <v>714</v>
      </c>
      <c r="E166" s="2">
        <v>50.298000000000002</v>
      </c>
    </row>
    <row r="167" spans="1:5" s="51" customFormat="1" x14ac:dyDescent="0.25">
      <c r="A167" s="32" t="s">
        <v>767</v>
      </c>
      <c r="B167" s="85">
        <v>2011</v>
      </c>
      <c r="C167" s="51" t="s">
        <v>710</v>
      </c>
      <c r="D167" s="51" t="s">
        <v>714</v>
      </c>
      <c r="E167" s="57">
        <v>52.371000000000002</v>
      </c>
    </row>
    <row r="168" spans="1:5" s="51" customFormat="1" x14ac:dyDescent="0.25">
      <c r="A168" s="32" t="s">
        <v>767</v>
      </c>
      <c r="B168" s="85">
        <v>2011</v>
      </c>
      <c r="C168" s="51" t="s">
        <v>702</v>
      </c>
      <c r="D168" s="51" t="s">
        <v>714</v>
      </c>
      <c r="E168" s="57">
        <v>51.119</v>
      </c>
    </row>
    <row r="169" spans="1:5" x14ac:dyDescent="0.25">
      <c r="A169" s="32" t="s">
        <v>767</v>
      </c>
      <c r="B169" s="7">
        <v>2011</v>
      </c>
      <c r="C169" s="51" t="s">
        <v>703</v>
      </c>
      <c r="D169" t="s">
        <v>714</v>
      </c>
      <c r="E169" s="2">
        <v>65.602000000000004</v>
      </c>
    </row>
    <row r="170" spans="1:5" x14ac:dyDescent="0.25">
      <c r="A170" s="32" t="s">
        <v>767</v>
      </c>
      <c r="B170" s="7">
        <v>2011</v>
      </c>
      <c r="C170" s="51" t="s">
        <v>704</v>
      </c>
      <c r="D170" t="s">
        <v>714</v>
      </c>
      <c r="E170" s="2">
        <v>70.34</v>
      </c>
    </row>
    <row r="171" spans="1:5" x14ac:dyDescent="0.25">
      <c r="A171" s="32" t="s">
        <v>767</v>
      </c>
      <c r="B171" s="7">
        <v>2011</v>
      </c>
      <c r="C171" s="51" t="s">
        <v>705</v>
      </c>
      <c r="D171" t="s">
        <v>714</v>
      </c>
      <c r="E171" s="2">
        <v>57.043999999999997</v>
      </c>
    </row>
    <row r="172" spans="1:5" x14ac:dyDescent="0.25">
      <c r="A172" s="32" t="s">
        <v>767</v>
      </c>
      <c r="B172" s="7">
        <v>2011</v>
      </c>
      <c r="C172" s="51" t="s">
        <v>706</v>
      </c>
      <c r="D172" t="s">
        <v>714</v>
      </c>
      <c r="E172" s="2">
        <v>63.823999999999998</v>
      </c>
    </row>
    <row r="173" spans="1:5" x14ac:dyDescent="0.25">
      <c r="A173" s="32" t="s">
        <v>767</v>
      </c>
      <c r="B173" s="7">
        <v>2012</v>
      </c>
      <c r="C173" s="51" t="s">
        <v>713</v>
      </c>
      <c r="D173" t="s">
        <v>714</v>
      </c>
      <c r="E173" s="2">
        <v>61.610999999999997</v>
      </c>
    </row>
    <row r="174" spans="1:5" x14ac:dyDescent="0.25">
      <c r="A174" s="32" t="s">
        <v>767</v>
      </c>
      <c r="B174" s="7">
        <v>2012</v>
      </c>
      <c r="C174" s="51" t="s">
        <v>707</v>
      </c>
      <c r="D174" t="s">
        <v>714</v>
      </c>
      <c r="E174" s="2">
        <v>49.225000000000001</v>
      </c>
    </row>
    <row r="175" spans="1:5" x14ac:dyDescent="0.25">
      <c r="A175" s="32" t="s">
        <v>767</v>
      </c>
      <c r="B175" s="7">
        <v>2012</v>
      </c>
      <c r="C175" s="51" t="s">
        <v>708</v>
      </c>
      <c r="D175" t="s">
        <v>714</v>
      </c>
      <c r="E175" s="2">
        <v>53.615000000000002</v>
      </c>
    </row>
    <row r="176" spans="1:5" x14ac:dyDescent="0.25">
      <c r="A176" s="32" t="s">
        <v>767</v>
      </c>
      <c r="B176" s="7">
        <v>2012</v>
      </c>
      <c r="C176" s="51" t="s">
        <v>699</v>
      </c>
      <c r="D176" t="s">
        <v>714</v>
      </c>
      <c r="E176" s="2">
        <v>46.851999999999997</v>
      </c>
    </row>
    <row r="177" spans="1:5" x14ac:dyDescent="0.25">
      <c r="A177" s="32" t="s">
        <v>767</v>
      </c>
      <c r="B177" s="7">
        <v>2012</v>
      </c>
      <c r="C177" s="51" t="s">
        <v>709</v>
      </c>
      <c r="D177" t="s">
        <v>714</v>
      </c>
      <c r="E177" s="2">
        <v>54.142000000000003</v>
      </c>
    </row>
    <row r="178" spans="1:5" x14ac:dyDescent="0.25">
      <c r="A178" s="32" t="s">
        <v>767</v>
      </c>
      <c r="B178" s="7">
        <v>2012</v>
      </c>
      <c r="C178" s="51" t="s">
        <v>712</v>
      </c>
      <c r="D178" t="s">
        <v>714</v>
      </c>
      <c r="E178" s="2">
        <v>45.216000000000001</v>
      </c>
    </row>
    <row r="179" spans="1:5" s="51" customFormat="1" x14ac:dyDescent="0.25">
      <c r="A179" s="32" t="s">
        <v>767</v>
      </c>
      <c r="B179" s="85">
        <v>2012</v>
      </c>
      <c r="C179" s="51" t="s">
        <v>710</v>
      </c>
      <c r="D179" s="51" t="s">
        <v>714</v>
      </c>
      <c r="E179" s="57">
        <v>48.783999999999999</v>
      </c>
    </row>
    <row r="180" spans="1:5" x14ac:dyDescent="0.25">
      <c r="A180" s="32" t="s">
        <v>767</v>
      </c>
      <c r="B180" s="7">
        <v>2012</v>
      </c>
      <c r="C180" s="51" t="s">
        <v>702</v>
      </c>
      <c r="D180" t="s">
        <v>714</v>
      </c>
      <c r="E180" s="2">
        <v>50.436</v>
      </c>
    </row>
    <row r="181" spans="1:5" x14ac:dyDescent="0.25">
      <c r="A181" s="32" t="s">
        <v>767</v>
      </c>
      <c r="B181" s="7">
        <v>2012</v>
      </c>
      <c r="C181" s="51" t="s">
        <v>703</v>
      </c>
      <c r="D181" t="s">
        <v>714</v>
      </c>
      <c r="E181" s="2">
        <v>53.451999999999998</v>
      </c>
    </row>
    <row r="182" spans="1:5" x14ac:dyDescent="0.25">
      <c r="A182" s="32" t="s">
        <v>767</v>
      </c>
      <c r="B182" s="7">
        <v>2012</v>
      </c>
      <c r="C182" s="51" t="s">
        <v>704</v>
      </c>
      <c r="D182" t="s">
        <v>714</v>
      </c>
      <c r="E182" s="2">
        <v>66.129000000000005</v>
      </c>
    </row>
    <row r="183" spans="1:5" x14ac:dyDescent="0.25">
      <c r="A183" s="32" t="s">
        <v>767</v>
      </c>
      <c r="B183" s="7">
        <v>2012</v>
      </c>
      <c r="C183" s="51" t="s">
        <v>705</v>
      </c>
      <c r="D183" t="s">
        <v>714</v>
      </c>
      <c r="E183" s="2">
        <v>54.353000000000002</v>
      </c>
    </row>
    <row r="184" spans="1:5" x14ac:dyDescent="0.25">
      <c r="A184" s="32" t="s">
        <v>767</v>
      </c>
      <c r="B184" s="7">
        <v>2012</v>
      </c>
      <c r="C184" s="51" t="s">
        <v>706</v>
      </c>
      <c r="D184" t="s">
        <v>714</v>
      </c>
      <c r="E184" s="2">
        <v>45.414000000000001</v>
      </c>
    </row>
    <row r="185" spans="1:5" x14ac:dyDescent="0.25">
      <c r="A185" s="32" t="s">
        <v>767</v>
      </c>
      <c r="B185" s="7">
        <v>2013</v>
      </c>
      <c r="C185" s="51" t="s">
        <v>713</v>
      </c>
      <c r="D185" t="s">
        <v>714</v>
      </c>
      <c r="E185" s="2">
        <v>64.227000000000004</v>
      </c>
    </row>
    <row r="186" spans="1:5" x14ac:dyDescent="0.25">
      <c r="A186" s="32" t="s">
        <v>767</v>
      </c>
      <c r="B186" s="7">
        <v>2013</v>
      </c>
      <c r="C186" s="51" t="s">
        <v>707</v>
      </c>
      <c r="D186" t="s">
        <v>714</v>
      </c>
      <c r="E186" s="2">
        <v>37.325000000000003</v>
      </c>
    </row>
    <row r="187" spans="1:5" x14ac:dyDescent="0.25">
      <c r="A187" s="32" t="s">
        <v>767</v>
      </c>
      <c r="B187" s="7">
        <v>2013</v>
      </c>
      <c r="C187" s="51" t="s">
        <v>708</v>
      </c>
      <c r="D187" t="s">
        <v>714</v>
      </c>
      <c r="E187" s="2">
        <v>57.25</v>
      </c>
    </row>
    <row r="188" spans="1:5" x14ac:dyDescent="0.25">
      <c r="A188" s="32" t="s">
        <v>767</v>
      </c>
      <c r="B188" s="7">
        <v>2013</v>
      </c>
      <c r="C188" s="51" t="s">
        <v>699</v>
      </c>
      <c r="D188" t="s">
        <v>714</v>
      </c>
      <c r="E188" s="2">
        <v>47.484000000000002</v>
      </c>
    </row>
    <row r="189" spans="1:5" x14ac:dyDescent="0.25">
      <c r="A189" s="32" t="s">
        <v>767</v>
      </c>
      <c r="B189" s="7">
        <v>2013</v>
      </c>
      <c r="C189" s="51" t="s">
        <v>709</v>
      </c>
      <c r="D189" t="s">
        <v>714</v>
      </c>
      <c r="E189" s="2">
        <v>48.442999999999998</v>
      </c>
    </row>
    <row r="190" spans="1:5" x14ac:dyDescent="0.25">
      <c r="A190" s="32" t="s">
        <v>767</v>
      </c>
      <c r="B190" s="7">
        <v>2013</v>
      </c>
      <c r="C190" s="51" t="s">
        <v>712</v>
      </c>
      <c r="D190" t="s">
        <v>714</v>
      </c>
      <c r="E190" s="2">
        <v>56.808</v>
      </c>
    </row>
    <row r="191" spans="1:5" x14ac:dyDescent="0.25">
      <c r="A191" s="32" t="s">
        <v>767</v>
      </c>
      <c r="B191" s="7">
        <v>2013</v>
      </c>
      <c r="C191" s="51" t="s">
        <v>710</v>
      </c>
      <c r="D191" t="s">
        <v>714</v>
      </c>
      <c r="E191" s="2">
        <v>48.289000000000001</v>
      </c>
    </row>
    <row r="192" spans="1:5" x14ac:dyDescent="0.25">
      <c r="A192" s="32" t="s">
        <v>767</v>
      </c>
      <c r="B192" s="7">
        <v>2013</v>
      </c>
      <c r="C192" s="51" t="s">
        <v>702</v>
      </c>
      <c r="D192" t="s">
        <v>714</v>
      </c>
      <c r="E192" s="2">
        <v>48.43</v>
      </c>
    </row>
    <row r="193" spans="1:5" x14ac:dyDescent="0.25">
      <c r="A193" s="32" t="s">
        <v>767</v>
      </c>
      <c r="B193" s="7">
        <v>2013</v>
      </c>
      <c r="C193" s="51" t="s">
        <v>703</v>
      </c>
      <c r="D193" t="s">
        <v>714</v>
      </c>
      <c r="E193" s="2">
        <v>40.488999999999997</v>
      </c>
    </row>
    <row r="194" spans="1:5" x14ac:dyDescent="0.25">
      <c r="A194" s="32" t="s">
        <v>767</v>
      </c>
      <c r="B194" s="7">
        <v>2013</v>
      </c>
      <c r="C194" s="51" t="s">
        <v>704</v>
      </c>
      <c r="D194" t="s">
        <v>714</v>
      </c>
      <c r="E194" s="2">
        <v>52.923000000000002</v>
      </c>
    </row>
    <row r="195" spans="1:5" x14ac:dyDescent="0.25">
      <c r="A195" s="32" t="s">
        <v>767</v>
      </c>
      <c r="B195" s="7">
        <v>2013</v>
      </c>
      <c r="C195" s="51" t="s">
        <v>705</v>
      </c>
      <c r="D195" t="s">
        <v>714</v>
      </c>
      <c r="E195" s="2">
        <v>40.316000000000003</v>
      </c>
    </row>
    <row r="196" spans="1:5" x14ac:dyDescent="0.25">
      <c r="A196" s="32" t="s">
        <v>767</v>
      </c>
      <c r="B196" s="7">
        <v>2013</v>
      </c>
      <c r="C196" s="51" t="s">
        <v>706</v>
      </c>
      <c r="D196" t="s">
        <v>714</v>
      </c>
      <c r="E196" s="2">
        <v>50.774000000000001</v>
      </c>
    </row>
    <row r="197" spans="1:5" x14ac:dyDescent="0.25">
      <c r="A197" s="32" t="s">
        <v>767</v>
      </c>
      <c r="B197" s="7">
        <v>2014</v>
      </c>
      <c r="C197" s="51" t="s">
        <v>713</v>
      </c>
      <c r="D197" t="s">
        <v>714</v>
      </c>
      <c r="E197" s="2">
        <v>52.497</v>
      </c>
    </row>
    <row r="198" spans="1:5" x14ac:dyDescent="0.25">
      <c r="A198" s="32" t="s">
        <v>767</v>
      </c>
      <c r="B198" s="7">
        <v>2014</v>
      </c>
      <c r="C198" s="51" t="s">
        <v>707</v>
      </c>
      <c r="D198" t="s">
        <v>714</v>
      </c>
      <c r="E198" s="2">
        <v>52.203000000000003</v>
      </c>
    </row>
    <row r="199" spans="1:5" x14ac:dyDescent="0.25">
      <c r="A199" s="32" t="s">
        <v>767</v>
      </c>
      <c r="B199" s="7">
        <v>2014</v>
      </c>
      <c r="C199" s="51" t="s">
        <v>708</v>
      </c>
      <c r="D199" t="s">
        <v>714</v>
      </c>
      <c r="E199" s="2">
        <v>57.811999999999998</v>
      </c>
    </row>
    <row r="200" spans="1:5" x14ac:dyDescent="0.25">
      <c r="A200" s="32" t="s">
        <v>767</v>
      </c>
      <c r="B200" s="7">
        <v>2014</v>
      </c>
      <c r="C200" s="51" t="s">
        <v>699</v>
      </c>
      <c r="D200" t="s">
        <v>714</v>
      </c>
      <c r="E200" s="2">
        <v>46.832000000000001</v>
      </c>
    </row>
    <row r="201" spans="1:5" x14ac:dyDescent="0.25">
      <c r="A201" s="32" t="s">
        <v>767</v>
      </c>
      <c r="B201" s="7">
        <v>2014</v>
      </c>
      <c r="C201" s="51" t="s">
        <v>709</v>
      </c>
      <c r="D201" t="s">
        <v>714</v>
      </c>
      <c r="E201" s="2">
        <v>62.45</v>
      </c>
    </row>
    <row r="202" spans="1:5" x14ac:dyDescent="0.25">
      <c r="A202" s="32" t="s">
        <v>767</v>
      </c>
      <c r="B202" s="7">
        <v>2014</v>
      </c>
      <c r="C202" s="51" t="s">
        <v>712</v>
      </c>
      <c r="D202" t="s">
        <v>714</v>
      </c>
      <c r="E202" s="2">
        <v>45.997999999999998</v>
      </c>
    </row>
    <row r="203" spans="1:5" x14ac:dyDescent="0.25">
      <c r="A203" s="32" t="s">
        <v>767</v>
      </c>
      <c r="B203" s="7">
        <v>2014</v>
      </c>
      <c r="C203" s="51" t="s">
        <v>710</v>
      </c>
      <c r="D203" t="s">
        <v>714</v>
      </c>
      <c r="E203" s="2">
        <v>41.430999999999997</v>
      </c>
    </row>
    <row r="204" spans="1:5" x14ac:dyDescent="0.25">
      <c r="A204" s="32" t="s">
        <v>767</v>
      </c>
      <c r="B204" s="7">
        <v>2014</v>
      </c>
      <c r="C204" s="51" t="s">
        <v>702</v>
      </c>
      <c r="D204" t="s">
        <v>714</v>
      </c>
      <c r="E204" s="2">
        <v>40.695</v>
      </c>
    </row>
    <row r="205" spans="1:5" s="51" customFormat="1" x14ac:dyDescent="0.25">
      <c r="A205" s="32" t="s">
        <v>767</v>
      </c>
      <c r="B205" s="85">
        <v>2014</v>
      </c>
      <c r="C205" s="51" t="s">
        <v>703</v>
      </c>
      <c r="D205" s="51" t="s">
        <v>714</v>
      </c>
      <c r="E205" s="57">
        <v>37.448999999999998</v>
      </c>
    </row>
    <row r="206" spans="1:5" x14ac:dyDescent="0.25">
      <c r="A206" s="32" t="s">
        <v>767</v>
      </c>
      <c r="B206" s="7">
        <v>2014</v>
      </c>
      <c r="C206" s="51" t="s">
        <v>704</v>
      </c>
      <c r="D206" t="s">
        <v>714</v>
      </c>
      <c r="E206" s="2">
        <v>40.545000000000002</v>
      </c>
    </row>
    <row r="207" spans="1:5" x14ac:dyDescent="0.25">
      <c r="A207" s="32" t="s">
        <v>767</v>
      </c>
      <c r="B207" s="7">
        <v>2014</v>
      </c>
      <c r="C207" s="51" t="s">
        <v>705</v>
      </c>
      <c r="D207" t="s">
        <v>714</v>
      </c>
      <c r="E207" s="2">
        <v>42.302999999999997</v>
      </c>
    </row>
    <row r="208" spans="1:5" x14ac:dyDescent="0.25">
      <c r="A208" s="32" t="s">
        <v>767</v>
      </c>
      <c r="B208" s="7">
        <v>2014</v>
      </c>
      <c r="C208" s="51" t="s">
        <v>706</v>
      </c>
      <c r="D208" t="s">
        <v>714</v>
      </c>
      <c r="E208" s="2">
        <v>53.1</v>
      </c>
    </row>
    <row r="209" spans="1:5" x14ac:dyDescent="0.25">
      <c r="A209" s="32" t="s">
        <v>767</v>
      </c>
      <c r="B209" s="7">
        <v>2015</v>
      </c>
      <c r="C209" s="51" t="s">
        <v>713</v>
      </c>
      <c r="D209" t="s">
        <v>714</v>
      </c>
      <c r="E209" s="2">
        <v>54.292999999999999</v>
      </c>
    </row>
    <row r="210" spans="1:5" x14ac:dyDescent="0.25">
      <c r="A210" s="32" t="s">
        <v>767</v>
      </c>
      <c r="B210" s="7">
        <v>2015</v>
      </c>
      <c r="C210" s="51" t="s">
        <v>707</v>
      </c>
      <c r="D210" t="s">
        <v>714</v>
      </c>
      <c r="E210" s="2">
        <v>44.8</v>
      </c>
    </row>
    <row r="211" spans="1:5" x14ac:dyDescent="0.25">
      <c r="A211" s="32" t="s">
        <v>767</v>
      </c>
      <c r="B211" s="7">
        <v>2015</v>
      </c>
      <c r="C211" s="51" t="s">
        <v>708</v>
      </c>
      <c r="D211" t="s">
        <v>714</v>
      </c>
      <c r="E211" s="2">
        <v>69.593999999999994</v>
      </c>
    </row>
    <row r="212" spans="1:5" x14ac:dyDescent="0.25">
      <c r="A212" s="32" t="s">
        <v>767</v>
      </c>
      <c r="B212" s="7">
        <v>2015</v>
      </c>
      <c r="C212" s="51" t="s">
        <v>699</v>
      </c>
      <c r="D212" t="s">
        <v>714</v>
      </c>
      <c r="E212" s="2">
        <v>56.542000000000002</v>
      </c>
    </row>
    <row r="213" spans="1:5" x14ac:dyDescent="0.25">
      <c r="A213" s="32" t="s">
        <v>767</v>
      </c>
      <c r="B213" s="7">
        <v>2015</v>
      </c>
      <c r="C213" s="51" t="s">
        <v>709</v>
      </c>
      <c r="D213" t="s">
        <v>714</v>
      </c>
      <c r="E213" s="2">
        <v>52.029000000000003</v>
      </c>
    </row>
    <row r="214" spans="1:5" x14ac:dyDescent="0.25">
      <c r="A214" s="32" t="s">
        <v>767</v>
      </c>
      <c r="B214" s="7">
        <v>2015</v>
      </c>
      <c r="C214" s="51" t="s">
        <v>712</v>
      </c>
      <c r="D214" t="s">
        <v>714</v>
      </c>
      <c r="E214" s="2">
        <v>50.35</v>
      </c>
    </row>
    <row r="215" spans="1:5" x14ac:dyDescent="0.25">
      <c r="A215" s="32" t="s">
        <v>767</v>
      </c>
      <c r="B215" s="7">
        <v>2015</v>
      </c>
      <c r="C215" s="51" t="s">
        <v>710</v>
      </c>
      <c r="D215" t="s">
        <v>714</v>
      </c>
      <c r="E215" s="2">
        <v>50.350999999999999</v>
      </c>
    </row>
    <row r="216" spans="1:5" x14ac:dyDescent="0.25">
      <c r="A216" s="32" t="s">
        <v>767</v>
      </c>
      <c r="B216" s="7">
        <v>2015</v>
      </c>
      <c r="C216" s="51" t="s">
        <v>702</v>
      </c>
      <c r="D216" t="s">
        <v>714</v>
      </c>
      <c r="E216" s="2">
        <v>54.14</v>
      </c>
    </row>
    <row r="217" spans="1:5" x14ac:dyDescent="0.25">
      <c r="A217" s="32" t="s">
        <v>767</v>
      </c>
      <c r="B217" s="7">
        <v>2015</v>
      </c>
      <c r="C217" s="51" t="s">
        <v>703</v>
      </c>
      <c r="D217" t="s">
        <v>714</v>
      </c>
      <c r="E217" s="2">
        <v>48.671999999999997</v>
      </c>
    </row>
    <row r="218" spans="1:5" x14ac:dyDescent="0.25">
      <c r="A218" s="32" t="s">
        <v>767</v>
      </c>
      <c r="B218" s="7">
        <v>2015</v>
      </c>
      <c r="C218" s="51" t="s">
        <v>704</v>
      </c>
      <c r="D218" t="s">
        <v>714</v>
      </c>
      <c r="E218" s="2">
        <v>45.515000000000001</v>
      </c>
    </row>
    <row r="219" spans="1:5" x14ac:dyDescent="0.25">
      <c r="A219" s="32" t="s">
        <v>767</v>
      </c>
      <c r="B219" s="7">
        <v>2015</v>
      </c>
      <c r="C219" s="51" t="s">
        <v>705</v>
      </c>
      <c r="D219" t="s">
        <v>714</v>
      </c>
      <c r="E219" s="2">
        <v>40.545000000000002</v>
      </c>
    </row>
    <row r="220" spans="1:5" x14ac:dyDescent="0.25">
      <c r="A220" s="32" t="s">
        <v>767</v>
      </c>
      <c r="B220" s="7">
        <v>2015</v>
      </c>
      <c r="C220" s="51" t="s">
        <v>706</v>
      </c>
      <c r="D220" t="s">
        <v>714</v>
      </c>
      <c r="E220" s="2">
        <v>46.277999999999999</v>
      </c>
    </row>
    <row r="221" spans="1:5" x14ac:dyDescent="0.25">
      <c r="A221" s="32" t="s">
        <v>767</v>
      </c>
      <c r="B221" s="7">
        <v>2016</v>
      </c>
      <c r="C221" s="51" t="s">
        <v>713</v>
      </c>
      <c r="D221" t="s">
        <v>714</v>
      </c>
      <c r="E221" s="2">
        <v>57.856999999999999</v>
      </c>
    </row>
    <row r="222" spans="1:5" s="51" customFormat="1" x14ac:dyDescent="0.25">
      <c r="A222" s="32" t="s">
        <v>767</v>
      </c>
      <c r="B222" s="85">
        <v>2016</v>
      </c>
      <c r="C222" s="51" t="s">
        <v>707</v>
      </c>
      <c r="D222" s="51" t="s">
        <v>714</v>
      </c>
      <c r="E222" s="57">
        <v>70.397000000000006</v>
      </c>
    </row>
    <row r="223" spans="1:5" x14ac:dyDescent="0.25">
      <c r="A223" s="32" t="s">
        <v>767</v>
      </c>
      <c r="B223" s="7">
        <v>2016</v>
      </c>
      <c r="C223" s="51" t="s">
        <v>708</v>
      </c>
      <c r="D223" t="s">
        <v>714</v>
      </c>
      <c r="E223" s="2">
        <v>52.054000000000002</v>
      </c>
    </row>
    <row r="224" spans="1:5" x14ac:dyDescent="0.25">
      <c r="A224" s="32" t="s">
        <v>767</v>
      </c>
      <c r="B224" s="7">
        <v>2016</v>
      </c>
      <c r="C224" s="51" t="s">
        <v>699</v>
      </c>
      <c r="D224" t="s">
        <v>714</v>
      </c>
      <c r="E224" s="2">
        <v>54.648000000000003</v>
      </c>
    </row>
    <row r="225" spans="1:5" x14ac:dyDescent="0.25">
      <c r="A225" s="32" t="s">
        <v>767</v>
      </c>
      <c r="B225" s="7">
        <v>2016</v>
      </c>
      <c r="C225" s="51" t="s">
        <v>709</v>
      </c>
      <c r="D225" t="s">
        <v>714</v>
      </c>
      <c r="E225" s="2">
        <v>65.131</v>
      </c>
    </row>
    <row r="226" spans="1:5" s="51" customFormat="1" x14ac:dyDescent="0.25">
      <c r="A226" s="32" t="s">
        <v>767</v>
      </c>
      <c r="B226" s="85">
        <v>2016</v>
      </c>
      <c r="C226" s="51" t="s">
        <v>712</v>
      </c>
      <c r="D226" s="51" t="s">
        <v>714</v>
      </c>
      <c r="E226" s="57">
        <v>52.878</v>
      </c>
    </row>
    <row r="227" spans="1:5" x14ac:dyDescent="0.25">
      <c r="A227" s="32" t="s">
        <v>767</v>
      </c>
      <c r="B227" s="7">
        <v>2016</v>
      </c>
      <c r="C227" s="51" t="s">
        <v>710</v>
      </c>
      <c r="D227" t="s">
        <v>714</v>
      </c>
      <c r="E227" s="2">
        <v>58.292000000000002</v>
      </c>
    </row>
    <row r="228" spans="1:5" x14ac:dyDescent="0.25">
      <c r="A228" s="32" t="s">
        <v>767</v>
      </c>
      <c r="B228" s="7">
        <v>2016</v>
      </c>
      <c r="C228" s="51" t="s">
        <v>702</v>
      </c>
      <c r="D228" t="s">
        <v>714</v>
      </c>
      <c r="E228" s="2">
        <v>53.591999999999999</v>
      </c>
    </row>
    <row r="229" spans="1:5" s="51" customFormat="1" x14ac:dyDescent="0.25">
      <c r="A229" s="32" t="s">
        <v>767</v>
      </c>
      <c r="B229" s="85">
        <v>2016</v>
      </c>
      <c r="C229" s="51" t="s">
        <v>703</v>
      </c>
      <c r="D229" s="51" t="s">
        <v>714</v>
      </c>
      <c r="E229" s="57">
        <v>48.197000000000003</v>
      </c>
    </row>
    <row r="230" spans="1:5" x14ac:dyDescent="0.25">
      <c r="A230" s="32" t="s">
        <v>767</v>
      </c>
      <c r="B230" s="7">
        <v>2016</v>
      </c>
      <c r="C230" s="51" t="s">
        <v>704</v>
      </c>
      <c r="D230" t="s">
        <v>714</v>
      </c>
      <c r="E230" s="2">
        <v>52.645000000000003</v>
      </c>
    </row>
    <row r="231" spans="1:5" x14ac:dyDescent="0.25">
      <c r="A231" s="32" t="s">
        <v>767</v>
      </c>
      <c r="B231" s="7">
        <v>2016</v>
      </c>
      <c r="C231" s="51" t="s">
        <v>705</v>
      </c>
      <c r="D231" t="s">
        <v>714</v>
      </c>
      <c r="E231" s="2">
        <v>47.052999999999997</v>
      </c>
    </row>
    <row r="232" spans="1:5" x14ac:dyDescent="0.25">
      <c r="A232" s="32" t="s">
        <v>767</v>
      </c>
      <c r="B232" s="7">
        <v>2016</v>
      </c>
      <c r="C232" s="51" t="s">
        <v>706</v>
      </c>
      <c r="D232" t="s">
        <v>714</v>
      </c>
      <c r="E232" s="2">
        <v>55.698</v>
      </c>
    </row>
    <row r="233" spans="1:5" x14ac:dyDescent="0.25">
      <c r="A233" s="32" t="s">
        <v>767</v>
      </c>
      <c r="B233" s="7">
        <v>2017</v>
      </c>
      <c r="C233" s="51" t="s">
        <v>713</v>
      </c>
      <c r="D233" t="s">
        <v>714</v>
      </c>
      <c r="E233" s="2">
        <v>52.441000000000003</v>
      </c>
    </row>
    <row r="234" spans="1:5" x14ac:dyDescent="0.25">
      <c r="A234" s="32" t="s">
        <v>767</v>
      </c>
      <c r="B234" s="7">
        <v>2017</v>
      </c>
      <c r="C234" s="51" t="s">
        <v>707</v>
      </c>
      <c r="D234" t="s">
        <v>714</v>
      </c>
      <c r="E234" s="2">
        <v>48.082999999999998</v>
      </c>
    </row>
    <row r="235" spans="1:5" s="51" customFormat="1" x14ac:dyDescent="0.25">
      <c r="A235" s="32" t="s">
        <v>767</v>
      </c>
      <c r="B235" s="85">
        <v>2017</v>
      </c>
      <c r="C235" s="51" t="s">
        <v>708</v>
      </c>
      <c r="D235" s="51" t="s">
        <v>714</v>
      </c>
      <c r="E235" s="57">
        <v>46.006</v>
      </c>
    </row>
    <row r="236" spans="1:5" x14ac:dyDescent="0.25">
      <c r="A236" s="32" t="s">
        <v>767</v>
      </c>
      <c r="B236" s="7">
        <v>2017</v>
      </c>
      <c r="C236" s="51" t="s">
        <v>699</v>
      </c>
      <c r="D236" t="s">
        <v>714</v>
      </c>
      <c r="E236" s="2">
        <v>50.307000000000002</v>
      </c>
    </row>
    <row r="237" spans="1:5" x14ac:dyDescent="0.25">
      <c r="A237" s="32" t="s">
        <v>767</v>
      </c>
      <c r="B237" s="7">
        <v>2017</v>
      </c>
      <c r="C237" s="51" t="s">
        <v>709</v>
      </c>
      <c r="D237" t="s">
        <v>714</v>
      </c>
      <c r="E237" s="2">
        <v>50.591999999999999</v>
      </c>
    </row>
    <row r="238" spans="1:5" x14ac:dyDescent="0.25">
      <c r="A238" s="32" t="s">
        <v>767</v>
      </c>
      <c r="B238" s="7">
        <v>2017</v>
      </c>
      <c r="C238" s="51" t="s">
        <v>712</v>
      </c>
      <c r="D238" t="s">
        <v>714</v>
      </c>
      <c r="E238" s="2">
        <v>39.886000000000003</v>
      </c>
    </row>
    <row r="239" spans="1:5" x14ac:dyDescent="0.25">
      <c r="A239" s="32" t="s">
        <v>767</v>
      </c>
      <c r="B239" s="7">
        <v>2017</v>
      </c>
      <c r="C239" s="51" t="s">
        <v>710</v>
      </c>
      <c r="D239" t="s">
        <v>714</v>
      </c>
      <c r="E239" s="2">
        <v>50.673000000000002</v>
      </c>
    </row>
    <row r="240" spans="1:5" x14ac:dyDescent="0.25">
      <c r="A240" s="32" t="s">
        <v>767</v>
      </c>
      <c r="B240" s="7">
        <v>2017</v>
      </c>
      <c r="C240" s="51" t="s">
        <v>702</v>
      </c>
      <c r="D240" t="s">
        <v>714</v>
      </c>
      <c r="E240" s="2">
        <v>47.881999999999998</v>
      </c>
    </row>
    <row r="241" spans="1:5" x14ac:dyDescent="0.25">
      <c r="A241" s="32" t="s">
        <v>767</v>
      </c>
      <c r="B241" s="7">
        <v>2017</v>
      </c>
      <c r="C241" s="51" t="s">
        <v>703</v>
      </c>
      <c r="D241" t="s">
        <v>714</v>
      </c>
      <c r="E241" s="2">
        <v>39.838000000000001</v>
      </c>
    </row>
    <row r="242" spans="1:5" x14ac:dyDescent="0.25">
      <c r="A242" s="32" t="s">
        <v>767</v>
      </c>
      <c r="B242" s="7">
        <v>2017</v>
      </c>
      <c r="C242" s="51" t="s">
        <v>704</v>
      </c>
      <c r="D242" t="s">
        <v>714</v>
      </c>
      <c r="E242" s="2">
        <v>44.731000000000002</v>
      </c>
    </row>
    <row r="243" spans="1:5" x14ac:dyDescent="0.25">
      <c r="A243" s="32" t="s">
        <v>767</v>
      </c>
      <c r="B243" s="7">
        <v>2017</v>
      </c>
      <c r="C243" s="51" t="s">
        <v>705</v>
      </c>
      <c r="D243" t="s">
        <v>714</v>
      </c>
      <c r="E243" s="2">
        <v>43.002000000000002</v>
      </c>
    </row>
    <row r="244" spans="1:5" x14ac:dyDescent="0.25">
      <c r="A244" s="32" t="s">
        <v>767</v>
      </c>
      <c r="B244" s="7">
        <v>2017</v>
      </c>
      <c r="C244" s="51" t="s">
        <v>706</v>
      </c>
      <c r="D244" t="s">
        <v>714</v>
      </c>
      <c r="E244" s="2">
        <v>40.845999999999997</v>
      </c>
    </row>
    <row r="245" spans="1:5" x14ac:dyDescent="0.25">
      <c r="A245" s="32" t="s">
        <v>767</v>
      </c>
      <c r="B245" s="7">
        <v>2018</v>
      </c>
      <c r="C245" s="51" t="s">
        <v>713</v>
      </c>
      <c r="D245" t="s">
        <v>714</v>
      </c>
      <c r="E245" s="2">
        <v>39.457999999999998</v>
      </c>
    </row>
    <row r="246" spans="1:5" x14ac:dyDescent="0.25">
      <c r="A246" s="32" t="s">
        <v>767</v>
      </c>
      <c r="B246" s="7">
        <v>2018</v>
      </c>
      <c r="C246" s="51" t="s">
        <v>707</v>
      </c>
      <c r="D246" t="s">
        <v>714</v>
      </c>
      <c r="E246" s="2">
        <v>48.57</v>
      </c>
    </row>
    <row r="247" spans="1:5" s="51" customFormat="1" x14ac:dyDescent="0.25">
      <c r="A247" s="32" t="s">
        <v>767</v>
      </c>
      <c r="B247" s="85">
        <v>2018</v>
      </c>
      <c r="C247" s="51" t="s">
        <v>708</v>
      </c>
      <c r="D247" s="51" t="s">
        <v>714</v>
      </c>
      <c r="E247" s="57">
        <v>47.387</v>
      </c>
    </row>
    <row r="248" spans="1:5" x14ac:dyDescent="0.25">
      <c r="A248" s="32" t="s">
        <v>767</v>
      </c>
      <c r="B248" s="7">
        <v>2018</v>
      </c>
      <c r="C248" s="51" t="s">
        <v>699</v>
      </c>
      <c r="D248" t="s">
        <v>714</v>
      </c>
      <c r="E248" s="2">
        <v>46.311</v>
      </c>
    </row>
    <row r="249" spans="1:5" s="51" customFormat="1" x14ac:dyDescent="0.25">
      <c r="A249" s="32" t="s">
        <v>767</v>
      </c>
      <c r="B249" s="85">
        <v>2018</v>
      </c>
      <c r="C249" s="51" t="s">
        <v>709</v>
      </c>
      <c r="D249" s="51" t="s">
        <v>714</v>
      </c>
      <c r="E249" s="57">
        <v>45.646999999999998</v>
      </c>
    </row>
    <row r="250" spans="1:5" s="51" customFormat="1" x14ac:dyDescent="0.25">
      <c r="A250" s="32" t="s">
        <v>767</v>
      </c>
      <c r="B250" s="85">
        <v>2018</v>
      </c>
      <c r="C250" s="51" t="s">
        <v>712</v>
      </c>
      <c r="D250" s="51" t="s">
        <v>714</v>
      </c>
      <c r="E250" s="57">
        <v>48.442999999999998</v>
      </c>
    </row>
    <row r="251" spans="1:5" s="51" customFormat="1" x14ac:dyDescent="0.25">
      <c r="A251" s="32" t="s">
        <v>767</v>
      </c>
      <c r="B251" s="85">
        <v>2018</v>
      </c>
      <c r="C251" s="51" t="s">
        <v>710</v>
      </c>
      <c r="D251" s="51" t="s">
        <v>714</v>
      </c>
      <c r="E251" s="57">
        <v>56.817999999999998</v>
      </c>
    </row>
    <row r="252" spans="1:5" x14ac:dyDescent="0.25">
      <c r="A252" s="32" t="s">
        <v>767</v>
      </c>
      <c r="B252" s="7">
        <v>2018</v>
      </c>
      <c r="C252" s="51" t="s">
        <v>702</v>
      </c>
      <c r="D252" t="s">
        <v>714</v>
      </c>
      <c r="E252" s="2">
        <v>62.47</v>
      </c>
    </row>
    <row r="253" spans="1:5" x14ac:dyDescent="0.25">
      <c r="A253" s="32" t="s">
        <v>767</v>
      </c>
      <c r="B253" s="7">
        <v>2018</v>
      </c>
      <c r="C253" s="51" t="s">
        <v>703</v>
      </c>
      <c r="D253" t="s">
        <v>714</v>
      </c>
      <c r="E253" s="2">
        <v>63.594000000000001</v>
      </c>
    </row>
    <row r="254" spans="1:5" s="51" customFormat="1" x14ac:dyDescent="0.25">
      <c r="A254" s="32" t="s">
        <v>767</v>
      </c>
      <c r="B254" s="85">
        <v>2018</v>
      </c>
      <c r="C254" s="51" t="s">
        <v>704</v>
      </c>
      <c r="D254" s="51" t="s">
        <v>714</v>
      </c>
      <c r="E254" s="57">
        <v>53.883000000000003</v>
      </c>
    </row>
    <row r="255" spans="1:5" s="51" customFormat="1" x14ac:dyDescent="0.25">
      <c r="A255" s="32" t="s">
        <v>767</v>
      </c>
      <c r="B255" s="85">
        <v>2018</v>
      </c>
      <c r="C255" s="51" t="s">
        <v>705</v>
      </c>
      <c r="D255" s="51" t="s">
        <v>714</v>
      </c>
      <c r="E255" s="57">
        <v>52.183999999999997</v>
      </c>
    </row>
    <row r="256" spans="1:5" s="51" customFormat="1" x14ac:dyDescent="0.25">
      <c r="A256" s="32" t="s">
        <v>767</v>
      </c>
      <c r="B256" s="85">
        <v>2018</v>
      </c>
      <c r="C256" s="51" t="s">
        <v>706</v>
      </c>
      <c r="D256" s="51" t="s">
        <v>714</v>
      </c>
      <c r="E256" s="57">
        <v>67.040000000000006</v>
      </c>
    </row>
    <row r="257" spans="1:5" s="51" customFormat="1" x14ac:dyDescent="0.25">
      <c r="A257" s="32" t="s">
        <v>767</v>
      </c>
      <c r="B257" s="85">
        <v>2019</v>
      </c>
      <c r="C257" s="51" t="s">
        <v>713</v>
      </c>
      <c r="D257" s="51" t="s">
        <v>714</v>
      </c>
      <c r="E257" s="57">
        <v>60.05</v>
      </c>
    </row>
    <row r="258" spans="1:5" s="51" customFormat="1" x14ac:dyDescent="0.25">
      <c r="A258" s="32" t="s">
        <v>767</v>
      </c>
      <c r="B258" s="85">
        <v>2019</v>
      </c>
      <c r="C258" s="51" t="s">
        <v>707</v>
      </c>
      <c r="D258" s="51" t="s">
        <v>714</v>
      </c>
      <c r="E258" s="57">
        <v>56.341999999999999</v>
      </c>
    </row>
    <row r="259" spans="1:5" s="51" customFormat="1" x14ac:dyDescent="0.25">
      <c r="A259" s="32" t="s">
        <v>767</v>
      </c>
      <c r="B259" s="85">
        <v>2019</v>
      </c>
      <c r="C259" s="51" t="s">
        <v>708</v>
      </c>
      <c r="D259" s="51" t="s">
        <v>714</v>
      </c>
      <c r="E259" s="57">
        <v>64.823999999999998</v>
      </c>
    </row>
    <row r="260" spans="1:5" s="51" customFormat="1" x14ac:dyDescent="0.25">
      <c r="A260" s="32" t="s">
        <v>767</v>
      </c>
      <c r="B260" s="85">
        <v>2019</v>
      </c>
      <c r="C260" s="51" t="s">
        <v>699</v>
      </c>
      <c r="D260" s="51" t="s">
        <v>714</v>
      </c>
      <c r="E260" s="57">
        <v>51.561999999999998</v>
      </c>
    </row>
    <row r="261" spans="1:5" s="51" customFormat="1" x14ac:dyDescent="0.25">
      <c r="A261" s="32" t="s">
        <v>767</v>
      </c>
      <c r="B261" s="85">
        <v>2019</v>
      </c>
      <c r="C261" s="51" t="s">
        <v>709</v>
      </c>
      <c r="D261" s="51" t="s">
        <v>714</v>
      </c>
      <c r="E261" s="57">
        <v>59.81</v>
      </c>
    </row>
    <row r="262" spans="1:5" x14ac:dyDescent="0.25">
      <c r="A262" s="32" t="s">
        <v>767</v>
      </c>
      <c r="B262" s="7">
        <v>2019</v>
      </c>
      <c r="C262" s="51" t="s">
        <v>712</v>
      </c>
      <c r="D262" t="s">
        <v>714</v>
      </c>
      <c r="E262" s="2">
        <v>47.902000000000001</v>
      </c>
    </row>
    <row r="263" spans="1:5" x14ac:dyDescent="0.25">
      <c r="A263" s="32" t="s">
        <v>767</v>
      </c>
      <c r="B263" s="7">
        <v>2019</v>
      </c>
      <c r="C263" s="51" t="s">
        <v>710</v>
      </c>
      <c r="D263" t="s">
        <v>714</v>
      </c>
      <c r="E263" s="2">
        <v>51.494999999999997</v>
      </c>
    </row>
    <row r="264" spans="1:5" x14ac:dyDescent="0.25">
      <c r="A264" s="32" t="s">
        <v>767</v>
      </c>
      <c r="B264" s="7">
        <v>2019</v>
      </c>
      <c r="C264" s="51" t="s">
        <v>702</v>
      </c>
      <c r="D264" t="s">
        <v>714</v>
      </c>
      <c r="E264" s="2">
        <v>45.65</v>
      </c>
    </row>
    <row r="265" spans="1:5" x14ac:dyDescent="0.25">
      <c r="A265" s="32" t="s">
        <v>767</v>
      </c>
      <c r="B265" s="7">
        <v>2019</v>
      </c>
      <c r="C265" s="51" t="s">
        <v>703</v>
      </c>
      <c r="D265" t="s">
        <v>714</v>
      </c>
      <c r="E265" s="2">
        <v>46.137</v>
      </c>
    </row>
    <row r="266" spans="1:5" x14ac:dyDescent="0.25">
      <c r="A266" s="32" t="s">
        <v>767</v>
      </c>
      <c r="B266" s="7">
        <v>2019</v>
      </c>
      <c r="C266" s="51" t="s">
        <v>704</v>
      </c>
      <c r="D266" t="s">
        <v>714</v>
      </c>
      <c r="E266" s="2">
        <v>48.646000000000001</v>
      </c>
    </row>
    <row r="267" spans="1:5" x14ac:dyDescent="0.25">
      <c r="A267" s="32" t="s">
        <v>767</v>
      </c>
      <c r="B267" s="7">
        <v>2019</v>
      </c>
      <c r="C267" s="51" t="s">
        <v>705</v>
      </c>
      <c r="D267" t="s">
        <v>714</v>
      </c>
      <c r="E267" s="2">
        <v>46.167000000000002</v>
      </c>
    </row>
    <row r="268" spans="1:5" x14ac:dyDescent="0.25">
      <c r="A268" s="32" t="s">
        <v>767</v>
      </c>
      <c r="B268" s="7">
        <v>2019</v>
      </c>
      <c r="C268" s="51" t="s">
        <v>706</v>
      </c>
      <c r="D268" t="s">
        <v>714</v>
      </c>
      <c r="E268" s="2">
        <v>50.97</v>
      </c>
    </row>
    <row r="269" spans="1:5" x14ac:dyDescent="0.25">
      <c r="A269" s="32" t="s">
        <v>767</v>
      </c>
      <c r="B269" s="7">
        <v>2020</v>
      </c>
      <c r="C269" s="51" t="s">
        <v>713</v>
      </c>
      <c r="D269" t="s">
        <v>714</v>
      </c>
      <c r="E269" s="2">
        <v>52.838999999999999</v>
      </c>
    </row>
    <row r="270" spans="1:5" x14ac:dyDescent="0.25">
      <c r="A270" s="32" t="s">
        <v>767</v>
      </c>
      <c r="B270" s="7">
        <v>2020</v>
      </c>
      <c r="C270" s="51" t="s">
        <v>707</v>
      </c>
      <c r="D270" t="s">
        <v>714</v>
      </c>
      <c r="E270" s="2">
        <v>51.933999999999997</v>
      </c>
    </row>
    <row r="271" spans="1:5" x14ac:dyDescent="0.25">
      <c r="A271" s="32" t="s">
        <v>767</v>
      </c>
      <c r="B271" s="7">
        <v>2020</v>
      </c>
      <c r="C271" s="51" t="s">
        <v>708</v>
      </c>
      <c r="D271" t="s">
        <v>714</v>
      </c>
      <c r="E271" s="2">
        <v>50.7</v>
      </c>
    </row>
    <row r="272" spans="1:5" x14ac:dyDescent="0.25">
      <c r="A272" s="32" t="s">
        <v>767</v>
      </c>
      <c r="B272" s="7">
        <v>2020</v>
      </c>
      <c r="C272" s="51" t="s">
        <v>699</v>
      </c>
      <c r="D272" t="s">
        <v>714</v>
      </c>
      <c r="E272" s="2">
        <v>58.881999999999998</v>
      </c>
    </row>
    <row r="273" spans="1:5" x14ac:dyDescent="0.25">
      <c r="A273" s="32" t="s">
        <v>767</v>
      </c>
      <c r="B273" s="7">
        <v>2020</v>
      </c>
      <c r="C273" s="51" t="s">
        <v>709</v>
      </c>
      <c r="D273" t="s">
        <v>714</v>
      </c>
      <c r="E273" s="2">
        <v>63.183999999999997</v>
      </c>
    </row>
    <row r="274" spans="1:5" x14ac:dyDescent="0.25">
      <c r="A274" s="32" t="s">
        <v>767</v>
      </c>
      <c r="B274" s="7">
        <v>2020</v>
      </c>
      <c r="C274" s="51" t="s">
        <v>712</v>
      </c>
      <c r="D274" t="s">
        <v>714</v>
      </c>
      <c r="E274" s="2">
        <v>57.14</v>
      </c>
    </row>
    <row r="275" spans="1:5" x14ac:dyDescent="0.25">
      <c r="A275" s="32" t="s">
        <v>767</v>
      </c>
      <c r="B275" s="7">
        <v>2020</v>
      </c>
      <c r="C275" s="51" t="s">
        <v>710</v>
      </c>
      <c r="D275" t="s">
        <v>714</v>
      </c>
      <c r="E275" s="2">
        <v>47.832000000000001</v>
      </c>
    </row>
    <row r="276" spans="1:5" x14ac:dyDescent="0.25">
      <c r="A276" s="32" t="s">
        <v>767</v>
      </c>
      <c r="B276" s="7">
        <v>2020</v>
      </c>
      <c r="C276" s="51" t="s">
        <v>702</v>
      </c>
      <c r="D276" t="s">
        <v>714</v>
      </c>
      <c r="E276" s="2">
        <v>57.851999999999997</v>
      </c>
    </row>
    <row r="277" spans="1:5" x14ac:dyDescent="0.25">
      <c r="A277" s="32" t="s">
        <v>767</v>
      </c>
      <c r="B277" s="7">
        <v>2020</v>
      </c>
      <c r="C277" s="51" t="s">
        <v>703</v>
      </c>
      <c r="D277" t="s">
        <v>714</v>
      </c>
      <c r="E277" s="2">
        <v>50.981000000000002</v>
      </c>
    </row>
    <row r="278" spans="1:5" x14ac:dyDescent="0.25">
      <c r="A278" s="32" t="s">
        <v>767</v>
      </c>
      <c r="B278" s="7">
        <v>2020</v>
      </c>
      <c r="C278" s="51" t="s">
        <v>704</v>
      </c>
      <c r="D278" t="s">
        <v>714</v>
      </c>
      <c r="E278" s="2">
        <v>49.790999999999997</v>
      </c>
    </row>
    <row r="279" spans="1:5" x14ac:dyDescent="0.25">
      <c r="A279" s="32" t="s">
        <v>767</v>
      </c>
      <c r="B279" s="7">
        <v>2020</v>
      </c>
      <c r="C279" s="51" t="s">
        <v>705</v>
      </c>
      <c r="D279" t="s">
        <v>714</v>
      </c>
      <c r="E279" s="2">
        <v>51.031999999999996</v>
      </c>
    </row>
    <row r="280" spans="1:5" x14ac:dyDescent="0.25">
      <c r="A280" s="32" t="s">
        <v>767</v>
      </c>
      <c r="B280" s="7">
        <v>2020</v>
      </c>
      <c r="C280" s="51" t="s">
        <v>706</v>
      </c>
      <c r="D280" t="s">
        <v>714</v>
      </c>
      <c r="E280" s="2">
        <v>69.846999999999994</v>
      </c>
    </row>
    <row r="281" spans="1:5" x14ac:dyDescent="0.25">
      <c r="A281" s="32" t="s">
        <v>767</v>
      </c>
      <c r="B281" s="7">
        <v>2021</v>
      </c>
      <c r="C281" s="51" t="s">
        <v>713</v>
      </c>
      <c r="D281" t="s">
        <v>714</v>
      </c>
      <c r="E281" s="2">
        <v>52.045999999999999</v>
      </c>
    </row>
    <row r="282" spans="1:5" x14ac:dyDescent="0.25">
      <c r="A282" s="32" t="s">
        <v>767</v>
      </c>
      <c r="B282" s="7">
        <v>2021</v>
      </c>
      <c r="C282" s="51" t="s">
        <v>707</v>
      </c>
      <c r="D282" t="s">
        <v>714</v>
      </c>
      <c r="E282" s="2">
        <v>54.36</v>
      </c>
    </row>
    <row r="283" spans="1:5" x14ac:dyDescent="0.25">
      <c r="A283" s="32" t="s">
        <v>767</v>
      </c>
      <c r="B283" s="7">
        <v>2021</v>
      </c>
      <c r="C283" s="51" t="s">
        <v>708</v>
      </c>
      <c r="D283" t="s">
        <v>714</v>
      </c>
      <c r="E283" s="2">
        <v>53.603000000000002</v>
      </c>
    </row>
    <row r="284" spans="1:5" x14ac:dyDescent="0.25">
      <c r="A284" s="32" t="s">
        <v>767</v>
      </c>
      <c r="B284" s="7">
        <v>2021</v>
      </c>
      <c r="C284" s="51" t="s">
        <v>699</v>
      </c>
      <c r="D284" t="s">
        <v>714</v>
      </c>
      <c r="E284" s="2">
        <v>51.598999999999997</v>
      </c>
    </row>
    <row r="285" spans="1:5" x14ac:dyDescent="0.25">
      <c r="A285" s="32" t="s">
        <v>767</v>
      </c>
      <c r="B285" s="7">
        <v>2021</v>
      </c>
      <c r="C285" s="51" t="s">
        <v>709</v>
      </c>
      <c r="D285" t="s">
        <v>714</v>
      </c>
      <c r="E285" s="2">
        <v>46.908999999999999</v>
      </c>
    </row>
    <row r="286" spans="1:5" x14ac:dyDescent="0.25">
      <c r="A286" s="32" t="s">
        <v>767</v>
      </c>
      <c r="B286" s="7">
        <v>2021</v>
      </c>
      <c r="C286" s="51" t="s">
        <v>712</v>
      </c>
      <c r="D286" t="s">
        <v>714</v>
      </c>
      <c r="E286" s="2">
        <v>50.585000000000001</v>
      </c>
    </row>
    <row r="287" spans="1:5" x14ac:dyDescent="0.25">
      <c r="A287" s="32" t="s">
        <v>767</v>
      </c>
      <c r="B287" s="7">
        <v>2021</v>
      </c>
      <c r="C287" s="51" t="s">
        <v>710</v>
      </c>
      <c r="D287" t="s">
        <v>714</v>
      </c>
      <c r="E287" s="2">
        <v>49.86</v>
      </c>
    </row>
    <row r="288" spans="1:5" x14ac:dyDescent="0.25">
      <c r="A288" s="32" t="s">
        <v>767</v>
      </c>
      <c r="B288" s="7">
        <v>2021</v>
      </c>
      <c r="C288" s="51" t="s">
        <v>702</v>
      </c>
      <c r="D288" t="s">
        <v>714</v>
      </c>
      <c r="E288" s="2">
        <v>53.493000000000002</v>
      </c>
    </row>
    <row r="289" spans="1:5" x14ac:dyDescent="0.25">
      <c r="A289" s="32" t="s">
        <v>767</v>
      </c>
      <c r="B289" s="7">
        <v>2021</v>
      </c>
      <c r="C289" s="51" t="s">
        <v>703</v>
      </c>
      <c r="D289" t="s">
        <v>714</v>
      </c>
      <c r="E289" s="2">
        <v>51.597999999999999</v>
      </c>
    </row>
    <row r="290" spans="1:5" x14ac:dyDescent="0.25">
      <c r="A290" s="32" t="s">
        <v>767</v>
      </c>
      <c r="B290" s="7">
        <v>2021</v>
      </c>
      <c r="C290" s="51" t="s">
        <v>704</v>
      </c>
      <c r="D290" t="s">
        <v>714</v>
      </c>
      <c r="E290" s="2">
        <v>48.581000000000003</v>
      </c>
    </row>
    <row r="291" spans="1:5" x14ac:dyDescent="0.25">
      <c r="A291" s="32" t="s">
        <v>767</v>
      </c>
      <c r="B291" s="7">
        <v>2021</v>
      </c>
      <c r="C291" s="51" t="s">
        <v>705</v>
      </c>
      <c r="D291" t="s">
        <v>714</v>
      </c>
      <c r="E291" s="2">
        <v>44.012999999999998</v>
      </c>
    </row>
    <row r="292" spans="1:5" x14ac:dyDescent="0.25">
      <c r="A292" s="32" t="s">
        <v>767</v>
      </c>
      <c r="B292" s="7">
        <v>2021</v>
      </c>
      <c r="C292" s="51" t="s">
        <v>706</v>
      </c>
      <c r="D292" t="s">
        <v>714</v>
      </c>
      <c r="E292" s="2">
        <v>42.968000000000004</v>
      </c>
    </row>
    <row r="293" spans="1:5" x14ac:dyDescent="0.25">
      <c r="A293" s="32" t="s">
        <v>767</v>
      </c>
      <c r="B293" s="7">
        <v>2022</v>
      </c>
      <c r="C293" s="51" t="s">
        <v>713</v>
      </c>
      <c r="D293" t="s">
        <v>714</v>
      </c>
      <c r="E293" s="2">
        <v>54.52</v>
      </c>
    </row>
    <row r="294" spans="1:5" x14ac:dyDescent="0.25">
      <c r="A294" s="32" t="s">
        <v>767</v>
      </c>
      <c r="B294" s="7">
        <v>2022</v>
      </c>
      <c r="C294" s="51" t="s">
        <v>707</v>
      </c>
      <c r="D294" t="s">
        <v>714</v>
      </c>
      <c r="E294" s="2">
        <v>45.98</v>
      </c>
    </row>
    <row r="295" spans="1:5" x14ac:dyDescent="0.25">
      <c r="A295" s="32" t="s">
        <v>767</v>
      </c>
      <c r="B295" s="7">
        <v>2022</v>
      </c>
      <c r="C295" s="51" t="s">
        <v>708</v>
      </c>
      <c r="D295" t="s">
        <v>714</v>
      </c>
      <c r="E295" s="2">
        <v>46.43</v>
      </c>
    </row>
    <row r="296" spans="1:5" x14ac:dyDescent="0.25">
      <c r="A296" s="32" t="s">
        <v>767</v>
      </c>
      <c r="B296" s="7">
        <v>2022</v>
      </c>
      <c r="C296" s="51" t="s">
        <v>699</v>
      </c>
      <c r="D296" t="s">
        <v>714</v>
      </c>
      <c r="E296" s="2">
        <v>41.93</v>
      </c>
    </row>
    <row r="297" spans="1:5" x14ac:dyDescent="0.25">
      <c r="A297" s="32" t="s">
        <v>767</v>
      </c>
      <c r="B297" s="7">
        <v>2022</v>
      </c>
      <c r="C297" s="51" t="s">
        <v>709</v>
      </c>
      <c r="D297" t="s">
        <v>714</v>
      </c>
      <c r="E297" s="2">
        <v>50.530999999999999</v>
      </c>
    </row>
    <row r="298" spans="1:5" x14ac:dyDescent="0.25">
      <c r="A298" s="32" t="s">
        <v>767</v>
      </c>
      <c r="B298" s="7">
        <v>2022</v>
      </c>
      <c r="C298" s="51" t="s">
        <v>712</v>
      </c>
      <c r="D298" t="s">
        <v>714</v>
      </c>
      <c r="E298" s="2">
        <v>44.884999999999998</v>
      </c>
    </row>
    <row r="299" spans="1:5" x14ac:dyDescent="0.25">
      <c r="A299" s="32" t="s">
        <v>767</v>
      </c>
      <c r="B299" s="7">
        <v>2022</v>
      </c>
      <c r="C299" s="51" t="s">
        <v>710</v>
      </c>
      <c r="D299" t="s">
        <v>714</v>
      </c>
      <c r="E299" s="2">
        <v>47.646999999999998</v>
      </c>
    </row>
    <row r="300" spans="1:5" x14ac:dyDescent="0.25">
      <c r="A300" s="32" t="s">
        <v>767</v>
      </c>
      <c r="B300" s="7">
        <v>2022</v>
      </c>
      <c r="C300" s="51" t="s">
        <v>702</v>
      </c>
      <c r="D300" t="s">
        <v>714</v>
      </c>
      <c r="E300" s="2">
        <v>45.213000000000001</v>
      </c>
    </row>
    <row r="301" spans="1:5" x14ac:dyDescent="0.25">
      <c r="A301" s="32" t="s">
        <v>767</v>
      </c>
      <c r="B301" s="7">
        <v>2022</v>
      </c>
      <c r="C301" s="51" t="s">
        <v>703</v>
      </c>
      <c r="D301" t="s">
        <v>714</v>
      </c>
      <c r="E301" s="2">
        <v>41.396999999999998</v>
      </c>
    </row>
    <row r="302" spans="1:5" x14ac:dyDescent="0.25">
      <c r="A302" s="32" t="s">
        <v>767</v>
      </c>
      <c r="B302" s="7">
        <v>2022</v>
      </c>
      <c r="C302" s="51" t="s">
        <v>704</v>
      </c>
      <c r="D302" t="s">
        <v>714</v>
      </c>
      <c r="E302" s="2">
        <v>42.707000000000001</v>
      </c>
    </row>
    <row r="303" spans="1:5" x14ac:dyDescent="0.25">
      <c r="A303" s="32" t="s">
        <v>767</v>
      </c>
      <c r="B303" s="7">
        <v>2022</v>
      </c>
      <c r="C303" s="51" t="s">
        <v>705</v>
      </c>
      <c r="D303" t="s">
        <v>714</v>
      </c>
      <c r="E303" s="2">
        <v>40.465000000000003</v>
      </c>
    </row>
    <row r="304" spans="1:5" x14ac:dyDescent="0.25">
      <c r="A304" s="32" t="s">
        <v>767</v>
      </c>
      <c r="B304" s="7">
        <v>2022</v>
      </c>
      <c r="C304" s="51" t="s">
        <v>706</v>
      </c>
      <c r="D304" t="s">
        <v>714</v>
      </c>
      <c r="E304" s="2">
        <v>49.231999999999999</v>
      </c>
    </row>
    <row r="305" spans="1:5" x14ac:dyDescent="0.25">
      <c r="A305" s="32" t="s">
        <v>767</v>
      </c>
      <c r="B305" s="7">
        <v>2023</v>
      </c>
      <c r="C305" s="51" t="s">
        <v>713</v>
      </c>
      <c r="D305" t="s">
        <v>714</v>
      </c>
      <c r="E305" s="2">
        <v>43.226999999999997</v>
      </c>
    </row>
    <row r="306" spans="1:5" x14ac:dyDescent="0.25">
      <c r="A306" s="32" t="s">
        <v>767</v>
      </c>
      <c r="B306" s="7">
        <v>2023</v>
      </c>
      <c r="C306" s="51" t="s">
        <v>707</v>
      </c>
      <c r="D306" t="s">
        <v>714</v>
      </c>
      <c r="E306" s="2">
        <v>42.819000000000003</v>
      </c>
    </row>
    <row r="307" spans="1:5" x14ac:dyDescent="0.25">
      <c r="A307" s="32" t="s">
        <v>767</v>
      </c>
      <c r="B307" s="7">
        <v>2023</v>
      </c>
      <c r="C307" s="51" t="s">
        <v>708</v>
      </c>
      <c r="D307" t="s">
        <v>714</v>
      </c>
      <c r="E307" s="2">
        <v>43.588999999999999</v>
      </c>
    </row>
    <row r="308" spans="1:5" x14ac:dyDescent="0.25">
      <c r="A308" s="32" t="s">
        <v>767</v>
      </c>
      <c r="B308" s="7">
        <v>2023</v>
      </c>
      <c r="C308" s="51" t="s">
        <v>699</v>
      </c>
      <c r="D308" t="s">
        <v>714</v>
      </c>
      <c r="E308" s="2">
        <v>41.201000000000001</v>
      </c>
    </row>
    <row r="309" spans="1:5" x14ac:dyDescent="0.25">
      <c r="A309" s="32" t="s">
        <v>767</v>
      </c>
      <c r="B309" s="7">
        <v>2023</v>
      </c>
      <c r="C309" s="51" t="s">
        <v>709</v>
      </c>
      <c r="D309" t="s">
        <v>714</v>
      </c>
      <c r="E309" s="2">
        <v>42.201000000000001</v>
      </c>
    </row>
    <row r="310" spans="1:5" x14ac:dyDescent="0.25">
      <c r="A310" s="32" t="s">
        <v>767</v>
      </c>
      <c r="B310" s="7">
        <v>2023</v>
      </c>
      <c r="C310" s="51" t="s">
        <v>712</v>
      </c>
      <c r="D310" t="s">
        <v>714</v>
      </c>
      <c r="E310" s="2">
        <v>40.509</v>
      </c>
    </row>
    <row r="311" spans="1:5" x14ac:dyDescent="0.25">
      <c r="A311" s="32" t="s">
        <v>767</v>
      </c>
      <c r="B311" s="7">
        <v>2023</v>
      </c>
      <c r="C311" s="51" t="s">
        <v>710</v>
      </c>
      <c r="D311" t="s">
        <v>714</v>
      </c>
      <c r="E311" s="2">
        <v>48.597999999999999</v>
      </c>
    </row>
    <row r="312" spans="1:5" x14ac:dyDescent="0.25">
      <c r="A312" s="32" t="s">
        <v>767</v>
      </c>
      <c r="B312" s="7">
        <v>2023</v>
      </c>
      <c r="C312" s="51" t="s">
        <v>702</v>
      </c>
      <c r="D312" t="s">
        <v>714</v>
      </c>
      <c r="E312" s="2">
        <v>44.725999999999999</v>
      </c>
    </row>
    <row r="313" spans="1:5" x14ac:dyDescent="0.25">
      <c r="A313" s="32" t="s">
        <v>767</v>
      </c>
      <c r="B313" s="7">
        <v>2023</v>
      </c>
      <c r="C313" s="51" t="s">
        <v>703</v>
      </c>
      <c r="D313" t="s">
        <v>714</v>
      </c>
      <c r="E313" s="2">
        <v>46.677999999999997</v>
      </c>
    </row>
    <row r="314" spans="1:5" x14ac:dyDescent="0.25">
      <c r="A314" s="32" t="s">
        <v>767</v>
      </c>
      <c r="B314" s="7">
        <v>1997</v>
      </c>
      <c r="C314" s="51" t="s">
        <v>704</v>
      </c>
      <c r="D314" t="s">
        <v>715</v>
      </c>
      <c r="E314" s="2">
        <v>6.1349999999999998</v>
      </c>
    </row>
    <row r="315" spans="1:5" x14ac:dyDescent="0.25">
      <c r="A315" s="32" t="s">
        <v>767</v>
      </c>
      <c r="B315" s="7">
        <v>1997</v>
      </c>
      <c r="C315" s="51" t="s">
        <v>705</v>
      </c>
      <c r="D315" t="s">
        <v>715</v>
      </c>
      <c r="E315" s="2">
        <v>7.39</v>
      </c>
    </row>
    <row r="316" spans="1:5" x14ac:dyDescent="0.25">
      <c r="A316" s="32" t="s">
        <v>767</v>
      </c>
      <c r="B316" s="7">
        <v>1997</v>
      </c>
      <c r="C316" s="51" t="s">
        <v>706</v>
      </c>
      <c r="D316" t="s">
        <v>715</v>
      </c>
      <c r="E316" s="2">
        <v>6.3929999999999998</v>
      </c>
    </row>
    <row r="317" spans="1:5" x14ac:dyDescent="0.25">
      <c r="A317" s="32" t="s">
        <v>767</v>
      </c>
      <c r="B317" s="7">
        <v>1998</v>
      </c>
      <c r="C317" s="51" t="s">
        <v>713</v>
      </c>
      <c r="D317" t="s">
        <v>715</v>
      </c>
      <c r="E317" s="2">
        <v>7.6479999999999997</v>
      </c>
    </row>
    <row r="318" spans="1:5" x14ac:dyDescent="0.25">
      <c r="A318" s="32" t="s">
        <v>767</v>
      </c>
      <c r="B318" s="7">
        <v>1998</v>
      </c>
      <c r="C318" s="51" t="s">
        <v>707</v>
      </c>
      <c r="D318" t="s">
        <v>715</v>
      </c>
      <c r="E318" s="2">
        <v>7.28</v>
      </c>
    </row>
    <row r="319" spans="1:5" x14ac:dyDescent="0.25">
      <c r="A319" s="32" t="s">
        <v>767</v>
      </c>
      <c r="B319" s="7">
        <v>1998</v>
      </c>
      <c r="C319" s="51" t="s">
        <v>708</v>
      </c>
      <c r="D319" t="s">
        <v>715</v>
      </c>
      <c r="E319" s="2">
        <v>7.7190000000000003</v>
      </c>
    </row>
    <row r="320" spans="1:5" x14ac:dyDescent="0.25">
      <c r="A320" s="32" t="s">
        <v>767</v>
      </c>
      <c r="B320" s="7">
        <v>1998</v>
      </c>
      <c r="C320" s="51" t="s">
        <v>699</v>
      </c>
      <c r="D320" t="s">
        <v>715</v>
      </c>
      <c r="E320" s="2">
        <v>6.4050000000000002</v>
      </c>
    </row>
    <row r="321" spans="1:5" x14ac:dyDescent="0.25">
      <c r="A321" s="32" t="s">
        <v>767</v>
      </c>
      <c r="B321" s="7">
        <v>1998</v>
      </c>
      <c r="C321" s="51" t="s">
        <v>709</v>
      </c>
      <c r="D321" t="s">
        <v>715</v>
      </c>
      <c r="E321" s="2">
        <v>6.7359999999999998</v>
      </c>
    </row>
    <row r="322" spans="1:5" x14ac:dyDescent="0.25">
      <c r="A322" s="32" t="s">
        <v>767</v>
      </c>
      <c r="B322" s="7">
        <v>1998</v>
      </c>
      <c r="C322" s="51" t="s">
        <v>712</v>
      </c>
      <c r="D322" t="s">
        <v>715</v>
      </c>
      <c r="E322" s="2">
        <v>6.0380000000000003</v>
      </c>
    </row>
    <row r="323" spans="1:5" x14ac:dyDescent="0.25">
      <c r="A323" s="32" t="s">
        <v>767</v>
      </c>
      <c r="B323" s="7">
        <v>1998</v>
      </c>
      <c r="C323" s="51" t="s">
        <v>710</v>
      </c>
      <c r="D323" t="s">
        <v>715</v>
      </c>
      <c r="E323" s="2">
        <v>6.0209999999999999</v>
      </c>
    </row>
    <row r="324" spans="1:5" x14ac:dyDescent="0.25">
      <c r="A324" s="32" t="s">
        <v>767</v>
      </c>
      <c r="B324" s="7">
        <v>1998</v>
      </c>
      <c r="C324" s="51" t="s">
        <v>702</v>
      </c>
      <c r="D324" t="s">
        <v>715</v>
      </c>
      <c r="E324" s="2">
        <v>6.21</v>
      </c>
    </row>
    <row r="325" spans="1:5" x14ac:dyDescent="0.25">
      <c r="A325" s="32" t="s">
        <v>767</v>
      </c>
      <c r="B325" s="7">
        <v>1998</v>
      </c>
      <c r="C325" s="51" t="s">
        <v>703</v>
      </c>
      <c r="D325" t="s">
        <v>715</v>
      </c>
      <c r="E325" s="2">
        <v>6.54</v>
      </c>
    </row>
    <row r="326" spans="1:5" x14ac:dyDescent="0.25">
      <c r="A326" s="32" t="s">
        <v>767</v>
      </c>
      <c r="B326" s="7">
        <v>1998</v>
      </c>
      <c r="C326" s="51" t="s">
        <v>704</v>
      </c>
      <c r="D326" t="s">
        <v>715</v>
      </c>
      <c r="E326" s="2">
        <v>6.556</v>
      </c>
    </row>
    <row r="327" spans="1:5" x14ac:dyDescent="0.25">
      <c r="A327" s="32" t="s">
        <v>767</v>
      </c>
      <c r="B327" s="7">
        <v>1998</v>
      </c>
      <c r="C327" s="51" t="s">
        <v>705</v>
      </c>
      <c r="D327" t="s">
        <v>715</v>
      </c>
      <c r="E327" s="2">
        <v>6.3330000000000002</v>
      </c>
    </row>
    <row r="328" spans="1:5" x14ac:dyDescent="0.25">
      <c r="A328" s="32" t="s">
        <v>767</v>
      </c>
      <c r="B328" s="7">
        <v>1998</v>
      </c>
      <c r="C328" s="51" t="s">
        <v>706</v>
      </c>
      <c r="D328" t="s">
        <v>715</v>
      </c>
      <c r="E328" s="2">
        <v>6.2389999999999999</v>
      </c>
    </row>
    <row r="329" spans="1:5" x14ac:dyDescent="0.25">
      <c r="A329" s="32" t="s">
        <v>767</v>
      </c>
      <c r="B329" s="7">
        <v>1999</v>
      </c>
      <c r="C329" s="51" t="s">
        <v>713</v>
      </c>
      <c r="D329" t="s">
        <v>715</v>
      </c>
      <c r="E329" s="2">
        <v>7.6120000000000001</v>
      </c>
    </row>
    <row r="330" spans="1:5" x14ac:dyDescent="0.25">
      <c r="A330" s="32" t="s">
        <v>767</v>
      </c>
      <c r="B330" s="7">
        <v>1999</v>
      </c>
      <c r="C330" s="51" t="s">
        <v>707</v>
      </c>
      <c r="D330" t="s">
        <v>715</v>
      </c>
      <c r="E330" s="2">
        <v>5.9569999999999999</v>
      </c>
    </row>
    <row r="331" spans="1:5" x14ac:dyDescent="0.25">
      <c r="A331" s="32" t="s">
        <v>767</v>
      </c>
      <c r="B331" s="7">
        <v>1999</v>
      </c>
      <c r="C331" s="51" t="s">
        <v>708</v>
      </c>
      <c r="D331" t="s">
        <v>715</v>
      </c>
      <c r="E331" s="2">
        <v>7.8250000000000002</v>
      </c>
    </row>
    <row r="332" spans="1:5" x14ac:dyDescent="0.25">
      <c r="A332" s="32" t="s">
        <v>767</v>
      </c>
      <c r="B332" s="7">
        <v>1999</v>
      </c>
      <c r="C332" s="51" t="s">
        <v>699</v>
      </c>
      <c r="D332" t="s">
        <v>715</v>
      </c>
      <c r="E332" s="2">
        <v>6.2030000000000003</v>
      </c>
    </row>
    <row r="333" spans="1:5" x14ac:dyDescent="0.25">
      <c r="A333" s="32" t="s">
        <v>767</v>
      </c>
      <c r="B333" s="7">
        <v>1999</v>
      </c>
      <c r="C333" s="51" t="s">
        <v>709</v>
      </c>
      <c r="D333" t="s">
        <v>715</v>
      </c>
      <c r="E333" s="2">
        <v>6.2149999999999999</v>
      </c>
    </row>
    <row r="334" spans="1:5" x14ac:dyDescent="0.25">
      <c r="A334" s="32" t="s">
        <v>767</v>
      </c>
      <c r="B334" s="7">
        <v>1999</v>
      </c>
      <c r="C334" s="51" t="s">
        <v>712</v>
      </c>
      <c r="D334" t="s">
        <v>715</v>
      </c>
      <c r="E334" s="2">
        <v>6.1390000000000002</v>
      </c>
    </row>
    <row r="335" spans="1:5" x14ac:dyDescent="0.25">
      <c r="A335" s="32" t="s">
        <v>767</v>
      </c>
      <c r="B335" s="7">
        <v>1999</v>
      </c>
      <c r="C335" s="51" t="s">
        <v>710</v>
      </c>
      <c r="D335" t="s">
        <v>715</v>
      </c>
      <c r="E335" s="2">
        <v>6.1260000000000003</v>
      </c>
    </row>
    <row r="336" spans="1:5" x14ac:dyDescent="0.25">
      <c r="A336" s="32" t="s">
        <v>767</v>
      </c>
      <c r="B336" s="7">
        <v>1999</v>
      </c>
      <c r="C336" s="51" t="s">
        <v>702</v>
      </c>
      <c r="D336" t="s">
        <v>715</v>
      </c>
      <c r="E336" s="2">
        <v>6.3840000000000003</v>
      </c>
    </row>
    <row r="337" spans="1:5" x14ac:dyDescent="0.25">
      <c r="A337" s="32" t="s">
        <v>767</v>
      </c>
      <c r="B337" s="7">
        <v>1999</v>
      </c>
      <c r="C337" s="51" t="s">
        <v>703</v>
      </c>
      <c r="D337" t="s">
        <v>715</v>
      </c>
      <c r="E337" s="2">
        <v>7.4619999999999997</v>
      </c>
    </row>
    <row r="338" spans="1:5" x14ac:dyDescent="0.25">
      <c r="A338" s="32" t="s">
        <v>767</v>
      </c>
      <c r="B338" s="7">
        <v>1999</v>
      </c>
      <c r="C338" s="51" t="s">
        <v>704</v>
      </c>
      <c r="D338" t="s">
        <v>715</v>
      </c>
      <c r="E338" s="2">
        <v>6.984</v>
      </c>
    </row>
    <row r="339" spans="1:5" x14ac:dyDescent="0.25">
      <c r="A339" s="32" t="s">
        <v>767</v>
      </c>
      <c r="B339" s="7">
        <v>1999</v>
      </c>
      <c r="C339" s="51" t="s">
        <v>705</v>
      </c>
      <c r="D339" t="s">
        <v>715</v>
      </c>
      <c r="E339" s="2">
        <v>5.875</v>
      </c>
    </row>
    <row r="340" spans="1:5" x14ac:dyDescent="0.25">
      <c r="A340" s="32" t="s">
        <v>767</v>
      </c>
      <c r="B340" s="7">
        <v>1999</v>
      </c>
      <c r="C340" s="51" t="s">
        <v>706</v>
      </c>
      <c r="D340" t="s">
        <v>715</v>
      </c>
      <c r="E340" s="2">
        <v>5.9980000000000002</v>
      </c>
    </row>
    <row r="341" spans="1:5" x14ac:dyDescent="0.25">
      <c r="A341" s="32" t="s">
        <v>767</v>
      </c>
      <c r="B341" s="7">
        <v>2000</v>
      </c>
      <c r="C341" s="51" t="s">
        <v>713</v>
      </c>
      <c r="D341" t="s">
        <v>715</v>
      </c>
      <c r="E341" s="2">
        <v>5.9359999999999999</v>
      </c>
    </row>
    <row r="342" spans="1:5" x14ac:dyDescent="0.25">
      <c r="A342" s="32" t="s">
        <v>767</v>
      </c>
      <c r="B342" s="7">
        <v>2000</v>
      </c>
      <c r="C342" s="51" t="s">
        <v>707</v>
      </c>
      <c r="D342" t="s">
        <v>715</v>
      </c>
      <c r="E342" s="2">
        <v>8.4550000000000001</v>
      </c>
    </row>
    <row r="343" spans="1:5" x14ac:dyDescent="0.25">
      <c r="A343" s="32" t="s">
        <v>767</v>
      </c>
      <c r="B343" s="7">
        <v>2000</v>
      </c>
      <c r="C343" s="51" t="s">
        <v>708</v>
      </c>
      <c r="D343" t="s">
        <v>715</v>
      </c>
      <c r="E343" s="2">
        <v>8.2889999999999997</v>
      </c>
    </row>
    <row r="344" spans="1:5" x14ac:dyDescent="0.25">
      <c r="A344" s="32" t="s">
        <v>767</v>
      </c>
      <c r="B344" s="7">
        <v>2000</v>
      </c>
      <c r="C344" s="51" t="s">
        <v>699</v>
      </c>
      <c r="D344" t="s">
        <v>715</v>
      </c>
      <c r="E344" s="2">
        <v>7.8689999999999998</v>
      </c>
    </row>
    <row r="345" spans="1:5" x14ac:dyDescent="0.25">
      <c r="A345" s="32" t="s">
        <v>767</v>
      </c>
      <c r="B345" s="7">
        <v>2000</v>
      </c>
      <c r="C345" s="51" t="s">
        <v>709</v>
      </c>
      <c r="D345" t="s">
        <v>715</v>
      </c>
      <c r="E345" s="2">
        <v>6.8769999999999998</v>
      </c>
    </row>
    <row r="346" spans="1:5" x14ac:dyDescent="0.25">
      <c r="A346" s="32" t="s">
        <v>767</v>
      </c>
      <c r="B346" s="7">
        <v>2000</v>
      </c>
      <c r="C346" s="51" t="s">
        <v>712</v>
      </c>
      <c r="D346" t="s">
        <v>715</v>
      </c>
      <c r="E346" s="2">
        <v>7.1669999999999998</v>
      </c>
    </row>
    <row r="347" spans="1:5" x14ac:dyDescent="0.25">
      <c r="A347" s="32" t="s">
        <v>767</v>
      </c>
      <c r="B347" s="7">
        <v>2000</v>
      </c>
      <c r="C347" s="51" t="s">
        <v>710</v>
      </c>
      <c r="D347" t="s">
        <v>715</v>
      </c>
      <c r="E347" s="2">
        <v>7.0739999999999998</v>
      </c>
    </row>
    <row r="348" spans="1:5" x14ac:dyDescent="0.25">
      <c r="A348" s="32" t="s">
        <v>767</v>
      </c>
      <c r="B348" s="7">
        <v>2000</v>
      </c>
      <c r="C348" s="51" t="s">
        <v>702</v>
      </c>
      <c r="D348" t="s">
        <v>715</v>
      </c>
      <c r="E348" s="2">
        <v>7.3109999999999999</v>
      </c>
    </row>
    <row r="349" spans="1:5" x14ac:dyDescent="0.25">
      <c r="A349" s="32" t="s">
        <v>767</v>
      </c>
      <c r="B349" s="7">
        <v>2000</v>
      </c>
      <c r="C349" s="51" t="s">
        <v>703</v>
      </c>
      <c r="D349" t="s">
        <v>715</v>
      </c>
      <c r="E349" s="2">
        <v>6.7009999999999996</v>
      </c>
    </row>
    <row r="350" spans="1:5" x14ac:dyDescent="0.25">
      <c r="A350" s="32" t="s">
        <v>767</v>
      </c>
      <c r="B350" s="7">
        <v>2000</v>
      </c>
      <c r="C350" s="51" t="s">
        <v>704</v>
      </c>
      <c r="D350" t="s">
        <v>715</v>
      </c>
      <c r="E350" s="2">
        <v>6.4130000000000003</v>
      </c>
    </row>
    <row r="351" spans="1:5" x14ac:dyDescent="0.25">
      <c r="A351" s="32" t="s">
        <v>767</v>
      </c>
      <c r="B351" s="7">
        <v>2000</v>
      </c>
      <c r="C351" s="51" t="s">
        <v>705</v>
      </c>
      <c r="D351" t="s">
        <v>715</v>
      </c>
      <c r="E351" s="2">
        <v>6.2489999999999997</v>
      </c>
    </row>
    <row r="352" spans="1:5" x14ac:dyDescent="0.25">
      <c r="A352" s="32" t="s">
        <v>767</v>
      </c>
      <c r="B352" s="7">
        <v>2000</v>
      </c>
      <c r="C352" s="51" t="s">
        <v>706</v>
      </c>
      <c r="D352" t="s">
        <v>715</v>
      </c>
      <c r="E352" s="2">
        <v>6.8010000000000002</v>
      </c>
    </row>
    <row r="353" spans="1:5" x14ac:dyDescent="0.25">
      <c r="A353" s="32" t="s">
        <v>767</v>
      </c>
      <c r="B353" s="7">
        <v>2001</v>
      </c>
      <c r="C353" s="51" t="s">
        <v>713</v>
      </c>
      <c r="D353" t="s">
        <v>715</v>
      </c>
      <c r="E353" s="2">
        <v>7.681</v>
      </c>
    </row>
    <row r="354" spans="1:5" x14ac:dyDescent="0.25">
      <c r="A354" s="32" t="s">
        <v>767</v>
      </c>
      <c r="B354" s="7">
        <v>2001</v>
      </c>
      <c r="C354" s="51" t="s">
        <v>707</v>
      </c>
      <c r="D354" t="s">
        <v>715</v>
      </c>
      <c r="E354" s="2">
        <v>6.9210000000000003</v>
      </c>
    </row>
    <row r="355" spans="1:5" x14ac:dyDescent="0.25">
      <c r="A355" s="32" t="s">
        <v>767</v>
      </c>
      <c r="B355" s="7">
        <v>2001</v>
      </c>
      <c r="C355" s="51" t="s">
        <v>708</v>
      </c>
      <c r="D355" t="s">
        <v>715</v>
      </c>
      <c r="E355" s="2">
        <v>8.1709999999999994</v>
      </c>
    </row>
    <row r="356" spans="1:5" x14ac:dyDescent="0.25">
      <c r="A356" s="32" t="s">
        <v>767</v>
      </c>
      <c r="B356" s="7">
        <v>2001</v>
      </c>
      <c r="C356" s="51" t="s">
        <v>699</v>
      </c>
      <c r="D356" t="s">
        <v>715</v>
      </c>
      <c r="E356" s="2">
        <v>8.0190000000000001</v>
      </c>
    </row>
    <row r="357" spans="1:5" x14ac:dyDescent="0.25">
      <c r="A357" s="32" t="s">
        <v>767</v>
      </c>
      <c r="B357" s="7">
        <v>2001</v>
      </c>
      <c r="C357" s="51" t="s">
        <v>709</v>
      </c>
      <c r="D357" t="s">
        <v>715</v>
      </c>
      <c r="E357" s="2">
        <v>8.5210000000000008</v>
      </c>
    </row>
    <row r="358" spans="1:5" x14ac:dyDescent="0.25">
      <c r="A358" s="32" t="s">
        <v>767</v>
      </c>
      <c r="B358" s="7">
        <v>2001</v>
      </c>
      <c r="C358" s="51" t="s">
        <v>712</v>
      </c>
      <c r="D358" t="s">
        <v>715</v>
      </c>
      <c r="E358" s="2">
        <v>8.4210999999999991</v>
      </c>
    </row>
    <row r="359" spans="1:5" x14ac:dyDescent="0.25">
      <c r="A359" s="32" t="s">
        <v>767</v>
      </c>
      <c r="B359" s="7">
        <v>2001</v>
      </c>
      <c r="C359" s="51" t="s">
        <v>710</v>
      </c>
      <c r="D359" t="s">
        <v>715</v>
      </c>
      <c r="E359" s="2">
        <v>7.9850000000000003</v>
      </c>
    </row>
    <row r="360" spans="1:5" x14ac:dyDescent="0.25">
      <c r="A360" s="32" t="s">
        <v>767</v>
      </c>
      <c r="B360" s="7">
        <v>2001</v>
      </c>
      <c r="C360" s="51" t="s">
        <v>702</v>
      </c>
      <c r="D360" t="s">
        <v>715</v>
      </c>
      <c r="E360" s="2">
        <v>8.1639999999999997</v>
      </c>
    </row>
    <row r="361" spans="1:5" x14ac:dyDescent="0.25">
      <c r="A361" s="32" t="s">
        <v>767</v>
      </c>
      <c r="B361" s="7">
        <v>2001</v>
      </c>
      <c r="C361" s="51" t="s">
        <v>703</v>
      </c>
      <c r="D361" t="s">
        <v>715</v>
      </c>
      <c r="E361" s="2">
        <v>6.8319999999999999</v>
      </c>
    </row>
    <row r="362" spans="1:5" x14ac:dyDescent="0.25">
      <c r="A362" s="32" t="s">
        <v>767</v>
      </c>
      <c r="B362" s="7">
        <v>2001</v>
      </c>
      <c r="C362" s="51" t="s">
        <v>704</v>
      </c>
      <c r="D362" t="s">
        <v>715</v>
      </c>
      <c r="E362" s="2">
        <v>6.5590000000000002</v>
      </c>
    </row>
    <row r="363" spans="1:5" x14ac:dyDescent="0.25">
      <c r="A363" s="32" t="s">
        <v>767</v>
      </c>
      <c r="B363" s="7">
        <v>2001</v>
      </c>
      <c r="C363" s="51" t="s">
        <v>705</v>
      </c>
      <c r="D363" t="s">
        <v>715</v>
      </c>
      <c r="E363" s="2">
        <v>7.1859999999999999</v>
      </c>
    </row>
    <row r="364" spans="1:5" x14ac:dyDescent="0.25">
      <c r="A364" s="32" t="s">
        <v>767</v>
      </c>
      <c r="B364" s="7">
        <v>2001</v>
      </c>
      <c r="C364" s="51" t="s">
        <v>706</v>
      </c>
      <c r="D364" t="s">
        <v>715</v>
      </c>
      <c r="E364" s="2">
        <v>7.1920000000000002</v>
      </c>
    </row>
    <row r="365" spans="1:5" x14ac:dyDescent="0.25">
      <c r="A365" s="32" t="s">
        <v>767</v>
      </c>
      <c r="B365" s="7">
        <v>2002</v>
      </c>
      <c r="C365" s="51" t="s">
        <v>713</v>
      </c>
      <c r="D365" t="s">
        <v>715</v>
      </c>
      <c r="E365" s="2">
        <v>6.9420000000000002</v>
      </c>
    </row>
    <row r="366" spans="1:5" x14ac:dyDescent="0.25">
      <c r="A366" s="32" t="s">
        <v>767</v>
      </c>
      <c r="B366" s="7">
        <v>2002</v>
      </c>
      <c r="C366" s="51" t="s">
        <v>707</v>
      </c>
      <c r="D366" t="s">
        <v>715</v>
      </c>
      <c r="E366" s="2">
        <v>6.3010000000000002</v>
      </c>
    </row>
    <row r="367" spans="1:5" x14ac:dyDescent="0.25">
      <c r="A367" s="32" t="s">
        <v>767</v>
      </c>
      <c r="B367" s="7">
        <v>2002</v>
      </c>
      <c r="C367" s="51" t="s">
        <v>708</v>
      </c>
      <c r="D367" t="s">
        <v>715</v>
      </c>
      <c r="E367" s="2">
        <v>7.758</v>
      </c>
    </row>
    <row r="368" spans="1:5" x14ac:dyDescent="0.25">
      <c r="A368" s="32" t="s">
        <v>767</v>
      </c>
      <c r="B368" s="7">
        <v>2002</v>
      </c>
      <c r="C368" s="51" t="s">
        <v>699</v>
      </c>
      <c r="D368" t="s">
        <v>715</v>
      </c>
      <c r="E368" s="2">
        <v>8.25</v>
      </c>
    </row>
    <row r="369" spans="1:5" x14ac:dyDescent="0.25">
      <c r="A369" s="32" t="s">
        <v>767</v>
      </c>
      <c r="B369" s="7">
        <v>2002</v>
      </c>
      <c r="C369" s="51" t="s">
        <v>709</v>
      </c>
      <c r="D369" t="s">
        <v>715</v>
      </c>
      <c r="E369" s="2">
        <v>9.0609999999999999</v>
      </c>
    </row>
    <row r="370" spans="1:5" x14ac:dyDescent="0.25">
      <c r="A370" s="32" t="s">
        <v>767</v>
      </c>
      <c r="B370" s="7">
        <v>2002</v>
      </c>
      <c r="C370" s="51" t="s">
        <v>712</v>
      </c>
      <c r="D370" t="s">
        <v>715</v>
      </c>
      <c r="E370" s="2">
        <v>8.7189999999999994</v>
      </c>
    </row>
    <row r="371" spans="1:5" x14ac:dyDescent="0.25">
      <c r="A371" s="32" t="s">
        <v>767</v>
      </c>
      <c r="B371" s="7">
        <v>2002</v>
      </c>
      <c r="C371" s="51" t="s">
        <v>710</v>
      </c>
      <c r="D371" t="s">
        <v>715</v>
      </c>
      <c r="E371" s="2">
        <v>8.4779999999999998</v>
      </c>
    </row>
    <row r="372" spans="1:5" x14ac:dyDescent="0.25">
      <c r="A372" s="32" t="s">
        <v>767</v>
      </c>
      <c r="B372" s="7">
        <v>2002</v>
      </c>
      <c r="C372" s="51" t="s">
        <v>702</v>
      </c>
      <c r="D372" t="s">
        <v>715</v>
      </c>
      <c r="E372" s="2">
        <v>8.5020000000000007</v>
      </c>
    </row>
    <row r="373" spans="1:5" x14ac:dyDescent="0.25">
      <c r="A373" s="32" t="s">
        <v>767</v>
      </c>
      <c r="B373" s="7">
        <v>2002</v>
      </c>
      <c r="C373" s="51" t="s">
        <v>703</v>
      </c>
      <c r="D373" t="s">
        <v>715</v>
      </c>
      <c r="E373" s="2">
        <v>7.3819999999999997</v>
      </c>
    </row>
    <row r="374" spans="1:5" x14ac:dyDescent="0.25">
      <c r="A374" s="32" t="s">
        <v>767</v>
      </c>
      <c r="B374" s="7">
        <v>2002</v>
      </c>
      <c r="C374" s="51" t="s">
        <v>704</v>
      </c>
      <c r="D374" t="s">
        <v>715</v>
      </c>
      <c r="E374" s="2">
        <v>7.7249999999999996</v>
      </c>
    </row>
    <row r="375" spans="1:5" x14ac:dyDescent="0.25">
      <c r="A375" s="32" t="s">
        <v>767</v>
      </c>
      <c r="B375" s="7">
        <v>2002</v>
      </c>
      <c r="C375" s="51" t="s">
        <v>705</v>
      </c>
      <c r="D375" t="s">
        <v>715</v>
      </c>
      <c r="E375" s="2">
        <v>8.859</v>
      </c>
    </row>
    <row r="376" spans="1:5" x14ac:dyDescent="0.25">
      <c r="A376" s="32" t="s">
        <v>767</v>
      </c>
      <c r="B376" s="7">
        <v>2002</v>
      </c>
      <c r="C376" s="51" t="s">
        <v>706</v>
      </c>
      <c r="D376" t="s">
        <v>715</v>
      </c>
      <c r="E376" s="2">
        <v>9.0630000000000006</v>
      </c>
    </row>
    <row r="377" spans="1:5" x14ac:dyDescent="0.25">
      <c r="A377" s="32" t="s">
        <v>767</v>
      </c>
      <c r="B377" s="7">
        <v>2003</v>
      </c>
      <c r="C377" s="51" t="s">
        <v>713</v>
      </c>
      <c r="D377" t="s">
        <v>715</v>
      </c>
      <c r="E377" s="2">
        <v>8.5540000000000003</v>
      </c>
    </row>
    <row r="378" spans="1:5" x14ac:dyDescent="0.25">
      <c r="A378" s="32" t="s">
        <v>767</v>
      </c>
      <c r="B378" s="7">
        <v>2003</v>
      </c>
      <c r="C378" s="51" t="s">
        <v>707</v>
      </c>
      <c r="D378" t="s">
        <v>715</v>
      </c>
      <c r="E378" s="2">
        <v>8.5009999999999994</v>
      </c>
    </row>
    <row r="379" spans="1:5" x14ac:dyDescent="0.25">
      <c r="A379" s="32" t="s">
        <v>767</v>
      </c>
      <c r="B379" s="7">
        <v>2003</v>
      </c>
      <c r="C379" s="51" t="s">
        <v>708</v>
      </c>
      <c r="D379" t="s">
        <v>715</v>
      </c>
      <c r="E379" s="2">
        <v>9.8810000000000002</v>
      </c>
    </row>
    <row r="380" spans="1:5" x14ac:dyDescent="0.25">
      <c r="A380" s="32" t="s">
        <v>767</v>
      </c>
      <c r="B380" s="7">
        <v>2003</v>
      </c>
      <c r="C380" s="51" t="s">
        <v>699</v>
      </c>
      <c r="D380" t="s">
        <v>715</v>
      </c>
      <c r="E380" s="2">
        <v>7.9640000000000004</v>
      </c>
    </row>
    <row r="381" spans="1:5" x14ac:dyDescent="0.25">
      <c r="A381" s="32" t="s">
        <v>767</v>
      </c>
      <c r="B381" s="7">
        <v>2003</v>
      </c>
      <c r="C381" s="51" t="s">
        <v>709</v>
      </c>
      <c r="D381" t="s">
        <v>715</v>
      </c>
      <c r="E381" s="2">
        <v>9.6579999999999995</v>
      </c>
    </row>
    <row r="382" spans="1:5" x14ac:dyDescent="0.25">
      <c r="A382" s="32" t="s">
        <v>767</v>
      </c>
      <c r="B382" s="7">
        <v>2003</v>
      </c>
      <c r="C382" s="51" t="s">
        <v>712</v>
      </c>
      <c r="D382" t="s">
        <v>715</v>
      </c>
      <c r="E382" s="2">
        <v>10.507999999999999</v>
      </c>
    </row>
    <row r="383" spans="1:5" x14ac:dyDescent="0.25">
      <c r="A383" s="32" t="s">
        <v>767</v>
      </c>
      <c r="B383" s="7">
        <v>2003</v>
      </c>
      <c r="C383" s="51" t="s">
        <v>710</v>
      </c>
      <c r="D383" t="s">
        <v>715</v>
      </c>
      <c r="E383" s="2">
        <v>7.5730000000000004</v>
      </c>
    </row>
    <row r="384" spans="1:5" x14ac:dyDescent="0.25">
      <c r="A384" s="32" t="s">
        <v>767</v>
      </c>
      <c r="B384" s="7">
        <v>2003</v>
      </c>
      <c r="C384" s="51" t="s">
        <v>702</v>
      </c>
      <c r="D384" t="s">
        <v>715</v>
      </c>
      <c r="E384" s="2">
        <v>7.6970000000000001</v>
      </c>
    </row>
    <row r="385" spans="1:5" x14ac:dyDescent="0.25">
      <c r="A385" s="32" t="s">
        <v>767</v>
      </c>
      <c r="B385" s="7">
        <v>2003</v>
      </c>
      <c r="C385" s="51" t="s">
        <v>703</v>
      </c>
      <c r="D385" t="s">
        <v>715</v>
      </c>
      <c r="E385" s="2">
        <v>7.9059999999999997</v>
      </c>
    </row>
    <row r="386" spans="1:5" x14ac:dyDescent="0.25">
      <c r="A386" s="32" t="s">
        <v>767</v>
      </c>
      <c r="B386" s="7">
        <v>2003</v>
      </c>
      <c r="C386" s="51" t="s">
        <v>704</v>
      </c>
      <c r="D386" t="s">
        <v>715</v>
      </c>
      <c r="E386" s="2">
        <v>7.1</v>
      </c>
    </row>
    <row r="387" spans="1:5" x14ac:dyDescent="0.25">
      <c r="A387" s="32" t="s">
        <v>767</v>
      </c>
      <c r="B387" s="7">
        <v>2003</v>
      </c>
      <c r="C387" s="51" t="s">
        <v>705</v>
      </c>
      <c r="D387" t="s">
        <v>715</v>
      </c>
      <c r="E387" s="2">
        <v>8.2720000000000002</v>
      </c>
    </row>
    <row r="388" spans="1:5" x14ac:dyDescent="0.25">
      <c r="A388" s="32" t="s">
        <v>767</v>
      </c>
      <c r="B388" s="7">
        <v>2003</v>
      </c>
      <c r="C388" s="51" t="s">
        <v>706</v>
      </c>
      <c r="D388" t="s">
        <v>715</v>
      </c>
      <c r="E388" s="2">
        <v>8.3710000000000004</v>
      </c>
    </row>
    <row r="389" spans="1:5" x14ac:dyDescent="0.25">
      <c r="A389" s="32" t="s">
        <v>767</v>
      </c>
      <c r="B389" s="7">
        <v>2004</v>
      </c>
      <c r="C389" s="51" t="s">
        <v>713</v>
      </c>
      <c r="D389" t="s">
        <v>715</v>
      </c>
      <c r="E389" s="2">
        <v>6.9390000000000001</v>
      </c>
    </row>
    <row r="390" spans="1:5" x14ac:dyDescent="0.25">
      <c r="A390" s="32" t="s">
        <v>767</v>
      </c>
      <c r="B390" s="7">
        <v>2004</v>
      </c>
      <c r="C390" s="51" t="s">
        <v>707</v>
      </c>
      <c r="D390" t="s">
        <v>715</v>
      </c>
      <c r="E390" s="2">
        <v>7.6760000000000002</v>
      </c>
    </row>
    <row r="391" spans="1:5" x14ac:dyDescent="0.25">
      <c r="A391" s="32" t="s">
        <v>767</v>
      </c>
      <c r="B391" s="7">
        <v>2004</v>
      </c>
      <c r="C391" s="51" t="s">
        <v>708</v>
      </c>
      <c r="D391" t="s">
        <v>715</v>
      </c>
      <c r="E391" s="2">
        <v>8.1029999999999998</v>
      </c>
    </row>
    <row r="392" spans="1:5" x14ac:dyDescent="0.25">
      <c r="A392" s="32" t="s">
        <v>767</v>
      </c>
      <c r="B392" s="7">
        <v>2004</v>
      </c>
      <c r="C392" s="51" t="s">
        <v>699</v>
      </c>
      <c r="D392" t="s">
        <v>715</v>
      </c>
      <c r="E392" s="2">
        <v>9.2260000000000009</v>
      </c>
    </row>
    <row r="393" spans="1:5" x14ac:dyDescent="0.25">
      <c r="A393" s="32" t="s">
        <v>767</v>
      </c>
      <c r="B393" s="7">
        <v>2004</v>
      </c>
      <c r="C393" s="51" t="s">
        <v>709</v>
      </c>
      <c r="D393" t="s">
        <v>715</v>
      </c>
      <c r="E393" s="2">
        <v>9.3699999999999992</v>
      </c>
    </row>
    <row r="394" spans="1:5" x14ac:dyDescent="0.25">
      <c r="A394" s="32" t="s">
        <v>767</v>
      </c>
      <c r="B394" s="7">
        <v>2004</v>
      </c>
      <c r="C394" s="51" t="s">
        <v>712</v>
      </c>
      <c r="D394" t="s">
        <v>715</v>
      </c>
      <c r="E394" s="2">
        <v>7.9870000000000001</v>
      </c>
    </row>
    <row r="395" spans="1:5" x14ac:dyDescent="0.25">
      <c r="A395" s="32" t="s">
        <v>767</v>
      </c>
      <c r="B395" s="7">
        <v>2004</v>
      </c>
      <c r="C395" s="51" t="s">
        <v>710</v>
      </c>
      <c r="D395" t="s">
        <v>715</v>
      </c>
      <c r="E395" s="2">
        <v>7.5259999999999998</v>
      </c>
    </row>
    <row r="396" spans="1:5" x14ac:dyDescent="0.25">
      <c r="A396" s="32" t="s">
        <v>767</v>
      </c>
      <c r="B396" s="7">
        <v>2004</v>
      </c>
      <c r="C396" s="51" t="s">
        <v>702</v>
      </c>
      <c r="D396" t="s">
        <v>715</v>
      </c>
      <c r="E396" s="2">
        <v>7.6189999999999998</v>
      </c>
    </row>
    <row r="397" spans="1:5" x14ac:dyDescent="0.25">
      <c r="A397" s="32" t="s">
        <v>767</v>
      </c>
      <c r="B397" s="7">
        <v>2004</v>
      </c>
      <c r="C397" s="51" t="s">
        <v>703</v>
      </c>
      <c r="D397" t="s">
        <v>715</v>
      </c>
      <c r="E397" s="2">
        <v>7.8310000000000004</v>
      </c>
    </row>
    <row r="398" spans="1:5" x14ac:dyDescent="0.25">
      <c r="A398" s="32" t="s">
        <v>767</v>
      </c>
      <c r="B398" s="7">
        <v>2004</v>
      </c>
      <c r="C398" s="51" t="s">
        <v>704</v>
      </c>
      <c r="D398" t="s">
        <v>715</v>
      </c>
      <c r="E398" s="2">
        <v>7.8680000000000003</v>
      </c>
    </row>
    <row r="399" spans="1:5" x14ac:dyDescent="0.25">
      <c r="A399" s="32" t="s">
        <v>767</v>
      </c>
      <c r="B399" s="7">
        <v>2004</v>
      </c>
      <c r="C399" s="51" t="s">
        <v>705</v>
      </c>
      <c r="D399" t="s">
        <v>715</v>
      </c>
      <c r="E399" s="2">
        <v>7.9610000000000003</v>
      </c>
    </row>
    <row r="400" spans="1:5" x14ac:dyDescent="0.25">
      <c r="A400" s="32" t="s">
        <v>767</v>
      </c>
      <c r="B400" s="7">
        <v>2004</v>
      </c>
      <c r="C400" s="51" t="s">
        <v>706</v>
      </c>
      <c r="D400" t="s">
        <v>715</v>
      </c>
      <c r="E400" s="2">
        <v>7.657</v>
      </c>
    </row>
    <row r="401" spans="1:5" x14ac:dyDescent="0.25">
      <c r="A401" s="32" t="s">
        <v>767</v>
      </c>
      <c r="B401" s="7">
        <v>2005</v>
      </c>
      <c r="C401" s="51" t="s">
        <v>713</v>
      </c>
      <c r="D401" t="s">
        <v>715</v>
      </c>
      <c r="E401" s="2">
        <v>7.2220000000000004</v>
      </c>
    </row>
    <row r="402" spans="1:5" x14ac:dyDescent="0.25">
      <c r="A402" s="32" t="s">
        <v>767</v>
      </c>
      <c r="B402" s="7">
        <v>2005</v>
      </c>
      <c r="C402" s="51" t="s">
        <v>707</v>
      </c>
      <c r="D402" t="s">
        <v>715</v>
      </c>
      <c r="E402" s="2">
        <v>7.17</v>
      </c>
    </row>
    <row r="403" spans="1:5" x14ac:dyDescent="0.25">
      <c r="A403" s="32" t="s">
        <v>767</v>
      </c>
      <c r="B403" s="7">
        <v>2005</v>
      </c>
      <c r="C403" s="51" t="s">
        <v>708</v>
      </c>
      <c r="D403" t="s">
        <v>715</v>
      </c>
      <c r="E403" s="2">
        <v>8.4570000000000007</v>
      </c>
    </row>
    <row r="404" spans="1:5" x14ac:dyDescent="0.25">
      <c r="A404" s="32" t="s">
        <v>767</v>
      </c>
      <c r="B404" s="7">
        <v>2005</v>
      </c>
      <c r="C404" s="51" t="s">
        <v>699</v>
      </c>
      <c r="D404" t="s">
        <v>715</v>
      </c>
      <c r="E404" s="2">
        <v>8.1739999999999995</v>
      </c>
    </row>
    <row r="405" spans="1:5" x14ac:dyDescent="0.25">
      <c r="A405" s="32" t="s">
        <v>767</v>
      </c>
      <c r="B405" s="7">
        <v>2005</v>
      </c>
      <c r="C405" s="51" t="s">
        <v>709</v>
      </c>
      <c r="D405" t="s">
        <v>715</v>
      </c>
      <c r="E405" s="2">
        <v>8.1920000000000002</v>
      </c>
    </row>
    <row r="406" spans="1:5" x14ac:dyDescent="0.25">
      <c r="A406" s="32" t="s">
        <v>767</v>
      </c>
      <c r="B406" s="7">
        <v>2005</v>
      </c>
      <c r="C406" s="51" t="s">
        <v>712</v>
      </c>
      <c r="D406" t="s">
        <v>715</v>
      </c>
      <c r="E406" s="2">
        <v>7.4660000000000002</v>
      </c>
    </row>
    <row r="407" spans="1:5" x14ac:dyDescent="0.25">
      <c r="A407" s="32" t="s">
        <v>767</v>
      </c>
      <c r="B407" s="7">
        <v>2005</v>
      </c>
      <c r="C407" s="51" t="s">
        <v>710</v>
      </c>
      <c r="D407" t="s">
        <v>715</v>
      </c>
      <c r="E407" s="2">
        <v>7.8179999999999996</v>
      </c>
    </row>
    <row r="408" spans="1:5" x14ac:dyDescent="0.25">
      <c r="A408" s="32" t="s">
        <v>767</v>
      </c>
      <c r="B408" s="7">
        <v>2005</v>
      </c>
      <c r="C408" s="51" t="s">
        <v>702</v>
      </c>
      <c r="D408" t="s">
        <v>715</v>
      </c>
      <c r="E408" s="2">
        <v>7.2549999999999999</v>
      </c>
    </row>
    <row r="409" spans="1:5" x14ac:dyDescent="0.25">
      <c r="A409" s="32" t="s">
        <v>767</v>
      </c>
      <c r="B409" s="7">
        <v>2005</v>
      </c>
      <c r="C409" s="51" t="s">
        <v>703</v>
      </c>
      <c r="D409" t="s">
        <v>715</v>
      </c>
      <c r="E409" s="2">
        <v>6.6509999999999998</v>
      </c>
    </row>
    <row r="410" spans="1:5" x14ac:dyDescent="0.25">
      <c r="A410" s="32" t="s">
        <v>767</v>
      </c>
      <c r="B410" s="7">
        <v>2005</v>
      </c>
      <c r="C410" s="51" t="s">
        <v>704</v>
      </c>
      <c r="D410" t="s">
        <v>715</v>
      </c>
      <c r="E410" s="2">
        <v>7.9320000000000004</v>
      </c>
    </row>
    <row r="411" spans="1:5" x14ac:dyDescent="0.25">
      <c r="A411" s="32" t="s">
        <v>767</v>
      </c>
      <c r="B411" s="7">
        <v>2005</v>
      </c>
      <c r="C411" s="51" t="s">
        <v>705</v>
      </c>
      <c r="D411" t="s">
        <v>715</v>
      </c>
      <c r="E411" s="2">
        <v>7.0140000000000002</v>
      </c>
    </row>
    <row r="412" spans="1:5" x14ac:dyDescent="0.25">
      <c r="A412" s="32" t="s">
        <v>767</v>
      </c>
      <c r="B412" s="7">
        <v>2005</v>
      </c>
      <c r="C412" s="51" t="s">
        <v>706</v>
      </c>
      <c r="D412" t="s">
        <v>715</v>
      </c>
      <c r="E412" s="2">
        <v>8.8230000000000004</v>
      </c>
    </row>
    <row r="413" spans="1:5" x14ac:dyDescent="0.25">
      <c r="A413" s="32" t="s">
        <v>767</v>
      </c>
      <c r="B413" s="7">
        <v>2006</v>
      </c>
      <c r="C413" s="51" t="s">
        <v>713</v>
      </c>
      <c r="D413" t="s">
        <v>715</v>
      </c>
      <c r="E413" s="2">
        <v>8.2210000000000001</v>
      </c>
    </row>
    <row r="414" spans="1:5" x14ac:dyDescent="0.25">
      <c r="A414" s="32" t="s">
        <v>767</v>
      </c>
      <c r="B414" s="7">
        <v>2006</v>
      </c>
      <c r="C414" s="51" t="s">
        <v>707</v>
      </c>
      <c r="D414" t="s">
        <v>715</v>
      </c>
      <c r="E414" s="2">
        <v>6.843</v>
      </c>
    </row>
    <row r="415" spans="1:5" x14ac:dyDescent="0.25">
      <c r="A415" s="32" t="s">
        <v>767</v>
      </c>
      <c r="B415" s="7">
        <v>2006</v>
      </c>
      <c r="C415" s="51" t="s">
        <v>708</v>
      </c>
      <c r="D415" t="s">
        <v>715</v>
      </c>
      <c r="E415" s="2">
        <v>6.9610000000000003</v>
      </c>
    </row>
    <row r="416" spans="1:5" x14ac:dyDescent="0.25">
      <c r="A416" s="32" t="s">
        <v>767</v>
      </c>
      <c r="B416" s="7">
        <v>2006</v>
      </c>
      <c r="C416" s="51" t="s">
        <v>699</v>
      </c>
      <c r="D416" t="s">
        <v>715</v>
      </c>
      <c r="E416" s="2">
        <v>7.99</v>
      </c>
    </row>
    <row r="417" spans="1:5" x14ac:dyDescent="0.25">
      <c r="A417" s="32" t="s">
        <v>767</v>
      </c>
      <c r="B417" s="7">
        <v>2006</v>
      </c>
      <c r="C417" s="51" t="s">
        <v>709</v>
      </c>
      <c r="D417" t="s">
        <v>715</v>
      </c>
      <c r="E417" s="2">
        <v>8.532</v>
      </c>
    </row>
    <row r="418" spans="1:5" x14ac:dyDescent="0.25">
      <c r="A418" s="32" t="s">
        <v>767</v>
      </c>
      <c r="B418" s="7">
        <v>2006</v>
      </c>
      <c r="C418" s="51" t="s">
        <v>712</v>
      </c>
      <c r="D418" t="s">
        <v>715</v>
      </c>
      <c r="E418" s="2">
        <v>10.176</v>
      </c>
    </row>
    <row r="419" spans="1:5" x14ac:dyDescent="0.25">
      <c r="A419" s="32" t="s">
        <v>767</v>
      </c>
      <c r="B419" s="7">
        <v>2006</v>
      </c>
      <c r="C419" s="51" t="s">
        <v>710</v>
      </c>
      <c r="D419" t="s">
        <v>715</v>
      </c>
      <c r="E419" s="2">
        <v>9.3030000000000008</v>
      </c>
    </row>
    <row r="420" spans="1:5" x14ac:dyDescent="0.25">
      <c r="A420" s="32" t="s">
        <v>767</v>
      </c>
      <c r="B420" s="7">
        <v>2006</v>
      </c>
      <c r="C420" s="51" t="s">
        <v>702</v>
      </c>
      <c r="D420" t="s">
        <v>715</v>
      </c>
      <c r="E420" s="2">
        <v>9.5109999999999992</v>
      </c>
    </row>
    <row r="421" spans="1:5" x14ac:dyDescent="0.25">
      <c r="A421" s="32" t="s">
        <v>767</v>
      </c>
      <c r="B421" s="7">
        <v>2006</v>
      </c>
      <c r="C421" s="51" t="s">
        <v>703</v>
      </c>
      <c r="D421" t="s">
        <v>715</v>
      </c>
      <c r="E421" s="2">
        <v>9.4380000000000006</v>
      </c>
    </row>
    <row r="422" spans="1:5" x14ac:dyDescent="0.25">
      <c r="A422" s="32" t="s">
        <v>767</v>
      </c>
      <c r="B422" s="7">
        <v>2006</v>
      </c>
      <c r="C422" s="51" t="s">
        <v>704</v>
      </c>
      <c r="D422" t="s">
        <v>715</v>
      </c>
      <c r="E422" s="2">
        <v>9.1709999999999994</v>
      </c>
    </row>
    <row r="423" spans="1:5" x14ac:dyDescent="0.25">
      <c r="A423" s="32" t="s">
        <v>767</v>
      </c>
      <c r="B423" s="7">
        <v>2006</v>
      </c>
      <c r="C423" s="51" t="s">
        <v>705</v>
      </c>
      <c r="D423" t="s">
        <v>715</v>
      </c>
      <c r="E423" s="2">
        <v>8.8160000000000007</v>
      </c>
    </row>
    <row r="424" spans="1:5" x14ac:dyDescent="0.25">
      <c r="A424" s="32" t="s">
        <v>767</v>
      </c>
      <c r="B424" s="7">
        <v>2006</v>
      </c>
      <c r="C424" s="51" t="s">
        <v>706</v>
      </c>
      <c r="D424" t="s">
        <v>715</v>
      </c>
      <c r="E424" s="2">
        <v>7.6689999999999996</v>
      </c>
    </row>
    <row r="425" spans="1:5" x14ac:dyDescent="0.25">
      <c r="A425" s="32" t="s">
        <v>767</v>
      </c>
      <c r="B425" s="7">
        <v>2007</v>
      </c>
      <c r="C425" s="51" t="s">
        <v>713</v>
      </c>
      <c r="D425" t="s">
        <v>715</v>
      </c>
      <c r="E425" s="2">
        <v>7.6909999999999998</v>
      </c>
    </row>
    <row r="426" spans="1:5" x14ac:dyDescent="0.25">
      <c r="A426" s="32" t="s">
        <v>767</v>
      </c>
      <c r="B426" s="7">
        <v>2007</v>
      </c>
      <c r="C426" s="51" t="s">
        <v>707</v>
      </c>
      <c r="D426" t="s">
        <v>715</v>
      </c>
      <c r="E426" s="2">
        <v>6.3659999999999997</v>
      </c>
    </row>
    <row r="427" spans="1:5" x14ac:dyDescent="0.25">
      <c r="A427" s="32" t="s">
        <v>767</v>
      </c>
      <c r="B427" s="7">
        <v>2007</v>
      </c>
      <c r="C427" s="51" t="s">
        <v>708</v>
      </c>
      <c r="D427" t="s">
        <v>715</v>
      </c>
      <c r="E427" s="2">
        <v>8.4789999999999992</v>
      </c>
    </row>
    <row r="428" spans="1:5" x14ac:dyDescent="0.25">
      <c r="A428" s="32" t="s">
        <v>767</v>
      </c>
      <c r="B428" s="7">
        <v>2007</v>
      </c>
      <c r="C428" s="51" t="s">
        <v>699</v>
      </c>
      <c r="D428" t="s">
        <v>715</v>
      </c>
      <c r="E428" s="2">
        <v>8.2260000000000009</v>
      </c>
    </row>
    <row r="429" spans="1:5" x14ac:dyDescent="0.25">
      <c r="A429" s="32" t="s">
        <v>767</v>
      </c>
      <c r="B429" s="7">
        <v>2007</v>
      </c>
      <c r="C429" s="51" t="s">
        <v>709</v>
      </c>
      <c r="D429" t="s">
        <v>715</v>
      </c>
      <c r="E429" s="2">
        <v>8.5980000000000008</v>
      </c>
    </row>
    <row r="430" spans="1:5" x14ac:dyDescent="0.25">
      <c r="A430" s="32" t="s">
        <v>767</v>
      </c>
      <c r="B430" s="7">
        <v>2007</v>
      </c>
      <c r="C430" s="51" t="s">
        <v>712</v>
      </c>
      <c r="D430" t="s">
        <v>715</v>
      </c>
      <c r="E430" s="2">
        <v>9.2520000000000007</v>
      </c>
    </row>
    <row r="431" spans="1:5" x14ac:dyDescent="0.25">
      <c r="A431" s="32" t="s">
        <v>767</v>
      </c>
      <c r="B431" s="7">
        <v>2007</v>
      </c>
      <c r="C431" s="51" t="s">
        <v>710</v>
      </c>
      <c r="D431" t="s">
        <v>715</v>
      </c>
      <c r="E431" s="2">
        <v>8.6</v>
      </c>
    </row>
    <row r="432" spans="1:5" x14ac:dyDescent="0.25">
      <c r="A432" s="32" t="s">
        <v>767</v>
      </c>
      <c r="B432" s="7">
        <v>2007</v>
      </c>
      <c r="C432" s="51" t="s">
        <v>702</v>
      </c>
      <c r="D432" t="s">
        <v>715</v>
      </c>
      <c r="E432" s="2">
        <v>7.8639999999999999</v>
      </c>
    </row>
    <row r="433" spans="1:5" x14ac:dyDescent="0.25">
      <c r="A433" s="32" t="s">
        <v>767</v>
      </c>
      <c r="B433" s="7">
        <v>2007</v>
      </c>
      <c r="C433" s="51" t="s">
        <v>703</v>
      </c>
      <c r="D433" t="s">
        <v>715</v>
      </c>
      <c r="E433" s="2">
        <v>6.2670000000000003</v>
      </c>
    </row>
    <row r="434" spans="1:5" x14ac:dyDescent="0.25">
      <c r="A434" s="32" t="s">
        <v>767</v>
      </c>
      <c r="B434" s="7">
        <v>2007</v>
      </c>
      <c r="C434" s="51" t="s">
        <v>704</v>
      </c>
      <c r="D434" t="s">
        <v>715</v>
      </c>
      <c r="E434" s="2">
        <v>6.0709999999999997</v>
      </c>
    </row>
    <row r="435" spans="1:5" x14ac:dyDescent="0.25">
      <c r="A435" s="32" t="s">
        <v>767</v>
      </c>
      <c r="B435" s="7">
        <v>2007</v>
      </c>
      <c r="C435" s="51" t="s">
        <v>705</v>
      </c>
      <c r="D435" t="s">
        <v>715</v>
      </c>
      <c r="E435" s="2">
        <v>6.5</v>
      </c>
    </row>
    <row r="436" spans="1:5" x14ac:dyDescent="0.25">
      <c r="A436" s="32" t="s">
        <v>767</v>
      </c>
      <c r="B436" s="7">
        <v>2007</v>
      </c>
      <c r="C436" s="51" t="s">
        <v>706</v>
      </c>
      <c r="D436" t="s">
        <v>715</v>
      </c>
      <c r="E436" s="2">
        <v>7.2679999999999998</v>
      </c>
    </row>
    <row r="437" spans="1:5" x14ac:dyDescent="0.25">
      <c r="A437" s="32" t="s">
        <v>767</v>
      </c>
      <c r="B437" s="7">
        <v>2008</v>
      </c>
      <c r="C437" s="51" t="s">
        <v>713</v>
      </c>
      <c r="D437" t="s">
        <v>715</v>
      </c>
      <c r="E437" s="2">
        <v>6.6230000000000002</v>
      </c>
    </row>
    <row r="438" spans="1:5" x14ac:dyDescent="0.25">
      <c r="A438" s="32" t="s">
        <v>767</v>
      </c>
      <c r="B438" s="7">
        <v>2008</v>
      </c>
      <c r="C438" s="51" t="s">
        <v>707</v>
      </c>
      <c r="D438" t="s">
        <v>715</v>
      </c>
      <c r="E438" s="2">
        <v>8.5180000000000007</v>
      </c>
    </row>
    <row r="439" spans="1:5" x14ac:dyDescent="0.25">
      <c r="A439" s="32" t="s">
        <v>767</v>
      </c>
      <c r="B439" s="7">
        <v>2008</v>
      </c>
      <c r="C439" s="51" t="s">
        <v>708</v>
      </c>
      <c r="D439" t="s">
        <v>715</v>
      </c>
      <c r="E439" s="2">
        <v>7.5750000000000002</v>
      </c>
    </row>
    <row r="440" spans="1:5" x14ac:dyDescent="0.25">
      <c r="A440" s="32" t="s">
        <v>767</v>
      </c>
      <c r="B440" s="7">
        <v>2008</v>
      </c>
      <c r="C440" s="51" t="s">
        <v>699</v>
      </c>
      <c r="D440" t="s">
        <v>715</v>
      </c>
      <c r="E440" s="2">
        <v>8.4640000000000004</v>
      </c>
    </row>
    <row r="441" spans="1:5" x14ac:dyDescent="0.25">
      <c r="A441" s="32" t="s">
        <v>767</v>
      </c>
      <c r="B441" s="7">
        <v>2008</v>
      </c>
      <c r="C441" s="51" t="s">
        <v>709</v>
      </c>
      <c r="D441" t="s">
        <v>715</v>
      </c>
      <c r="E441" s="2">
        <v>10.119999999999999</v>
      </c>
    </row>
    <row r="442" spans="1:5" x14ac:dyDescent="0.25">
      <c r="A442" s="32" t="s">
        <v>767</v>
      </c>
      <c r="B442" s="7">
        <v>2008</v>
      </c>
      <c r="C442" s="51" t="s">
        <v>712</v>
      </c>
      <c r="D442" t="s">
        <v>715</v>
      </c>
      <c r="E442" s="2">
        <v>8.3179999999999996</v>
      </c>
    </row>
    <row r="443" spans="1:5" x14ac:dyDescent="0.25">
      <c r="A443" s="32" t="s">
        <v>767</v>
      </c>
      <c r="B443" s="7">
        <v>2008</v>
      </c>
      <c r="C443" s="51" t="s">
        <v>710</v>
      </c>
      <c r="D443" t="s">
        <v>715</v>
      </c>
      <c r="E443" s="2">
        <v>7.9450000000000003</v>
      </c>
    </row>
    <row r="444" spans="1:5" x14ac:dyDescent="0.25">
      <c r="A444" s="32" t="s">
        <v>767</v>
      </c>
      <c r="B444" s="7">
        <v>2008</v>
      </c>
      <c r="C444" s="51" t="s">
        <v>702</v>
      </c>
      <c r="D444" t="s">
        <v>715</v>
      </c>
      <c r="E444" s="2">
        <v>7.851</v>
      </c>
    </row>
    <row r="445" spans="1:5" x14ac:dyDescent="0.25">
      <c r="A445" s="32" t="s">
        <v>767</v>
      </c>
      <c r="B445" s="7">
        <v>2008</v>
      </c>
      <c r="C445" s="51" t="s">
        <v>703</v>
      </c>
      <c r="D445" t="s">
        <v>715</v>
      </c>
      <c r="E445" s="2">
        <v>6.9530000000000003</v>
      </c>
    </row>
    <row r="446" spans="1:5" x14ac:dyDescent="0.25">
      <c r="A446" s="32" t="s">
        <v>767</v>
      </c>
      <c r="B446" s="7">
        <v>2008</v>
      </c>
      <c r="C446" s="51" t="s">
        <v>704</v>
      </c>
      <c r="D446" t="s">
        <v>715</v>
      </c>
      <c r="E446" s="2">
        <v>6.8250000000000002</v>
      </c>
    </row>
    <row r="447" spans="1:5" x14ac:dyDescent="0.25">
      <c r="A447" s="32" t="s">
        <v>767</v>
      </c>
      <c r="B447" s="7">
        <v>2008</v>
      </c>
      <c r="C447" s="51" t="s">
        <v>705</v>
      </c>
      <c r="D447" t="s">
        <v>715</v>
      </c>
      <c r="E447" s="2">
        <v>5.758</v>
      </c>
    </row>
    <row r="448" spans="1:5" x14ac:dyDescent="0.25">
      <c r="A448" s="32" t="s">
        <v>767</v>
      </c>
      <c r="B448" s="7">
        <v>2008</v>
      </c>
      <c r="C448" s="51" t="s">
        <v>706</v>
      </c>
      <c r="D448" t="s">
        <v>715</v>
      </c>
      <c r="E448" s="2">
        <v>6.51</v>
      </c>
    </row>
    <row r="449" spans="1:5" x14ac:dyDescent="0.25">
      <c r="A449" s="32" t="s">
        <v>767</v>
      </c>
      <c r="B449" s="7">
        <v>2009</v>
      </c>
      <c r="C449" s="51" t="s">
        <v>713</v>
      </c>
      <c r="D449" t="s">
        <v>715</v>
      </c>
      <c r="E449" s="2">
        <v>8.0660000000000007</v>
      </c>
    </row>
    <row r="450" spans="1:5" x14ac:dyDescent="0.25">
      <c r="A450" s="32" t="s">
        <v>767</v>
      </c>
      <c r="B450" s="7">
        <v>2009</v>
      </c>
      <c r="C450" s="51" t="s">
        <v>707</v>
      </c>
      <c r="D450" t="s">
        <v>715</v>
      </c>
      <c r="E450" s="2">
        <v>6.9930000000000003</v>
      </c>
    </row>
    <row r="451" spans="1:5" x14ac:dyDescent="0.25">
      <c r="A451" s="32" t="s">
        <v>767</v>
      </c>
      <c r="B451" s="7">
        <v>2009</v>
      </c>
      <c r="C451" s="51" t="s">
        <v>708</v>
      </c>
      <c r="D451" t="s">
        <v>715</v>
      </c>
      <c r="E451" s="2">
        <v>8.5229999999999997</v>
      </c>
    </row>
    <row r="452" spans="1:5" x14ac:dyDescent="0.25">
      <c r="A452" s="32" t="s">
        <v>767</v>
      </c>
      <c r="B452" s="7">
        <v>2009</v>
      </c>
      <c r="C452" s="51" t="s">
        <v>699</v>
      </c>
      <c r="D452" t="s">
        <v>715</v>
      </c>
      <c r="E452" s="2">
        <v>8.0690000000000008</v>
      </c>
    </row>
    <row r="453" spans="1:5" x14ac:dyDescent="0.25">
      <c r="A453" s="32" t="s">
        <v>767</v>
      </c>
      <c r="B453" s="7">
        <v>2009</v>
      </c>
      <c r="C453" s="51" t="s">
        <v>709</v>
      </c>
      <c r="D453" t="s">
        <v>715</v>
      </c>
      <c r="E453" s="2">
        <v>11.869</v>
      </c>
    </row>
    <row r="454" spans="1:5" x14ac:dyDescent="0.25">
      <c r="A454" s="32" t="s">
        <v>767</v>
      </c>
      <c r="B454" s="7">
        <v>2009</v>
      </c>
      <c r="C454" s="51" t="s">
        <v>712</v>
      </c>
      <c r="D454" t="s">
        <v>715</v>
      </c>
      <c r="E454" s="2">
        <v>11.743</v>
      </c>
    </row>
    <row r="455" spans="1:5" x14ac:dyDescent="0.25">
      <c r="A455" s="32" t="s">
        <v>767</v>
      </c>
      <c r="B455" s="7">
        <v>2009</v>
      </c>
      <c r="C455" s="51" t="s">
        <v>710</v>
      </c>
      <c r="D455" t="s">
        <v>715</v>
      </c>
      <c r="E455" s="2">
        <v>9.98</v>
      </c>
    </row>
    <row r="456" spans="1:5" x14ac:dyDescent="0.25">
      <c r="A456" s="32" t="s">
        <v>767</v>
      </c>
      <c r="B456" s="7">
        <v>2009</v>
      </c>
      <c r="C456" s="51" t="s">
        <v>702</v>
      </c>
      <c r="D456" t="s">
        <v>715</v>
      </c>
      <c r="E456" s="2">
        <v>8.2889999999999997</v>
      </c>
    </row>
    <row r="457" spans="1:5" x14ac:dyDescent="0.25">
      <c r="A457" s="32" t="s">
        <v>767</v>
      </c>
      <c r="B457" s="7">
        <v>2009</v>
      </c>
      <c r="C457" s="51" t="s">
        <v>703</v>
      </c>
      <c r="D457" t="s">
        <v>715</v>
      </c>
      <c r="E457" s="2">
        <v>7.024</v>
      </c>
    </row>
    <row r="458" spans="1:5" x14ac:dyDescent="0.25">
      <c r="A458" s="32" t="s">
        <v>767</v>
      </c>
      <c r="B458" s="7">
        <v>2009</v>
      </c>
      <c r="C458" s="51" t="s">
        <v>704</v>
      </c>
      <c r="D458" t="s">
        <v>715</v>
      </c>
      <c r="E458" s="2">
        <v>9.3729999999999993</v>
      </c>
    </row>
    <row r="459" spans="1:5" x14ac:dyDescent="0.25">
      <c r="A459" s="32" t="s">
        <v>767</v>
      </c>
      <c r="B459" s="7">
        <v>2009</v>
      </c>
      <c r="C459" s="51" t="s">
        <v>705</v>
      </c>
      <c r="D459" t="s">
        <v>715</v>
      </c>
      <c r="E459" s="2">
        <v>7.9169999999999998</v>
      </c>
    </row>
    <row r="460" spans="1:5" x14ac:dyDescent="0.25">
      <c r="A460" s="32" t="s">
        <v>767</v>
      </c>
      <c r="B460" s="7">
        <v>2009</v>
      </c>
      <c r="C460" s="51" t="s">
        <v>706</v>
      </c>
      <c r="D460" t="s">
        <v>715</v>
      </c>
      <c r="E460" s="2">
        <v>10.518000000000001</v>
      </c>
    </row>
    <row r="461" spans="1:5" x14ac:dyDescent="0.25">
      <c r="A461" s="32" t="s">
        <v>767</v>
      </c>
      <c r="B461" s="7">
        <v>2010</v>
      </c>
      <c r="C461" s="51" t="s">
        <v>713</v>
      </c>
      <c r="D461" t="s">
        <v>715</v>
      </c>
      <c r="E461" s="2">
        <v>7.3049999999999997</v>
      </c>
    </row>
    <row r="462" spans="1:5" x14ac:dyDescent="0.25">
      <c r="A462" s="32" t="s">
        <v>767</v>
      </c>
      <c r="B462" s="7">
        <v>2010</v>
      </c>
      <c r="C462" s="51" t="s">
        <v>707</v>
      </c>
      <c r="D462" t="s">
        <v>715</v>
      </c>
      <c r="E462" s="2">
        <v>8.1</v>
      </c>
    </row>
    <row r="463" spans="1:5" x14ac:dyDescent="0.25">
      <c r="A463" s="32" t="s">
        <v>767</v>
      </c>
      <c r="B463" s="7">
        <v>2010</v>
      </c>
      <c r="C463" s="51" t="s">
        <v>708</v>
      </c>
      <c r="D463" t="s">
        <v>715</v>
      </c>
      <c r="E463" s="2">
        <v>9.4280000000000008</v>
      </c>
    </row>
    <row r="464" spans="1:5" x14ac:dyDescent="0.25">
      <c r="A464" s="32" t="s">
        <v>767</v>
      </c>
      <c r="B464" s="7">
        <v>2010</v>
      </c>
      <c r="C464" s="51" t="s">
        <v>699</v>
      </c>
      <c r="D464" t="s">
        <v>715</v>
      </c>
      <c r="E464" s="2">
        <v>8.8759999999999994</v>
      </c>
    </row>
    <row r="465" spans="1:5" x14ac:dyDescent="0.25">
      <c r="A465" s="32" t="s">
        <v>767</v>
      </c>
      <c r="B465" s="7">
        <v>2010</v>
      </c>
      <c r="C465" s="51" t="s">
        <v>709</v>
      </c>
      <c r="D465" t="s">
        <v>715</v>
      </c>
      <c r="E465" s="2">
        <v>7.0049999999999999</v>
      </c>
    </row>
    <row r="466" spans="1:5" x14ac:dyDescent="0.25">
      <c r="A466" s="32" t="s">
        <v>767</v>
      </c>
      <c r="B466" s="7">
        <v>2010</v>
      </c>
      <c r="C466" s="51" t="s">
        <v>712</v>
      </c>
      <c r="D466" t="s">
        <v>715</v>
      </c>
      <c r="E466" s="2">
        <v>6.1879999999999997</v>
      </c>
    </row>
    <row r="467" spans="1:5" x14ac:dyDescent="0.25">
      <c r="A467" s="32" t="s">
        <v>767</v>
      </c>
      <c r="B467" s="7">
        <v>2010</v>
      </c>
      <c r="C467" s="51" t="s">
        <v>710</v>
      </c>
      <c r="D467" t="s">
        <v>715</v>
      </c>
      <c r="E467" s="2">
        <v>6.4790000000000001</v>
      </c>
    </row>
    <row r="468" spans="1:5" x14ac:dyDescent="0.25">
      <c r="A468" s="32" t="s">
        <v>767</v>
      </c>
      <c r="B468" s="7">
        <v>2010</v>
      </c>
      <c r="C468" s="51" t="s">
        <v>702</v>
      </c>
      <c r="D468" t="s">
        <v>715</v>
      </c>
      <c r="E468" s="2">
        <v>7.3979999999999997</v>
      </c>
    </row>
    <row r="469" spans="1:5" x14ac:dyDescent="0.25">
      <c r="A469" s="32" t="s">
        <v>767</v>
      </c>
      <c r="B469" s="7">
        <v>2010</v>
      </c>
      <c r="C469" s="51" t="s">
        <v>703</v>
      </c>
      <c r="D469" t="s">
        <v>715</v>
      </c>
      <c r="E469" s="2">
        <v>7.1050000000000004</v>
      </c>
    </row>
    <row r="470" spans="1:5" x14ac:dyDescent="0.25">
      <c r="A470" s="32" t="s">
        <v>767</v>
      </c>
      <c r="B470" s="7">
        <v>2010</v>
      </c>
      <c r="C470" s="51" t="s">
        <v>704</v>
      </c>
      <c r="D470" t="s">
        <v>715</v>
      </c>
      <c r="E470" s="2">
        <v>7.17</v>
      </c>
    </row>
    <row r="471" spans="1:5" x14ac:dyDescent="0.25">
      <c r="A471" s="32" t="s">
        <v>767</v>
      </c>
      <c r="B471" s="7">
        <v>2010</v>
      </c>
      <c r="C471" s="51" t="s">
        <v>705</v>
      </c>
      <c r="D471" t="s">
        <v>715</v>
      </c>
      <c r="E471" s="2">
        <v>6.7329999999999997</v>
      </c>
    </row>
    <row r="472" spans="1:5" x14ac:dyDescent="0.25">
      <c r="A472" s="32" t="s">
        <v>767</v>
      </c>
      <c r="B472" s="7">
        <v>2010</v>
      </c>
      <c r="C472" s="51" t="s">
        <v>706</v>
      </c>
      <c r="D472" t="s">
        <v>715</v>
      </c>
      <c r="E472" s="2">
        <v>7.1760000000000002</v>
      </c>
    </row>
    <row r="473" spans="1:5" x14ac:dyDescent="0.25">
      <c r="A473" s="32" t="s">
        <v>767</v>
      </c>
      <c r="B473" s="7">
        <v>2011</v>
      </c>
      <c r="C473" s="51" t="s">
        <v>713</v>
      </c>
      <c r="D473" t="s">
        <v>715</v>
      </c>
      <c r="E473" s="2">
        <v>8.5419999999999998</v>
      </c>
    </row>
    <row r="474" spans="1:5" x14ac:dyDescent="0.25">
      <c r="A474" s="32" t="s">
        <v>767</v>
      </c>
      <c r="B474" s="7">
        <v>2011</v>
      </c>
      <c r="C474" s="51" t="s">
        <v>707</v>
      </c>
      <c r="D474" t="s">
        <v>715</v>
      </c>
      <c r="E474" s="2">
        <v>8.6329999999999991</v>
      </c>
    </row>
    <row r="475" spans="1:5" x14ac:dyDescent="0.25">
      <c r="A475" s="32" t="s">
        <v>767</v>
      </c>
      <c r="B475" s="7">
        <v>2011</v>
      </c>
      <c r="C475" s="51" t="s">
        <v>708</v>
      </c>
      <c r="D475" t="s">
        <v>715</v>
      </c>
      <c r="E475" s="2">
        <v>8.3789999999999996</v>
      </c>
    </row>
    <row r="476" spans="1:5" x14ac:dyDescent="0.25">
      <c r="A476" s="32" t="s">
        <v>767</v>
      </c>
      <c r="B476" s="7">
        <v>2011</v>
      </c>
      <c r="C476" s="51" t="s">
        <v>699</v>
      </c>
      <c r="D476" t="s">
        <v>715</v>
      </c>
      <c r="E476" s="2">
        <v>7.4039999999999999</v>
      </c>
    </row>
    <row r="477" spans="1:5" x14ac:dyDescent="0.25">
      <c r="A477" s="32" t="s">
        <v>767</v>
      </c>
      <c r="B477" s="7">
        <v>2011</v>
      </c>
      <c r="C477" s="51" t="s">
        <v>709</v>
      </c>
      <c r="D477" t="s">
        <v>715</v>
      </c>
      <c r="E477" s="2">
        <v>8.9160000000000004</v>
      </c>
    </row>
    <row r="478" spans="1:5" x14ac:dyDescent="0.25">
      <c r="A478" s="32" t="s">
        <v>767</v>
      </c>
      <c r="B478" s="7">
        <v>2011</v>
      </c>
      <c r="C478" s="51" t="s">
        <v>712</v>
      </c>
      <c r="D478" t="s">
        <v>715</v>
      </c>
      <c r="E478" s="2">
        <v>8.1999999999999993</v>
      </c>
    </row>
    <row r="479" spans="1:5" x14ac:dyDescent="0.25">
      <c r="A479" s="32" t="s">
        <v>767</v>
      </c>
      <c r="B479" s="7">
        <v>2011</v>
      </c>
      <c r="C479" s="51" t="s">
        <v>710</v>
      </c>
      <c r="D479" t="s">
        <v>715</v>
      </c>
      <c r="E479" s="2">
        <v>8.1560000000000006</v>
      </c>
    </row>
    <row r="480" spans="1:5" x14ac:dyDescent="0.25">
      <c r="A480" s="32" t="s">
        <v>767</v>
      </c>
      <c r="B480" s="7">
        <v>2011</v>
      </c>
      <c r="C480" s="51" t="s">
        <v>702</v>
      </c>
      <c r="D480" t="s">
        <v>715</v>
      </c>
      <c r="E480" s="2">
        <v>7.5609999999999999</v>
      </c>
    </row>
    <row r="481" spans="1:5" x14ac:dyDescent="0.25">
      <c r="A481" s="32" t="s">
        <v>767</v>
      </c>
      <c r="B481" s="7">
        <v>2011</v>
      </c>
      <c r="C481" s="51" t="s">
        <v>703</v>
      </c>
      <c r="D481" t="s">
        <v>715</v>
      </c>
      <c r="E481" s="2">
        <v>8.4730000000000008</v>
      </c>
    </row>
    <row r="482" spans="1:5" x14ac:dyDescent="0.25">
      <c r="A482" s="32" t="s">
        <v>767</v>
      </c>
      <c r="B482" s="7">
        <v>2011</v>
      </c>
      <c r="C482" s="51" t="s">
        <v>704</v>
      </c>
      <c r="D482" t="s">
        <v>715</v>
      </c>
      <c r="E482" s="2">
        <v>8.0690000000000008</v>
      </c>
    </row>
    <row r="483" spans="1:5" x14ac:dyDescent="0.25">
      <c r="A483" s="32" t="s">
        <v>767</v>
      </c>
      <c r="B483" s="7">
        <v>2011</v>
      </c>
      <c r="C483" s="51" t="s">
        <v>705</v>
      </c>
      <c r="D483" t="s">
        <v>715</v>
      </c>
      <c r="E483" s="2">
        <v>6.2050000000000001</v>
      </c>
    </row>
    <row r="484" spans="1:5" x14ac:dyDescent="0.25">
      <c r="A484" s="32" t="s">
        <v>767</v>
      </c>
      <c r="B484" s="7">
        <v>2011</v>
      </c>
      <c r="C484" s="51" t="s">
        <v>706</v>
      </c>
      <c r="D484" t="s">
        <v>715</v>
      </c>
      <c r="E484" s="2">
        <v>6.7140000000000004</v>
      </c>
    </row>
    <row r="485" spans="1:5" x14ac:dyDescent="0.25">
      <c r="A485" s="32" t="s">
        <v>767</v>
      </c>
      <c r="B485" s="7">
        <v>2012</v>
      </c>
      <c r="C485" s="51" t="s">
        <v>713</v>
      </c>
      <c r="D485" t="s">
        <v>715</v>
      </c>
      <c r="E485" s="2">
        <v>7.5979999999999999</v>
      </c>
    </row>
    <row r="486" spans="1:5" x14ac:dyDescent="0.25">
      <c r="A486" s="32" t="s">
        <v>767</v>
      </c>
      <c r="B486" s="7">
        <v>2012</v>
      </c>
      <c r="C486" s="51" t="s">
        <v>707</v>
      </c>
      <c r="D486" t="s">
        <v>715</v>
      </c>
      <c r="E486" s="2">
        <v>6.4790000000000001</v>
      </c>
    </row>
    <row r="487" spans="1:5" x14ac:dyDescent="0.25">
      <c r="A487" s="32" t="s">
        <v>767</v>
      </c>
      <c r="B487" s="7">
        <v>2012</v>
      </c>
      <c r="C487" s="51" t="s">
        <v>708</v>
      </c>
      <c r="D487" t="s">
        <v>715</v>
      </c>
      <c r="E487" s="2">
        <v>7.4279999999999999</v>
      </c>
    </row>
    <row r="488" spans="1:5" x14ac:dyDescent="0.25">
      <c r="A488" s="32" t="s">
        <v>767</v>
      </c>
      <c r="B488" s="7">
        <v>2012</v>
      </c>
      <c r="C488" s="51" t="s">
        <v>699</v>
      </c>
      <c r="D488" t="s">
        <v>715</v>
      </c>
      <c r="E488" s="2">
        <v>7.8789999999999996</v>
      </c>
    </row>
    <row r="489" spans="1:5" x14ac:dyDescent="0.25">
      <c r="A489" s="32" t="s">
        <v>767</v>
      </c>
      <c r="B489" s="7">
        <v>2012</v>
      </c>
      <c r="C489" s="51" t="s">
        <v>709</v>
      </c>
      <c r="D489" t="s">
        <v>715</v>
      </c>
      <c r="E489" s="2">
        <v>8.6519999999999992</v>
      </c>
    </row>
    <row r="490" spans="1:5" x14ac:dyDescent="0.25">
      <c r="A490" s="32" t="s">
        <v>767</v>
      </c>
      <c r="B490" s="7">
        <v>2012</v>
      </c>
      <c r="C490" s="51" t="s">
        <v>712</v>
      </c>
      <c r="D490" t="s">
        <v>715</v>
      </c>
      <c r="E490" s="2">
        <v>8.0980000000000008</v>
      </c>
    </row>
    <row r="491" spans="1:5" x14ac:dyDescent="0.25">
      <c r="A491" s="32" t="s">
        <v>767</v>
      </c>
      <c r="B491" s="7">
        <v>2012</v>
      </c>
      <c r="C491" s="51" t="s">
        <v>710</v>
      </c>
      <c r="D491" t="s">
        <v>715</v>
      </c>
      <c r="E491" s="2">
        <v>9.1980000000000004</v>
      </c>
    </row>
    <row r="492" spans="1:5" x14ac:dyDescent="0.25">
      <c r="A492" s="32" t="s">
        <v>767</v>
      </c>
      <c r="B492" s="7">
        <v>2012</v>
      </c>
      <c r="C492" s="51" t="s">
        <v>702</v>
      </c>
      <c r="D492" t="s">
        <v>715</v>
      </c>
      <c r="E492" s="2">
        <v>7.133</v>
      </c>
    </row>
    <row r="493" spans="1:5" x14ac:dyDescent="0.25">
      <c r="A493" s="32" t="s">
        <v>767</v>
      </c>
      <c r="B493" s="7">
        <v>2012</v>
      </c>
      <c r="C493" s="51" t="s">
        <v>703</v>
      </c>
      <c r="D493" t="s">
        <v>715</v>
      </c>
      <c r="E493" s="2">
        <v>7.1779999999999999</v>
      </c>
    </row>
    <row r="494" spans="1:5" x14ac:dyDescent="0.25">
      <c r="A494" s="32" t="s">
        <v>767</v>
      </c>
      <c r="B494" s="7">
        <v>2012</v>
      </c>
      <c r="C494" s="51" t="s">
        <v>704</v>
      </c>
      <c r="D494" t="s">
        <v>715</v>
      </c>
      <c r="E494" s="2">
        <v>7.48</v>
      </c>
    </row>
    <row r="495" spans="1:5" x14ac:dyDescent="0.25">
      <c r="A495" s="32" t="s">
        <v>767</v>
      </c>
      <c r="B495" s="7">
        <v>2012</v>
      </c>
      <c r="C495" s="51" t="s">
        <v>705</v>
      </c>
      <c r="D495" t="s">
        <v>715</v>
      </c>
      <c r="E495" s="2">
        <v>4.2869999999999999</v>
      </c>
    </row>
    <row r="496" spans="1:5" x14ac:dyDescent="0.25">
      <c r="A496" s="32" t="s">
        <v>767</v>
      </c>
      <c r="B496" s="7">
        <v>2012</v>
      </c>
      <c r="C496" s="51" t="s">
        <v>706</v>
      </c>
      <c r="D496" t="s">
        <v>715</v>
      </c>
      <c r="E496" s="2">
        <v>4.7</v>
      </c>
    </row>
    <row r="497" spans="1:5" x14ac:dyDescent="0.25">
      <c r="A497" s="32" t="s">
        <v>767</v>
      </c>
      <c r="B497" s="7">
        <v>2013</v>
      </c>
      <c r="C497" s="51" t="s">
        <v>713</v>
      </c>
      <c r="D497" t="s">
        <v>715</v>
      </c>
      <c r="E497" s="2">
        <v>6.1420000000000003</v>
      </c>
    </row>
    <row r="498" spans="1:5" x14ac:dyDescent="0.25">
      <c r="A498" s="32" t="s">
        <v>767</v>
      </c>
      <c r="B498" s="7">
        <v>2013</v>
      </c>
      <c r="C498" s="51" t="s">
        <v>707</v>
      </c>
      <c r="D498" t="s">
        <v>715</v>
      </c>
      <c r="E498" s="2">
        <v>4.8719999999999999</v>
      </c>
    </row>
    <row r="499" spans="1:5" x14ac:dyDescent="0.25">
      <c r="A499" s="32" t="s">
        <v>767</v>
      </c>
      <c r="B499" s="7">
        <v>2013</v>
      </c>
      <c r="C499" s="51" t="s">
        <v>708</v>
      </c>
      <c r="D499" t="s">
        <v>715</v>
      </c>
      <c r="E499" s="2">
        <v>6.39</v>
      </c>
    </row>
    <row r="500" spans="1:5" x14ac:dyDescent="0.25">
      <c r="A500" s="32" t="s">
        <v>767</v>
      </c>
      <c r="B500" s="7">
        <v>2013</v>
      </c>
      <c r="C500" s="51" t="s">
        <v>699</v>
      </c>
      <c r="D500" t="s">
        <v>715</v>
      </c>
      <c r="E500" s="2">
        <v>6.4619999999999997</v>
      </c>
    </row>
    <row r="501" spans="1:5" x14ac:dyDescent="0.25">
      <c r="A501" s="32" t="s">
        <v>767</v>
      </c>
      <c r="B501" s="7">
        <v>2013</v>
      </c>
      <c r="C501" s="51" t="s">
        <v>709</v>
      </c>
      <c r="D501" t="s">
        <v>715</v>
      </c>
      <c r="E501" s="2">
        <v>6.76</v>
      </c>
    </row>
    <row r="502" spans="1:5" x14ac:dyDescent="0.25">
      <c r="A502" s="32" t="s">
        <v>767</v>
      </c>
      <c r="B502" s="7">
        <v>2013</v>
      </c>
      <c r="C502" s="51" t="s">
        <v>712</v>
      </c>
      <c r="D502" t="s">
        <v>715</v>
      </c>
      <c r="E502" s="2">
        <v>6.9260000000000002</v>
      </c>
    </row>
    <row r="503" spans="1:5" x14ac:dyDescent="0.25">
      <c r="A503" s="32" t="s">
        <v>767</v>
      </c>
      <c r="B503" s="7">
        <v>2013</v>
      </c>
      <c r="C503" s="51" t="s">
        <v>710</v>
      </c>
      <c r="D503" t="s">
        <v>715</v>
      </c>
      <c r="E503" s="2">
        <v>6.1680000000000001</v>
      </c>
    </row>
    <row r="504" spans="1:5" x14ac:dyDescent="0.25">
      <c r="A504" s="32" t="s">
        <v>767</v>
      </c>
      <c r="B504" s="7">
        <v>2013</v>
      </c>
      <c r="C504" s="51" t="s">
        <v>702</v>
      </c>
      <c r="D504" t="s">
        <v>715</v>
      </c>
      <c r="E504" s="2">
        <v>5.3079999999999998</v>
      </c>
    </row>
    <row r="505" spans="1:5" x14ac:dyDescent="0.25">
      <c r="A505" s="32" t="s">
        <v>767</v>
      </c>
      <c r="B505" s="7">
        <v>2013</v>
      </c>
      <c r="C505" s="51" t="s">
        <v>703</v>
      </c>
      <c r="D505" t="s">
        <v>715</v>
      </c>
      <c r="E505" s="2">
        <v>5.8540000000000001</v>
      </c>
    </row>
    <row r="506" spans="1:5" x14ac:dyDescent="0.25">
      <c r="A506" s="32" t="s">
        <v>767</v>
      </c>
      <c r="B506" s="7">
        <v>2013</v>
      </c>
      <c r="C506" s="51" t="s">
        <v>704</v>
      </c>
      <c r="D506" t="s">
        <v>715</v>
      </c>
      <c r="E506" s="2">
        <v>6.2629999999999999</v>
      </c>
    </row>
    <row r="507" spans="1:5" x14ac:dyDescent="0.25">
      <c r="A507" s="32" t="s">
        <v>767</v>
      </c>
      <c r="B507" s="7">
        <v>2013</v>
      </c>
      <c r="C507" s="51" t="s">
        <v>705</v>
      </c>
      <c r="D507" t="s">
        <v>715</v>
      </c>
      <c r="E507" s="2">
        <v>6.0869999999999997</v>
      </c>
    </row>
    <row r="508" spans="1:5" x14ac:dyDescent="0.25">
      <c r="A508" s="32" t="s">
        <v>767</v>
      </c>
      <c r="B508" s="7">
        <v>2013</v>
      </c>
      <c r="C508" s="51" t="s">
        <v>706</v>
      </c>
      <c r="D508" t="s">
        <v>715</v>
      </c>
      <c r="E508" s="2">
        <v>7.3949999999999996</v>
      </c>
    </row>
    <row r="509" spans="1:5" x14ac:dyDescent="0.25">
      <c r="A509" s="32" t="s">
        <v>767</v>
      </c>
      <c r="B509" s="7">
        <v>2014</v>
      </c>
      <c r="C509" s="51" t="s">
        <v>713</v>
      </c>
      <c r="D509" t="s">
        <v>715</v>
      </c>
      <c r="E509" s="2">
        <v>6.9459999999999997</v>
      </c>
    </row>
    <row r="510" spans="1:5" x14ac:dyDescent="0.25">
      <c r="A510" s="32" t="s">
        <v>767</v>
      </c>
      <c r="B510" s="7">
        <v>2014</v>
      </c>
      <c r="C510" s="51" t="s">
        <v>707</v>
      </c>
      <c r="D510" t="s">
        <v>715</v>
      </c>
      <c r="E510" s="2">
        <v>6.8630000000000004</v>
      </c>
    </row>
    <row r="511" spans="1:5" x14ac:dyDescent="0.25">
      <c r="A511" s="32" t="s">
        <v>767</v>
      </c>
      <c r="B511" s="7">
        <v>2014</v>
      </c>
      <c r="C511" s="51" t="s">
        <v>708</v>
      </c>
      <c r="D511" t="s">
        <v>715</v>
      </c>
      <c r="E511" s="2">
        <v>7.9660000000000002</v>
      </c>
    </row>
    <row r="512" spans="1:5" x14ac:dyDescent="0.25">
      <c r="A512" s="32" t="s">
        <v>767</v>
      </c>
      <c r="B512" s="7">
        <v>2014</v>
      </c>
      <c r="C512" s="51" t="s">
        <v>699</v>
      </c>
      <c r="D512" t="s">
        <v>715</v>
      </c>
      <c r="E512" s="2">
        <v>7.2679999999999998</v>
      </c>
    </row>
    <row r="513" spans="1:5" x14ac:dyDescent="0.25">
      <c r="A513" s="32" t="s">
        <v>767</v>
      </c>
      <c r="B513" s="7">
        <v>2014</v>
      </c>
      <c r="C513" s="51" t="s">
        <v>709</v>
      </c>
      <c r="D513" t="s">
        <v>715</v>
      </c>
      <c r="E513" s="2">
        <v>10.474</v>
      </c>
    </row>
    <row r="514" spans="1:5" x14ac:dyDescent="0.25">
      <c r="A514" s="32" t="s">
        <v>767</v>
      </c>
      <c r="B514" s="7">
        <v>2014</v>
      </c>
      <c r="C514" s="51" t="s">
        <v>712</v>
      </c>
      <c r="D514" t="s">
        <v>715</v>
      </c>
      <c r="E514" s="2">
        <v>7.29</v>
      </c>
    </row>
    <row r="515" spans="1:5" x14ac:dyDescent="0.25">
      <c r="A515" s="32" t="s">
        <v>767</v>
      </c>
      <c r="B515" s="7">
        <v>2014</v>
      </c>
      <c r="C515" s="51" t="s">
        <v>710</v>
      </c>
      <c r="D515" t="s">
        <v>715</v>
      </c>
      <c r="E515" s="2">
        <v>7.1280000000000001</v>
      </c>
    </row>
    <row r="516" spans="1:5" x14ac:dyDescent="0.25">
      <c r="A516" s="32" t="s">
        <v>767</v>
      </c>
      <c r="B516" s="7">
        <v>2014</v>
      </c>
      <c r="C516" s="51" t="s">
        <v>702</v>
      </c>
      <c r="D516" t="s">
        <v>715</v>
      </c>
      <c r="E516" s="2">
        <v>7.2160000000000002</v>
      </c>
    </row>
    <row r="517" spans="1:5" x14ac:dyDescent="0.25">
      <c r="A517" s="32" t="s">
        <v>767</v>
      </c>
      <c r="B517" s="7">
        <v>2014</v>
      </c>
      <c r="C517" s="51" t="s">
        <v>703</v>
      </c>
      <c r="D517" t="s">
        <v>715</v>
      </c>
      <c r="E517" s="2">
        <v>7.4610000000000003</v>
      </c>
    </row>
    <row r="518" spans="1:5" x14ac:dyDescent="0.25">
      <c r="A518" s="32" t="s">
        <v>767</v>
      </c>
      <c r="B518" s="7">
        <v>2014</v>
      </c>
      <c r="C518" s="51" t="s">
        <v>704</v>
      </c>
      <c r="D518" t="s">
        <v>715</v>
      </c>
      <c r="E518" s="2">
        <v>7.9180000000000001</v>
      </c>
    </row>
    <row r="519" spans="1:5" x14ac:dyDescent="0.25">
      <c r="A519" s="32" t="s">
        <v>767</v>
      </c>
      <c r="B519" s="7">
        <v>2014</v>
      </c>
      <c r="C519" s="51" t="s">
        <v>705</v>
      </c>
      <c r="D519" t="s">
        <v>715</v>
      </c>
      <c r="E519" s="2">
        <v>7.9169999999999998</v>
      </c>
    </row>
    <row r="520" spans="1:5" x14ac:dyDescent="0.25">
      <c r="A520" s="32" t="s">
        <v>767</v>
      </c>
      <c r="B520" s="7">
        <v>2014</v>
      </c>
      <c r="C520" s="51" t="s">
        <v>706</v>
      </c>
      <c r="D520" t="s">
        <v>715</v>
      </c>
      <c r="E520" s="2">
        <v>7.2679999999999998</v>
      </c>
    </row>
    <row r="521" spans="1:5" x14ac:dyDescent="0.25">
      <c r="A521" s="32" t="s">
        <v>767</v>
      </c>
      <c r="B521" s="7">
        <v>2015</v>
      </c>
      <c r="C521" s="51" t="s">
        <v>713</v>
      </c>
      <c r="D521" t="s">
        <v>715</v>
      </c>
      <c r="E521" s="2">
        <v>7.649</v>
      </c>
    </row>
    <row r="522" spans="1:5" x14ac:dyDescent="0.25">
      <c r="A522" s="32" t="s">
        <v>767</v>
      </c>
      <c r="B522" s="7">
        <v>2015</v>
      </c>
      <c r="C522" s="51" t="s">
        <v>707</v>
      </c>
      <c r="D522" t="s">
        <v>715</v>
      </c>
      <c r="E522" s="2">
        <v>6.4080000000000004</v>
      </c>
    </row>
    <row r="523" spans="1:5" x14ac:dyDescent="0.25">
      <c r="A523" s="32" t="s">
        <v>767</v>
      </c>
      <c r="B523" s="7">
        <v>2015</v>
      </c>
      <c r="C523" s="51" t="s">
        <v>708</v>
      </c>
      <c r="D523" t="s">
        <v>715</v>
      </c>
      <c r="E523" s="2">
        <v>8.24</v>
      </c>
    </row>
    <row r="524" spans="1:5" x14ac:dyDescent="0.25">
      <c r="A524" s="32" t="s">
        <v>767</v>
      </c>
      <c r="B524" s="7">
        <v>2015</v>
      </c>
      <c r="C524" s="51" t="s">
        <v>699</v>
      </c>
      <c r="D524" t="s">
        <v>715</v>
      </c>
      <c r="E524" s="2">
        <v>8.7260000000000009</v>
      </c>
    </row>
    <row r="525" spans="1:5" x14ac:dyDescent="0.25">
      <c r="A525" s="32" t="s">
        <v>767</v>
      </c>
      <c r="B525" s="7">
        <v>2015</v>
      </c>
      <c r="C525" s="51" t="s">
        <v>709</v>
      </c>
      <c r="D525" t="s">
        <v>715</v>
      </c>
      <c r="E525" s="2">
        <v>9.2420000000000009</v>
      </c>
    </row>
    <row r="526" spans="1:5" x14ac:dyDescent="0.25">
      <c r="A526" s="32" t="s">
        <v>767</v>
      </c>
      <c r="B526" s="7">
        <v>2015</v>
      </c>
      <c r="C526" s="51" t="s">
        <v>712</v>
      </c>
      <c r="D526" t="s">
        <v>715</v>
      </c>
      <c r="E526" s="2">
        <v>9.7940000000000005</v>
      </c>
    </row>
    <row r="527" spans="1:5" x14ac:dyDescent="0.25">
      <c r="A527" s="32" t="s">
        <v>767</v>
      </c>
      <c r="B527" s="7">
        <v>2015</v>
      </c>
      <c r="C527" s="51" t="s">
        <v>710</v>
      </c>
      <c r="D527" t="s">
        <v>715</v>
      </c>
      <c r="E527" s="2">
        <v>6.8650000000000002</v>
      </c>
    </row>
    <row r="528" spans="1:5" x14ac:dyDescent="0.25">
      <c r="A528" s="32" t="s">
        <v>767</v>
      </c>
      <c r="B528" s="7">
        <v>2015</v>
      </c>
      <c r="C528" s="51" t="s">
        <v>702</v>
      </c>
      <c r="D528" t="s">
        <v>715</v>
      </c>
      <c r="E528" s="2">
        <v>7.0250000000000004</v>
      </c>
    </row>
    <row r="529" spans="1:5" x14ac:dyDescent="0.25">
      <c r="A529" s="32" t="s">
        <v>767</v>
      </c>
      <c r="B529" s="7">
        <v>2015</v>
      </c>
      <c r="C529" s="51" t="s">
        <v>703</v>
      </c>
      <c r="D529" t="s">
        <v>715</v>
      </c>
      <c r="E529" s="2">
        <v>6.508</v>
      </c>
    </row>
    <row r="530" spans="1:5" x14ac:dyDescent="0.25">
      <c r="A530" s="32" t="s">
        <v>767</v>
      </c>
      <c r="B530" s="7">
        <v>2015</v>
      </c>
      <c r="C530" s="51" t="s">
        <v>704</v>
      </c>
      <c r="D530" t="s">
        <v>715</v>
      </c>
      <c r="E530" s="2">
        <v>6.3639999999999999</v>
      </c>
    </row>
    <row r="531" spans="1:5" x14ac:dyDescent="0.25">
      <c r="A531" s="32" t="s">
        <v>767</v>
      </c>
      <c r="B531" s="7">
        <v>2015</v>
      </c>
      <c r="C531" s="51" t="s">
        <v>705</v>
      </c>
      <c r="D531" t="s">
        <v>715</v>
      </c>
      <c r="E531" s="2">
        <v>5.0259999999999998</v>
      </c>
    </row>
    <row r="532" spans="1:5" x14ac:dyDescent="0.25">
      <c r="A532" s="32" t="s">
        <v>767</v>
      </c>
      <c r="B532" s="7">
        <v>2015</v>
      </c>
      <c r="C532" s="51" t="s">
        <v>706</v>
      </c>
      <c r="D532" t="s">
        <v>715</v>
      </c>
      <c r="E532" s="2">
        <v>6.2880000000000003</v>
      </c>
    </row>
    <row r="533" spans="1:5" x14ac:dyDescent="0.25">
      <c r="A533" s="32" t="s">
        <v>767</v>
      </c>
      <c r="B533" s="7">
        <v>2016</v>
      </c>
      <c r="C533" s="51" t="s">
        <v>713</v>
      </c>
      <c r="D533" t="s">
        <v>715</v>
      </c>
      <c r="E533" s="2">
        <v>7.4009999999999998</v>
      </c>
    </row>
    <row r="534" spans="1:5" x14ac:dyDescent="0.25">
      <c r="A534" s="32" t="s">
        <v>767</v>
      </c>
      <c r="B534" s="7">
        <v>2016</v>
      </c>
      <c r="C534" s="51" t="s">
        <v>707</v>
      </c>
      <c r="D534" t="s">
        <v>715</v>
      </c>
      <c r="E534" s="2">
        <v>8.3290000000000006</v>
      </c>
    </row>
    <row r="535" spans="1:5" x14ac:dyDescent="0.25">
      <c r="A535" s="32" t="s">
        <v>767</v>
      </c>
      <c r="B535" s="7">
        <v>2016</v>
      </c>
      <c r="C535" s="51" t="s">
        <v>708</v>
      </c>
      <c r="D535" t="s">
        <v>715</v>
      </c>
      <c r="E535" s="2">
        <v>7.9809999999999999</v>
      </c>
    </row>
    <row r="536" spans="1:5" x14ac:dyDescent="0.25">
      <c r="A536" s="32" t="s">
        <v>767</v>
      </c>
      <c r="B536" s="7">
        <v>2016</v>
      </c>
      <c r="C536" s="51" t="s">
        <v>699</v>
      </c>
      <c r="D536" t="s">
        <v>715</v>
      </c>
      <c r="E536" s="2">
        <v>7.8360000000000003</v>
      </c>
    </row>
    <row r="537" spans="1:5" x14ac:dyDescent="0.25">
      <c r="A537" s="32" t="s">
        <v>767</v>
      </c>
      <c r="B537" s="7">
        <v>2016</v>
      </c>
      <c r="C537" s="51" t="s">
        <v>709</v>
      </c>
      <c r="D537" t="s">
        <v>715</v>
      </c>
      <c r="E537" s="2">
        <v>9.3469999999999995</v>
      </c>
    </row>
    <row r="538" spans="1:5" x14ac:dyDescent="0.25">
      <c r="A538" s="32" t="s">
        <v>767</v>
      </c>
      <c r="B538" s="7">
        <v>2016</v>
      </c>
      <c r="C538" s="51" t="s">
        <v>712</v>
      </c>
      <c r="D538" t="s">
        <v>715</v>
      </c>
      <c r="E538" s="2">
        <v>8.8190000000000008</v>
      </c>
    </row>
    <row r="539" spans="1:5" x14ac:dyDescent="0.25">
      <c r="A539" s="32" t="s">
        <v>767</v>
      </c>
      <c r="B539" s="7">
        <v>2016</v>
      </c>
      <c r="C539" s="51" t="s">
        <v>710</v>
      </c>
      <c r="D539" t="s">
        <v>715</v>
      </c>
      <c r="E539" s="2">
        <v>8.4030000000000005</v>
      </c>
    </row>
    <row r="540" spans="1:5" x14ac:dyDescent="0.25">
      <c r="A540" s="32" t="s">
        <v>767</v>
      </c>
      <c r="B540" s="7">
        <v>2016</v>
      </c>
      <c r="C540" s="51" t="s">
        <v>702</v>
      </c>
      <c r="D540" t="s">
        <v>715</v>
      </c>
      <c r="E540" s="2">
        <v>8.4260000000000002</v>
      </c>
    </row>
    <row r="541" spans="1:5" x14ac:dyDescent="0.25">
      <c r="A541" s="32" t="s">
        <v>767</v>
      </c>
      <c r="B541" s="7">
        <v>2016</v>
      </c>
      <c r="C541" s="51" t="s">
        <v>703</v>
      </c>
      <c r="D541" t="s">
        <v>715</v>
      </c>
      <c r="E541" s="2">
        <v>7.6079999999999997</v>
      </c>
    </row>
    <row r="542" spans="1:5" x14ac:dyDescent="0.25">
      <c r="A542" s="32" t="s">
        <v>767</v>
      </c>
      <c r="B542" s="7">
        <v>2016</v>
      </c>
      <c r="C542" s="51" t="s">
        <v>704</v>
      </c>
      <c r="D542" t="s">
        <v>715</v>
      </c>
      <c r="E542" s="2">
        <v>7.6260000000000003</v>
      </c>
    </row>
    <row r="543" spans="1:5" x14ac:dyDescent="0.25">
      <c r="A543" s="32" t="s">
        <v>767</v>
      </c>
      <c r="B543" s="7">
        <v>2016</v>
      </c>
      <c r="C543" s="51" t="s">
        <v>705</v>
      </c>
      <c r="D543" t="s">
        <v>715</v>
      </c>
      <c r="E543" s="2">
        <v>6.1890000000000001</v>
      </c>
    </row>
    <row r="544" spans="1:5" x14ac:dyDescent="0.25">
      <c r="A544" s="32" t="s">
        <v>767</v>
      </c>
      <c r="B544" s="7">
        <v>2016</v>
      </c>
      <c r="C544" s="51" t="s">
        <v>706</v>
      </c>
      <c r="D544" t="s">
        <v>715</v>
      </c>
      <c r="E544" s="2">
        <v>8.8339999999999996</v>
      </c>
    </row>
    <row r="545" spans="1:5" x14ac:dyDescent="0.25">
      <c r="A545" s="32" t="s">
        <v>767</v>
      </c>
      <c r="B545" s="7">
        <v>2017</v>
      </c>
      <c r="C545" s="51" t="s">
        <v>713</v>
      </c>
      <c r="D545" t="s">
        <v>715</v>
      </c>
      <c r="E545" s="2">
        <v>8.4550000000000001</v>
      </c>
    </row>
    <row r="546" spans="1:5" x14ac:dyDescent="0.25">
      <c r="A546" s="32" t="s">
        <v>767</v>
      </c>
      <c r="B546" s="7">
        <v>2017</v>
      </c>
      <c r="C546" s="51" t="s">
        <v>707</v>
      </c>
      <c r="D546" t="s">
        <v>715</v>
      </c>
      <c r="E546" s="2">
        <v>7.6210000000000004</v>
      </c>
    </row>
    <row r="547" spans="1:5" x14ac:dyDescent="0.25">
      <c r="A547" s="32" t="s">
        <v>767</v>
      </c>
      <c r="B547" s="7">
        <v>2017</v>
      </c>
      <c r="C547" s="51" t="s">
        <v>708</v>
      </c>
      <c r="D547" t="s">
        <v>715</v>
      </c>
      <c r="E547" s="2">
        <v>8.2829999999999995</v>
      </c>
    </row>
    <row r="548" spans="1:5" x14ac:dyDescent="0.25">
      <c r="A548" s="32" t="s">
        <v>767</v>
      </c>
      <c r="B548" s="7">
        <v>2017</v>
      </c>
      <c r="C548" s="51" t="s">
        <v>699</v>
      </c>
      <c r="D548" t="s">
        <v>715</v>
      </c>
      <c r="E548" s="2">
        <v>7.6479999999999997</v>
      </c>
    </row>
    <row r="549" spans="1:5" x14ac:dyDescent="0.25">
      <c r="A549" s="32" t="s">
        <v>767</v>
      </c>
      <c r="B549" s="7">
        <v>2017</v>
      </c>
      <c r="C549" s="51" t="s">
        <v>709</v>
      </c>
      <c r="D549" t="s">
        <v>715</v>
      </c>
      <c r="E549" s="2">
        <v>7.9260000000000002</v>
      </c>
    </row>
    <row r="550" spans="1:5" x14ac:dyDescent="0.25">
      <c r="A550" s="32" t="s">
        <v>767</v>
      </c>
      <c r="B550" s="7">
        <v>2017</v>
      </c>
      <c r="C550" s="51" t="s">
        <v>712</v>
      </c>
      <c r="D550" t="s">
        <v>715</v>
      </c>
      <c r="E550" s="2">
        <v>7.6449999999999996</v>
      </c>
    </row>
    <row r="551" spans="1:5" x14ac:dyDescent="0.25">
      <c r="A551" s="32" t="s">
        <v>767</v>
      </c>
      <c r="B551" s="7">
        <v>2017</v>
      </c>
      <c r="C551" s="51" t="s">
        <v>710</v>
      </c>
      <c r="D551" t="s">
        <v>715</v>
      </c>
      <c r="E551" s="2">
        <v>8.8859999999999992</v>
      </c>
    </row>
    <row r="552" spans="1:5" x14ac:dyDescent="0.25">
      <c r="A552" s="32" t="s">
        <v>767</v>
      </c>
      <c r="B552" s="7">
        <v>2017</v>
      </c>
      <c r="C552" s="51" t="s">
        <v>702</v>
      </c>
      <c r="D552" t="s">
        <v>715</v>
      </c>
      <c r="E552" s="2">
        <v>8.5790000000000006</v>
      </c>
    </row>
    <row r="553" spans="1:5" x14ac:dyDescent="0.25">
      <c r="A553" s="32" t="s">
        <v>767</v>
      </c>
      <c r="B553" s="7">
        <v>2017</v>
      </c>
      <c r="C553" s="51" t="s">
        <v>703</v>
      </c>
      <c r="D553" t="s">
        <v>715</v>
      </c>
      <c r="E553" s="2">
        <v>7.9359999999999999</v>
      </c>
    </row>
    <row r="554" spans="1:5" x14ac:dyDescent="0.25">
      <c r="A554" s="32" t="s">
        <v>767</v>
      </c>
      <c r="B554" s="7">
        <v>2017</v>
      </c>
      <c r="C554" s="51" t="s">
        <v>704</v>
      </c>
      <c r="D554" t="s">
        <v>715</v>
      </c>
      <c r="E554" s="2">
        <v>8.8059999999999992</v>
      </c>
    </row>
    <row r="555" spans="1:5" x14ac:dyDescent="0.25">
      <c r="A555" s="32" t="s">
        <v>767</v>
      </c>
      <c r="B555" s="7">
        <v>2017</v>
      </c>
      <c r="C555" s="51" t="s">
        <v>705</v>
      </c>
      <c r="D555" t="s">
        <v>715</v>
      </c>
      <c r="E555" s="2">
        <v>8.077</v>
      </c>
    </row>
    <row r="556" spans="1:5" x14ac:dyDescent="0.25">
      <c r="A556" s="32" t="s">
        <v>767</v>
      </c>
      <c r="B556" s="7">
        <v>2017</v>
      </c>
      <c r="C556" s="51" t="s">
        <v>706</v>
      </c>
      <c r="D556" t="s">
        <v>715</v>
      </c>
      <c r="E556" s="2">
        <v>8.5449999999999999</v>
      </c>
    </row>
    <row r="557" spans="1:5" x14ac:dyDescent="0.25">
      <c r="A557" s="32" t="s">
        <v>767</v>
      </c>
      <c r="B557" s="7">
        <v>2018</v>
      </c>
      <c r="C557" s="51" t="s">
        <v>713</v>
      </c>
      <c r="D557" t="s">
        <v>715</v>
      </c>
      <c r="E557" s="2">
        <v>6.8789999999999996</v>
      </c>
    </row>
    <row r="558" spans="1:5" x14ac:dyDescent="0.25">
      <c r="A558" s="32" t="s">
        <v>767</v>
      </c>
      <c r="B558" s="7">
        <v>2018</v>
      </c>
      <c r="C558" s="51" t="s">
        <v>707</v>
      </c>
      <c r="D558" t="s">
        <v>715</v>
      </c>
      <c r="E558" s="2">
        <v>7.3470000000000004</v>
      </c>
    </row>
    <row r="559" spans="1:5" x14ac:dyDescent="0.25">
      <c r="A559" s="32" t="s">
        <v>767</v>
      </c>
      <c r="B559" s="7">
        <v>2018</v>
      </c>
      <c r="C559" s="51" t="s">
        <v>708</v>
      </c>
      <c r="D559" t="s">
        <v>715</v>
      </c>
      <c r="E559" s="2">
        <v>7.641</v>
      </c>
    </row>
    <row r="560" spans="1:5" x14ac:dyDescent="0.25">
      <c r="A560" s="32" t="s">
        <v>767</v>
      </c>
      <c r="B560" s="7">
        <v>2018</v>
      </c>
      <c r="C560" s="51" t="s">
        <v>699</v>
      </c>
      <c r="D560" t="s">
        <v>715</v>
      </c>
      <c r="E560" s="2">
        <v>7.4080000000000004</v>
      </c>
    </row>
    <row r="561" spans="1:5" x14ac:dyDescent="0.25">
      <c r="A561" s="32" t="s">
        <v>767</v>
      </c>
      <c r="B561" s="7">
        <v>2018</v>
      </c>
      <c r="C561" s="51" t="s">
        <v>709</v>
      </c>
      <c r="D561" t="s">
        <v>715</v>
      </c>
      <c r="E561" s="2">
        <v>8.9879999999999995</v>
      </c>
    </row>
    <row r="562" spans="1:5" x14ac:dyDescent="0.25">
      <c r="A562" s="32" t="s">
        <v>767</v>
      </c>
      <c r="B562" s="7">
        <v>2018</v>
      </c>
      <c r="C562" s="51" t="s">
        <v>712</v>
      </c>
      <c r="D562" t="s">
        <v>715</v>
      </c>
      <c r="E562" s="2">
        <v>6.9260000000000002</v>
      </c>
    </row>
    <row r="563" spans="1:5" x14ac:dyDescent="0.25">
      <c r="A563" s="32" t="s">
        <v>767</v>
      </c>
      <c r="B563" s="7">
        <v>2018</v>
      </c>
      <c r="C563" s="51" t="s">
        <v>710</v>
      </c>
      <c r="D563" t="s">
        <v>715</v>
      </c>
      <c r="E563" s="2">
        <v>9.08</v>
      </c>
    </row>
    <row r="564" spans="1:5" x14ac:dyDescent="0.25">
      <c r="A564" s="32" t="s">
        <v>767</v>
      </c>
      <c r="B564" s="7">
        <v>2018</v>
      </c>
      <c r="C564" s="51" t="s">
        <v>702</v>
      </c>
      <c r="D564" t="s">
        <v>715</v>
      </c>
      <c r="E564" s="2">
        <v>8.5779999999999994</v>
      </c>
    </row>
    <row r="565" spans="1:5" x14ac:dyDescent="0.25">
      <c r="A565" s="32" t="s">
        <v>767</v>
      </c>
      <c r="B565" s="7">
        <v>2018</v>
      </c>
      <c r="C565" s="51" t="s">
        <v>703</v>
      </c>
      <c r="D565" t="s">
        <v>715</v>
      </c>
      <c r="E565" s="2">
        <v>8.5839999999999996</v>
      </c>
    </row>
    <row r="566" spans="1:5" x14ac:dyDescent="0.25">
      <c r="A566" s="32" t="s">
        <v>767</v>
      </c>
      <c r="B566" s="7">
        <v>2018</v>
      </c>
      <c r="C566" s="51" t="s">
        <v>704</v>
      </c>
      <c r="D566" t="s">
        <v>715</v>
      </c>
      <c r="E566" s="2">
        <v>7.59</v>
      </c>
    </row>
    <row r="567" spans="1:5" x14ac:dyDescent="0.25">
      <c r="A567" s="32" t="s">
        <v>767</v>
      </c>
      <c r="B567" s="7">
        <v>2018</v>
      </c>
      <c r="C567" s="51" t="s">
        <v>705</v>
      </c>
      <c r="D567" t="s">
        <v>715</v>
      </c>
      <c r="E567" s="2">
        <v>8.4390000000000001</v>
      </c>
    </row>
    <row r="568" spans="1:5" x14ac:dyDescent="0.25">
      <c r="A568" s="32" t="s">
        <v>767</v>
      </c>
      <c r="B568" s="7">
        <v>2018</v>
      </c>
      <c r="C568" s="51" t="s">
        <v>706</v>
      </c>
      <c r="D568" t="s">
        <v>715</v>
      </c>
      <c r="E568" s="2">
        <v>8.8149999999999995</v>
      </c>
    </row>
    <row r="569" spans="1:5" x14ac:dyDescent="0.25">
      <c r="A569" s="32" t="s">
        <v>767</v>
      </c>
      <c r="B569" s="7">
        <v>2019</v>
      </c>
      <c r="C569" s="51" t="s">
        <v>713</v>
      </c>
      <c r="D569" t="s">
        <v>715</v>
      </c>
      <c r="E569" s="2">
        <v>7.665</v>
      </c>
    </row>
    <row r="570" spans="1:5" x14ac:dyDescent="0.25">
      <c r="A570" s="32" t="s">
        <v>767</v>
      </c>
      <c r="B570" s="7">
        <v>2019</v>
      </c>
      <c r="C570" s="51" t="s">
        <v>707</v>
      </c>
      <c r="D570" t="s">
        <v>715</v>
      </c>
      <c r="E570" s="2">
        <v>7.101</v>
      </c>
    </row>
    <row r="571" spans="1:5" x14ac:dyDescent="0.25">
      <c r="A571" s="32" t="s">
        <v>767</v>
      </c>
      <c r="B571" s="7">
        <v>2019</v>
      </c>
      <c r="C571" s="51" t="s">
        <v>708</v>
      </c>
      <c r="D571" t="s">
        <v>715</v>
      </c>
      <c r="E571" s="2">
        <v>8.0289999999999999</v>
      </c>
    </row>
    <row r="572" spans="1:5" x14ac:dyDescent="0.25">
      <c r="A572" s="32" t="s">
        <v>767</v>
      </c>
      <c r="B572" s="7">
        <v>2019</v>
      </c>
      <c r="C572" s="51" t="s">
        <v>699</v>
      </c>
      <c r="D572" t="s">
        <v>715</v>
      </c>
      <c r="E572" s="2">
        <v>6.8769999999999998</v>
      </c>
    </row>
    <row r="573" spans="1:5" x14ac:dyDescent="0.25">
      <c r="A573" s="32" t="s">
        <v>767</v>
      </c>
      <c r="B573" s="7">
        <v>2019</v>
      </c>
      <c r="C573" s="51" t="s">
        <v>709</v>
      </c>
      <c r="D573" t="s">
        <v>715</v>
      </c>
      <c r="E573" s="2">
        <v>7.8209999999999997</v>
      </c>
    </row>
    <row r="574" spans="1:5" x14ac:dyDescent="0.25">
      <c r="A574" s="32" t="s">
        <v>767</v>
      </c>
      <c r="B574" s="7">
        <v>2019</v>
      </c>
      <c r="C574" s="51" t="s">
        <v>712</v>
      </c>
      <c r="D574" t="s">
        <v>715</v>
      </c>
      <c r="E574" s="2">
        <v>7.5430000000000001</v>
      </c>
    </row>
    <row r="575" spans="1:5" x14ac:dyDescent="0.25">
      <c r="A575" s="32" t="s">
        <v>767</v>
      </c>
      <c r="B575" s="7">
        <v>2019</v>
      </c>
      <c r="C575" s="51" t="s">
        <v>710</v>
      </c>
      <c r="D575" t="s">
        <v>715</v>
      </c>
      <c r="E575" s="2">
        <v>9.0250000000000004</v>
      </c>
    </row>
    <row r="576" spans="1:5" x14ac:dyDescent="0.25">
      <c r="A576" s="32" t="s">
        <v>767</v>
      </c>
      <c r="B576" s="7">
        <v>2019</v>
      </c>
      <c r="C576" s="51" t="s">
        <v>702</v>
      </c>
      <c r="D576" t="s">
        <v>715</v>
      </c>
      <c r="E576" s="2">
        <v>8.3049999999999997</v>
      </c>
    </row>
    <row r="577" spans="1:5" x14ac:dyDescent="0.25">
      <c r="A577" s="32" t="s">
        <v>767</v>
      </c>
      <c r="B577" s="7">
        <v>2019</v>
      </c>
      <c r="C577" s="51" t="s">
        <v>703</v>
      </c>
      <c r="D577" t="s">
        <v>715</v>
      </c>
      <c r="E577" s="2">
        <v>8.984</v>
      </c>
    </row>
    <row r="578" spans="1:5" x14ac:dyDescent="0.25">
      <c r="A578" s="32" t="s">
        <v>767</v>
      </c>
      <c r="B578" s="7">
        <v>2019</v>
      </c>
      <c r="C578" s="51" t="s">
        <v>704</v>
      </c>
      <c r="D578" t="s">
        <v>715</v>
      </c>
      <c r="E578" s="2">
        <v>9.0380000000000003</v>
      </c>
    </row>
    <row r="579" spans="1:5" x14ac:dyDescent="0.25">
      <c r="A579" s="32" t="s">
        <v>767</v>
      </c>
      <c r="B579" s="7">
        <v>2019</v>
      </c>
      <c r="C579" s="51" t="s">
        <v>705</v>
      </c>
      <c r="D579" t="s">
        <v>715</v>
      </c>
      <c r="E579" s="2">
        <v>8.516</v>
      </c>
    </row>
    <row r="580" spans="1:5" x14ac:dyDescent="0.25">
      <c r="A580" s="32" t="s">
        <v>767</v>
      </c>
      <c r="B580" s="7">
        <v>2019</v>
      </c>
      <c r="C580" s="51" t="s">
        <v>706</v>
      </c>
      <c r="D580" t="s">
        <v>715</v>
      </c>
      <c r="E580" s="2">
        <v>9.1219999999999999</v>
      </c>
    </row>
    <row r="581" spans="1:5" x14ac:dyDescent="0.25">
      <c r="A581" s="32" t="s">
        <v>767</v>
      </c>
      <c r="B581" s="7">
        <v>2020</v>
      </c>
      <c r="C581" s="51" t="s">
        <v>713</v>
      </c>
      <c r="D581" t="s">
        <v>715</v>
      </c>
      <c r="E581" s="2">
        <v>9.0220000000000002</v>
      </c>
    </row>
    <row r="582" spans="1:5" x14ac:dyDescent="0.25">
      <c r="A582" s="32" t="s">
        <v>767</v>
      </c>
      <c r="B582" s="7">
        <v>2020</v>
      </c>
      <c r="C582" s="51" t="s">
        <v>707</v>
      </c>
      <c r="D582" t="s">
        <v>715</v>
      </c>
      <c r="E582" s="2">
        <v>8.39</v>
      </c>
    </row>
    <row r="583" spans="1:5" x14ac:dyDescent="0.25">
      <c r="A583" s="32" t="s">
        <v>767</v>
      </c>
      <c r="B583" s="7">
        <v>2020</v>
      </c>
      <c r="C583" s="51" t="s">
        <v>708</v>
      </c>
      <c r="D583" t="s">
        <v>715</v>
      </c>
      <c r="E583" s="2">
        <v>6.9669999999999996</v>
      </c>
    </row>
    <row r="584" spans="1:5" x14ac:dyDescent="0.25">
      <c r="A584" s="32" t="s">
        <v>767</v>
      </c>
      <c r="B584" s="7">
        <v>2020</v>
      </c>
      <c r="C584" s="51" t="s">
        <v>699</v>
      </c>
      <c r="D584" t="s">
        <v>715</v>
      </c>
      <c r="E584" s="2">
        <v>6.8129999999999997</v>
      </c>
    </row>
    <row r="585" spans="1:5" x14ac:dyDescent="0.25">
      <c r="A585" s="32" t="s">
        <v>767</v>
      </c>
      <c r="B585" s="7">
        <v>2020</v>
      </c>
      <c r="C585" s="51" t="s">
        <v>709</v>
      </c>
      <c r="D585" t="s">
        <v>715</v>
      </c>
      <c r="E585" s="2">
        <v>7.1859999999999999</v>
      </c>
    </row>
    <row r="586" spans="1:5" x14ac:dyDescent="0.25">
      <c r="A586" s="32" t="s">
        <v>767</v>
      </c>
      <c r="B586" s="7">
        <v>2020</v>
      </c>
      <c r="C586" s="51" t="s">
        <v>712</v>
      </c>
      <c r="D586" t="s">
        <v>715</v>
      </c>
      <c r="E586" s="2">
        <v>10.034000000000001</v>
      </c>
    </row>
    <row r="587" spans="1:5" x14ac:dyDescent="0.25">
      <c r="A587" s="32" t="s">
        <v>767</v>
      </c>
      <c r="B587" s="7">
        <v>2020</v>
      </c>
      <c r="C587" s="51" t="s">
        <v>710</v>
      </c>
      <c r="D587" t="s">
        <v>715</v>
      </c>
      <c r="E587" s="2">
        <v>9.1</v>
      </c>
    </row>
    <row r="588" spans="1:5" x14ac:dyDescent="0.25">
      <c r="A588" s="32" t="s">
        <v>767</v>
      </c>
      <c r="B588" s="7">
        <v>2020</v>
      </c>
      <c r="C588" s="51" t="s">
        <v>702</v>
      </c>
      <c r="D588" t="s">
        <v>715</v>
      </c>
      <c r="E588" s="2">
        <v>9.5890000000000004</v>
      </c>
    </row>
    <row r="589" spans="1:5" x14ac:dyDescent="0.25">
      <c r="A589" s="32" t="s">
        <v>767</v>
      </c>
      <c r="B589" s="7">
        <v>2020</v>
      </c>
      <c r="C589" s="51" t="s">
        <v>703</v>
      </c>
      <c r="D589" t="s">
        <v>715</v>
      </c>
      <c r="E589" s="2">
        <v>8.375</v>
      </c>
    </row>
    <row r="590" spans="1:5" x14ac:dyDescent="0.25">
      <c r="A590" s="32" t="s">
        <v>767</v>
      </c>
      <c r="B590" s="7">
        <v>2020</v>
      </c>
      <c r="C590" s="51" t="s">
        <v>704</v>
      </c>
      <c r="D590" t="s">
        <v>715</v>
      </c>
      <c r="E590" s="2">
        <v>8.4209999999999994</v>
      </c>
    </row>
    <row r="591" spans="1:5" x14ac:dyDescent="0.25">
      <c r="A591" s="32" t="s">
        <v>767</v>
      </c>
      <c r="B591" s="7">
        <v>2020</v>
      </c>
      <c r="C591" s="51" t="s">
        <v>705</v>
      </c>
      <c r="D591" t="s">
        <v>715</v>
      </c>
      <c r="E591" s="2">
        <v>8.2159999999999993</v>
      </c>
    </row>
    <row r="592" spans="1:5" x14ac:dyDescent="0.25">
      <c r="A592" s="32" t="s">
        <v>767</v>
      </c>
      <c r="B592" s="7">
        <v>2020</v>
      </c>
      <c r="C592" s="51" t="s">
        <v>706</v>
      </c>
      <c r="D592" t="s">
        <v>715</v>
      </c>
      <c r="E592" s="2">
        <v>9.3439999999999994</v>
      </c>
    </row>
    <row r="593" spans="1:5" x14ac:dyDescent="0.25">
      <c r="A593" s="32" t="s">
        <v>767</v>
      </c>
      <c r="B593" s="7">
        <v>2021</v>
      </c>
      <c r="C593" s="51" t="s">
        <v>713</v>
      </c>
      <c r="D593" t="s">
        <v>715</v>
      </c>
      <c r="E593" s="2">
        <v>8.0549999999999997</v>
      </c>
    </row>
    <row r="594" spans="1:5" x14ac:dyDescent="0.25">
      <c r="A594" s="32" t="s">
        <v>767</v>
      </c>
      <c r="B594" s="7">
        <v>2021</v>
      </c>
      <c r="C594" s="51" t="s">
        <v>707</v>
      </c>
      <c r="D594" t="s">
        <v>715</v>
      </c>
      <c r="E594" s="2">
        <v>7.952</v>
      </c>
    </row>
    <row r="595" spans="1:5" x14ac:dyDescent="0.25">
      <c r="A595" s="32" t="s">
        <v>767</v>
      </c>
      <c r="B595" s="7">
        <v>2021</v>
      </c>
      <c r="C595" s="51" t="s">
        <v>708</v>
      </c>
      <c r="D595" t="s">
        <v>715</v>
      </c>
      <c r="E595" s="2">
        <v>8.3620000000000001</v>
      </c>
    </row>
    <row r="596" spans="1:5" x14ac:dyDescent="0.25">
      <c r="A596" s="32" t="s">
        <v>767</v>
      </c>
      <c r="B596" s="7">
        <v>2021</v>
      </c>
      <c r="C596" s="51" t="s">
        <v>699</v>
      </c>
      <c r="D596" t="s">
        <v>715</v>
      </c>
      <c r="E596" s="2">
        <v>7.9749999999999996</v>
      </c>
    </row>
    <row r="597" spans="1:5" x14ac:dyDescent="0.25">
      <c r="A597" s="32" t="s">
        <v>767</v>
      </c>
      <c r="B597" s="7">
        <v>2021</v>
      </c>
      <c r="C597" s="51" t="s">
        <v>709</v>
      </c>
      <c r="D597" t="s">
        <v>715</v>
      </c>
      <c r="E597" s="2">
        <v>7.7210000000000001</v>
      </c>
    </row>
    <row r="598" spans="1:5" x14ac:dyDescent="0.25">
      <c r="A598" s="32" t="s">
        <v>767</v>
      </c>
      <c r="B598" s="7">
        <v>2021</v>
      </c>
      <c r="C598" s="51" t="s">
        <v>712</v>
      </c>
      <c r="D598" t="s">
        <v>715</v>
      </c>
      <c r="E598" s="2">
        <v>8.1880000000000006</v>
      </c>
    </row>
    <row r="599" spans="1:5" x14ac:dyDescent="0.25">
      <c r="A599" s="32" t="s">
        <v>767</v>
      </c>
      <c r="B599" s="7">
        <v>2021</v>
      </c>
      <c r="C599" s="51" t="s">
        <v>710</v>
      </c>
      <c r="D599" t="s">
        <v>715</v>
      </c>
      <c r="E599" s="2">
        <v>9.0519999999999996</v>
      </c>
    </row>
    <row r="600" spans="1:5" x14ac:dyDescent="0.25">
      <c r="A600" s="32" t="s">
        <v>767</v>
      </c>
      <c r="B600" s="7">
        <v>2021</v>
      </c>
      <c r="C600" s="51" t="s">
        <v>702</v>
      </c>
      <c r="D600" t="s">
        <v>715</v>
      </c>
      <c r="E600" s="2">
        <v>10.233000000000001</v>
      </c>
    </row>
    <row r="601" spans="1:5" x14ac:dyDescent="0.25">
      <c r="A601" s="32" t="s">
        <v>767</v>
      </c>
      <c r="B601" s="7">
        <v>2021</v>
      </c>
      <c r="C601" s="51" t="s">
        <v>703</v>
      </c>
      <c r="D601" t="s">
        <v>715</v>
      </c>
      <c r="E601" s="2">
        <v>10.481</v>
      </c>
    </row>
    <row r="602" spans="1:5" x14ac:dyDescent="0.25">
      <c r="A602" s="32" t="s">
        <v>767</v>
      </c>
      <c r="B602" s="7">
        <v>2021</v>
      </c>
      <c r="C602" s="51" t="s">
        <v>704</v>
      </c>
      <c r="D602" t="s">
        <v>715</v>
      </c>
      <c r="E602" s="2">
        <v>8.26</v>
      </c>
    </row>
    <row r="603" spans="1:5" x14ac:dyDescent="0.25">
      <c r="A603" s="32" t="s">
        <v>767</v>
      </c>
      <c r="B603" s="7">
        <v>2021</v>
      </c>
      <c r="C603" s="51" t="s">
        <v>705</v>
      </c>
      <c r="D603" t="s">
        <v>715</v>
      </c>
      <c r="E603" s="2">
        <v>6.9939999999999998</v>
      </c>
    </row>
    <row r="604" spans="1:5" x14ac:dyDescent="0.25">
      <c r="A604" s="32" t="s">
        <v>767</v>
      </c>
      <c r="B604" s="7">
        <v>2021</v>
      </c>
      <c r="C604" s="51" t="s">
        <v>706</v>
      </c>
      <c r="D604" t="s">
        <v>715</v>
      </c>
      <c r="E604" s="2">
        <v>6.9509999999999996</v>
      </c>
    </row>
    <row r="605" spans="1:5" x14ac:dyDescent="0.25">
      <c r="A605" s="32" t="s">
        <v>767</v>
      </c>
      <c r="B605" s="7">
        <v>2022</v>
      </c>
      <c r="C605" s="51" t="s">
        <v>713</v>
      </c>
      <c r="D605" t="s">
        <v>715</v>
      </c>
      <c r="E605" s="2">
        <v>9.2590000000000003</v>
      </c>
    </row>
    <row r="606" spans="1:5" x14ac:dyDescent="0.25">
      <c r="A606" s="32" t="s">
        <v>767</v>
      </c>
      <c r="B606" s="7">
        <v>2022</v>
      </c>
      <c r="C606" s="51" t="s">
        <v>707</v>
      </c>
      <c r="D606" t="s">
        <v>715</v>
      </c>
      <c r="E606" s="2">
        <v>8.1980000000000004</v>
      </c>
    </row>
    <row r="607" spans="1:5" x14ac:dyDescent="0.25">
      <c r="A607" s="32" t="s">
        <v>767</v>
      </c>
      <c r="B607" s="7">
        <v>2022</v>
      </c>
      <c r="C607" s="51" t="s">
        <v>708</v>
      </c>
      <c r="D607" t="s">
        <v>715</v>
      </c>
      <c r="E607" s="2">
        <v>7.9539999999999997</v>
      </c>
    </row>
    <row r="608" spans="1:5" x14ac:dyDescent="0.25">
      <c r="A608" s="32" t="s">
        <v>767</v>
      </c>
      <c r="B608" s="7">
        <v>2022</v>
      </c>
      <c r="C608" s="51" t="s">
        <v>699</v>
      </c>
      <c r="D608" t="s">
        <v>715</v>
      </c>
      <c r="E608" s="2">
        <v>7.1440000000000001</v>
      </c>
    </row>
    <row r="609" spans="1:5" x14ac:dyDescent="0.25">
      <c r="A609" s="32" t="s">
        <v>767</v>
      </c>
      <c r="B609" s="7">
        <v>2022</v>
      </c>
      <c r="C609" s="51" t="s">
        <v>709</v>
      </c>
      <c r="D609" t="s">
        <v>715</v>
      </c>
      <c r="E609" s="2">
        <v>9.3330000000000002</v>
      </c>
    </row>
    <row r="610" spans="1:5" x14ac:dyDescent="0.25">
      <c r="A610" s="32" t="s">
        <v>767</v>
      </c>
      <c r="B610" s="7">
        <v>2022</v>
      </c>
      <c r="C610" s="51" t="s">
        <v>712</v>
      </c>
      <c r="D610" t="s">
        <v>715</v>
      </c>
      <c r="E610" s="2">
        <v>6.891</v>
      </c>
    </row>
    <row r="611" spans="1:5" x14ac:dyDescent="0.25">
      <c r="A611" s="32" t="s">
        <v>767</v>
      </c>
      <c r="B611" s="7">
        <v>2022</v>
      </c>
      <c r="C611" s="51" t="s">
        <v>710</v>
      </c>
      <c r="D611" t="s">
        <v>715</v>
      </c>
      <c r="E611" s="2">
        <v>6.5869999999999997</v>
      </c>
    </row>
    <row r="612" spans="1:5" x14ac:dyDescent="0.25">
      <c r="A612" s="32" t="s">
        <v>767</v>
      </c>
      <c r="B612" s="7">
        <v>2022</v>
      </c>
      <c r="C612" s="51" t="s">
        <v>702</v>
      </c>
      <c r="D612" t="s">
        <v>715</v>
      </c>
      <c r="E612" s="2">
        <v>6.5880000000000001</v>
      </c>
    </row>
    <row r="613" spans="1:5" x14ac:dyDescent="0.25">
      <c r="A613" s="32" t="s">
        <v>767</v>
      </c>
      <c r="B613" s="7">
        <v>2022</v>
      </c>
      <c r="C613" s="51" t="s">
        <v>703</v>
      </c>
      <c r="D613" t="s">
        <v>715</v>
      </c>
      <c r="E613" s="2">
        <v>6.6920000000000002</v>
      </c>
    </row>
    <row r="614" spans="1:5" x14ac:dyDescent="0.25">
      <c r="A614" s="32" t="s">
        <v>767</v>
      </c>
      <c r="B614" s="7">
        <v>2022</v>
      </c>
      <c r="C614" s="51" t="s">
        <v>704</v>
      </c>
      <c r="D614" t="s">
        <v>715</v>
      </c>
      <c r="E614" s="2">
        <v>7.3470000000000004</v>
      </c>
    </row>
    <row r="615" spans="1:5" x14ac:dyDescent="0.25">
      <c r="A615" s="32" t="s">
        <v>767</v>
      </c>
      <c r="B615" s="7">
        <v>2022</v>
      </c>
      <c r="C615" s="51" t="s">
        <v>705</v>
      </c>
      <c r="D615" t="s">
        <v>715</v>
      </c>
      <c r="E615" s="2">
        <v>7.4219999999999997</v>
      </c>
    </row>
    <row r="616" spans="1:5" x14ac:dyDescent="0.25">
      <c r="A616" s="32" t="s">
        <v>767</v>
      </c>
      <c r="B616" s="7">
        <v>2022</v>
      </c>
      <c r="C616" s="51" t="s">
        <v>706</v>
      </c>
      <c r="D616" t="s">
        <v>715</v>
      </c>
      <c r="E616" s="2">
        <v>7.9870000000000001</v>
      </c>
    </row>
    <row r="617" spans="1:5" x14ac:dyDescent="0.25">
      <c r="A617" s="32" t="s">
        <v>767</v>
      </c>
      <c r="B617" s="7">
        <v>2023</v>
      </c>
      <c r="C617" s="51" t="s">
        <v>713</v>
      </c>
      <c r="D617" t="s">
        <v>715</v>
      </c>
      <c r="E617" s="2">
        <v>7.0389999999999997</v>
      </c>
    </row>
    <row r="618" spans="1:5" x14ac:dyDescent="0.25">
      <c r="A618" s="32" t="s">
        <v>767</v>
      </c>
      <c r="B618" s="7">
        <v>2023</v>
      </c>
      <c r="C618" s="51" t="s">
        <v>707</v>
      </c>
      <c r="D618" t="s">
        <v>715</v>
      </c>
      <c r="E618" s="2">
        <v>6.7130000000000001</v>
      </c>
    </row>
    <row r="619" spans="1:5" x14ac:dyDescent="0.25">
      <c r="A619" s="32" t="s">
        <v>767</v>
      </c>
      <c r="B619" s="7">
        <v>2023</v>
      </c>
      <c r="C619" s="51" t="s">
        <v>708</v>
      </c>
      <c r="D619" t="s">
        <v>715</v>
      </c>
      <c r="E619" s="2">
        <v>7.2329999999999997</v>
      </c>
    </row>
    <row r="620" spans="1:5" x14ac:dyDescent="0.25">
      <c r="A620" s="32" t="s">
        <v>767</v>
      </c>
      <c r="B620" s="7">
        <v>2023</v>
      </c>
      <c r="C620" s="51" t="s">
        <v>699</v>
      </c>
      <c r="D620" t="s">
        <v>715</v>
      </c>
      <c r="E620" s="2">
        <v>6.7110000000000003</v>
      </c>
    </row>
    <row r="621" spans="1:5" x14ac:dyDescent="0.25">
      <c r="A621" s="32" t="s">
        <v>767</v>
      </c>
      <c r="B621" s="7">
        <v>2023</v>
      </c>
      <c r="C621" s="51" t="s">
        <v>709</v>
      </c>
      <c r="D621" t="s">
        <v>715</v>
      </c>
      <c r="E621" s="2">
        <v>6.8780000000000001</v>
      </c>
    </row>
    <row r="622" spans="1:5" x14ac:dyDescent="0.25">
      <c r="A622" s="32" t="s">
        <v>767</v>
      </c>
      <c r="B622" s="7">
        <v>2023</v>
      </c>
      <c r="C622" s="51" t="s">
        <v>712</v>
      </c>
      <c r="D622" t="s">
        <v>715</v>
      </c>
      <c r="E622" s="2">
        <v>6.649</v>
      </c>
    </row>
    <row r="623" spans="1:5" x14ac:dyDescent="0.25">
      <c r="A623" s="32" t="s">
        <v>767</v>
      </c>
      <c r="B623" s="7">
        <v>2023</v>
      </c>
      <c r="C623" s="51" t="s">
        <v>710</v>
      </c>
      <c r="D623" t="s">
        <v>715</v>
      </c>
      <c r="E623" s="2">
        <v>6.8259999999999996</v>
      </c>
    </row>
    <row r="624" spans="1:5" x14ac:dyDescent="0.25">
      <c r="A624" s="32" t="s">
        <v>767</v>
      </c>
      <c r="B624" s="7">
        <v>2023</v>
      </c>
      <c r="C624" s="51" t="s">
        <v>702</v>
      </c>
      <c r="D624" t="s">
        <v>715</v>
      </c>
      <c r="E624" s="2">
        <v>6.8310000000000004</v>
      </c>
    </row>
    <row r="625" spans="1:5" x14ac:dyDescent="0.25">
      <c r="A625" s="32" t="s">
        <v>767</v>
      </c>
      <c r="B625" s="7">
        <v>2023</v>
      </c>
      <c r="C625" s="51" t="s">
        <v>703</v>
      </c>
      <c r="D625" t="s">
        <v>715</v>
      </c>
      <c r="E625" s="2">
        <v>7.4059999999999997</v>
      </c>
    </row>
    <row r="626" spans="1:5" x14ac:dyDescent="0.25">
      <c r="A626" s="32" t="s">
        <v>767</v>
      </c>
      <c r="B626" s="7">
        <v>1997</v>
      </c>
      <c r="C626" s="51" t="s">
        <v>704</v>
      </c>
      <c r="D626" t="s">
        <v>734</v>
      </c>
      <c r="E626" s="2">
        <v>15.3</v>
      </c>
    </row>
    <row r="627" spans="1:5" x14ac:dyDescent="0.25">
      <c r="A627" s="32" t="s">
        <v>767</v>
      </c>
      <c r="B627" s="7">
        <v>1997</v>
      </c>
      <c r="C627" s="51" t="s">
        <v>705</v>
      </c>
      <c r="D627" t="s">
        <v>734</v>
      </c>
      <c r="E627" s="2">
        <v>19.870999999999999</v>
      </c>
    </row>
    <row r="628" spans="1:5" x14ac:dyDescent="0.25">
      <c r="A628" s="32" t="s">
        <v>767</v>
      </c>
      <c r="B628" s="7">
        <v>1997</v>
      </c>
      <c r="C628" s="51" t="s">
        <v>706</v>
      </c>
      <c r="D628" t="s">
        <v>734</v>
      </c>
      <c r="E628" s="2">
        <v>16.622</v>
      </c>
    </row>
    <row r="629" spans="1:5" x14ac:dyDescent="0.25">
      <c r="A629" s="32" t="s">
        <v>767</v>
      </c>
      <c r="B629" s="7">
        <v>1998</v>
      </c>
      <c r="C629" s="51" t="s">
        <v>713</v>
      </c>
      <c r="D629" t="s">
        <v>734</v>
      </c>
      <c r="E629" s="2">
        <v>21.83</v>
      </c>
    </row>
    <row r="630" spans="1:5" x14ac:dyDescent="0.25">
      <c r="A630" s="32" t="s">
        <v>767</v>
      </c>
      <c r="B630" s="7">
        <v>1998</v>
      </c>
      <c r="C630" s="51" t="s">
        <v>707</v>
      </c>
      <c r="D630" t="s">
        <v>734</v>
      </c>
      <c r="E630" s="2">
        <v>21.975999999999999</v>
      </c>
    </row>
    <row r="631" spans="1:5" x14ac:dyDescent="0.25">
      <c r="A631" s="32" t="s">
        <v>767</v>
      </c>
      <c r="B631" s="7">
        <v>1998</v>
      </c>
      <c r="C631" s="51" t="s">
        <v>708</v>
      </c>
      <c r="D631" t="s">
        <v>734</v>
      </c>
      <c r="E631" s="2">
        <v>22.815000000000001</v>
      </c>
    </row>
    <row r="632" spans="1:5" x14ac:dyDescent="0.25">
      <c r="A632" s="32" t="s">
        <v>767</v>
      </c>
      <c r="B632" s="7">
        <v>1998</v>
      </c>
      <c r="C632" s="51" t="s">
        <v>699</v>
      </c>
      <c r="D632" t="s">
        <v>734</v>
      </c>
      <c r="E632" s="2">
        <v>16.111999999999998</v>
      </c>
    </row>
    <row r="633" spans="1:5" x14ac:dyDescent="0.25">
      <c r="A633" s="32" t="s">
        <v>767</v>
      </c>
      <c r="B633" s="7">
        <v>1998</v>
      </c>
      <c r="C633" s="51" t="s">
        <v>709</v>
      </c>
      <c r="D633" t="s">
        <v>734</v>
      </c>
      <c r="E633" s="2">
        <v>17.524999999999999</v>
      </c>
    </row>
    <row r="634" spans="1:5" x14ac:dyDescent="0.25">
      <c r="A634" s="32" t="s">
        <v>767</v>
      </c>
      <c r="B634" s="7">
        <v>1998</v>
      </c>
      <c r="C634" s="51" t="s">
        <v>712</v>
      </c>
      <c r="D634" t="s">
        <v>734</v>
      </c>
      <c r="E634" s="2">
        <v>15.739000000000001</v>
      </c>
    </row>
    <row r="635" spans="1:5" x14ac:dyDescent="0.25">
      <c r="A635" s="32" t="s">
        <v>767</v>
      </c>
      <c r="B635" s="7">
        <v>1998</v>
      </c>
      <c r="C635" s="51" t="s">
        <v>710</v>
      </c>
      <c r="D635" t="s">
        <v>734</v>
      </c>
      <c r="E635" s="2">
        <v>14.55</v>
      </c>
    </row>
    <row r="636" spans="1:5" x14ac:dyDescent="0.25">
      <c r="A636" s="32" t="s">
        <v>767</v>
      </c>
      <c r="B636" s="7">
        <v>1998</v>
      </c>
      <c r="C636" s="51" t="s">
        <v>702</v>
      </c>
      <c r="D636" t="s">
        <v>734</v>
      </c>
      <c r="E636" s="2">
        <v>14.492000000000001</v>
      </c>
    </row>
    <row r="637" spans="1:5" x14ac:dyDescent="0.25">
      <c r="A637" s="32" t="s">
        <v>767</v>
      </c>
      <c r="B637" s="7">
        <v>1998</v>
      </c>
      <c r="C637" s="51" t="s">
        <v>703</v>
      </c>
      <c r="D637" t="s">
        <v>734</v>
      </c>
      <c r="E637" s="2">
        <v>13.978</v>
      </c>
    </row>
    <row r="638" spans="1:5" x14ac:dyDescent="0.25">
      <c r="A638" s="32" t="s">
        <v>767</v>
      </c>
      <c r="B638" s="7">
        <v>1998</v>
      </c>
      <c r="C638" s="51" t="s">
        <v>704</v>
      </c>
      <c r="D638" t="s">
        <v>734</v>
      </c>
      <c r="E638" s="2">
        <v>14.420999999999999</v>
      </c>
    </row>
    <row r="639" spans="1:5" x14ac:dyDescent="0.25">
      <c r="A639" s="32" t="s">
        <v>767</v>
      </c>
      <c r="B639" s="7">
        <v>1998</v>
      </c>
      <c r="C639" s="51" t="s">
        <v>705</v>
      </c>
      <c r="D639" t="s">
        <v>734</v>
      </c>
      <c r="E639" s="2">
        <v>14.097</v>
      </c>
    </row>
    <row r="640" spans="1:5" x14ac:dyDescent="0.25">
      <c r="A640" s="32" t="s">
        <v>767</v>
      </c>
      <c r="B640" s="7">
        <v>1998</v>
      </c>
      <c r="C640" s="51" t="s">
        <v>706</v>
      </c>
      <c r="D640" t="s">
        <v>734</v>
      </c>
      <c r="E640" s="2">
        <v>14.105</v>
      </c>
    </row>
    <row r="641" spans="1:5" x14ac:dyDescent="0.25">
      <c r="A641" s="32" t="s">
        <v>767</v>
      </c>
      <c r="B641" s="7">
        <v>1999</v>
      </c>
      <c r="C641" s="51" t="s">
        <v>713</v>
      </c>
      <c r="D641" t="s">
        <v>734</v>
      </c>
      <c r="E641" s="2">
        <v>18.227</v>
      </c>
    </row>
    <row r="642" spans="1:5" x14ac:dyDescent="0.25">
      <c r="A642" s="32" t="s">
        <v>767</v>
      </c>
      <c r="B642" s="7">
        <v>1999</v>
      </c>
      <c r="C642" s="51" t="s">
        <v>707</v>
      </c>
      <c r="D642" t="s">
        <v>734</v>
      </c>
      <c r="E642" s="2">
        <v>14.346</v>
      </c>
    </row>
    <row r="643" spans="1:5" x14ac:dyDescent="0.25">
      <c r="A643" s="32" t="s">
        <v>767</v>
      </c>
      <c r="B643" s="7">
        <v>1999</v>
      </c>
      <c r="C643" s="51" t="s">
        <v>708</v>
      </c>
      <c r="D643" t="s">
        <v>734</v>
      </c>
      <c r="E643" s="2">
        <v>19.135999999999999</v>
      </c>
    </row>
    <row r="644" spans="1:5" x14ac:dyDescent="0.25">
      <c r="A644" s="32" t="s">
        <v>767</v>
      </c>
      <c r="B644" s="7">
        <v>1999</v>
      </c>
      <c r="C644" s="51" t="s">
        <v>699</v>
      </c>
      <c r="D644" t="s">
        <v>734</v>
      </c>
      <c r="E644" s="2">
        <v>15.077</v>
      </c>
    </row>
    <row r="645" spans="1:5" x14ac:dyDescent="0.25">
      <c r="A645" s="32" t="s">
        <v>767</v>
      </c>
      <c r="B645" s="7">
        <v>1999</v>
      </c>
      <c r="C645" s="51" t="s">
        <v>709</v>
      </c>
      <c r="D645" t="s">
        <v>734</v>
      </c>
      <c r="E645" s="2">
        <v>15.342000000000001</v>
      </c>
    </row>
    <row r="646" spans="1:5" x14ac:dyDescent="0.25">
      <c r="A646" s="32" t="s">
        <v>767</v>
      </c>
      <c r="B646" s="7">
        <v>1999</v>
      </c>
      <c r="C646" s="51" t="s">
        <v>712</v>
      </c>
      <c r="D646" t="s">
        <v>734</v>
      </c>
      <c r="E646" s="2">
        <v>14.724</v>
      </c>
    </row>
    <row r="647" spans="1:5" x14ac:dyDescent="0.25">
      <c r="A647" s="32" t="s">
        <v>767</v>
      </c>
      <c r="B647" s="7">
        <v>1999</v>
      </c>
      <c r="C647" s="51" t="s">
        <v>710</v>
      </c>
      <c r="D647" t="s">
        <v>734</v>
      </c>
      <c r="E647" s="2">
        <v>15.103</v>
      </c>
    </row>
    <row r="648" spans="1:5" x14ac:dyDescent="0.25">
      <c r="A648" s="32" t="s">
        <v>767</v>
      </c>
      <c r="B648" s="7">
        <v>1999</v>
      </c>
      <c r="C648" s="51" t="s">
        <v>702</v>
      </c>
      <c r="D648" t="s">
        <v>734</v>
      </c>
      <c r="E648" s="2">
        <v>14.795999999999999</v>
      </c>
    </row>
    <row r="649" spans="1:5" x14ac:dyDescent="0.25">
      <c r="A649" s="32" t="s">
        <v>767</v>
      </c>
      <c r="B649" s="7">
        <v>1999</v>
      </c>
      <c r="C649" s="51" t="s">
        <v>703</v>
      </c>
      <c r="D649" t="s">
        <v>734</v>
      </c>
      <c r="E649" s="2">
        <v>17.922000000000001</v>
      </c>
    </row>
    <row r="650" spans="1:5" x14ac:dyDescent="0.25">
      <c r="A650" s="32" t="s">
        <v>767</v>
      </c>
      <c r="B650" s="7">
        <v>1999</v>
      </c>
      <c r="C650" s="51" t="s">
        <v>704</v>
      </c>
      <c r="D650" t="s">
        <v>734</v>
      </c>
      <c r="E650" s="2">
        <v>17.7</v>
      </c>
    </row>
    <row r="651" spans="1:5" x14ac:dyDescent="0.25">
      <c r="A651" s="32" t="s">
        <v>767</v>
      </c>
      <c r="B651" s="7">
        <v>1999</v>
      </c>
      <c r="C651" s="51" t="s">
        <v>705</v>
      </c>
      <c r="D651" t="s">
        <v>734</v>
      </c>
      <c r="E651" s="2">
        <v>15.55</v>
      </c>
    </row>
    <row r="652" spans="1:5" x14ac:dyDescent="0.25">
      <c r="A652" s="32" t="s">
        <v>767</v>
      </c>
      <c r="B652" s="7">
        <v>1999</v>
      </c>
      <c r="C652" s="51" t="s">
        <v>706</v>
      </c>
      <c r="D652" t="s">
        <v>734</v>
      </c>
      <c r="E652" s="2">
        <v>15.128</v>
      </c>
    </row>
    <row r="653" spans="1:5" x14ac:dyDescent="0.25">
      <c r="A653" s="32" t="s">
        <v>767</v>
      </c>
      <c r="B653" s="7">
        <v>2000</v>
      </c>
      <c r="C653" s="51" t="s">
        <v>713</v>
      </c>
      <c r="D653" t="s">
        <v>734</v>
      </c>
      <c r="E653" s="2">
        <v>15.314</v>
      </c>
    </row>
    <row r="654" spans="1:5" x14ac:dyDescent="0.25">
      <c r="A654" s="32" t="s">
        <v>767</v>
      </c>
      <c r="B654" s="7">
        <v>2000</v>
      </c>
      <c r="C654" s="51" t="s">
        <v>707</v>
      </c>
      <c r="D654" t="s">
        <v>734</v>
      </c>
      <c r="E654" s="2">
        <v>18.201000000000001</v>
      </c>
    </row>
    <row r="655" spans="1:5" x14ac:dyDescent="0.25">
      <c r="A655" s="32" t="s">
        <v>767</v>
      </c>
      <c r="B655" s="7">
        <v>2000</v>
      </c>
      <c r="C655" s="51" t="s">
        <v>708</v>
      </c>
      <c r="D655" t="s">
        <v>734</v>
      </c>
      <c r="E655" s="2">
        <v>19.218</v>
      </c>
    </row>
    <row r="656" spans="1:5" x14ac:dyDescent="0.25">
      <c r="A656" s="32" t="s">
        <v>767</v>
      </c>
      <c r="B656" s="7">
        <v>2000</v>
      </c>
      <c r="C656" s="51" t="s">
        <v>699</v>
      </c>
      <c r="D656" t="s">
        <v>734</v>
      </c>
      <c r="E656" s="2">
        <v>19.542000000000002</v>
      </c>
    </row>
    <row r="657" spans="1:5" x14ac:dyDescent="0.25">
      <c r="A657" s="32" t="s">
        <v>767</v>
      </c>
      <c r="B657" s="7">
        <v>2000</v>
      </c>
      <c r="C657" s="51" t="s">
        <v>709</v>
      </c>
      <c r="D657" t="s">
        <v>734</v>
      </c>
      <c r="E657" s="2">
        <v>16.407</v>
      </c>
    </row>
    <row r="658" spans="1:5" x14ac:dyDescent="0.25">
      <c r="A658" s="32" t="s">
        <v>767</v>
      </c>
      <c r="B658" s="7">
        <v>2000</v>
      </c>
      <c r="C658" s="51" t="s">
        <v>712</v>
      </c>
      <c r="D658" t="s">
        <v>734</v>
      </c>
      <c r="E658" s="2">
        <v>16.024999999999999</v>
      </c>
    </row>
    <row r="659" spans="1:5" x14ac:dyDescent="0.25">
      <c r="A659" s="32" t="s">
        <v>767</v>
      </c>
      <c r="B659" s="7">
        <v>2000</v>
      </c>
      <c r="C659" s="51" t="s">
        <v>710</v>
      </c>
      <c r="D659" t="s">
        <v>734</v>
      </c>
      <c r="E659" s="2">
        <v>16.207999999999998</v>
      </c>
    </row>
    <row r="660" spans="1:5" x14ac:dyDescent="0.25">
      <c r="A660" s="32" t="s">
        <v>767</v>
      </c>
      <c r="B660" s="7">
        <v>2000</v>
      </c>
      <c r="C660" s="51" t="s">
        <v>702</v>
      </c>
      <c r="D660" t="s">
        <v>734</v>
      </c>
      <c r="E660" s="2">
        <v>17.699000000000002</v>
      </c>
    </row>
    <row r="661" spans="1:5" x14ac:dyDescent="0.25">
      <c r="A661" s="32" t="s">
        <v>767</v>
      </c>
      <c r="B661" s="7">
        <v>2000</v>
      </c>
      <c r="C661" s="51" t="s">
        <v>703</v>
      </c>
      <c r="D661" t="s">
        <v>734</v>
      </c>
      <c r="E661" s="2">
        <v>16.905000000000001</v>
      </c>
    </row>
    <row r="662" spans="1:5" x14ac:dyDescent="0.25">
      <c r="A662" s="32" t="s">
        <v>767</v>
      </c>
      <c r="B662" s="7">
        <v>2000</v>
      </c>
      <c r="C662" s="51" t="s">
        <v>704</v>
      </c>
      <c r="D662" t="s">
        <v>734</v>
      </c>
      <c r="E662" s="2">
        <v>16.018999999999998</v>
      </c>
    </row>
    <row r="663" spans="1:5" x14ac:dyDescent="0.25">
      <c r="A663" s="32" t="s">
        <v>767</v>
      </c>
      <c r="B663" s="7">
        <v>2000</v>
      </c>
      <c r="C663" s="51" t="s">
        <v>705</v>
      </c>
      <c r="D663" t="s">
        <v>734</v>
      </c>
      <c r="E663" s="2">
        <v>14.154999999999999</v>
      </c>
    </row>
    <row r="664" spans="1:5" x14ac:dyDescent="0.25">
      <c r="A664" s="32" t="s">
        <v>767</v>
      </c>
      <c r="B664" s="7">
        <v>2000</v>
      </c>
      <c r="C664" s="51" t="s">
        <v>706</v>
      </c>
      <c r="D664" t="s">
        <v>734</v>
      </c>
      <c r="E664" s="2">
        <v>16.216999999999999</v>
      </c>
    </row>
    <row r="665" spans="1:5" x14ac:dyDescent="0.25">
      <c r="A665" s="32" t="s">
        <v>767</v>
      </c>
      <c r="B665" s="7">
        <v>2001</v>
      </c>
      <c r="C665" s="51" t="s">
        <v>713</v>
      </c>
      <c r="D665" t="s">
        <v>734</v>
      </c>
      <c r="E665" s="2">
        <v>17.015000000000001</v>
      </c>
    </row>
    <row r="666" spans="1:5" x14ac:dyDescent="0.25">
      <c r="A666" s="32" t="s">
        <v>767</v>
      </c>
      <c r="B666" s="7">
        <v>2001</v>
      </c>
      <c r="C666" s="51" t="s">
        <v>707</v>
      </c>
      <c r="D666" t="s">
        <v>734</v>
      </c>
      <c r="E666" s="2">
        <v>15.167999999999999</v>
      </c>
    </row>
    <row r="667" spans="1:5" x14ac:dyDescent="0.25">
      <c r="A667" s="32" t="s">
        <v>767</v>
      </c>
      <c r="B667" s="7">
        <v>2001</v>
      </c>
      <c r="C667" s="51" t="s">
        <v>708</v>
      </c>
      <c r="D667" t="s">
        <v>734</v>
      </c>
      <c r="E667" s="2">
        <v>18.218</v>
      </c>
    </row>
    <row r="668" spans="1:5" x14ac:dyDescent="0.25">
      <c r="A668" s="32" t="s">
        <v>767</v>
      </c>
      <c r="B668" s="7">
        <v>2001</v>
      </c>
      <c r="C668" s="51" t="s">
        <v>699</v>
      </c>
      <c r="D668" t="s">
        <v>734</v>
      </c>
      <c r="E668" s="2">
        <v>15.856</v>
      </c>
    </row>
    <row r="669" spans="1:5" x14ac:dyDescent="0.25">
      <c r="A669" s="32" t="s">
        <v>767</v>
      </c>
      <c r="B669" s="7">
        <v>2001</v>
      </c>
      <c r="C669" s="51" t="s">
        <v>709</v>
      </c>
      <c r="D669" t="s">
        <v>734</v>
      </c>
      <c r="E669" s="2">
        <v>15.423999999999999</v>
      </c>
    </row>
    <row r="670" spans="1:5" x14ac:dyDescent="0.25">
      <c r="A670" s="32" t="s">
        <v>767</v>
      </c>
      <c r="B670" s="7">
        <v>2001</v>
      </c>
      <c r="C670" s="51" t="s">
        <v>712</v>
      </c>
      <c r="D670" t="s">
        <v>734</v>
      </c>
      <c r="E670" s="2">
        <v>15.166</v>
      </c>
    </row>
    <row r="671" spans="1:5" x14ac:dyDescent="0.25">
      <c r="A671" s="32" t="s">
        <v>767</v>
      </c>
      <c r="B671" s="7">
        <v>2001</v>
      </c>
      <c r="C671" s="51" t="s">
        <v>710</v>
      </c>
      <c r="D671" t="s">
        <v>734</v>
      </c>
      <c r="E671" s="2">
        <v>15.331</v>
      </c>
    </row>
    <row r="672" spans="1:5" x14ac:dyDescent="0.25">
      <c r="A672" s="32" t="s">
        <v>767</v>
      </c>
      <c r="B672" s="7">
        <v>2001</v>
      </c>
      <c r="C672" s="51" t="s">
        <v>702</v>
      </c>
      <c r="D672" t="s">
        <v>734</v>
      </c>
      <c r="E672" s="2">
        <v>15.226000000000001</v>
      </c>
    </row>
    <row r="673" spans="1:5" x14ac:dyDescent="0.25">
      <c r="A673" s="32" t="s">
        <v>767</v>
      </c>
      <c r="B673" s="7">
        <v>2001</v>
      </c>
      <c r="C673" s="51" t="s">
        <v>703</v>
      </c>
      <c r="D673" t="s">
        <v>734</v>
      </c>
      <c r="E673" s="2">
        <v>14.441000000000001</v>
      </c>
    </row>
    <row r="674" spans="1:5" x14ac:dyDescent="0.25">
      <c r="A674" s="32" t="s">
        <v>767</v>
      </c>
      <c r="B674" s="7">
        <v>2001</v>
      </c>
      <c r="C674" s="51" t="s">
        <v>704</v>
      </c>
      <c r="D674" t="s">
        <v>734</v>
      </c>
      <c r="E674" s="2">
        <v>14.132999999999999</v>
      </c>
    </row>
    <row r="675" spans="1:5" x14ac:dyDescent="0.25">
      <c r="A675" s="32" t="s">
        <v>767</v>
      </c>
      <c r="B675" s="7">
        <v>2001</v>
      </c>
      <c r="C675" s="51" t="s">
        <v>705</v>
      </c>
      <c r="D675" t="s">
        <v>734</v>
      </c>
      <c r="E675" s="2">
        <v>13.853</v>
      </c>
    </row>
    <row r="676" spans="1:5" x14ac:dyDescent="0.25">
      <c r="A676" s="32" t="s">
        <v>767</v>
      </c>
      <c r="B676" s="7">
        <v>2001</v>
      </c>
      <c r="C676" s="51" t="s">
        <v>706</v>
      </c>
      <c r="D676" t="s">
        <v>734</v>
      </c>
      <c r="E676" s="2">
        <v>15.364000000000001</v>
      </c>
    </row>
    <row r="677" spans="1:5" x14ac:dyDescent="0.25">
      <c r="A677" s="32" t="s">
        <v>767</v>
      </c>
      <c r="B677" s="7">
        <v>2002</v>
      </c>
      <c r="C677" s="51" t="s">
        <v>713</v>
      </c>
      <c r="D677" t="s">
        <v>734</v>
      </c>
      <c r="E677" s="2">
        <v>15.333</v>
      </c>
    </row>
    <row r="678" spans="1:5" x14ac:dyDescent="0.25">
      <c r="A678" s="32" t="s">
        <v>767</v>
      </c>
      <c r="B678" s="7">
        <v>2002</v>
      </c>
      <c r="C678" s="51" t="s">
        <v>707</v>
      </c>
      <c r="D678" t="s">
        <v>734</v>
      </c>
      <c r="E678" s="2">
        <v>12.884</v>
      </c>
    </row>
    <row r="679" spans="1:5" x14ac:dyDescent="0.25">
      <c r="A679" s="32" t="s">
        <v>767</v>
      </c>
      <c r="B679" s="7">
        <v>2002</v>
      </c>
      <c r="C679" s="51" t="s">
        <v>708</v>
      </c>
      <c r="D679" t="s">
        <v>734</v>
      </c>
      <c r="E679" s="2">
        <v>18.829000000000001</v>
      </c>
    </row>
    <row r="680" spans="1:5" x14ac:dyDescent="0.25">
      <c r="A680" s="32" t="s">
        <v>767</v>
      </c>
      <c r="B680" s="7">
        <v>2002</v>
      </c>
      <c r="C680" s="51" t="s">
        <v>699</v>
      </c>
      <c r="D680" t="s">
        <v>734</v>
      </c>
      <c r="E680" s="2">
        <v>14.608000000000001</v>
      </c>
    </row>
    <row r="681" spans="1:5" x14ac:dyDescent="0.25">
      <c r="A681" s="32" t="s">
        <v>767</v>
      </c>
      <c r="B681" s="7">
        <v>2002</v>
      </c>
      <c r="C681" s="51" t="s">
        <v>709</v>
      </c>
      <c r="D681" t="s">
        <v>734</v>
      </c>
      <c r="E681" s="2">
        <v>15.699</v>
      </c>
    </row>
    <row r="682" spans="1:5" x14ac:dyDescent="0.25">
      <c r="A682" s="32" t="s">
        <v>767</v>
      </c>
      <c r="B682" s="7">
        <v>2002</v>
      </c>
      <c r="C682" s="51" t="s">
        <v>712</v>
      </c>
      <c r="D682" t="s">
        <v>734</v>
      </c>
      <c r="E682" s="2">
        <v>14.478</v>
      </c>
    </row>
    <row r="683" spans="1:5" x14ac:dyDescent="0.25">
      <c r="A683" s="32" t="s">
        <v>767</v>
      </c>
      <c r="B683" s="7">
        <v>2002</v>
      </c>
      <c r="C683" s="51" t="s">
        <v>710</v>
      </c>
      <c r="D683" t="s">
        <v>734</v>
      </c>
      <c r="E683" s="2">
        <v>15.763999999999999</v>
      </c>
    </row>
    <row r="684" spans="1:5" x14ac:dyDescent="0.25">
      <c r="A684" s="32" t="s">
        <v>767</v>
      </c>
      <c r="B684" s="7">
        <v>2002</v>
      </c>
      <c r="C684" s="51" t="s">
        <v>702</v>
      </c>
      <c r="D684" t="s">
        <v>734</v>
      </c>
      <c r="E684" s="2">
        <v>16.951000000000001</v>
      </c>
    </row>
    <row r="685" spans="1:5" x14ac:dyDescent="0.25">
      <c r="A685" s="32" t="s">
        <v>767</v>
      </c>
      <c r="B685" s="7">
        <v>2002</v>
      </c>
      <c r="C685" s="51" t="s">
        <v>703</v>
      </c>
      <c r="D685" t="s">
        <v>734</v>
      </c>
      <c r="E685" s="2">
        <v>16.359000000000002</v>
      </c>
    </row>
    <row r="686" spans="1:5" x14ac:dyDescent="0.25">
      <c r="A686" s="32" t="s">
        <v>767</v>
      </c>
      <c r="B686" s="7">
        <v>2002</v>
      </c>
      <c r="C686" s="51" t="s">
        <v>704</v>
      </c>
      <c r="D686" t="s">
        <v>734</v>
      </c>
      <c r="E686" s="2">
        <v>18.641999999999999</v>
      </c>
    </row>
    <row r="687" spans="1:5" x14ac:dyDescent="0.25">
      <c r="A687" s="32" t="s">
        <v>767</v>
      </c>
      <c r="B687" s="7">
        <v>2002</v>
      </c>
      <c r="C687" s="51" t="s">
        <v>705</v>
      </c>
      <c r="D687" t="s">
        <v>734</v>
      </c>
      <c r="E687" s="2">
        <v>20.588999999999999</v>
      </c>
    </row>
    <row r="688" spans="1:5" x14ac:dyDescent="0.25">
      <c r="A688" s="32" t="s">
        <v>767</v>
      </c>
      <c r="B688" s="7">
        <v>2002</v>
      </c>
      <c r="C688" s="51" t="s">
        <v>706</v>
      </c>
      <c r="D688" t="s">
        <v>734</v>
      </c>
      <c r="E688" s="2">
        <v>22.378</v>
      </c>
    </row>
    <row r="689" spans="1:5" x14ac:dyDescent="0.25">
      <c r="A689" s="32" t="s">
        <v>767</v>
      </c>
      <c r="B689" s="7">
        <v>2003</v>
      </c>
      <c r="C689" s="51" t="s">
        <v>713</v>
      </c>
      <c r="D689" t="s">
        <v>734</v>
      </c>
      <c r="E689" s="2">
        <v>21.417000000000002</v>
      </c>
    </row>
    <row r="690" spans="1:5" x14ac:dyDescent="0.25">
      <c r="A690" s="32" t="s">
        <v>767</v>
      </c>
      <c r="B690" s="7">
        <v>2003</v>
      </c>
      <c r="C690" s="51" t="s">
        <v>707</v>
      </c>
      <c r="D690" t="s">
        <v>734</v>
      </c>
      <c r="E690" s="2">
        <v>19.491</v>
      </c>
    </row>
    <row r="691" spans="1:5" x14ac:dyDescent="0.25">
      <c r="A691" s="32" t="s">
        <v>767</v>
      </c>
      <c r="B691" s="7">
        <v>2003</v>
      </c>
      <c r="C691" s="51" t="s">
        <v>708</v>
      </c>
      <c r="D691" t="s">
        <v>734</v>
      </c>
      <c r="E691" s="2">
        <v>24.666</v>
      </c>
    </row>
    <row r="692" spans="1:5" x14ac:dyDescent="0.25">
      <c r="A692" s="32" t="s">
        <v>767</v>
      </c>
      <c r="B692" s="7">
        <v>2003</v>
      </c>
      <c r="C692" s="51" t="s">
        <v>699</v>
      </c>
      <c r="D692" t="s">
        <v>734</v>
      </c>
      <c r="E692" s="2">
        <v>19.561</v>
      </c>
    </row>
    <row r="693" spans="1:5" x14ac:dyDescent="0.25">
      <c r="A693" s="32" t="s">
        <v>767</v>
      </c>
      <c r="B693" s="7">
        <v>2003</v>
      </c>
      <c r="C693" s="51" t="s">
        <v>709</v>
      </c>
      <c r="D693" t="s">
        <v>734</v>
      </c>
      <c r="E693" s="2">
        <v>23.21</v>
      </c>
    </row>
    <row r="694" spans="1:5" x14ac:dyDescent="0.25">
      <c r="A694" s="32" t="s">
        <v>767</v>
      </c>
      <c r="B694" s="7">
        <v>2003</v>
      </c>
      <c r="C694" s="51" t="s">
        <v>712</v>
      </c>
      <c r="D694" t="s">
        <v>734</v>
      </c>
      <c r="E694" s="2">
        <v>23.811</v>
      </c>
    </row>
    <row r="695" spans="1:5" x14ac:dyDescent="0.25">
      <c r="A695" s="32" t="s">
        <v>767</v>
      </c>
      <c r="B695" s="7">
        <v>2003</v>
      </c>
      <c r="C695" s="51" t="s">
        <v>710</v>
      </c>
      <c r="D695" t="s">
        <v>734</v>
      </c>
      <c r="E695" s="2">
        <v>17.765000000000001</v>
      </c>
    </row>
    <row r="696" spans="1:5" x14ac:dyDescent="0.25">
      <c r="A696" s="32" t="s">
        <v>767</v>
      </c>
      <c r="B696" s="7">
        <v>2003</v>
      </c>
      <c r="C696" s="51" t="s">
        <v>702</v>
      </c>
      <c r="D696" t="s">
        <v>734</v>
      </c>
      <c r="E696" s="2">
        <v>16.875</v>
      </c>
    </row>
    <row r="697" spans="1:5" x14ac:dyDescent="0.25">
      <c r="A697" s="32" t="s">
        <v>767</v>
      </c>
      <c r="B697" s="7">
        <v>2003</v>
      </c>
      <c r="C697" s="51" t="s">
        <v>703</v>
      </c>
      <c r="D697" t="s">
        <v>734</v>
      </c>
      <c r="E697" s="2">
        <v>19.18</v>
      </c>
    </row>
    <row r="698" spans="1:5" x14ac:dyDescent="0.25">
      <c r="A698" s="32" t="s">
        <v>767</v>
      </c>
      <c r="B698" s="7">
        <v>2003</v>
      </c>
      <c r="C698" s="51" t="s">
        <v>704</v>
      </c>
      <c r="D698" t="s">
        <v>734</v>
      </c>
      <c r="E698" s="2">
        <v>18.510000000000002</v>
      </c>
    </row>
    <row r="699" spans="1:5" x14ac:dyDescent="0.25">
      <c r="A699" s="32" t="s">
        <v>767</v>
      </c>
      <c r="B699" s="7">
        <v>2003</v>
      </c>
      <c r="C699" s="51" t="s">
        <v>705</v>
      </c>
      <c r="D699" t="s">
        <v>734</v>
      </c>
      <c r="E699" s="2">
        <v>21.207000000000001</v>
      </c>
    </row>
    <row r="700" spans="1:5" x14ac:dyDescent="0.25">
      <c r="A700" s="32" t="s">
        <v>767</v>
      </c>
      <c r="B700" s="7">
        <v>2003</v>
      </c>
      <c r="C700" s="51" t="s">
        <v>706</v>
      </c>
      <c r="D700" t="s">
        <v>734</v>
      </c>
      <c r="E700" s="2">
        <v>23.843</v>
      </c>
    </row>
    <row r="701" spans="1:5" x14ac:dyDescent="0.25">
      <c r="A701" s="32" t="s">
        <v>767</v>
      </c>
      <c r="B701" s="7">
        <v>2004</v>
      </c>
      <c r="C701" s="51" t="s">
        <v>713</v>
      </c>
      <c r="D701" t="s">
        <v>734</v>
      </c>
      <c r="E701" s="2">
        <v>18.344000000000001</v>
      </c>
    </row>
    <row r="702" spans="1:5" x14ac:dyDescent="0.25">
      <c r="A702" s="32" t="s">
        <v>767</v>
      </c>
      <c r="B702" s="7">
        <v>2004</v>
      </c>
      <c r="C702" s="51" t="s">
        <v>707</v>
      </c>
      <c r="D702" t="s">
        <v>734</v>
      </c>
      <c r="E702" s="2">
        <v>19.327999999999999</v>
      </c>
    </row>
    <row r="703" spans="1:5" x14ac:dyDescent="0.25">
      <c r="A703" s="32" t="s">
        <v>767</v>
      </c>
      <c r="B703" s="7">
        <v>2004</v>
      </c>
      <c r="C703" s="51" t="s">
        <v>708</v>
      </c>
      <c r="D703" t="s">
        <v>734</v>
      </c>
      <c r="E703" s="2">
        <v>16.989000000000001</v>
      </c>
    </row>
    <row r="704" spans="1:5" x14ac:dyDescent="0.25">
      <c r="A704" s="32" t="s">
        <v>767</v>
      </c>
      <c r="B704" s="7">
        <v>2004</v>
      </c>
      <c r="C704" s="51" t="s">
        <v>699</v>
      </c>
      <c r="D704" t="s">
        <v>734</v>
      </c>
      <c r="E704" s="2">
        <v>19.425000000000001</v>
      </c>
    </row>
    <row r="705" spans="1:5" x14ac:dyDescent="0.25">
      <c r="A705" s="32" t="s">
        <v>767</v>
      </c>
      <c r="B705" s="7">
        <v>2004</v>
      </c>
      <c r="C705" s="51" t="s">
        <v>709</v>
      </c>
      <c r="D705" t="s">
        <v>734</v>
      </c>
      <c r="E705" s="2">
        <v>15.835000000000001</v>
      </c>
    </row>
    <row r="706" spans="1:5" x14ac:dyDescent="0.25">
      <c r="A706" s="32" t="s">
        <v>767</v>
      </c>
      <c r="B706" s="7">
        <v>2004</v>
      </c>
      <c r="C706" s="51" t="s">
        <v>712</v>
      </c>
      <c r="D706" t="s">
        <v>734</v>
      </c>
      <c r="E706" s="2">
        <v>16.184000000000001</v>
      </c>
    </row>
    <row r="707" spans="1:5" x14ac:dyDescent="0.25">
      <c r="A707" s="32" t="s">
        <v>767</v>
      </c>
      <c r="B707" s="7">
        <v>2004</v>
      </c>
      <c r="C707" s="51" t="s">
        <v>710</v>
      </c>
      <c r="D707" t="s">
        <v>734</v>
      </c>
      <c r="E707" s="2">
        <v>15.577999999999999</v>
      </c>
    </row>
    <row r="708" spans="1:5" x14ac:dyDescent="0.25">
      <c r="A708" s="32" t="s">
        <v>767</v>
      </c>
      <c r="B708" s="7">
        <v>2004</v>
      </c>
      <c r="C708" s="51" t="s">
        <v>702</v>
      </c>
      <c r="D708" t="s">
        <v>734</v>
      </c>
      <c r="E708" s="2">
        <v>15.129</v>
      </c>
    </row>
    <row r="709" spans="1:5" x14ac:dyDescent="0.25">
      <c r="A709" s="32" t="s">
        <v>767</v>
      </c>
      <c r="B709" s="7">
        <v>2004</v>
      </c>
      <c r="C709" s="51" t="s">
        <v>703</v>
      </c>
      <c r="D709" t="s">
        <v>734</v>
      </c>
      <c r="E709" s="2">
        <v>15.952</v>
      </c>
    </row>
    <row r="710" spans="1:5" x14ac:dyDescent="0.25">
      <c r="A710" s="32" t="s">
        <v>767</v>
      </c>
      <c r="B710" s="7">
        <v>2004</v>
      </c>
      <c r="C710" s="51" t="s">
        <v>704</v>
      </c>
      <c r="D710" t="s">
        <v>734</v>
      </c>
      <c r="E710" s="2">
        <v>15.481</v>
      </c>
    </row>
    <row r="711" spans="1:5" x14ac:dyDescent="0.25">
      <c r="A711" s="32" t="s">
        <v>767</v>
      </c>
      <c r="B711" s="7">
        <v>2004</v>
      </c>
      <c r="C711" s="51" t="s">
        <v>705</v>
      </c>
      <c r="D711" t="s">
        <v>734</v>
      </c>
      <c r="E711" s="2">
        <v>17.43</v>
      </c>
    </row>
    <row r="712" spans="1:5" x14ac:dyDescent="0.25">
      <c r="A712" s="32" t="s">
        <v>767</v>
      </c>
      <c r="B712" s="7">
        <v>2004</v>
      </c>
      <c r="C712" s="51" t="s">
        <v>706</v>
      </c>
      <c r="D712" t="s">
        <v>734</v>
      </c>
      <c r="E712" s="2">
        <v>18.04</v>
      </c>
    </row>
    <row r="713" spans="1:5" x14ac:dyDescent="0.25">
      <c r="A713" s="32" t="s">
        <v>767</v>
      </c>
      <c r="B713" s="7">
        <v>2005</v>
      </c>
      <c r="C713" s="51" t="s">
        <v>713</v>
      </c>
      <c r="D713" t="s">
        <v>734</v>
      </c>
      <c r="E713" s="2">
        <v>17.527000000000001</v>
      </c>
    </row>
    <row r="714" spans="1:5" x14ac:dyDescent="0.25">
      <c r="A714" s="32" t="s">
        <v>767</v>
      </c>
      <c r="B714" s="7">
        <v>2005</v>
      </c>
      <c r="C714" s="51" t="s">
        <v>707</v>
      </c>
      <c r="D714" t="s">
        <v>734</v>
      </c>
      <c r="E714" s="2">
        <v>15.975</v>
      </c>
    </row>
    <row r="715" spans="1:5" x14ac:dyDescent="0.25">
      <c r="A715" s="32" t="s">
        <v>767</v>
      </c>
      <c r="B715" s="7">
        <v>2005</v>
      </c>
      <c r="C715" s="51" t="s">
        <v>708</v>
      </c>
      <c r="D715" t="s">
        <v>734</v>
      </c>
      <c r="E715" s="2">
        <v>20.564</v>
      </c>
    </row>
    <row r="716" spans="1:5" x14ac:dyDescent="0.25">
      <c r="A716" s="32" t="s">
        <v>767</v>
      </c>
      <c r="B716" s="7">
        <v>2005</v>
      </c>
      <c r="C716" s="51" t="s">
        <v>699</v>
      </c>
      <c r="D716" t="s">
        <v>734</v>
      </c>
      <c r="E716" s="2">
        <v>18.577999999999999</v>
      </c>
    </row>
    <row r="717" spans="1:5" x14ac:dyDescent="0.25">
      <c r="A717" s="32" t="s">
        <v>767</v>
      </c>
      <c r="B717" s="7">
        <v>2005</v>
      </c>
      <c r="C717" s="51" t="s">
        <v>709</v>
      </c>
      <c r="D717" t="s">
        <v>734</v>
      </c>
      <c r="E717" s="2">
        <v>16.904</v>
      </c>
    </row>
    <row r="718" spans="1:5" x14ac:dyDescent="0.25">
      <c r="A718" s="32" t="s">
        <v>767</v>
      </c>
      <c r="B718" s="7">
        <v>2005</v>
      </c>
      <c r="C718" s="51" t="s">
        <v>712</v>
      </c>
      <c r="D718" t="s">
        <v>734</v>
      </c>
      <c r="E718" s="2">
        <v>15.11</v>
      </c>
    </row>
    <row r="719" spans="1:5" x14ac:dyDescent="0.25">
      <c r="A719" s="32" t="s">
        <v>767</v>
      </c>
      <c r="B719" s="7">
        <v>2005</v>
      </c>
      <c r="C719" s="51" t="s">
        <v>710</v>
      </c>
      <c r="D719" t="s">
        <v>734</v>
      </c>
      <c r="E719" s="2">
        <v>16.818999999999999</v>
      </c>
    </row>
    <row r="720" spans="1:5" x14ac:dyDescent="0.25">
      <c r="A720" s="32" t="s">
        <v>767</v>
      </c>
      <c r="B720" s="7">
        <v>2005</v>
      </c>
      <c r="C720" s="51" t="s">
        <v>702</v>
      </c>
      <c r="D720" t="s">
        <v>734</v>
      </c>
      <c r="E720" s="2">
        <v>14.836</v>
      </c>
    </row>
    <row r="721" spans="1:5" x14ac:dyDescent="0.25">
      <c r="A721" s="32" t="s">
        <v>767</v>
      </c>
      <c r="B721" s="7">
        <v>2005</v>
      </c>
      <c r="C721" s="51" t="s">
        <v>703</v>
      </c>
      <c r="D721" t="s">
        <v>734</v>
      </c>
      <c r="E721" s="2">
        <v>14.044</v>
      </c>
    </row>
    <row r="722" spans="1:5" x14ac:dyDescent="0.25">
      <c r="A722" s="32" t="s">
        <v>767</v>
      </c>
      <c r="B722" s="7">
        <v>2005</v>
      </c>
      <c r="C722" s="51" t="s">
        <v>704</v>
      </c>
      <c r="D722" t="s">
        <v>734</v>
      </c>
      <c r="E722" s="2">
        <v>17.57</v>
      </c>
    </row>
    <row r="723" spans="1:5" x14ac:dyDescent="0.25">
      <c r="A723" s="32" t="s">
        <v>767</v>
      </c>
      <c r="B723" s="7">
        <v>2005</v>
      </c>
      <c r="C723" s="51" t="s">
        <v>705</v>
      </c>
      <c r="D723" t="s">
        <v>734</v>
      </c>
      <c r="E723" s="2">
        <v>17.297000000000001</v>
      </c>
    </row>
    <row r="724" spans="1:5" x14ac:dyDescent="0.25">
      <c r="A724" s="32" t="s">
        <v>767</v>
      </c>
      <c r="B724" s="7">
        <v>2005</v>
      </c>
      <c r="C724" s="51" t="s">
        <v>706</v>
      </c>
      <c r="D724" t="s">
        <v>734</v>
      </c>
      <c r="E724" s="2">
        <v>19.552</v>
      </c>
    </row>
    <row r="725" spans="1:5" x14ac:dyDescent="0.25">
      <c r="A725" s="32" t="s">
        <v>767</v>
      </c>
      <c r="B725" s="7">
        <v>2006</v>
      </c>
      <c r="C725" s="51" t="s">
        <v>713</v>
      </c>
      <c r="D725" t="s">
        <v>734</v>
      </c>
      <c r="E725" s="2">
        <v>19.477</v>
      </c>
    </row>
    <row r="726" spans="1:5" x14ac:dyDescent="0.25">
      <c r="A726" s="32" t="s">
        <v>767</v>
      </c>
      <c r="B726" s="7">
        <v>2006</v>
      </c>
      <c r="C726" s="51" t="s">
        <v>707</v>
      </c>
      <c r="D726" t="s">
        <v>734</v>
      </c>
      <c r="E726" s="2">
        <v>17.873999999999999</v>
      </c>
    </row>
    <row r="727" spans="1:5" x14ac:dyDescent="0.25">
      <c r="A727" s="32" t="s">
        <v>767</v>
      </c>
      <c r="B727" s="7">
        <v>2006</v>
      </c>
      <c r="C727" s="51" t="s">
        <v>708</v>
      </c>
      <c r="D727" t="s">
        <v>734</v>
      </c>
      <c r="E727" s="2">
        <v>16.704000000000001</v>
      </c>
    </row>
    <row r="728" spans="1:5" x14ac:dyDescent="0.25">
      <c r="A728" s="32" t="s">
        <v>767</v>
      </c>
      <c r="B728" s="7">
        <v>2006</v>
      </c>
      <c r="C728" s="51" t="s">
        <v>699</v>
      </c>
      <c r="D728" t="s">
        <v>734</v>
      </c>
      <c r="E728" s="2">
        <v>18.047000000000001</v>
      </c>
    </row>
    <row r="729" spans="1:5" x14ac:dyDescent="0.25">
      <c r="A729" s="32" t="s">
        <v>767</v>
      </c>
      <c r="B729" s="7">
        <v>2006</v>
      </c>
      <c r="C729" s="51" t="s">
        <v>709</v>
      </c>
      <c r="D729" t="s">
        <v>734</v>
      </c>
      <c r="E729" s="2">
        <v>17.442</v>
      </c>
    </row>
    <row r="730" spans="1:5" x14ac:dyDescent="0.25">
      <c r="A730" s="32" t="s">
        <v>767</v>
      </c>
      <c r="B730" s="7">
        <v>2006</v>
      </c>
      <c r="C730" s="51" t="s">
        <v>712</v>
      </c>
      <c r="D730" t="s">
        <v>734</v>
      </c>
      <c r="E730" s="2">
        <v>19.501999999999999</v>
      </c>
    </row>
    <row r="731" spans="1:5" x14ac:dyDescent="0.25">
      <c r="A731" s="32" t="s">
        <v>767</v>
      </c>
      <c r="B731" s="7">
        <v>2006</v>
      </c>
      <c r="C731" s="51" t="s">
        <v>710</v>
      </c>
      <c r="D731" t="s">
        <v>734</v>
      </c>
      <c r="E731" s="2">
        <v>17.956</v>
      </c>
    </row>
    <row r="732" spans="1:5" x14ac:dyDescent="0.25">
      <c r="A732" s="32" t="s">
        <v>767</v>
      </c>
      <c r="B732" s="7">
        <v>2006</v>
      </c>
      <c r="C732" s="51" t="s">
        <v>702</v>
      </c>
      <c r="D732" t="s">
        <v>734</v>
      </c>
      <c r="E732" s="2">
        <v>16.838999999999999</v>
      </c>
    </row>
    <row r="733" spans="1:5" x14ac:dyDescent="0.25">
      <c r="A733" s="32" t="s">
        <v>767</v>
      </c>
      <c r="B733" s="7">
        <v>2006</v>
      </c>
      <c r="C733" s="51" t="s">
        <v>703</v>
      </c>
      <c r="D733" t="s">
        <v>734</v>
      </c>
      <c r="E733" s="2">
        <v>18.358000000000001</v>
      </c>
    </row>
    <row r="734" spans="1:5" x14ac:dyDescent="0.25">
      <c r="A734" s="32" t="s">
        <v>767</v>
      </c>
      <c r="B734" s="7">
        <v>2006</v>
      </c>
      <c r="C734" s="51" t="s">
        <v>704</v>
      </c>
      <c r="D734" t="s">
        <v>734</v>
      </c>
      <c r="E734" s="2">
        <v>20.41</v>
      </c>
    </row>
    <row r="735" spans="1:5" x14ac:dyDescent="0.25">
      <c r="A735" s="32" t="s">
        <v>767</v>
      </c>
      <c r="B735" s="7">
        <v>2006</v>
      </c>
      <c r="C735" s="51" t="s">
        <v>705</v>
      </c>
      <c r="D735" t="s">
        <v>734</v>
      </c>
      <c r="E735" s="2">
        <v>21.675999999999998</v>
      </c>
    </row>
    <row r="736" spans="1:5" x14ac:dyDescent="0.25">
      <c r="A736" s="32" t="s">
        <v>767</v>
      </c>
      <c r="B736" s="7">
        <v>2006</v>
      </c>
      <c r="C736" s="51" t="s">
        <v>706</v>
      </c>
      <c r="D736" t="s">
        <v>734</v>
      </c>
      <c r="E736" s="2">
        <v>19.175999999999998</v>
      </c>
    </row>
    <row r="737" spans="1:5" x14ac:dyDescent="0.25">
      <c r="A737" s="32" t="s">
        <v>767</v>
      </c>
      <c r="B737" s="7">
        <v>2007</v>
      </c>
      <c r="C737" s="51" t="s">
        <v>713</v>
      </c>
      <c r="D737" t="s">
        <v>734</v>
      </c>
      <c r="E737" s="2">
        <v>20.137</v>
      </c>
    </row>
    <row r="738" spans="1:5" x14ac:dyDescent="0.25">
      <c r="A738" s="32" t="s">
        <v>767</v>
      </c>
      <c r="B738" s="7">
        <v>2007</v>
      </c>
      <c r="C738" s="51" t="s">
        <v>707</v>
      </c>
      <c r="D738" t="s">
        <v>734</v>
      </c>
      <c r="E738" s="2">
        <v>17.866</v>
      </c>
    </row>
    <row r="739" spans="1:5" x14ac:dyDescent="0.25">
      <c r="A739" s="32" t="s">
        <v>767</v>
      </c>
      <c r="B739" s="7">
        <v>2007</v>
      </c>
      <c r="C739" s="51" t="s">
        <v>708</v>
      </c>
      <c r="D739" t="s">
        <v>734</v>
      </c>
      <c r="E739" s="2">
        <v>20.978999999999999</v>
      </c>
    </row>
    <row r="740" spans="1:5" x14ac:dyDescent="0.25">
      <c r="A740" s="32" t="s">
        <v>767</v>
      </c>
      <c r="B740" s="7">
        <v>2007</v>
      </c>
      <c r="C740" s="51" t="s">
        <v>699</v>
      </c>
      <c r="D740" t="s">
        <v>734</v>
      </c>
      <c r="E740" s="2">
        <v>18.747</v>
      </c>
    </row>
    <row r="741" spans="1:5" x14ac:dyDescent="0.25">
      <c r="A741" s="32" t="s">
        <v>767</v>
      </c>
      <c r="B741" s="7">
        <v>2007</v>
      </c>
      <c r="C741" s="51" t="s">
        <v>709</v>
      </c>
      <c r="D741" t="s">
        <v>734</v>
      </c>
      <c r="E741" s="2">
        <v>17.105</v>
      </c>
    </row>
    <row r="742" spans="1:5" x14ac:dyDescent="0.25">
      <c r="A742" s="32" t="s">
        <v>767</v>
      </c>
      <c r="B742" s="7">
        <v>2007</v>
      </c>
      <c r="C742" s="51" t="s">
        <v>712</v>
      </c>
      <c r="D742" t="s">
        <v>734</v>
      </c>
      <c r="E742" s="2">
        <v>15.750999999999999</v>
      </c>
    </row>
    <row r="743" spans="1:5" x14ac:dyDescent="0.25">
      <c r="A743" s="32" t="s">
        <v>767</v>
      </c>
      <c r="B743" s="7">
        <v>2007</v>
      </c>
      <c r="C743" s="51" t="s">
        <v>710</v>
      </c>
      <c r="D743" t="s">
        <v>734</v>
      </c>
      <c r="E743" s="2">
        <v>14.2</v>
      </c>
    </row>
    <row r="744" spans="1:5" x14ac:dyDescent="0.25">
      <c r="A744" s="32" t="s">
        <v>767</v>
      </c>
      <c r="B744" s="7">
        <v>2007</v>
      </c>
      <c r="C744" s="51" t="s">
        <v>702</v>
      </c>
      <c r="D744" t="s">
        <v>734</v>
      </c>
      <c r="E744" s="2">
        <v>13.497999999999999</v>
      </c>
    </row>
    <row r="745" spans="1:5" x14ac:dyDescent="0.25">
      <c r="A745" s="32" t="s">
        <v>767</v>
      </c>
      <c r="B745" s="7">
        <v>2007</v>
      </c>
      <c r="C745" s="51" t="s">
        <v>703</v>
      </c>
      <c r="D745" t="s">
        <v>734</v>
      </c>
      <c r="E745" s="2">
        <v>14.698</v>
      </c>
    </row>
    <row r="746" spans="1:5" x14ac:dyDescent="0.25">
      <c r="A746" s="32" t="s">
        <v>767</v>
      </c>
      <c r="B746" s="7">
        <v>2007</v>
      </c>
      <c r="C746" s="51" t="s">
        <v>704</v>
      </c>
      <c r="D746" t="s">
        <v>734</v>
      </c>
      <c r="E746" s="2">
        <v>15.569000000000001</v>
      </c>
    </row>
    <row r="747" spans="1:5" x14ac:dyDescent="0.25">
      <c r="A747" s="32" t="s">
        <v>767</v>
      </c>
      <c r="B747" s="7">
        <v>2007</v>
      </c>
      <c r="C747" s="51" t="s">
        <v>705</v>
      </c>
      <c r="D747" t="s">
        <v>734</v>
      </c>
      <c r="E747" s="2">
        <v>14.757</v>
      </c>
    </row>
    <row r="748" spans="1:5" x14ac:dyDescent="0.25">
      <c r="A748" s="32" t="s">
        <v>767</v>
      </c>
      <c r="B748" s="7">
        <v>2007</v>
      </c>
      <c r="C748" s="51" t="s">
        <v>706</v>
      </c>
      <c r="D748" t="s">
        <v>734</v>
      </c>
      <c r="E748" s="2">
        <v>16.888999999999999</v>
      </c>
    </row>
    <row r="749" spans="1:5" x14ac:dyDescent="0.25">
      <c r="A749" s="32" t="s">
        <v>767</v>
      </c>
      <c r="B749" s="7">
        <v>2008</v>
      </c>
      <c r="C749" s="51" t="s">
        <v>713</v>
      </c>
      <c r="D749" t="s">
        <v>734</v>
      </c>
      <c r="E749" s="2">
        <v>14.772</v>
      </c>
    </row>
    <row r="750" spans="1:5" x14ac:dyDescent="0.25">
      <c r="A750" s="32" t="s">
        <v>767</v>
      </c>
      <c r="B750" s="7">
        <v>2008</v>
      </c>
      <c r="C750" s="51" t="s">
        <v>707</v>
      </c>
      <c r="D750" t="s">
        <v>734</v>
      </c>
      <c r="E750" s="2">
        <v>19.498000000000001</v>
      </c>
    </row>
    <row r="751" spans="1:5" x14ac:dyDescent="0.25">
      <c r="A751" s="32" t="s">
        <v>767</v>
      </c>
      <c r="B751" s="7">
        <v>2008</v>
      </c>
      <c r="C751" s="51" t="s">
        <v>708</v>
      </c>
      <c r="D751" t="s">
        <v>734</v>
      </c>
      <c r="E751" s="2">
        <v>17.065000000000001</v>
      </c>
    </row>
    <row r="752" spans="1:5" x14ac:dyDescent="0.25">
      <c r="A752" s="32" t="s">
        <v>767</v>
      </c>
      <c r="B752" s="7">
        <v>2008</v>
      </c>
      <c r="C752" s="51" t="s">
        <v>699</v>
      </c>
      <c r="D752" t="s">
        <v>734</v>
      </c>
      <c r="E752" s="2">
        <v>16.702000000000002</v>
      </c>
    </row>
    <row r="753" spans="1:5" x14ac:dyDescent="0.25">
      <c r="A753" s="32" t="s">
        <v>767</v>
      </c>
      <c r="B753" s="7">
        <v>2008</v>
      </c>
      <c r="C753" s="51" t="s">
        <v>709</v>
      </c>
      <c r="D753" t="s">
        <v>734</v>
      </c>
      <c r="E753" s="2">
        <v>20.469000000000001</v>
      </c>
    </row>
    <row r="754" spans="1:5" x14ac:dyDescent="0.25">
      <c r="A754" s="32" t="s">
        <v>767</v>
      </c>
      <c r="B754" s="7">
        <v>2008</v>
      </c>
      <c r="C754" s="51" t="s">
        <v>712</v>
      </c>
      <c r="D754" t="s">
        <v>734</v>
      </c>
      <c r="E754" s="2">
        <v>14.287000000000001</v>
      </c>
    </row>
    <row r="755" spans="1:5" x14ac:dyDescent="0.25">
      <c r="A755" s="32" t="s">
        <v>767</v>
      </c>
      <c r="B755" s="7">
        <v>2008</v>
      </c>
      <c r="C755" s="51" t="s">
        <v>710</v>
      </c>
      <c r="D755" t="s">
        <v>734</v>
      </c>
      <c r="E755" s="2">
        <v>15.273999999999999</v>
      </c>
    </row>
    <row r="756" spans="1:5" x14ac:dyDescent="0.25">
      <c r="A756" s="32" t="s">
        <v>767</v>
      </c>
      <c r="B756" s="7">
        <v>2008</v>
      </c>
      <c r="C756" s="51" t="s">
        <v>702</v>
      </c>
      <c r="D756" t="s">
        <v>734</v>
      </c>
      <c r="E756" s="2">
        <v>15.842000000000001</v>
      </c>
    </row>
    <row r="757" spans="1:5" x14ac:dyDescent="0.25">
      <c r="A757" s="32" t="s">
        <v>767</v>
      </c>
      <c r="B757" s="7">
        <v>2008</v>
      </c>
      <c r="C757" s="51" t="s">
        <v>703</v>
      </c>
      <c r="D757" t="s">
        <v>734</v>
      </c>
      <c r="E757" s="2">
        <v>16.994</v>
      </c>
    </row>
    <row r="758" spans="1:5" x14ac:dyDescent="0.25">
      <c r="A758" s="32" t="s">
        <v>767</v>
      </c>
      <c r="B758" s="7">
        <v>2008</v>
      </c>
      <c r="C758" s="51" t="s">
        <v>704</v>
      </c>
      <c r="D758" t="s">
        <v>734</v>
      </c>
      <c r="E758" s="2">
        <v>17.047999999999998</v>
      </c>
    </row>
    <row r="759" spans="1:5" x14ac:dyDescent="0.25">
      <c r="A759" s="32" t="s">
        <v>767</v>
      </c>
      <c r="B759" s="7">
        <v>2008</v>
      </c>
      <c r="C759" s="51" t="s">
        <v>705</v>
      </c>
      <c r="D759" t="s">
        <v>734</v>
      </c>
      <c r="E759" s="2">
        <v>15.542999999999999</v>
      </c>
    </row>
    <row r="760" spans="1:5" x14ac:dyDescent="0.25">
      <c r="A760" s="32" t="s">
        <v>767</v>
      </c>
      <c r="B760" s="7">
        <v>2008</v>
      </c>
      <c r="C760" s="51" t="s">
        <v>706</v>
      </c>
      <c r="D760" t="s">
        <v>734</v>
      </c>
      <c r="E760" s="2">
        <v>17.943000000000001</v>
      </c>
    </row>
    <row r="761" spans="1:5" x14ac:dyDescent="0.25">
      <c r="A761" s="32" t="s">
        <v>767</v>
      </c>
      <c r="B761" s="7">
        <v>2009</v>
      </c>
      <c r="C761" s="51" t="s">
        <v>713</v>
      </c>
      <c r="D761" t="s">
        <v>734</v>
      </c>
      <c r="E761" s="2">
        <v>19.079999999999998</v>
      </c>
    </row>
    <row r="762" spans="1:5" x14ac:dyDescent="0.25">
      <c r="A762" s="32" t="s">
        <v>767</v>
      </c>
      <c r="B762" s="7">
        <v>2009</v>
      </c>
      <c r="C762" s="51" t="s">
        <v>707</v>
      </c>
      <c r="D762" t="s">
        <v>734</v>
      </c>
      <c r="E762" s="2">
        <v>15.166</v>
      </c>
    </row>
    <row r="763" spans="1:5" x14ac:dyDescent="0.25">
      <c r="A763" s="32" t="s">
        <v>767</v>
      </c>
      <c r="B763" s="7">
        <v>2009</v>
      </c>
      <c r="C763" s="51" t="s">
        <v>708</v>
      </c>
      <c r="D763" t="s">
        <v>734</v>
      </c>
      <c r="E763" s="2">
        <v>15.661</v>
      </c>
    </row>
    <row r="764" spans="1:5" x14ac:dyDescent="0.25">
      <c r="A764" s="32" t="s">
        <v>767</v>
      </c>
      <c r="B764" s="7">
        <v>2009</v>
      </c>
      <c r="C764" s="51" t="s">
        <v>699</v>
      </c>
      <c r="D764" t="s">
        <v>734</v>
      </c>
      <c r="E764" s="2">
        <v>18.071000000000002</v>
      </c>
    </row>
    <row r="765" spans="1:5" x14ac:dyDescent="0.25">
      <c r="A765" s="32" t="s">
        <v>767</v>
      </c>
      <c r="B765" s="7">
        <v>2009</v>
      </c>
      <c r="C765" s="51" t="s">
        <v>709</v>
      </c>
      <c r="D765" t="s">
        <v>734</v>
      </c>
      <c r="E765" s="2">
        <v>22.035</v>
      </c>
    </row>
    <row r="766" spans="1:5" x14ac:dyDescent="0.25">
      <c r="A766" s="32" t="s">
        <v>767</v>
      </c>
      <c r="B766" s="7">
        <v>2009</v>
      </c>
      <c r="C766" s="51" t="s">
        <v>712</v>
      </c>
      <c r="D766" t="s">
        <v>734</v>
      </c>
      <c r="E766" s="2">
        <v>21.07</v>
      </c>
    </row>
    <row r="767" spans="1:5" x14ac:dyDescent="0.25">
      <c r="A767" s="32" t="s">
        <v>767</v>
      </c>
      <c r="B767" s="7">
        <v>2009</v>
      </c>
      <c r="C767" s="51" t="s">
        <v>710</v>
      </c>
      <c r="D767" t="s">
        <v>734</v>
      </c>
      <c r="E767" s="2">
        <v>15.68</v>
      </c>
    </row>
    <row r="768" spans="1:5" x14ac:dyDescent="0.25">
      <c r="A768" s="32" t="s">
        <v>767</v>
      </c>
      <c r="B768" s="7">
        <v>2009</v>
      </c>
      <c r="C768" s="51" t="s">
        <v>702</v>
      </c>
      <c r="D768" t="s">
        <v>734</v>
      </c>
      <c r="E768" s="2">
        <v>14.394</v>
      </c>
    </row>
    <row r="769" spans="1:5" x14ac:dyDescent="0.25">
      <c r="A769" s="32" t="s">
        <v>767</v>
      </c>
      <c r="B769" s="7">
        <v>2009</v>
      </c>
      <c r="C769" s="51" t="s">
        <v>703</v>
      </c>
      <c r="D769" t="s">
        <v>734</v>
      </c>
      <c r="E769" s="2">
        <v>14.063000000000001</v>
      </c>
    </row>
    <row r="770" spans="1:5" x14ac:dyDescent="0.25">
      <c r="A770" s="32" t="s">
        <v>767</v>
      </c>
      <c r="B770" s="7">
        <v>2009</v>
      </c>
      <c r="C770" s="51" t="s">
        <v>704</v>
      </c>
      <c r="D770" t="s">
        <v>734</v>
      </c>
      <c r="E770" s="2">
        <v>17.803000000000001</v>
      </c>
    </row>
    <row r="771" spans="1:5" x14ac:dyDescent="0.25">
      <c r="A771" s="32" t="s">
        <v>767</v>
      </c>
      <c r="B771" s="7">
        <v>2009</v>
      </c>
      <c r="C771" s="51" t="s">
        <v>705</v>
      </c>
      <c r="D771" t="s">
        <v>734</v>
      </c>
      <c r="E771" s="2">
        <v>17.123000000000001</v>
      </c>
    </row>
    <row r="772" spans="1:5" x14ac:dyDescent="0.25">
      <c r="A772" s="32" t="s">
        <v>767</v>
      </c>
      <c r="B772" s="7">
        <v>2009</v>
      </c>
      <c r="C772" s="51" t="s">
        <v>706</v>
      </c>
      <c r="D772" t="s">
        <v>734</v>
      </c>
      <c r="E772" s="2">
        <v>19.524999999999999</v>
      </c>
    </row>
    <row r="773" spans="1:5" x14ac:dyDescent="0.25">
      <c r="A773" s="32" t="s">
        <v>767</v>
      </c>
      <c r="B773" s="7">
        <v>2010</v>
      </c>
      <c r="C773" s="51" t="s">
        <v>713</v>
      </c>
      <c r="D773" t="s">
        <v>734</v>
      </c>
      <c r="E773" s="2">
        <v>18.725999999999999</v>
      </c>
    </row>
    <row r="774" spans="1:5" x14ac:dyDescent="0.25">
      <c r="A774" s="32" t="s">
        <v>767</v>
      </c>
      <c r="B774" s="7">
        <v>2010</v>
      </c>
      <c r="C774" s="51" t="s">
        <v>707</v>
      </c>
      <c r="D774" t="s">
        <v>734</v>
      </c>
      <c r="E774" s="2">
        <v>16.827000000000002</v>
      </c>
    </row>
    <row r="775" spans="1:5" x14ac:dyDescent="0.25">
      <c r="A775" s="32" t="s">
        <v>767</v>
      </c>
      <c r="B775" s="7">
        <v>2010</v>
      </c>
      <c r="C775" s="51" t="s">
        <v>708</v>
      </c>
      <c r="D775" t="s">
        <v>734</v>
      </c>
      <c r="E775" s="2">
        <v>23.41</v>
      </c>
    </row>
    <row r="776" spans="1:5" x14ac:dyDescent="0.25">
      <c r="A776" s="32" t="s">
        <v>767</v>
      </c>
      <c r="B776" s="7">
        <v>2010</v>
      </c>
      <c r="C776" s="51" t="s">
        <v>699</v>
      </c>
      <c r="D776" t="s">
        <v>734</v>
      </c>
      <c r="E776" s="2">
        <v>16.902999999999999</v>
      </c>
    </row>
    <row r="777" spans="1:5" x14ac:dyDescent="0.25">
      <c r="A777" s="32" t="s">
        <v>767</v>
      </c>
      <c r="B777" s="7">
        <v>2010</v>
      </c>
      <c r="C777" s="51" t="s">
        <v>709</v>
      </c>
      <c r="D777" t="s">
        <v>734</v>
      </c>
      <c r="E777" s="2">
        <v>13.85</v>
      </c>
    </row>
    <row r="778" spans="1:5" x14ac:dyDescent="0.25">
      <c r="A778" s="32" t="s">
        <v>767</v>
      </c>
      <c r="B778" s="7">
        <v>2010</v>
      </c>
      <c r="C778" s="51" t="s">
        <v>712</v>
      </c>
      <c r="D778" t="s">
        <v>734</v>
      </c>
      <c r="E778" s="2">
        <v>13.198</v>
      </c>
    </row>
    <row r="779" spans="1:5" x14ac:dyDescent="0.25">
      <c r="A779" s="32" t="s">
        <v>767</v>
      </c>
      <c r="B779" s="7">
        <v>2010</v>
      </c>
      <c r="C779" s="51" t="s">
        <v>710</v>
      </c>
      <c r="D779" t="s">
        <v>734</v>
      </c>
      <c r="E779" s="2">
        <v>12.696999999999999</v>
      </c>
    </row>
    <row r="780" spans="1:5" x14ac:dyDescent="0.25">
      <c r="A780" s="32" t="s">
        <v>767</v>
      </c>
      <c r="B780" s="7">
        <v>2010</v>
      </c>
      <c r="C780" s="51" t="s">
        <v>702</v>
      </c>
      <c r="D780" t="s">
        <v>734</v>
      </c>
      <c r="E780" s="2">
        <v>15.066000000000001</v>
      </c>
    </row>
    <row r="781" spans="1:5" x14ac:dyDescent="0.25">
      <c r="A781" s="32" t="s">
        <v>767</v>
      </c>
      <c r="B781" s="7">
        <v>2010</v>
      </c>
      <c r="C781" s="51" t="s">
        <v>703</v>
      </c>
      <c r="D781" t="s">
        <v>734</v>
      </c>
      <c r="E781" s="2">
        <v>13.262</v>
      </c>
    </row>
    <row r="782" spans="1:5" x14ac:dyDescent="0.25">
      <c r="A782" s="32" t="s">
        <v>767</v>
      </c>
      <c r="B782" s="7">
        <v>2010</v>
      </c>
      <c r="C782" s="51" t="s">
        <v>704</v>
      </c>
      <c r="D782" t="s">
        <v>734</v>
      </c>
      <c r="E782" s="2">
        <v>13.27</v>
      </c>
    </row>
    <row r="783" spans="1:5" x14ac:dyDescent="0.25">
      <c r="A783" s="32" t="s">
        <v>767</v>
      </c>
      <c r="B783" s="7">
        <v>2010</v>
      </c>
      <c r="C783" s="51" t="s">
        <v>705</v>
      </c>
      <c r="D783" t="s">
        <v>734</v>
      </c>
      <c r="E783" s="2">
        <v>13.340999999999999</v>
      </c>
    </row>
    <row r="784" spans="1:5" x14ac:dyDescent="0.25">
      <c r="A784" s="32" t="s">
        <v>767</v>
      </c>
      <c r="B784" s="7">
        <v>2010</v>
      </c>
      <c r="C784" s="51" t="s">
        <v>706</v>
      </c>
      <c r="D784" t="s">
        <v>734</v>
      </c>
      <c r="E784" s="2">
        <v>12.656000000000001</v>
      </c>
    </row>
    <row r="785" spans="1:5" x14ac:dyDescent="0.25">
      <c r="A785" s="32" t="s">
        <v>767</v>
      </c>
      <c r="B785" s="7">
        <v>2011</v>
      </c>
      <c r="C785" s="51" t="s">
        <v>713</v>
      </c>
      <c r="D785" t="s">
        <v>734</v>
      </c>
      <c r="E785" s="2">
        <v>14.28</v>
      </c>
    </row>
    <row r="786" spans="1:5" x14ac:dyDescent="0.25">
      <c r="A786" s="32" t="s">
        <v>767</v>
      </c>
      <c r="B786" s="7">
        <v>2011</v>
      </c>
      <c r="C786" s="51" t="s">
        <v>707</v>
      </c>
      <c r="D786" t="s">
        <v>734</v>
      </c>
      <c r="E786" s="2">
        <v>12.000999999999999</v>
      </c>
    </row>
    <row r="787" spans="1:5" x14ac:dyDescent="0.25">
      <c r="A787" s="32" t="s">
        <v>767</v>
      </c>
      <c r="B787" s="7">
        <v>2011</v>
      </c>
      <c r="C787" s="51" t="s">
        <v>708</v>
      </c>
      <c r="D787" t="s">
        <v>734</v>
      </c>
      <c r="E787" s="2">
        <v>18.681000000000001</v>
      </c>
    </row>
    <row r="788" spans="1:5" x14ac:dyDescent="0.25">
      <c r="A788" s="32" t="s">
        <v>767</v>
      </c>
      <c r="B788" s="7">
        <v>2011</v>
      </c>
      <c r="C788" s="51" t="s">
        <v>699</v>
      </c>
      <c r="D788" t="s">
        <v>734</v>
      </c>
      <c r="E788" s="2">
        <v>16.004000000000001</v>
      </c>
    </row>
    <row r="789" spans="1:5" x14ac:dyDescent="0.25">
      <c r="A789" s="32" t="s">
        <v>767</v>
      </c>
      <c r="B789" s="7">
        <v>2011</v>
      </c>
      <c r="C789" s="51" t="s">
        <v>709</v>
      </c>
      <c r="D789" t="s">
        <v>734</v>
      </c>
      <c r="E789" s="2">
        <v>17.065000000000001</v>
      </c>
    </row>
    <row r="790" spans="1:5" x14ac:dyDescent="0.25">
      <c r="A790" s="32" t="s">
        <v>767</v>
      </c>
      <c r="B790" s="7">
        <v>2011</v>
      </c>
      <c r="C790" s="51" t="s">
        <v>712</v>
      </c>
      <c r="D790" t="s">
        <v>734</v>
      </c>
      <c r="E790" s="2">
        <v>14.28</v>
      </c>
    </row>
    <row r="791" spans="1:5" x14ac:dyDescent="0.25">
      <c r="A791" s="32" t="s">
        <v>767</v>
      </c>
      <c r="B791" s="7">
        <v>2011</v>
      </c>
      <c r="C791" s="51" t="s">
        <v>710</v>
      </c>
      <c r="D791" t="s">
        <v>734</v>
      </c>
      <c r="E791" s="2">
        <v>14.798</v>
      </c>
    </row>
    <row r="792" spans="1:5" x14ac:dyDescent="0.25">
      <c r="A792" s="32" t="s">
        <v>767</v>
      </c>
      <c r="B792" s="7">
        <v>2011</v>
      </c>
      <c r="C792" s="51" t="s">
        <v>702</v>
      </c>
      <c r="D792" t="s">
        <v>734</v>
      </c>
      <c r="E792" s="2">
        <v>14.712</v>
      </c>
    </row>
    <row r="793" spans="1:5" x14ac:dyDescent="0.25">
      <c r="A793" s="32" t="s">
        <v>767</v>
      </c>
      <c r="B793" s="7">
        <v>2011</v>
      </c>
      <c r="C793" s="51" t="s">
        <v>703</v>
      </c>
      <c r="D793" t="s">
        <v>734</v>
      </c>
      <c r="E793" s="2">
        <v>16.765999999999998</v>
      </c>
    </row>
    <row r="794" spans="1:5" x14ac:dyDescent="0.25">
      <c r="A794" s="32" t="s">
        <v>767</v>
      </c>
      <c r="B794" s="7">
        <v>2011</v>
      </c>
      <c r="C794" s="51" t="s">
        <v>704</v>
      </c>
      <c r="D794" t="s">
        <v>734</v>
      </c>
      <c r="E794" s="2">
        <v>18.335999999999999</v>
      </c>
    </row>
    <row r="795" spans="1:5" x14ac:dyDescent="0.25">
      <c r="A795" s="32" t="s">
        <v>767</v>
      </c>
      <c r="B795" s="7">
        <v>2011</v>
      </c>
      <c r="C795" s="51" t="s">
        <v>705</v>
      </c>
      <c r="D795" t="s">
        <v>734</v>
      </c>
      <c r="E795" s="2">
        <v>15.022</v>
      </c>
    </row>
    <row r="796" spans="1:5" x14ac:dyDescent="0.25">
      <c r="A796" s="32" t="s">
        <v>767</v>
      </c>
      <c r="B796" s="7">
        <v>2011</v>
      </c>
      <c r="C796" s="51" t="s">
        <v>706</v>
      </c>
      <c r="D796" t="s">
        <v>734</v>
      </c>
      <c r="E796" s="2">
        <v>16.512</v>
      </c>
    </row>
    <row r="797" spans="1:5" x14ac:dyDescent="0.25">
      <c r="A797" s="32" t="s">
        <v>767</v>
      </c>
      <c r="B797" s="7">
        <v>2012</v>
      </c>
      <c r="C797" s="51" t="s">
        <v>713</v>
      </c>
      <c r="D797" t="s">
        <v>734</v>
      </c>
      <c r="E797" s="2">
        <v>16.634</v>
      </c>
    </row>
    <row r="798" spans="1:5" x14ac:dyDescent="0.25">
      <c r="A798" s="32" t="s">
        <v>767</v>
      </c>
      <c r="B798" s="7">
        <v>2012</v>
      </c>
      <c r="C798" s="51" t="s">
        <v>707</v>
      </c>
      <c r="D798" t="s">
        <v>734</v>
      </c>
      <c r="E798" s="2">
        <v>13.242000000000001</v>
      </c>
    </row>
    <row r="799" spans="1:5" x14ac:dyDescent="0.25">
      <c r="A799" s="32" t="s">
        <v>767</v>
      </c>
      <c r="B799" s="7">
        <v>2012</v>
      </c>
      <c r="C799" s="51" t="s">
        <v>708</v>
      </c>
      <c r="D799" t="s">
        <v>734</v>
      </c>
      <c r="E799" s="2">
        <v>14.052</v>
      </c>
    </row>
    <row r="800" spans="1:5" x14ac:dyDescent="0.25">
      <c r="A800" s="32" t="s">
        <v>767</v>
      </c>
      <c r="B800" s="7">
        <v>2012</v>
      </c>
      <c r="C800" s="51" t="s">
        <v>699</v>
      </c>
      <c r="D800" t="s">
        <v>734</v>
      </c>
      <c r="E800" s="2">
        <v>14.281000000000001</v>
      </c>
    </row>
    <row r="801" spans="1:5" x14ac:dyDescent="0.25">
      <c r="A801" s="32" t="s">
        <v>767</v>
      </c>
      <c r="B801" s="7">
        <v>2012</v>
      </c>
      <c r="C801" s="51" t="s">
        <v>709</v>
      </c>
      <c r="D801" t="s">
        <v>734</v>
      </c>
      <c r="E801" s="2">
        <v>15.712999999999999</v>
      </c>
    </row>
    <row r="802" spans="1:5" x14ac:dyDescent="0.25">
      <c r="A802" s="32" t="s">
        <v>767</v>
      </c>
      <c r="B802" s="7">
        <v>2012</v>
      </c>
      <c r="C802" s="51" t="s">
        <v>712</v>
      </c>
      <c r="D802" t="s">
        <v>734</v>
      </c>
      <c r="E802" s="2">
        <v>13.699</v>
      </c>
    </row>
    <row r="803" spans="1:5" x14ac:dyDescent="0.25">
      <c r="A803" s="32" t="s">
        <v>767</v>
      </c>
      <c r="B803" s="7">
        <v>2012</v>
      </c>
      <c r="C803" s="51" t="s">
        <v>710</v>
      </c>
      <c r="D803" t="s">
        <v>734</v>
      </c>
      <c r="E803" s="2">
        <v>16.295999999999999</v>
      </c>
    </row>
    <row r="804" spans="1:5" x14ac:dyDescent="0.25">
      <c r="A804" s="32" t="s">
        <v>767</v>
      </c>
      <c r="B804" s="7">
        <v>2012</v>
      </c>
      <c r="C804" s="51" t="s">
        <v>702</v>
      </c>
      <c r="D804" t="s">
        <v>734</v>
      </c>
      <c r="E804" s="2">
        <v>14.989000000000001</v>
      </c>
    </row>
    <row r="805" spans="1:5" x14ac:dyDescent="0.25">
      <c r="A805" s="32" t="s">
        <v>767</v>
      </c>
      <c r="B805" s="7">
        <v>2012</v>
      </c>
      <c r="C805" s="51" t="s">
        <v>703</v>
      </c>
      <c r="D805" t="s">
        <v>734</v>
      </c>
      <c r="E805" s="2">
        <v>15.411</v>
      </c>
    </row>
    <row r="806" spans="1:5" x14ac:dyDescent="0.25">
      <c r="A806" s="32" t="s">
        <v>767</v>
      </c>
      <c r="B806" s="7">
        <v>2012</v>
      </c>
      <c r="C806" s="51" t="s">
        <v>704</v>
      </c>
      <c r="D806" t="s">
        <v>734</v>
      </c>
      <c r="E806" s="2">
        <v>17.763000000000002</v>
      </c>
    </row>
    <row r="807" spans="1:5" x14ac:dyDescent="0.25">
      <c r="A807" s="32" t="s">
        <v>767</v>
      </c>
      <c r="B807" s="7">
        <v>2012</v>
      </c>
      <c r="C807" s="51" t="s">
        <v>705</v>
      </c>
      <c r="D807" t="s">
        <v>734</v>
      </c>
      <c r="E807" s="2">
        <v>14.711</v>
      </c>
    </row>
    <row r="808" spans="1:5" x14ac:dyDescent="0.25">
      <c r="A808" s="32" t="s">
        <v>767</v>
      </c>
      <c r="B808" s="7">
        <v>2012</v>
      </c>
      <c r="C808" s="51" t="s">
        <v>706</v>
      </c>
      <c r="D808" t="s">
        <v>734</v>
      </c>
      <c r="E808" s="2">
        <v>14.497999999999999</v>
      </c>
    </row>
    <row r="809" spans="1:5" x14ac:dyDescent="0.25">
      <c r="A809" s="32" t="s">
        <v>767</v>
      </c>
      <c r="B809" s="7">
        <v>2013</v>
      </c>
      <c r="C809" s="51" t="s">
        <v>713</v>
      </c>
      <c r="D809" t="s">
        <v>734</v>
      </c>
      <c r="E809" s="2">
        <v>19.382000000000001</v>
      </c>
    </row>
    <row r="810" spans="1:5" x14ac:dyDescent="0.25">
      <c r="A810" s="32" t="s">
        <v>767</v>
      </c>
      <c r="B810" s="7">
        <v>2013</v>
      </c>
      <c r="C810" s="51" t="s">
        <v>707</v>
      </c>
      <c r="D810" t="s">
        <v>734</v>
      </c>
      <c r="E810" s="2">
        <v>15.061999999999999</v>
      </c>
    </row>
    <row r="811" spans="1:5" x14ac:dyDescent="0.25">
      <c r="A811" s="32" t="s">
        <v>767</v>
      </c>
      <c r="B811" s="7">
        <v>2013</v>
      </c>
      <c r="C811" s="51" t="s">
        <v>708</v>
      </c>
      <c r="D811" t="s">
        <v>734</v>
      </c>
      <c r="E811" s="2">
        <v>18.228999999999999</v>
      </c>
    </row>
    <row r="812" spans="1:5" x14ac:dyDescent="0.25">
      <c r="A812" s="32" t="s">
        <v>767</v>
      </c>
      <c r="B812" s="7">
        <v>2013</v>
      </c>
      <c r="C812" s="51" t="s">
        <v>699</v>
      </c>
      <c r="D812" t="s">
        <v>734</v>
      </c>
      <c r="E812" s="2">
        <v>14.276</v>
      </c>
    </row>
    <row r="813" spans="1:5" x14ac:dyDescent="0.25">
      <c r="A813" s="32" t="s">
        <v>767</v>
      </c>
      <c r="B813" s="7">
        <v>2013</v>
      </c>
      <c r="C813" s="51" t="s">
        <v>709</v>
      </c>
      <c r="D813" t="s">
        <v>734</v>
      </c>
      <c r="E813" s="2">
        <v>15.151</v>
      </c>
    </row>
    <row r="814" spans="1:5" x14ac:dyDescent="0.25">
      <c r="A814" s="32" t="s">
        <v>767</v>
      </c>
      <c r="B814" s="7">
        <v>2013</v>
      </c>
      <c r="C814" s="51" t="s">
        <v>712</v>
      </c>
      <c r="D814" t="s">
        <v>734</v>
      </c>
      <c r="E814" s="2">
        <v>16.347000000000001</v>
      </c>
    </row>
    <row r="815" spans="1:5" x14ac:dyDescent="0.25">
      <c r="A815" s="32" t="s">
        <v>767</v>
      </c>
      <c r="B815" s="7">
        <v>2013</v>
      </c>
      <c r="C815" s="51" t="s">
        <v>710</v>
      </c>
      <c r="D815" t="s">
        <v>734</v>
      </c>
      <c r="E815" s="2">
        <v>16.466000000000001</v>
      </c>
    </row>
    <row r="816" spans="1:5" x14ac:dyDescent="0.25">
      <c r="A816" s="32" t="s">
        <v>767</v>
      </c>
      <c r="B816" s="7">
        <v>2013</v>
      </c>
      <c r="C816" s="51" t="s">
        <v>702</v>
      </c>
      <c r="D816" t="s">
        <v>734</v>
      </c>
      <c r="E816" s="2">
        <v>13.458</v>
      </c>
    </row>
    <row r="817" spans="1:5" x14ac:dyDescent="0.25">
      <c r="A817" s="32" t="s">
        <v>767</v>
      </c>
      <c r="B817" s="7">
        <v>2013</v>
      </c>
      <c r="C817" s="51" t="s">
        <v>703</v>
      </c>
      <c r="D817" t="s">
        <v>734</v>
      </c>
      <c r="E817" s="2">
        <v>12.903</v>
      </c>
    </row>
    <row r="818" spans="1:5" x14ac:dyDescent="0.25">
      <c r="A818" s="32" t="s">
        <v>767</v>
      </c>
      <c r="B818" s="7">
        <v>2013</v>
      </c>
      <c r="C818" s="51" t="s">
        <v>704</v>
      </c>
      <c r="D818" t="s">
        <v>734</v>
      </c>
      <c r="E818" s="2">
        <v>17.114000000000001</v>
      </c>
    </row>
    <row r="819" spans="1:5" x14ac:dyDescent="0.25">
      <c r="A819" s="32" t="s">
        <v>767</v>
      </c>
      <c r="B819" s="7">
        <v>2013</v>
      </c>
      <c r="C819" s="51" t="s">
        <v>705</v>
      </c>
      <c r="D819" t="s">
        <v>734</v>
      </c>
      <c r="E819" s="2">
        <v>15.746</v>
      </c>
    </row>
    <row r="820" spans="1:5" x14ac:dyDescent="0.25">
      <c r="A820" s="32" t="s">
        <v>767</v>
      </c>
      <c r="B820" s="7">
        <v>2013</v>
      </c>
      <c r="C820" s="51" t="s">
        <v>706</v>
      </c>
      <c r="D820" t="s">
        <v>734</v>
      </c>
      <c r="E820" s="2">
        <v>18.100000000000001</v>
      </c>
    </row>
    <row r="821" spans="1:5" x14ac:dyDescent="0.25">
      <c r="A821" s="32" t="s">
        <v>767</v>
      </c>
      <c r="B821" s="7">
        <v>2014</v>
      </c>
      <c r="C821" s="51" t="s">
        <v>713</v>
      </c>
      <c r="D821" t="s">
        <v>734</v>
      </c>
      <c r="E821" s="2">
        <v>17.923999999999999</v>
      </c>
    </row>
    <row r="822" spans="1:5" x14ac:dyDescent="0.25">
      <c r="A822" s="32" t="s">
        <v>767</v>
      </c>
      <c r="B822" s="7">
        <v>2014</v>
      </c>
      <c r="C822" s="51" t="s">
        <v>707</v>
      </c>
      <c r="D822" t="s">
        <v>734</v>
      </c>
      <c r="E822" s="2">
        <v>16.882999999999999</v>
      </c>
    </row>
    <row r="823" spans="1:5" x14ac:dyDescent="0.25">
      <c r="A823" s="32" t="s">
        <v>767</v>
      </c>
      <c r="B823" s="7">
        <v>2014</v>
      </c>
      <c r="C823" s="51" t="s">
        <v>708</v>
      </c>
      <c r="D823" t="s">
        <v>734</v>
      </c>
      <c r="E823" s="2">
        <v>18.812999999999999</v>
      </c>
    </row>
    <row r="824" spans="1:5" x14ac:dyDescent="0.25">
      <c r="A824" s="32" t="s">
        <v>767</v>
      </c>
      <c r="B824" s="7">
        <v>2014</v>
      </c>
      <c r="C824" s="51" t="s">
        <v>699</v>
      </c>
      <c r="D824" t="s">
        <v>734</v>
      </c>
      <c r="E824" s="2">
        <v>15.224</v>
      </c>
    </row>
    <row r="825" spans="1:5" x14ac:dyDescent="0.25">
      <c r="A825" s="32" t="s">
        <v>767</v>
      </c>
      <c r="B825" s="7">
        <v>2014</v>
      </c>
      <c r="C825" s="51" t="s">
        <v>709</v>
      </c>
      <c r="D825" t="s">
        <v>734</v>
      </c>
      <c r="E825" s="2">
        <v>21.681000000000001</v>
      </c>
    </row>
    <row r="826" spans="1:5" x14ac:dyDescent="0.25">
      <c r="A826" s="32" t="s">
        <v>767</v>
      </c>
      <c r="B826" s="7">
        <v>2014</v>
      </c>
      <c r="C826" s="51" t="s">
        <v>712</v>
      </c>
      <c r="D826" t="s">
        <v>734</v>
      </c>
      <c r="E826" s="2">
        <v>15.31</v>
      </c>
    </row>
    <row r="827" spans="1:5" x14ac:dyDescent="0.25">
      <c r="A827" s="32" t="s">
        <v>767</v>
      </c>
      <c r="B827" s="7">
        <v>2014</v>
      </c>
      <c r="C827" s="51" t="s">
        <v>710</v>
      </c>
      <c r="D827" t="s">
        <v>734</v>
      </c>
      <c r="E827" s="2">
        <v>15.547000000000001</v>
      </c>
    </row>
    <row r="828" spans="1:5" x14ac:dyDescent="0.25">
      <c r="A828" s="32" t="s">
        <v>767</v>
      </c>
      <c r="B828" s="7">
        <v>2014</v>
      </c>
      <c r="C828" s="51" t="s">
        <v>702</v>
      </c>
      <c r="D828" t="s">
        <v>734</v>
      </c>
      <c r="E828" s="2">
        <v>14.226000000000001</v>
      </c>
    </row>
    <row r="829" spans="1:5" x14ac:dyDescent="0.25">
      <c r="A829" s="32" t="s">
        <v>767</v>
      </c>
      <c r="B829" s="7">
        <v>2014</v>
      </c>
      <c r="C829" s="51" t="s">
        <v>703</v>
      </c>
      <c r="D829" t="s">
        <v>734</v>
      </c>
      <c r="E829" s="2">
        <v>13.78</v>
      </c>
    </row>
    <row r="830" spans="1:5" x14ac:dyDescent="0.25">
      <c r="A830" s="32" t="s">
        <v>767</v>
      </c>
      <c r="B830" s="7">
        <v>2014</v>
      </c>
      <c r="C830" s="51" t="s">
        <v>704</v>
      </c>
      <c r="D830" t="s">
        <v>734</v>
      </c>
      <c r="E830" s="2">
        <v>15.375999999999999</v>
      </c>
    </row>
    <row r="831" spans="1:5" x14ac:dyDescent="0.25">
      <c r="A831" s="32" t="s">
        <v>767</v>
      </c>
      <c r="B831" s="7">
        <v>2014</v>
      </c>
      <c r="C831" s="51" t="s">
        <v>705</v>
      </c>
      <c r="D831" t="s">
        <v>734</v>
      </c>
      <c r="E831" s="2">
        <v>15.742000000000001</v>
      </c>
    </row>
    <row r="832" spans="1:5" x14ac:dyDescent="0.25">
      <c r="A832" s="32" t="s">
        <v>767</v>
      </c>
      <c r="B832" s="7">
        <v>2014</v>
      </c>
      <c r="C832" s="51" t="s">
        <v>706</v>
      </c>
      <c r="D832" t="s">
        <v>734</v>
      </c>
      <c r="E832" s="2">
        <v>16.187000000000001</v>
      </c>
    </row>
    <row r="833" spans="1:5" x14ac:dyDescent="0.25">
      <c r="A833" s="32" t="s">
        <v>767</v>
      </c>
      <c r="B833" s="7">
        <v>2015</v>
      </c>
      <c r="C833" s="51" t="s">
        <v>713</v>
      </c>
      <c r="D833" t="s">
        <v>734</v>
      </c>
      <c r="E833" s="2">
        <v>18.100999999999999</v>
      </c>
    </row>
    <row r="834" spans="1:5" x14ac:dyDescent="0.25">
      <c r="A834" s="32" t="s">
        <v>767</v>
      </c>
      <c r="B834" s="7">
        <v>2015</v>
      </c>
      <c r="C834" s="51" t="s">
        <v>707</v>
      </c>
      <c r="D834" t="s">
        <v>734</v>
      </c>
      <c r="E834" s="2">
        <v>15.028</v>
      </c>
    </row>
    <row r="835" spans="1:5" x14ac:dyDescent="0.25">
      <c r="A835" s="32" t="s">
        <v>767</v>
      </c>
      <c r="B835" s="7">
        <v>2015</v>
      </c>
      <c r="C835" s="51" t="s">
        <v>708</v>
      </c>
      <c r="D835" t="s">
        <v>734</v>
      </c>
      <c r="E835" s="2">
        <v>19.116</v>
      </c>
    </row>
    <row r="836" spans="1:5" x14ac:dyDescent="0.25">
      <c r="A836" s="32" t="s">
        <v>767</v>
      </c>
      <c r="B836" s="7">
        <v>2015</v>
      </c>
      <c r="C836" s="51" t="s">
        <v>699</v>
      </c>
      <c r="D836" t="s">
        <v>734</v>
      </c>
      <c r="E836" s="2">
        <v>16.344000000000001</v>
      </c>
    </row>
    <row r="837" spans="1:5" x14ac:dyDescent="0.25">
      <c r="A837" s="32" t="s">
        <v>767</v>
      </c>
      <c r="B837" s="7">
        <v>2015</v>
      </c>
      <c r="C837" s="51" t="s">
        <v>709</v>
      </c>
      <c r="D837" t="s">
        <v>734</v>
      </c>
      <c r="E837" s="2">
        <v>15.624000000000001</v>
      </c>
    </row>
    <row r="838" spans="1:5" x14ac:dyDescent="0.25">
      <c r="A838" s="32" t="s">
        <v>767</v>
      </c>
      <c r="B838" s="7">
        <v>2015</v>
      </c>
      <c r="C838" s="51" t="s">
        <v>712</v>
      </c>
      <c r="D838" t="s">
        <v>734</v>
      </c>
      <c r="E838" s="2">
        <v>16.597000000000001</v>
      </c>
    </row>
    <row r="839" spans="1:5" x14ac:dyDescent="0.25">
      <c r="A839" s="32" t="s">
        <v>767</v>
      </c>
      <c r="B839" s="7">
        <v>2015</v>
      </c>
      <c r="C839" s="51" t="s">
        <v>710</v>
      </c>
      <c r="D839" t="s">
        <v>734</v>
      </c>
      <c r="E839" s="2">
        <v>15.971</v>
      </c>
    </row>
    <row r="840" spans="1:5" x14ac:dyDescent="0.25">
      <c r="A840" s="32" t="s">
        <v>767</v>
      </c>
      <c r="B840" s="7">
        <v>2015</v>
      </c>
      <c r="C840" s="51" t="s">
        <v>702</v>
      </c>
      <c r="D840" t="s">
        <v>734</v>
      </c>
      <c r="E840" s="2">
        <v>15.225</v>
      </c>
    </row>
    <row r="841" spans="1:5" x14ac:dyDescent="0.25">
      <c r="A841" s="32" t="s">
        <v>767</v>
      </c>
      <c r="B841" s="7">
        <v>2015</v>
      </c>
      <c r="C841" s="51" t="s">
        <v>703</v>
      </c>
      <c r="D841" t="s">
        <v>734</v>
      </c>
      <c r="E841" s="2">
        <v>14.638</v>
      </c>
    </row>
    <row r="842" spans="1:5" x14ac:dyDescent="0.25">
      <c r="A842" s="32" t="s">
        <v>767</v>
      </c>
      <c r="B842" s="7">
        <v>2015</v>
      </c>
      <c r="C842" s="51" t="s">
        <v>704</v>
      </c>
      <c r="D842" t="s">
        <v>734</v>
      </c>
      <c r="E842" s="2">
        <v>16.759</v>
      </c>
    </row>
    <row r="843" spans="1:5" x14ac:dyDescent="0.25">
      <c r="A843" s="32" t="s">
        <v>767</v>
      </c>
      <c r="B843" s="7">
        <v>2015</v>
      </c>
      <c r="C843" s="51" t="s">
        <v>705</v>
      </c>
      <c r="D843" t="s">
        <v>734</v>
      </c>
      <c r="E843" s="2">
        <v>15.101000000000001</v>
      </c>
    </row>
    <row r="844" spans="1:5" x14ac:dyDescent="0.25">
      <c r="A844" s="32" t="s">
        <v>767</v>
      </c>
      <c r="B844" s="7">
        <v>2015</v>
      </c>
      <c r="C844" s="51" t="s">
        <v>706</v>
      </c>
      <c r="D844" t="s">
        <v>734</v>
      </c>
      <c r="E844" s="2">
        <v>17.11</v>
      </c>
    </row>
    <row r="845" spans="1:5" x14ac:dyDescent="0.25">
      <c r="A845" s="32" t="s">
        <v>767</v>
      </c>
      <c r="B845" s="7">
        <v>2016</v>
      </c>
      <c r="C845" s="51" t="s">
        <v>713</v>
      </c>
      <c r="D845" t="s">
        <v>734</v>
      </c>
      <c r="E845" s="2">
        <v>18.64</v>
      </c>
    </row>
    <row r="846" spans="1:5" x14ac:dyDescent="0.25">
      <c r="A846" s="32" t="s">
        <v>767</v>
      </c>
      <c r="B846" s="7">
        <v>2016</v>
      </c>
      <c r="C846" s="51" t="s">
        <v>707</v>
      </c>
      <c r="D846" t="s">
        <v>734</v>
      </c>
      <c r="E846" s="2">
        <v>21.571000000000002</v>
      </c>
    </row>
    <row r="847" spans="1:5" x14ac:dyDescent="0.25">
      <c r="A847" s="32" t="s">
        <v>767</v>
      </c>
      <c r="B847" s="7">
        <v>2016</v>
      </c>
      <c r="C847" s="51" t="s">
        <v>708</v>
      </c>
      <c r="D847" t="s">
        <v>734</v>
      </c>
      <c r="E847" s="2">
        <v>15.95</v>
      </c>
    </row>
    <row r="848" spans="1:5" x14ac:dyDescent="0.25">
      <c r="A848" s="32" t="s">
        <v>767</v>
      </c>
      <c r="B848" s="7">
        <v>2016</v>
      </c>
      <c r="C848" s="51" t="s">
        <v>699</v>
      </c>
      <c r="D848" t="s">
        <v>734</v>
      </c>
      <c r="E848" s="2">
        <v>15.728999999999999</v>
      </c>
    </row>
    <row r="849" spans="1:5" x14ac:dyDescent="0.25">
      <c r="A849" s="32" t="s">
        <v>767</v>
      </c>
      <c r="B849" s="7">
        <v>2016</v>
      </c>
      <c r="C849" s="51" t="s">
        <v>709</v>
      </c>
      <c r="D849" t="s">
        <v>734</v>
      </c>
      <c r="E849" s="2">
        <v>19.495999999999999</v>
      </c>
    </row>
    <row r="850" spans="1:5" x14ac:dyDescent="0.25">
      <c r="A850" s="32" t="s">
        <v>767</v>
      </c>
      <c r="B850" s="7">
        <v>2016</v>
      </c>
      <c r="C850" s="51" t="s">
        <v>712</v>
      </c>
      <c r="D850" t="s">
        <v>734</v>
      </c>
      <c r="E850" s="2">
        <v>16.026</v>
      </c>
    </row>
    <row r="851" spans="1:5" x14ac:dyDescent="0.25">
      <c r="A851" s="32" t="s">
        <v>767</v>
      </c>
      <c r="B851" s="7">
        <v>2016</v>
      </c>
      <c r="C851" s="51" t="s">
        <v>710</v>
      </c>
      <c r="D851" t="s">
        <v>734</v>
      </c>
      <c r="E851" s="2">
        <v>15.627000000000001</v>
      </c>
    </row>
    <row r="852" spans="1:5" x14ac:dyDescent="0.25">
      <c r="A852" s="32" t="s">
        <v>767</v>
      </c>
      <c r="B852" s="7">
        <v>2016</v>
      </c>
      <c r="C852" s="51" t="s">
        <v>702</v>
      </c>
      <c r="D852" t="s">
        <v>734</v>
      </c>
      <c r="E852" s="2">
        <v>15.204000000000001</v>
      </c>
    </row>
    <row r="853" spans="1:5" x14ac:dyDescent="0.25">
      <c r="A853" s="32" t="s">
        <v>767</v>
      </c>
      <c r="B853" s="7">
        <v>2016</v>
      </c>
      <c r="C853" s="51" t="s">
        <v>703</v>
      </c>
      <c r="D853" t="s">
        <v>734</v>
      </c>
      <c r="E853" s="2">
        <v>13.125</v>
      </c>
    </row>
    <row r="854" spans="1:5" x14ac:dyDescent="0.25">
      <c r="A854" s="32" t="s">
        <v>767</v>
      </c>
      <c r="B854" s="7">
        <v>2016</v>
      </c>
      <c r="C854" s="51" t="s">
        <v>704</v>
      </c>
      <c r="D854" t="s">
        <v>734</v>
      </c>
      <c r="E854" s="2">
        <v>14.25</v>
      </c>
    </row>
    <row r="855" spans="1:5" x14ac:dyDescent="0.25">
      <c r="A855" s="32" t="s">
        <v>767</v>
      </c>
      <c r="B855" s="7">
        <v>2016</v>
      </c>
      <c r="C855" s="51" t="s">
        <v>705</v>
      </c>
      <c r="D855" t="s">
        <v>734</v>
      </c>
      <c r="E855" s="2">
        <v>12.872</v>
      </c>
    </row>
    <row r="856" spans="1:5" x14ac:dyDescent="0.25">
      <c r="A856" s="32" t="s">
        <v>767</v>
      </c>
      <c r="B856" s="7">
        <v>2016</v>
      </c>
      <c r="C856" s="51" t="s">
        <v>706</v>
      </c>
      <c r="D856" t="s">
        <v>734</v>
      </c>
      <c r="E856" s="2">
        <v>15</v>
      </c>
    </row>
    <row r="857" spans="1:5" x14ac:dyDescent="0.25">
      <c r="A857" s="32" t="s">
        <v>767</v>
      </c>
      <c r="B857" s="7">
        <v>2017</v>
      </c>
      <c r="C857" s="51" t="s">
        <v>713</v>
      </c>
      <c r="D857" t="s">
        <v>734</v>
      </c>
      <c r="E857" s="2">
        <v>13.693</v>
      </c>
    </row>
    <row r="858" spans="1:5" x14ac:dyDescent="0.25">
      <c r="A858" s="32" t="s">
        <v>767</v>
      </c>
      <c r="B858" s="7">
        <v>2017</v>
      </c>
      <c r="C858" s="51" t="s">
        <v>707</v>
      </c>
      <c r="D858" t="s">
        <v>734</v>
      </c>
      <c r="E858" s="2">
        <v>11.722</v>
      </c>
    </row>
    <row r="859" spans="1:5" x14ac:dyDescent="0.25">
      <c r="A859" s="32" t="s">
        <v>767</v>
      </c>
      <c r="B859" s="7">
        <v>2017</v>
      </c>
      <c r="C859" s="51" t="s">
        <v>708</v>
      </c>
      <c r="D859" t="s">
        <v>734</v>
      </c>
      <c r="E859" s="2">
        <v>17.361999999999998</v>
      </c>
    </row>
    <row r="860" spans="1:5" x14ac:dyDescent="0.25">
      <c r="A860" s="32" t="s">
        <v>767</v>
      </c>
      <c r="B860" s="7">
        <v>2017</v>
      </c>
      <c r="C860" s="51" t="s">
        <v>699</v>
      </c>
      <c r="D860" t="s">
        <v>734</v>
      </c>
      <c r="E860" s="2">
        <v>19.475000000000001</v>
      </c>
    </row>
    <row r="861" spans="1:5" x14ac:dyDescent="0.25">
      <c r="A861" s="32" t="s">
        <v>767</v>
      </c>
      <c r="B861" s="7">
        <v>2017</v>
      </c>
      <c r="C861" s="51" t="s">
        <v>709</v>
      </c>
      <c r="D861" t="s">
        <v>734</v>
      </c>
      <c r="E861" s="2">
        <v>18.378</v>
      </c>
    </row>
    <row r="862" spans="1:5" x14ac:dyDescent="0.25">
      <c r="A862" s="32" t="s">
        <v>767</v>
      </c>
      <c r="B862" s="7">
        <v>2017</v>
      </c>
      <c r="C862" s="51" t="s">
        <v>712</v>
      </c>
      <c r="D862" t="s">
        <v>734</v>
      </c>
      <c r="E862" s="2">
        <v>15.27</v>
      </c>
    </row>
    <row r="863" spans="1:5" x14ac:dyDescent="0.25">
      <c r="A863" s="32" t="s">
        <v>767</v>
      </c>
      <c r="B863" s="7">
        <v>2017</v>
      </c>
      <c r="C863" s="51" t="s">
        <v>710</v>
      </c>
      <c r="D863" t="s">
        <v>734</v>
      </c>
      <c r="E863" s="2">
        <v>16.332000000000001</v>
      </c>
    </row>
    <row r="864" spans="1:5" x14ac:dyDescent="0.25">
      <c r="A864" s="32" t="s">
        <v>767</v>
      </c>
      <c r="B864" s="7">
        <v>2017</v>
      </c>
      <c r="C864" s="51" t="s">
        <v>702</v>
      </c>
      <c r="D864" t="s">
        <v>734</v>
      </c>
      <c r="E864" s="2">
        <v>14.865</v>
      </c>
    </row>
    <row r="865" spans="1:5" x14ac:dyDescent="0.25">
      <c r="A865" s="32" t="s">
        <v>767</v>
      </c>
      <c r="B865" s="7">
        <v>2017</v>
      </c>
      <c r="C865" s="51" t="s">
        <v>703</v>
      </c>
      <c r="D865" t="s">
        <v>734</v>
      </c>
      <c r="E865" s="2">
        <v>13.090999999999999</v>
      </c>
    </row>
    <row r="866" spans="1:5" x14ac:dyDescent="0.25">
      <c r="A866" s="32" t="s">
        <v>767</v>
      </c>
      <c r="B866" s="7">
        <v>2017</v>
      </c>
      <c r="C866" s="51" t="s">
        <v>704</v>
      </c>
      <c r="D866" t="s">
        <v>734</v>
      </c>
      <c r="E866" s="2">
        <v>14.837999999999999</v>
      </c>
    </row>
    <row r="867" spans="1:5" x14ac:dyDescent="0.25">
      <c r="A867" s="32" t="s">
        <v>767</v>
      </c>
      <c r="B867" s="7">
        <v>2017</v>
      </c>
      <c r="C867" s="51" t="s">
        <v>705</v>
      </c>
      <c r="D867" t="s">
        <v>734</v>
      </c>
      <c r="E867" s="2">
        <v>15.053000000000001</v>
      </c>
    </row>
    <row r="868" spans="1:5" x14ac:dyDescent="0.25">
      <c r="A868" s="32" t="s">
        <v>767</v>
      </c>
      <c r="B868" s="7">
        <v>2017</v>
      </c>
      <c r="C868" s="51" t="s">
        <v>706</v>
      </c>
      <c r="D868" t="s">
        <v>734</v>
      </c>
      <c r="E868" s="2">
        <v>17.66</v>
      </c>
    </row>
    <row r="869" spans="1:5" x14ac:dyDescent="0.25">
      <c r="A869" s="32" t="s">
        <v>767</v>
      </c>
      <c r="B869" s="7">
        <v>2018</v>
      </c>
      <c r="C869" s="51" t="s">
        <v>713</v>
      </c>
      <c r="D869" t="s">
        <v>734</v>
      </c>
      <c r="E869" s="2">
        <v>15.55</v>
      </c>
    </row>
    <row r="870" spans="1:5" x14ac:dyDescent="0.25">
      <c r="A870" s="32" t="s">
        <v>767</v>
      </c>
      <c r="B870" s="7">
        <v>2018</v>
      </c>
      <c r="C870" s="51" t="s">
        <v>707</v>
      </c>
      <c r="D870" t="s">
        <v>734</v>
      </c>
      <c r="E870" s="2">
        <v>18.149000000000001</v>
      </c>
    </row>
    <row r="871" spans="1:5" x14ac:dyDescent="0.25">
      <c r="A871" s="32" t="s">
        <v>767</v>
      </c>
      <c r="B871" s="7">
        <v>2018</v>
      </c>
      <c r="C871" s="51" t="s">
        <v>708</v>
      </c>
      <c r="D871" t="s">
        <v>734</v>
      </c>
      <c r="E871" s="2">
        <v>17.596</v>
      </c>
    </row>
    <row r="872" spans="1:5" x14ac:dyDescent="0.25">
      <c r="A872" s="32" t="s">
        <v>767</v>
      </c>
      <c r="B872" s="7">
        <v>2018</v>
      </c>
      <c r="C872" s="51" t="s">
        <v>699</v>
      </c>
      <c r="D872" t="s">
        <v>734</v>
      </c>
      <c r="E872" s="2">
        <v>16.532</v>
      </c>
    </row>
    <row r="873" spans="1:5" x14ac:dyDescent="0.25">
      <c r="A873" s="32" t="s">
        <v>767</v>
      </c>
      <c r="B873" s="7">
        <v>2018</v>
      </c>
      <c r="C873" s="51" t="s">
        <v>709</v>
      </c>
      <c r="D873" t="s">
        <v>734</v>
      </c>
      <c r="E873" s="2">
        <v>18.971</v>
      </c>
    </row>
    <row r="874" spans="1:5" x14ac:dyDescent="0.25">
      <c r="A874" s="32" t="s">
        <v>767</v>
      </c>
      <c r="B874" s="7">
        <v>2018</v>
      </c>
      <c r="C874" s="51" t="s">
        <v>712</v>
      </c>
      <c r="D874" t="s">
        <v>734</v>
      </c>
      <c r="E874" s="2">
        <v>17.056000000000001</v>
      </c>
    </row>
    <row r="875" spans="1:5" x14ac:dyDescent="0.25">
      <c r="A875" s="32" t="s">
        <v>767</v>
      </c>
      <c r="B875" s="7">
        <v>2018</v>
      </c>
      <c r="C875" s="51" t="s">
        <v>710</v>
      </c>
      <c r="D875" t="s">
        <v>734</v>
      </c>
      <c r="E875" s="2">
        <v>12.878</v>
      </c>
    </row>
    <row r="876" spans="1:5" x14ac:dyDescent="0.25">
      <c r="A876" s="32" t="s">
        <v>767</v>
      </c>
      <c r="B876" s="7">
        <v>2018</v>
      </c>
      <c r="C876" s="51" t="s">
        <v>702</v>
      </c>
      <c r="D876" t="s">
        <v>734</v>
      </c>
      <c r="E876" s="2">
        <v>20.177</v>
      </c>
    </row>
    <row r="877" spans="1:5" x14ac:dyDescent="0.25">
      <c r="A877" s="32" t="s">
        <v>767</v>
      </c>
      <c r="B877" s="7">
        <v>2018</v>
      </c>
      <c r="C877" s="51" t="s">
        <v>703</v>
      </c>
      <c r="D877" t="s">
        <v>734</v>
      </c>
      <c r="E877" s="2">
        <v>21.827000000000002</v>
      </c>
    </row>
    <row r="878" spans="1:5" x14ac:dyDescent="0.25">
      <c r="A878" s="32" t="s">
        <v>767</v>
      </c>
      <c r="B878" s="7">
        <v>2018</v>
      </c>
      <c r="C878" s="51" t="s">
        <v>704</v>
      </c>
      <c r="D878" t="s">
        <v>734</v>
      </c>
      <c r="E878" s="2">
        <v>15.2</v>
      </c>
    </row>
    <row r="879" spans="1:5" x14ac:dyDescent="0.25">
      <c r="A879" s="32" t="s">
        <v>767</v>
      </c>
      <c r="B879" s="7">
        <v>2018</v>
      </c>
      <c r="C879" s="51" t="s">
        <v>705</v>
      </c>
      <c r="D879" t="s">
        <v>734</v>
      </c>
      <c r="E879" s="2">
        <v>20.091999999999999</v>
      </c>
    </row>
    <row r="880" spans="1:5" x14ac:dyDescent="0.25">
      <c r="A880" s="32" t="s">
        <v>767</v>
      </c>
      <c r="B880" s="7">
        <v>2018</v>
      </c>
      <c r="C880" s="51" t="s">
        <v>706</v>
      </c>
      <c r="D880" t="s">
        <v>734</v>
      </c>
      <c r="E880" s="2">
        <v>20.725000000000001</v>
      </c>
    </row>
    <row r="881" spans="1:5" x14ac:dyDescent="0.25">
      <c r="A881" s="32" t="s">
        <v>767</v>
      </c>
      <c r="B881" s="7">
        <v>2019</v>
      </c>
      <c r="C881" s="51" t="s">
        <v>713</v>
      </c>
      <c r="D881" t="s">
        <v>734</v>
      </c>
      <c r="E881" s="2">
        <v>17.677</v>
      </c>
    </row>
    <row r="882" spans="1:5" x14ac:dyDescent="0.25">
      <c r="A882" s="32" t="s">
        <v>767</v>
      </c>
      <c r="B882" s="7">
        <v>2019</v>
      </c>
      <c r="C882" s="51" t="s">
        <v>707</v>
      </c>
      <c r="D882" t="s">
        <v>734</v>
      </c>
      <c r="E882" s="2">
        <v>16.619</v>
      </c>
    </row>
    <row r="883" spans="1:5" x14ac:dyDescent="0.25">
      <c r="A883" s="32" t="s">
        <v>767</v>
      </c>
      <c r="B883" s="7">
        <v>2019</v>
      </c>
      <c r="C883" s="51" t="s">
        <v>708</v>
      </c>
      <c r="D883" t="s">
        <v>734</v>
      </c>
      <c r="E883" s="2">
        <v>19.082000000000001</v>
      </c>
    </row>
    <row r="884" spans="1:5" x14ac:dyDescent="0.25">
      <c r="A884" s="32" t="s">
        <v>767</v>
      </c>
      <c r="B884" s="7">
        <v>2019</v>
      </c>
      <c r="C884" s="51" t="s">
        <v>699</v>
      </c>
      <c r="D884" t="s">
        <v>734</v>
      </c>
      <c r="E884" s="2">
        <v>13.839</v>
      </c>
    </row>
    <row r="885" spans="1:5" x14ac:dyDescent="0.25">
      <c r="A885" s="32" t="s">
        <v>767</v>
      </c>
      <c r="B885" s="7">
        <v>2019</v>
      </c>
      <c r="C885" s="51" t="s">
        <v>709</v>
      </c>
      <c r="D885" t="s">
        <v>734</v>
      </c>
      <c r="E885" s="2">
        <v>17.245000000000001</v>
      </c>
    </row>
    <row r="886" spans="1:5" x14ac:dyDescent="0.25">
      <c r="A886" s="32" t="s">
        <v>767</v>
      </c>
      <c r="B886" s="7">
        <v>2019</v>
      </c>
      <c r="C886" s="51" t="s">
        <v>712</v>
      </c>
      <c r="D886" t="s">
        <v>734</v>
      </c>
      <c r="E886" s="2">
        <v>13.041</v>
      </c>
    </row>
    <row r="887" spans="1:5" x14ac:dyDescent="0.25">
      <c r="A887" s="32" t="s">
        <v>767</v>
      </c>
      <c r="B887" s="7">
        <v>2019</v>
      </c>
      <c r="C887" s="51" t="s">
        <v>710</v>
      </c>
      <c r="D887" t="s">
        <v>734</v>
      </c>
      <c r="E887" s="2">
        <v>14.648999999999999</v>
      </c>
    </row>
    <row r="888" spans="1:5" x14ac:dyDescent="0.25">
      <c r="A888" s="32" t="s">
        <v>767</v>
      </c>
      <c r="B888" s="7">
        <v>2019</v>
      </c>
      <c r="C888" s="51" t="s">
        <v>702</v>
      </c>
      <c r="D888" t="s">
        <v>734</v>
      </c>
      <c r="E888" s="2">
        <v>13.071999999999999</v>
      </c>
    </row>
    <row r="889" spans="1:5" x14ac:dyDescent="0.25">
      <c r="A889" s="32" t="s">
        <v>767</v>
      </c>
      <c r="B889" s="7">
        <v>2019</v>
      </c>
      <c r="C889" s="51" t="s">
        <v>703</v>
      </c>
      <c r="D889" t="s">
        <v>734</v>
      </c>
      <c r="E889" s="2">
        <v>14.298999999999999</v>
      </c>
    </row>
    <row r="890" spans="1:5" x14ac:dyDescent="0.25">
      <c r="A890" s="32" t="s">
        <v>767</v>
      </c>
      <c r="B890" s="7">
        <v>2019</v>
      </c>
      <c r="C890" s="51" t="s">
        <v>704</v>
      </c>
      <c r="D890" t="s">
        <v>734</v>
      </c>
      <c r="E890" s="2">
        <v>14.702999999999999</v>
      </c>
    </row>
    <row r="891" spans="1:5" x14ac:dyDescent="0.25">
      <c r="A891" s="32" t="s">
        <v>767</v>
      </c>
      <c r="B891" s="7">
        <v>2019</v>
      </c>
      <c r="C891" s="51" t="s">
        <v>705</v>
      </c>
      <c r="D891" t="s">
        <v>734</v>
      </c>
      <c r="E891" s="2">
        <v>14.34</v>
      </c>
    </row>
    <row r="892" spans="1:5" x14ac:dyDescent="0.25">
      <c r="A892" s="32" t="s">
        <v>767</v>
      </c>
      <c r="B892" s="7">
        <v>2019</v>
      </c>
      <c r="C892" s="51" t="s">
        <v>706</v>
      </c>
      <c r="D892" t="s">
        <v>734</v>
      </c>
      <c r="E892" s="2">
        <v>15.439</v>
      </c>
    </row>
    <row r="893" spans="1:5" x14ac:dyDescent="0.25">
      <c r="A893" s="32" t="s">
        <v>767</v>
      </c>
      <c r="B893" s="7">
        <v>2020</v>
      </c>
      <c r="C893" s="51" t="s">
        <v>713</v>
      </c>
      <c r="D893" t="s">
        <v>734</v>
      </c>
      <c r="E893" s="2">
        <v>15.763</v>
      </c>
    </row>
    <row r="894" spans="1:5" x14ac:dyDescent="0.25">
      <c r="A894" s="32" t="s">
        <v>767</v>
      </c>
      <c r="B894" s="7">
        <v>2020</v>
      </c>
      <c r="C894" s="51" t="s">
        <v>707</v>
      </c>
      <c r="D894" t="s">
        <v>734</v>
      </c>
      <c r="E894" s="2">
        <v>14.911</v>
      </c>
    </row>
    <row r="895" spans="1:5" x14ac:dyDescent="0.25">
      <c r="A895" s="32" t="s">
        <v>767</v>
      </c>
      <c r="B895" s="7">
        <v>2020</v>
      </c>
      <c r="C895" s="51" t="s">
        <v>708</v>
      </c>
      <c r="D895" t="s">
        <v>734</v>
      </c>
      <c r="E895" s="2">
        <v>14.239000000000001</v>
      </c>
    </row>
    <row r="896" spans="1:5" x14ac:dyDescent="0.25">
      <c r="A896" s="32" t="s">
        <v>767</v>
      </c>
      <c r="B896" s="7">
        <v>2020</v>
      </c>
      <c r="C896" s="51" t="s">
        <v>699</v>
      </c>
      <c r="D896" t="s">
        <v>734</v>
      </c>
      <c r="E896" s="2">
        <v>16.282</v>
      </c>
    </row>
    <row r="897" spans="1:5" x14ac:dyDescent="0.25">
      <c r="A897" s="32" t="s">
        <v>767</v>
      </c>
      <c r="B897" s="7">
        <v>2020</v>
      </c>
      <c r="C897" s="51" t="s">
        <v>709</v>
      </c>
      <c r="D897" t="s">
        <v>734</v>
      </c>
      <c r="E897" s="2">
        <v>17.244</v>
      </c>
    </row>
    <row r="898" spans="1:5" x14ac:dyDescent="0.25">
      <c r="A898" s="32" t="s">
        <v>767</v>
      </c>
      <c r="B898" s="7">
        <v>2020</v>
      </c>
      <c r="C898" s="51" t="s">
        <v>712</v>
      </c>
      <c r="D898" t="s">
        <v>734</v>
      </c>
      <c r="E898" s="2">
        <v>15.574999999999999</v>
      </c>
    </row>
    <row r="899" spans="1:5" x14ac:dyDescent="0.25">
      <c r="A899" s="32" t="s">
        <v>767</v>
      </c>
      <c r="B899" s="7">
        <v>2020</v>
      </c>
      <c r="C899" s="51" t="s">
        <v>710</v>
      </c>
      <c r="D899" t="s">
        <v>734</v>
      </c>
      <c r="E899" s="2">
        <v>14.093</v>
      </c>
    </row>
    <row r="900" spans="1:5" x14ac:dyDescent="0.25">
      <c r="A900" s="32" t="s">
        <v>767</v>
      </c>
      <c r="B900" s="7">
        <v>2020</v>
      </c>
      <c r="C900" s="51" t="s">
        <v>702</v>
      </c>
      <c r="D900" t="s">
        <v>734</v>
      </c>
      <c r="E900" s="2">
        <v>19.332999999999998</v>
      </c>
    </row>
    <row r="901" spans="1:5" x14ac:dyDescent="0.25">
      <c r="A901" s="32" t="s">
        <v>767</v>
      </c>
      <c r="B901" s="7">
        <v>2020</v>
      </c>
      <c r="C901" s="51" t="s">
        <v>703</v>
      </c>
      <c r="D901" t="s">
        <v>734</v>
      </c>
      <c r="E901" s="2">
        <v>15.23</v>
      </c>
    </row>
    <row r="902" spans="1:5" x14ac:dyDescent="0.25">
      <c r="A902" s="32" t="s">
        <v>767</v>
      </c>
      <c r="B902" s="7">
        <v>2020</v>
      </c>
      <c r="C902" s="51" t="s">
        <v>704</v>
      </c>
      <c r="D902" t="s">
        <v>734</v>
      </c>
      <c r="E902" s="2">
        <v>15.067</v>
      </c>
    </row>
    <row r="903" spans="1:5" x14ac:dyDescent="0.25">
      <c r="A903" s="32" t="s">
        <v>767</v>
      </c>
      <c r="B903" s="7">
        <v>2020</v>
      </c>
      <c r="C903" s="51" t="s">
        <v>705</v>
      </c>
      <c r="D903" t="s">
        <v>734</v>
      </c>
      <c r="E903" s="2">
        <v>15.593</v>
      </c>
    </row>
    <row r="904" spans="1:5" x14ac:dyDescent="0.25">
      <c r="A904" s="32" t="s">
        <v>767</v>
      </c>
      <c r="B904" s="7">
        <v>2020</v>
      </c>
      <c r="C904" s="51" t="s">
        <v>706</v>
      </c>
      <c r="D904" t="s">
        <v>734</v>
      </c>
      <c r="E904" s="2">
        <v>20.600999999999999</v>
      </c>
    </row>
    <row r="905" spans="1:5" x14ac:dyDescent="0.25">
      <c r="A905" s="32" t="s">
        <v>767</v>
      </c>
      <c r="B905" s="7">
        <v>2021</v>
      </c>
      <c r="C905" s="51" t="s">
        <v>713</v>
      </c>
      <c r="D905" t="s">
        <v>734</v>
      </c>
      <c r="E905" s="2">
        <v>16.649000000000001</v>
      </c>
    </row>
    <row r="906" spans="1:5" x14ac:dyDescent="0.25">
      <c r="A906" s="32" t="s">
        <v>767</v>
      </c>
      <c r="B906" s="7">
        <v>2021</v>
      </c>
      <c r="C906" s="51" t="s">
        <v>707</v>
      </c>
      <c r="D906" t="s">
        <v>734</v>
      </c>
      <c r="E906" s="2">
        <v>17.196000000000002</v>
      </c>
    </row>
    <row r="907" spans="1:5" x14ac:dyDescent="0.25">
      <c r="A907" s="32" t="s">
        <v>767</v>
      </c>
      <c r="B907" s="7">
        <v>2021</v>
      </c>
      <c r="C907" s="51" t="s">
        <v>708</v>
      </c>
      <c r="D907" t="s">
        <v>734</v>
      </c>
      <c r="E907" s="2">
        <v>17.067</v>
      </c>
    </row>
    <row r="908" spans="1:5" x14ac:dyDescent="0.25">
      <c r="A908" s="32" t="s">
        <v>767</v>
      </c>
      <c r="B908" s="7">
        <v>2021</v>
      </c>
      <c r="C908" s="51" t="s">
        <v>699</v>
      </c>
      <c r="D908" t="s">
        <v>734</v>
      </c>
      <c r="E908" s="2">
        <v>15.545</v>
      </c>
    </row>
    <row r="909" spans="1:5" x14ac:dyDescent="0.25">
      <c r="A909" s="32" t="s">
        <v>767</v>
      </c>
      <c r="B909" s="7">
        <v>2021</v>
      </c>
      <c r="C909" s="51" t="s">
        <v>709</v>
      </c>
      <c r="D909" t="s">
        <v>734</v>
      </c>
      <c r="E909" s="2">
        <v>14.08</v>
      </c>
    </row>
    <row r="910" spans="1:5" x14ac:dyDescent="0.25">
      <c r="A910" s="32" t="s">
        <v>767</v>
      </c>
      <c r="B910" s="7">
        <v>2021</v>
      </c>
      <c r="C910" s="51" t="s">
        <v>712</v>
      </c>
      <c r="D910" t="s">
        <v>734</v>
      </c>
      <c r="E910" s="2">
        <v>14.217000000000001</v>
      </c>
    </row>
    <row r="911" spans="1:5" x14ac:dyDescent="0.25">
      <c r="A911" s="32" t="s">
        <v>767</v>
      </c>
      <c r="B911" s="7">
        <v>2021</v>
      </c>
      <c r="C911" s="51" t="s">
        <v>710</v>
      </c>
      <c r="D911" t="s">
        <v>734</v>
      </c>
      <c r="E911" s="2">
        <v>13.407</v>
      </c>
    </row>
    <row r="912" spans="1:5" x14ac:dyDescent="0.25">
      <c r="A912" s="32" t="s">
        <v>767</v>
      </c>
      <c r="B912" s="7">
        <v>2021</v>
      </c>
      <c r="C912" s="51" t="s">
        <v>702</v>
      </c>
      <c r="D912" t="s">
        <v>734</v>
      </c>
      <c r="E912" s="2">
        <v>14.548999999999999</v>
      </c>
    </row>
    <row r="913" spans="1:5" x14ac:dyDescent="0.25">
      <c r="A913" s="32" t="s">
        <v>767</v>
      </c>
      <c r="B913" s="7">
        <v>2021</v>
      </c>
      <c r="C913" s="51" t="s">
        <v>703</v>
      </c>
      <c r="D913" t="s">
        <v>734</v>
      </c>
      <c r="E913" s="2">
        <v>15.209</v>
      </c>
    </row>
    <row r="914" spans="1:5" x14ac:dyDescent="0.25">
      <c r="A914" s="32" t="s">
        <v>767</v>
      </c>
      <c r="B914" s="7">
        <v>2021</v>
      </c>
      <c r="C914" s="51" t="s">
        <v>704</v>
      </c>
      <c r="D914" t="s">
        <v>734</v>
      </c>
      <c r="E914" s="2">
        <v>13.49</v>
      </c>
    </row>
    <row r="915" spans="1:5" x14ac:dyDescent="0.25">
      <c r="A915" s="32" t="s">
        <v>767</v>
      </c>
      <c r="B915" s="7">
        <v>2021</v>
      </c>
      <c r="C915" s="51" t="s">
        <v>705</v>
      </c>
      <c r="D915" t="s">
        <v>734</v>
      </c>
      <c r="E915" s="2">
        <v>12.875999999999999</v>
      </c>
    </row>
    <row r="916" spans="1:5" x14ac:dyDescent="0.25">
      <c r="A916" s="32" t="s">
        <v>767</v>
      </c>
      <c r="B916" s="7">
        <v>2021</v>
      </c>
      <c r="C916" s="51" t="s">
        <v>706</v>
      </c>
      <c r="D916" t="s">
        <v>734</v>
      </c>
      <c r="E916" s="2">
        <v>12.661</v>
      </c>
    </row>
    <row r="917" spans="1:5" x14ac:dyDescent="0.25">
      <c r="A917" s="32" t="s">
        <v>767</v>
      </c>
      <c r="B917" s="7">
        <v>2022</v>
      </c>
      <c r="C917" s="51" t="s">
        <v>713</v>
      </c>
      <c r="D917" t="s">
        <v>734</v>
      </c>
      <c r="E917" s="2">
        <v>16.39</v>
      </c>
    </row>
    <row r="918" spans="1:5" x14ac:dyDescent="0.25">
      <c r="A918" s="32" t="s">
        <v>767</v>
      </c>
      <c r="B918" s="7">
        <v>2022</v>
      </c>
      <c r="C918" s="51" t="s">
        <v>707</v>
      </c>
      <c r="D918" t="s">
        <v>734</v>
      </c>
      <c r="E918" s="2">
        <v>13.641</v>
      </c>
    </row>
    <row r="919" spans="1:5" x14ac:dyDescent="0.25">
      <c r="A919" s="32" t="s">
        <v>767</v>
      </c>
      <c r="B919" s="7">
        <v>2022</v>
      </c>
      <c r="C919" s="51" t="s">
        <v>708</v>
      </c>
      <c r="D919" t="s">
        <v>734</v>
      </c>
      <c r="E919" s="2">
        <v>13.818</v>
      </c>
    </row>
    <row r="920" spans="1:5" x14ac:dyDescent="0.25">
      <c r="A920" s="32" t="s">
        <v>767</v>
      </c>
      <c r="B920" s="7">
        <v>2022</v>
      </c>
      <c r="C920" s="51" t="s">
        <v>699</v>
      </c>
      <c r="D920" t="s">
        <v>734</v>
      </c>
      <c r="E920" s="2">
        <v>14.321999999999999</v>
      </c>
    </row>
    <row r="921" spans="1:5" x14ac:dyDescent="0.25">
      <c r="A921" s="32" t="s">
        <v>767</v>
      </c>
      <c r="B921" s="7">
        <v>2022</v>
      </c>
      <c r="C921" s="51" t="s">
        <v>709</v>
      </c>
      <c r="D921" t="s">
        <v>734</v>
      </c>
      <c r="E921" s="2">
        <v>16.483000000000001</v>
      </c>
    </row>
    <row r="922" spans="1:5" x14ac:dyDescent="0.25">
      <c r="A922" s="32" t="s">
        <v>767</v>
      </c>
      <c r="B922" s="7">
        <v>2022</v>
      </c>
      <c r="C922" s="51" t="s">
        <v>712</v>
      </c>
      <c r="D922" t="s">
        <v>734</v>
      </c>
      <c r="E922" s="2">
        <v>13.481999999999999</v>
      </c>
    </row>
    <row r="923" spans="1:5" x14ac:dyDescent="0.25">
      <c r="A923" s="32" t="s">
        <v>767</v>
      </c>
      <c r="B923" s="7">
        <v>2022</v>
      </c>
      <c r="C923" s="51" t="s">
        <v>710</v>
      </c>
      <c r="D923" t="s">
        <v>734</v>
      </c>
      <c r="E923" s="2">
        <v>14.114000000000001</v>
      </c>
    </row>
    <row r="924" spans="1:5" x14ac:dyDescent="0.25">
      <c r="A924" s="32" t="s">
        <v>767</v>
      </c>
      <c r="B924" s="7">
        <v>2022</v>
      </c>
      <c r="C924" s="51" t="s">
        <v>702</v>
      </c>
      <c r="D924" t="s">
        <v>734</v>
      </c>
      <c r="E924" s="2">
        <v>13.551</v>
      </c>
    </row>
    <row r="925" spans="1:5" x14ac:dyDescent="0.25">
      <c r="A925" s="32" t="s">
        <v>767</v>
      </c>
      <c r="B925" s="7">
        <v>2022</v>
      </c>
      <c r="C925" s="51" t="s">
        <v>703</v>
      </c>
      <c r="D925" t="s">
        <v>734</v>
      </c>
      <c r="E925" s="2">
        <v>13.186999999999999</v>
      </c>
    </row>
    <row r="926" spans="1:5" x14ac:dyDescent="0.25">
      <c r="A926" s="32" t="s">
        <v>767</v>
      </c>
      <c r="B926" s="7">
        <v>2022</v>
      </c>
      <c r="C926" s="51" t="s">
        <v>704</v>
      </c>
      <c r="D926" t="s">
        <v>734</v>
      </c>
      <c r="E926" s="2">
        <v>13.583</v>
      </c>
    </row>
    <row r="927" spans="1:5" x14ac:dyDescent="0.25">
      <c r="A927" s="32" t="s">
        <v>767</v>
      </c>
      <c r="B927" s="7">
        <v>2022</v>
      </c>
      <c r="C927" s="51" t="s">
        <v>705</v>
      </c>
      <c r="D927" t="s">
        <v>734</v>
      </c>
      <c r="E927" s="2">
        <v>12.807</v>
      </c>
    </row>
    <row r="928" spans="1:5" x14ac:dyDescent="0.25">
      <c r="A928" s="32" t="s">
        <v>767</v>
      </c>
      <c r="B928" s="7">
        <v>2022</v>
      </c>
      <c r="C928" s="51" t="s">
        <v>706</v>
      </c>
      <c r="D928" t="s">
        <v>734</v>
      </c>
      <c r="E928" s="2">
        <v>16.295000000000002</v>
      </c>
    </row>
    <row r="929" spans="1:5" x14ac:dyDescent="0.25">
      <c r="A929" s="32" t="s">
        <v>767</v>
      </c>
      <c r="B929" s="7">
        <v>2023</v>
      </c>
      <c r="C929" s="51" t="s">
        <v>713</v>
      </c>
      <c r="D929" t="s">
        <v>734</v>
      </c>
      <c r="E929" s="2">
        <v>13.901999999999999</v>
      </c>
    </row>
    <row r="930" spans="1:5" x14ac:dyDescent="0.25">
      <c r="A930" s="32" t="s">
        <v>767</v>
      </c>
      <c r="B930" s="7">
        <v>2023</v>
      </c>
      <c r="C930" s="51" t="s">
        <v>707</v>
      </c>
      <c r="D930" t="s">
        <v>734</v>
      </c>
      <c r="E930" s="2">
        <v>13.744</v>
      </c>
    </row>
    <row r="931" spans="1:5" x14ac:dyDescent="0.25">
      <c r="A931" s="32" t="s">
        <v>767</v>
      </c>
      <c r="B931" s="7">
        <v>2023</v>
      </c>
      <c r="C931" s="51" t="s">
        <v>708</v>
      </c>
      <c r="D931" t="s">
        <v>734</v>
      </c>
      <c r="E931" s="2">
        <v>13.57</v>
      </c>
    </row>
    <row r="932" spans="1:5" x14ac:dyDescent="0.25">
      <c r="A932" s="32" t="s">
        <v>767</v>
      </c>
      <c r="B932" s="7">
        <v>2023</v>
      </c>
      <c r="C932" s="51" t="s">
        <v>699</v>
      </c>
      <c r="D932" t="s">
        <v>734</v>
      </c>
      <c r="E932" s="2">
        <v>12.923999999999999</v>
      </c>
    </row>
    <row r="933" spans="1:5" x14ac:dyDescent="0.25">
      <c r="A933" s="32" t="s">
        <v>767</v>
      </c>
      <c r="B933" s="7">
        <v>2023</v>
      </c>
      <c r="C933" s="51" t="s">
        <v>709</v>
      </c>
      <c r="D933" t="s">
        <v>734</v>
      </c>
      <c r="E933" s="2">
        <v>13.351000000000001</v>
      </c>
    </row>
    <row r="934" spans="1:5" x14ac:dyDescent="0.25">
      <c r="A934" s="32" t="s">
        <v>767</v>
      </c>
      <c r="B934" s="7">
        <v>2023</v>
      </c>
      <c r="C934" s="51" t="s">
        <v>712</v>
      </c>
      <c r="D934" t="s">
        <v>734</v>
      </c>
      <c r="E934" s="2">
        <v>12.603</v>
      </c>
    </row>
    <row r="935" spans="1:5" x14ac:dyDescent="0.25">
      <c r="A935" s="32" t="s">
        <v>767</v>
      </c>
      <c r="B935" s="7">
        <v>2023</v>
      </c>
      <c r="C935" s="51" t="s">
        <v>710</v>
      </c>
      <c r="D935" t="s">
        <v>734</v>
      </c>
      <c r="E935" s="2">
        <v>13.435</v>
      </c>
    </row>
    <row r="936" spans="1:5" x14ac:dyDescent="0.25">
      <c r="A936" s="32" t="s">
        <v>767</v>
      </c>
      <c r="B936" s="7">
        <v>2023</v>
      </c>
      <c r="C936" s="51" t="s">
        <v>702</v>
      </c>
      <c r="D936" t="s">
        <v>734</v>
      </c>
      <c r="E936" s="2">
        <v>13.451000000000001</v>
      </c>
    </row>
    <row r="937" spans="1:5" x14ac:dyDescent="0.25">
      <c r="A937" s="32" t="s">
        <v>767</v>
      </c>
      <c r="B937" s="7">
        <v>2023</v>
      </c>
      <c r="C937" s="51" t="s">
        <v>703</v>
      </c>
      <c r="D937" t="s">
        <v>734</v>
      </c>
      <c r="E937" s="2">
        <v>15.021000000000001</v>
      </c>
    </row>
    <row r="938" spans="1:5" x14ac:dyDescent="0.25">
      <c r="A938" s="32" t="s">
        <v>767</v>
      </c>
      <c r="B938" s="7">
        <v>1997</v>
      </c>
      <c r="C938" s="51" t="s">
        <v>704</v>
      </c>
      <c r="D938" t="s">
        <v>716</v>
      </c>
      <c r="E938" s="2">
        <v>11.266</v>
      </c>
    </row>
    <row r="939" spans="1:5" x14ac:dyDescent="0.25">
      <c r="A939" s="32" t="s">
        <v>767</v>
      </c>
      <c r="B939" s="7">
        <v>1997</v>
      </c>
      <c r="C939" s="51" t="s">
        <v>705</v>
      </c>
      <c r="D939" t="s">
        <v>716</v>
      </c>
      <c r="E939" s="2">
        <v>13.265000000000001</v>
      </c>
    </row>
    <row r="940" spans="1:5" x14ac:dyDescent="0.25">
      <c r="A940" s="32" t="s">
        <v>767</v>
      </c>
      <c r="B940" s="7">
        <v>1997</v>
      </c>
      <c r="C940" s="51" t="s">
        <v>706</v>
      </c>
      <c r="D940" t="s">
        <v>716</v>
      </c>
      <c r="E940" s="2">
        <v>12.032</v>
      </c>
    </row>
    <row r="941" spans="1:5" x14ac:dyDescent="0.25">
      <c r="A941" s="32" t="s">
        <v>767</v>
      </c>
      <c r="B941" s="7">
        <v>1998</v>
      </c>
      <c r="C941" s="51" t="s">
        <v>713</v>
      </c>
      <c r="D941" t="s">
        <v>716</v>
      </c>
      <c r="E941" s="2">
        <v>13.782999999999999</v>
      </c>
    </row>
    <row r="942" spans="1:5" x14ac:dyDescent="0.25">
      <c r="A942" s="32" t="s">
        <v>767</v>
      </c>
      <c r="B942" s="7">
        <v>1998</v>
      </c>
      <c r="C942" s="51" t="s">
        <v>707</v>
      </c>
      <c r="D942" t="s">
        <v>716</v>
      </c>
      <c r="E942" s="2">
        <v>13.333</v>
      </c>
    </row>
    <row r="943" spans="1:5" x14ac:dyDescent="0.25">
      <c r="A943" s="32" t="s">
        <v>767</v>
      </c>
      <c r="B943" s="7">
        <v>1998</v>
      </c>
      <c r="C943" s="51" t="s">
        <v>708</v>
      </c>
      <c r="D943" t="s">
        <v>716</v>
      </c>
      <c r="E943" s="2">
        <v>14.042999999999999</v>
      </c>
    </row>
    <row r="944" spans="1:5" x14ac:dyDescent="0.25">
      <c r="A944" s="32" t="s">
        <v>767</v>
      </c>
      <c r="B944" s="7">
        <v>1998</v>
      </c>
      <c r="C944" s="51" t="s">
        <v>699</v>
      </c>
      <c r="D944" t="s">
        <v>716</v>
      </c>
      <c r="E944" s="2">
        <v>11.253</v>
      </c>
    </row>
    <row r="945" spans="1:5" x14ac:dyDescent="0.25">
      <c r="A945" s="32" t="s">
        <v>767</v>
      </c>
      <c r="B945" s="7">
        <v>1998</v>
      </c>
      <c r="C945" s="51" t="s">
        <v>709</v>
      </c>
      <c r="D945" t="s">
        <v>716</v>
      </c>
      <c r="E945" s="2">
        <v>12.327999999999999</v>
      </c>
    </row>
    <row r="946" spans="1:5" x14ac:dyDescent="0.25">
      <c r="A946" s="32" t="s">
        <v>767</v>
      </c>
      <c r="B946" s="7">
        <v>1998</v>
      </c>
      <c r="C946" s="51" t="s">
        <v>712</v>
      </c>
      <c r="D946" t="s">
        <v>716</v>
      </c>
      <c r="E946" s="2">
        <v>11.236000000000001</v>
      </c>
    </row>
    <row r="947" spans="1:5" x14ac:dyDescent="0.25">
      <c r="A947" s="32" t="s">
        <v>767</v>
      </c>
      <c r="B947" s="7">
        <v>1998</v>
      </c>
      <c r="C947" s="51" t="s">
        <v>710</v>
      </c>
      <c r="D947" t="s">
        <v>716</v>
      </c>
      <c r="E947" s="2">
        <v>10.752000000000001</v>
      </c>
    </row>
    <row r="948" spans="1:5" x14ac:dyDescent="0.25">
      <c r="A948" s="32" t="s">
        <v>767</v>
      </c>
      <c r="B948" s="7">
        <v>1998</v>
      </c>
      <c r="C948" s="51" t="s">
        <v>702</v>
      </c>
      <c r="D948" t="s">
        <v>716</v>
      </c>
      <c r="E948" s="2">
        <v>10.972</v>
      </c>
    </row>
    <row r="949" spans="1:5" x14ac:dyDescent="0.25">
      <c r="A949" s="32" t="s">
        <v>767</v>
      </c>
      <c r="B949" s="7">
        <v>1998</v>
      </c>
      <c r="C949" s="51" t="s">
        <v>703</v>
      </c>
      <c r="D949" t="s">
        <v>716</v>
      </c>
      <c r="E949" s="2">
        <v>10.827</v>
      </c>
    </row>
    <row r="950" spans="1:5" x14ac:dyDescent="0.25">
      <c r="A950" s="32" t="s">
        <v>767</v>
      </c>
      <c r="B950" s="7">
        <v>1998</v>
      </c>
      <c r="C950" s="51" t="s">
        <v>704</v>
      </c>
      <c r="D950" t="s">
        <v>716</v>
      </c>
      <c r="E950" s="2">
        <v>11.413</v>
      </c>
    </row>
    <row r="951" spans="1:5" x14ac:dyDescent="0.25">
      <c r="A951" s="32" t="s">
        <v>767</v>
      </c>
      <c r="B951" s="7">
        <v>1998</v>
      </c>
      <c r="C951" s="51" t="s">
        <v>705</v>
      </c>
      <c r="D951" t="s">
        <v>716</v>
      </c>
      <c r="E951" s="2">
        <v>11.199</v>
      </c>
    </row>
    <row r="952" spans="1:5" x14ac:dyDescent="0.25">
      <c r="A952" s="32" t="s">
        <v>767</v>
      </c>
      <c r="B952" s="7">
        <v>1998</v>
      </c>
      <c r="C952" s="51" t="s">
        <v>706</v>
      </c>
      <c r="D952" t="s">
        <v>716</v>
      </c>
      <c r="E952" s="2">
        <v>11.497999999999999</v>
      </c>
    </row>
    <row r="953" spans="1:5" x14ac:dyDescent="0.25">
      <c r="A953" s="32" t="s">
        <v>767</v>
      </c>
      <c r="B953" s="7">
        <v>1999</v>
      </c>
      <c r="C953" s="51" t="s">
        <v>713</v>
      </c>
      <c r="D953" t="s">
        <v>716</v>
      </c>
      <c r="E953" s="2">
        <v>13.209</v>
      </c>
    </row>
    <row r="954" spans="1:5" x14ac:dyDescent="0.25">
      <c r="A954" s="32" t="s">
        <v>767</v>
      </c>
      <c r="B954" s="7">
        <v>1999</v>
      </c>
      <c r="C954" s="51" t="s">
        <v>707</v>
      </c>
      <c r="D954" t="s">
        <v>716</v>
      </c>
      <c r="E954" s="2">
        <v>11.026999999999999</v>
      </c>
    </row>
    <row r="955" spans="1:5" x14ac:dyDescent="0.25">
      <c r="A955" s="32" t="s">
        <v>767</v>
      </c>
      <c r="B955" s="7">
        <v>1999</v>
      </c>
      <c r="C955" s="51" t="s">
        <v>708</v>
      </c>
      <c r="D955" t="s">
        <v>716</v>
      </c>
      <c r="E955" s="2">
        <v>12.984999999999999</v>
      </c>
    </row>
    <row r="956" spans="1:5" x14ac:dyDescent="0.25">
      <c r="A956" s="32" t="s">
        <v>767</v>
      </c>
      <c r="B956" s="7">
        <v>1999</v>
      </c>
      <c r="C956" s="51" t="s">
        <v>699</v>
      </c>
      <c r="D956" t="s">
        <v>716</v>
      </c>
      <c r="E956" s="2">
        <v>11.093999999999999</v>
      </c>
    </row>
    <row r="957" spans="1:5" x14ac:dyDescent="0.25">
      <c r="A957" s="32" t="s">
        <v>767</v>
      </c>
      <c r="B957" s="7">
        <v>1999</v>
      </c>
      <c r="C957" s="51" t="s">
        <v>709</v>
      </c>
      <c r="D957" t="s">
        <v>716</v>
      </c>
      <c r="E957" s="2">
        <v>11.456</v>
      </c>
    </row>
    <row r="958" spans="1:5" x14ac:dyDescent="0.25">
      <c r="A958" s="32" t="s">
        <v>767</v>
      </c>
      <c r="B958" s="7">
        <v>1999</v>
      </c>
      <c r="C958" s="51" t="s">
        <v>712</v>
      </c>
      <c r="D958" t="s">
        <v>716</v>
      </c>
      <c r="E958" s="2">
        <v>10.94</v>
      </c>
    </row>
    <row r="959" spans="1:5" x14ac:dyDescent="0.25">
      <c r="A959" s="32" t="s">
        <v>767</v>
      </c>
      <c r="B959" s="7">
        <v>1999</v>
      </c>
      <c r="C959" s="51" t="s">
        <v>710</v>
      </c>
      <c r="D959" t="s">
        <v>716</v>
      </c>
      <c r="E959" s="2">
        <v>10.872</v>
      </c>
    </row>
    <row r="960" spans="1:5" x14ac:dyDescent="0.25">
      <c r="A960" s="32" t="s">
        <v>767</v>
      </c>
      <c r="B960" s="7">
        <v>1999</v>
      </c>
      <c r="C960" s="51" t="s">
        <v>702</v>
      </c>
      <c r="D960" t="s">
        <v>716</v>
      </c>
      <c r="E960" s="2">
        <v>10.67</v>
      </c>
    </row>
    <row r="961" spans="1:5" x14ac:dyDescent="0.25">
      <c r="A961" s="32" t="s">
        <v>767</v>
      </c>
      <c r="B961" s="7">
        <v>1999</v>
      </c>
      <c r="C961" s="51" t="s">
        <v>703</v>
      </c>
      <c r="D961" t="s">
        <v>716</v>
      </c>
      <c r="E961" s="2">
        <v>11.65</v>
      </c>
    </row>
    <row r="962" spans="1:5" x14ac:dyDescent="0.25">
      <c r="A962" s="32" t="s">
        <v>767</v>
      </c>
      <c r="B962" s="7">
        <v>1999</v>
      </c>
      <c r="C962" s="51" t="s">
        <v>704</v>
      </c>
      <c r="D962" t="s">
        <v>716</v>
      </c>
      <c r="E962" s="2">
        <v>11.500999999999999</v>
      </c>
    </row>
    <row r="963" spans="1:5" x14ac:dyDescent="0.25">
      <c r="A963" s="32" t="s">
        <v>767</v>
      </c>
      <c r="B963" s="7">
        <v>1999</v>
      </c>
      <c r="C963" s="51" t="s">
        <v>705</v>
      </c>
      <c r="D963" t="s">
        <v>716</v>
      </c>
      <c r="E963" s="2">
        <v>10.882999999999999</v>
      </c>
    </row>
    <row r="964" spans="1:5" x14ac:dyDescent="0.25">
      <c r="A964" s="32" t="s">
        <v>767</v>
      </c>
      <c r="B964" s="7">
        <v>1999</v>
      </c>
      <c r="C964" s="51" t="s">
        <v>706</v>
      </c>
      <c r="D964" t="s">
        <v>716</v>
      </c>
      <c r="E964" s="2">
        <v>11.387</v>
      </c>
    </row>
    <row r="965" spans="1:5" x14ac:dyDescent="0.25">
      <c r="A965" s="32" t="s">
        <v>767</v>
      </c>
      <c r="B965" s="7">
        <v>2000</v>
      </c>
      <c r="C965" s="51" t="s">
        <v>713</v>
      </c>
      <c r="D965" t="s">
        <v>716</v>
      </c>
      <c r="E965" s="2">
        <v>11.135</v>
      </c>
    </row>
    <row r="966" spans="1:5" x14ac:dyDescent="0.25">
      <c r="A966" s="32" t="s">
        <v>767</v>
      </c>
      <c r="B966" s="7">
        <v>2000</v>
      </c>
      <c r="C966" s="51" t="s">
        <v>707</v>
      </c>
      <c r="D966" t="s">
        <v>716</v>
      </c>
      <c r="E966" s="2">
        <v>10.881</v>
      </c>
    </row>
    <row r="967" spans="1:5" x14ac:dyDescent="0.25">
      <c r="A967" s="32" t="s">
        <v>767</v>
      </c>
      <c r="B967" s="7">
        <v>2000</v>
      </c>
      <c r="C967" s="51" t="s">
        <v>708</v>
      </c>
      <c r="D967" t="s">
        <v>716</v>
      </c>
      <c r="E967" s="2">
        <v>13.670999999999999</v>
      </c>
    </row>
    <row r="968" spans="1:5" x14ac:dyDescent="0.25">
      <c r="A968" s="32" t="s">
        <v>767</v>
      </c>
      <c r="B968" s="7">
        <v>2000</v>
      </c>
      <c r="C968" s="51" t="s">
        <v>699</v>
      </c>
      <c r="D968" t="s">
        <v>716</v>
      </c>
      <c r="E968" s="2">
        <v>13.682</v>
      </c>
    </row>
    <row r="969" spans="1:5" x14ac:dyDescent="0.25">
      <c r="A969" s="32" t="s">
        <v>767</v>
      </c>
      <c r="B969" s="7">
        <v>2000</v>
      </c>
      <c r="C969" s="51" t="s">
        <v>709</v>
      </c>
      <c r="D969" t="s">
        <v>716</v>
      </c>
      <c r="E969" s="2">
        <v>12.997</v>
      </c>
    </row>
    <row r="970" spans="1:5" x14ac:dyDescent="0.25">
      <c r="A970" s="32" t="s">
        <v>767</v>
      </c>
      <c r="B970" s="7">
        <v>2000</v>
      </c>
      <c r="C970" s="51" t="s">
        <v>712</v>
      </c>
      <c r="D970" t="s">
        <v>716</v>
      </c>
      <c r="E970" s="2">
        <v>12.959</v>
      </c>
    </row>
    <row r="971" spans="1:5" x14ac:dyDescent="0.25">
      <c r="A971" s="32" t="s">
        <v>767</v>
      </c>
      <c r="B971" s="7">
        <v>2000</v>
      </c>
      <c r="C971" s="51" t="s">
        <v>710</v>
      </c>
      <c r="D971" t="s">
        <v>716</v>
      </c>
      <c r="E971" s="2">
        <v>13.231999999999999</v>
      </c>
    </row>
    <row r="972" spans="1:5" x14ac:dyDescent="0.25">
      <c r="A972" s="32" t="s">
        <v>767</v>
      </c>
      <c r="B972" s="7">
        <v>2000</v>
      </c>
      <c r="C972" s="51" t="s">
        <v>702</v>
      </c>
      <c r="D972" t="s">
        <v>716</v>
      </c>
      <c r="E972" s="2">
        <v>13.432</v>
      </c>
    </row>
    <row r="973" spans="1:5" x14ac:dyDescent="0.25">
      <c r="A973" s="32" t="s">
        <v>767</v>
      </c>
      <c r="B973" s="7">
        <v>2000</v>
      </c>
      <c r="C973" s="51" t="s">
        <v>703</v>
      </c>
      <c r="D973" t="s">
        <v>716</v>
      </c>
      <c r="E973" s="2">
        <v>13.526999999999999</v>
      </c>
    </row>
    <row r="974" spans="1:5" x14ac:dyDescent="0.25">
      <c r="A974" s="32" t="s">
        <v>767</v>
      </c>
      <c r="B974" s="7">
        <v>2000</v>
      </c>
      <c r="C974" s="51" t="s">
        <v>704</v>
      </c>
      <c r="D974" t="s">
        <v>716</v>
      </c>
      <c r="E974" s="2">
        <v>13.193</v>
      </c>
    </row>
    <row r="975" spans="1:5" x14ac:dyDescent="0.25">
      <c r="A975" s="32" t="s">
        <v>767</v>
      </c>
      <c r="B975" s="7">
        <v>2000</v>
      </c>
      <c r="C975" s="51" t="s">
        <v>705</v>
      </c>
      <c r="D975" t="s">
        <v>716</v>
      </c>
      <c r="E975" s="2">
        <v>12.667</v>
      </c>
    </row>
    <row r="976" spans="1:5" x14ac:dyDescent="0.25">
      <c r="A976" s="32" t="s">
        <v>767</v>
      </c>
      <c r="B976" s="7">
        <v>2000</v>
      </c>
      <c r="C976" s="51" t="s">
        <v>706</v>
      </c>
      <c r="D976" t="s">
        <v>716</v>
      </c>
      <c r="E976" s="2">
        <v>13.497999999999999</v>
      </c>
    </row>
    <row r="977" spans="1:5" x14ac:dyDescent="0.25">
      <c r="A977" s="32" t="s">
        <v>767</v>
      </c>
      <c r="B977" s="7">
        <v>2001</v>
      </c>
      <c r="C977" s="51" t="s">
        <v>713</v>
      </c>
      <c r="D977" t="s">
        <v>716</v>
      </c>
      <c r="E977" s="2">
        <v>13.595000000000001</v>
      </c>
    </row>
    <row r="978" spans="1:5" x14ac:dyDescent="0.25">
      <c r="A978" s="32" t="s">
        <v>767</v>
      </c>
      <c r="B978" s="7">
        <v>2001</v>
      </c>
      <c r="C978" s="51" t="s">
        <v>707</v>
      </c>
      <c r="D978" t="s">
        <v>716</v>
      </c>
      <c r="E978" s="2">
        <v>11.994</v>
      </c>
    </row>
    <row r="979" spans="1:5" x14ac:dyDescent="0.25">
      <c r="A979" s="32" t="s">
        <v>767</v>
      </c>
      <c r="B979" s="7">
        <v>2001</v>
      </c>
      <c r="C979" s="51" t="s">
        <v>708</v>
      </c>
      <c r="D979" t="s">
        <v>716</v>
      </c>
      <c r="E979" s="2">
        <v>14.041</v>
      </c>
    </row>
    <row r="980" spans="1:5" x14ac:dyDescent="0.25">
      <c r="A980" s="32" t="s">
        <v>767</v>
      </c>
      <c r="B980" s="7">
        <v>2001</v>
      </c>
      <c r="C980" s="51" t="s">
        <v>699</v>
      </c>
      <c r="D980" t="s">
        <v>716</v>
      </c>
      <c r="E980" s="2">
        <v>12.77</v>
      </c>
    </row>
    <row r="981" spans="1:5" x14ac:dyDescent="0.25">
      <c r="A981" s="32" t="s">
        <v>767</v>
      </c>
      <c r="B981" s="7">
        <v>2001</v>
      </c>
      <c r="C981" s="51" t="s">
        <v>709</v>
      </c>
      <c r="D981" t="s">
        <v>716</v>
      </c>
      <c r="E981" s="2">
        <v>13.284000000000001</v>
      </c>
    </row>
    <row r="982" spans="1:5" x14ac:dyDescent="0.25">
      <c r="A982" s="32" t="s">
        <v>767</v>
      </c>
      <c r="B982" s="7">
        <v>2001</v>
      </c>
      <c r="C982" s="51" t="s">
        <v>712</v>
      </c>
      <c r="D982" t="s">
        <v>716</v>
      </c>
      <c r="E982" s="2">
        <v>12.888999999999999</v>
      </c>
    </row>
    <row r="983" spans="1:5" x14ac:dyDescent="0.25">
      <c r="A983" s="32" t="s">
        <v>767</v>
      </c>
      <c r="B983" s="7">
        <v>2001</v>
      </c>
      <c r="C983" s="51" t="s">
        <v>710</v>
      </c>
      <c r="D983" t="s">
        <v>716</v>
      </c>
      <c r="E983" s="2">
        <v>12.129</v>
      </c>
    </row>
    <row r="984" spans="1:5" x14ac:dyDescent="0.25">
      <c r="A984" s="32" t="s">
        <v>767</v>
      </c>
      <c r="B984" s="7">
        <v>2001</v>
      </c>
      <c r="C984" s="51" t="s">
        <v>702</v>
      </c>
      <c r="D984" t="s">
        <v>716</v>
      </c>
      <c r="E984" s="2">
        <v>12.146000000000001</v>
      </c>
    </row>
    <row r="985" spans="1:5" x14ac:dyDescent="0.25">
      <c r="A985" s="32" t="s">
        <v>767</v>
      </c>
      <c r="B985" s="7">
        <v>2001</v>
      </c>
      <c r="C985" s="51" t="s">
        <v>703</v>
      </c>
      <c r="D985" t="s">
        <v>716</v>
      </c>
      <c r="E985" s="2">
        <v>11.965999999999999</v>
      </c>
    </row>
    <row r="986" spans="1:5" x14ac:dyDescent="0.25">
      <c r="A986" s="32" t="s">
        <v>767</v>
      </c>
      <c r="B986" s="7">
        <v>2001</v>
      </c>
      <c r="C986" s="51" t="s">
        <v>704</v>
      </c>
      <c r="D986" t="s">
        <v>716</v>
      </c>
      <c r="E986" s="2">
        <v>11.756</v>
      </c>
    </row>
    <row r="987" spans="1:5" x14ac:dyDescent="0.25">
      <c r="A987" s="32" t="s">
        <v>767</v>
      </c>
      <c r="B987" s="7">
        <v>2001</v>
      </c>
      <c r="C987" s="51" t="s">
        <v>705</v>
      </c>
      <c r="D987" t="s">
        <v>716</v>
      </c>
      <c r="E987" s="2">
        <v>11.353999999999999</v>
      </c>
    </row>
    <row r="988" spans="1:5" x14ac:dyDescent="0.25">
      <c r="A988" s="32" t="s">
        <v>767</v>
      </c>
      <c r="B988" s="7">
        <v>2001</v>
      </c>
      <c r="C988" s="51" t="s">
        <v>706</v>
      </c>
      <c r="D988" t="s">
        <v>716</v>
      </c>
      <c r="E988" s="2">
        <v>12.7</v>
      </c>
    </row>
    <row r="989" spans="1:5" x14ac:dyDescent="0.25">
      <c r="A989" s="32" t="s">
        <v>767</v>
      </c>
      <c r="B989" s="7">
        <v>2002</v>
      </c>
      <c r="C989" s="51" t="s">
        <v>713</v>
      </c>
      <c r="D989" t="s">
        <v>716</v>
      </c>
      <c r="E989" s="2">
        <v>12.427</v>
      </c>
    </row>
    <row r="990" spans="1:5" x14ac:dyDescent="0.25">
      <c r="A990" s="32" t="s">
        <v>767</v>
      </c>
      <c r="B990" s="7">
        <v>2002</v>
      </c>
      <c r="C990" s="51" t="s">
        <v>707</v>
      </c>
      <c r="D990" t="s">
        <v>716</v>
      </c>
      <c r="E990" s="2">
        <v>10.776</v>
      </c>
    </row>
    <row r="991" spans="1:5" x14ac:dyDescent="0.25">
      <c r="A991" s="32" t="s">
        <v>767</v>
      </c>
      <c r="B991" s="7">
        <v>2002</v>
      </c>
      <c r="C991" s="51" t="s">
        <v>708</v>
      </c>
      <c r="D991" t="s">
        <v>716</v>
      </c>
      <c r="E991" s="2">
        <v>12.541</v>
      </c>
    </row>
    <row r="992" spans="1:5" x14ac:dyDescent="0.25">
      <c r="A992" s="32" t="s">
        <v>767</v>
      </c>
      <c r="B992" s="7">
        <v>2002</v>
      </c>
      <c r="C992" s="51" t="s">
        <v>699</v>
      </c>
      <c r="D992" t="s">
        <v>716</v>
      </c>
      <c r="E992" s="2">
        <v>12.304</v>
      </c>
    </row>
    <row r="993" spans="1:5" x14ac:dyDescent="0.25">
      <c r="A993" s="32" t="s">
        <v>767</v>
      </c>
      <c r="B993" s="7">
        <v>2002</v>
      </c>
      <c r="C993" s="51" t="s">
        <v>709</v>
      </c>
      <c r="D993" t="s">
        <v>716</v>
      </c>
      <c r="E993" s="2">
        <v>13.045999999999999</v>
      </c>
    </row>
    <row r="994" spans="1:5" x14ac:dyDescent="0.25">
      <c r="A994" s="32" t="s">
        <v>767</v>
      </c>
      <c r="B994" s="7">
        <v>2002</v>
      </c>
      <c r="C994" s="51" t="s">
        <v>712</v>
      </c>
      <c r="D994" t="s">
        <v>716</v>
      </c>
      <c r="E994" s="2">
        <v>9.9870000000000001</v>
      </c>
    </row>
    <row r="995" spans="1:5" x14ac:dyDescent="0.25">
      <c r="A995" s="32" t="s">
        <v>767</v>
      </c>
      <c r="B995" s="7">
        <v>2002</v>
      </c>
      <c r="C995" s="51" t="s">
        <v>710</v>
      </c>
      <c r="D995" t="s">
        <v>716</v>
      </c>
      <c r="E995" s="2">
        <v>13.138999999999999</v>
      </c>
    </row>
    <row r="996" spans="1:5" x14ac:dyDescent="0.25">
      <c r="A996" s="32" t="s">
        <v>767</v>
      </c>
      <c r="B996" s="7">
        <v>2002</v>
      </c>
      <c r="C996" s="51" t="s">
        <v>702</v>
      </c>
      <c r="D996" t="s">
        <v>716</v>
      </c>
      <c r="E996" s="2">
        <v>13.209</v>
      </c>
    </row>
    <row r="997" spans="1:5" x14ac:dyDescent="0.25">
      <c r="A997" s="32" t="s">
        <v>767</v>
      </c>
      <c r="B997" s="7">
        <v>2002</v>
      </c>
      <c r="C997" s="51" t="s">
        <v>703</v>
      </c>
      <c r="D997" t="s">
        <v>716</v>
      </c>
      <c r="E997" s="2">
        <v>13.045</v>
      </c>
    </row>
    <row r="998" spans="1:5" x14ac:dyDescent="0.25">
      <c r="A998" s="32" t="s">
        <v>767</v>
      </c>
      <c r="B998" s="7">
        <v>2002</v>
      </c>
      <c r="C998" s="51" t="s">
        <v>704</v>
      </c>
      <c r="D998" t="s">
        <v>716</v>
      </c>
      <c r="E998" s="2">
        <v>13.922000000000001</v>
      </c>
    </row>
    <row r="999" spans="1:5" x14ac:dyDescent="0.25">
      <c r="A999" s="32" t="s">
        <v>767</v>
      </c>
      <c r="B999" s="7">
        <v>2002</v>
      </c>
      <c r="C999" s="51" t="s">
        <v>705</v>
      </c>
      <c r="D999" t="s">
        <v>716</v>
      </c>
      <c r="E999" s="2">
        <v>14.407</v>
      </c>
    </row>
    <row r="1000" spans="1:5" x14ac:dyDescent="0.25">
      <c r="A1000" s="32" t="s">
        <v>767</v>
      </c>
      <c r="B1000" s="7">
        <v>2002</v>
      </c>
      <c r="C1000" s="51" t="s">
        <v>706</v>
      </c>
      <c r="D1000" t="s">
        <v>716</v>
      </c>
      <c r="E1000" s="2">
        <v>15.194000000000001</v>
      </c>
    </row>
    <row r="1001" spans="1:5" x14ac:dyDescent="0.25">
      <c r="A1001" s="32" t="s">
        <v>767</v>
      </c>
      <c r="B1001" s="7">
        <v>2003</v>
      </c>
      <c r="C1001" s="51" t="s">
        <v>713</v>
      </c>
      <c r="D1001" t="s">
        <v>716</v>
      </c>
      <c r="E1001" s="2">
        <v>14.757999999999999</v>
      </c>
    </row>
    <row r="1002" spans="1:5" x14ac:dyDescent="0.25">
      <c r="A1002" s="32" t="s">
        <v>767</v>
      </c>
      <c r="B1002" s="7">
        <v>2003</v>
      </c>
      <c r="C1002" s="51" t="s">
        <v>707</v>
      </c>
      <c r="D1002" t="s">
        <v>716</v>
      </c>
      <c r="E1002" s="2">
        <v>14.238</v>
      </c>
    </row>
    <row r="1003" spans="1:5" x14ac:dyDescent="0.25">
      <c r="A1003" s="32" t="s">
        <v>767</v>
      </c>
      <c r="B1003" s="7">
        <v>2003</v>
      </c>
      <c r="C1003" s="51" t="s">
        <v>708</v>
      </c>
      <c r="D1003" t="s">
        <v>716</v>
      </c>
      <c r="E1003" s="2">
        <v>16.702000000000002</v>
      </c>
    </row>
    <row r="1004" spans="1:5" x14ac:dyDescent="0.25">
      <c r="A1004" s="32" t="s">
        <v>767</v>
      </c>
      <c r="B1004" s="7">
        <v>2003</v>
      </c>
      <c r="C1004" s="51" t="s">
        <v>699</v>
      </c>
      <c r="D1004" t="s">
        <v>716</v>
      </c>
      <c r="E1004" s="2">
        <v>13.756</v>
      </c>
    </row>
    <row r="1005" spans="1:5" x14ac:dyDescent="0.25">
      <c r="A1005" s="32" t="s">
        <v>767</v>
      </c>
      <c r="B1005" s="7">
        <v>2003</v>
      </c>
      <c r="C1005" s="51" t="s">
        <v>709</v>
      </c>
      <c r="D1005" t="s">
        <v>716</v>
      </c>
      <c r="E1005" s="2">
        <v>15.374000000000001</v>
      </c>
    </row>
    <row r="1006" spans="1:5" x14ac:dyDescent="0.25">
      <c r="A1006" s="32" t="s">
        <v>767</v>
      </c>
      <c r="B1006" s="7">
        <v>2003</v>
      </c>
      <c r="C1006" s="51" t="s">
        <v>712</v>
      </c>
      <c r="D1006" t="s">
        <v>716</v>
      </c>
      <c r="E1006" s="2">
        <v>15.369</v>
      </c>
    </row>
    <row r="1007" spans="1:5" x14ac:dyDescent="0.25">
      <c r="A1007" s="32" t="s">
        <v>767</v>
      </c>
      <c r="B1007" s="7">
        <v>2003</v>
      </c>
      <c r="C1007" s="51" t="s">
        <v>710</v>
      </c>
      <c r="D1007" t="s">
        <v>716</v>
      </c>
      <c r="E1007" s="2">
        <v>12.833</v>
      </c>
    </row>
    <row r="1008" spans="1:5" x14ac:dyDescent="0.25">
      <c r="A1008" s="32" t="s">
        <v>767</v>
      </c>
      <c r="B1008" s="7">
        <v>2003</v>
      </c>
      <c r="C1008" s="51" t="s">
        <v>702</v>
      </c>
      <c r="D1008" t="s">
        <v>716</v>
      </c>
      <c r="E1008" s="2">
        <v>13.015000000000001</v>
      </c>
    </row>
    <row r="1009" spans="1:5" x14ac:dyDescent="0.25">
      <c r="A1009" s="32" t="s">
        <v>767</v>
      </c>
      <c r="B1009" s="7">
        <v>2003</v>
      </c>
      <c r="C1009" s="51" t="s">
        <v>703</v>
      </c>
      <c r="D1009" t="s">
        <v>716</v>
      </c>
      <c r="E1009" s="2">
        <v>14.497</v>
      </c>
    </row>
    <row r="1010" spans="1:5" x14ac:dyDescent="0.25">
      <c r="A1010" s="32" t="s">
        <v>767</v>
      </c>
      <c r="B1010" s="7">
        <v>2003</v>
      </c>
      <c r="C1010" s="51" t="s">
        <v>704</v>
      </c>
      <c r="D1010" t="s">
        <v>716</v>
      </c>
      <c r="E1010" s="2">
        <v>13.775</v>
      </c>
    </row>
    <row r="1011" spans="1:5" x14ac:dyDescent="0.25">
      <c r="A1011" s="32" t="s">
        <v>767</v>
      </c>
      <c r="B1011" s="7">
        <v>2003</v>
      </c>
      <c r="C1011" s="51" t="s">
        <v>705</v>
      </c>
      <c r="D1011" t="s">
        <v>716</v>
      </c>
      <c r="E1011" s="2">
        <v>14.441000000000001</v>
      </c>
    </row>
    <row r="1012" spans="1:5" x14ac:dyDescent="0.25">
      <c r="A1012" s="32" t="s">
        <v>767</v>
      </c>
      <c r="B1012" s="7">
        <v>2003</v>
      </c>
      <c r="C1012" s="51" t="s">
        <v>706</v>
      </c>
      <c r="D1012" t="s">
        <v>716</v>
      </c>
      <c r="E1012" s="2">
        <v>15.795999999999999</v>
      </c>
    </row>
    <row r="1013" spans="1:5" x14ac:dyDescent="0.25">
      <c r="A1013" s="32" t="s">
        <v>767</v>
      </c>
      <c r="B1013" s="7">
        <v>2004</v>
      </c>
      <c r="C1013" s="51" t="s">
        <v>713</v>
      </c>
      <c r="D1013" t="s">
        <v>716</v>
      </c>
      <c r="E1013" s="2">
        <v>13.644</v>
      </c>
    </row>
    <row r="1014" spans="1:5" x14ac:dyDescent="0.25">
      <c r="A1014" s="32" t="s">
        <v>767</v>
      </c>
      <c r="B1014" s="7">
        <v>2004</v>
      </c>
      <c r="C1014" s="51" t="s">
        <v>707</v>
      </c>
      <c r="D1014" t="s">
        <v>716</v>
      </c>
      <c r="E1014" s="2">
        <v>13.593999999999999</v>
      </c>
    </row>
    <row r="1015" spans="1:5" x14ac:dyDescent="0.25">
      <c r="A1015" s="32" t="s">
        <v>767</v>
      </c>
      <c r="B1015" s="7">
        <v>2004</v>
      </c>
      <c r="C1015" s="51" t="s">
        <v>708</v>
      </c>
      <c r="D1015" t="s">
        <v>716</v>
      </c>
      <c r="E1015" s="2">
        <v>13.228</v>
      </c>
    </row>
    <row r="1016" spans="1:5" x14ac:dyDescent="0.25">
      <c r="A1016" s="32" t="s">
        <v>767</v>
      </c>
      <c r="B1016" s="7">
        <v>2004</v>
      </c>
      <c r="C1016" s="51" t="s">
        <v>699</v>
      </c>
      <c r="D1016" t="s">
        <v>716</v>
      </c>
      <c r="E1016" s="2">
        <v>13.445</v>
      </c>
    </row>
    <row r="1017" spans="1:5" x14ac:dyDescent="0.25">
      <c r="A1017" s="32" t="s">
        <v>767</v>
      </c>
      <c r="B1017" s="7">
        <v>2004</v>
      </c>
      <c r="C1017" s="51" t="s">
        <v>709</v>
      </c>
      <c r="D1017" t="s">
        <v>716</v>
      </c>
      <c r="E1017" s="2">
        <v>12.37</v>
      </c>
    </row>
    <row r="1018" spans="1:5" x14ac:dyDescent="0.25">
      <c r="A1018" s="32" t="s">
        <v>767</v>
      </c>
      <c r="B1018" s="7">
        <v>2004</v>
      </c>
      <c r="C1018" s="51" t="s">
        <v>712</v>
      </c>
      <c r="D1018" t="s">
        <v>716</v>
      </c>
      <c r="E1018" s="2">
        <v>11.648</v>
      </c>
    </row>
    <row r="1019" spans="1:5" x14ac:dyDescent="0.25">
      <c r="A1019" s="32" t="s">
        <v>767</v>
      </c>
      <c r="B1019" s="7">
        <v>2004</v>
      </c>
      <c r="C1019" s="51" t="s">
        <v>710</v>
      </c>
      <c r="D1019" t="s">
        <v>716</v>
      </c>
      <c r="E1019" s="2">
        <v>12.518000000000001</v>
      </c>
    </row>
    <row r="1020" spans="1:5" x14ac:dyDescent="0.25">
      <c r="A1020" s="32" t="s">
        <v>767</v>
      </c>
      <c r="B1020" s="7">
        <v>2004</v>
      </c>
      <c r="C1020" s="51" t="s">
        <v>702</v>
      </c>
      <c r="D1020" t="s">
        <v>716</v>
      </c>
      <c r="E1020" s="2">
        <v>14.734999999999999</v>
      </c>
    </row>
    <row r="1021" spans="1:5" x14ac:dyDescent="0.25">
      <c r="A1021" s="32" t="s">
        <v>767</v>
      </c>
      <c r="B1021" s="7">
        <v>2004</v>
      </c>
      <c r="C1021" s="51" t="s">
        <v>703</v>
      </c>
      <c r="D1021" t="s">
        <v>716</v>
      </c>
      <c r="E1021" s="2">
        <v>14.939</v>
      </c>
    </row>
    <row r="1022" spans="1:5" x14ac:dyDescent="0.25">
      <c r="A1022" s="32" t="s">
        <v>767</v>
      </c>
      <c r="B1022" s="7">
        <v>2004</v>
      </c>
      <c r="C1022" s="51" t="s">
        <v>704</v>
      </c>
      <c r="D1022" t="s">
        <v>716</v>
      </c>
      <c r="E1022" s="2">
        <v>12.507999999999999</v>
      </c>
    </row>
    <row r="1023" spans="1:5" x14ac:dyDescent="0.25">
      <c r="A1023" s="32" t="s">
        <v>767</v>
      </c>
      <c r="B1023" s="7">
        <v>2004</v>
      </c>
      <c r="C1023" s="51" t="s">
        <v>705</v>
      </c>
      <c r="D1023" t="s">
        <v>716</v>
      </c>
      <c r="E1023" s="2">
        <v>12.667999999999999</v>
      </c>
    </row>
    <row r="1024" spans="1:5" x14ac:dyDescent="0.25">
      <c r="A1024" s="32" t="s">
        <v>767</v>
      </c>
      <c r="B1024" s="7">
        <v>2004</v>
      </c>
      <c r="C1024" s="51" t="s">
        <v>706</v>
      </c>
      <c r="D1024" t="s">
        <v>716</v>
      </c>
      <c r="E1024" s="2">
        <v>12.943</v>
      </c>
    </row>
    <row r="1025" spans="1:5" x14ac:dyDescent="0.25">
      <c r="A1025" s="32" t="s">
        <v>767</v>
      </c>
      <c r="B1025" s="7">
        <v>2005</v>
      </c>
      <c r="C1025" s="51" t="s">
        <v>713</v>
      </c>
      <c r="D1025" t="s">
        <v>716</v>
      </c>
      <c r="E1025" s="2">
        <v>13.116</v>
      </c>
    </row>
    <row r="1026" spans="1:5" x14ac:dyDescent="0.25">
      <c r="A1026" s="32" t="s">
        <v>767</v>
      </c>
      <c r="B1026" s="7">
        <v>2005</v>
      </c>
      <c r="C1026" s="51" t="s">
        <v>707</v>
      </c>
      <c r="D1026" t="s">
        <v>716</v>
      </c>
      <c r="E1026" s="2">
        <v>11.462</v>
      </c>
    </row>
    <row r="1027" spans="1:5" x14ac:dyDescent="0.25">
      <c r="A1027" s="32" t="s">
        <v>767</v>
      </c>
      <c r="B1027" s="7">
        <v>2005</v>
      </c>
      <c r="C1027" s="51" t="s">
        <v>708</v>
      </c>
      <c r="D1027" t="s">
        <v>716</v>
      </c>
      <c r="E1027" s="2">
        <v>13.696</v>
      </c>
    </row>
    <row r="1028" spans="1:5" x14ac:dyDescent="0.25">
      <c r="A1028" s="32" t="s">
        <v>767</v>
      </c>
      <c r="B1028" s="7">
        <v>2005</v>
      </c>
      <c r="C1028" s="51" t="s">
        <v>699</v>
      </c>
      <c r="D1028" t="s">
        <v>716</v>
      </c>
      <c r="E1028" s="2">
        <v>12.836</v>
      </c>
    </row>
    <row r="1029" spans="1:5" x14ac:dyDescent="0.25">
      <c r="A1029" s="32" t="s">
        <v>767</v>
      </c>
      <c r="B1029" s="7">
        <v>2005</v>
      </c>
      <c r="C1029" s="51" t="s">
        <v>709</v>
      </c>
      <c r="D1029" t="s">
        <v>716</v>
      </c>
      <c r="E1029" s="2">
        <v>12.654999999999999</v>
      </c>
    </row>
    <row r="1030" spans="1:5" x14ac:dyDescent="0.25">
      <c r="A1030" s="32" t="s">
        <v>767</v>
      </c>
      <c r="B1030" s="7">
        <v>2005</v>
      </c>
      <c r="C1030" s="51" t="s">
        <v>712</v>
      </c>
      <c r="D1030" t="s">
        <v>716</v>
      </c>
      <c r="E1030" s="2">
        <v>12.75</v>
      </c>
    </row>
    <row r="1031" spans="1:5" x14ac:dyDescent="0.25">
      <c r="A1031" s="32" t="s">
        <v>767</v>
      </c>
      <c r="B1031" s="7">
        <v>2005</v>
      </c>
      <c r="C1031" s="51" t="s">
        <v>710</v>
      </c>
      <c r="D1031" t="s">
        <v>716</v>
      </c>
      <c r="E1031" s="2">
        <v>12.878</v>
      </c>
    </row>
    <row r="1032" spans="1:5" x14ac:dyDescent="0.25">
      <c r="A1032" s="32" t="s">
        <v>767</v>
      </c>
      <c r="B1032" s="7">
        <v>2005</v>
      </c>
      <c r="C1032" s="51" t="s">
        <v>702</v>
      </c>
      <c r="D1032" t="s">
        <v>716</v>
      </c>
      <c r="E1032" s="2">
        <v>12.358000000000001</v>
      </c>
    </row>
    <row r="1033" spans="1:5" x14ac:dyDescent="0.25">
      <c r="A1033" s="32" t="s">
        <v>767</v>
      </c>
      <c r="B1033" s="7">
        <v>2005</v>
      </c>
      <c r="C1033" s="51" t="s">
        <v>703</v>
      </c>
      <c r="D1033" t="s">
        <v>716</v>
      </c>
      <c r="E1033" s="2">
        <v>11.670999999999999</v>
      </c>
    </row>
    <row r="1034" spans="1:5" x14ac:dyDescent="0.25">
      <c r="A1034" s="32" t="s">
        <v>767</v>
      </c>
      <c r="B1034" s="7">
        <v>2005</v>
      </c>
      <c r="C1034" s="51" t="s">
        <v>704</v>
      </c>
      <c r="D1034" t="s">
        <v>716</v>
      </c>
      <c r="E1034" s="2">
        <v>13.885999999999999</v>
      </c>
    </row>
    <row r="1035" spans="1:5" x14ac:dyDescent="0.25">
      <c r="A1035" s="32" t="s">
        <v>767</v>
      </c>
      <c r="B1035" s="7">
        <v>2005</v>
      </c>
      <c r="C1035" s="51" t="s">
        <v>705</v>
      </c>
      <c r="D1035" t="s">
        <v>716</v>
      </c>
      <c r="E1035" s="2">
        <v>12.02</v>
      </c>
    </row>
    <row r="1036" spans="1:5" x14ac:dyDescent="0.25">
      <c r="A1036" s="32" t="s">
        <v>767</v>
      </c>
      <c r="B1036" s="7">
        <v>2005</v>
      </c>
      <c r="C1036" s="51" t="s">
        <v>706</v>
      </c>
      <c r="D1036" t="s">
        <v>716</v>
      </c>
      <c r="E1036" s="2">
        <v>13.074</v>
      </c>
    </row>
    <row r="1037" spans="1:5" x14ac:dyDescent="0.25">
      <c r="A1037" s="32" t="s">
        <v>767</v>
      </c>
      <c r="B1037" s="7">
        <v>2006</v>
      </c>
      <c r="C1037" s="51" t="s">
        <v>713</v>
      </c>
      <c r="D1037" t="s">
        <v>716</v>
      </c>
      <c r="E1037" s="2">
        <v>12.192</v>
      </c>
    </row>
    <row r="1038" spans="1:5" x14ac:dyDescent="0.25">
      <c r="A1038" s="32" t="s">
        <v>767</v>
      </c>
      <c r="B1038" s="7">
        <v>2006</v>
      </c>
      <c r="C1038" s="51" t="s">
        <v>707</v>
      </c>
      <c r="D1038" t="s">
        <v>716</v>
      </c>
      <c r="E1038" s="2">
        <v>12.010999999999999</v>
      </c>
    </row>
    <row r="1039" spans="1:5" x14ac:dyDescent="0.25">
      <c r="A1039" s="32" t="s">
        <v>767</v>
      </c>
      <c r="B1039" s="7">
        <v>2006</v>
      </c>
      <c r="C1039" s="51" t="s">
        <v>708</v>
      </c>
      <c r="D1039" t="s">
        <v>716</v>
      </c>
      <c r="E1039" s="2">
        <v>12.507</v>
      </c>
    </row>
    <row r="1040" spans="1:5" x14ac:dyDescent="0.25">
      <c r="A1040" s="32" t="s">
        <v>767</v>
      </c>
      <c r="B1040" s="7">
        <v>2006</v>
      </c>
      <c r="C1040" s="51" t="s">
        <v>699</v>
      </c>
      <c r="D1040" t="s">
        <v>716</v>
      </c>
      <c r="E1040" s="2">
        <v>12.009</v>
      </c>
    </row>
    <row r="1041" spans="1:5" x14ac:dyDescent="0.25">
      <c r="A1041" s="32" t="s">
        <v>767</v>
      </c>
      <c r="B1041" s="7">
        <v>2006</v>
      </c>
      <c r="C1041" s="51" t="s">
        <v>709</v>
      </c>
      <c r="D1041" t="s">
        <v>716</v>
      </c>
      <c r="E1041" s="2">
        <v>11.968999999999999</v>
      </c>
    </row>
    <row r="1042" spans="1:5" x14ac:dyDescent="0.25">
      <c r="A1042" s="32" t="s">
        <v>767</v>
      </c>
      <c r="B1042" s="7">
        <v>2006</v>
      </c>
      <c r="C1042" s="51" t="s">
        <v>712</v>
      </c>
      <c r="D1042" t="s">
        <v>716</v>
      </c>
      <c r="E1042" s="2">
        <v>12.836</v>
      </c>
    </row>
    <row r="1043" spans="1:5" x14ac:dyDescent="0.25">
      <c r="A1043" s="32" t="s">
        <v>767</v>
      </c>
      <c r="B1043" s="7">
        <v>2006</v>
      </c>
      <c r="C1043" s="51" t="s">
        <v>710</v>
      </c>
      <c r="D1043" t="s">
        <v>716</v>
      </c>
      <c r="E1043" s="2">
        <v>12.657</v>
      </c>
    </row>
    <row r="1044" spans="1:5" x14ac:dyDescent="0.25">
      <c r="A1044" s="32" t="s">
        <v>767</v>
      </c>
      <c r="B1044" s="7">
        <v>2006</v>
      </c>
      <c r="C1044" s="51" t="s">
        <v>702</v>
      </c>
      <c r="D1044" t="s">
        <v>716</v>
      </c>
      <c r="E1044" s="2">
        <v>12.252000000000001</v>
      </c>
    </row>
    <row r="1045" spans="1:5" x14ac:dyDescent="0.25">
      <c r="A1045" s="32" t="s">
        <v>767</v>
      </c>
      <c r="B1045" s="7">
        <v>2006</v>
      </c>
      <c r="C1045" s="51" t="s">
        <v>703</v>
      </c>
      <c r="D1045" t="s">
        <v>716</v>
      </c>
      <c r="E1045" s="2">
        <v>12.622</v>
      </c>
    </row>
    <row r="1046" spans="1:5" x14ac:dyDescent="0.25">
      <c r="A1046" s="32" t="s">
        <v>767</v>
      </c>
      <c r="B1046" s="7">
        <v>2006</v>
      </c>
      <c r="C1046" s="51" t="s">
        <v>704</v>
      </c>
      <c r="D1046" t="s">
        <v>716</v>
      </c>
      <c r="E1046" s="2">
        <v>12.471</v>
      </c>
    </row>
    <row r="1047" spans="1:5" x14ac:dyDescent="0.25">
      <c r="A1047" s="32" t="s">
        <v>767</v>
      </c>
      <c r="B1047" s="7">
        <v>2006</v>
      </c>
      <c r="C1047" s="51" t="s">
        <v>705</v>
      </c>
      <c r="D1047" t="s">
        <v>716</v>
      </c>
      <c r="E1047" s="2">
        <v>13.709</v>
      </c>
    </row>
    <row r="1048" spans="1:5" x14ac:dyDescent="0.25">
      <c r="A1048" s="32" t="s">
        <v>767</v>
      </c>
      <c r="B1048" s="7">
        <v>2006</v>
      </c>
      <c r="C1048" s="51" t="s">
        <v>706</v>
      </c>
      <c r="D1048" t="s">
        <v>716</v>
      </c>
      <c r="E1048" s="2">
        <v>12.355</v>
      </c>
    </row>
    <row r="1049" spans="1:5" x14ac:dyDescent="0.25">
      <c r="A1049" s="32" t="s">
        <v>767</v>
      </c>
      <c r="B1049" s="7">
        <v>2007</v>
      </c>
      <c r="C1049" s="51" t="s">
        <v>713</v>
      </c>
      <c r="D1049" t="s">
        <v>716</v>
      </c>
      <c r="E1049" s="2">
        <v>12.519</v>
      </c>
    </row>
    <row r="1050" spans="1:5" x14ac:dyDescent="0.25">
      <c r="A1050" s="32" t="s">
        <v>767</v>
      </c>
      <c r="B1050" s="7">
        <v>2007</v>
      </c>
      <c r="C1050" s="51" t="s">
        <v>707</v>
      </c>
      <c r="D1050" t="s">
        <v>716</v>
      </c>
      <c r="E1050" s="2">
        <v>11.664</v>
      </c>
    </row>
    <row r="1051" spans="1:5" x14ac:dyDescent="0.25">
      <c r="A1051" s="32" t="s">
        <v>767</v>
      </c>
      <c r="B1051" s="7">
        <v>2007</v>
      </c>
      <c r="C1051" s="51" t="s">
        <v>708</v>
      </c>
      <c r="D1051" t="s">
        <v>716</v>
      </c>
      <c r="E1051" s="2">
        <v>13.074</v>
      </c>
    </row>
    <row r="1052" spans="1:5" x14ac:dyDescent="0.25">
      <c r="A1052" s="32" t="s">
        <v>767</v>
      </c>
      <c r="B1052" s="7">
        <v>2007</v>
      </c>
      <c r="C1052" s="51" t="s">
        <v>699</v>
      </c>
      <c r="D1052" t="s">
        <v>716</v>
      </c>
      <c r="E1052" s="2">
        <v>12.186</v>
      </c>
    </row>
    <row r="1053" spans="1:5" x14ac:dyDescent="0.25">
      <c r="A1053" s="32" t="s">
        <v>767</v>
      </c>
      <c r="B1053" s="7">
        <v>2007</v>
      </c>
      <c r="C1053" s="51" t="s">
        <v>709</v>
      </c>
      <c r="D1053" t="s">
        <v>716</v>
      </c>
      <c r="E1053" s="2">
        <v>11.525</v>
      </c>
    </row>
    <row r="1054" spans="1:5" x14ac:dyDescent="0.25">
      <c r="A1054" s="32" t="s">
        <v>767</v>
      </c>
      <c r="B1054" s="7">
        <v>2007</v>
      </c>
      <c r="C1054" s="51" t="s">
        <v>712</v>
      </c>
      <c r="D1054" t="s">
        <v>716</v>
      </c>
      <c r="E1054" s="2">
        <v>11.542999999999999</v>
      </c>
    </row>
    <row r="1055" spans="1:5" x14ac:dyDescent="0.25">
      <c r="A1055" s="32" t="s">
        <v>767</v>
      </c>
      <c r="B1055" s="7">
        <v>2007</v>
      </c>
      <c r="C1055" s="51" t="s">
        <v>710</v>
      </c>
      <c r="D1055" t="s">
        <v>716</v>
      </c>
      <c r="E1055" s="2">
        <v>11.821999999999999</v>
      </c>
    </row>
    <row r="1056" spans="1:5" x14ac:dyDescent="0.25">
      <c r="A1056" s="32" t="s">
        <v>767</v>
      </c>
      <c r="B1056" s="7">
        <v>2007</v>
      </c>
      <c r="C1056" s="51" t="s">
        <v>702</v>
      </c>
      <c r="D1056" t="s">
        <v>716</v>
      </c>
      <c r="E1056" s="2">
        <v>10.816000000000001</v>
      </c>
    </row>
    <row r="1057" spans="1:5" x14ac:dyDescent="0.25">
      <c r="A1057" s="32" t="s">
        <v>767</v>
      </c>
      <c r="B1057" s="7">
        <v>2007</v>
      </c>
      <c r="C1057" s="51" t="s">
        <v>703</v>
      </c>
      <c r="D1057" t="s">
        <v>716</v>
      </c>
      <c r="E1057" s="2">
        <v>10.201000000000001</v>
      </c>
    </row>
    <row r="1058" spans="1:5" x14ac:dyDescent="0.25">
      <c r="A1058" s="32" t="s">
        <v>767</v>
      </c>
      <c r="B1058" s="7">
        <v>2007</v>
      </c>
      <c r="C1058" s="51" t="s">
        <v>704</v>
      </c>
      <c r="D1058" t="s">
        <v>716</v>
      </c>
      <c r="E1058" s="2">
        <v>10.196</v>
      </c>
    </row>
    <row r="1059" spans="1:5" x14ac:dyDescent="0.25">
      <c r="A1059" s="32" t="s">
        <v>767</v>
      </c>
      <c r="B1059" s="7">
        <v>2007</v>
      </c>
      <c r="C1059" s="51" t="s">
        <v>705</v>
      </c>
      <c r="D1059" t="s">
        <v>716</v>
      </c>
      <c r="E1059" s="2">
        <v>10.082000000000001</v>
      </c>
    </row>
    <row r="1060" spans="1:5" x14ac:dyDescent="0.25">
      <c r="A1060" s="32" t="s">
        <v>767</v>
      </c>
      <c r="B1060" s="7">
        <v>2007</v>
      </c>
      <c r="C1060" s="51" t="s">
        <v>706</v>
      </c>
      <c r="D1060" t="s">
        <v>716</v>
      </c>
      <c r="E1060" s="2">
        <v>13.199</v>
      </c>
    </row>
    <row r="1061" spans="1:5" x14ac:dyDescent="0.25">
      <c r="A1061" s="32" t="s">
        <v>767</v>
      </c>
      <c r="B1061" s="7">
        <v>2008</v>
      </c>
      <c r="C1061" s="51" t="s">
        <v>713</v>
      </c>
      <c r="D1061" t="s">
        <v>716</v>
      </c>
      <c r="E1061" s="2">
        <v>13.218</v>
      </c>
    </row>
    <row r="1062" spans="1:5" x14ac:dyDescent="0.25">
      <c r="A1062" s="32" t="s">
        <v>767</v>
      </c>
      <c r="B1062" s="7">
        <v>2008</v>
      </c>
      <c r="C1062" s="51" t="s">
        <v>707</v>
      </c>
      <c r="D1062" t="s">
        <v>716</v>
      </c>
      <c r="E1062" s="2">
        <v>13.613</v>
      </c>
    </row>
    <row r="1063" spans="1:5" x14ac:dyDescent="0.25">
      <c r="A1063" s="32" t="s">
        <v>767</v>
      </c>
      <c r="B1063" s="7">
        <v>2008</v>
      </c>
      <c r="C1063" s="51" t="s">
        <v>708</v>
      </c>
      <c r="D1063" t="s">
        <v>716</v>
      </c>
      <c r="E1063" s="2">
        <v>12.262</v>
      </c>
    </row>
    <row r="1064" spans="1:5" x14ac:dyDescent="0.25">
      <c r="A1064" s="32" t="s">
        <v>767</v>
      </c>
      <c r="B1064" s="7">
        <v>2008</v>
      </c>
      <c r="C1064" s="51" t="s">
        <v>699</v>
      </c>
      <c r="D1064" t="s">
        <v>716</v>
      </c>
      <c r="E1064" s="2">
        <v>12.566000000000001</v>
      </c>
    </row>
    <row r="1065" spans="1:5" x14ac:dyDescent="0.25">
      <c r="A1065" s="32" t="s">
        <v>767</v>
      </c>
      <c r="B1065" s="7">
        <v>2008</v>
      </c>
      <c r="C1065" s="51" t="s">
        <v>709</v>
      </c>
      <c r="D1065" t="s">
        <v>716</v>
      </c>
      <c r="E1065" s="2">
        <v>13.88</v>
      </c>
    </row>
    <row r="1066" spans="1:5" x14ac:dyDescent="0.25">
      <c r="A1066" s="32" t="s">
        <v>767</v>
      </c>
      <c r="B1066" s="7">
        <v>2008</v>
      </c>
      <c r="C1066" s="51" t="s">
        <v>712</v>
      </c>
      <c r="D1066" t="s">
        <v>716</v>
      </c>
      <c r="E1066" s="2">
        <v>11.603</v>
      </c>
    </row>
    <row r="1067" spans="1:5" x14ac:dyDescent="0.25">
      <c r="A1067" s="32" t="s">
        <v>767</v>
      </c>
      <c r="B1067" s="7">
        <v>2008</v>
      </c>
      <c r="C1067" s="51" t="s">
        <v>710</v>
      </c>
      <c r="D1067" t="s">
        <v>716</v>
      </c>
      <c r="E1067" s="2">
        <v>11.923999999999999</v>
      </c>
    </row>
    <row r="1068" spans="1:5" x14ac:dyDescent="0.25">
      <c r="A1068" s="32" t="s">
        <v>767</v>
      </c>
      <c r="B1068" s="7">
        <v>2008</v>
      </c>
      <c r="C1068" s="51" t="s">
        <v>702</v>
      </c>
      <c r="D1068" t="s">
        <v>716</v>
      </c>
      <c r="E1068" s="2">
        <v>10.865</v>
      </c>
    </row>
    <row r="1069" spans="1:5" x14ac:dyDescent="0.25">
      <c r="A1069" s="32" t="s">
        <v>767</v>
      </c>
      <c r="B1069" s="7">
        <v>2008</v>
      </c>
      <c r="C1069" s="51" t="s">
        <v>703</v>
      </c>
      <c r="D1069" t="s">
        <v>716</v>
      </c>
      <c r="E1069" s="2">
        <v>10.755000000000001</v>
      </c>
    </row>
    <row r="1070" spans="1:5" x14ac:dyDescent="0.25">
      <c r="A1070" s="32" t="s">
        <v>767</v>
      </c>
      <c r="B1070" s="7">
        <v>2008</v>
      </c>
      <c r="C1070" s="51" t="s">
        <v>704</v>
      </c>
      <c r="D1070" t="s">
        <v>716</v>
      </c>
      <c r="E1070" s="2">
        <v>11.004</v>
      </c>
    </row>
    <row r="1071" spans="1:5" x14ac:dyDescent="0.25">
      <c r="A1071" s="32" t="s">
        <v>767</v>
      </c>
      <c r="B1071" s="7">
        <v>2008</v>
      </c>
      <c r="C1071" s="51" t="s">
        <v>705</v>
      </c>
      <c r="D1071" t="s">
        <v>716</v>
      </c>
      <c r="E1071" s="2">
        <v>9.4550000000000001</v>
      </c>
    </row>
    <row r="1072" spans="1:5" x14ac:dyDescent="0.25">
      <c r="A1072" s="32" t="s">
        <v>767</v>
      </c>
      <c r="B1072" s="7">
        <v>2008</v>
      </c>
      <c r="C1072" s="51" t="s">
        <v>706</v>
      </c>
      <c r="D1072" t="s">
        <v>716</v>
      </c>
      <c r="E1072" s="2">
        <v>11.207000000000001</v>
      </c>
    </row>
    <row r="1073" spans="1:5" x14ac:dyDescent="0.25">
      <c r="A1073" s="32" t="s">
        <v>767</v>
      </c>
      <c r="B1073" s="7">
        <v>2009</v>
      </c>
      <c r="C1073" s="51" t="s">
        <v>713</v>
      </c>
      <c r="D1073" t="s">
        <v>716</v>
      </c>
      <c r="E1073" s="2">
        <v>14</v>
      </c>
    </row>
    <row r="1074" spans="1:5" x14ac:dyDescent="0.25">
      <c r="A1074" s="32" t="s">
        <v>767</v>
      </c>
      <c r="B1074" s="7">
        <v>2009</v>
      </c>
      <c r="C1074" s="51" t="s">
        <v>707</v>
      </c>
      <c r="D1074" t="s">
        <v>716</v>
      </c>
      <c r="E1074" s="2">
        <v>11.066000000000001</v>
      </c>
    </row>
    <row r="1075" spans="1:5" x14ac:dyDescent="0.25">
      <c r="A1075" s="32" t="s">
        <v>767</v>
      </c>
      <c r="B1075" s="7">
        <v>2009</v>
      </c>
      <c r="C1075" s="51" t="s">
        <v>708</v>
      </c>
      <c r="D1075" t="s">
        <v>716</v>
      </c>
      <c r="E1075" s="2">
        <v>11.625999999999999</v>
      </c>
    </row>
    <row r="1076" spans="1:5" x14ac:dyDescent="0.25">
      <c r="A1076" s="32" t="s">
        <v>767</v>
      </c>
      <c r="B1076" s="7">
        <v>2009</v>
      </c>
      <c r="C1076" s="51" t="s">
        <v>699</v>
      </c>
      <c r="D1076" t="s">
        <v>716</v>
      </c>
      <c r="E1076" s="2">
        <v>12.278</v>
      </c>
    </row>
    <row r="1077" spans="1:5" x14ac:dyDescent="0.25">
      <c r="A1077" s="32" t="s">
        <v>767</v>
      </c>
      <c r="B1077" s="7">
        <v>2009</v>
      </c>
      <c r="C1077" s="51" t="s">
        <v>709</v>
      </c>
      <c r="D1077" t="s">
        <v>716</v>
      </c>
      <c r="E1077" s="2">
        <v>13.945</v>
      </c>
    </row>
    <row r="1078" spans="1:5" x14ac:dyDescent="0.25">
      <c r="A1078" s="32" t="s">
        <v>767</v>
      </c>
      <c r="B1078" s="7">
        <v>2009</v>
      </c>
      <c r="C1078" s="51" t="s">
        <v>712</v>
      </c>
      <c r="D1078" t="s">
        <v>716</v>
      </c>
      <c r="E1078" s="2">
        <v>13.491</v>
      </c>
    </row>
    <row r="1079" spans="1:5" x14ac:dyDescent="0.25">
      <c r="A1079" s="32" t="s">
        <v>767</v>
      </c>
      <c r="B1079" s="7">
        <v>2009</v>
      </c>
      <c r="C1079" s="51" t="s">
        <v>710</v>
      </c>
      <c r="D1079" t="s">
        <v>716</v>
      </c>
      <c r="E1079" s="2">
        <v>12.928000000000001</v>
      </c>
    </row>
    <row r="1080" spans="1:5" x14ac:dyDescent="0.25">
      <c r="A1080" s="32" t="s">
        <v>767</v>
      </c>
      <c r="B1080" s="7">
        <v>2009</v>
      </c>
      <c r="C1080" s="51" t="s">
        <v>702</v>
      </c>
      <c r="D1080" t="s">
        <v>716</v>
      </c>
      <c r="E1080" s="2">
        <v>11.747</v>
      </c>
    </row>
    <row r="1081" spans="1:5" x14ac:dyDescent="0.25">
      <c r="A1081" s="32" t="s">
        <v>767</v>
      </c>
      <c r="B1081" s="7">
        <v>2009</v>
      </c>
      <c r="C1081" s="51" t="s">
        <v>703</v>
      </c>
      <c r="D1081" t="s">
        <v>716</v>
      </c>
      <c r="E1081" s="2">
        <v>11.836</v>
      </c>
    </row>
    <row r="1082" spans="1:5" x14ac:dyDescent="0.25">
      <c r="A1082" s="32" t="s">
        <v>767</v>
      </c>
      <c r="B1082" s="7">
        <v>2009</v>
      </c>
      <c r="C1082" s="51" t="s">
        <v>704</v>
      </c>
      <c r="D1082" t="s">
        <v>716</v>
      </c>
      <c r="E1082" s="2">
        <v>13.464</v>
      </c>
    </row>
    <row r="1083" spans="1:5" x14ac:dyDescent="0.25">
      <c r="A1083" s="32" t="s">
        <v>767</v>
      </c>
      <c r="B1083" s="7">
        <v>2009</v>
      </c>
      <c r="C1083" s="51" t="s">
        <v>705</v>
      </c>
      <c r="D1083" t="s">
        <v>716</v>
      </c>
      <c r="E1083" s="2">
        <v>12.688000000000001</v>
      </c>
    </row>
    <row r="1084" spans="1:5" x14ac:dyDescent="0.25">
      <c r="A1084" s="32" t="s">
        <v>767</v>
      </c>
      <c r="B1084" s="7">
        <v>2009</v>
      </c>
      <c r="C1084" s="51" t="s">
        <v>706</v>
      </c>
      <c r="D1084" t="s">
        <v>716</v>
      </c>
      <c r="E1084" s="2">
        <v>16.667000000000002</v>
      </c>
    </row>
    <row r="1085" spans="1:5" x14ac:dyDescent="0.25">
      <c r="A1085" s="32" t="s">
        <v>767</v>
      </c>
      <c r="B1085" s="7">
        <v>2010</v>
      </c>
      <c r="C1085" s="51" t="s">
        <v>713</v>
      </c>
      <c r="D1085" t="s">
        <v>716</v>
      </c>
      <c r="E1085" s="2">
        <v>11.956</v>
      </c>
    </row>
    <row r="1086" spans="1:5" x14ac:dyDescent="0.25">
      <c r="A1086" s="32" t="s">
        <v>767</v>
      </c>
      <c r="B1086" s="7">
        <v>2010</v>
      </c>
      <c r="C1086" s="51" t="s">
        <v>707</v>
      </c>
      <c r="D1086" t="s">
        <v>716</v>
      </c>
      <c r="E1086" s="2">
        <v>12.532</v>
      </c>
    </row>
    <row r="1087" spans="1:5" x14ac:dyDescent="0.25">
      <c r="A1087" s="32" t="s">
        <v>767</v>
      </c>
      <c r="B1087" s="7">
        <v>2010</v>
      </c>
      <c r="C1087" s="51" t="s">
        <v>708</v>
      </c>
      <c r="D1087" t="s">
        <v>716</v>
      </c>
      <c r="E1087" s="2">
        <v>14.327</v>
      </c>
    </row>
    <row r="1088" spans="1:5" x14ac:dyDescent="0.25">
      <c r="A1088" s="32" t="s">
        <v>767</v>
      </c>
      <c r="B1088" s="7">
        <v>2010</v>
      </c>
      <c r="C1088" s="51" t="s">
        <v>699</v>
      </c>
      <c r="D1088" t="s">
        <v>716</v>
      </c>
      <c r="E1088" s="2">
        <v>13.699</v>
      </c>
    </row>
    <row r="1089" spans="1:5" x14ac:dyDescent="0.25">
      <c r="A1089" s="32" t="s">
        <v>767</v>
      </c>
      <c r="B1089" s="7">
        <v>2010</v>
      </c>
      <c r="C1089" s="51" t="s">
        <v>709</v>
      </c>
      <c r="D1089" t="s">
        <v>716</v>
      </c>
      <c r="E1089" s="2">
        <v>12.618</v>
      </c>
    </row>
    <row r="1090" spans="1:5" x14ac:dyDescent="0.25">
      <c r="A1090" s="32" t="s">
        <v>767</v>
      </c>
      <c r="B1090" s="7">
        <v>2010</v>
      </c>
      <c r="C1090" s="51" t="s">
        <v>712</v>
      </c>
      <c r="D1090" t="s">
        <v>716</v>
      </c>
      <c r="E1090" s="2">
        <v>12.701000000000001</v>
      </c>
    </row>
    <row r="1091" spans="1:5" x14ac:dyDescent="0.25">
      <c r="A1091" s="32" t="s">
        <v>767</v>
      </c>
      <c r="B1091" s="7">
        <v>2010</v>
      </c>
      <c r="C1091" s="51" t="s">
        <v>710</v>
      </c>
      <c r="D1091" t="s">
        <v>716</v>
      </c>
      <c r="E1091" s="2">
        <v>12.371</v>
      </c>
    </row>
    <row r="1092" spans="1:5" x14ac:dyDescent="0.25">
      <c r="A1092" s="32" t="s">
        <v>767</v>
      </c>
      <c r="B1092" s="7">
        <v>2010</v>
      </c>
      <c r="C1092" s="51" t="s">
        <v>702</v>
      </c>
      <c r="D1092" t="s">
        <v>716</v>
      </c>
      <c r="E1092" s="2">
        <v>13.842000000000001</v>
      </c>
    </row>
    <row r="1093" spans="1:5" x14ac:dyDescent="0.25">
      <c r="A1093" s="32" t="s">
        <v>767</v>
      </c>
      <c r="B1093" s="7">
        <v>2010</v>
      </c>
      <c r="C1093" s="51" t="s">
        <v>703</v>
      </c>
      <c r="D1093" t="s">
        <v>716</v>
      </c>
      <c r="E1093" s="2">
        <v>12.928000000000001</v>
      </c>
    </row>
    <row r="1094" spans="1:5" x14ac:dyDescent="0.25">
      <c r="A1094" s="32" t="s">
        <v>767</v>
      </c>
      <c r="B1094" s="7">
        <v>2010</v>
      </c>
      <c r="C1094" s="51" t="s">
        <v>704</v>
      </c>
      <c r="D1094" t="s">
        <v>716</v>
      </c>
      <c r="E1094" s="2">
        <v>13.683</v>
      </c>
    </row>
    <row r="1095" spans="1:5" x14ac:dyDescent="0.25">
      <c r="A1095" s="32" t="s">
        <v>767</v>
      </c>
      <c r="B1095" s="7">
        <v>2010</v>
      </c>
      <c r="C1095" s="51" t="s">
        <v>705</v>
      </c>
      <c r="D1095" t="s">
        <v>716</v>
      </c>
      <c r="E1095" s="2">
        <v>12.930999999999999</v>
      </c>
    </row>
    <row r="1096" spans="1:5" x14ac:dyDescent="0.25">
      <c r="A1096" s="32" t="s">
        <v>767</v>
      </c>
      <c r="B1096" s="7">
        <v>2010</v>
      </c>
      <c r="C1096" s="51" t="s">
        <v>706</v>
      </c>
      <c r="D1096" t="s">
        <v>716</v>
      </c>
      <c r="E1096" s="2">
        <v>12.526</v>
      </c>
    </row>
    <row r="1097" spans="1:5" x14ac:dyDescent="0.25">
      <c r="A1097" s="32" t="s">
        <v>767</v>
      </c>
      <c r="B1097" s="7">
        <v>2011</v>
      </c>
      <c r="C1097" s="51" t="s">
        <v>713</v>
      </c>
      <c r="D1097" t="s">
        <v>716</v>
      </c>
      <c r="E1097" s="2">
        <v>14.108000000000001</v>
      </c>
    </row>
    <row r="1098" spans="1:5" x14ac:dyDescent="0.25">
      <c r="A1098" s="32" t="s">
        <v>767</v>
      </c>
      <c r="B1098" s="7">
        <v>2011</v>
      </c>
      <c r="C1098" s="51" t="s">
        <v>707</v>
      </c>
      <c r="D1098" t="s">
        <v>716</v>
      </c>
      <c r="E1098" s="2">
        <v>12.07</v>
      </c>
    </row>
    <row r="1099" spans="1:5" x14ac:dyDescent="0.25">
      <c r="A1099" s="32" t="s">
        <v>767</v>
      </c>
      <c r="B1099" s="7">
        <v>2011</v>
      </c>
      <c r="C1099" s="51" t="s">
        <v>708</v>
      </c>
      <c r="D1099" t="s">
        <v>716</v>
      </c>
      <c r="E1099" s="2">
        <v>14.545</v>
      </c>
    </row>
    <row r="1100" spans="1:5" x14ac:dyDescent="0.25">
      <c r="A1100" s="32" t="s">
        <v>767</v>
      </c>
      <c r="B1100" s="7">
        <v>2011</v>
      </c>
      <c r="C1100" s="51" t="s">
        <v>699</v>
      </c>
      <c r="D1100" t="s">
        <v>716</v>
      </c>
      <c r="E1100" s="2">
        <v>12.679</v>
      </c>
    </row>
    <row r="1101" spans="1:5" x14ac:dyDescent="0.25">
      <c r="A1101" s="32" t="s">
        <v>767</v>
      </c>
      <c r="B1101" s="7">
        <v>2011</v>
      </c>
      <c r="C1101" s="51" t="s">
        <v>709</v>
      </c>
      <c r="D1101" t="s">
        <v>716</v>
      </c>
      <c r="E1101" s="2">
        <v>14.173</v>
      </c>
    </row>
    <row r="1102" spans="1:5" x14ac:dyDescent="0.25">
      <c r="A1102" s="32" t="s">
        <v>767</v>
      </c>
      <c r="B1102" s="7">
        <v>2011</v>
      </c>
      <c r="C1102" s="51" t="s">
        <v>712</v>
      </c>
      <c r="D1102" t="s">
        <v>716</v>
      </c>
      <c r="E1102" s="2">
        <v>12.077</v>
      </c>
    </row>
    <row r="1103" spans="1:5" x14ac:dyDescent="0.25">
      <c r="A1103" s="32" t="s">
        <v>767</v>
      </c>
      <c r="B1103" s="7">
        <v>2011</v>
      </c>
      <c r="C1103" s="51" t="s">
        <v>710</v>
      </c>
      <c r="D1103" t="s">
        <v>716</v>
      </c>
      <c r="E1103" s="2">
        <v>12.24</v>
      </c>
    </row>
    <row r="1104" spans="1:5" x14ac:dyDescent="0.25">
      <c r="A1104" s="32" t="s">
        <v>767</v>
      </c>
      <c r="B1104" s="7">
        <v>2011</v>
      </c>
      <c r="C1104" s="51" t="s">
        <v>702</v>
      </c>
      <c r="D1104" t="s">
        <v>716</v>
      </c>
      <c r="E1104" s="2">
        <v>11.73</v>
      </c>
    </row>
    <row r="1105" spans="1:5" x14ac:dyDescent="0.25">
      <c r="A1105" s="32" t="s">
        <v>767</v>
      </c>
      <c r="B1105" s="7">
        <v>2011</v>
      </c>
      <c r="C1105" s="51" t="s">
        <v>703</v>
      </c>
      <c r="D1105" t="s">
        <v>716</v>
      </c>
      <c r="E1105" s="2">
        <v>13.689</v>
      </c>
    </row>
    <row r="1106" spans="1:5" x14ac:dyDescent="0.25">
      <c r="A1106" s="32" t="s">
        <v>767</v>
      </c>
      <c r="B1106" s="7">
        <v>2011</v>
      </c>
      <c r="C1106" s="51" t="s">
        <v>704</v>
      </c>
      <c r="D1106" t="s">
        <v>716</v>
      </c>
      <c r="E1106" s="2">
        <v>13.59</v>
      </c>
    </row>
    <row r="1107" spans="1:5" x14ac:dyDescent="0.25">
      <c r="A1107" s="32" t="s">
        <v>767</v>
      </c>
      <c r="B1107" s="7">
        <v>2011</v>
      </c>
      <c r="C1107" s="51" t="s">
        <v>705</v>
      </c>
      <c r="D1107" t="s">
        <v>716</v>
      </c>
      <c r="E1107" s="2">
        <v>12.145</v>
      </c>
    </row>
    <row r="1108" spans="1:5" x14ac:dyDescent="0.25">
      <c r="A1108" s="32" t="s">
        <v>767</v>
      </c>
      <c r="B1108" s="7">
        <v>2011</v>
      </c>
      <c r="C1108" s="51" t="s">
        <v>706</v>
      </c>
      <c r="D1108" t="s">
        <v>716</v>
      </c>
      <c r="E1108" s="2">
        <v>12.542</v>
      </c>
    </row>
    <row r="1109" spans="1:5" x14ac:dyDescent="0.25">
      <c r="A1109" s="32" t="s">
        <v>767</v>
      </c>
      <c r="B1109" s="7">
        <v>2012</v>
      </c>
      <c r="C1109" s="51" t="s">
        <v>713</v>
      </c>
      <c r="D1109" t="s">
        <v>716</v>
      </c>
      <c r="E1109" s="2">
        <v>13.503</v>
      </c>
    </row>
    <row r="1110" spans="1:5" x14ac:dyDescent="0.25">
      <c r="A1110" s="32" t="s">
        <v>767</v>
      </c>
      <c r="B1110" s="7">
        <v>2012</v>
      </c>
      <c r="C1110" s="51" t="s">
        <v>707</v>
      </c>
      <c r="D1110" t="s">
        <v>716</v>
      </c>
      <c r="E1110" s="2">
        <v>11.417999999999999</v>
      </c>
    </row>
    <row r="1111" spans="1:5" x14ac:dyDescent="0.25">
      <c r="A1111" s="32" t="s">
        <v>767</v>
      </c>
      <c r="B1111" s="7">
        <v>2012</v>
      </c>
      <c r="C1111" s="51" t="s">
        <v>708</v>
      </c>
      <c r="D1111" t="s">
        <v>716</v>
      </c>
      <c r="E1111" s="2">
        <v>11.510999999999999</v>
      </c>
    </row>
    <row r="1112" spans="1:5" x14ac:dyDescent="0.25">
      <c r="A1112" s="32" t="s">
        <v>767</v>
      </c>
      <c r="B1112" s="7">
        <v>2012</v>
      </c>
      <c r="C1112" s="51" t="s">
        <v>699</v>
      </c>
      <c r="D1112" t="s">
        <v>716</v>
      </c>
      <c r="E1112" s="2">
        <v>12.237</v>
      </c>
    </row>
    <row r="1113" spans="1:5" x14ac:dyDescent="0.25">
      <c r="A1113" s="32" t="s">
        <v>767</v>
      </c>
      <c r="B1113" s="7">
        <v>2012</v>
      </c>
      <c r="C1113" s="51" t="s">
        <v>709</v>
      </c>
      <c r="D1113" t="s">
        <v>716</v>
      </c>
      <c r="E1113" s="2">
        <v>12.026</v>
      </c>
    </row>
    <row r="1114" spans="1:5" x14ac:dyDescent="0.25">
      <c r="A1114" s="32" t="s">
        <v>767</v>
      </c>
      <c r="B1114" s="7">
        <v>2012</v>
      </c>
      <c r="C1114" s="51" t="s">
        <v>712</v>
      </c>
      <c r="D1114" t="s">
        <v>716</v>
      </c>
      <c r="E1114" s="2">
        <v>10.775</v>
      </c>
    </row>
    <row r="1115" spans="1:5" x14ac:dyDescent="0.25">
      <c r="A1115" s="32" t="s">
        <v>767</v>
      </c>
      <c r="B1115" s="7">
        <v>2012</v>
      </c>
      <c r="C1115" s="51" t="s">
        <v>710</v>
      </c>
      <c r="D1115" t="s">
        <v>716</v>
      </c>
      <c r="E1115" s="2">
        <v>12.657</v>
      </c>
    </row>
    <row r="1116" spans="1:5" x14ac:dyDescent="0.25">
      <c r="A1116" s="32" t="s">
        <v>767</v>
      </c>
      <c r="B1116" s="7">
        <v>2012</v>
      </c>
      <c r="C1116" s="51" t="s">
        <v>702</v>
      </c>
      <c r="D1116" t="s">
        <v>716</v>
      </c>
      <c r="E1116" s="2">
        <v>11.704000000000001</v>
      </c>
    </row>
    <row r="1117" spans="1:5" x14ac:dyDescent="0.25">
      <c r="A1117" s="32" t="s">
        <v>767</v>
      </c>
      <c r="B1117" s="7">
        <v>2012</v>
      </c>
      <c r="C1117" s="51" t="s">
        <v>703</v>
      </c>
      <c r="D1117" t="s">
        <v>716</v>
      </c>
      <c r="E1117" s="2">
        <v>11.852</v>
      </c>
    </row>
    <row r="1118" spans="1:5" x14ac:dyDescent="0.25">
      <c r="A1118" s="32" t="s">
        <v>767</v>
      </c>
      <c r="B1118" s="7">
        <v>2012</v>
      </c>
      <c r="C1118" s="51" t="s">
        <v>704</v>
      </c>
      <c r="D1118" t="s">
        <v>716</v>
      </c>
      <c r="E1118" s="2">
        <v>12.914999999999999</v>
      </c>
    </row>
    <row r="1119" spans="1:5" x14ac:dyDescent="0.25">
      <c r="A1119" s="32" t="s">
        <v>767</v>
      </c>
      <c r="B1119" s="7">
        <v>2012</v>
      </c>
      <c r="C1119" s="51" t="s">
        <v>705</v>
      </c>
      <c r="D1119" t="s">
        <v>716</v>
      </c>
      <c r="E1119" s="2">
        <v>11.42</v>
      </c>
    </row>
    <row r="1120" spans="1:5" x14ac:dyDescent="0.25">
      <c r="A1120" s="32" t="s">
        <v>767</v>
      </c>
      <c r="B1120" s="7">
        <v>2012</v>
      </c>
      <c r="C1120" s="51" t="s">
        <v>706</v>
      </c>
      <c r="D1120" t="s">
        <v>716</v>
      </c>
      <c r="E1120" s="2">
        <v>10.879</v>
      </c>
    </row>
    <row r="1121" spans="1:5" x14ac:dyDescent="0.25">
      <c r="A1121" s="32" t="s">
        <v>767</v>
      </c>
      <c r="B1121" s="7">
        <v>2013</v>
      </c>
      <c r="C1121" s="51" t="s">
        <v>713</v>
      </c>
      <c r="D1121" t="s">
        <v>716</v>
      </c>
      <c r="E1121" s="2">
        <v>13.88</v>
      </c>
    </row>
    <row r="1122" spans="1:5" x14ac:dyDescent="0.25">
      <c r="A1122" s="32" t="s">
        <v>767</v>
      </c>
      <c r="B1122" s="7">
        <v>2013</v>
      </c>
      <c r="C1122" s="51" t="s">
        <v>707</v>
      </c>
      <c r="D1122" t="s">
        <v>716</v>
      </c>
      <c r="E1122" s="2">
        <v>10.444000000000001</v>
      </c>
    </row>
    <row r="1123" spans="1:5" x14ac:dyDescent="0.25">
      <c r="A1123" s="32" t="s">
        <v>767</v>
      </c>
      <c r="B1123" s="7">
        <v>2013</v>
      </c>
      <c r="C1123" s="51" t="s">
        <v>708</v>
      </c>
      <c r="D1123" t="s">
        <v>716</v>
      </c>
      <c r="E1123" s="2">
        <v>12.714</v>
      </c>
    </row>
    <row r="1124" spans="1:5" x14ac:dyDescent="0.25">
      <c r="A1124" s="32" t="s">
        <v>767</v>
      </c>
      <c r="B1124" s="7">
        <v>2013</v>
      </c>
      <c r="C1124" s="51" t="s">
        <v>699</v>
      </c>
      <c r="D1124" t="s">
        <v>716</v>
      </c>
      <c r="E1124" s="2">
        <v>11.243</v>
      </c>
    </row>
    <row r="1125" spans="1:5" x14ac:dyDescent="0.25">
      <c r="A1125" s="32" t="s">
        <v>767</v>
      </c>
      <c r="B1125" s="7">
        <v>2013</v>
      </c>
      <c r="C1125" s="51" t="s">
        <v>709</v>
      </c>
      <c r="D1125" t="s">
        <v>716</v>
      </c>
      <c r="E1125" s="2">
        <v>11.02</v>
      </c>
    </row>
    <row r="1126" spans="1:5" x14ac:dyDescent="0.25">
      <c r="A1126" s="32" t="s">
        <v>767</v>
      </c>
      <c r="B1126" s="7">
        <v>2013</v>
      </c>
      <c r="C1126" s="51" t="s">
        <v>712</v>
      </c>
      <c r="D1126" t="s">
        <v>716</v>
      </c>
      <c r="E1126" s="2">
        <v>16.009</v>
      </c>
    </row>
    <row r="1127" spans="1:5" x14ac:dyDescent="0.25">
      <c r="A1127" s="32" t="s">
        <v>767</v>
      </c>
      <c r="B1127" s="7">
        <v>2013</v>
      </c>
      <c r="C1127" s="51" t="s">
        <v>710</v>
      </c>
      <c r="D1127" t="s">
        <v>716</v>
      </c>
      <c r="E1127" s="2">
        <v>11.922000000000001</v>
      </c>
    </row>
    <row r="1128" spans="1:5" x14ac:dyDescent="0.25">
      <c r="A1128" s="32" t="s">
        <v>767</v>
      </c>
      <c r="B1128" s="7">
        <v>2013</v>
      </c>
      <c r="C1128" s="51" t="s">
        <v>702</v>
      </c>
      <c r="D1128" t="s">
        <v>716</v>
      </c>
      <c r="E1128" s="2">
        <v>11.702999999999999</v>
      </c>
    </row>
    <row r="1129" spans="1:5" x14ac:dyDescent="0.25">
      <c r="A1129" s="32" t="s">
        <v>767</v>
      </c>
      <c r="B1129" s="7">
        <v>2013</v>
      </c>
      <c r="C1129" s="51" t="s">
        <v>703</v>
      </c>
      <c r="D1129" t="s">
        <v>716</v>
      </c>
      <c r="E1129" s="2">
        <v>11.577999999999999</v>
      </c>
    </row>
    <row r="1130" spans="1:5" x14ac:dyDescent="0.25">
      <c r="A1130" s="32" t="s">
        <v>767</v>
      </c>
      <c r="B1130" s="7">
        <v>2013</v>
      </c>
      <c r="C1130" s="51" t="s">
        <v>704</v>
      </c>
      <c r="D1130" t="s">
        <v>716</v>
      </c>
      <c r="E1130" s="2">
        <v>12.269</v>
      </c>
    </row>
    <row r="1131" spans="1:5" x14ac:dyDescent="0.25">
      <c r="A1131" s="32" t="s">
        <v>767</v>
      </c>
      <c r="B1131" s="7">
        <v>2013</v>
      </c>
      <c r="C1131" s="51" t="s">
        <v>705</v>
      </c>
      <c r="D1131" t="s">
        <v>716</v>
      </c>
      <c r="E1131" s="2">
        <v>11.742000000000001</v>
      </c>
    </row>
    <row r="1132" spans="1:5" x14ac:dyDescent="0.25">
      <c r="A1132" s="32" t="s">
        <v>767</v>
      </c>
      <c r="B1132" s="7">
        <v>2013</v>
      </c>
      <c r="C1132" s="51" t="s">
        <v>706</v>
      </c>
      <c r="D1132" t="s">
        <v>716</v>
      </c>
      <c r="E1132" s="2">
        <v>12.22</v>
      </c>
    </row>
    <row r="1133" spans="1:5" x14ac:dyDescent="0.25">
      <c r="A1133" s="32" t="s">
        <v>767</v>
      </c>
      <c r="B1133" s="7">
        <v>2014</v>
      </c>
      <c r="C1133" s="51" t="s">
        <v>713</v>
      </c>
      <c r="D1133" t="s">
        <v>716</v>
      </c>
      <c r="E1133" s="2">
        <v>12.67</v>
      </c>
    </row>
    <row r="1134" spans="1:5" x14ac:dyDescent="0.25">
      <c r="A1134" s="32" t="s">
        <v>767</v>
      </c>
      <c r="B1134" s="7">
        <v>2014</v>
      </c>
      <c r="C1134" s="51" t="s">
        <v>707</v>
      </c>
      <c r="D1134" t="s">
        <v>716</v>
      </c>
      <c r="E1134" s="2">
        <v>12.045</v>
      </c>
    </row>
    <row r="1135" spans="1:5" x14ac:dyDescent="0.25">
      <c r="A1135" s="32" t="s">
        <v>767</v>
      </c>
      <c r="B1135" s="7">
        <v>2014</v>
      </c>
      <c r="C1135" s="51" t="s">
        <v>708</v>
      </c>
      <c r="D1135" t="s">
        <v>716</v>
      </c>
      <c r="E1135" s="2">
        <v>13.305</v>
      </c>
    </row>
    <row r="1136" spans="1:5" x14ac:dyDescent="0.25">
      <c r="A1136" s="32" t="s">
        <v>767</v>
      </c>
      <c r="B1136" s="7">
        <v>2014</v>
      </c>
      <c r="C1136" s="51" t="s">
        <v>699</v>
      </c>
      <c r="D1136" t="s">
        <v>716</v>
      </c>
      <c r="E1136" s="2">
        <v>13.403</v>
      </c>
    </row>
    <row r="1137" spans="1:5" x14ac:dyDescent="0.25">
      <c r="A1137" s="32" t="s">
        <v>767</v>
      </c>
      <c r="B1137" s="7">
        <v>2014</v>
      </c>
      <c r="C1137" s="51" t="s">
        <v>709</v>
      </c>
      <c r="D1137" t="s">
        <v>716</v>
      </c>
      <c r="E1137" s="2">
        <v>13.013</v>
      </c>
    </row>
    <row r="1138" spans="1:5" x14ac:dyDescent="0.25">
      <c r="A1138" s="32" t="s">
        <v>767</v>
      </c>
      <c r="B1138" s="7">
        <v>2014</v>
      </c>
      <c r="C1138" s="51" t="s">
        <v>712</v>
      </c>
      <c r="D1138" t="s">
        <v>716</v>
      </c>
      <c r="E1138" s="2">
        <v>12.002000000000001</v>
      </c>
    </row>
    <row r="1139" spans="1:5" x14ac:dyDescent="0.25">
      <c r="A1139" s="32" t="s">
        <v>767</v>
      </c>
      <c r="B1139" s="7">
        <v>2014</v>
      </c>
      <c r="C1139" s="51" t="s">
        <v>710</v>
      </c>
      <c r="D1139" t="s">
        <v>716</v>
      </c>
      <c r="E1139" s="2">
        <v>12.404</v>
      </c>
    </row>
    <row r="1140" spans="1:5" x14ac:dyDescent="0.25">
      <c r="A1140" s="32" t="s">
        <v>767</v>
      </c>
      <c r="B1140" s="7">
        <v>2014</v>
      </c>
      <c r="C1140" s="51" t="s">
        <v>702</v>
      </c>
      <c r="D1140" t="s">
        <v>716</v>
      </c>
      <c r="E1140" s="2">
        <v>13.14</v>
      </c>
    </row>
    <row r="1141" spans="1:5" x14ac:dyDescent="0.25">
      <c r="A1141" s="32" t="s">
        <v>767</v>
      </c>
      <c r="B1141" s="7">
        <v>2014</v>
      </c>
      <c r="C1141" s="51" t="s">
        <v>703</v>
      </c>
      <c r="D1141" t="s">
        <v>716</v>
      </c>
      <c r="E1141" s="2">
        <v>11.564</v>
      </c>
    </row>
    <row r="1142" spans="1:5" x14ac:dyDescent="0.25">
      <c r="A1142" s="32" t="s">
        <v>767</v>
      </c>
      <c r="B1142" s="7">
        <v>2014</v>
      </c>
      <c r="C1142" s="51" t="s">
        <v>704</v>
      </c>
      <c r="D1142" t="s">
        <v>716</v>
      </c>
      <c r="E1142" s="2">
        <v>12.002000000000001</v>
      </c>
    </row>
    <row r="1143" spans="1:5" x14ac:dyDescent="0.25">
      <c r="A1143" s="32" t="s">
        <v>767</v>
      </c>
      <c r="B1143" s="7">
        <v>2014</v>
      </c>
      <c r="C1143" s="51" t="s">
        <v>705</v>
      </c>
      <c r="D1143" t="s">
        <v>716</v>
      </c>
      <c r="E1143" s="2">
        <v>12.879</v>
      </c>
    </row>
    <row r="1144" spans="1:5" x14ac:dyDescent="0.25">
      <c r="A1144" s="32" t="s">
        <v>767</v>
      </c>
      <c r="B1144" s="7">
        <v>2014</v>
      </c>
      <c r="C1144" s="51" t="s">
        <v>706</v>
      </c>
      <c r="D1144" t="s">
        <v>716</v>
      </c>
      <c r="E1144" s="2">
        <v>13.093</v>
      </c>
    </row>
    <row r="1145" spans="1:5" x14ac:dyDescent="0.25">
      <c r="A1145" s="32" t="s">
        <v>767</v>
      </c>
      <c r="B1145" s="7">
        <v>2015</v>
      </c>
      <c r="C1145" s="51" t="s">
        <v>713</v>
      </c>
      <c r="D1145" t="s">
        <v>716</v>
      </c>
      <c r="E1145" s="2">
        <v>14.948</v>
      </c>
    </row>
    <row r="1146" spans="1:5" x14ac:dyDescent="0.25">
      <c r="A1146" s="32" t="s">
        <v>767</v>
      </c>
      <c r="B1146" s="7">
        <v>2015</v>
      </c>
      <c r="C1146" s="51" t="s">
        <v>707</v>
      </c>
      <c r="D1146" t="s">
        <v>716</v>
      </c>
      <c r="E1146" s="2">
        <v>11.802</v>
      </c>
    </row>
    <row r="1147" spans="1:5" x14ac:dyDescent="0.25">
      <c r="A1147" s="32" t="s">
        <v>767</v>
      </c>
      <c r="B1147" s="7">
        <v>2015</v>
      </c>
      <c r="C1147" s="51" t="s">
        <v>708</v>
      </c>
      <c r="D1147" t="s">
        <v>716</v>
      </c>
      <c r="E1147" s="2">
        <v>13.903</v>
      </c>
    </row>
    <row r="1148" spans="1:5" x14ac:dyDescent="0.25">
      <c r="A1148" s="32" t="s">
        <v>767</v>
      </c>
      <c r="B1148" s="7">
        <v>2015</v>
      </c>
      <c r="C1148" s="51" t="s">
        <v>699</v>
      </c>
      <c r="D1148" t="s">
        <v>716</v>
      </c>
      <c r="E1148" s="2">
        <v>12.548999999999999</v>
      </c>
    </row>
    <row r="1149" spans="1:5" x14ac:dyDescent="0.25">
      <c r="A1149" s="32" t="s">
        <v>767</v>
      </c>
      <c r="B1149" s="7">
        <v>2015</v>
      </c>
      <c r="C1149" s="51" t="s">
        <v>709</v>
      </c>
      <c r="D1149" t="s">
        <v>716</v>
      </c>
      <c r="E1149" s="2">
        <v>12.361000000000001</v>
      </c>
    </row>
    <row r="1150" spans="1:5" x14ac:dyDescent="0.25">
      <c r="A1150" s="32" t="s">
        <v>767</v>
      </c>
      <c r="B1150" s="7">
        <v>2015</v>
      </c>
      <c r="C1150" s="51" t="s">
        <v>712</v>
      </c>
      <c r="D1150" t="s">
        <v>716</v>
      </c>
      <c r="E1150" s="2">
        <v>13.044</v>
      </c>
    </row>
    <row r="1151" spans="1:5" x14ac:dyDescent="0.25">
      <c r="A1151" s="32" t="s">
        <v>767</v>
      </c>
      <c r="B1151" s="7">
        <v>2015</v>
      </c>
      <c r="C1151" s="51" t="s">
        <v>710</v>
      </c>
      <c r="D1151" t="s">
        <v>716</v>
      </c>
      <c r="E1151" s="2">
        <v>12.151999999999999</v>
      </c>
    </row>
    <row r="1152" spans="1:5" x14ac:dyDescent="0.25">
      <c r="A1152" s="32" t="s">
        <v>767</v>
      </c>
      <c r="B1152" s="7">
        <v>2015</v>
      </c>
      <c r="C1152" s="51" t="s">
        <v>702</v>
      </c>
      <c r="D1152" t="s">
        <v>716</v>
      </c>
      <c r="E1152" s="2">
        <v>12.443</v>
      </c>
    </row>
    <row r="1153" spans="1:5" x14ac:dyDescent="0.25">
      <c r="A1153" s="32" t="s">
        <v>767</v>
      </c>
      <c r="B1153" s="7">
        <v>2015</v>
      </c>
      <c r="C1153" s="51" t="s">
        <v>703</v>
      </c>
      <c r="D1153" t="s">
        <v>716</v>
      </c>
      <c r="E1153" s="2">
        <v>11.647</v>
      </c>
    </row>
    <row r="1154" spans="1:5" x14ac:dyDescent="0.25">
      <c r="A1154" s="32" t="s">
        <v>767</v>
      </c>
      <c r="B1154" s="7">
        <v>2015</v>
      </c>
      <c r="C1154" s="51" t="s">
        <v>704</v>
      </c>
      <c r="D1154" t="s">
        <v>716</v>
      </c>
      <c r="E1154" s="2">
        <v>12.670999999999999</v>
      </c>
    </row>
    <row r="1155" spans="1:5" x14ac:dyDescent="0.25">
      <c r="A1155" s="32" t="s">
        <v>767</v>
      </c>
      <c r="B1155" s="7">
        <v>2015</v>
      </c>
      <c r="C1155" s="51" t="s">
        <v>705</v>
      </c>
      <c r="D1155" t="s">
        <v>716</v>
      </c>
      <c r="E1155" s="2">
        <v>8.3710000000000004</v>
      </c>
    </row>
    <row r="1156" spans="1:5" x14ac:dyDescent="0.25">
      <c r="A1156" s="32" t="s">
        <v>767</v>
      </c>
      <c r="B1156" s="7">
        <v>2015</v>
      </c>
      <c r="C1156" s="51" t="s">
        <v>706</v>
      </c>
      <c r="D1156" t="s">
        <v>716</v>
      </c>
      <c r="E1156" s="2">
        <v>11.416</v>
      </c>
    </row>
    <row r="1157" spans="1:5" x14ac:dyDescent="0.25">
      <c r="A1157" s="32" t="s">
        <v>767</v>
      </c>
      <c r="B1157" s="7">
        <v>2016</v>
      </c>
      <c r="C1157" s="51" t="s">
        <v>713</v>
      </c>
      <c r="D1157" t="s">
        <v>716</v>
      </c>
      <c r="E1157" s="2">
        <v>12.595000000000001</v>
      </c>
    </row>
    <row r="1158" spans="1:5" x14ac:dyDescent="0.25">
      <c r="A1158" s="32" t="s">
        <v>767</v>
      </c>
      <c r="B1158" s="7">
        <v>2016</v>
      </c>
      <c r="C1158" s="51" t="s">
        <v>707</v>
      </c>
      <c r="D1158" t="s">
        <v>716</v>
      </c>
      <c r="E1158" s="2">
        <v>15.058999999999999</v>
      </c>
    </row>
    <row r="1159" spans="1:5" x14ac:dyDescent="0.25">
      <c r="A1159" s="32" t="s">
        <v>767</v>
      </c>
      <c r="B1159" s="7">
        <v>2016</v>
      </c>
      <c r="C1159" s="51" t="s">
        <v>708</v>
      </c>
      <c r="D1159" t="s">
        <v>716</v>
      </c>
      <c r="E1159" s="2">
        <v>12.999000000000001</v>
      </c>
    </row>
    <row r="1160" spans="1:5" x14ac:dyDescent="0.25">
      <c r="A1160" s="32" t="s">
        <v>767</v>
      </c>
      <c r="B1160" s="7">
        <v>2016</v>
      </c>
      <c r="C1160" s="51" t="s">
        <v>699</v>
      </c>
      <c r="D1160" t="s">
        <v>716</v>
      </c>
      <c r="E1160" s="2">
        <v>10.047000000000001</v>
      </c>
    </row>
    <row r="1161" spans="1:5" x14ac:dyDescent="0.25">
      <c r="A1161" s="32" t="s">
        <v>767</v>
      </c>
      <c r="B1161" s="7">
        <v>2016</v>
      </c>
      <c r="C1161" s="51" t="s">
        <v>709</v>
      </c>
      <c r="D1161" t="s">
        <v>716</v>
      </c>
      <c r="E1161" s="2">
        <v>11.927</v>
      </c>
    </row>
    <row r="1162" spans="1:5" x14ac:dyDescent="0.25">
      <c r="A1162" s="32" t="s">
        <v>767</v>
      </c>
      <c r="B1162" s="7">
        <v>2016</v>
      </c>
      <c r="C1162" s="51" t="s">
        <v>712</v>
      </c>
      <c r="D1162" t="s">
        <v>716</v>
      </c>
      <c r="E1162" s="2">
        <v>11.532</v>
      </c>
    </row>
    <row r="1163" spans="1:5" x14ac:dyDescent="0.25">
      <c r="A1163" s="32" t="s">
        <v>767</v>
      </c>
      <c r="B1163" s="7">
        <v>2016</v>
      </c>
      <c r="C1163" s="51" t="s">
        <v>710</v>
      </c>
      <c r="D1163" t="s">
        <v>716</v>
      </c>
      <c r="E1163" s="2">
        <v>10.141999999999999</v>
      </c>
    </row>
    <row r="1164" spans="1:5" x14ac:dyDescent="0.25">
      <c r="A1164" s="32" t="s">
        <v>767</v>
      </c>
      <c r="B1164" s="7">
        <v>2016</v>
      </c>
      <c r="C1164" s="51" t="s">
        <v>702</v>
      </c>
      <c r="D1164" t="s">
        <v>716</v>
      </c>
      <c r="E1164" s="2">
        <v>11.457000000000001</v>
      </c>
    </row>
    <row r="1165" spans="1:5" x14ac:dyDescent="0.25">
      <c r="A1165" s="32" t="s">
        <v>767</v>
      </c>
      <c r="B1165" s="7">
        <v>2016</v>
      </c>
      <c r="C1165" s="51" t="s">
        <v>703</v>
      </c>
      <c r="D1165" t="s">
        <v>716</v>
      </c>
      <c r="E1165" s="2">
        <v>11.087</v>
      </c>
    </row>
    <row r="1166" spans="1:5" x14ac:dyDescent="0.25">
      <c r="A1166" s="32" t="s">
        <v>767</v>
      </c>
      <c r="B1166" s="7">
        <v>2016</v>
      </c>
      <c r="C1166" s="51" t="s">
        <v>704</v>
      </c>
      <c r="D1166" t="s">
        <v>716</v>
      </c>
      <c r="E1166" s="2">
        <v>11.827</v>
      </c>
    </row>
    <row r="1167" spans="1:5" x14ac:dyDescent="0.25">
      <c r="A1167" s="32" t="s">
        <v>767</v>
      </c>
      <c r="B1167" s="7">
        <v>2016</v>
      </c>
      <c r="C1167" s="51" t="s">
        <v>705</v>
      </c>
      <c r="D1167" t="s">
        <v>716</v>
      </c>
      <c r="E1167" s="2">
        <v>11.087</v>
      </c>
    </row>
    <row r="1168" spans="1:5" x14ac:dyDescent="0.25">
      <c r="A1168" s="32" t="s">
        <v>767</v>
      </c>
      <c r="B1168" s="7">
        <v>2016</v>
      </c>
      <c r="C1168" s="51" t="s">
        <v>706</v>
      </c>
      <c r="D1168" t="s">
        <v>716</v>
      </c>
      <c r="E1168" s="2">
        <v>12.196</v>
      </c>
    </row>
    <row r="1169" spans="1:5" x14ac:dyDescent="0.25">
      <c r="A1169" s="32" t="s">
        <v>767</v>
      </c>
      <c r="B1169" s="7">
        <v>2017</v>
      </c>
      <c r="C1169" s="51" t="s">
        <v>713</v>
      </c>
      <c r="D1169" t="s">
        <v>716</v>
      </c>
      <c r="E1169" s="2">
        <v>10.718</v>
      </c>
    </row>
    <row r="1170" spans="1:5" x14ac:dyDescent="0.25">
      <c r="A1170" s="32" t="s">
        <v>767</v>
      </c>
      <c r="B1170" s="7">
        <v>2017</v>
      </c>
      <c r="C1170" s="51" t="s">
        <v>707</v>
      </c>
      <c r="D1170" t="s">
        <v>716</v>
      </c>
      <c r="E1170" s="2">
        <v>10.348000000000001</v>
      </c>
    </row>
    <row r="1171" spans="1:5" x14ac:dyDescent="0.25">
      <c r="A1171" s="32" t="s">
        <v>767</v>
      </c>
      <c r="B1171" s="7">
        <v>2017</v>
      </c>
      <c r="C1171" s="51" t="s">
        <v>708</v>
      </c>
      <c r="D1171" t="s">
        <v>716</v>
      </c>
      <c r="E1171" s="2">
        <v>12.789</v>
      </c>
    </row>
    <row r="1172" spans="1:5" x14ac:dyDescent="0.25">
      <c r="A1172" s="32" t="s">
        <v>767</v>
      </c>
      <c r="B1172" s="7">
        <v>2017</v>
      </c>
      <c r="C1172" s="51" t="s">
        <v>699</v>
      </c>
      <c r="D1172" t="s">
        <v>716</v>
      </c>
      <c r="E1172" s="2">
        <v>14.002000000000001</v>
      </c>
    </row>
    <row r="1173" spans="1:5" x14ac:dyDescent="0.25">
      <c r="A1173" s="32" t="s">
        <v>767</v>
      </c>
      <c r="B1173" s="7">
        <v>2017</v>
      </c>
      <c r="C1173" s="51" t="s">
        <v>709</v>
      </c>
      <c r="D1173" t="s">
        <v>716</v>
      </c>
      <c r="E1173" s="2">
        <v>13.685</v>
      </c>
    </row>
    <row r="1174" spans="1:5" x14ac:dyDescent="0.25">
      <c r="A1174" s="32" t="s">
        <v>767</v>
      </c>
      <c r="B1174" s="7">
        <v>2017</v>
      </c>
      <c r="C1174" s="51" t="s">
        <v>712</v>
      </c>
      <c r="D1174" t="s">
        <v>716</v>
      </c>
      <c r="E1174" s="2">
        <v>12.212999999999999</v>
      </c>
    </row>
    <row r="1175" spans="1:5" x14ac:dyDescent="0.25">
      <c r="A1175" s="32" t="s">
        <v>767</v>
      </c>
      <c r="B1175" s="7">
        <v>2017</v>
      </c>
      <c r="C1175" s="51" t="s">
        <v>710</v>
      </c>
      <c r="D1175" t="s">
        <v>716</v>
      </c>
      <c r="E1175" s="2">
        <v>14.09</v>
      </c>
    </row>
    <row r="1176" spans="1:5" x14ac:dyDescent="0.25">
      <c r="A1176" s="32" t="s">
        <v>767</v>
      </c>
      <c r="B1176" s="7">
        <v>2017</v>
      </c>
      <c r="C1176" s="51" t="s">
        <v>702</v>
      </c>
      <c r="D1176" t="s">
        <v>716</v>
      </c>
      <c r="E1176" s="2">
        <v>13.343</v>
      </c>
    </row>
    <row r="1177" spans="1:5" x14ac:dyDescent="0.25">
      <c r="A1177" s="32" t="s">
        <v>767</v>
      </c>
      <c r="B1177" s="7">
        <v>2017</v>
      </c>
      <c r="C1177" s="51" t="s">
        <v>703</v>
      </c>
      <c r="D1177" t="s">
        <v>716</v>
      </c>
      <c r="E1177" s="2">
        <v>12.349</v>
      </c>
    </row>
    <row r="1178" spans="1:5" x14ac:dyDescent="0.25">
      <c r="A1178" s="32" t="s">
        <v>767</v>
      </c>
      <c r="B1178" s="7">
        <v>2017</v>
      </c>
      <c r="C1178" s="51" t="s">
        <v>704</v>
      </c>
      <c r="D1178" t="s">
        <v>716</v>
      </c>
      <c r="E1178" s="2">
        <v>13.412000000000001</v>
      </c>
    </row>
    <row r="1179" spans="1:5" x14ac:dyDescent="0.25">
      <c r="A1179" s="32" t="s">
        <v>767</v>
      </c>
      <c r="B1179" s="7">
        <v>2017</v>
      </c>
      <c r="C1179" s="51" t="s">
        <v>705</v>
      </c>
      <c r="D1179" t="s">
        <v>716</v>
      </c>
      <c r="E1179" s="2">
        <v>12.429</v>
      </c>
    </row>
    <row r="1180" spans="1:5" x14ac:dyDescent="0.25">
      <c r="A1180" s="32" t="s">
        <v>767</v>
      </c>
      <c r="B1180" s="7">
        <v>2017</v>
      </c>
      <c r="C1180" s="51" t="s">
        <v>706</v>
      </c>
      <c r="D1180" t="s">
        <v>716</v>
      </c>
      <c r="E1180" s="2">
        <v>13.266999999999999</v>
      </c>
    </row>
    <row r="1181" spans="1:5" x14ac:dyDescent="0.25">
      <c r="A1181" s="32" t="s">
        <v>767</v>
      </c>
      <c r="B1181" s="7">
        <v>2018</v>
      </c>
      <c r="C1181" s="51" t="s">
        <v>713</v>
      </c>
      <c r="D1181" t="s">
        <v>716</v>
      </c>
      <c r="E1181" s="2">
        <v>11.731</v>
      </c>
    </row>
    <row r="1182" spans="1:5" x14ac:dyDescent="0.25">
      <c r="A1182" s="32" t="s">
        <v>767</v>
      </c>
      <c r="B1182" s="7">
        <v>2018</v>
      </c>
      <c r="C1182" s="51" t="s">
        <v>707</v>
      </c>
      <c r="D1182" t="s">
        <v>716</v>
      </c>
      <c r="E1182" s="2">
        <v>12.609</v>
      </c>
    </row>
    <row r="1183" spans="1:5" x14ac:dyDescent="0.25">
      <c r="A1183" s="32" t="s">
        <v>767</v>
      </c>
      <c r="B1183" s="7">
        <v>2018</v>
      </c>
      <c r="C1183" s="51" t="s">
        <v>708</v>
      </c>
      <c r="D1183" t="s">
        <v>716</v>
      </c>
      <c r="E1183" s="2">
        <v>13.009</v>
      </c>
    </row>
    <row r="1184" spans="1:5" x14ac:dyDescent="0.25">
      <c r="A1184" s="32" t="s">
        <v>767</v>
      </c>
      <c r="B1184" s="7">
        <v>2018</v>
      </c>
      <c r="C1184" s="51" t="s">
        <v>699</v>
      </c>
      <c r="D1184" t="s">
        <v>716</v>
      </c>
      <c r="E1184" s="2">
        <v>12.539</v>
      </c>
    </row>
    <row r="1185" spans="1:5" x14ac:dyDescent="0.25">
      <c r="A1185" s="32" t="s">
        <v>767</v>
      </c>
      <c r="B1185" s="7">
        <v>2018</v>
      </c>
      <c r="C1185" s="51" t="s">
        <v>709</v>
      </c>
      <c r="D1185" t="s">
        <v>716</v>
      </c>
      <c r="E1185" s="2">
        <v>14.641999999999999</v>
      </c>
    </row>
    <row r="1186" spans="1:5" x14ac:dyDescent="0.25">
      <c r="A1186" s="32" t="s">
        <v>767</v>
      </c>
      <c r="B1186" s="7">
        <v>2018</v>
      </c>
      <c r="C1186" s="51" t="s">
        <v>712</v>
      </c>
      <c r="D1186" t="s">
        <v>716</v>
      </c>
      <c r="E1186" s="2">
        <v>12.113</v>
      </c>
    </row>
    <row r="1187" spans="1:5" x14ac:dyDescent="0.25">
      <c r="A1187" s="32" t="s">
        <v>767</v>
      </c>
      <c r="B1187" s="7">
        <v>2018</v>
      </c>
      <c r="C1187" s="51" t="s">
        <v>710</v>
      </c>
      <c r="D1187" t="s">
        <v>716</v>
      </c>
      <c r="E1187" s="2">
        <v>15.593</v>
      </c>
    </row>
    <row r="1188" spans="1:5" x14ac:dyDescent="0.25">
      <c r="A1188" s="32" t="s">
        <v>767</v>
      </c>
      <c r="B1188" s="7">
        <v>2018</v>
      </c>
      <c r="C1188" s="51" t="s">
        <v>702</v>
      </c>
      <c r="D1188" t="s">
        <v>716</v>
      </c>
      <c r="E1188" s="2">
        <v>13.282</v>
      </c>
    </row>
    <row r="1189" spans="1:5" x14ac:dyDescent="0.25">
      <c r="A1189" s="32" t="s">
        <v>767</v>
      </c>
      <c r="B1189" s="7">
        <v>2018</v>
      </c>
      <c r="C1189" s="51" t="s">
        <v>703</v>
      </c>
      <c r="D1189" t="s">
        <v>716</v>
      </c>
      <c r="E1189" s="2">
        <v>14.733000000000001</v>
      </c>
    </row>
    <row r="1190" spans="1:5" x14ac:dyDescent="0.25">
      <c r="A1190" s="32" t="s">
        <v>767</v>
      </c>
      <c r="B1190" s="7">
        <v>2018</v>
      </c>
      <c r="C1190" s="51" t="s">
        <v>704</v>
      </c>
      <c r="D1190" t="s">
        <v>716</v>
      </c>
      <c r="E1190" s="2">
        <v>12.683999999999999</v>
      </c>
    </row>
    <row r="1191" spans="1:5" x14ac:dyDescent="0.25">
      <c r="A1191" s="32" t="s">
        <v>767</v>
      </c>
      <c r="B1191" s="7">
        <v>2018</v>
      </c>
      <c r="C1191" s="51" t="s">
        <v>705</v>
      </c>
      <c r="D1191" t="s">
        <v>716</v>
      </c>
      <c r="E1191" s="2">
        <v>14.535</v>
      </c>
    </row>
    <row r="1192" spans="1:5" x14ac:dyDescent="0.25">
      <c r="A1192" s="32" t="s">
        <v>767</v>
      </c>
      <c r="B1192" s="7">
        <v>2018</v>
      </c>
      <c r="C1192" s="51" t="s">
        <v>706</v>
      </c>
      <c r="D1192" t="s">
        <v>716</v>
      </c>
      <c r="E1192" s="2">
        <v>15.871</v>
      </c>
    </row>
    <row r="1193" spans="1:5" x14ac:dyDescent="0.25">
      <c r="A1193" s="32" t="s">
        <v>767</v>
      </c>
      <c r="B1193" s="7">
        <v>2019</v>
      </c>
      <c r="C1193" s="51" t="s">
        <v>713</v>
      </c>
      <c r="D1193" t="s">
        <v>716</v>
      </c>
      <c r="E1193" s="2">
        <v>13.664</v>
      </c>
    </row>
    <row r="1194" spans="1:5" x14ac:dyDescent="0.25">
      <c r="A1194" s="32" t="s">
        <v>767</v>
      </c>
      <c r="B1194" s="7">
        <v>2019</v>
      </c>
      <c r="C1194" s="51" t="s">
        <v>707</v>
      </c>
      <c r="D1194" t="s">
        <v>716</v>
      </c>
      <c r="E1194" s="2">
        <v>12.789</v>
      </c>
    </row>
    <row r="1195" spans="1:5" x14ac:dyDescent="0.25">
      <c r="A1195" s="32" t="s">
        <v>767</v>
      </c>
      <c r="B1195" s="7">
        <v>2019</v>
      </c>
      <c r="C1195" s="51" t="s">
        <v>708</v>
      </c>
      <c r="D1195" t="s">
        <v>716</v>
      </c>
      <c r="E1195" s="2">
        <v>14.539</v>
      </c>
    </row>
    <row r="1196" spans="1:5" x14ac:dyDescent="0.25">
      <c r="A1196" s="32" t="s">
        <v>767</v>
      </c>
      <c r="B1196" s="7">
        <v>2019</v>
      </c>
      <c r="C1196" s="51" t="s">
        <v>699</v>
      </c>
      <c r="D1196" t="s">
        <v>716</v>
      </c>
      <c r="E1196" s="2">
        <v>12.247999999999999</v>
      </c>
    </row>
    <row r="1197" spans="1:5" x14ac:dyDescent="0.25">
      <c r="A1197" s="32" t="s">
        <v>767</v>
      </c>
      <c r="B1197" s="7">
        <v>2019</v>
      </c>
      <c r="C1197" s="51" t="s">
        <v>709</v>
      </c>
      <c r="D1197" t="s">
        <v>716</v>
      </c>
      <c r="E1197" s="2">
        <v>14.34</v>
      </c>
    </row>
    <row r="1198" spans="1:5" x14ac:dyDescent="0.25">
      <c r="A1198" s="32" t="s">
        <v>767</v>
      </c>
      <c r="B1198" s="7">
        <v>2019</v>
      </c>
      <c r="C1198" s="51" t="s">
        <v>712</v>
      </c>
      <c r="D1198" t="s">
        <v>716</v>
      </c>
      <c r="E1198" s="2">
        <v>11.645</v>
      </c>
    </row>
    <row r="1199" spans="1:5" x14ac:dyDescent="0.25">
      <c r="A1199" s="32" t="s">
        <v>767</v>
      </c>
      <c r="B1199" s="7">
        <v>2019</v>
      </c>
      <c r="C1199" s="51" t="s">
        <v>710</v>
      </c>
      <c r="D1199" t="s">
        <v>716</v>
      </c>
      <c r="E1199" s="2">
        <v>12.087</v>
      </c>
    </row>
    <row r="1200" spans="1:5" x14ac:dyDescent="0.25">
      <c r="A1200" s="32" t="s">
        <v>767</v>
      </c>
      <c r="B1200" s="7">
        <v>2019</v>
      </c>
      <c r="C1200" s="51" t="s">
        <v>702</v>
      </c>
      <c r="D1200" t="s">
        <v>716</v>
      </c>
      <c r="E1200" s="2">
        <v>10.464</v>
      </c>
    </row>
    <row r="1201" spans="1:5" x14ac:dyDescent="0.25">
      <c r="A1201" s="32" t="s">
        <v>767</v>
      </c>
      <c r="B1201" s="7">
        <v>2019</v>
      </c>
      <c r="C1201" s="51" t="s">
        <v>703</v>
      </c>
      <c r="D1201" t="s">
        <v>716</v>
      </c>
      <c r="E1201" s="2">
        <v>11.202999999999999</v>
      </c>
    </row>
    <row r="1202" spans="1:5" x14ac:dyDescent="0.25">
      <c r="A1202" s="32" t="s">
        <v>767</v>
      </c>
      <c r="B1202" s="7">
        <v>2019</v>
      </c>
      <c r="C1202" s="51" t="s">
        <v>704</v>
      </c>
      <c r="D1202" t="s">
        <v>716</v>
      </c>
      <c r="E1202" s="2">
        <v>11.471</v>
      </c>
    </row>
    <row r="1203" spans="1:5" x14ac:dyDescent="0.25">
      <c r="A1203" s="32" t="s">
        <v>767</v>
      </c>
      <c r="B1203" s="7">
        <v>2019</v>
      </c>
      <c r="C1203" s="51" t="s">
        <v>705</v>
      </c>
      <c r="D1203" t="s">
        <v>716</v>
      </c>
      <c r="E1203" s="2">
        <v>11.108000000000001</v>
      </c>
    </row>
    <row r="1204" spans="1:5" x14ac:dyDescent="0.25">
      <c r="A1204" s="32" t="s">
        <v>767</v>
      </c>
      <c r="B1204" s="7">
        <v>2019</v>
      </c>
      <c r="C1204" s="51" t="s">
        <v>706</v>
      </c>
      <c r="D1204" t="s">
        <v>716</v>
      </c>
      <c r="E1204" s="2">
        <v>12.016</v>
      </c>
    </row>
    <row r="1205" spans="1:5" x14ac:dyDescent="0.25">
      <c r="A1205" s="32" t="s">
        <v>767</v>
      </c>
      <c r="B1205" s="7">
        <v>2020</v>
      </c>
      <c r="C1205" s="51" t="s">
        <v>713</v>
      </c>
      <c r="D1205" t="s">
        <v>716</v>
      </c>
      <c r="E1205" s="2">
        <v>11.721</v>
      </c>
    </row>
    <row r="1206" spans="1:5" x14ac:dyDescent="0.25">
      <c r="A1206" s="32" t="s">
        <v>767</v>
      </c>
      <c r="B1206" s="7">
        <v>2020</v>
      </c>
      <c r="C1206" s="51" t="s">
        <v>707</v>
      </c>
      <c r="D1206" t="s">
        <v>716</v>
      </c>
      <c r="E1206" s="2">
        <v>11.849</v>
      </c>
    </row>
    <row r="1207" spans="1:5" x14ac:dyDescent="0.25">
      <c r="A1207" s="32" t="s">
        <v>767</v>
      </c>
      <c r="B1207" s="7">
        <v>2020</v>
      </c>
      <c r="C1207" s="51" t="s">
        <v>708</v>
      </c>
      <c r="D1207" t="s">
        <v>716</v>
      </c>
      <c r="E1207" s="2">
        <v>11.571999999999999</v>
      </c>
    </row>
    <row r="1208" spans="1:5" x14ac:dyDescent="0.25">
      <c r="A1208" s="32" t="s">
        <v>767</v>
      </c>
      <c r="B1208" s="7">
        <v>2020</v>
      </c>
      <c r="C1208" s="51" t="s">
        <v>699</v>
      </c>
      <c r="D1208" t="s">
        <v>716</v>
      </c>
      <c r="E1208" s="2">
        <v>11.113</v>
      </c>
    </row>
    <row r="1209" spans="1:5" x14ac:dyDescent="0.25">
      <c r="A1209" s="32" t="s">
        <v>767</v>
      </c>
      <c r="B1209" s="7">
        <v>2020</v>
      </c>
      <c r="C1209" s="51" t="s">
        <v>709</v>
      </c>
      <c r="D1209" t="s">
        <v>716</v>
      </c>
      <c r="E1209" s="2">
        <v>12.992000000000001</v>
      </c>
    </row>
    <row r="1210" spans="1:5" x14ac:dyDescent="0.25">
      <c r="A1210" s="32" t="s">
        <v>767</v>
      </c>
      <c r="B1210" s="7">
        <v>2020</v>
      </c>
      <c r="C1210" s="51" t="s">
        <v>712</v>
      </c>
      <c r="D1210" t="s">
        <v>716</v>
      </c>
      <c r="E1210" s="2">
        <v>12.263</v>
      </c>
    </row>
    <row r="1211" spans="1:5" x14ac:dyDescent="0.25">
      <c r="A1211" s="32" t="s">
        <v>767</v>
      </c>
      <c r="B1211" s="7">
        <v>2020</v>
      </c>
      <c r="C1211" s="51" t="s">
        <v>710</v>
      </c>
      <c r="D1211" t="s">
        <v>716</v>
      </c>
      <c r="E1211" s="2">
        <v>12.195</v>
      </c>
    </row>
    <row r="1212" spans="1:5" x14ac:dyDescent="0.25">
      <c r="A1212" s="32" t="s">
        <v>767</v>
      </c>
      <c r="B1212" s="7">
        <v>2020</v>
      </c>
      <c r="C1212" s="51" t="s">
        <v>702</v>
      </c>
      <c r="D1212" t="s">
        <v>716</v>
      </c>
      <c r="E1212" s="2">
        <v>12.878</v>
      </c>
    </row>
    <row r="1213" spans="1:5" x14ac:dyDescent="0.25">
      <c r="A1213" s="32" t="s">
        <v>767</v>
      </c>
      <c r="B1213" s="7">
        <v>2020</v>
      </c>
      <c r="C1213" s="51" t="s">
        <v>703</v>
      </c>
      <c r="D1213" t="s">
        <v>716</v>
      </c>
      <c r="E1213" s="2">
        <v>11.513999999999999</v>
      </c>
    </row>
    <row r="1214" spans="1:5" x14ac:dyDescent="0.25">
      <c r="A1214" s="32" t="s">
        <v>767</v>
      </c>
      <c r="B1214" s="7">
        <v>2020</v>
      </c>
      <c r="C1214" s="51" t="s">
        <v>704</v>
      </c>
      <c r="D1214" t="s">
        <v>716</v>
      </c>
      <c r="E1214" s="2">
        <v>11.513999999999999</v>
      </c>
    </row>
    <row r="1215" spans="1:5" x14ac:dyDescent="0.25">
      <c r="A1215" s="32" t="s">
        <v>767</v>
      </c>
      <c r="B1215" s="7">
        <v>2020</v>
      </c>
      <c r="C1215" s="51" t="s">
        <v>705</v>
      </c>
      <c r="D1215" t="s">
        <v>716</v>
      </c>
      <c r="E1215" s="2">
        <v>11.69</v>
      </c>
    </row>
    <row r="1216" spans="1:5" x14ac:dyDescent="0.25">
      <c r="A1216" s="32" t="s">
        <v>767</v>
      </c>
      <c r="B1216" s="7">
        <v>2020</v>
      </c>
      <c r="C1216" s="51" t="s">
        <v>706</v>
      </c>
      <c r="D1216" t="s">
        <v>716</v>
      </c>
      <c r="E1216" s="2">
        <v>13.504</v>
      </c>
    </row>
    <row r="1217" spans="1:5" x14ac:dyDescent="0.25">
      <c r="A1217" s="32" t="s">
        <v>767</v>
      </c>
      <c r="B1217" s="7">
        <v>2021</v>
      </c>
      <c r="C1217" s="51" t="s">
        <v>713</v>
      </c>
      <c r="D1217" t="s">
        <v>716</v>
      </c>
      <c r="E1217" s="2">
        <v>12.188000000000001</v>
      </c>
    </row>
    <row r="1218" spans="1:5" x14ac:dyDescent="0.25">
      <c r="A1218" s="32" t="s">
        <v>767</v>
      </c>
      <c r="B1218" s="7">
        <v>2021</v>
      </c>
      <c r="C1218" s="51" t="s">
        <v>707</v>
      </c>
      <c r="D1218" t="s">
        <v>716</v>
      </c>
      <c r="E1218" s="2">
        <v>11.363</v>
      </c>
    </row>
    <row r="1219" spans="1:5" x14ac:dyDescent="0.25">
      <c r="A1219" s="32" t="s">
        <v>767</v>
      </c>
      <c r="B1219" s="7">
        <v>2021</v>
      </c>
      <c r="C1219" s="51" t="s">
        <v>708</v>
      </c>
      <c r="D1219" t="s">
        <v>716</v>
      </c>
      <c r="E1219" s="2">
        <v>11.625999999999999</v>
      </c>
    </row>
    <row r="1220" spans="1:5" x14ac:dyDescent="0.25">
      <c r="A1220" s="32" t="s">
        <v>767</v>
      </c>
      <c r="B1220" s="7">
        <v>2021</v>
      </c>
      <c r="C1220" s="51" t="s">
        <v>699</v>
      </c>
      <c r="D1220" t="s">
        <v>716</v>
      </c>
      <c r="E1220" s="2">
        <v>11.252000000000001</v>
      </c>
    </row>
    <row r="1221" spans="1:5" x14ac:dyDescent="0.25">
      <c r="A1221" s="32" t="s">
        <v>767</v>
      </c>
      <c r="B1221" s="7">
        <v>2021</v>
      </c>
      <c r="C1221" s="51" t="s">
        <v>709</v>
      </c>
      <c r="D1221" t="s">
        <v>716</v>
      </c>
      <c r="E1221" s="2">
        <v>11.045</v>
      </c>
    </row>
    <row r="1222" spans="1:5" x14ac:dyDescent="0.25">
      <c r="A1222" s="32" t="s">
        <v>767</v>
      </c>
      <c r="B1222" s="7">
        <v>2021</v>
      </c>
      <c r="C1222" s="51" t="s">
        <v>712</v>
      </c>
      <c r="D1222" t="s">
        <v>716</v>
      </c>
      <c r="E1222" s="2">
        <v>10.760999999999999</v>
      </c>
    </row>
    <row r="1223" spans="1:5" x14ac:dyDescent="0.25">
      <c r="A1223" s="32" t="s">
        <v>767</v>
      </c>
      <c r="B1223" s="7">
        <v>2021</v>
      </c>
      <c r="C1223" s="51" t="s">
        <v>710</v>
      </c>
      <c r="D1223" t="s">
        <v>716</v>
      </c>
      <c r="E1223" s="2">
        <v>10.596</v>
      </c>
    </row>
    <row r="1224" spans="1:5" x14ac:dyDescent="0.25">
      <c r="A1224" s="32" t="s">
        <v>767</v>
      </c>
      <c r="B1224" s="7">
        <v>2021</v>
      </c>
      <c r="C1224" s="51" t="s">
        <v>702</v>
      </c>
      <c r="D1224" t="s">
        <v>716</v>
      </c>
      <c r="E1224" s="2">
        <v>11.173999999999999</v>
      </c>
    </row>
    <row r="1225" spans="1:5" x14ac:dyDescent="0.25">
      <c r="A1225" s="32" t="s">
        <v>767</v>
      </c>
      <c r="B1225" s="7">
        <v>2021</v>
      </c>
      <c r="C1225" s="51" t="s">
        <v>703</v>
      </c>
      <c r="D1225" t="s">
        <v>716</v>
      </c>
      <c r="E1225" s="2">
        <v>11.157999999999999</v>
      </c>
    </row>
    <row r="1226" spans="1:5" x14ac:dyDescent="0.25">
      <c r="A1226" s="32" t="s">
        <v>767</v>
      </c>
      <c r="B1226" s="7">
        <v>2021</v>
      </c>
      <c r="C1226" s="51" t="s">
        <v>704</v>
      </c>
      <c r="D1226" t="s">
        <v>716</v>
      </c>
      <c r="E1226" s="2">
        <v>11.178000000000001</v>
      </c>
    </row>
    <row r="1227" spans="1:5" x14ac:dyDescent="0.25">
      <c r="A1227" s="32" t="s">
        <v>767</v>
      </c>
      <c r="B1227" s="7">
        <v>2021</v>
      </c>
      <c r="C1227" s="51" t="s">
        <v>705</v>
      </c>
      <c r="D1227" t="s">
        <v>716</v>
      </c>
      <c r="E1227" s="2">
        <v>10.907999999999999</v>
      </c>
    </row>
    <row r="1228" spans="1:5" x14ac:dyDescent="0.25">
      <c r="A1228" s="32" t="s">
        <v>767</v>
      </c>
      <c r="B1228" s="7">
        <v>2021</v>
      </c>
      <c r="C1228" s="51" t="s">
        <v>706</v>
      </c>
      <c r="D1228" t="s">
        <v>716</v>
      </c>
      <c r="E1228" s="2">
        <v>10.967000000000001</v>
      </c>
    </row>
    <row r="1229" spans="1:5" x14ac:dyDescent="0.25">
      <c r="A1229" s="32" t="s">
        <v>767</v>
      </c>
      <c r="B1229" s="7">
        <v>2022</v>
      </c>
      <c r="C1229" s="51" t="s">
        <v>713</v>
      </c>
      <c r="D1229" t="s">
        <v>716</v>
      </c>
      <c r="E1229" s="2">
        <v>12.436999999999999</v>
      </c>
    </row>
    <row r="1230" spans="1:5" x14ac:dyDescent="0.25">
      <c r="A1230" s="32" t="s">
        <v>767</v>
      </c>
      <c r="B1230" s="7">
        <v>2022</v>
      </c>
      <c r="C1230" s="51" t="s">
        <v>707</v>
      </c>
      <c r="D1230" t="s">
        <v>716</v>
      </c>
      <c r="E1230" s="2">
        <v>10.439</v>
      </c>
    </row>
    <row r="1231" spans="1:5" x14ac:dyDescent="0.25">
      <c r="A1231" s="32" t="s">
        <v>767</v>
      </c>
      <c r="B1231" s="7">
        <v>2022</v>
      </c>
      <c r="C1231" s="51" t="s">
        <v>708</v>
      </c>
      <c r="D1231" t="s">
        <v>716</v>
      </c>
      <c r="E1231" s="2">
        <v>11.474</v>
      </c>
    </row>
    <row r="1232" spans="1:5" x14ac:dyDescent="0.25">
      <c r="A1232" s="32" t="s">
        <v>767</v>
      </c>
      <c r="B1232" s="7">
        <v>2022</v>
      </c>
      <c r="C1232" s="51" t="s">
        <v>699</v>
      </c>
      <c r="D1232" t="s">
        <v>716</v>
      </c>
      <c r="E1232" s="2">
        <v>11.207000000000001</v>
      </c>
    </row>
    <row r="1233" spans="1:5" x14ac:dyDescent="0.25">
      <c r="A1233" s="32" t="s">
        <v>767</v>
      </c>
      <c r="B1233" s="7">
        <v>2022</v>
      </c>
      <c r="C1233" s="51" t="s">
        <v>709</v>
      </c>
      <c r="D1233" t="s">
        <v>716</v>
      </c>
      <c r="E1233" s="2">
        <v>12.81</v>
      </c>
    </row>
    <row r="1234" spans="1:5" x14ac:dyDescent="0.25">
      <c r="A1234" s="32" t="s">
        <v>767</v>
      </c>
      <c r="B1234" s="7">
        <v>2022</v>
      </c>
      <c r="C1234" s="51" t="s">
        <v>712</v>
      </c>
      <c r="D1234" t="s">
        <v>716</v>
      </c>
      <c r="E1234" s="2">
        <v>11.071999999999999</v>
      </c>
    </row>
    <row r="1235" spans="1:5" x14ac:dyDescent="0.25">
      <c r="A1235" s="32" t="s">
        <v>767</v>
      </c>
      <c r="B1235" s="7">
        <v>2022</v>
      </c>
      <c r="C1235" s="51" t="s">
        <v>710</v>
      </c>
      <c r="D1235" t="s">
        <v>716</v>
      </c>
      <c r="E1235" s="2">
        <v>11.076000000000001</v>
      </c>
    </row>
    <row r="1236" spans="1:5" x14ac:dyDescent="0.25">
      <c r="A1236" s="32" t="s">
        <v>767</v>
      </c>
      <c r="B1236" s="7">
        <v>2022</v>
      </c>
      <c r="C1236" s="51" t="s">
        <v>702</v>
      </c>
      <c r="D1236" t="s">
        <v>716</v>
      </c>
      <c r="E1236" s="2">
        <v>10.961</v>
      </c>
    </row>
    <row r="1237" spans="1:5" x14ac:dyDescent="0.25">
      <c r="A1237" s="32" t="s">
        <v>767</v>
      </c>
      <c r="B1237" s="7">
        <v>2022</v>
      </c>
      <c r="C1237" s="51" t="s">
        <v>703</v>
      </c>
      <c r="D1237" t="s">
        <v>716</v>
      </c>
      <c r="E1237" s="2">
        <v>10.787000000000001</v>
      </c>
    </row>
    <row r="1238" spans="1:5" x14ac:dyDescent="0.25">
      <c r="A1238" s="32" t="s">
        <v>767</v>
      </c>
      <c r="B1238" s="7">
        <v>2022</v>
      </c>
      <c r="C1238" s="51" t="s">
        <v>704</v>
      </c>
      <c r="D1238" t="s">
        <v>716</v>
      </c>
      <c r="E1238" s="2">
        <v>11.528</v>
      </c>
    </row>
    <row r="1239" spans="1:5" x14ac:dyDescent="0.25">
      <c r="A1239" s="32" t="s">
        <v>767</v>
      </c>
      <c r="B1239" s="7">
        <v>2022</v>
      </c>
      <c r="C1239" s="51" t="s">
        <v>705</v>
      </c>
      <c r="D1239" t="s">
        <v>716</v>
      </c>
      <c r="E1239" s="2">
        <v>11.326000000000001</v>
      </c>
    </row>
    <row r="1240" spans="1:5" x14ac:dyDescent="0.25">
      <c r="A1240" s="32" t="s">
        <v>767</v>
      </c>
      <c r="B1240" s="7">
        <v>2022</v>
      </c>
      <c r="C1240" s="51" t="s">
        <v>706</v>
      </c>
      <c r="D1240" t="s">
        <v>716</v>
      </c>
      <c r="E1240" s="2">
        <v>12.789</v>
      </c>
    </row>
    <row r="1241" spans="1:5" x14ac:dyDescent="0.25">
      <c r="A1241" s="32" t="s">
        <v>767</v>
      </c>
      <c r="B1241" s="7">
        <v>2023</v>
      </c>
      <c r="C1241" s="51" t="s">
        <v>713</v>
      </c>
      <c r="D1241" t="s">
        <v>716</v>
      </c>
      <c r="E1241" s="2">
        <v>11.98</v>
      </c>
    </row>
    <row r="1242" spans="1:5" x14ac:dyDescent="0.25">
      <c r="A1242" s="32" t="s">
        <v>767</v>
      </c>
      <c r="B1242" s="7">
        <v>2023</v>
      </c>
      <c r="C1242" s="51" t="s">
        <v>707</v>
      </c>
      <c r="D1242" t="s">
        <v>716</v>
      </c>
      <c r="E1242" s="2">
        <v>10.795</v>
      </c>
    </row>
    <row r="1243" spans="1:5" x14ac:dyDescent="0.25">
      <c r="A1243" s="32" t="s">
        <v>767</v>
      </c>
      <c r="B1243" s="7">
        <v>2023</v>
      </c>
      <c r="C1243" s="51" t="s">
        <v>708</v>
      </c>
      <c r="D1243" t="s">
        <v>716</v>
      </c>
      <c r="E1243" s="2">
        <v>11.488</v>
      </c>
    </row>
    <row r="1244" spans="1:5" x14ac:dyDescent="0.25">
      <c r="A1244" s="32" t="s">
        <v>767</v>
      </c>
      <c r="B1244" s="7">
        <v>2023</v>
      </c>
      <c r="C1244" s="51" t="s">
        <v>699</v>
      </c>
      <c r="D1244" t="s">
        <v>716</v>
      </c>
      <c r="E1244" s="2">
        <v>10.935</v>
      </c>
    </row>
    <row r="1245" spans="1:5" x14ac:dyDescent="0.25">
      <c r="A1245" s="32" t="s">
        <v>767</v>
      </c>
      <c r="B1245" s="7">
        <v>2023</v>
      </c>
      <c r="C1245" s="51" t="s">
        <v>709</v>
      </c>
      <c r="D1245" t="s">
        <v>716</v>
      </c>
      <c r="E1245" s="2">
        <v>11.18</v>
      </c>
    </row>
    <row r="1246" spans="1:5" x14ac:dyDescent="0.25">
      <c r="A1246" s="32" t="s">
        <v>767</v>
      </c>
      <c r="B1246" s="7">
        <v>2023</v>
      </c>
      <c r="C1246" s="51" t="s">
        <v>712</v>
      </c>
      <c r="D1246" t="s">
        <v>716</v>
      </c>
      <c r="E1246" s="2">
        <v>10.676</v>
      </c>
    </row>
    <row r="1247" spans="1:5" x14ac:dyDescent="0.25">
      <c r="A1247" s="32" t="s">
        <v>767</v>
      </c>
      <c r="B1247" s="7">
        <v>2023</v>
      </c>
      <c r="C1247" s="51" t="s">
        <v>710</v>
      </c>
      <c r="D1247" t="s">
        <v>716</v>
      </c>
      <c r="E1247" s="2">
        <v>11.045999999999999</v>
      </c>
    </row>
    <row r="1248" spans="1:5" x14ac:dyDescent="0.25">
      <c r="A1248" s="32" t="s">
        <v>767</v>
      </c>
      <c r="B1248" s="7">
        <v>2023</v>
      </c>
      <c r="C1248" s="51" t="s">
        <v>702</v>
      </c>
      <c r="D1248" t="s">
        <v>716</v>
      </c>
      <c r="E1248" s="2">
        <v>10.976000000000001</v>
      </c>
    </row>
    <row r="1249" spans="1:5" x14ac:dyDescent="0.25">
      <c r="A1249" s="32" t="s">
        <v>767</v>
      </c>
      <c r="B1249" s="7">
        <v>2023</v>
      </c>
      <c r="C1249" s="51" t="s">
        <v>703</v>
      </c>
      <c r="D1249" t="s">
        <v>716</v>
      </c>
      <c r="E1249" s="2">
        <v>11.349</v>
      </c>
    </row>
    <row r="1250" spans="1:5" x14ac:dyDescent="0.25">
      <c r="A1250" s="32" t="s">
        <v>767</v>
      </c>
      <c r="D1250" t="s">
        <v>735</v>
      </c>
    </row>
    <row r="1251" spans="1:5" x14ac:dyDescent="0.25">
      <c r="A1251" s="32" t="s">
        <v>767</v>
      </c>
      <c r="D1251" t="s">
        <v>735</v>
      </c>
    </row>
    <row r="1252" spans="1:5" x14ac:dyDescent="0.25">
      <c r="A1252" s="32" t="s">
        <v>767</v>
      </c>
      <c r="D1252" t="s">
        <v>735</v>
      </c>
    </row>
    <row r="1253" spans="1:5" x14ac:dyDescent="0.25">
      <c r="A1253" s="32" t="s">
        <v>767</v>
      </c>
      <c r="D1253" t="s">
        <v>735</v>
      </c>
    </row>
    <row r="1254" spans="1:5" x14ac:dyDescent="0.25">
      <c r="A1254" s="32" t="s">
        <v>767</v>
      </c>
      <c r="D1254" t="s">
        <v>735</v>
      </c>
    </row>
    <row r="1255" spans="1:5" x14ac:dyDescent="0.25">
      <c r="A1255" s="32" t="s">
        <v>767</v>
      </c>
      <c r="D1255" t="s">
        <v>735</v>
      </c>
    </row>
    <row r="1256" spans="1:5" x14ac:dyDescent="0.25">
      <c r="A1256" s="32" t="s">
        <v>767</v>
      </c>
      <c r="D1256" t="s">
        <v>735</v>
      </c>
    </row>
    <row r="1257" spans="1:5" x14ac:dyDescent="0.25">
      <c r="A1257" s="32" t="s">
        <v>767</v>
      </c>
      <c r="D1257" t="s">
        <v>735</v>
      </c>
    </row>
    <row r="1258" spans="1:5" x14ac:dyDescent="0.25">
      <c r="A1258" s="32" t="s">
        <v>767</v>
      </c>
      <c r="D1258" t="s">
        <v>735</v>
      </c>
    </row>
    <row r="1259" spans="1:5" x14ac:dyDescent="0.25">
      <c r="A1259" s="32" t="s">
        <v>767</v>
      </c>
      <c r="D1259" t="s">
        <v>735</v>
      </c>
    </row>
    <row r="1260" spans="1:5" x14ac:dyDescent="0.25">
      <c r="A1260" s="32" t="s">
        <v>767</v>
      </c>
      <c r="D1260" t="s">
        <v>735</v>
      </c>
    </row>
    <row r="1261" spans="1:5" x14ac:dyDescent="0.25">
      <c r="A1261" s="32" t="s">
        <v>767</v>
      </c>
      <c r="D1261" t="s">
        <v>735</v>
      </c>
    </row>
    <row r="1262" spans="1:5" x14ac:dyDescent="0.25">
      <c r="A1262" s="32" t="s">
        <v>767</v>
      </c>
      <c r="D1262" t="s">
        <v>735</v>
      </c>
    </row>
    <row r="1263" spans="1:5" x14ac:dyDescent="0.25">
      <c r="A1263" s="32" t="s">
        <v>767</v>
      </c>
      <c r="D1263" t="s">
        <v>735</v>
      </c>
    </row>
    <row r="1264" spans="1:5" x14ac:dyDescent="0.25">
      <c r="A1264" s="32" t="s">
        <v>767</v>
      </c>
      <c r="D1264" t="s">
        <v>735</v>
      </c>
    </row>
    <row r="1265" spans="1:4" x14ac:dyDescent="0.25">
      <c r="A1265" s="32" t="s">
        <v>767</v>
      </c>
      <c r="D1265" t="s">
        <v>735</v>
      </c>
    </row>
    <row r="1266" spans="1:4" x14ac:dyDescent="0.25">
      <c r="A1266" s="32" t="s">
        <v>767</v>
      </c>
      <c r="D1266" t="s">
        <v>735</v>
      </c>
    </row>
    <row r="1267" spans="1:4" x14ac:dyDescent="0.25">
      <c r="A1267" s="32" t="s">
        <v>767</v>
      </c>
      <c r="D1267" t="s">
        <v>735</v>
      </c>
    </row>
    <row r="1268" spans="1:4" x14ac:dyDescent="0.25">
      <c r="A1268" s="32" t="s">
        <v>767</v>
      </c>
      <c r="D1268" t="s">
        <v>735</v>
      </c>
    </row>
    <row r="1269" spans="1:4" x14ac:dyDescent="0.25">
      <c r="A1269" s="32" t="s">
        <v>767</v>
      </c>
      <c r="D1269" t="s">
        <v>735</v>
      </c>
    </row>
    <row r="1270" spans="1:4" x14ac:dyDescent="0.25">
      <c r="A1270" s="32" t="s">
        <v>767</v>
      </c>
      <c r="D1270" t="s">
        <v>735</v>
      </c>
    </row>
    <row r="1271" spans="1:4" x14ac:dyDescent="0.25">
      <c r="A1271" s="32" t="s">
        <v>767</v>
      </c>
      <c r="D1271" t="s">
        <v>735</v>
      </c>
    </row>
    <row r="1272" spans="1:4" x14ac:dyDescent="0.25">
      <c r="A1272" s="32" t="s">
        <v>767</v>
      </c>
      <c r="D1272" t="s">
        <v>735</v>
      </c>
    </row>
    <row r="1273" spans="1:4" x14ac:dyDescent="0.25">
      <c r="A1273" s="32" t="s">
        <v>767</v>
      </c>
      <c r="D1273" t="s">
        <v>735</v>
      </c>
    </row>
    <row r="1274" spans="1:4" x14ac:dyDescent="0.25">
      <c r="A1274" s="32" t="s">
        <v>767</v>
      </c>
      <c r="D1274" t="s">
        <v>735</v>
      </c>
    </row>
    <row r="1275" spans="1:4" x14ac:dyDescent="0.25">
      <c r="A1275" s="32" t="s">
        <v>767</v>
      </c>
      <c r="D1275" t="s">
        <v>735</v>
      </c>
    </row>
    <row r="1276" spans="1:4" x14ac:dyDescent="0.25">
      <c r="A1276" s="32" t="s">
        <v>767</v>
      </c>
      <c r="D1276" t="s">
        <v>735</v>
      </c>
    </row>
    <row r="1277" spans="1:4" x14ac:dyDescent="0.25">
      <c r="A1277" s="32" t="s">
        <v>767</v>
      </c>
      <c r="D1277" t="s">
        <v>735</v>
      </c>
    </row>
    <row r="1278" spans="1:4" x14ac:dyDescent="0.25">
      <c r="A1278" s="32" t="s">
        <v>767</v>
      </c>
      <c r="D1278" t="s">
        <v>735</v>
      </c>
    </row>
    <row r="1279" spans="1:4" x14ac:dyDescent="0.25">
      <c r="A1279" s="32" t="s">
        <v>767</v>
      </c>
      <c r="D1279" t="s">
        <v>735</v>
      </c>
    </row>
    <row r="1280" spans="1:4" x14ac:dyDescent="0.25">
      <c r="A1280" s="32" t="s">
        <v>767</v>
      </c>
      <c r="D1280" t="s">
        <v>735</v>
      </c>
    </row>
    <row r="1281" spans="1:4" x14ac:dyDescent="0.25">
      <c r="A1281" s="32" t="s">
        <v>767</v>
      </c>
      <c r="D1281" t="s">
        <v>735</v>
      </c>
    </row>
    <row r="1282" spans="1:4" x14ac:dyDescent="0.25">
      <c r="A1282" s="32" t="s">
        <v>767</v>
      </c>
      <c r="D1282" t="s">
        <v>735</v>
      </c>
    </row>
    <row r="1283" spans="1:4" x14ac:dyDescent="0.25">
      <c r="A1283" s="32" t="s">
        <v>767</v>
      </c>
      <c r="D1283" t="s">
        <v>735</v>
      </c>
    </row>
    <row r="1284" spans="1:4" x14ac:dyDescent="0.25">
      <c r="A1284" s="32" t="s">
        <v>767</v>
      </c>
      <c r="D1284" t="s">
        <v>735</v>
      </c>
    </row>
    <row r="1285" spans="1:4" x14ac:dyDescent="0.25">
      <c r="A1285" s="32" t="s">
        <v>767</v>
      </c>
      <c r="D1285" t="s">
        <v>735</v>
      </c>
    </row>
    <row r="1286" spans="1:4" x14ac:dyDescent="0.25">
      <c r="A1286" s="32" t="s">
        <v>767</v>
      </c>
      <c r="D1286" t="s">
        <v>735</v>
      </c>
    </row>
    <row r="1287" spans="1:4" x14ac:dyDescent="0.25">
      <c r="A1287" s="32" t="s">
        <v>767</v>
      </c>
      <c r="D1287" t="s">
        <v>735</v>
      </c>
    </row>
    <row r="1288" spans="1:4" x14ac:dyDescent="0.25">
      <c r="A1288" s="32" t="s">
        <v>767</v>
      </c>
      <c r="D1288" t="s">
        <v>735</v>
      </c>
    </row>
    <row r="1289" spans="1:4" x14ac:dyDescent="0.25">
      <c r="A1289" s="32" t="s">
        <v>767</v>
      </c>
      <c r="D1289" t="s">
        <v>735</v>
      </c>
    </row>
    <row r="1290" spans="1:4" x14ac:dyDescent="0.25">
      <c r="A1290" s="32" t="s">
        <v>767</v>
      </c>
      <c r="D1290" t="s">
        <v>735</v>
      </c>
    </row>
    <row r="1291" spans="1:4" x14ac:dyDescent="0.25">
      <c r="A1291" s="32" t="s">
        <v>767</v>
      </c>
      <c r="D1291" t="s">
        <v>735</v>
      </c>
    </row>
    <row r="1292" spans="1:4" x14ac:dyDescent="0.25">
      <c r="A1292" s="32" t="s">
        <v>767</v>
      </c>
      <c r="D1292" t="s">
        <v>735</v>
      </c>
    </row>
    <row r="1293" spans="1:4" x14ac:dyDescent="0.25">
      <c r="A1293" s="32" t="s">
        <v>767</v>
      </c>
      <c r="D1293" t="s">
        <v>735</v>
      </c>
    </row>
    <row r="1294" spans="1:4" x14ac:dyDescent="0.25">
      <c r="A1294" s="32" t="s">
        <v>767</v>
      </c>
      <c r="D1294" t="s">
        <v>735</v>
      </c>
    </row>
    <row r="1295" spans="1:4" x14ac:dyDescent="0.25">
      <c r="A1295" s="32" t="s">
        <v>767</v>
      </c>
      <c r="D1295" t="s">
        <v>735</v>
      </c>
    </row>
    <row r="1296" spans="1:4" x14ac:dyDescent="0.25">
      <c r="A1296" s="32" t="s">
        <v>767</v>
      </c>
      <c r="D1296" t="s">
        <v>735</v>
      </c>
    </row>
    <row r="1297" spans="1:4" x14ac:dyDescent="0.25">
      <c r="A1297" s="32" t="s">
        <v>767</v>
      </c>
      <c r="D1297" t="s">
        <v>735</v>
      </c>
    </row>
    <row r="1298" spans="1:4" x14ac:dyDescent="0.25">
      <c r="A1298" s="32" t="s">
        <v>767</v>
      </c>
      <c r="D1298" t="s">
        <v>735</v>
      </c>
    </row>
    <row r="1299" spans="1:4" x14ac:dyDescent="0.25">
      <c r="A1299" s="32" t="s">
        <v>767</v>
      </c>
      <c r="D1299" t="s">
        <v>735</v>
      </c>
    </row>
    <row r="1300" spans="1:4" x14ac:dyDescent="0.25">
      <c r="A1300" s="32" t="s">
        <v>767</v>
      </c>
      <c r="D1300" t="s">
        <v>735</v>
      </c>
    </row>
    <row r="1301" spans="1:4" x14ac:dyDescent="0.25">
      <c r="A1301" s="32" t="s">
        <v>767</v>
      </c>
      <c r="D1301" t="s">
        <v>735</v>
      </c>
    </row>
    <row r="1302" spans="1:4" x14ac:dyDescent="0.25">
      <c r="A1302" s="32" t="s">
        <v>767</v>
      </c>
      <c r="D1302" t="s">
        <v>735</v>
      </c>
    </row>
    <row r="1303" spans="1:4" x14ac:dyDescent="0.25">
      <c r="A1303" s="32" t="s">
        <v>767</v>
      </c>
      <c r="D1303" t="s">
        <v>735</v>
      </c>
    </row>
    <row r="1304" spans="1:4" x14ac:dyDescent="0.25">
      <c r="A1304" s="32" t="s">
        <v>767</v>
      </c>
      <c r="D1304" t="s">
        <v>735</v>
      </c>
    </row>
    <row r="1305" spans="1:4" x14ac:dyDescent="0.25">
      <c r="A1305" s="32" t="s">
        <v>767</v>
      </c>
      <c r="D1305" t="s">
        <v>735</v>
      </c>
    </row>
    <row r="1306" spans="1:4" x14ac:dyDescent="0.25">
      <c r="A1306" s="32" t="s">
        <v>767</v>
      </c>
      <c r="D1306" t="s">
        <v>735</v>
      </c>
    </row>
    <row r="1307" spans="1:4" x14ac:dyDescent="0.25">
      <c r="A1307" s="32" t="s">
        <v>767</v>
      </c>
      <c r="D1307" t="s">
        <v>735</v>
      </c>
    </row>
    <row r="1308" spans="1:4" x14ac:dyDescent="0.25">
      <c r="A1308" s="32" t="s">
        <v>767</v>
      </c>
      <c r="D1308" t="s">
        <v>735</v>
      </c>
    </row>
    <row r="1309" spans="1:4" x14ac:dyDescent="0.25">
      <c r="A1309" s="32" t="s">
        <v>767</v>
      </c>
      <c r="D1309" t="s">
        <v>735</v>
      </c>
    </row>
    <row r="1310" spans="1:4" x14ac:dyDescent="0.25">
      <c r="A1310" s="32" t="s">
        <v>767</v>
      </c>
      <c r="D1310" t="s">
        <v>735</v>
      </c>
    </row>
    <row r="1311" spans="1:4" x14ac:dyDescent="0.25">
      <c r="A1311" s="32" t="s">
        <v>767</v>
      </c>
      <c r="D1311" t="s">
        <v>735</v>
      </c>
    </row>
    <row r="1312" spans="1:4" x14ac:dyDescent="0.25">
      <c r="A1312" s="32" t="s">
        <v>767</v>
      </c>
      <c r="D1312" t="s">
        <v>735</v>
      </c>
    </row>
    <row r="1313" spans="1:4" x14ac:dyDescent="0.25">
      <c r="A1313" s="32" t="s">
        <v>767</v>
      </c>
      <c r="D1313" t="s">
        <v>735</v>
      </c>
    </row>
    <row r="1314" spans="1:4" x14ac:dyDescent="0.25">
      <c r="A1314" s="32" t="s">
        <v>767</v>
      </c>
      <c r="D1314" t="s">
        <v>735</v>
      </c>
    </row>
    <row r="1315" spans="1:4" x14ac:dyDescent="0.25">
      <c r="A1315" s="32" t="s">
        <v>767</v>
      </c>
      <c r="D1315" t="s">
        <v>735</v>
      </c>
    </row>
    <row r="1316" spans="1:4" x14ac:dyDescent="0.25">
      <c r="A1316" s="32" t="s">
        <v>767</v>
      </c>
      <c r="D1316" t="s">
        <v>735</v>
      </c>
    </row>
    <row r="1317" spans="1:4" x14ac:dyDescent="0.25">
      <c r="A1317" s="32" t="s">
        <v>767</v>
      </c>
      <c r="D1317" t="s">
        <v>735</v>
      </c>
    </row>
    <row r="1318" spans="1:4" x14ac:dyDescent="0.25">
      <c r="A1318" s="32" t="s">
        <v>767</v>
      </c>
      <c r="D1318" t="s">
        <v>735</v>
      </c>
    </row>
    <row r="1319" spans="1:4" x14ac:dyDescent="0.25">
      <c r="A1319" s="32" t="s">
        <v>767</v>
      </c>
      <c r="D1319" t="s">
        <v>735</v>
      </c>
    </row>
    <row r="1320" spans="1:4" x14ac:dyDescent="0.25">
      <c r="A1320" s="32" t="s">
        <v>767</v>
      </c>
      <c r="D1320" t="s">
        <v>735</v>
      </c>
    </row>
    <row r="1321" spans="1:4" x14ac:dyDescent="0.25">
      <c r="A1321" s="32" t="s">
        <v>767</v>
      </c>
      <c r="D1321" t="s">
        <v>735</v>
      </c>
    </row>
    <row r="1322" spans="1:4" x14ac:dyDescent="0.25">
      <c r="A1322" s="32" t="s">
        <v>767</v>
      </c>
      <c r="D1322" t="s">
        <v>735</v>
      </c>
    </row>
    <row r="1323" spans="1:4" x14ac:dyDescent="0.25">
      <c r="A1323" s="32" t="s">
        <v>767</v>
      </c>
      <c r="D1323" t="s">
        <v>735</v>
      </c>
    </row>
    <row r="1324" spans="1:4" x14ac:dyDescent="0.25">
      <c r="A1324" s="32" t="s">
        <v>767</v>
      </c>
      <c r="D1324" t="s">
        <v>735</v>
      </c>
    </row>
    <row r="1325" spans="1:4" x14ac:dyDescent="0.25">
      <c r="A1325" s="32" t="s">
        <v>767</v>
      </c>
      <c r="D1325" t="s">
        <v>735</v>
      </c>
    </row>
    <row r="1326" spans="1:4" x14ac:dyDescent="0.25">
      <c r="A1326" s="32" t="s">
        <v>767</v>
      </c>
      <c r="D1326" t="s">
        <v>735</v>
      </c>
    </row>
    <row r="1327" spans="1:4" x14ac:dyDescent="0.25">
      <c r="A1327" s="32" t="s">
        <v>767</v>
      </c>
      <c r="D1327" t="s">
        <v>735</v>
      </c>
    </row>
    <row r="1328" spans="1:4" x14ac:dyDescent="0.25">
      <c r="A1328" s="32" t="s">
        <v>767</v>
      </c>
      <c r="D1328" t="s">
        <v>735</v>
      </c>
    </row>
    <row r="1329" spans="1:4" x14ac:dyDescent="0.25">
      <c r="A1329" s="32" t="s">
        <v>767</v>
      </c>
      <c r="D1329" t="s">
        <v>735</v>
      </c>
    </row>
    <row r="1330" spans="1:4" x14ac:dyDescent="0.25">
      <c r="A1330" s="32" t="s">
        <v>767</v>
      </c>
      <c r="D1330" t="s">
        <v>735</v>
      </c>
    </row>
    <row r="1331" spans="1:4" x14ac:dyDescent="0.25">
      <c r="A1331" s="32" t="s">
        <v>767</v>
      </c>
      <c r="D1331" t="s">
        <v>735</v>
      </c>
    </row>
    <row r="1332" spans="1:4" x14ac:dyDescent="0.25">
      <c r="A1332" s="32" t="s">
        <v>767</v>
      </c>
      <c r="D1332" t="s">
        <v>735</v>
      </c>
    </row>
    <row r="1333" spans="1:4" x14ac:dyDescent="0.25">
      <c r="A1333" s="32" t="s">
        <v>767</v>
      </c>
      <c r="D1333" t="s">
        <v>735</v>
      </c>
    </row>
    <row r="1334" spans="1:4" x14ac:dyDescent="0.25">
      <c r="A1334" s="32" t="s">
        <v>767</v>
      </c>
      <c r="D1334" t="s">
        <v>735</v>
      </c>
    </row>
    <row r="1335" spans="1:4" x14ac:dyDescent="0.25">
      <c r="A1335" s="32" t="s">
        <v>767</v>
      </c>
      <c r="D1335" t="s">
        <v>735</v>
      </c>
    </row>
    <row r="1336" spans="1:4" x14ac:dyDescent="0.25">
      <c r="A1336" s="32" t="s">
        <v>767</v>
      </c>
      <c r="D1336" t="s">
        <v>735</v>
      </c>
    </row>
    <row r="1337" spans="1:4" x14ac:dyDescent="0.25">
      <c r="A1337" s="32" t="s">
        <v>767</v>
      </c>
      <c r="D1337" t="s">
        <v>735</v>
      </c>
    </row>
    <row r="1338" spans="1:4" x14ac:dyDescent="0.25">
      <c r="A1338" s="32" t="s">
        <v>767</v>
      </c>
      <c r="D1338" t="s">
        <v>735</v>
      </c>
    </row>
    <row r="1339" spans="1:4" x14ac:dyDescent="0.25">
      <c r="A1339" s="32" t="s">
        <v>767</v>
      </c>
      <c r="D1339" t="s">
        <v>735</v>
      </c>
    </row>
    <row r="1340" spans="1:4" x14ac:dyDescent="0.25">
      <c r="A1340" s="32" t="s">
        <v>767</v>
      </c>
      <c r="D1340" t="s">
        <v>735</v>
      </c>
    </row>
    <row r="1341" spans="1:4" x14ac:dyDescent="0.25">
      <c r="A1341" s="32" t="s">
        <v>767</v>
      </c>
      <c r="D1341" t="s">
        <v>735</v>
      </c>
    </row>
    <row r="1342" spans="1:4" x14ac:dyDescent="0.25">
      <c r="A1342" s="32" t="s">
        <v>767</v>
      </c>
      <c r="D1342" t="s">
        <v>735</v>
      </c>
    </row>
    <row r="1343" spans="1:4" x14ac:dyDescent="0.25">
      <c r="A1343" s="32" t="s">
        <v>767</v>
      </c>
      <c r="D1343" t="s">
        <v>735</v>
      </c>
    </row>
    <row r="1344" spans="1:4" x14ac:dyDescent="0.25">
      <c r="A1344" s="32" t="s">
        <v>767</v>
      </c>
      <c r="D1344" t="s">
        <v>735</v>
      </c>
    </row>
    <row r="1345" spans="1:4" x14ac:dyDescent="0.25">
      <c r="A1345" s="32" t="s">
        <v>767</v>
      </c>
      <c r="D1345" t="s">
        <v>735</v>
      </c>
    </row>
    <row r="1346" spans="1:4" x14ac:dyDescent="0.25">
      <c r="A1346" s="32" t="s">
        <v>767</v>
      </c>
      <c r="D1346" t="s">
        <v>735</v>
      </c>
    </row>
    <row r="1347" spans="1:4" x14ac:dyDescent="0.25">
      <c r="A1347" s="32" t="s">
        <v>767</v>
      </c>
      <c r="D1347" t="s">
        <v>735</v>
      </c>
    </row>
    <row r="1348" spans="1:4" x14ac:dyDescent="0.25">
      <c r="A1348" s="32" t="s">
        <v>767</v>
      </c>
      <c r="D1348" t="s">
        <v>735</v>
      </c>
    </row>
    <row r="1349" spans="1:4" x14ac:dyDescent="0.25">
      <c r="A1349" s="32" t="s">
        <v>767</v>
      </c>
      <c r="D1349" t="s">
        <v>735</v>
      </c>
    </row>
    <row r="1350" spans="1:4" x14ac:dyDescent="0.25">
      <c r="A1350" s="32" t="s">
        <v>767</v>
      </c>
      <c r="D1350" t="s">
        <v>735</v>
      </c>
    </row>
    <row r="1351" spans="1:4" x14ac:dyDescent="0.25">
      <c r="A1351" s="32" t="s">
        <v>767</v>
      </c>
      <c r="D1351" t="s">
        <v>735</v>
      </c>
    </row>
    <row r="1352" spans="1:4" x14ac:dyDescent="0.25">
      <c r="A1352" s="32" t="s">
        <v>767</v>
      </c>
      <c r="D1352" t="s">
        <v>735</v>
      </c>
    </row>
    <row r="1353" spans="1:4" x14ac:dyDescent="0.25">
      <c r="A1353" s="32" t="s">
        <v>767</v>
      </c>
      <c r="D1353" t="s">
        <v>735</v>
      </c>
    </row>
    <row r="1354" spans="1:4" x14ac:dyDescent="0.25">
      <c r="A1354" s="32" t="s">
        <v>767</v>
      </c>
      <c r="D1354" t="s">
        <v>735</v>
      </c>
    </row>
    <row r="1355" spans="1:4" x14ac:dyDescent="0.25">
      <c r="A1355" s="32" t="s">
        <v>767</v>
      </c>
      <c r="D1355" t="s">
        <v>735</v>
      </c>
    </row>
    <row r="1356" spans="1:4" x14ac:dyDescent="0.25">
      <c r="A1356" s="32" t="s">
        <v>767</v>
      </c>
      <c r="D1356" t="s">
        <v>735</v>
      </c>
    </row>
    <row r="1357" spans="1:4" x14ac:dyDescent="0.25">
      <c r="A1357" s="32" t="s">
        <v>767</v>
      </c>
      <c r="D1357" t="s">
        <v>735</v>
      </c>
    </row>
    <row r="1358" spans="1:4" x14ac:dyDescent="0.25">
      <c r="A1358" s="32" t="s">
        <v>767</v>
      </c>
      <c r="D1358" t="s">
        <v>735</v>
      </c>
    </row>
    <row r="1359" spans="1:4" x14ac:dyDescent="0.25">
      <c r="A1359" s="32" t="s">
        <v>767</v>
      </c>
      <c r="D1359" t="s">
        <v>735</v>
      </c>
    </row>
    <row r="1360" spans="1:4" x14ac:dyDescent="0.25">
      <c r="A1360" s="32" t="s">
        <v>767</v>
      </c>
      <c r="D1360" t="s">
        <v>735</v>
      </c>
    </row>
    <row r="1361" spans="1:4" x14ac:dyDescent="0.25">
      <c r="A1361" s="32" t="s">
        <v>767</v>
      </c>
      <c r="D1361" t="s">
        <v>735</v>
      </c>
    </row>
    <row r="1362" spans="1:4" x14ac:dyDescent="0.25">
      <c r="A1362" s="32" t="s">
        <v>767</v>
      </c>
      <c r="D1362" t="s">
        <v>735</v>
      </c>
    </row>
    <row r="1363" spans="1:4" x14ac:dyDescent="0.25">
      <c r="A1363" s="32" t="s">
        <v>767</v>
      </c>
      <c r="D1363" t="s">
        <v>735</v>
      </c>
    </row>
    <row r="1364" spans="1:4" x14ac:dyDescent="0.25">
      <c r="A1364" s="32" t="s">
        <v>767</v>
      </c>
      <c r="D1364" t="s">
        <v>735</v>
      </c>
    </row>
    <row r="1365" spans="1:4" x14ac:dyDescent="0.25">
      <c r="A1365" s="32" t="s">
        <v>767</v>
      </c>
      <c r="D1365" t="s">
        <v>735</v>
      </c>
    </row>
    <row r="1366" spans="1:4" x14ac:dyDescent="0.25">
      <c r="A1366" s="32" t="s">
        <v>767</v>
      </c>
      <c r="D1366" t="s">
        <v>735</v>
      </c>
    </row>
    <row r="1367" spans="1:4" x14ac:dyDescent="0.25">
      <c r="A1367" s="32" t="s">
        <v>767</v>
      </c>
      <c r="D1367" t="s">
        <v>735</v>
      </c>
    </row>
    <row r="1368" spans="1:4" x14ac:dyDescent="0.25">
      <c r="A1368" s="32" t="s">
        <v>767</v>
      </c>
      <c r="D1368" t="s">
        <v>735</v>
      </c>
    </row>
    <row r="1369" spans="1:4" x14ac:dyDescent="0.25">
      <c r="A1369" s="32" t="s">
        <v>767</v>
      </c>
      <c r="D1369" t="s">
        <v>735</v>
      </c>
    </row>
    <row r="1370" spans="1:4" x14ac:dyDescent="0.25">
      <c r="A1370" s="32" t="s">
        <v>767</v>
      </c>
      <c r="D1370" t="s">
        <v>735</v>
      </c>
    </row>
    <row r="1371" spans="1:4" x14ac:dyDescent="0.25">
      <c r="A1371" s="32" t="s">
        <v>767</v>
      </c>
      <c r="D1371" t="s">
        <v>735</v>
      </c>
    </row>
    <row r="1372" spans="1:4" x14ac:dyDescent="0.25">
      <c r="A1372" s="32" t="s">
        <v>767</v>
      </c>
      <c r="D1372" t="s">
        <v>735</v>
      </c>
    </row>
    <row r="1373" spans="1:4" x14ac:dyDescent="0.25">
      <c r="A1373" s="32" t="s">
        <v>767</v>
      </c>
      <c r="D1373" t="s">
        <v>735</v>
      </c>
    </row>
    <row r="1374" spans="1:4" x14ac:dyDescent="0.25">
      <c r="A1374" s="32" t="s">
        <v>767</v>
      </c>
      <c r="D1374" t="s">
        <v>735</v>
      </c>
    </row>
    <row r="1375" spans="1:4" x14ac:dyDescent="0.25">
      <c r="A1375" s="32" t="s">
        <v>767</v>
      </c>
      <c r="D1375" t="s">
        <v>735</v>
      </c>
    </row>
    <row r="1376" spans="1:4" x14ac:dyDescent="0.25">
      <c r="A1376" s="32" t="s">
        <v>767</v>
      </c>
      <c r="D1376" t="s">
        <v>735</v>
      </c>
    </row>
    <row r="1377" spans="1:4" x14ac:dyDescent="0.25">
      <c r="A1377" s="32" t="s">
        <v>767</v>
      </c>
      <c r="D1377" t="s">
        <v>735</v>
      </c>
    </row>
    <row r="1378" spans="1:4" x14ac:dyDescent="0.25">
      <c r="A1378" s="32" t="s">
        <v>767</v>
      </c>
      <c r="D1378" t="s">
        <v>735</v>
      </c>
    </row>
    <row r="1379" spans="1:4" x14ac:dyDescent="0.25">
      <c r="A1379" s="32" t="s">
        <v>767</v>
      </c>
      <c r="D1379" t="s">
        <v>735</v>
      </c>
    </row>
    <row r="1380" spans="1:4" x14ac:dyDescent="0.25">
      <c r="A1380" s="32" t="s">
        <v>767</v>
      </c>
      <c r="D1380" t="s">
        <v>735</v>
      </c>
    </row>
    <row r="1381" spans="1:4" x14ac:dyDescent="0.25">
      <c r="A1381" s="32" t="s">
        <v>767</v>
      </c>
      <c r="D1381" t="s">
        <v>735</v>
      </c>
    </row>
    <row r="1382" spans="1:4" x14ac:dyDescent="0.25">
      <c r="A1382" s="32" t="s">
        <v>767</v>
      </c>
      <c r="D1382" t="s">
        <v>735</v>
      </c>
    </row>
    <row r="1383" spans="1:4" x14ac:dyDescent="0.25">
      <c r="A1383" s="32" t="s">
        <v>767</v>
      </c>
      <c r="D1383" t="s">
        <v>735</v>
      </c>
    </row>
    <row r="1384" spans="1:4" x14ac:dyDescent="0.25">
      <c r="A1384" s="32" t="s">
        <v>767</v>
      </c>
      <c r="D1384" t="s">
        <v>735</v>
      </c>
    </row>
    <row r="1385" spans="1:4" x14ac:dyDescent="0.25">
      <c r="A1385" s="32" t="s">
        <v>767</v>
      </c>
      <c r="D1385" t="s">
        <v>735</v>
      </c>
    </row>
    <row r="1386" spans="1:4" x14ac:dyDescent="0.25">
      <c r="A1386" s="32" t="s">
        <v>767</v>
      </c>
      <c r="D1386" t="s">
        <v>735</v>
      </c>
    </row>
    <row r="1387" spans="1:4" x14ac:dyDescent="0.25">
      <c r="A1387" s="32" t="s">
        <v>767</v>
      </c>
      <c r="D1387" t="s">
        <v>735</v>
      </c>
    </row>
    <row r="1388" spans="1:4" x14ac:dyDescent="0.25">
      <c r="A1388" s="32" t="s">
        <v>767</v>
      </c>
      <c r="D1388" t="s">
        <v>735</v>
      </c>
    </row>
    <row r="1389" spans="1:4" x14ac:dyDescent="0.25">
      <c r="A1389" s="32" t="s">
        <v>767</v>
      </c>
      <c r="D1389" t="s">
        <v>735</v>
      </c>
    </row>
    <row r="1390" spans="1:4" x14ac:dyDescent="0.25">
      <c r="A1390" s="32" t="s">
        <v>767</v>
      </c>
      <c r="D1390" t="s">
        <v>735</v>
      </c>
    </row>
    <row r="1391" spans="1:4" x14ac:dyDescent="0.25">
      <c r="A1391" s="32" t="s">
        <v>767</v>
      </c>
      <c r="D1391" t="s">
        <v>735</v>
      </c>
    </row>
    <row r="1392" spans="1:4" x14ac:dyDescent="0.25">
      <c r="A1392" s="32" t="s">
        <v>767</v>
      </c>
      <c r="D1392" t="s">
        <v>735</v>
      </c>
    </row>
    <row r="1393" spans="1:4" x14ac:dyDescent="0.25">
      <c r="A1393" s="32" t="s">
        <v>767</v>
      </c>
      <c r="D1393" t="s">
        <v>735</v>
      </c>
    </row>
    <row r="1394" spans="1:4" x14ac:dyDescent="0.25">
      <c r="A1394" s="32" t="s">
        <v>767</v>
      </c>
      <c r="D1394" t="s">
        <v>735</v>
      </c>
    </row>
    <row r="1395" spans="1:4" x14ac:dyDescent="0.25">
      <c r="A1395" s="32" t="s">
        <v>767</v>
      </c>
      <c r="D1395" t="s">
        <v>735</v>
      </c>
    </row>
    <row r="1396" spans="1:4" x14ac:dyDescent="0.25">
      <c r="A1396" s="32" t="s">
        <v>767</v>
      </c>
      <c r="D1396" t="s">
        <v>735</v>
      </c>
    </row>
    <row r="1397" spans="1:4" x14ac:dyDescent="0.25">
      <c r="A1397" s="32" t="s">
        <v>767</v>
      </c>
      <c r="D1397" t="s">
        <v>735</v>
      </c>
    </row>
    <row r="1398" spans="1:4" x14ac:dyDescent="0.25">
      <c r="A1398" s="32" t="s">
        <v>767</v>
      </c>
      <c r="D1398" t="s">
        <v>735</v>
      </c>
    </row>
    <row r="1399" spans="1:4" x14ac:dyDescent="0.25">
      <c r="A1399" s="32" t="s">
        <v>767</v>
      </c>
      <c r="D1399" t="s">
        <v>735</v>
      </c>
    </row>
    <row r="1400" spans="1:4" x14ac:dyDescent="0.25">
      <c r="A1400" s="32" t="s">
        <v>767</v>
      </c>
      <c r="D1400" t="s">
        <v>735</v>
      </c>
    </row>
    <row r="1401" spans="1:4" x14ac:dyDescent="0.25">
      <c r="A1401" s="32" t="s">
        <v>767</v>
      </c>
      <c r="D1401" t="s">
        <v>735</v>
      </c>
    </row>
    <row r="1402" spans="1:4" x14ac:dyDescent="0.25">
      <c r="A1402" s="32" t="s">
        <v>767</v>
      </c>
      <c r="D1402" t="s">
        <v>735</v>
      </c>
    </row>
    <row r="1403" spans="1:4" x14ac:dyDescent="0.25">
      <c r="A1403" s="32" t="s">
        <v>767</v>
      </c>
      <c r="D1403" t="s">
        <v>735</v>
      </c>
    </row>
    <row r="1404" spans="1:4" x14ac:dyDescent="0.25">
      <c r="A1404" s="32" t="s">
        <v>767</v>
      </c>
      <c r="D1404" t="s">
        <v>735</v>
      </c>
    </row>
    <row r="1405" spans="1:4" x14ac:dyDescent="0.25">
      <c r="A1405" s="32" t="s">
        <v>767</v>
      </c>
      <c r="D1405" t="s">
        <v>735</v>
      </c>
    </row>
    <row r="1406" spans="1:4" x14ac:dyDescent="0.25">
      <c r="A1406" s="32" t="s">
        <v>767</v>
      </c>
      <c r="D1406" t="s">
        <v>735</v>
      </c>
    </row>
    <row r="1407" spans="1:4" x14ac:dyDescent="0.25">
      <c r="A1407" s="32" t="s">
        <v>767</v>
      </c>
      <c r="D1407" t="s">
        <v>735</v>
      </c>
    </row>
    <row r="1408" spans="1:4" x14ac:dyDescent="0.25">
      <c r="A1408" s="32" t="s">
        <v>767</v>
      </c>
      <c r="D1408" t="s">
        <v>735</v>
      </c>
    </row>
    <row r="1409" spans="1:4" x14ac:dyDescent="0.25">
      <c r="A1409" s="32" t="s">
        <v>767</v>
      </c>
      <c r="D1409" t="s">
        <v>735</v>
      </c>
    </row>
    <row r="1410" spans="1:4" x14ac:dyDescent="0.25">
      <c r="A1410" s="32" t="s">
        <v>767</v>
      </c>
      <c r="D1410" t="s">
        <v>735</v>
      </c>
    </row>
    <row r="1411" spans="1:4" x14ac:dyDescent="0.25">
      <c r="A1411" s="32" t="s">
        <v>767</v>
      </c>
      <c r="D1411" t="s">
        <v>735</v>
      </c>
    </row>
    <row r="1412" spans="1:4" x14ac:dyDescent="0.25">
      <c r="A1412" s="32" t="s">
        <v>767</v>
      </c>
      <c r="D1412" t="s">
        <v>735</v>
      </c>
    </row>
    <row r="1413" spans="1:4" x14ac:dyDescent="0.25">
      <c r="A1413" s="32" t="s">
        <v>767</v>
      </c>
      <c r="D1413" t="s">
        <v>735</v>
      </c>
    </row>
    <row r="1414" spans="1:4" x14ac:dyDescent="0.25">
      <c r="A1414" s="32" t="s">
        <v>767</v>
      </c>
      <c r="D1414" t="s">
        <v>735</v>
      </c>
    </row>
    <row r="1415" spans="1:4" x14ac:dyDescent="0.25">
      <c r="A1415" s="32" t="s">
        <v>767</v>
      </c>
      <c r="D1415" t="s">
        <v>735</v>
      </c>
    </row>
    <row r="1416" spans="1:4" x14ac:dyDescent="0.25">
      <c r="A1416" s="32" t="s">
        <v>767</v>
      </c>
      <c r="D1416" t="s">
        <v>735</v>
      </c>
    </row>
    <row r="1417" spans="1:4" x14ac:dyDescent="0.25">
      <c r="A1417" s="32" t="s">
        <v>767</v>
      </c>
      <c r="D1417" t="s">
        <v>735</v>
      </c>
    </row>
    <row r="1418" spans="1:4" x14ac:dyDescent="0.25">
      <c r="A1418" s="32" t="s">
        <v>767</v>
      </c>
      <c r="D1418" t="s">
        <v>735</v>
      </c>
    </row>
    <row r="1419" spans="1:4" x14ac:dyDescent="0.25">
      <c r="A1419" s="32" t="s">
        <v>767</v>
      </c>
      <c r="D1419" t="s">
        <v>735</v>
      </c>
    </row>
    <row r="1420" spans="1:4" x14ac:dyDescent="0.25">
      <c r="A1420" s="32" t="s">
        <v>767</v>
      </c>
      <c r="D1420" t="s">
        <v>735</v>
      </c>
    </row>
    <row r="1421" spans="1:4" x14ac:dyDescent="0.25">
      <c r="A1421" s="32" t="s">
        <v>767</v>
      </c>
      <c r="D1421" t="s">
        <v>735</v>
      </c>
    </row>
    <row r="1422" spans="1:4" x14ac:dyDescent="0.25">
      <c r="A1422" s="32" t="s">
        <v>767</v>
      </c>
      <c r="D1422" t="s">
        <v>735</v>
      </c>
    </row>
    <row r="1423" spans="1:4" x14ac:dyDescent="0.25">
      <c r="A1423" s="32" t="s">
        <v>767</v>
      </c>
      <c r="D1423" t="s">
        <v>735</v>
      </c>
    </row>
    <row r="1424" spans="1:4" x14ac:dyDescent="0.25">
      <c r="A1424" s="32" t="s">
        <v>767</v>
      </c>
      <c r="D1424" t="s">
        <v>735</v>
      </c>
    </row>
    <row r="1425" spans="1:4" x14ac:dyDescent="0.25">
      <c r="A1425" s="32" t="s">
        <v>767</v>
      </c>
      <c r="D1425" t="s">
        <v>735</v>
      </c>
    </row>
    <row r="1426" spans="1:4" x14ac:dyDescent="0.25">
      <c r="A1426" s="32" t="s">
        <v>767</v>
      </c>
      <c r="D1426" t="s">
        <v>735</v>
      </c>
    </row>
    <row r="1427" spans="1:4" x14ac:dyDescent="0.25">
      <c r="A1427" s="32" t="s">
        <v>767</v>
      </c>
      <c r="D1427" t="s">
        <v>735</v>
      </c>
    </row>
    <row r="1428" spans="1:4" x14ac:dyDescent="0.25">
      <c r="A1428" s="32" t="s">
        <v>767</v>
      </c>
      <c r="D1428" t="s">
        <v>735</v>
      </c>
    </row>
    <row r="1429" spans="1:4" x14ac:dyDescent="0.25">
      <c r="A1429" s="32" t="s">
        <v>767</v>
      </c>
      <c r="D1429" t="s">
        <v>735</v>
      </c>
    </row>
    <row r="1430" spans="1:4" x14ac:dyDescent="0.25">
      <c r="A1430" s="32" t="s">
        <v>767</v>
      </c>
      <c r="D1430" t="s">
        <v>735</v>
      </c>
    </row>
    <row r="1431" spans="1:4" x14ac:dyDescent="0.25">
      <c r="A1431" s="32" t="s">
        <v>767</v>
      </c>
      <c r="D1431" t="s">
        <v>735</v>
      </c>
    </row>
    <row r="1432" spans="1:4" x14ac:dyDescent="0.25">
      <c r="A1432" s="32" t="s">
        <v>767</v>
      </c>
      <c r="D1432" t="s">
        <v>735</v>
      </c>
    </row>
    <row r="1433" spans="1:4" x14ac:dyDescent="0.25">
      <c r="A1433" s="32" t="s">
        <v>767</v>
      </c>
      <c r="D1433" t="s">
        <v>735</v>
      </c>
    </row>
    <row r="1434" spans="1:4" x14ac:dyDescent="0.25">
      <c r="A1434" s="32" t="s">
        <v>767</v>
      </c>
      <c r="D1434" t="s">
        <v>735</v>
      </c>
    </row>
    <row r="1435" spans="1:4" x14ac:dyDescent="0.25">
      <c r="A1435" s="32" t="s">
        <v>767</v>
      </c>
      <c r="D1435" t="s">
        <v>735</v>
      </c>
    </row>
    <row r="1436" spans="1:4" x14ac:dyDescent="0.25">
      <c r="A1436" s="32" t="s">
        <v>767</v>
      </c>
      <c r="D1436" t="s">
        <v>735</v>
      </c>
    </row>
    <row r="1437" spans="1:4" x14ac:dyDescent="0.25">
      <c r="A1437" s="32" t="s">
        <v>767</v>
      </c>
      <c r="D1437" t="s">
        <v>735</v>
      </c>
    </row>
    <row r="1438" spans="1:4" x14ac:dyDescent="0.25">
      <c r="A1438" s="32" t="s">
        <v>767</v>
      </c>
      <c r="D1438" t="s">
        <v>735</v>
      </c>
    </row>
    <row r="1439" spans="1:4" x14ac:dyDescent="0.25">
      <c r="A1439" s="32" t="s">
        <v>767</v>
      </c>
      <c r="D1439" t="s">
        <v>735</v>
      </c>
    </row>
    <row r="1440" spans="1:4" x14ac:dyDescent="0.25">
      <c r="A1440" s="32" t="s">
        <v>767</v>
      </c>
      <c r="D1440" t="s">
        <v>735</v>
      </c>
    </row>
    <row r="1441" spans="1:4" x14ac:dyDescent="0.25">
      <c r="A1441" s="32" t="s">
        <v>767</v>
      </c>
      <c r="D1441" t="s">
        <v>735</v>
      </c>
    </row>
    <row r="1442" spans="1:4" x14ac:dyDescent="0.25">
      <c r="A1442" s="32" t="s">
        <v>767</v>
      </c>
      <c r="D1442" t="s">
        <v>735</v>
      </c>
    </row>
    <row r="1443" spans="1:4" x14ac:dyDescent="0.25">
      <c r="A1443" s="32" t="s">
        <v>767</v>
      </c>
      <c r="D1443" t="s">
        <v>735</v>
      </c>
    </row>
    <row r="1444" spans="1:4" x14ac:dyDescent="0.25">
      <c r="A1444" s="32" t="s">
        <v>767</v>
      </c>
      <c r="D1444" t="s">
        <v>735</v>
      </c>
    </row>
    <row r="1445" spans="1:4" x14ac:dyDescent="0.25">
      <c r="A1445" s="32" t="s">
        <v>767</v>
      </c>
      <c r="D1445" t="s">
        <v>735</v>
      </c>
    </row>
    <row r="1446" spans="1:4" x14ac:dyDescent="0.25">
      <c r="A1446" s="32" t="s">
        <v>767</v>
      </c>
      <c r="D1446" t="s">
        <v>735</v>
      </c>
    </row>
    <row r="1447" spans="1:4" x14ac:dyDescent="0.25">
      <c r="A1447" s="32" t="s">
        <v>767</v>
      </c>
      <c r="D1447" t="s">
        <v>735</v>
      </c>
    </row>
    <row r="1448" spans="1:4" x14ac:dyDescent="0.25">
      <c r="A1448" s="32" t="s">
        <v>767</v>
      </c>
      <c r="D1448" t="s">
        <v>735</v>
      </c>
    </row>
    <row r="1449" spans="1:4" x14ac:dyDescent="0.25">
      <c r="A1449" s="32" t="s">
        <v>767</v>
      </c>
      <c r="D1449" t="s">
        <v>735</v>
      </c>
    </row>
    <row r="1450" spans="1:4" x14ac:dyDescent="0.25">
      <c r="A1450" s="32" t="s">
        <v>767</v>
      </c>
      <c r="D1450" t="s">
        <v>735</v>
      </c>
    </row>
    <row r="1451" spans="1:4" x14ac:dyDescent="0.25">
      <c r="A1451" s="32" t="s">
        <v>767</v>
      </c>
      <c r="D1451" t="s">
        <v>735</v>
      </c>
    </row>
    <row r="1452" spans="1:4" x14ac:dyDescent="0.25">
      <c r="A1452" s="32" t="s">
        <v>767</v>
      </c>
      <c r="D1452" t="s">
        <v>735</v>
      </c>
    </row>
    <row r="1453" spans="1:4" x14ac:dyDescent="0.25">
      <c r="A1453" s="32" t="s">
        <v>767</v>
      </c>
      <c r="D1453" t="s">
        <v>735</v>
      </c>
    </row>
    <row r="1454" spans="1:4" x14ac:dyDescent="0.25">
      <c r="A1454" s="32" t="s">
        <v>767</v>
      </c>
      <c r="D1454" t="s">
        <v>735</v>
      </c>
    </row>
    <row r="1455" spans="1:4" x14ac:dyDescent="0.25">
      <c r="A1455" s="32" t="s">
        <v>767</v>
      </c>
      <c r="D1455" t="s">
        <v>735</v>
      </c>
    </row>
    <row r="1456" spans="1:4" x14ac:dyDescent="0.25">
      <c r="A1456" s="32" t="s">
        <v>767</v>
      </c>
      <c r="D1456" t="s">
        <v>735</v>
      </c>
    </row>
    <row r="1457" spans="1:4" x14ac:dyDescent="0.25">
      <c r="A1457" s="32" t="s">
        <v>767</v>
      </c>
      <c r="D1457" t="s">
        <v>735</v>
      </c>
    </row>
    <row r="1458" spans="1:4" x14ac:dyDescent="0.25">
      <c r="A1458" s="32" t="s">
        <v>767</v>
      </c>
      <c r="D1458" t="s">
        <v>735</v>
      </c>
    </row>
    <row r="1459" spans="1:4" x14ac:dyDescent="0.25">
      <c r="A1459" s="32" t="s">
        <v>767</v>
      </c>
      <c r="D1459" t="s">
        <v>735</v>
      </c>
    </row>
    <row r="1460" spans="1:4" x14ac:dyDescent="0.25">
      <c r="A1460" s="32" t="s">
        <v>767</v>
      </c>
      <c r="D1460" t="s">
        <v>735</v>
      </c>
    </row>
    <row r="1461" spans="1:4" x14ac:dyDescent="0.25">
      <c r="A1461" s="32" t="s">
        <v>767</v>
      </c>
      <c r="D1461" t="s">
        <v>735</v>
      </c>
    </row>
    <row r="1462" spans="1:4" x14ac:dyDescent="0.25">
      <c r="A1462" s="32" t="s">
        <v>767</v>
      </c>
      <c r="D1462" t="s">
        <v>735</v>
      </c>
    </row>
    <row r="1463" spans="1:4" x14ac:dyDescent="0.25">
      <c r="A1463" s="32" t="s">
        <v>767</v>
      </c>
      <c r="D1463" t="s">
        <v>735</v>
      </c>
    </row>
    <row r="1464" spans="1:4" x14ac:dyDescent="0.25">
      <c r="A1464" s="32" t="s">
        <v>767</v>
      </c>
      <c r="D1464" t="s">
        <v>735</v>
      </c>
    </row>
    <row r="1465" spans="1:4" x14ac:dyDescent="0.25">
      <c r="A1465" s="32" t="s">
        <v>767</v>
      </c>
      <c r="D1465" t="s">
        <v>735</v>
      </c>
    </row>
    <row r="1466" spans="1:4" x14ac:dyDescent="0.25">
      <c r="A1466" s="32" t="s">
        <v>767</v>
      </c>
      <c r="D1466" t="s">
        <v>735</v>
      </c>
    </row>
    <row r="1467" spans="1:4" x14ac:dyDescent="0.25">
      <c r="A1467" s="32" t="s">
        <v>767</v>
      </c>
      <c r="D1467" t="s">
        <v>735</v>
      </c>
    </row>
    <row r="1468" spans="1:4" x14ac:dyDescent="0.25">
      <c r="A1468" s="32" t="s">
        <v>767</v>
      </c>
      <c r="D1468" t="s">
        <v>735</v>
      </c>
    </row>
    <row r="1469" spans="1:4" x14ac:dyDescent="0.25">
      <c r="A1469" s="32" t="s">
        <v>767</v>
      </c>
      <c r="D1469" t="s">
        <v>735</v>
      </c>
    </row>
    <row r="1470" spans="1:4" x14ac:dyDescent="0.25">
      <c r="A1470" s="32" t="s">
        <v>767</v>
      </c>
      <c r="D1470" t="s">
        <v>735</v>
      </c>
    </row>
    <row r="1471" spans="1:4" x14ac:dyDescent="0.25">
      <c r="A1471" s="32" t="s">
        <v>767</v>
      </c>
      <c r="D1471" t="s">
        <v>735</v>
      </c>
    </row>
    <row r="1472" spans="1:4" x14ac:dyDescent="0.25">
      <c r="A1472" s="32" t="s">
        <v>767</v>
      </c>
      <c r="D1472" t="s">
        <v>735</v>
      </c>
    </row>
    <row r="1473" spans="1:4" x14ac:dyDescent="0.25">
      <c r="A1473" s="32" t="s">
        <v>767</v>
      </c>
      <c r="D1473" t="s">
        <v>735</v>
      </c>
    </row>
    <row r="1474" spans="1:4" x14ac:dyDescent="0.25">
      <c r="A1474" s="32" t="s">
        <v>767</v>
      </c>
      <c r="D1474" t="s">
        <v>735</v>
      </c>
    </row>
    <row r="1475" spans="1:4" x14ac:dyDescent="0.25">
      <c r="A1475" s="32" t="s">
        <v>767</v>
      </c>
      <c r="D1475" t="s">
        <v>735</v>
      </c>
    </row>
    <row r="1476" spans="1:4" x14ac:dyDescent="0.25">
      <c r="A1476" s="32" t="s">
        <v>767</v>
      </c>
      <c r="D1476" t="s">
        <v>735</v>
      </c>
    </row>
    <row r="1477" spans="1:4" x14ac:dyDescent="0.25">
      <c r="A1477" s="32" t="s">
        <v>767</v>
      </c>
      <c r="D1477" t="s">
        <v>735</v>
      </c>
    </row>
    <row r="1478" spans="1:4" x14ac:dyDescent="0.25">
      <c r="A1478" s="32" t="s">
        <v>767</v>
      </c>
      <c r="D1478" t="s">
        <v>735</v>
      </c>
    </row>
    <row r="1479" spans="1:4" x14ac:dyDescent="0.25">
      <c r="A1479" s="32" t="s">
        <v>767</v>
      </c>
      <c r="D1479" t="s">
        <v>735</v>
      </c>
    </row>
    <row r="1480" spans="1:4" x14ac:dyDescent="0.25">
      <c r="A1480" s="32" t="s">
        <v>767</v>
      </c>
      <c r="D1480" t="s">
        <v>735</v>
      </c>
    </row>
    <row r="1481" spans="1:4" x14ac:dyDescent="0.25">
      <c r="A1481" s="32" t="s">
        <v>767</v>
      </c>
      <c r="D1481" t="s">
        <v>735</v>
      </c>
    </row>
    <row r="1482" spans="1:4" x14ac:dyDescent="0.25">
      <c r="A1482" s="32" t="s">
        <v>767</v>
      </c>
      <c r="D1482" t="s">
        <v>735</v>
      </c>
    </row>
    <row r="1483" spans="1:4" x14ac:dyDescent="0.25">
      <c r="A1483" s="32" t="s">
        <v>767</v>
      </c>
      <c r="D1483" t="s">
        <v>735</v>
      </c>
    </row>
    <row r="1484" spans="1:4" x14ac:dyDescent="0.25">
      <c r="A1484" s="32" t="s">
        <v>767</v>
      </c>
      <c r="D1484" t="s">
        <v>735</v>
      </c>
    </row>
    <row r="1485" spans="1:4" x14ac:dyDescent="0.25">
      <c r="A1485" s="32" t="s">
        <v>767</v>
      </c>
      <c r="D1485" t="s">
        <v>735</v>
      </c>
    </row>
    <row r="1486" spans="1:4" x14ac:dyDescent="0.25">
      <c r="A1486" s="32" t="s">
        <v>767</v>
      </c>
      <c r="D1486" t="s">
        <v>735</v>
      </c>
    </row>
    <row r="1487" spans="1:4" x14ac:dyDescent="0.25">
      <c r="A1487" s="32" t="s">
        <v>767</v>
      </c>
      <c r="D1487" t="s">
        <v>735</v>
      </c>
    </row>
    <row r="1488" spans="1:4" x14ac:dyDescent="0.25">
      <c r="A1488" s="32" t="s">
        <v>767</v>
      </c>
      <c r="D1488" t="s">
        <v>735</v>
      </c>
    </row>
    <row r="1489" spans="1:4" x14ac:dyDescent="0.25">
      <c r="A1489" s="32" t="s">
        <v>767</v>
      </c>
      <c r="D1489" t="s">
        <v>735</v>
      </c>
    </row>
    <row r="1490" spans="1:4" x14ac:dyDescent="0.25">
      <c r="A1490" s="32" t="s">
        <v>767</v>
      </c>
      <c r="D1490" t="s">
        <v>735</v>
      </c>
    </row>
    <row r="1491" spans="1:4" x14ac:dyDescent="0.25">
      <c r="A1491" s="32" t="s">
        <v>767</v>
      </c>
      <c r="D1491" t="s">
        <v>735</v>
      </c>
    </row>
    <row r="1492" spans="1:4" x14ac:dyDescent="0.25">
      <c r="A1492" s="32" t="s">
        <v>767</v>
      </c>
      <c r="D1492" t="s">
        <v>735</v>
      </c>
    </row>
    <row r="1493" spans="1:4" x14ac:dyDescent="0.25">
      <c r="A1493" s="32" t="s">
        <v>767</v>
      </c>
      <c r="D1493" t="s">
        <v>735</v>
      </c>
    </row>
    <row r="1494" spans="1:4" x14ac:dyDescent="0.25">
      <c r="A1494" s="32" t="s">
        <v>767</v>
      </c>
      <c r="D1494" t="s">
        <v>735</v>
      </c>
    </row>
    <row r="1495" spans="1:4" x14ac:dyDescent="0.25">
      <c r="A1495" s="32" t="s">
        <v>767</v>
      </c>
      <c r="D1495" t="s">
        <v>735</v>
      </c>
    </row>
    <row r="1496" spans="1:4" x14ac:dyDescent="0.25">
      <c r="A1496" s="32" t="s">
        <v>767</v>
      </c>
      <c r="D1496" t="s">
        <v>735</v>
      </c>
    </row>
    <row r="1497" spans="1:4" x14ac:dyDescent="0.25">
      <c r="A1497" s="32" t="s">
        <v>767</v>
      </c>
      <c r="D1497" t="s">
        <v>735</v>
      </c>
    </row>
    <row r="1498" spans="1:4" x14ac:dyDescent="0.25">
      <c r="A1498" s="32" t="s">
        <v>767</v>
      </c>
      <c r="D1498" t="s">
        <v>735</v>
      </c>
    </row>
    <row r="1499" spans="1:4" x14ac:dyDescent="0.25">
      <c r="A1499" s="32" t="s">
        <v>767</v>
      </c>
      <c r="D1499" t="s">
        <v>735</v>
      </c>
    </row>
    <row r="1500" spans="1:4" x14ac:dyDescent="0.25">
      <c r="A1500" s="32" t="s">
        <v>767</v>
      </c>
      <c r="D1500" t="s">
        <v>735</v>
      </c>
    </row>
    <row r="1501" spans="1:4" x14ac:dyDescent="0.25">
      <c r="A1501" s="32" t="s">
        <v>767</v>
      </c>
      <c r="D1501" t="s">
        <v>735</v>
      </c>
    </row>
    <row r="1502" spans="1:4" x14ac:dyDescent="0.25">
      <c r="A1502" s="32" t="s">
        <v>767</v>
      </c>
      <c r="D1502" t="s">
        <v>735</v>
      </c>
    </row>
    <row r="1503" spans="1:4" x14ac:dyDescent="0.25">
      <c r="A1503" s="32" t="s">
        <v>767</v>
      </c>
      <c r="D1503" t="s">
        <v>735</v>
      </c>
    </row>
    <row r="1504" spans="1:4" x14ac:dyDescent="0.25">
      <c r="A1504" s="32" t="s">
        <v>767</v>
      </c>
      <c r="D1504" t="s">
        <v>735</v>
      </c>
    </row>
    <row r="1505" spans="1:4" x14ac:dyDescent="0.25">
      <c r="A1505" s="32" t="s">
        <v>767</v>
      </c>
      <c r="D1505" t="s">
        <v>735</v>
      </c>
    </row>
    <row r="1506" spans="1:4" x14ac:dyDescent="0.25">
      <c r="A1506" s="32" t="s">
        <v>767</v>
      </c>
      <c r="D1506" t="s">
        <v>735</v>
      </c>
    </row>
    <row r="1507" spans="1:4" x14ac:dyDescent="0.25">
      <c r="A1507" s="32" t="s">
        <v>767</v>
      </c>
      <c r="D1507" t="s">
        <v>735</v>
      </c>
    </row>
    <row r="1508" spans="1:4" x14ac:dyDescent="0.25">
      <c r="A1508" s="32" t="s">
        <v>767</v>
      </c>
      <c r="D1508" t="s">
        <v>735</v>
      </c>
    </row>
    <row r="1509" spans="1:4" x14ac:dyDescent="0.25">
      <c r="A1509" s="32" t="s">
        <v>767</v>
      </c>
      <c r="D1509" t="s">
        <v>735</v>
      </c>
    </row>
    <row r="1510" spans="1:4" x14ac:dyDescent="0.25">
      <c r="A1510" s="32" t="s">
        <v>767</v>
      </c>
      <c r="D1510" t="s">
        <v>735</v>
      </c>
    </row>
    <row r="1511" spans="1:4" x14ac:dyDescent="0.25">
      <c r="A1511" s="32" t="s">
        <v>767</v>
      </c>
      <c r="D1511" t="s">
        <v>735</v>
      </c>
    </row>
    <row r="1512" spans="1:4" x14ac:dyDescent="0.25">
      <c r="A1512" s="32" t="s">
        <v>767</v>
      </c>
      <c r="D1512" t="s">
        <v>735</v>
      </c>
    </row>
    <row r="1513" spans="1:4" x14ac:dyDescent="0.25">
      <c r="A1513" s="32" t="s">
        <v>767</v>
      </c>
      <c r="D1513" t="s">
        <v>735</v>
      </c>
    </row>
    <row r="1514" spans="1:4" x14ac:dyDescent="0.25">
      <c r="A1514" s="32" t="s">
        <v>767</v>
      </c>
      <c r="D1514" t="s">
        <v>735</v>
      </c>
    </row>
    <row r="1515" spans="1:4" x14ac:dyDescent="0.25">
      <c r="A1515" s="32" t="s">
        <v>767</v>
      </c>
      <c r="D1515" t="s">
        <v>735</v>
      </c>
    </row>
    <row r="1516" spans="1:4" x14ac:dyDescent="0.25">
      <c r="A1516" s="32" t="s">
        <v>767</v>
      </c>
      <c r="D1516" t="s">
        <v>735</v>
      </c>
    </row>
    <row r="1517" spans="1:4" x14ac:dyDescent="0.25">
      <c r="A1517" s="32" t="s">
        <v>767</v>
      </c>
      <c r="D1517" t="s">
        <v>735</v>
      </c>
    </row>
    <row r="1518" spans="1:4" x14ac:dyDescent="0.25">
      <c r="A1518" s="32" t="s">
        <v>767</v>
      </c>
      <c r="D1518" t="s">
        <v>735</v>
      </c>
    </row>
    <row r="1519" spans="1:4" x14ac:dyDescent="0.25">
      <c r="A1519" s="32" t="s">
        <v>767</v>
      </c>
      <c r="D1519" t="s">
        <v>735</v>
      </c>
    </row>
    <row r="1520" spans="1:4" x14ac:dyDescent="0.25">
      <c r="A1520" s="32" t="s">
        <v>767</v>
      </c>
      <c r="D1520" t="s">
        <v>735</v>
      </c>
    </row>
    <row r="1521" spans="1:4" x14ac:dyDescent="0.25">
      <c r="A1521" s="32" t="s">
        <v>767</v>
      </c>
      <c r="D1521" t="s">
        <v>735</v>
      </c>
    </row>
    <row r="1522" spans="1:4" x14ac:dyDescent="0.25">
      <c r="A1522" s="32" t="s">
        <v>767</v>
      </c>
      <c r="D1522" t="s">
        <v>735</v>
      </c>
    </row>
    <row r="1523" spans="1:4" x14ac:dyDescent="0.25">
      <c r="A1523" s="32" t="s">
        <v>767</v>
      </c>
      <c r="D1523" t="s">
        <v>735</v>
      </c>
    </row>
    <row r="1524" spans="1:4" x14ac:dyDescent="0.25">
      <c r="A1524" s="32" t="s">
        <v>767</v>
      </c>
      <c r="D1524" t="s">
        <v>735</v>
      </c>
    </row>
    <row r="1525" spans="1:4" x14ac:dyDescent="0.25">
      <c r="A1525" s="32" t="s">
        <v>767</v>
      </c>
      <c r="D1525" t="s">
        <v>735</v>
      </c>
    </row>
    <row r="1526" spans="1:4" x14ac:dyDescent="0.25">
      <c r="A1526" s="32" t="s">
        <v>767</v>
      </c>
      <c r="D1526" t="s">
        <v>735</v>
      </c>
    </row>
    <row r="1527" spans="1:4" x14ac:dyDescent="0.25">
      <c r="A1527" s="32" t="s">
        <v>767</v>
      </c>
      <c r="D1527" t="s">
        <v>735</v>
      </c>
    </row>
    <row r="1528" spans="1:4" x14ac:dyDescent="0.25">
      <c r="A1528" s="32" t="s">
        <v>767</v>
      </c>
      <c r="D1528" t="s">
        <v>735</v>
      </c>
    </row>
    <row r="1529" spans="1:4" x14ac:dyDescent="0.25">
      <c r="A1529" s="32" t="s">
        <v>767</v>
      </c>
      <c r="D1529" t="s">
        <v>735</v>
      </c>
    </row>
    <row r="1530" spans="1:4" x14ac:dyDescent="0.25">
      <c r="A1530" s="32" t="s">
        <v>767</v>
      </c>
      <c r="D1530" t="s">
        <v>735</v>
      </c>
    </row>
    <row r="1531" spans="1:4" x14ac:dyDescent="0.25">
      <c r="A1531" s="32" t="s">
        <v>767</v>
      </c>
      <c r="D1531" t="s">
        <v>735</v>
      </c>
    </row>
    <row r="1532" spans="1:4" x14ac:dyDescent="0.25">
      <c r="A1532" s="32" t="s">
        <v>767</v>
      </c>
      <c r="D1532" t="s">
        <v>735</v>
      </c>
    </row>
    <row r="1533" spans="1:4" x14ac:dyDescent="0.25">
      <c r="A1533" s="32" t="s">
        <v>767</v>
      </c>
      <c r="D1533" t="s">
        <v>735</v>
      </c>
    </row>
    <row r="1534" spans="1:4" x14ac:dyDescent="0.25">
      <c r="A1534" s="32" t="s">
        <v>767</v>
      </c>
      <c r="D1534" t="s">
        <v>735</v>
      </c>
    </row>
    <row r="1535" spans="1:4" x14ac:dyDescent="0.25">
      <c r="A1535" s="32" t="s">
        <v>767</v>
      </c>
      <c r="D1535" t="s">
        <v>735</v>
      </c>
    </row>
    <row r="1536" spans="1:4" x14ac:dyDescent="0.25">
      <c r="A1536" s="32" t="s">
        <v>767</v>
      </c>
      <c r="D1536" t="s">
        <v>735</v>
      </c>
    </row>
    <row r="1537" spans="1:4" x14ac:dyDescent="0.25">
      <c r="A1537" s="32" t="s">
        <v>767</v>
      </c>
      <c r="D1537" t="s">
        <v>735</v>
      </c>
    </row>
    <row r="1538" spans="1:4" x14ac:dyDescent="0.25">
      <c r="A1538" s="32" t="s">
        <v>767</v>
      </c>
      <c r="D1538" t="s">
        <v>735</v>
      </c>
    </row>
    <row r="1539" spans="1:4" x14ac:dyDescent="0.25">
      <c r="A1539" s="32" t="s">
        <v>767</v>
      </c>
      <c r="D1539" t="s">
        <v>735</v>
      </c>
    </row>
    <row r="1540" spans="1:4" x14ac:dyDescent="0.25">
      <c r="A1540" s="32" t="s">
        <v>767</v>
      </c>
      <c r="D1540" t="s">
        <v>735</v>
      </c>
    </row>
    <row r="1541" spans="1:4" x14ac:dyDescent="0.25">
      <c r="A1541" s="32" t="s">
        <v>767</v>
      </c>
      <c r="D1541" t="s">
        <v>735</v>
      </c>
    </row>
    <row r="1542" spans="1:4" x14ac:dyDescent="0.25">
      <c r="A1542" s="32" t="s">
        <v>767</v>
      </c>
      <c r="D1542" t="s">
        <v>735</v>
      </c>
    </row>
    <row r="1543" spans="1:4" x14ac:dyDescent="0.25">
      <c r="A1543" s="32" t="s">
        <v>767</v>
      </c>
      <c r="D1543" t="s">
        <v>735</v>
      </c>
    </row>
    <row r="1544" spans="1:4" x14ac:dyDescent="0.25">
      <c r="A1544" s="32" t="s">
        <v>767</v>
      </c>
      <c r="D1544" t="s">
        <v>735</v>
      </c>
    </row>
    <row r="1545" spans="1:4" x14ac:dyDescent="0.25">
      <c r="A1545" s="32" t="s">
        <v>767</v>
      </c>
      <c r="D1545" t="s">
        <v>735</v>
      </c>
    </row>
    <row r="1546" spans="1:4" x14ac:dyDescent="0.25">
      <c r="A1546" s="32" t="s">
        <v>767</v>
      </c>
      <c r="D1546" t="s">
        <v>735</v>
      </c>
    </row>
    <row r="1547" spans="1:4" x14ac:dyDescent="0.25">
      <c r="A1547" s="32" t="s">
        <v>767</v>
      </c>
      <c r="D1547" t="s">
        <v>735</v>
      </c>
    </row>
    <row r="1548" spans="1:4" x14ac:dyDescent="0.25">
      <c r="A1548" s="32" t="s">
        <v>767</v>
      </c>
      <c r="D1548" t="s">
        <v>735</v>
      </c>
    </row>
    <row r="1549" spans="1:4" x14ac:dyDescent="0.25">
      <c r="A1549" s="32" t="s">
        <v>767</v>
      </c>
      <c r="D1549" t="s">
        <v>735</v>
      </c>
    </row>
    <row r="1550" spans="1:4" x14ac:dyDescent="0.25">
      <c r="A1550" s="32" t="s">
        <v>767</v>
      </c>
      <c r="D1550" t="s">
        <v>735</v>
      </c>
    </row>
    <row r="1551" spans="1:4" x14ac:dyDescent="0.25">
      <c r="A1551" s="32" t="s">
        <v>767</v>
      </c>
      <c r="D1551" t="s">
        <v>735</v>
      </c>
    </row>
    <row r="1552" spans="1:4" x14ac:dyDescent="0.25">
      <c r="A1552" s="32" t="s">
        <v>767</v>
      </c>
      <c r="D1552" t="s">
        <v>735</v>
      </c>
    </row>
    <row r="1553" spans="1:5" x14ac:dyDescent="0.25">
      <c r="A1553" s="32" t="s">
        <v>767</v>
      </c>
      <c r="D1553" t="s">
        <v>735</v>
      </c>
    </row>
    <row r="1554" spans="1:5" x14ac:dyDescent="0.25">
      <c r="A1554" s="32" t="s">
        <v>767</v>
      </c>
      <c r="D1554" t="s">
        <v>735</v>
      </c>
    </row>
    <row r="1555" spans="1:5" x14ac:dyDescent="0.25">
      <c r="A1555" s="32" t="s">
        <v>767</v>
      </c>
      <c r="D1555" t="s">
        <v>735</v>
      </c>
    </row>
    <row r="1556" spans="1:5" x14ac:dyDescent="0.25">
      <c r="A1556" s="32" t="s">
        <v>767</v>
      </c>
      <c r="D1556" t="s">
        <v>735</v>
      </c>
    </row>
    <row r="1557" spans="1:5" x14ac:dyDescent="0.25">
      <c r="A1557" s="32" t="s">
        <v>767</v>
      </c>
      <c r="D1557" t="s">
        <v>735</v>
      </c>
    </row>
    <row r="1558" spans="1:5" x14ac:dyDescent="0.25">
      <c r="A1558" s="32" t="s">
        <v>767</v>
      </c>
      <c r="D1558" t="s">
        <v>735</v>
      </c>
    </row>
    <row r="1559" spans="1:5" x14ac:dyDescent="0.25">
      <c r="A1559" s="32" t="s">
        <v>767</v>
      </c>
      <c r="D1559" t="s">
        <v>735</v>
      </c>
    </row>
    <row r="1560" spans="1:5" x14ac:dyDescent="0.25">
      <c r="A1560" s="32" t="s">
        <v>767</v>
      </c>
      <c r="D1560" t="s">
        <v>735</v>
      </c>
    </row>
    <row r="1561" spans="1:5" x14ac:dyDescent="0.25">
      <c r="A1561" s="32" t="s">
        <v>767</v>
      </c>
      <c r="D1561" t="s">
        <v>735</v>
      </c>
    </row>
    <row r="1562" spans="1:5" x14ac:dyDescent="0.25">
      <c r="A1562" s="32" t="s">
        <v>767</v>
      </c>
      <c r="B1562" s="7">
        <v>1997</v>
      </c>
      <c r="C1562" s="51" t="s">
        <v>704</v>
      </c>
      <c r="D1562" t="s">
        <v>717</v>
      </c>
      <c r="E1562" s="2">
        <v>6.1349999999999998</v>
      </c>
    </row>
    <row r="1563" spans="1:5" x14ac:dyDescent="0.25">
      <c r="A1563" s="32" t="s">
        <v>767</v>
      </c>
      <c r="B1563" s="7">
        <v>1997</v>
      </c>
      <c r="C1563" s="51" t="s">
        <v>705</v>
      </c>
      <c r="D1563" t="s">
        <v>717</v>
      </c>
      <c r="E1563" s="2">
        <v>7.39</v>
      </c>
    </row>
    <row r="1564" spans="1:5" x14ac:dyDescent="0.25">
      <c r="A1564" s="32" t="s">
        <v>767</v>
      </c>
      <c r="B1564" s="7">
        <v>1997</v>
      </c>
      <c r="C1564" s="51" t="s">
        <v>706</v>
      </c>
      <c r="D1564" t="s">
        <v>717</v>
      </c>
      <c r="E1564" s="2">
        <v>6.3929999999999998</v>
      </c>
    </row>
    <row r="1565" spans="1:5" x14ac:dyDescent="0.25">
      <c r="A1565" s="32" t="s">
        <v>767</v>
      </c>
      <c r="B1565" s="7">
        <v>1998</v>
      </c>
      <c r="C1565" s="51" t="s">
        <v>713</v>
      </c>
      <c r="D1565" t="s">
        <v>717</v>
      </c>
      <c r="E1565" s="2">
        <v>7.6479999999999997</v>
      </c>
    </row>
    <row r="1566" spans="1:5" x14ac:dyDescent="0.25">
      <c r="A1566" s="32" t="s">
        <v>767</v>
      </c>
      <c r="B1566" s="7">
        <v>1998</v>
      </c>
      <c r="C1566" s="51" t="s">
        <v>707</v>
      </c>
      <c r="D1566" t="s">
        <v>717</v>
      </c>
      <c r="E1566" s="2">
        <v>7.28</v>
      </c>
    </row>
    <row r="1567" spans="1:5" x14ac:dyDescent="0.25">
      <c r="A1567" s="32" t="s">
        <v>767</v>
      </c>
      <c r="B1567" s="7">
        <v>1998</v>
      </c>
      <c r="C1567" s="51" t="s">
        <v>708</v>
      </c>
      <c r="D1567" t="s">
        <v>717</v>
      </c>
      <c r="E1567" s="2">
        <v>7.7190000000000003</v>
      </c>
    </row>
    <row r="1568" spans="1:5" x14ac:dyDescent="0.25">
      <c r="A1568" s="32" t="s">
        <v>767</v>
      </c>
      <c r="B1568" s="7">
        <v>1998</v>
      </c>
      <c r="C1568" s="51" t="s">
        <v>699</v>
      </c>
      <c r="D1568" t="s">
        <v>717</v>
      </c>
      <c r="E1568" s="2">
        <v>6.4050000000000002</v>
      </c>
    </row>
    <row r="1569" spans="1:5" x14ac:dyDescent="0.25">
      <c r="A1569" s="32" t="s">
        <v>767</v>
      </c>
      <c r="B1569" s="7">
        <v>1998</v>
      </c>
      <c r="C1569" s="51" t="s">
        <v>709</v>
      </c>
      <c r="D1569" t="s">
        <v>717</v>
      </c>
      <c r="E1569" s="2">
        <v>6.7359999999999998</v>
      </c>
    </row>
    <row r="1570" spans="1:5" x14ac:dyDescent="0.25">
      <c r="A1570" s="32" t="s">
        <v>767</v>
      </c>
      <c r="B1570" s="7">
        <v>1998</v>
      </c>
      <c r="C1570" s="51" t="s">
        <v>712</v>
      </c>
      <c r="D1570" t="s">
        <v>717</v>
      </c>
      <c r="E1570" s="2">
        <v>6.0380000000000003</v>
      </c>
    </row>
    <row r="1571" spans="1:5" x14ac:dyDescent="0.25">
      <c r="A1571" s="32" t="s">
        <v>767</v>
      </c>
      <c r="B1571" s="7">
        <v>1998</v>
      </c>
      <c r="C1571" s="51" t="s">
        <v>710</v>
      </c>
      <c r="D1571" t="s">
        <v>717</v>
      </c>
      <c r="E1571" s="2">
        <v>6.0209999999999999</v>
      </c>
    </row>
    <row r="1572" spans="1:5" x14ac:dyDescent="0.25">
      <c r="A1572" s="32" t="s">
        <v>767</v>
      </c>
      <c r="B1572" s="7">
        <v>1998</v>
      </c>
      <c r="C1572" s="51" t="s">
        <v>702</v>
      </c>
      <c r="D1572" t="s">
        <v>717</v>
      </c>
      <c r="E1572" s="2">
        <v>6.21</v>
      </c>
    </row>
    <row r="1573" spans="1:5" x14ac:dyDescent="0.25">
      <c r="A1573" s="32" t="s">
        <v>767</v>
      </c>
      <c r="B1573" s="7">
        <v>1998</v>
      </c>
      <c r="C1573" s="51" t="s">
        <v>703</v>
      </c>
      <c r="D1573" t="s">
        <v>717</v>
      </c>
      <c r="E1573" s="2">
        <v>6.54</v>
      </c>
    </row>
    <row r="1574" spans="1:5" x14ac:dyDescent="0.25">
      <c r="A1574" s="32" t="s">
        <v>767</v>
      </c>
      <c r="B1574" s="7">
        <v>1998</v>
      </c>
      <c r="C1574" s="51" t="s">
        <v>704</v>
      </c>
      <c r="D1574" t="s">
        <v>717</v>
      </c>
      <c r="E1574" s="2">
        <v>6.556</v>
      </c>
    </row>
    <row r="1575" spans="1:5" x14ac:dyDescent="0.25">
      <c r="A1575" s="32" t="s">
        <v>767</v>
      </c>
      <c r="B1575" s="7">
        <v>1998</v>
      </c>
      <c r="C1575" s="51" t="s">
        <v>705</v>
      </c>
      <c r="D1575" t="s">
        <v>717</v>
      </c>
      <c r="E1575" s="2">
        <v>6.3330000000000002</v>
      </c>
    </row>
    <row r="1576" spans="1:5" x14ac:dyDescent="0.25">
      <c r="A1576" s="32" t="s">
        <v>767</v>
      </c>
      <c r="B1576" s="7">
        <v>1998</v>
      </c>
      <c r="C1576" s="51" t="s">
        <v>706</v>
      </c>
      <c r="D1576" t="s">
        <v>717</v>
      </c>
      <c r="E1576" s="2">
        <v>6.2389999999999999</v>
      </c>
    </row>
    <row r="1577" spans="1:5" x14ac:dyDescent="0.25">
      <c r="A1577" s="32" t="s">
        <v>767</v>
      </c>
      <c r="B1577" s="7">
        <v>1999</v>
      </c>
      <c r="C1577" s="51" t="s">
        <v>713</v>
      </c>
      <c r="D1577" t="s">
        <v>717</v>
      </c>
      <c r="E1577" s="2">
        <v>7.6120000000000001</v>
      </c>
    </row>
    <row r="1578" spans="1:5" x14ac:dyDescent="0.25">
      <c r="A1578" s="32" t="s">
        <v>767</v>
      </c>
      <c r="B1578" s="7">
        <v>1999</v>
      </c>
      <c r="C1578" s="51" t="s">
        <v>707</v>
      </c>
      <c r="D1578" t="s">
        <v>717</v>
      </c>
      <c r="E1578" s="2">
        <v>5.9569999999999999</v>
      </c>
    </row>
    <row r="1579" spans="1:5" x14ac:dyDescent="0.25">
      <c r="A1579" s="32" t="s">
        <v>767</v>
      </c>
      <c r="B1579" s="7">
        <v>1999</v>
      </c>
      <c r="C1579" s="51" t="s">
        <v>708</v>
      </c>
      <c r="D1579" t="s">
        <v>717</v>
      </c>
      <c r="E1579" s="2">
        <v>7.8250000000000002</v>
      </c>
    </row>
    <row r="1580" spans="1:5" x14ac:dyDescent="0.25">
      <c r="A1580" s="32" t="s">
        <v>767</v>
      </c>
      <c r="B1580" s="7">
        <v>1999</v>
      </c>
      <c r="C1580" s="51" t="s">
        <v>699</v>
      </c>
      <c r="D1580" t="s">
        <v>717</v>
      </c>
      <c r="E1580" s="2">
        <v>6.2030000000000003</v>
      </c>
    </row>
    <row r="1581" spans="1:5" x14ac:dyDescent="0.25">
      <c r="A1581" s="32" t="s">
        <v>767</v>
      </c>
      <c r="B1581" s="7">
        <v>1999</v>
      </c>
      <c r="C1581" s="51" t="s">
        <v>709</v>
      </c>
      <c r="D1581" t="s">
        <v>717</v>
      </c>
      <c r="E1581" s="2">
        <v>6.2149999999999999</v>
      </c>
    </row>
    <row r="1582" spans="1:5" x14ac:dyDescent="0.25">
      <c r="A1582" s="32" t="s">
        <v>767</v>
      </c>
      <c r="B1582" s="7">
        <v>1999</v>
      </c>
      <c r="C1582" s="51" t="s">
        <v>712</v>
      </c>
      <c r="D1582" t="s">
        <v>717</v>
      </c>
      <c r="E1582" s="2">
        <v>6.1390000000000002</v>
      </c>
    </row>
    <row r="1583" spans="1:5" x14ac:dyDescent="0.25">
      <c r="A1583" s="32" t="s">
        <v>767</v>
      </c>
      <c r="B1583" s="7">
        <v>1999</v>
      </c>
      <c r="C1583" s="51" t="s">
        <v>710</v>
      </c>
      <c r="D1583" t="s">
        <v>717</v>
      </c>
      <c r="E1583" s="2">
        <v>6.1260000000000003</v>
      </c>
    </row>
    <row r="1584" spans="1:5" x14ac:dyDescent="0.25">
      <c r="A1584" s="32" t="s">
        <v>767</v>
      </c>
      <c r="B1584" s="7">
        <v>1999</v>
      </c>
      <c r="C1584" s="51" t="s">
        <v>702</v>
      </c>
      <c r="D1584" t="s">
        <v>717</v>
      </c>
      <c r="E1584" s="2">
        <v>6.3840000000000003</v>
      </c>
    </row>
    <row r="1585" spans="1:5" x14ac:dyDescent="0.25">
      <c r="A1585" s="32" t="s">
        <v>767</v>
      </c>
      <c r="B1585" s="7">
        <v>1999</v>
      </c>
      <c r="C1585" s="51" t="s">
        <v>703</v>
      </c>
      <c r="D1585" t="s">
        <v>717</v>
      </c>
      <c r="E1585" s="2">
        <v>7.4619999999999997</v>
      </c>
    </row>
    <row r="1586" spans="1:5" x14ac:dyDescent="0.25">
      <c r="A1586" s="32" t="s">
        <v>767</v>
      </c>
      <c r="B1586" s="7">
        <v>1999</v>
      </c>
      <c r="C1586" s="51" t="s">
        <v>704</v>
      </c>
      <c r="D1586" t="s">
        <v>717</v>
      </c>
      <c r="E1586" s="2">
        <v>6.984</v>
      </c>
    </row>
    <row r="1587" spans="1:5" x14ac:dyDescent="0.25">
      <c r="A1587" s="32" t="s">
        <v>767</v>
      </c>
      <c r="B1587" s="7">
        <v>1999</v>
      </c>
      <c r="C1587" s="51" t="s">
        <v>705</v>
      </c>
      <c r="D1587" t="s">
        <v>717</v>
      </c>
      <c r="E1587" s="2">
        <v>5.875</v>
      </c>
    </row>
    <row r="1588" spans="1:5" x14ac:dyDescent="0.25">
      <c r="A1588" s="32" t="s">
        <v>767</v>
      </c>
      <c r="B1588" s="7">
        <v>1999</v>
      </c>
      <c r="C1588" s="51" t="s">
        <v>706</v>
      </c>
      <c r="D1588" t="s">
        <v>717</v>
      </c>
      <c r="E1588" s="2">
        <v>5.9980000000000002</v>
      </c>
    </row>
    <row r="1589" spans="1:5" x14ac:dyDescent="0.25">
      <c r="A1589" s="32" t="s">
        <v>767</v>
      </c>
      <c r="B1589" s="7">
        <v>2000</v>
      </c>
      <c r="C1589" s="51" t="s">
        <v>713</v>
      </c>
      <c r="D1589" t="s">
        <v>717</v>
      </c>
      <c r="E1589" s="2">
        <v>5.9359999999999999</v>
      </c>
    </row>
    <row r="1590" spans="1:5" x14ac:dyDescent="0.25">
      <c r="A1590" s="32" t="s">
        <v>767</v>
      </c>
      <c r="B1590" s="7">
        <v>2000</v>
      </c>
      <c r="C1590" s="51" t="s">
        <v>707</v>
      </c>
      <c r="D1590" t="s">
        <v>717</v>
      </c>
      <c r="E1590" s="2">
        <v>8.4550000000000001</v>
      </c>
    </row>
    <row r="1591" spans="1:5" x14ac:dyDescent="0.25">
      <c r="A1591" s="32" t="s">
        <v>767</v>
      </c>
      <c r="B1591" s="7">
        <v>2000</v>
      </c>
      <c r="C1591" s="51" t="s">
        <v>708</v>
      </c>
      <c r="D1591" t="s">
        <v>717</v>
      </c>
      <c r="E1591" s="2">
        <v>8.2889999999999997</v>
      </c>
    </row>
    <row r="1592" spans="1:5" x14ac:dyDescent="0.25">
      <c r="A1592" s="32" t="s">
        <v>767</v>
      </c>
      <c r="B1592" s="7">
        <v>2000</v>
      </c>
      <c r="C1592" s="51" t="s">
        <v>699</v>
      </c>
      <c r="D1592" t="s">
        <v>717</v>
      </c>
      <c r="E1592" s="2">
        <v>7.8689999999999998</v>
      </c>
    </row>
    <row r="1593" spans="1:5" x14ac:dyDescent="0.25">
      <c r="A1593" s="32" t="s">
        <v>767</v>
      </c>
      <c r="B1593" s="7">
        <v>2000</v>
      </c>
      <c r="C1593" s="51" t="s">
        <v>709</v>
      </c>
      <c r="D1593" t="s">
        <v>717</v>
      </c>
      <c r="E1593" s="2">
        <v>6.8769999999999998</v>
      </c>
    </row>
    <row r="1594" spans="1:5" x14ac:dyDescent="0.25">
      <c r="A1594" s="32" t="s">
        <v>767</v>
      </c>
      <c r="B1594" s="7">
        <v>2000</v>
      </c>
      <c r="C1594" s="51" t="s">
        <v>712</v>
      </c>
      <c r="D1594" t="s">
        <v>717</v>
      </c>
      <c r="E1594" s="2">
        <v>7.1669999999999998</v>
      </c>
    </row>
    <row r="1595" spans="1:5" x14ac:dyDescent="0.25">
      <c r="A1595" s="32" t="s">
        <v>767</v>
      </c>
      <c r="B1595" s="7">
        <v>2000</v>
      </c>
      <c r="C1595" s="51" t="s">
        <v>710</v>
      </c>
      <c r="D1595" t="s">
        <v>717</v>
      </c>
      <c r="E1595" s="2">
        <v>7.0739999999999998</v>
      </c>
    </row>
    <row r="1596" spans="1:5" x14ac:dyDescent="0.25">
      <c r="A1596" s="32" t="s">
        <v>767</v>
      </c>
      <c r="B1596" s="7">
        <v>2000</v>
      </c>
      <c r="C1596" s="51" t="s">
        <v>702</v>
      </c>
      <c r="D1596" t="s">
        <v>717</v>
      </c>
      <c r="E1596" s="2">
        <v>7.3109999999999999</v>
      </c>
    </row>
    <row r="1597" spans="1:5" x14ac:dyDescent="0.25">
      <c r="A1597" s="32" t="s">
        <v>767</v>
      </c>
      <c r="B1597" s="7">
        <v>2000</v>
      </c>
      <c r="C1597" s="51" t="s">
        <v>703</v>
      </c>
      <c r="D1597" t="s">
        <v>717</v>
      </c>
      <c r="E1597" s="2">
        <v>6.7009999999999996</v>
      </c>
    </row>
    <row r="1598" spans="1:5" x14ac:dyDescent="0.25">
      <c r="A1598" s="32" t="s">
        <v>767</v>
      </c>
      <c r="B1598" s="7">
        <v>2000</v>
      </c>
      <c r="C1598" s="51" t="s">
        <v>704</v>
      </c>
      <c r="D1598" t="s">
        <v>717</v>
      </c>
      <c r="E1598" s="2">
        <v>6.4130000000000003</v>
      </c>
    </row>
    <row r="1599" spans="1:5" x14ac:dyDescent="0.25">
      <c r="A1599" s="32" t="s">
        <v>767</v>
      </c>
      <c r="B1599" s="7">
        <v>2000</v>
      </c>
      <c r="C1599" s="51" t="s">
        <v>705</v>
      </c>
      <c r="D1599" t="s">
        <v>717</v>
      </c>
      <c r="E1599" s="2">
        <v>6.2489999999999997</v>
      </c>
    </row>
    <row r="1600" spans="1:5" x14ac:dyDescent="0.25">
      <c r="A1600" s="32" t="s">
        <v>767</v>
      </c>
      <c r="B1600" s="7">
        <v>2000</v>
      </c>
      <c r="C1600" s="51" t="s">
        <v>706</v>
      </c>
      <c r="D1600" t="s">
        <v>717</v>
      </c>
      <c r="E1600" s="2">
        <v>6.8010000000000002</v>
      </c>
    </row>
    <row r="1601" spans="1:5" x14ac:dyDescent="0.25">
      <c r="A1601" s="32" t="s">
        <v>767</v>
      </c>
      <c r="B1601" s="7">
        <v>2001</v>
      </c>
      <c r="C1601" s="51" t="s">
        <v>713</v>
      </c>
      <c r="D1601" t="s">
        <v>717</v>
      </c>
      <c r="E1601" s="2">
        <v>7.681</v>
      </c>
    </row>
    <row r="1602" spans="1:5" x14ac:dyDescent="0.25">
      <c r="A1602" s="32" t="s">
        <v>767</v>
      </c>
      <c r="B1602" s="7">
        <v>2001</v>
      </c>
      <c r="C1602" s="51" t="s">
        <v>707</v>
      </c>
      <c r="D1602" t="s">
        <v>717</v>
      </c>
      <c r="E1602" s="2">
        <v>6.9210000000000003</v>
      </c>
    </row>
    <row r="1603" spans="1:5" x14ac:dyDescent="0.25">
      <c r="A1603" s="32" t="s">
        <v>767</v>
      </c>
      <c r="B1603" s="7">
        <v>2001</v>
      </c>
      <c r="C1603" s="51" t="s">
        <v>708</v>
      </c>
      <c r="D1603" t="s">
        <v>717</v>
      </c>
      <c r="E1603" s="2">
        <v>8.1709999999999994</v>
      </c>
    </row>
    <row r="1604" spans="1:5" x14ac:dyDescent="0.25">
      <c r="A1604" s="32" t="s">
        <v>767</v>
      </c>
      <c r="B1604" s="7">
        <v>2001</v>
      </c>
      <c r="C1604" s="51" t="s">
        <v>699</v>
      </c>
      <c r="D1604" t="s">
        <v>717</v>
      </c>
      <c r="E1604" s="2">
        <v>8.0190000000000001</v>
      </c>
    </row>
    <row r="1605" spans="1:5" x14ac:dyDescent="0.25">
      <c r="A1605" s="32" t="s">
        <v>767</v>
      </c>
      <c r="B1605" s="7">
        <v>2001</v>
      </c>
      <c r="C1605" s="51" t="s">
        <v>709</v>
      </c>
      <c r="D1605" t="s">
        <v>717</v>
      </c>
      <c r="E1605" s="2">
        <v>8.5210000000000008</v>
      </c>
    </row>
    <row r="1606" spans="1:5" x14ac:dyDescent="0.25">
      <c r="A1606" s="32" t="s">
        <v>767</v>
      </c>
      <c r="B1606" s="7">
        <v>2001</v>
      </c>
      <c r="C1606" s="51" t="s">
        <v>712</v>
      </c>
      <c r="D1606" t="s">
        <v>717</v>
      </c>
      <c r="E1606" s="2">
        <v>8.4210999999999991</v>
      </c>
    </row>
    <row r="1607" spans="1:5" x14ac:dyDescent="0.25">
      <c r="A1607" s="32" t="s">
        <v>767</v>
      </c>
      <c r="B1607" s="7">
        <v>2001</v>
      </c>
      <c r="C1607" s="51" t="s">
        <v>710</v>
      </c>
      <c r="D1607" t="s">
        <v>717</v>
      </c>
      <c r="E1607" s="2">
        <v>7.9850000000000003</v>
      </c>
    </row>
    <row r="1608" spans="1:5" x14ac:dyDescent="0.25">
      <c r="A1608" s="32" t="s">
        <v>767</v>
      </c>
      <c r="B1608" s="7">
        <v>2001</v>
      </c>
      <c r="C1608" s="51" t="s">
        <v>702</v>
      </c>
      <c r="D1608" t="s">
        <v>717</v>
      </c>
      <c r="E1608" s="2">
        <v>8.1639999999999997</v>
      </c>
    </row>
    <row r="1609" spans="1:5" x14ac:dyDescent="0.25">
      <c r="A1609" s="32" t="s">
        <v>767</v>
      </c>
      <c r="B1609" s="7">
        <v>2001</v>
      </c>
      <c r="C1609" s="51" t="s">
        <v>703</v>
      </c>
      <c r="D1609" t="s">
        <v>717</v>
      </c>
      <c r="E1609" s="2">
        <v>6.8319999999999999</v>
      </c>
    </row>
    <row r="1610" spans="1:5" x14ac:dyDescent="0.25">
      <c r="A1610" s="32" t="s">
        <v>767</v>
      </c>
      <c r="B1610" s="7">
        <v>2001</v>
      </c>
      <c r="C1610" s="51" t="s">
        <v>704</v>
      </c>
      <c r="D1610" t="s">
        <v>717</v>
      </c>
      <c r="E1610" s="2">
        <v>6.5590000000000002</v>
      </c>
    </row>
    <row r="1611" spans="1:5" x14ac:dyDescent="0.25">
      <c r="A1611" s="32" t="s">
        <v>767</v>
      </c>
      <c r="B1611" s="7">
        <v>2001</v>
      </c>
      <c r="C1611" s="51" t="s">
        <v>705</v>
      </c>
      <c r="D1611" t="s">
        <v>717</v>
      </c>
      <c r="E1611" s="2">
        <v>7.1859999999999999</v>
      </c>
    </row>
    <row r="1612" spans="1:5" x14ac:dyDescent="0.25">
      <c r="A1612" s="32" t="s">
        <v>767</v>
      </c>
      <c r="B1612" s="7">
        <v>2001</v>
      </c>
      <c r="C1612" s="51" t="s">
        <v>706</v>
      </c>
      <c r="D1612" t="s">
        <v>717</v>
      </c>
      <c r="E1612" s="2">
        <v>7.1920000000000002</v>
      </c>
    </row>
    <row r="1613" spans="1:5" x14ac:dyDescent="0.25">
      <c r="A1613" s="32" t="s">
        <v>767</v>
      </c>
      <c r="B1613" s="7">
        <v>2002</v>
      </c>
      <c r="C1613" s="51" t="s">
        <v>713</v>
      </c>
      <c r="D1613" t="s">
        <v>717</v>
      </c>
      <c r="E1613" s="2">
        <v>6.9420000000000002</v>
      </c>
    </row>
    <row r="1614" spans="1:5" x14ac:dyDescent="0.25">
      <c r="A1614" s="32" t="s">
        <v>767</v>
      </c>
      <c r="B1614" s="7">
        <v>2002</v>
      </c>
      <c r="C1614" s="51" t="s">
        <v>707</v>
      </c>
      <c r="D1614" t="s">
        <v>717</v>
      </c>
      <c r="E1614" s="2">
        <v>6.3010000000000002</v>
      </c>
    </row>
    <row r="1615" spans="1:5" x14ac:dyDescent="0.25">
      <c r="A1615" s="32" t="s">
        <v>767</v>
      </c>
      <c r="B1615" s="7">
        <v>2002</v>
      </c>
      <c r="C1615" s="51" t="s">
        <v>708</v>
      </c>
      <c r="D1615" t="s">
        <v>717</v>
      </c>
      <c r="E1615" s="2">
        <v>7.758</v>
      </c>
    </row>
    <row r="1616" spans="1:5" x14ac:dyDescent="0.25">
      <c r="A1616" s="32" t="s">
        <v>767</v>
      </c>
      <c r="B1616" s="7">
        <v>2002</v>
      </c>
      <c r="C1616" s="51" t="s">
        <v>699</v>
      </c>
      <c r="D1616" t="s">
        <v>717</v>
      </c>
      <c r="E1616" s="2">
        <v>8.25</v>
      </c>
    </row>
    <row r="1617" spans="1:5" x14ac:dyDescent="0.25">
      <c r="A1617" s="32" t="s">
        <v>767</v>
      </c>
      <c r="B1617" s="7">
        <v>2002</v>
      </c>
      <c r="C1617" s="51" t="s">
        <v>709</v>
      </c>
      <c r="D1617" t="s">
        <v>717</v>
      </c>
      <c r="E1617" s="2">
        <v>9.0609999999999999</v>
      </c>
    </row>
    <row r="1618" spans="1:5" x14ac:dyDescent="0.25">
      <c r="A1618" s="32" t="s">
        <v>767</v>
      </c>
      <c r="B1618" s="7">
        <v>2002</v>
      </c>
      <c r="C1618" s="51" t="s">
        <v>712</v>
      </c>
      <c r="D1618" t="s">
        <v>717</v>
      </c>
      <c r="E1618" s="2">
        <v>8.7189999999999994</v>
      </c>
    </row>
    <row r="1619" spans="1:5" x14ac:dyDescent="0.25">
      <c r="A1619" s="32" t="s">
        <v>767</v>
      </c>
      <c r="B1619" s="7">
        <v>2002</v>
      </c>
      <c r="C1619" s="51" t="s">
        <v>710</v>
      </c>
      <c r="D1619" t="s">
        <v>717</v>
      </c>
      <c r="E1619" s="2">
        <v>8.4779999999999998</v>
      </c>
    </row>
    <row r="1620" spans="1:5" x14ac:dyDescent="0.25">
      <c r="A1620" s="32" t="s">
        <v>767</v>
      </c>
      <c r="B1620" s="7">
        <v>2002</v>
      </c>
      <c r="C1620" s="51" t="s">
        <v>702</v>
      </c>
      <c r="D1620" t="s">
        <v>717</v>
      </c>
      <c r="E1620" s="2">
        <v>8.5020000000000007</v>
      </c>
    </row>
    <row r="1621" spans="1:5" x14ac:dyDescent="0.25">
      <c r="A1621" s="32" t="s">
        <v>767</v>
      </c>
      <c r="B1621" s="7">
        <v>2002</v>
      </c>
      <c r="C1621" s="51" t="s">
        <v>703</v>
      </c>
      <c r="D1621" t="s">
        <v>717</v>
      </c>
      <c r="E1621" s="2">
        <v>7.3819999999999997</v>
      </c>
    </row>
    <row r="1622" spans="1:5" x14ac:dyDescent="0.25">
      <c r="A1622" s="32" t="s">
        <v>767</v>
      </c>
      <c r="B1622" s="7">
        <v>2002</v>
      </c>
      <c r="C1622" s="51" t="s">
        <v>704</v>
      </c>
      <c r="D1622" t="s">
        <v>717</v>
      </c>
      <c r="E1622" s="2">
        <v>7.7249999999999996</v>
      </c>
    </row>
    <row r="1623" spans="1:5" x14ac:dyDescent="0.25">
      <c r="A1623" s="32" t="s">
        <v>767</v>
      </c>
      <c r="B1623" s="7">
        <v>2002</v>
      </c>
      <c r="C1623" s="51" t="s">
        <v>705</v>
      </c>
      <c r="D1623" t="s">
        <v>717</v>
      </c>
      <c r="E1623" s="2">
        <v>8.859</v>
      </c>
    </row>
    <row r="1624" spans="1:5" x14ac:dyDescent="0.25">
      <c r="A1624" s="32" t="s">
        <v>767</v>
      </c>
      <c r="B1624" s="7">
        <v>2002</v>
      </c>
      <c r="C1624" s="51" t="s">
        <v>706</v>
      </c>
      <c r="D1624" t="s">
        <v>717</v>
      </c>
      <c r="E1624" s="2">
        <v>9.0630000000000006</v>
      </c>
    </row>
    <row r="1625" spans="1:5" x14ac:dyDescent="0.25">
      <c r="A1625" s="32" t="s">
        <v>767</v>
      </c>
      <c r="B1625" s="7">
        <v>2003</v>
      </c>
      <c r="C1625" s="51" t="s">
        <v>713</v>
      </c>
      <c r="D1625" t="s">
        <v>717</v>
      </c>
      <c r="E1625" s="2">
        <v>8.5540000000000003</v>
      </c>
    </row>
    <row r="1626" spans="1:5" x14ac:dyDescent="0.25">
      <c r="A1626" s="32" t="s">
        <v>767</v>
      </c>
      <c r="B1626" s="7">
        <v>2003</v>
      </c>
      <c r="C1626" s="51" t="s">
        <v>707</v>
      </c>
      <c r="D1626" t="s">
        <v>717</v>
      </c>
      <c r="E1626" s="2">
        <v>8.5009999999999994</v>
      </c>
    </row>
    <row r="1627" spans="1:5" x14ac:dyDescent="0.25">
      <c r="A1627" s="32" t="s">
        <v>767</v>
      </c>
      <c r="B1627" s="7">
        <v>2003</v>
      </c>
      <c r="C1627" s="51" t="s">
        <v>708</v>
      </c>
      <c r="D1627" t="s">
        <v>717</v>
      </c>
      <c r="E1627" s="2">
        <v>9.8810000000000002</v>
      </c>
    </row>
    <row r="1628" spans="1:5" x14ac:dyDescent="0.25">
      <c r="A1628" s="32" t="s">
        <v>767</v>
      </c>
      <c r="B1628" s="7">
        <v>2003</v>
      </c>
      <c r="C1628" s="51" t="s">
        <v>699</v>
      </c>
      <c r="D1628" t="s">
        <v>717</v>
      </c>
      <c r="E1628" s="2">
        <v>7.9640000000000004</v>
      </c>
    </row>
    <row r="1629" spans="1:5" x14ac:dyDescent="0.25">
      <c r="A1629" s="32" t="s">
        <v>767</v>
      </c>
      <c r="B1629" s="7">
        <v>2003</v>
      </c>
      <c r="C1629" s="51" t="s">
        <v>709</v>
      </c>
      <c r="D1629" t="s">
        <v>717</v>
      </c>
      <c r="E1629" s="2">
        <v>9.6579999999999995</v>
      </c>
    </row>
    <row r="1630" spans="1:5" x14ac:dyDescent="0.25">
      <c r="A1630" s="32" t="s">
        <v>767</v>
      </c>
      <c r="B1630" s="7">
        <v>2003</v>
      </c>
      <c r="C1630" s="51" t="s">
        <v>712</v>
      </c>
      <c r="D1630" t="s">
        <v>717</v>
      </c>
      <c r="E1630" s="2">
        <v>10.507999999999999</v>
      </c>
    </row>
    <row r="1631" spans="1:5" x14ac:dyDescent="0.25">
      <c r="A1631" s="32" t="s">
        <v>767</v>
      </c>
      <c r="B1631" s="7">
        <v>2003</v>
      </c>
      <c r="C1631" s="51" t="s">
        <v>710</v>
      </c>
      <c r="D1631" t="s">
        <v>717</v>
      </c>
      <c r="E1631" s="2">
        <v>7.5730000000000004</v>
      </c>
    </row>
    <row r="1632" spans="1:5" x14ac:dyDescent="0.25">
      <c r="A1632" s="32" t="s">
        <v>767</v>
      </c>
      <c r="B1632" s="7">
        <v>2003</v>
      </c>
      <c r="C1632" s="51" t="s">
        <v>702</v>
      </c>
      <c r="D1632" t="s">
        <v>717</v>
      </c>
      <c r="E1632" s="2">
        <v>7.6970000000000001</v>
      </c>
    </row>
    <row r="1633" spans="1:5" x14ac:dyDescent="0.25">
      <c r="A1633" s="32" t="s">
        <v>767</v>
      </c>
      <c r="B1633" s="7">
        <v>2003</v>
      </c>
      <c r="C1633" s="51" t="s">
        <v>703</v>
      </c>
      <c r="D1633" t="s">
        <v>717</v>
      </c>
      <c r="E1633" s="2">
        <v>7.9059999999999997</v>
      </c>
    </row>
    <row r="1634" spans="1:5" x14ac:dyDescent="0.25">
      <c r="A1634" s="32" t="s">
        <v>767</v>
      </c>
      <c r="B1634" s="7">
        <v>2003</v>
      </c>
      <c r="C1634" s="51" t="s">
        <v>704</v>
      </c>
      <c r="D1634" t="s">
        <v>717</v>
      </c>
      <c r="E1634" s="2">
        <v>7.1</v>
      </c>
    </row>
    <row r="1635" spans="1:5" x14ac:dyDescent="0.25">
      <c r="A1635" s="32" t="s">
        <v>767</v>
      </c>
      <c r="B1635" s="7">
        <v>2003</v>
      </c>
      <c r="C1635" s="51" t="s">
        <v>705</v>
      </c>
      <c r="D1635" t="s">
        <v>717</v>
      </c>
      <c r="E1635" s="2">
        <v>8.2720000000000002</v>
      </c>
    </row>
    <row r="1636" spans="1:5" x14ac:dyDescent="0.25">
      <c r="A1636" s="32" t="s">
        <v>767</v>
      </c>
      <c r="B1636" s="7">
        <v>2003</v>
      </c>
      <c r="C1636" s="51" t="s">
        <v>706</v>
      </c>
      <c r="D1636" t="s">
        <v>717</v>
      </c>
      <c r="E1636" s="2">
        <v>8.3710000000000004</v>
      </c>
    </row>
    <row r="1637" spans="1:5" x14ac:dyDescent="0.25">
      <c r="A1637" s="32" t="s">
        <v>767</v>
      </c>
      <c r="B1637" s="7">
        <v>2004</v>
      </c>
      <c r="C1637" s="51" t="s">
        <v>713</v>
      </c>
      <c r="D1637" t="s">
        <v>717</v>
      </c>
      <c r="E1637" s="2">
        <v>6.9390000000000001</v>
      </c>
    </row>
    <row r="1638" spans="1:5" x14ac:dyDescent="0.25">
      <c r="A1638" s="32" t="s">
        <v>767</v>
      </c>
      <c r="B1638" s="7">
        <v>2004</v>
      </c>
      <c r="C1638" s="51" t="s">
        <v>707</v>
      </c>
      <c r="D1638" t="s">
        <v>717</v>
      </c>
      <c r="E1638" s="2">
        <v>7.6760000000000002</v>
      </c>
    </row>
    <row r="1639" spans="1:5" x14ac:dyDescent="0.25">
      <c r="A1639" s="32" t="s">
        <v>767</v>
      </c>
      <c r="B1639" s="7">
        <v>2004</v>
      </c>
      <c r="C1639" s="51" t="s">
        <v>708</v>
      </c>
      <c r="D1639" t="s">
        <v>717</v>
      </c>
      <c r="E1639" s="2">
        <v>8.1029999999999998</v>
      </c>
    </row>
    <row r="1640" spans="1:5" x14ac:dyDescent="0.25">
      <c r="A1640" s="32" t="s">
        <v>767</v>
      </c>
      <c r="B1640" s="7">
        <v>2004</v>
      </c>
      <c r="C1640" s="51" t="s">
        <v>699</v>
      </c>
      <c r="D1640" t="s">
        <v>717</v>
      </c>
      <c r="E1640" s="2">
        <v>9.2260000000000009</v>
      </c>
    </row>
    <row r="1641" spans="1:5" x14ac:dyDescent="0.25">
      <c r="A1641" s="32" t="s">
        <v>767</v>
      </c>
      <c r="B1641" s="7">
        <v>2004</v>
      </c>
      <c r="C1641" s="51" t="s">
        <v>709</v>
      </c>
      <c r="D1641" t="s">
        <v>717</v>
      </c>
      <c r="E1641" s="2">
        <v>9.3699999999999992</v>
      </c>
    </row>
    <row r="1642" spans="1:5" x14ac:dyDescent="0.25">
      <c r="A1642" s="32" t="s">
        <v>767</v>
      </c>
      <c r="B1642" s="7">
        <v>2004</v>
      </c>
      <c r="C1642" s="51" t="s">
        <v>712</v>
      </c>
      <c r="D1642" t="s">
        <v>717</v>
      </c>
      <c r="E1642" s="2">
        <v>7.9870000000000001</v>
      </c>
    </row>
    <row r="1643" spans="1:5" x14ac:dyDescent="0.25">
      <c r="A1643" s="32" t="s">
        <v>767</v>
      </c>
      <c r="B1643" s="7">
        <v>2004</v>
      </c>
      <c r="C1643" s="51" t="s">
        <v>710</v>
      </c>
      <c r="D1643" t="s">
        <v>717</v>
      </c>
      <c r="E1643" s="2">
        <v>7.5259999999999998</v>
      </c>
    </row>
    <row r="1644" spans="1:5" x14ac:dyDescent="0.25">
      <c r="A1644" s="32" t="s">
        <v>767</v>
      </c>
      <c r="B1644" s="7">
        <v>2004</v>
      </c>
      <c r="C1644" s="51" t="s">
        <v>702</v>
      </c>
      <c r="D1644" t="s">
        <v>717</v>
      </c>
      <c r="E1644" s="2">
        <v>7.6189999999999998</v>
      </c>
    </row>
    <row r="1645" spans="1:5" x14ac:dyDescent="0.25">
      <c r="A1645" s="32" t="s">
        <v>767</v>
      </c>
      <c r="B1645" s="7">
        <v>2004</v>
      </c>
      <c r="C1645" s="51" t="s">
        <v>703</v>
      </c>
      <c r="D1645" t="s">
        <v>717</v>
      </c>
      <c r="E1645" s="2">
        <v>7.8310000000000004</v>
      </c>
    </row>
    <row r="1646" spans="1:5" x14ac:dyDescent="0.25">
      <c r="A1646" s="32" t="s">
        <v>767</v>
      </c>
      <c r="B1646" s="7">
        <v>2004</v>
      </c>
      <c r="C1646" s="51" t="s">
        <v>704</v>
      </c>
      <c r="D1646" t="s">
        <v>717</v>
      </c>
      <c r="E1646" s="2">
        <v>7.8680000000000003</v>
      </c>
    </row>
    <row r="1647" spans="1:5" x14ac:dyDescent="0.25">
      <c r="A1647" s="32" t="s">
        <v>767</v>
      </c>
      <c r="B1647" s="7">
        <v>2004</v>
      </c>
      <c r="C1647" s="51" t="s">
        <v>705</v>
      </c>
      <c r="D1647" t="s">
        <v>717</v>
      </c>
      <c r="E1647" s="2">
        <v>7.9610000000000003</v>
      </c>
    </row>
    <row r="1648" spans="1:5" x14ac:dyDescent="0.25">
      <c r="A1648" s="32" t="s">
        <v>767</v>
      </c>
      <c r="B1648" s="7">
        <v>2004</v>
      </c>
      <c r="C1648" s="51" t="s">
        <v>706</v>
      </c>
      <c r="D1648" t="s">
        <v>717</v>
      </c>
      <c r="E1648" s="2">
        <v>7.657</v>
      </c>
    </row>
    <row r="1649" spans="1:5" x14ac:dyDescent="0.25">
      <c r="A1649" s="32" t="s">
        <v>767</v>
      </c>
      <c r="B1649" s="7">
        <v>2005</v>
      </c>
      <c r="C1649" s="51" t="s">
        <v>713</v>
      </c>
      <c r="D1649" t="s">
        <v>717</v>
      </c>
      <c r="E1649" s="2">
        <v>7.2220000000000004</v>
      </c>
    </row>
    <row r="1650" spans="1:5" x14ac:dyDescent="0.25">
      <c r="A1650" s="32" t="s">
        <v>767</v>
      </c>
      <c r="B1650" s="7">
        <v>2005</v>
      </c>
      <c r="C1650" s="51" t="s">
        <v>707</v>
      </c>
      <c r="D1650" t="s">
        <v>717</v>
      </c>
      <c r="E1650" s="2">
        <v>7.17</v>
      </c>
    </row>
    <row r="1651" spans="1:5" x14ac:dyDescent="0.25">
      <c r="A1651" s="32" t="s">
        <v>767</v>
      </c>
      <c r="B1651" s="7">
        <v>2005</v>
      </c>
      <c r="C1651" s="51" t="s">
        <v>708</v>
      </c>
      <c r="D1651" t="s">
        <v>717</v>
      </c>
      <c r="E1651" s="2">
        <v>8.4570000000000007</v>
      </c>
    </row>
    <row r="1652" spans="1:5" x14ac:dyDescent="0.25">
      <c r="A1652" s="32" t="s">
        <v>767</v>
      </c>
      <c r="B1652" s="7">
        <v>2005</v>
      </c>
      <c r="C1652" s="51" t="s">
        <v>699</v>
      </c>
      <c r="D1652" t="s">
        <v>717</v>
      </c>
      <c r="E1652" s="2">
        <v>8.1739999999999995</v>
      </c>
    </row>
    <row r="1653" spans="1:5" x14ac:dyDescent="0.25">
      <c r="A1653" s="32" t="s">
        <v>767</v>
      </c>
      <c r="B1653" s="7">
        <v>2005</v>
      </c>
      <c r="C1653" s="51" t="s">
        <v>709</v>
      </c>
      <c r="D1653" t="s">
        <v>717</v>
      </c>
      <c r="E1653" s="2">
        <v>8.1920000000000002</v>
      </c>
    </row>
    <row r="1654" spans="1:5" x14ac:dyDescent="0.25">
      <c r="A1654" s="32" t="s">
        <v>767</v>
      </c>
      <c r="B1654" s="7">
        <v>2005</v>
      </c>
      <c r="C1654" s="51" t="s">
        <v>712</v>
      </c>
      <c r="D1654" t="s">
        <v>717</v>
      </c>
      <c r="E1654" s="2">
        <v>7.4660000000000002</v>
      </c>
    </row>
    <row r="1655" spans="1:5" x14ac:dyDescent="0.25">
      <c r="A1655" s="32" t="s">
        <v>767</v>
      </c>
      <c r="B1655" s="7">
        <v>2005</v>
      </c>
      <c r="C1655" s="51" t="s">
        <v>710</v>
      </c>
      <c r="D1655" t="s">
        <v>717</v>
      </c>
      <c r="E1655" s="2">
        <v>7.8179999999999996</v>
      </c>
    </row>
    <row r="1656" spans="1:5" x14ac:dyDescent="0.25">
      <c r="A1656" s="32" t="s">
        <v>767</v>
      </c>
      <c r="B1656" s="7">
        <v>2005</v>
      </c>
      <c r="C1656" s="51" t="s">
        <v>702</v>
      </c>
      <c r="D1656" t="s">
        <v>717</v>
      </c>
      <c r="E1656" s="2">
        <v>7.2549999999999999</v>
      </c>
    </row>
    <row r="1657" spans="1:5" x14ac:dyDescent="0.25">
      <c r="A1657" s="32" t="s">
        <v>767</v>
      </c>
      <c r="B1657" s="7">
        <v>2005</v>
      </c>
      <c r="C1657" s="51" t="s">
        <v>703</v>
      </c>
      <c r="D1657" t="s">
        <v>717</v>
      </c>
      <c r="E1657" s="2">
        <v>6.6509999999999998</v>
      </c>
    </row>
    <row r="1658" spans="1:5" x14ac:dyDescent="0.25">
      <c r="A1658" s="32" t="s">
        <v>767</v>
      </c>
      <c r="B1658" s="7">
        <v>2005</v>
      </c>
      <c r="C1658" s="51" t="s">
        <v>704</v>
      </c>
      <c r="D1658" t="s">
        <v>717</v>
      </c>
      <c r="E1658" s="2">
        <v>7.9320000000000004</v>
      </c>
    </row>
    <row r="1659" spans="1:5" x14ac:dyDescent="0.25">
      <c r="A1659" s="32" t="s">
        <v>767</v>
      </c>
      <c r="B1659" s="7">
        <v>2005</v>
      </c>
      <c r="C1659" s="51" t="s">
        <v>705</v>
      </c>
      <c r="D1659" t="s">
        <v>717</v>
      </c>
      <c r="E1659" s="2">
        <v>7.0140000000000002</v>
      </c>
    </row>
    <row r="1660" spans="1:5" x14ac:dyDescent="0.25">
      <c r="A1660" s="32" t="s">
        <v>767</v>
      </c>
      <c r="B1660" s="7">
        <v>2005</v>
      </c>
      <c r="C1660" s="51" t="s">
        <v>706</v>
      </c>
      <c r="D1660" t="s">
        <v>717</v>
      </c>
      <c r="E1660" s="2">
        <v>8.8230000000000004</v>
      </c>
    </row>
    <row r="1661" spans="1:5" x14ac:dyDescent="0.25">
      <c r="A1661" s="32" t="s">
        <v>767</v>
      </c>
      <c r="B1661" s="7">
        <v>2006</v>
      </c>
      <c r="C1661" s="51" t="s">
        <v>713</v>
      </c>
      <c r="D1661" t="s">
        <v>717</v>
      </c>
      <c r="E1661" s="2">
        <v>8.2210000000000001</v>
      </c>
    </row>
    <row r="1662" spans="1:5" x14ac:dyDescent="0.25">
      <c r="A1662" s="32" t="s">
        <v>767</v>
      </c>
      <c r="B1662" s="7">
        <v>2006</v>
      </c>
      <c r="C1662" s="51" t="s">
        <v>707</v>
      </c>
      <c r="D1662" t="s">
        <v>717</v>
      </c>
      <c r="E1662" s="2">
        <v>6.843</v>
      </c>
    </row>
    <row r="1663" spans="1:5" x14ac:dyDescent="0.25">
      <c r="A1663" s="32" t="s">
        <v>767</v>
      </c>
      <c r="B1663" s="7">
        <v>2006</v>
      </c>
      <c r="C1663" s="51" t="s">
        <v>708</v>
      </c>
      <c r="D1663" t="s">
        <v>717</v>
      </c>
      <c r="E1663" s="2">
        <v>6.9610000000000003</v>
      </c>
    </row>
    <row r="1664" spans="1:5" x14ac:dyDescent="0.25">
      <c r="A1664" s="32" t="s">
        <v>767</v>
      </c>
      <c r="B1664" s="7">
        <v>2006</v>
      </c>
      <c r="C1664" s="51" t="s">
        <v>699</v>
      </c>
      <c r="D1664" t="s">
        <v>717</v>
      </c>
      <c r="E1664" s="2">
        <v>7.99</v>
      </c>
    </row>
    <row r="1665" spans="1:5" x14ac:dyDescent="0.25">
      <c r="A1665" s="32" t="s">
        <v>767</v>
      </c>
      <c r="B1665" s="7">
        <v>2006</v>
      </c>
      <c r="C1665" s="51" t="s">
        <v>709</v>
      </c>
      <c r="D1665" t="s">
        <v>717</v>
      </c>
      <c r="E1665" s="2">
        <v>8.532</v>
      </c>
    </row>
    <row r="1666" spans="1:5" x14ac:dyDescent="0.25">
      <c r="A1666" s="32" t="s">
        <v>767</v>
      </c>
      <c r="B1666" s="7">
        <v>2006</v>
      </c>
      <c r="C1666" s="51" t="s">
        <v>712</v>
      </c>
      <c r="D1666" t="s">
        <v>717</v>
      </c>
      <c r="E1666" s="2">
        <v>10.176</v>
      </c>
    </row>
    <row r="1667" spans="1:5" x14ac:dyDescent="0.25">
      <c r="A1667" s="32" t="s">
        <v>767</v>
      </c>
      <c r="B1667" s="7">
        <v>2006</v>
      </c>
      <c r="C1667" s="51" t="s">
        <v>710</v>
      </c>
      <c r="D1667" t="s">
        <v>717</v>
      </c>
      <c r="E1667" s="2">
        <v>9.3030000000000008</v>
      </c>
    </row>
    <row r="1668" spans="1:5" x14ac:dyDescent="0.25">
      <c r="A1668" s="32" t="s">
        <v>767</v>
      </c>
      <c r="B1668" s="7">
        <v>2006</v>
      </c>
      <c r="C1668" s="51" t="s">
        <v>702</v>
      </c>
      <c r="D1668" t="s">
        <v>717</v>
      </c>
      <c r="E1668" s="2">
        <v>9.5109999999999992</v>
      </c>
    </row>
    <row r="1669" spans="1:5" x14ac:dyDescent="0.25">
      <c r="A1669" s="32" t="s">
        <v>767</v>
      </c>
      <c r="B1669" s="7">
        <v>2006</v>
      </c>
      <c r="C1669" s="51" t="s">
        <v>703</v>
      </c>
      <c r="D1669" t="s">
        <v>717</v>
      </c>
      <c r="E1669" s="2">
        <v>9.4380000000000006</v>
      </c>
    </row>
    <row r="1670" spans="1:5" x14ac:dyDescent="0.25">
      <c r="A1670" s="32" t="s">
        <v>767</v>
      </c>
      <c r="B1670" s="7">
        <v>2006</v>
      </c>
      <c r="C1670" s="51" t="s">
        <v>704</v>
      </c>
      <c r="D1670" t="s">
        <v>717</v>
      </c>
      <c r="E1670" s="2">
        <v>9.1709999999999994</v>
      </c>
    </row>
    <row r="1671" spans="1:5" x14ac:dyDescent="0.25">
      <c r="A1671" s="32" t="s">
        <v>767</v>
      </c>
      <c r="B1671" s="7">
        <v>2006</v>
      </c>
      <c r="C1671" s="51" t="s">
        <v>705</v>
      </c>
      <c r="D1671" t="s">
        <v>717</v>
      </c>
      <c r="E1671" s="2">
        <v>8.8160000000000007</v>
      </c>
    </row>
    <row r="1672" spans="1:5" x14ac:dyDescent="0.25">
      <c r="A1672" s="32" t="s">
        <v>767</v>
      </c>
      <c r="B1672" s="7">
        <v>2006</v>
      </c>
      <c r="C1672" s="51" t="s">
        <v>706</v>
      </c>
      <c r="D1672" t="s">
        <v>717</v>
      </c>
      <c r="E1672" s="2">
        <v>7.6689999999999996</v>
      </c>
    </row>
    <row r="1673" spans="1:5" x14ac:dyDescent="0.25">
      <c r="A1673" s="32" t="s">
        <v>767</v>
      </c>
      <c r="B1673" s="7">
        <v>2007</v>
      </c>
      <c r="C1673" s="51" t="s">
        <v>713</v>
      </c>
      <c r="D1673" t="s">
        <v>717</v>
      </c>
      <c r="E1673" s="2">
        <v>7.6909999999999998</v>
      </c>
    </row>
    <row r="1674" spans="1:5" x14ac:dyDescent="0.25">
      <c r="A1674" s="32" t="s">
        <v>767</v>
      </c>
      <c r="B1674" s="7">
        <v>2007</v>
      </c>
      <c r="C1674" s="51" t="s">
        <v>707</v>
      </c>
      <c r="D1674" t="s">
        <v>717</v>
      </c>
      <c r="E1674" s="2">
        <v>6.3659999999999997</v>
      </c>
    </row>
    <row r="1675" spans="1:5" x14ac:dyDescent="0.25">
      <c r="A1675" s="32" t="s">
        <v>767</v>
      </c>
      <c r="B1675" s="7">
        <v>2007</v>
      </c>
      <c r="C1675" s="51" t="s">
        <v>708</v>
      </c>
      <c r="D1675" t="s">
        <v>717</v>
      </c>
      <c r="E1675" s="2">
        <v>8.4789999999999992</v>
      </c>
    </row>
    <row r="1676" spans="1:5" x14ac:dyDescent="0.25">
      <c r="A1676" s="32" t="s">
        <v>767</v>
      </c>
      <c r="B1676" s="7">
        <v>2007</v>
      </c>
      <c r="C1676" s="51" t="s">
        <v>699</v>
      </c>
      <c r="D1676" t="s">
        <v>717</v>
      </c>
      <c r="E1676" s="2">
        <v>8.2260000000000009</v>
      </c>
    </row>
    <row r="1677" spans="1:5" x14ac:dyDescent="0.25">
      <c r="A1677" s="32" t="s">
        <v>767</v>
      </c>
      <c r="B1677" s="7">
        <v>2007</v>
      </c>
      <c r="C1677" s="51" t="s">
        <v>709</v>
      </c>
      <c r="D1677" t="s">
        <v>717</v>
      </c>
      <c r="E1677" s="2">
        <v>8.5980000000000008</v>
      </c>
    </row>
    <row r="1678" spans="1:5" x14ac:dyDescent="0.25">
      <c r="A1678" s="32" t="s">
        <v>767</v>
      </c>
      <c r="B1678" s="7">
        <v>2007</v>
      </c>
      <c r="C1678" s="51" t="s">
        <v>712</v>
      </c>
      <c r="D1678" t="s">
        <v>717</v>
      </c>
      <c r="E1678" s="2">
        <v>9.2520000000000007</v>
      </c>
    </row>
    <row r="1679" spans="1:5" x14ac:dyDescent="0.25">
      <c r="A1679" s="32" t="s">
        <v>767</v>
      </c>
      <c r="B1679" s="7">
        <v>2007</v>
      </c>
      <c r="C1679" s="51" t="s">
        <v>710</v>
      </c>
      <c r="D1679" t="s">
        <v>717</v>
      </c>
      <c r="E1679" s="2">
        <v>8.6</v>
      </c>
    </row>
    <row r="1680" spans="1:5" x14ac:dyDescent="0.25">
      <c r="A1680" s="32" t="s">
        <v>767</v>
      </c>
      <c r="B1680" s="7">
        <v>2007</v>
      </c>
      <c r="C1680" s="51" t="s">
        <v>702</v>
      </c>
      <c r="D1680" t="s">
        <v>717</v>
      </c>
      <c r="E1680" s="2">
        <v>7.8639999999999999</v>
      </c>
    </row>
    <row r="1681" spans="1:5" x14ac:dyDescent="0.25">
      <c r="A1681" s="32" t="s">
        <v>767</v>
      </c>
      <c r="B1681" s="7">
        <v>2007</v>
      </c>
      <c r="C1681" s="51" t="s">
        <v>703</v>
      </c>
      <c r="D1681" t="s">
        <v>717</v>
      </c>
      <c r="E1681" s="2">
        <v>6.2670000000000003</v>
      </c>
    </row>
    <row r="1682" spans="1:5" x14ac:dyDescent="0.25">
      <c r="A1682" s="32" t="s">
        <v>767</v>
      </c>
      <c r="B1682" s="7">
        <v>2007</v>
      </c>
      <c r="C1682" s="51" t="s">
        <v>704</v>
      </c>
      <c r="D1682" t="s">
        <v>717</v>
      </c>
      <c r="E1682" s="2">
        <v>6.0709999999999997</v>
      </c>
    </row>
    <row r="1683" spans="1:5" x14ac:dyDescent="0.25">
      <c r="A1683" s="32" t="s">
        <v>767</v>
      </c>
      <c r="B1683" s="7">
        <v>2007</v>
      </c>
      <c r="C1683" s="51" t="s">
        <v>705</v>
      </c>
      <c r="D1683" t="s">
        <v>717</v>
      </c>
      <c r="E1683" s="2">
        <v>6.5</v>
      </c>
    </row>
    <row r="1684" spans="1:5" x14ac:dyDescent="0.25">
      <c r="A1684" s="32" t="s">
        <v>767</v>
      </c>
      <c r="B1684" s="7">
        <v>2007</v>
      </c>
      <c r="C1684" s="51" t="s">
        <v>706</v>
      </c>
      <c r="D1684" t="s">
        <v>717</v>
      </c>
      <c r="E1684" s="2">
        <v>7.2679999999999998</v>
      </c>
    </row>
    <row r="1685" spans="1:5" x14ac:dyDescent="0.25">
      <c r="A1685" s="32" t="s">
        <v>767</v>
      </c>
      <c r="B1685" s="7">
        <v>2008</v>
      </c>
      <c r="C1685" s="51" t="s">
        <v>713</v>
      </c>
      <c r="D1685" t="s">
        <v>717</v>
      </c>
      <c r="E1685" s="2">
        <v>6.6230000000000002</v>
      </c>
    </row>
    <row r="1686" spans="1:5" x14ac:dyDescent="0.25">
      <c r="A1686" s="32" t="s">
        <v>767</v>
      </c>
      <c r="B1686" s="7">
        <v>2008</v>
      </c>
      <c r="C1686" s="51" t="s">
        <v>707</v>
      </c>
      <c r="D1686" t="s">
        <v>717</v>
      </c>
      <c r="E1686" s="2">
        <v>8.5180000000000007</v>
      </c>
    </row>
    <row r="1687" spans="1:5" x14ac:dyDescent="0.25">
      <c r="A1687" s="32" t="s">
        <v>767</v>
      </c>
      <c r="B1687" s="7">
        <v>2008</v>
      </c>
      <c r="C1687" s="51" t="s">
        <v>708</v>
      </c>
      <c r="D1687" t="s">
        <v>717</v>
      </c>
      <c r="E1687" s="2">
        <v>7.5750000000000002</v>
      </c>
    </row>
    <row r="1688" spans="1:5" x14ac:dyDescent="0.25">
      <c r="A1688" s="32" t="s">
        <v>767</v>
      </c>
      <c r="B1688" s="7">
        <v>2008</v>
      </c>
      <c r="C1688" s="51" t="s">
        <v>699</v>
      </c>
      <c r="D1688" t="s">
        <v>717</v>
      </c>
      <c r="E1688" s="2">
        <v>8.4640000000000004</v>
      </c>
    </row>
    <row r="1689" spans="1:5" x14ac:dyDescent="0.25">
      <c r="A1689" s="32" t="s">
        <v>767</v>
      </c>
      <c r="B1689" s="7">
        <v>2008</v>
      </c>
      <c r="C1689" s="51" t="s">
        <v>709</v>
      </c>
      <c r="D1689" t="s">
        <v>717</v>
      </c>
      <c r="E1689" s="2">
        <v>10.119999999999999</v>
      </c>
    </row>
    <row r="1690" spans="1:5" x14ac:dyDescent="0.25">
      <c r="A1690" s="32" t="s">
        <v>767</v>
      </c>
      <c r="B1690" s="7">
        <v>2008</v>
      </c>
      <c r="C1690" s="51" t="s">
        <v>712</v>
      </c>
      <c r="D1690" t="s">
        <v>717</v>
      </c>
      <c r="E1690" s="2">
        <v>8.3179999999999996</v>
      </c>
    </row>
    <row r="1691" spans="1:5" x14ac:dyDescent="0.25">
      <c r="A1691" s="32" t="s">
        <v>767</v>
      </c>
      <c r="B1691" s="7">
        <v>2008</v>
      </c>
      <c r="C1691" s="51" t="s">
        <v>710</v>
      </c>
      <c r="D1691" t="s">
        <v>717</v>
      </c>
      <c r="E1691" s="2">
        <v>7.9450000000000003</v>
      </c>
    </row>
    <row r="1692" spans="1:5" x14ac:dyDescent="0.25">
      <c r="A1692" s="32" t="s">
        <v>767</v>
      </c>
      <c r="B1692" s="7">
        <v>2008</v>
      </c>
      <c r="C1692" s="51" t="s">
        <v>702</v>
      </c>
      <c r="D1692" t="s">
        <v>717</v>
      </c>
      <c r="E1692" s="2">
        <v>7.851</v>
      </c>
    </row>
    <row r="1693" spans="1:5" x14ac:dyDescent="0.25">
      <c r="A1693" s="32" t="s">
        <v>767</v>
      </c>
      <c r="B1693" s="7">
        <v>2008</v>
      </c>
      <c r="C1693" s="51" t="s">
        <v>703</v>
      </c>
      <c r="D1693" t="s">
        <v>717</v>
      </c>
      <c r="E1693" s="2">
        <v>6.9530000000000003</v>
      </c>
    </row>
    <row r="1694" spans="1:5" x14ac:dyDescent="0.25">
      <c r="A1694" s="32" t="s">
        <v>767</v>
      </c>
      <c r="B1694" s="7">
        <v>2008</v>
      </c>
      <c r="C1694" s="51" t="s">
        <v>704</v>
      </c>
      <c r="D1694" t="s">
        <v>717</v>
      </c>
      <c r="E1694" s="2">
        <v>6.8250000000000002</v>
      </c>
    </row>
    <row r="1695" spans="1:5" x14ac:dyDescent="0.25">
      <c r="A1695" s="32" t="s">
        <v>767</v>
      </c>
      <c r="B1695" s="7">
        <v>2008</v>
      </c>
      <c r="C1695" s="51" t="s">
        <v>705</v>
      </c>
      <c r="D1695" t="s">
        <v>717</v>
      </c>
      <c r="E1695" s="2">
        <v>5.758</v>
      </c>
    </row>
    <row r="1696" spans="1:5" x14ac:dyDescent="0.25">
      <c r="A1696" s="32" t="s">
        <v>767</v>
      </c>
      <c r="B1696" s="7">
        <v>2008</v>
      </c>
      <c r="C1696" s="51" t="s">
        <v>706</v>
      </c>
      <c r="D1696" t="s">
        <v>717</v>
      </c>
      <c r="E1696" s="2">
        <v>6.51</v>
      </c>
    </row>
    <row r="1697" spans="1:5" x14ac:dyDescent="0.25">
      <c r="A1697" s="32" t="s">
        <v>767</v>
      </c>
      <c r="B1697" s="7">
        <v>2009</v>
      </c>
      <c r="C1697" s="51" t="s">
        <v>713</v>
      </c>
      <c r="D1697" t="s">
        <v>717</v>
      </c>
      <c r="E1697" s="2">
        <v>8.0660000000000007</v>
      </c>
    </row>
    <row r="1698" spans="1:5" x14ac:dyDescent="0.25">
      <c r="A1698" s="32" t="s">
        <v>767</v>
      </c>
      <c r="B1698" s="7">
        <v>2009</v>
      </c>
      <c r="C1698" s="51" t="s">
        <v>707</v>
      </c>
      <c r="D1698" t="s">
        <v>717</v>
      </c>
      <c r="E1698" s="2">
        <v>6.9930000000000003</v>
      </c>
    </row>
    <row r="1699" spans="1:5" x14ac:dyDescent="0.25">
      <c r="A1699" s="32" t="s">
        <v>767</v>
      </c>
      <c r="B1699" s="7">
        <v>2009</v>
      </c>
      <c r="C1699" s="51" t="s">
        <v>708</v>
      </c>
      <c r="D1699" t="s">
        <v>717</v>
      </c>
      <c r="E1699" s="2">
        <v>8.5229999999999997</v>
      </c>
    </row>
    <row r="1700" spans="1:5" x14ac:dyDescent="0.25">
      <c r="A1700" s="32" t="s">
        <v>767</v>
      </c>
      <c r="B1700" s="7">
        <v>2009</v>
      </c>
      <c r="C1700" s="51" t="s">
        <v>699</v>
      </c>
      <c r="D1700" t="s">
        <v>717</v>
      </c>
      <c r="E1700" s="2">
        <v>8.0690000000000008</v>
      </c>
    </row>
    <row r="1701" spans="1:5" x14ac:dyDescent="0.25">
      <c r="A1701" s="32" t="s">
        <v>767</v>
      </c>
      <c r="B1701" s="7">
        <v>2009</v>
      </c>
      <c r="C1701" s="51" t="s">
        <v>709</v>
      </c>
      <c r="D1701" t="s">
        <v>717</v>
      </c>
      <c r="E1701" s="2">
        <v>11.869</v>
      </c>
    </row>
    <row r="1702" spans="1:5" x14ac:dyDescent="0.25">
      <c r="A1702" s="32" t="s">
        <v>767</v>
      </c>
      <c r="B1702" s="7">
        <v>2009</v>
      </c>
      <c r="C1702" s="51" t="s">
        <v>712</v>
      </c>
      <c r="D1702" t="s">
        <v>717</v>
      </c>
      <c r="E1702" s="2">
        <v>11.743</v>
      </c>
    </row>
    <row r="1703" spans="1:5" x14ac:dyDescent="0.25">
      <c r="A1703" s="32" t="s">
        <v>767</v>
      </c>
      <c r="B1703" s="7">
        <v>2009</v>
      </c>
      <c r="C1703" s="51" t="s">
        <v>710</v>
      </c>
      <c r="D1703" t="s">
        <v>717</v>
      </c>
      <c r="E1703" s="2">
        <v>9.98</v>
      </c>
    </row>
    <row r="1704" spans="1:5" x14ac:dyDescent="0.25">
      <c r="A1704" s="32" t="s">
        <v>767</v>
      </c>
      <c r="B1704" s="7">
        <v>2009</v>
      </c>
      <c r="C1704" s="51" t="s">
        <v>702</v>
      </c>
      <c r="D1704" t="s">
        <v>717</v>
      </c>
      <c r="E1704" s="2">
        <v>8.2889999999999997</v>
      </c>
    </row>
    <row r="1705" spans="1:5" x14ac:dyDescent="0.25">
      <c r="A1705" s="32" t="s">
        <v>767</v>
      </c>
      <c r="B1705" s="7">
        <v>2009</v>
      </c>
      <c r="C1705" s="51" t="s">
        <v>703</v>
      </c>
      <c r="D1705" t="s">
        <v>717</v>
      </c>
      <c r="E1705" s="2">
        <v>7.024</v>
      </c>
    </row>
    <row r="1706" spans="1:5" x14ac:dyDescent="0.25">
      <c r="A1706" s="32" t="s">
        <v>767</v>
      </c>
      <c r="B1706" s="7">
        <v>2009</v>
      </c>
      <c r="C1706" s="51" t="s">
        <v>704</v>
      </c>
      <c r="D1706" t="s">
        <v>717</v>
      </c>
      <c r="E1706" s="2">
        <v>9.3729999999999993</v>
      </c>
    </row>
    <row r="1707" spans="1:5" x14ac:dyDescent="0.25">
      <c r="A1707" s="32" t="s">
        <v>767</v>
      </c>
      <c r="B1707" s="7">
        <v>2009</v>
      </c>
      <c r="C1707" s="51" t="s">
        <v>705</v>
      </c>
      <c r="D1707" t="s">
        <v>717</v>
      </c>
      <c r="E1707" s="2">
        <v>7.9169999999999998</v>
      </c>
    </row>
    <row r="1708" spans="1:5" x14ac:dyDescent="0.25">
      <c r="A1708" s="32" t="s">
        <v>767</v>
      </c>
      <c r="B1708" s="7">
        <v>2009</v>
      </c>
      <c r="C1708" s="51" t="s">
        <v>706</v>
      </c>
      <c r="D1708" t="s">
        <v>717</v>
      </c>
      <c r="E1708" s="2">
        <v>10.518000000000001</v>
      </c>
    </row>
    <row r="1709" spans="1:5" x14ac:dyDescent="0.25">
      <c r="A1709" s="32" t="s">
        <v>767</v>
      </c>
      <c r="B1709" s="7">
        <v>2010</v>
      </c>
      <c r="C1709" s="51" t="s">
        <v>713</v>
      </c>
      <c r="D1709" t="s">
        <v>717</v>
      </c>
      <c r="E1709" s="2">
        <v>7.3049999999999997</v>
      </c>
    </row>
    <row r="1710" spans="1:5" x14ac:dyDescent="0.25">
      <c r="A1710" s="32" t="s">
        <v>767</v>
      </c>
      <c r="B1710" s="7">
        <v>2010</v>
      </c>
      <c r="C1710" s="51" t="s">
        <v>707</v>
      </c>
      <c r="D1710" t="s">
        <v>717</v>
      </c>
      <c r="E1710" s="2">
        <v>8.1</v>
      </c>
    </row>
    <row r="1711" spans="1:5" x14ac:dyDescent="0.25">
      <c r="A1711" s="32" t="s">
        <v>767</v>
      </c>
      <c r="B1711" s="7">
        <v>2010</v>
      </c>
      <c r="C1711" s="51" t="s">
        <v>708</v>
      </c>
      <c r="D1711" t="s">
        <v>717</v>
      </c>
      <c r="E1711" s="2">
        <v>9.4280000000000008</v>
      </c>
    </row>
    <row r="1712" spans="1:5" x14ac:dyDescent="0.25">
      <c r="A1712" s="32" t="s">
        <v>767</v>
      </c>
      <c r="B1712" s="7">
        <v>2010</v>
      </c>
      <c r="C1712" s="51" t="s">
        <v>699</v>
      </c>
      <c r="D1712" t="s">
        <v>717</v>
      </c>
      <c r="E1712" s="2">
        <v>8.8759999999999994</v>
      </c>
    </row>
    <row r="1713" spans="1:5" x14ac:dyDescent="0.25">
      <c r="A1713" s="32" t="s">
        <v>767</v>
      </c>
      <c r="B1713" s="7">
        <v>2010</v>
      </c>
      <c r="C1713" s="51" t="s">
        <v>709</v>
      </c>
      <c r="D1713" t="s">
        <v>717</v>
      </c>
      <c r="E1713" s="2">
        <v>7.0049999999999999</v>
      </c>
    </row>
    <row r="1714" spans="1:5" x14ac:dyDescent="0.25">
      <c r="A1714" s="32" t="s">
        <v>767</v>
      </c>
      <c r="B1714" s="7">
        <v>2010</v>
      </c>
      <c r="C1714" s="51" t="s">
        <v>712</v>
      </c>
      <c r="D1714" t="s">
        <v>717</v>
      </c>
      <c r="E1714" s="2">
        <v>6.1879999999999997</v>
      </c>
    </row>
    <row r="1715" spans="1:5" x14ac:dyDescent="0.25">
      <c r="A1715" s="32" t="s">
        <v>767</v>
      </c>
      <c r="B1715" s="7">
        <v>2010</v>
      </c>
      <c r="C1715" s="51" t="s">
        <v>710</v>
      </c>
      <c r="D1715" t="s">
        <v>717</v>
      </c>
      <c r="E1715" s="2">
        <v>6.4790000000000001</v>
      </c>
    </row>
    <row r="1716" spans="1:5" x14ac:dyDescent="0.25">
      <c r="A1716" s="32" t="s">
        <v>767</v>
      </c>
      <c r="B1716" s="7">
        <v>2010</v>
      </c>
      <c r="C1716" s="51" t="s">
        <v>702</v>
      </c>
      <c r="D1716" t="s">
        <v>717</v>
      </c>
      <c r="E1716" s="2">
        <v>7.3979999999999997</v>
      </c>
    </row>
    <row r="1717" spans="1:5" x14ac:dyDescent="0.25">
      <c r="A1717" s="32" t="s">
        <v>767</v>
      </c>
      <c r="B1717" s="7">
        <v>2010</v>
      </c>
      <c r="C1717" s="51" t="s">
        <v>703</v>
      </c>
      <c r="D1717" t="s">
        <v>717</v>
      </c>
      <c r="E1717" s="2">
        <v>7.1050000000000004</v>
      </c>
    </row>
    <row r="1718" spans="1:5" x14ac:dyDescent="0.25">
      <c r="A1718" s="32" t="s">
        <v>767</v>
      </c>
      <c r="B1718" s="7">
        <v>2010</v>
      </c>
      <c r="C1718" s="51" t="s">
        <v>704</v>
      </c>
      <c r="D1718" t="s">
        <v>717</v>
      </c>
      <c r="E1718" s="2">
        <v>7.17</v>
      </c>
    </row>
    <row r="1719" spans="1:5" x14ac:dyDescent="0.25">
      <c r="A1719" s="32" t="s">
        <v>767</v>
      </c>
      <c r="B1719" s="7">
        <v>2010</v>
      </c>
      <c r="C1719" s="51" t="s">
        <v>705</v>
      </c>
      <c r="D1719" t="s">
        <v>717</v>
      </c>
      <c r="E1719" s="2">
        <v>6.7329999999999997</v>
      </c>
    </row>
    <row r="1720" spans="1:5" x14ac:dyDescent="0.25">
      <c r="A1720" s="32" t="s">
        <v>767</v>
      </c>
      <c r="B1720" s="7">
        <v>2010</v>
      </c>
      <c r="C1720" s="51" t="s">
        <v>706</v>
      </c>
      <c r="D1720" t="s">
        <v>717</v>
      </c>
      <c r="E1720" s="2">
        <v>7.1760000000000002</v>
      </c>
    </row>
    <row r="1721" spans="1:5" x14ac:dyDescent="0.25">
      <c r="A1721" s="32" t="s">
        <v>767</v>
      </c>
      <c r="B1721" s="7">
        <v>2011</v>
      </c>
      <c r="C1721" s="51" t="s">
        <v>713</v>
      </c>
      <c r="D1721" t="s">
        <v>717</v>
      </c>
      <c r="E1721" s="2">
        <v>8.5419999999999998</v>
      </c>
    </row>
    <row r="1722" spans="1:5" x14ac:dyDescent="0.25">
      <c r="A1722" s="32" t="s">
        <v>767</v>
      </c>
      <c r="B1722" s="7">
        <v>2011</v>
      </c>
      <c r="C1722" s="51" t="s">
        <v>707</v>
      </c>
      <c r="D1722" t="s">
        <v>717</v>
      </c>
      <c r="E1722" s="2">
        <v>8.6329999999999991</v>
      </c>
    </row>
    <row r="1723" spans="1:5" x14ac:dyDescent="0.25">
      <c r="A1723" s="32" t="s">
        <v>767</v>
      </c>
      <c r="B1723" s="7">
        <v>2011</v>
      </c>
      <c r="C1723" s="51" t="s">
        <v>708</v>
      </c>
      <c r="D1723" t="s">
        <v>717</v>
      </c>
      <c r="E1723" s="2">
        <v>8.3789999999999996</v>
      </c>
    </row>
    <row r="1724" spans="1:5" x14ac:dyDescent="0.25">
      <c r="A1724" s="32" t="s">
        <v>767</v>
      </c>
      <c r="B1724" s="7">
        <v>2011</v>
      </c>
      <c r="C1724" s="51" t="s">
        <v>699</v>
      </c>
      <c r="D1724" t="s">
        <v>717</v>
      </c>
      <c r="E1724" s="2">
        <v>7.4039999999999999</v>
      </c>
    </row>
    <row r="1725" spans="1:5" x14ac:dyDescent="0.25">
      <c r="A1725" s="32" t="s">
        <v>767</v>
      </c>
      <c r="B1725" s="7">
        <v>2011</v>
      </c>
      <c r="C1725" s="51" t="s">
        <v>709</v>
      </c>
      <c r="D1725" t="s">
        <v>717</v>
      </c>
      <c r="E1725" s="2">
        <v>8.9160000000000004</v>
      </c>
    </row>
    <row r="1726" spans="1:5" x14ac:dyDescent="0.25">
      <c r="A1726" s="32" t="s">
        <v>767</v>
      </c>
      <c r="B1726" s="7">
        <v>2011</v>
      </c>
      <c r="C1726" s="51" t="s">
        <v>712</v>
      </c>
      <c r="D1726" t="s">
        <v>717</v>
      </c>
      <c r="E1726" s="2">
        <v>8.1999999999999993</v>
      </c>
    </row>
    <row r="1727" spans="1:5" x14ac:dyDescent="0.25">
      <c r="A1727" s="32" t="s">
        <v>767</v>
      </c>
      <c r="B1727" s="7">
        <v>2011</v>
      </c>
      <c r="C1727" s="51" t="s">
        <v>710</v>
      </c>
      <c r="D1727" t="s">
        <v>717</v>
      </c>
      <c r="E1727" s="2">
        <v>8.1560000000000006</v>
      </c>
    </row>
    <row r="1728" spans="1:5" x14ac:dyDescent="0.25">
      <c r="A1728" s="32" t="s">
        <v>767</v>
      </c>
      <c r="B1728" s="7">
        <v>2011</v>
      </c>
      <c r="C1728" s="51" t="s">
        <v>702</v>
      </c>
      <c r="D1728" t="s">
        <v>717</v>
      </c>
      <c r="E1728" s="2">
        <v>7.5609999999999999</v>
      </c>
    </row>
    <row r="1729" spans="1:5" x14ac:dyDescent="0.25">
      <c r="A1729" s="32" t="s">
        <v>767</v>
      </c>
      <c r="B1729" s="7">
        <v>2011</v>
      </c>
      <c r="C1729" s="51" t="s">
        <v>703</v>
      </c>
      <c r="D1729" t="s">
        <v>717</v>
      </c>
      <c r="E1729" s="2">
        <v>8.4730000000000008</v>
      </c>
    </row>
    <row r="1730" spans="1:5" x14ac:dyDescent="0.25">
      <c r="A1730" s="32" t="s">
        <v>767</v>
      </c>
      <c r="B1730" s="7">
        <v>2011</v>
      </c>
      <c r="C1730" s="51" t="s">
        <v>704</v>
      </c>
      <c r="D1730" t="s">
        <v>717</v>
      </c>
      <c r="E1730" s="2">
        <v>8.0690000000000008</v>
      </c>
    </row>
    <row r="1731" spans="1:5" x14ac:dyDescent="0.25">
      <c r="A1731" s="32" t="s">
        <v>767</v>
      </c>
      <c r="B1731" s="7">
        <v>2011</v>
      </c>
      <c r="C1731" s="51" t="s">
        <v>705</v>
      </c>
      <c r="D1731" t="s">
        <v>717</v>
      </c>
      <c r="E1731" s="2">
        <v>6.2050000000000001</v>
      </c>
    </row>
    <row r="1732" spans="1:5" x14ac:dyDescent="0.25">
      <c r="A1732" s="32" t="s">
        <v>767</v>
      </c>
      <c r="B1732" s="7">
        <v>2011</v>
      </c>
      <c r="C1732" s="51" t="s">
        <v>706</v>
      </c>
      <c r="D1732" t="s">
        <v>717</v>
      </c>
      <c r="E1732" s="2">
        <v>6.7140000000000004</v>
      </c>
    </row>
    <row r="1733" spans="1:5" x14ac:dyDescent="0.25">
      <c r="A1733" s="32" t="s">
        <v>767</v>
      </c>
      <c r="B1733" s="7">
        <v>2012</v>
      </c>
      <c r="C1733" s="51" t="s">
        <v>713</v>
      </c>
      <c r="D1733" t="s">
        <v>717</v>
      </c>
      <c r="E1733" s="2">
        <v>7.5979999999999999</v>
      </c>
    </row>
    <row r="1734" spans="1:5" x14ac:dyDescent="0.25">
      <c r="A1734" s="32" t="s">
        <v>767</v>
      </c>
      <c r="B1734" s="7">
        <v>2012</v>
      </c>
      <c r="C1734" s="51" t="s">
        <v>707</v>
      </c>
      <c r="D1734" t="s">
        <v>717</v>
      </c>
      <c r="E1734" s="2">
        <v>6.4790000000000001</v>
      </c>
    </row>
    <row r="1735" spans="1:5" x14ac:dyDescent="0.25">
      <c r="A1735" s="32" t="s">
        <v>767</v>
      </c>
      <c r="B1735" s="7">
        <v>2012</v>
      </c>
      <c r="C1735" s="51" t="s">
        <v>708</v>
      </c>
      <c r="D1735" t="s">
        <v>717</v>
      </c>
      <c r="E1735" s="2">
        <v>7.4279999999999999</v>
      </c>
    </row>
    <row r="1736" spans="1:5" x14ac:dyDescent="0.25">
      <c r="A1736" s="32" t="s">
        <v>767</v>
      </c>
      <c r="B1736" s="7">
        <v>2012</v>
      </c>
      <c r="C1736" s="51" t="s">
        <v>699</v>
      </c>
      <c r="D1736" t="s">
        <v>717</v>
      </c>
      <c r="E1736" s="2">
        <v>7.8789999999999996</v>
      </c>
    </row>
    <row r="1737" spans="1:5" x14ac:dyDescent="0.25">
      <c r="A1737" s="32" t="s">
        <v>767</v>
      </c>
      <c r="B1737" s="7">
        <v>2012</v>
      </c>
      <c r="C1737" s="51" t="s">
        <v>709</v>
      </c>
      <c r="D1737" t="s">
        <v>717</v>
      </c>
      <c r="E1737" s="2">
        <v>8.6519999999999992</v>
      </c>
    </row>
    <row r="1738" spans="1:5" x14ac:dyDescent="0.25">
      <c r="A1738" s="32" t="s">
        <v>767</v>
      </c>
      <c r="B1738" s="7">
        <v>2012</v>
      </c>
      <c r="C1738" s="51" t="s">
        <v>712</v>
      </c>
      <c r="D1738" t="s">
        <v>717</v>
      </c>
      <c r="E1738" s="2">
        <v>8.0980000000000008</v>
      </c>
    </row>
    <row r="1739" spans="1:5" x14ac:dyDescent="0.25">
      <c r="A1739" s="32" t="s">
        <v>767</v>
      </c>
      <c r="B1739" s="7">
        <v>2012</v>
      </c>
      <c r="C1739" s="51" t="s">
        <v>710</v>
      </c>
      <c r="D1739" t="s">
        <v>717</v>
      </c>
      <c r="E1739" s="2">
        <v>9.1980000000000004</v>
      </c>
    </row>
    <row r="1740" spans="1:5" x14ac:dyDescent="0.25">
      <c r="A1740" s="32" t="s">
        <v>767</v>
      </c>
      <c r="B1740" s="7">
        <v>2012</v>
      </c>
      <c r="C1740" s="51" t="s">
        <v>702</v>
      </c>
      <c r="D1740" t="s">
        <v>717</v>
      </c>
      <c r="E1740" s="2">
        <v>7.133</v>
      </c>
    </row>
    <row r="1741" spans="1:5" x14ac:dyDescent="0.25">
      <c r="A1741" s="32" t="s">
        <v>767</v>
      </c>
      <c r="B1741" s="7">
        <v>2012</v>
      </c>
      <c r="C1741" s="51" t="s">
        <v>703</v>
      </c>
      <c r="D1741" t="s">
        <v>717</v>
      </c>
      <c r="E1741" s="2">
        <v>7.1779999999999999</v>
      </c>
    </row>
    <row r="1742" spans="1:5" x14ac:dyDescent="0.25">
      <c r="A1742" s="32" t="s">
        <v>767</v>
      </c>
      <c r="B1742" s="7">
        <v>2012</v>
      </c>
      <c r="C1742" s="51" t="s">
        <v>704</v>
      </c>
      <c r="D1742" t="s">
        <v>717</v>
      </c>
      <c r="E1742" s="2">
        <v>7.48</v>
      </c>
    </row>
    <row r="1743" spans="1:5" x14ac:dyDescent="0.25">
      <c r="A1743" s="32" t="s">
        <v>767</v>
      </c>
      <c r="B1743" s="7">
        <v>2012</v>
      </c>
      <c r="C1743" s="51" t="s">
        <v>705</v>
      </c>
      <c r="D1743" t="s">
        <v>717</v>
      </c>
      <c r="E1743" s="2">
        <v>4.2869999999999999</v>
      </c>
    </row>
    <row r="1744" spans="1:5" x14ac:dyDescent="0.25">
      <c r="A1744" s="32" t="s">
        <v>767</v>
      </c>
      <c r="B1744" s="7">
        <v>2012</v>
      </c>
      <c r="C1744" s="51" t="s">
        <v>706</v>
      </c>
      <c r="D1744" t="s">
        <v>717</v>
      </c>
      <c r="E1744" s="2">
        <v>4.7</v>
      </c>
    </row>
    <row r="1745" spans="1:5" x14ac:dyDescent="0.25">
      <c r="A1745" s="32" t="s">
        <v>767</v>
      </c>
      <c r="B1745" s="7">
        <v>2013</v>
      </c>
      <c r="C1745" s="51" t="s">
        <v>713</v>
      </c>
      <c r="D1745" t="s">
        <v>717</v>
      </c>
      <c r="E1745" s="2">
        <v>6.1420000000000003</v>
      </c>
    </row>
    <row r="1746" spans="1:5" x14ac:dyDescent="0.25">
      <c r="A1746" s="32" t="s">
        <v>767</v>
      </c>
      <c r="B1746" s="7">
        <v>2013</v>
      </c>
      <c r="C1746" s="51" t="s">
        <v>707</v>
      </c>
      <c r="D1746" t="s">
        <v>717</v>
      </c>
      <c r="E1746" s="2">
        <v>4.8719999999999999</v>
      </c>
    </row>
    <row r="1747" spans="1:5" x14ac:dyDescent="0.25">
      <c r="A1747" s="32" t="s">
        <v>767</v>
      </c>
      <c r="B1747" s="7">
        <v>2013</v>
      </c>
      <c r="C1747" s="51" t="s">
        <v>708</v>
      </c>
      <c r="D1747" t="s">
        <v>717</v>
      </c>
      <c r="E1747" s="2">
        <v>6.39</v>
      </c>
    </row>
    <row r="1748" spans="1:5" x14ac:dyDescent="0.25">
      <c r="A1748" s="32" t="s">
        <v>767</v>
      </c>
      <c r="B1748" s="7">
        <v>2013</v>
      </c>
      <c r="C1748" s="51" t="s">
        <v>699</v>
      </c>
      <c r="D1748" t="s">
        <v>717</v>
      </c>
      <c r="E1748" s="2">
        <v>6.4619999999999997</v>
      </c>
    </row>
    <row r="1749" spans="1:5" x14ac:dyDescent="0.25">
      <c r="A1749" s="32" t="s">
        <v>767</v>
      </c>
      <c r="B1749" s="7">
        <v>2013</v>
      </c>
      <c r="C1749" s="51" t="s">
        <v>709</v>
      </c>
      <c r="D1749" t="s">
        <v>717</v>
      </c>
      <c r="E1749" s="2">
        <v>6.76</v>
      </c>
    </row>
    <row r="1750" spans="1:5" x14ac:dyDescent="0.25">
      <c r="A1750" s="32" t="s">
        <v>767</v>
      </c>
      <c r="B1750" s="7">
        <v>2013</v>
      </c>
      <c r="C1750" s="51" t="s">
        <v>712</v>
      </c>
      <c r="D1750" t="s">
        <v>717</v>
      </c>
      <c r="E1750" s="2">
        <v>6.9260000000000002</v>
      </c>
    </row>
    <row r="1751" spans="1:5" x14ac:dyDescent="0.25">
      <c r="A1751" s="32" t="s">
        <v>767</v>
      </c>
      <c r="B1751" s="7">
        <v>2013</v>
      </c>
      <c r="C1751" s="51" t="s">
        <v>710</v>
      </c>
      <c r="D1751" t="s">
        <v>717</v>
      </c>
      <c r="E1751" s="2">
        <v>6.1680000000000001</v>
      </c>
    </row>
    <row r="1752" spans="1:5" x14ac:dyDescent="0.25">
      <c r="A1752" s="32" t="s">
        <v>767</v>
      </c>
      <c r="B1752" s="7">
        <v>2013</v>
      </c>
      <c r="C1752" s="51" t="s">
        <v>702</v>
      </c>
      <c r="D1752" t="s">
        <v>717</v>
      </c>
      <c r="E1752" s="2">
        <v>5.3079999999999998</v>
      </c>
    </row>
    <row r="1753" spans="1:5" x14ac:dyDescent="0.25">
      <c r="A1753" s="32" t="s">
        <v>767</v>
      </c>
      <c r="B1753" s="7">
        <v>2013</v>
      </c>
      <c r="C1753" s="51" t="s">
        <v>703</v>
      </c>
      <c r="D1753" t="s">
        <v>717</v>
      </c>
      <c r="E1753" s="2">
        <v>5.8540000000000001</v>
      </c>
    </row>
    <row r="1754" spans="1:5" x14ac:dyDescent="0.25">
      <c r="A1754" s="32" t="s">
        <v>767</v>
      </c>
      <c r="B1754" s="7">
        <v>2013</v>
      </c>
      <c r="C1754" s="51" t="s">
        <v>704</v>
      </c>
      <c r="D1754" t="s">
        <v>717</v>
      </c>
      <c r="E1754" s="2">
        <v>6.2629999999999999</v>
      </c>
    </row>
    <row r="1755" spans="1:5" x14ac:dyDescent="0.25">
      <c r="A1755" s="32" t="s">
        <v>767</v>
      </c>
      <c r="B1755" s="7">
        <v>2013</v>
      </c>
      <c r="C1755" s="51" t="s">
        <v>705</v>
      </c>
      <c r="D1755" t="s">
        <v>717</v>
      </c>
      <c r="E1755" s="2">
        <v>6.0869999999999997</v>
      </c>
    </row>
    <row r="1756" spans="1:5" x14ac:dyDescent="0.25">
      <c r="A1756" s="32" t="s">
        <v>767</v>
      </c>
      <c r="B1756" s="7">
        <v>2013</v>
      </c>
      <c r="C1756" s="51" t="s">
        <v>706</v>
      </c>
      <c r="D1756" t="s">
        <v>717</v>
      </c>
      <c r="E1756" s="2">
        <v>7.3949999999999996</v>
      </c>
    </row>
    <row r="1757" spans="1:5" x14ac:dyDescent="0.25">
      <c r="A1757" s="32" t="s">
        <v>767</v>
      </c>
      <c r="B1757" s="7">
        <v>2014</v>
      </c>
      <c r="C1757" s="51" t="s">
        <v>713</v>
      </c>
      <c r="D1757" t="s">
        <v>717</v>
      </c>
      <c r="E1757" s="2">
        <v>6.9459999999999997</v>
      </c>
    </row>
    <row r="1758" spans="1:5" x14ac:dyDescent="0.25">
      <c r="A1758" s="32" t="s">
        <v>767</v>
      </c>
      <c r="B1758" s="7">
        <v>2014</v>
      </c>
      <c r="C1758" s="51" t="s">
        <v>707</v>
      </c>
      <c r="D1758" t="s">
        <v>717</v>
      </c>
      <c r="E1758" s="2">
        <v>6.8630000000000004</v>
      </c>
    </row>
    <row r="1759" spans="1:5" x14ac:dyDescent="0.25">
      <c r="A1759" s="32" t="s">
        <v>767</v>
      </c>
      <c r="B1759" s="7">
        <v>2014</v>
      </c>
      <c r="C1759" s="51" t="s">
        <v>708</v>
      </c>
      <c r="D1759" t="s">
        <v>717</v>
      </c>
      <c r="E1759" s="2">
        <v>7.9660000000000002</v>
      </c>
    </row>
    <row r="1760" spans="1:5" x14ac:dyDescent="0.25">
      <c r="A1760" s="32" t="s">
        <v>767</v>
      </c>
      <c r="B1760" s="7">
        <v>2014</v>
      </c>
      <c r="C1760" s="51" t="s">
        <v>699</v>
      </c>
      <c r="D1760" t="s">
        <v>717</v>
      </c>
      <c r="E1760" s="2">
        <v>7.2679999999999998</v>
      </c>
    </row>
    <row r="1761" spans="1:5" x14ac:dyDescent="0.25">
      <c r="A1761" s="32" t="s">
        <v>767</v>
      </c>
      <c r="B1761" s="7">
        <v>2014</v>
      </c>
      <c r="C1761" s="51" t="s">
        <v>709</v>
      </c>
      <c r="D1761" t="s">
        <v>717</v>
      </c>
      <c r="E1761" s="2">
        <v>10.474</v>
      </c>
    </row>
    <row r="1762" spans="1:5" x14ac:dyDescent="0.25">
      <c r="A1762" s="32" t="s">
        <v>767</v>
      </c>
      <c r="B1762" s="7">
        <v>2014</v>
      </c>
      <c r="C1762" s="51" t="s">
        <v>712</v>
      </c>
      <c r="D1762" t="s">
        <v>717</v>
      </c>
      <c r="E1762" s="2">
        <v>7.29</v>
      </c>
    </row>
    <row r="1763" spans="1:5" x14ac:dyDescent="0.25">
      <c r="A1763" s="32" t="s">
        <v>767</v>
      </c>
      <c r="B1763" s="7">
        <v>2014</v>
      </c>
      <c r="C1763" s="51" t="s">
        <v>710</v>
      </c>
      <c r="D1763" t="s">
        <v>717</v>
      </c>
      <c r="E1763" s="2">
        <v>7.1280000000000001</v>
      </c>
    </row>
    <row r="1764" spans="1:5" x14ac:dyDescent="0.25">
      <c r="A1764" s="32" t="s">
        <v>767</v>
      </c>
      <c r="B1764" s="7">
        <v>2014</v>
      </c>
      <c r="C1764" s="51" t="s">
        <v>702</v>
      </c>
      <c r="D1764" t="s">
        <v>717</v>
      </c>
      <c r="E1764" s="2">
        <v>7.2160000000000002</v>
      </c>
    </row>
    <row r="1765" spans="1:5" x14ac:dyDescent="0.25">
      <c r="A1765" s="32" t="s">
        <v>767</v>
      </c>
      <c r="B1765" s="7">
        <v>2014</v>
      </c>
      <c r="C1765" s="51" t="s">
        <v>703</v>
      </c>
      <c r="D1765" t="s">
        <v>717</v>
      </c>
      <c r="E1765" s="2">
        <v>7.4610000000000003</v>
      </c>
    </row>
    <row r="1766" spans="1:5" x14ac:dyDescent="0.25">
      <c r="A1766" s="32" t="s">
        <v>767</v>
      </c>
      <c r="B1766" s="7">
        <v>2014</v>
      </c>
      <c r="C1766" s="51" t="s">
        <v>704</v>
      </c>
      <c r="D1766" t="s">
        <v>717</v>
      </c>
      <c r="E1766" s="2">
        <v>7.9180000000000001</v>
      </c>
    </row>
    <row r="1767" spans="1:5" x14ac:dyDescent="0.25">
      <c r="A1767" s="32" t="s">
        <v>767</v>
      </c>
      <c r="B1767" s="7">
        <v>2014</v>
      </c>
      <c r="C1767" s="51" t="s">
        <v>705</v>
      </c>
      <c r="D1767" t="s">
        <v>717</v>
      </c>
      <c r="E1767" s="2">
        <v>7.9169999999999998</v>
      </c>
    </row>
    <row r="1768" spans="1:5" x14ac:dyDescent="0.25">
      <c r="A1768" s="32" t="s">
        <v>767</v>
      </c>
      <c r="B1768" s="7">
        <v>2014</v>
      </c>
      <c r="C1768" s="51" t="s">
        <v>706</v>
      </c>
      <c r="D1768" t="s">
        <v>717</v>
      </c>
      <c r="E1768" s="2">
        <v>7.2679999999999998</v>
      </c>
    </row>
    <row r="1769" spans="1:5" x14ac:dyDescent="0.25">
      <c r="A1769" s="32" t="s">
        <v>767</v>
      </c>
      <c r="B1769" s="7">
        <v>2015</v>
      </c>
      <c r="C1769" s="51" t="s">
        <v>713</v>
      </c>
      <c r="D1769" t="s">
        <v>717</v>
      </c>
      <c r="E1769" s="2">
        <v>7.649</v>
      </c>
    </row>
    <row r="1770" spans="1:5" x14ac:dyDescent="0.25">
      <c r="A1770" s="32" t="s">
        <v>767</v>
      </c>
      <c r="B1770" s="7">
        <v>2015</v>
      </c>
      <c r="C1770" s="51" t="s">
        <v>707</v>
      </c>
      <c r="D1770" t="s">
        <v>717</v>
      </c>
      <c r="E1770" s="2">
        <v>6.4080000000000004</v>
      </c>
    </row>
    <row r="1771" spans="1:5" x14ac:dyDescent="0.25">
      <c r="A1771" s="32" t="s">
        <v>767</v>
      </c>
      <c r="B1771" s="7">
        <v>2015</v>
      </c>
      <c r="C1771" s="51" t="s">
        <v>708</v>
      </c>
      <c r="D1771" t="s">
        <v>717</v>
      </c>
      <c r="E1771" s="2">
        <v>8.24</v>
      </c>
    </row>
    <row r="1772" spans="1:5" x14ac:dyDescent="0.25">
      <c r="A1772" s="32" t="s">
        <v>767</v>
      </c>
      <c r="B1772" s="7">
        <v>2015</v>
      </c>
      <c r="C1772" s="51" t="s">
        <v>699</v>
      </c>
      <c r="D1772" t="s">
        <v>717</v>
      </c>
      <c r="E1772" s="2">
        <v>8.7260000000000009</v>
      </c>
    </row>
    <row r="1773" spans="1:5" x14ac:dyDescent="0.25">
      <c r="A1773" s="32" t="s">
        <v>767</v>
      </c>
      <c r="B1773" s="7">
        <v>2015</v>
      </c>
      <c r="C1773" s="51" t="s">
        <v>709</v>
      </c>
      <c r="D1773" t="s">
        <v>717</v>
      </c>
      <c r="E1773" s="2">
        <v>9.2420000000000009</v>
      </c>
    </row>
    <row r="1774" spans="1:5" x14ac:dyDescent="0.25">
      <c r="A1774" s="32" t="s">
        <v>767</v>
      </c>
      <c r="B1774" s="7">
        <v>2015</v>
      </c>
      <c r="C1774" s="51" t="s">
        <v>712</v>
      </c>
      <c r="D1774" t="s">
        <v>717</v>
      </c>
      <c r="E1774" s="2">
        <v>9.7940000000000005</v>
      </c>
    </row>
    <row r="1775" spans="1:5" x14ac:dyDescent="0.25">
      <c r="A1775" s="32" t="s">
        <v>767</v>
      </c>
      <c r="B1775" s="7">
        <v>2015</v>
      </c>
      <c r="C1775" s="51" t="s">
        <v>710</v>
      </c>
      <c r="D1775" t="s">
        <v>717</v>
      </c>
      <c r="E1775" s="2">
        <v>6.8650000000000002</v>
      </c>
    </row>
    <row r="1776" spans="1:5" x14ac:dyDescent="0.25">
      <c r="A1776" s="32" t="s">
        <v>767</v>
      </c>
      <c r="B1776" s="7">
        <v>2015</v>
      </c>
      <c r="C1776" s="51" t="s">
        <v>702</v>
      </c>
      <c r="D1776" t="s">
        <v>717</v>
      </c>
      <c r="E1776" s="2">
        <v>7.0250000000000004</v>
      </c>
    </row>
    <row r="1777" spans="1:5" x14ac:dyDescent="0.25">
      <c r="A1777" s="32" t="s">
        <v>767</v>
      </c>
      <c r="B1777" s="7">
        <v>2015</v>
      </c>
      <c r="C1777" s="51" t="s">
        <v>703</v>
      </c>
      <c r="D1777" t="s">
        <v>717</v>
      </c>
      <c r="E1777" s="2">
        <v>6.508</v>
      </c>
    </row>
    <row r="1778" spans="1:5" x14ac:dyDescent="0.25">
      <c r="A1778" s="32" t="s">
        <v>767</v>
      </c>
      <c r="B1778" s="7">
        <v>2015</v>
      </c>
      <c r="C1778" s="51" t="s">
        <v>704</v>
      </c>
      <c r="D1778" t="s">
        <v>717</v>
      </c>
      <c r="E1778" s="2">
        <v>6.3639999999999999</v>
      </c>
    </row>
    <row r="1779" spans="1:5" x14ac:dyDescent="0.25">
      <c r="A1779" s="32" t="s">
        <v>767</v>
      </c>
      <c r="B1779" s="7">
        <v>2015</v>
      </c>
      <c r="C1779" s="51" t="s">
        <v>705</v>
      </c>
      <c r="D1779" t="s">
        <v>717</v>
      </c>
      <c r="E1779" s="2">
        <v>5.0259999999999998</v>
      </c>
    </row>
    <row r="1780" spans="1:5" x14ac:dyDescent="0.25">
      <c r="A1780" s="32" t="s">
        <v>767</v>
      </c>
      <c r="B1780" s="7">
        <v>2015</v>
      </c>
      <c r="C1780" s="51" t="s">
        <v>706</v>
      </c>
      <c r="D1780" t="s">
        <v>717</v>
      </c>
      <c r="E1780" s="2">
        <v>6.2880000000000003</v>
      </c>
    </row>
    <row r="1781" spans="1:5" x14ac:dyDescent="0.25">
      <c r="A1781" s="32" t="s">
        <v>767</v>
      </c>
      <c r="B1781" s="7">
        <v>2016</v>
      </c>
      <c r="C1781" s="51" t="s">
        <v>713</v>
      </c>
      <c r="D1781" t="s">
        <v>717</v>
      </c>
      <c r="E1781" s="2">
        <v>7.4009999999999998</v>
      </c>
    </row>
    <row r="1782" spans="1:5" x14ac:dyDescent="0.25">
      <c r="A1782" s="32" t="s">
        <v>767</v>
      </c>
      <c r="B1782" s="7">
        <v>2016</v>
      </c>
      <c r="C1782" s="51" t="s">
        <v>707</v>
      </c>
      <c r="D1782" t="s">
        <v>717</v>
      </c>
      <c r="E1782" s="2">
        <v>8.3290000000000006</v>
      </c>
    </row>
    <row r="1783" spans="1:5" x14ac:dyDescent="0.25">
      <c r="A1783" s="32" t="s">
        <v>767</v>
      </c>
      <c r="B1783" s="7">
        <v>2016</v>
      </c>
      <c r="C1783" s="51" t="s">
        <v>708</v>
      </c>
      <c r="D1783" t="s">
        <v>717</v>
      </c>
      <c r="E1783" s="2">
        <v>7.9809999999999999</v>
      </c>
    </row>
    <row r="1784" spans="1:5" x14ac:dyDescent="0.25">
      <c r="A1784" s="32" t="s">
        <v>767</v>
      </c>
      <c r="B1784" s="7">
        <v>2016</v>
      </c>
      <c r="C1784" s="51" t="s">
        <v>699</v>
      </c>
      <c r="D1784" t="s">
        <v>717</v>
      </c>
      <c r="E1784" s="2">
        <v>7.8360000000000003</v>
      </c>
    </row>
    <row r="1785" spans="1:5" x14ac:dyDescent="0.25">
      <c r="A1785" s="32" t="s">
        <v>767</v>
      </c>
      <c r="B1785" s="7">
        <v>2016</v>
      </c>
      <c r="C1785" s="51" t="s">
        <v>709</v>
      </c>
      <c r="D1785" t="s">
        <v>717</v>
      </c>
      <c r="E1785" s="2">
        <v>9.3469999999999995</v>
      </c>
    </row>
    <row r="1786" spans="1:5" x14ac:dyDescent="0.25">
      <c r="A1786" s="32" t="s">
        <v>767</v>
      </c>
      <c r="B1786" s="7">
        <v>2016</v>
      </c>
      <c r="C1786" s="51" t="s">
        <v>712</v>
      </c>
      <c r="D1786" t="s">
        <v>717</v>
      </c>
      <c r="E1786" s="2">
        <v>8.8190000000000008</v>
      </c>
    </row>
    <row r="1787" spans="1:5" x14ac:dyDescent="0.25">
      <c r="A1787" s="32" t="s">
        <v>767</v>
      </c>
      <c r="B1787" s="7">
        <v>2016</v>
      </c>
      <c r="C1787" s="51" t="s">
        <v>710</v>
      </c>
      <c r="D1787" t="s">
        <v>717</v>
      </c>
      <c r="E1787" s="2">
        <v>8.4030000000000005</v>
      </c>
    </row>
    <row r="1788" spans="1:5" x14ac:dyDescent="0.25">
      <c r="A1788" s="32" t="s">
        <v>767</v>
      </c>
      <c r="B1788" s="7">
        <v>2016</v>
      </c>
      <c r="C1788" s="51" t="s">
        <v>702</v>
      </c>
      <c r="D1788" t="s">
        <v>717</v>
      </c>
      <c r="E1788" s="2">
        <v>8.4260000000000002</v>
      </c>
    </row>
    <row r="1789" spans="1:5" x14ac:dyDescent="0.25">
      <c r="A1789" s="32" t="s">
        <v>767</v>
      </c>
      <c r="B1789" s="7">
        <v>2016</v>
      </c>
      <c r="C1789" s="51" t="s">
        <v>703</v>
      </c>
      <c r="D1789" t="s">
        <v>717</v>
      </c>
      <c r="E1789" s="2">
        <v>7.6079999999999997</v>
      </c>
    </row>
    <row r="1790" spans="1:5" x14ac:dyDescent="0.25">
      <c r="A1790" s="32" t="s">
        <v>767</v>
      </c>
      <c r="B1790" s="7">
        <v>2016</v>
      </c>
      <c r="C1790" s="51" t="s">
        <v>704</v>
      </c>
      <c r="D1790" t="s">
        <v>717</v>
      </c>
      <c r="E1790" s="2">
        <v>7.6260000000000003</v>
      </c>
    </row>
    <row r="1791" spans="1:5" x14ac:dyDescent="0.25">
      <c r="A1791" s="32" t="s">
        <v>767</v>
      </c>
      <c r="B1791" s="7">
        <v>2016</v>
      </c>
      <c r="C1791" s="51" t="s">
        <v>705</v>
      </c>
      <c r="D1791" t="s">
        <v>717</v>
      </c>
      <c r="E1791" s="2">
        <v>6.1890000000000001</v>
      </c>
    </row>
    <row r="1792" spans="1:5" x14ac:dyDescent="0.25">
      <c r="A1792" s="32" t="s">
        <v>767</v>
      </c>
      <c r="B1792" s="7">
        <v>2016</v>
      </c>
      <c r="C1792" s="51" t="s">
        <v>706</v>
      </c>
      <c r="D1792" t="s">
        <v>717</v>
      </c>
      <c r="E1792" s="2">
        <v>8.8339999999999996</v>
      </c>
    </row>
    <row r="1793" spans="1:5" x14ac:dyDescent="0.25">
      <c r="A1793" s="32" t="s">
        <v>767</v>
      </c>
      <c r="B1793" s="7">
        <v>2017</v>
      </c>
      <c r="C1793" s="51" t="s">
        <v>713</v>
      </c>
      <c r="D1793" t="s">
        <v>717</v>
      </c>
      <c r="E1793" s="2">
        <v>8.4550000000000001</v>
      </c>
    </row>
    <row r="1794" spans="1:5" x14ac:dyDescent="0.25">
      <c r="A1794" s="32" t="s">
        <v>767</v>
      </c>
      <c r="B1794" s="7">
        <v>2017</v>
      </c>
      <c r="C1794" s="51" t="s">
        <v>707</v>
      </c>
      <c r="D1794" t="s">
        <v>717</v>
      </c>
      <c r="E1794" s="2">
        <v>7.6210000000000004</v>
      </c>
    </row>
    <row r="1795" spans="1:5" x14ac:dyDescent="0.25">
      <c r="A1795" s="32" t="s">
        <v>767</v>
      </c>
      <c r="B1795" s="7">
        <v>2017</v>
      </c>
      <c r="C1795" s="51" t="s">
        <v>708</v>
      </c>
      <c r="D1795" t="s">
        <v>717</v>
      </c>
      <c r="E1795" s="2">
        <v>8.2829999999999995</v>
      </c>
    </row>
    <row r="1796" spans="1:5" x14ac:dyDescent="0.25">
      <c r="A1796" s="32" t="s">
        <v>767</v>
      </c>
      <c r="B1796" s="7">
        <v>2017</v>
      </c>
      <c r="C1796" s="51" t="s">
        <v>699</v>
      </c>
      <c r="D1796" t="s">
        <v>717</v>
      </c>
      <c r="E1796" s="2">
        <v>7.6479999999999997</v>
      </c>
    </row>
    <row r="1797" spans="1:5" x14ac:dyDescent="0.25">
      <c r="A1797" s="32" t="s">
        <v>767</v>
      </c>
      <c r="B1797" s="7">
        <v>2017</v>
      </c>
      <c r="C1797" s="51" t="s">
        <v>709</v>
      </c>
      <c r="D1797" t="s">
        <v>717</v>
      </c>
      <c r="E1797" s="2">
        <v>7.9260000000000002</v>
      </c>
    </row>
    <row r="1798" spans="1:5" x14ac:dyDescent="0.25">
      <c r="A1798" s="32" t="s">
        <v>767</v>
      </c>
      <c r="B1798" s="7">
        <v>2017</v>
      </c>
      <c r="C1798" s="51" t="s">
        <v>712</v>
      </c>
      <c r="D1798" t="s">
        <v>717</v>
      </c>
      <c r="E1798" s="2">
        <v>7.6449999999999996</v>
      </c>
    </row>
    <row r="1799" spans="1:5" x14ac:dyDescent="0.25">
      <c r="A1799" s="32" t="s">
        <v>767</v>
      </c>
      <c r="B1799" s="7">
        <v>2017</v>
      </c>
      <c r="C1799" s="51" t="s">
        <v>710</v>
      </c>
      <c r="D1799" t="s">
        <v>717</v>
      </c>
      <c r="E1799" s="2">
        <v>8.8859999999999992</v>
      </c>
    </row>
    <row r="1800" spans="1:5" x14ac:dyDescent="0.25">
      <c r="A1800" s="32" t="s">
        <v>767</v>
      </c>
      <c r="B1800" s="7">
        <v>2017</v>
      </c>
      <c r="C1800" s="51" t="s">
        <v>702</v>
      </c>
      <c r="D1800" t="s">
        <v>717</v>
      </c>
      <c r="E1800" s="2">
        <v>8.5790000000000006</v>
      </c>
    </row>
    <row r="1801" spans="1:5" x14ac:dyDescent="0.25">
      <c r="A1801" s="32" t="s">
        <v>767</v>
      </c>
      <c r="B1801" s="7">
        <v>2017</v>
      </c>
      <c r="C1801" s="51" t="s">
        <v>703</v>
      </c>
      <c r="D1801" t="s">
        <v>717</v>
      </c>
      <c r="E1801" s="2">
        <v>7.9359999999999999</v>
      </c>
    </row>
    <row r="1802" spans="1:5" x14ac:dyDescent="0.25">
      <c r="A1802" s="32" t="s">
        <v>767</v>
      </c>
      <c r="B1802" s="7">
        <v>2017</v>
      </c>
      <c r="C1802" s="51" t="s">
        <v>704</v>
      </c>
      <c r="D1802" t="s">
        <v>717</v>
      </c>
      <c r="E1802" s="2">
        <v>8.8059999999999992</v>
      </c>
    </row>
    <row r="1803" spans="1:5" x14ac:dyDescent="0.25">
      <c r="A1803" s="32" t="s">
        <v>767</v>
      </c>
      <c r="B1803" s="7">
        <v>2017</v>
      </c>
      <c r="C1803" s="51" t="s">
        <v>705</v>
      </c>
      <c r="D1803" t="s">
        <v>717</v>
      </c>
      <c r="E1803" s="2">
        <v>8.077</v>
      </c>
    </row>
    <row r="1804" spans="1:5" x14ac:dyDescent="0.25">
      <c r="A1804" s="32" t="s">
        <v>767</v>
      </c>
      <c r="B1804" s="7">
        <v>2017</v>
      </c>
      <c r="C1804" s="51" t="s">
        <v>706</v>
      </c>
      <c r="D1804" t="s">
        <v>717</v>
      </c>
      <c r="E1804" s="2">
        <v>8.5449999999999999</v>
      </c>
    </row>
    <row r="1805" spans="1:5" x14ac:dyDescent="0.25">
      <c r="A1805" s="32" t="s">
        <v>767</v>
      </c>
      <c r="B1805" s="7">
        <v>2018</v>
      </c>
      <c r="C1805" s="51" t="s">
        <v>713</v>
      </c>
      <c r="D1805" t="s">
        <v>717</v>
      </c>
      <c r="E1805" s="2">
        <v>6.8789999999999996</v>
      </c>
    </row>
    <row r="1806" spans="1:5" x14ac:dyDescent="0.25">
      <c r="A1806" s="32" t="s">
        <v>767</v>
      </c>
      <c r="B1806" s="7">
        <v>2018</v>
      </c>
      <c r="C1806" s="51" t="s">
        <v>707</v>
      </c>
      <c r="D1806" t="s">
        <v>717</v>
      </c>
      <c r="E1806" s="2">
        <v>7.3470000000000004</v>
      </c>
    </row>
    <row r="1807" spans="1:5" x14ac:dyDescent="0.25">
      <c r="A1807" s="32" t="s">
        <v>767</v>
      </c>
      <c r="B1807" s="7">
        <v>2018</v>
      </c>
      <c r="C1807" s="51" t="s">
        <v>708</v>
      </c>
      <c r="D1807" t="s">
        <v>717</v>
      </c>
      <c r="E1807" s="2">
        <v>7.641</v>
      </c>
    </row>
    <row r="1808" spans="1:5" x14ac:dyDescent="0.25">
      <c r="A1808" s="32" t="s">
        <v>767</v>
      </c>
      <c r="B1808" s="7">
        <v>2018</v>
      </c>
      <c r="C1808" s="51" t="s">
        <v>699</v>
      </c>
      <c r="D1808" t="s">
        <v>717</v>
      </c>
      <c r="E1808" s="2">
        <v>7.4080000000000004</v>
      </c>
    </row>
    <row r="1809" spans="1:5" x14ac:dyDescent="0.25">
      <c r="A1809" s="32" t="s">
        <v>767</v>
      </c>
      <c r="B1809" s="7">
        <v>2018</v>
      </c>
      <c r="C1809" s="51" t="s">
        <v>709</v>
      </c>
      <c r="D1809" t="s">
        <v>717</v>
      </c>
      <c r="E1809" s="2">
        <v>8.9879999999999995</v>
      </c>
    </row>
    <row r="1810" spans="1:5" x14ac:dyDescent="0.25">
      <c r="A1810" s="32" t="s">
        <v>767</v>
      </c>
      <c r="B1810" s="7">
        <v>2018</v>
      </c>
      <c r="C1810" s="51" t="s">
        <v>712</v>
      </c>
      <c r="D1810" t="s">
        <v>717</v>
      </c>
      <c r="E1810" s="2">
        <v>6.9260000000000002</v>
      </c>
    </row>
    <row r="1811" spans="1:5" x14ac:dyDescent="0.25">
      <c r="A1811" s="32" t="s">
        <v>767</v>
      </c>
      <c r="B1811" s="7">
        <v>2018</v>
      </c>
      <c r="C1811" s="51" t="s">
        <v>710</v>
      </c>
      <c r="D1811" t="s">
        <v>717</v>
      </c>
      <c r="E1811" s="2">
        <v>9.08</v>
      </c>
    </row>
    <row r="1812" spans="1:5" x14ac:dyDescent="0.25">
      <c r="A1812" s="32" t="s">
        <v>767</v>
      </c>
      <c r="B1812" s="7">
        <v>2018</v>
      </c>
      <c r="C1812" s="51" t="s">
        <v>702</v>
      </c>
      <c r="D1812" t="s">
        <v>717</v>
      </c>
      <c r="E1812" s="2">
        <v>8.5779999999999994</v>
      </c>
    </row>
    <row r="1813" spans="1:5" x14ac:dyDescent="0.25">
      <c r="A1813" s="32" t="s">
        <v>767</v>
      </c>
      <c r="B1813" s="7">
        <v>2018</v>
      </c>
      <c r="C1813" s="51" t="s">
        <v>703</v>
      </c>
      <c r="D1813" t="s">
        <v>717</v>
      </c>
      <c r="E1813" s="2">
        <v>8.5839999999999996</v>
      </c>
    </row>
    <row r="1814" spans="1:5" x14ac:dyDescent="0.25">
      <c r="A1814" s="32" t="s">
        <v>767</v>
      </c>
      <c r="B1814" s="7">
        <v>2018</v>
      </c>
      <c r="C1814" s="51" t="s">
        <v>704</v>
      </c>
      <c r="D1814" t="s">
        <v>717</v>
      </c>
      <c r="E1814" s="2">
        <v>7.59</v>
      </c>
    </row>
    <row r="1815" spans="1:5" x14ac:dyDescent="0.25">
      <c r="A1815" s="32" t="s">
        <v>767</v>
      </c>
      <c r="B1815" s="7">
        <v>2018</v>
      </c>
      <c r="C1815" s="51" t="s">
        <v>705</v>
      </c>
      <c r="D1815" t="s">
        <v>717</v>
      </c>
      <c r="E1815" s="2">
        <v>8.4390000000000001</v>
      </c>
    </row>
    <row r="1816" spans="1:5" x14ac:dyDescent="0.25">
      <c r="A1816" s="32" t="s">
        <v>767</v>
      </c>
      <c r="B1816" s="7">
        <v>2018</v>
      </c>
      <c r="C1816" s="51" t="s">
        <v>706</v>
      </c>
      <c r="D1816" t="s">
        <v>717</v>
      </c>
      <c r="E1816" s="2">
        <v>8.8149999999999995</v>
      </c>
    </row>
    <row r="1817" spans="1:5" x14ac:dyDescent="0.25">
      <c r="A1817" s="32" t="s">
        <v>767</v>
      </c>
      <c r="B1817" s="7">
        <v>2019</v>
      </c>
      <c r="C1817" s="51" t="s">
        <v>713</v>
      </c>
      <c r="D1817" t="s">
        <v>717</v>
      </c>
      <c r="E1817" s="2">
        <v>7.665</v>
      </c>
    </row>
    <row r="1818" spans="1:5" x14ac:dyDescent="0.25">
      <c r="A1818" s="32" t="s">
        <v>767</v>
      </c>
      <c r="B1818" s="7">
        <v>2019</v>
      </c>
      <c r="C1818" s="51" t="s">
        <v>707</v>
      </c>
      <c r="D1818" t="s">
        <v>717</v>
      </c>
      <c r="E1818" s="2">
        <v>7.101</v>
      </c>
    </row>
    <row r="1819" spans="1:5" x14ac:dyDescent="0.25">
      <c r="A1819" s="32" t="s">
        <v>767</v>
      </c>
      <c r="B1819" s="7">
        <v>2019</v>
      </c>
      <c r="C1819" s="51" t="s">
        <v>708</v>
      </c>
      <c r="D1819" t="s">
        <v>717</v>
      </c>
      <c r="E1819" s="2">
        <v>8.0289999999999999</v>
      </c>
    </row>
    <row r="1820" spans="1:5" x14ac:dyDescent="0.25">
      <c r="A1820" s="32" t="s">
        <v>767</v>
      </c>
      <c r="B1820" s="7">
        <v>2019</v>
      </c>
      <c r="C1820" s="51" t="s">
        <v>699</v>
      </c>
      <c r="D1820" t="s">
        <v>717</v>
      </c>
      <c r="E1820" s="2">
        <v>6.8769999999999998</v>
      </c>
    </row>
    <row r="1821" spans="1:5" x14ac:dyDescent="0.25">
      <c r="A1821" s="32" t="s">
        <v>767</v>
      </c>
      <c r="B1821" s="7">
        <v>2019</v>
      </c>
      <c r="C1821" s="51" t="s">
        <v>709</v>
      </c>
      <c r="D1821" t="s">
        <v>717</v>
      </c>
      <c r="E1821" s="2">
        <v>7.8209999999999997</v>
      </c>
    </row>
    <row r="1822" spans="1:5" x14ac:dyDescent="0.25">
      <c r="A1822" s="32" t="s">
        <v>767</v>
      </c>
      <c r="B1822" s="7">
        <v>2019</v>
      </c>
      <c r="C1822" s="51" t="s">
        <v>712</v>
      </c>
      <c r="D1822" t="s">
        <v>717</v>
      </c>
      <c r="E1822" s="2">
        <v>7.5430000000000001</v>
      </c>
    </row>
    <row r="1823" spans="1:5" x14ac:dyDescent="0.25">
      <c r="A1823" s="32" t="s">
        <v>767</v>
      </c>
      <c r="B1823" s="7">
        <v>2019</v>
      </c>
      <c r="C1823" s="51" t="s">
        <v>710</v>
      </c>
      <c r="D1823" t="s">
        <v>717</v>
      </c>
      <c r="E1823" s="2">
        <v>9.0250000000000004</v>
      </c>
    </row>
    <row r="1824" spans="1:5" x14ac:dyDescent="0.25">
      <c r="A1824" s="32" t="s">
        <v>767</v>
      </c>
      <c r="B1824" s="7">
        <v>2019</v>
      </c>
      <c r="C1824" s="51" t="s">
        <v>702</v>
      </c>
      <c r="D1824" t="s">
        <v>717</v>
      </c>
      <c r="E1824" s="2">
        <v>8.3049999999999997</v>
      </c>
    </row>
    <row r="1825" spans="1:5" x14ac:dyDescent="0.25">
      <c r="A1825" s="32" t="s">
        <v>767</v>
      </c>
      <c r="B1825" s="7">
        <v>2019</v>
      </c>
      <c r="C1825" s="51" t="s">
        <v>703</v>
      </c>
      <c r="D1825" t="s">
        <v>717</v>
      </c>
      <c r="E1825" s="2">
        <v>8.984</v>
      </c>
    </row>
    <row r="1826" spans="1:5" x14ac:dyDescent="0.25">
      <c r="A1826" s="32" t="s">
        <v>767</v>
      </c>
      <c r="B1826" s="7">
        <v>2019</v>
      </c>
      <c r="C1826" s="51" t="s">
        <v>704</v>
      </c>
      <c r="D1826" t="s">
        <v>717</v>
      </c>
      <c r="E1826" s="2">
        <v>9.0380000000000003</v>
      </c>
    </row>
    <row r="1827" spans="1:5" x14ac:dyDescent="0.25">
      <c r="A1827" s="32" t="s">
        <v>767</v>
      </c>
      <c r="B1827" s="7">
        <v>2019</v>
      </c>
      <c r="C1827" s="51" t="s">
        <v>705</v>
      </c>
      <c r="D1827" t="s">
        <v>717</v>
      </c>
      <c r="E1827" s="2">
        <v>8.516</v>
      </c>
    </row>
    <row r="1828" spans="1:5" x14ac:dyDescent="0.25">
      <c r="A1828" s="32" t="s">
        <v>767</v>
      </c>
      <c r="B1828" s="7">
        <v>2019</v>
      </c>
      <c r="C1828" s="51" t="s">
        <v>706</v>
      </c>
      <c r="D1828" t="s">
        <v>717</v>
      </c>
      <c r="E1828" s="2">
        <v>9.1219999999999999</v>
      </c>
    </row>
    <row r="1829" spans="1:5" x14ac:dyDescent="0.25">
      <c r="A1829" s="32" t="s">
        <v>767</v>
      </c>
      <c r="B1829" s="7">
        <v>2020</v>
      </c>
      <c r="C1829" s="51" t="s">
        <v>713</v>
      </c>
      <c r="D1829" t="s">
        <v>717</v>
      </c>
      <c r="E1829" s="2">
        <v>9.0220000000000002</v>
      </c>
    </row>
    <row r="1830" spans="1:5" x14ac:dyDescent="0.25">
      <c r="A1830" s="32" t="s">
        <v>767</v>
      </c>
      <c r="B1830" s="7">
        <v>2020</v>
      </c>
      <c r="C1830" s="51" t="s">
        <v>707</v>
      </c>
      <c r="D1830" t="s">
        <v>717</v>
      </c>
      <c r="E1830" s="2">
        <v>8.39</v>
      </c>
    </row>
    <row r="1831" spans="1:5" x14ac:dyDescent="0.25">
      <c r="A1831" s="32" t="s">
        <v>767</v>
      </c>
      <c r="B1831" s="7">
        <v>2020</v>
      </c>
      <c r="C1831" s="51" t="s">
        <v>708</v>
      </c>
      <c r="D1831" t="s">
        <v>717</v>
      </c>
      <c r="E1831" s="2">
        <v>6.9669999999999996</v>
      </c>
    </row>
    <row r="1832" spans="1:5" x14ac:dyDescent="0.25">
      <c r="A1832" s="32" t="s">
        <v>767</v>
      </c>
      <c r="B1832" s="7">
        <v>2020</v>
      </c>
      <c r="C1832" s="51" t="s">
        <v>699</v>
      </c>
      <c r="D1832" t="s">
        <v>717</v>
      </c>
      <c r="E1832" s="2">
        <v>6.8129999999999997</v>
      </c>
    </row>
    <row r="1833" spans="1:5" x14ac:dyDescent="0.25">
      <c r="A1833" s="32" t="s">
        <v>767</v>
      </c>
      <c r="B1833" s="7">
        <v>2020</v>
      </c>
      <c r="C1833" s="51" t="s">
        <v>709</v>
      </c>
      <c r="D1833" t="s">
        <v>717</v>
      </c>
      <c r="E1833" s="2">
        <v>7.1859999999999999</v>
      </c>
    </row>
    <row r="1834" spans="1:5" x14ac:dyDescent="0.25">
      <c r="A1834" s="32" t="s">
        <v>767</v>
      </c>
      <c r="B1834" s="7">
        <v>2020</v>
      </c>
      <c r="C1834" s="51" t="s">
        <v>712</v>
      </c>
      <c r="D1834" t="s">
        <v>717</v>
      </c>
      <c r="E1834" s="2">
        <v>10.034000000000001</v>
      </c>
    </row>
    <row r="1835" spans="1:5" x14ac:dyDescent="0.25">
      <c r="A1835" s="32" t="s">
        <v>767</v>
      </c>
      <c r="B1835" s="7">
        <v>2020</v>
      </c>
      <c r="C1835" s="51" t="s">
        <v>710</v>
      </c>
      <c r="D1835" t="s">
        <v>717</v>
      </c>
      <c r="E1835" s="2">
        <v>9.1</v>
      </c>
    </row>
    <row r="1836" spans="1:5" x14ac:dyDescent="0.25">
      <c r="A1836" s="32" t="s">
        <v>767</v>
      </c>
      <c r="B1836" s="7">
        <v>2020</v>
      </c>
      <c r="C1836" s="51" t="s">
        <v>702</v>
      </c>
      <c r="D1836" t="s">
        <v>717</v>
      </c>
      <c r="E1836" s="2">
        <v>9.5890000000000004</v>
      </c>
    </row>
    <row r="1837" spans="1:5" x14ac:dyDescent="0.25">
      <c r="A1837" s="32" t="s">
        <v>767</v>
      </c>
      <c r="B1837" s="7">
        <v>2020</v>
      </c>
      <c r="C1837" s="51" t="s">
        <v>703</v>
      </c>
      <c r="D1837" t="s">
        <v>717</v>
      </c>
      <c r="E1837" s="2">
        <v>8.375</v>
      </c>
    </row>
    <row r="1838" spans="1:5" x14ac:dyDescent="0.25">
      <c r="A1838" s="32" t="s">
        <v>767</v>
      </c>
      <c r="B1838" s="7">
        <v>2020</v>
      </c>
      <c r="C1838" s="51" t="s">
        <v>704</v>
      </c>
      <c r="D1838" t="s">
        <v>717</v>
      </c>
      <c r="E1838" s="2">
        <v>8.4209999999999994</v>
      </c>
    </row>
    <row r="1839" spans="1:5" x14ac:dyDescent="0.25">
      <c r="A1839" s="32" t="s">
        <v>767</v>
      </c>
      <c r="B1839" s="7">
        <v>2020</v>
      </c>
      <c r="C1839" s="51" t="s">
        <v>705</v>
      </c>
      <c r="D1839" t="s">
        <v>717</v>
      </c>
      <c r="E1839" s="2">
        <v>8.2159999999999993</v>
      </c>
    </row>
    <row r="1840" spans="1:5" x14ac:dyDescent="0.25">
      <c r="A1840" s="32" t="s">
        <v>767</v>
      </c>
      <c r="B1840" s="7">
        <v>2020</v>
      </c>
      <c r="C1840" s="51" t="s">
        <v>706</v>
      </c>
      <c r="D1840" t="s">
        <v>717</v>
      </c>
      <c r="E1840" s="2">
        <v>9.3439999999999994</v>
      </c>
    </row>
    <row r="1841" spans="1:5" x14ac:dyDescent="0.25">
      <c r="A1841" s="32" t="s">
        <v>767</v>
      </c>
      <c r="B1841" s="7">
        <v>2021</v>
      </c>
      <c r="C1841" s="51" t="s">
        <v>713</v>
      </c>
      <c r="D1841" t="s">
        <v>717</v>
      </c>
      <c r="E1841" s="2">
        <v>8.0549999999999997</v>
      </c>
    </row>
    <row r="1842" spans="1:5" x14ac:dyDescent="0.25">
      <c r="A1842" s="32" t="s">
        <v>767</v>
      </c>
      <c r="B1842" s="7">
        <v>2021</v>
      </c>
      <c r="C1842" s="51" t="s">
        <v>707</v>
      </c>
      <c r="D1842" t="s">
        <v>717</v>
      </c>
      <c r="E1842" s="2">
        <v>7.952</v>
      </c>
    </row>
    <row r="1843" spans="1:5" x14ac:dyDescent="0.25">
      <c r="A1843" s="32" t="s">
        <v>767</v>
      </c>
      <c r="B1843" s="7">
        <v>2021</v>
      </c>
      <c r="C1843" s="51" t="s">
        <v>708</v>
      </c>
      <c r="D1843" t="s">
        <v>717</v>
      </c>
      <c r="E1843" s="2">
        <v>8.3620000000000001</v>
      </c>
    </row>
    <row r="1844" spans="1:5" x14ac:dyDescent="0.25">
      <c r="A1844" s="32" t="s">
        <v>767</v>
      </c>
      <c r="B1844" s="7">
        <v>2021</v>
      </c>
      <c r="C1844" s="51" t="s">
        <v>699</v>
      </c>
      <c r="D1844" t="s">
        <v>717</v>
      </c>
      <c r="E1844" s="2">
        <v>7.9749999999999996</v>
      </c>
    </row>
    <row r="1845" spans="1:5" x14ac:dyDescent="0.25">
      <c r="A1845" s="32" t="s">
        <v>767</v>
      </c>
      <c r="B1845" s="7">
        <v>2021</v>
      </c>
      <c r="C1845" s="51" t="s">
        <v>709</v>
      </c>
      <c r="D1845" t="s">
        <v>717</v>
      </c>
      <c r="E1845" s="2">
        <v>7.7210000000000001</v>
      </c>
    </row>
    <row r="1846" spans="1:5" x14ac:dyDescent="0.25">
      <c r="A1846" s="32" t="s">
        <v>767</v>
      </c>
      <c r="B1846" s="7">
        <v>2021</v>
      </c>
      <c r="C1846" s="51" t="s">
        <v>712</v>
      </c>
      <c r="D1846" t="s">
        <v>717</v>
      </c>
      <c r="E1846" s="2">
        <v>8.1880000000000006</v>
      </c>
    </row>
    <row r="1847" spans="1:5" x14ac:dyDescent="0.25">
      <c r="A1847" s="32" t="s">
        <v>767</v>
      </c>
      <c r="B1847" s="7">
        <v>2021</v>
      </c>
      <c r="C1847" s="51" t="s">
        <v>710</v>
      </c>
      <c r="D1847" t="s">
        <v>717</v>
      </c>
      <c r="E1847" s="2">
        <v>9.0519999999999996</v>
      </c>
    </row>
    <row r="1848" spans="1:5" x14ac:dyDescent="0.25">
      <c r="A1848" s="32" t="s">
        <v>767</v>
      </c>
      <c r="B1848" s="7">
        <v>2021</v>
      </c>
      <c r="C1848" s="51" t="s">
        <v>702</v>
      </c>
      <c r="D1848" t="s">
        <v>717</v>
      </c>
      <c r="E1848" s="2">
        <v>10.233000000000001</v>
      </c>
    </row>
    <row r="1849" spans="1:5" x14ac:dyDescent="0.25">
      <c r="A1849" s="32" t="s">
        <v>767</v>
      </c>
      <c r="B1849" s="7">
        <v>2021</v>
      </c>
      <c r="C1849" s="51" t="s">
        <v>703</v>
      </c>
      <c r="D1849" t="s">
        <v>717</v>
      </c>
      <c r="E1849" s="2">
        <v>10.481</v>
      </c>
    </row>
    <row r="1850" spans="1:5" x14ac:dyDescent="0.25">
      <c r="A1850" s="32" t="s">
        <v>767</v>
      </c>
      <c r="B1850" s="7">
        <v>2021</v>
      </c>
      <c r="C1850" s="51" t="s">
        <v>704</v>
      </c>
      <c r="D1850" t="s">
        <v>717</v>
      </c>
      <c r="E1850" s="2">
        <v>8.26</v>
      </c>
    </row>
    <row r="1851" spans="1:5" x14ac:dyDescent="0.25">
      <c r="A1851" s="32" t="s">
        <v>767</v>
      </c>
      <c r="B1851" s="7">
        <v>2021</v>
      </c>
      <c r="C1851" s="51" t="s">
        <v>705</v>
      </c>
      <c r="D1851" t="s">
        <v>717</v>
      </c>
      <c r="E1851" s="2">
        <v>6.9939999999999998</v>
      </c>
    </row>
    <row r="1852" spans="1:5" x14ac:dyDescent="0.25">
      <c r="A1852" s="32" t="s">
        <v>767</v>
      </c>
      <c r="B1852" s="7">
        <v>2021</v>
      </c>
      <c r="C1852" s="51" t="s">
        <v>706</v>
      </c>
      <c r="D1852" t="s">
        <v>717</v>
      </c>
      <c r="E1852" s="2">
        <v>6.9509999999999996</v>
      </c>
    </row>
    <row r="1853" spans="1:5" x14ac:dyDescent="0.25">
      <c r="A1853" s="32" t="s">
        <v>767</v>
      </c>
      <c r="B1853" s="7">
        <v>2022</v>
      </c>
      <c r="C1853" s="51" t="s">
        <v>713</v>
      </c>
      <c r="D1853" t="s">
        <v>717</v>
      </c>
      <c r="E1853" s="2">
        <v>9.2590000000000003</v>
      </c>
    </row>
    <row r="1854" spans="1:5" x14ac:dyDescent="0.25">
      <c r="A1854" s="32" t="s">
        <v>767</v>
      </c>
      <c r="B1854" s="7">
        <v>2022</v>
      </c>
      <c r="C1854" s="51" t="s">
        <v>707</v>
      </c>
      <c r="D1854" t="s">
        <v>717</v>
      </c>
      <c r="E1854" s="2">
        <v>8.1980000000000004</v>
      </c>
    </row>
    <row r="1855" spans="1:5" x14ac:dyDescent="0.25">
      <c r="A1855" s="32" t="s">
        <v>767</v>
      </c>
      <c r="B1855" s="7">
        <v>2022</v>
      </c>
      <c r="C1855" s="51" t="s">
        <v>708</v>
      </c>
      <c r="D1855" t="s">
        <v>717</v>
      </c>
      <c r="E1855" s="2">
        <v>7.9539999999999997</v>
      </c>
    </row>
    <row r="1856" spans="1:5" x14ac:dyDescent="0.25">
      <c r="A1856" s="32" t="s">
        <v>767</v>
      </c>
      <c r="B1856" s="7">
        <v>2022</v>
      </c>
      <c r="C1856" s="51" t="s">
        <v>699</v>
      </c>
      <c r="D1856" t="s">
        <v>717</v>
      </c>
      <c r="E1856" s="2">
        <v>7.1440000000000001</v>
      </c>
    </row>
    <row r="1857" spans="1:5" x14ac:dyDescent="0.25">
      <c r="A1857" s="32" t="s">
        <v>767</v>
      </c>
      <c r="B1857" s="7">
        <v>2022</v>
      </c>
      <c r="C1857" s="51" t="s">
        <v>709</v>
      </c>
      <c r="D1857" t="s">
        <v>717</v>
      </c>
      <c r="E1857" s="2">
        <v>9.3330000000000002</v>
      </c>
    </row>
    <row r="1858" spans="1:5" x14ac:dyDescent="0.25">
      <c r="A1858" s="32" t="s">
        <v>767</v>
      </c>
      <c r="B1858" s="7">
        <v>2022</v>
      </c>
      <c r="C1858" s="51" t="s">
        <v>712</v>
      </c>
      <c r="D1858" t="s">
        <v>717</v>
      </c>
      <c r="E1858" s="2">
        <v>6.891</v>
      </c>
    </row>
    <row r="1859" spans="1:5" x14ac:dyDescent="0.25">
      <c r="A1859" s="32" t="s">
        <v>767</v>
      </c>
      <c r="B1859" s="7">
        <v>2022</v>
      </c>
      <c r="C1859" s="51" t="s">
        <v>710</v>
      </c>
      <c r="D1859" t="s">
        <v>717</v>
      </c>
      <c r="E1859" s="2">
        <v>6.5869999999999997</v>
      </c>
    </row>
    <row r="1860" spans="1:5" x14ac:dyDescent="0.25">
      <c r="A1860" s="32" t="s">
        <v>767</v>
      </c>
      <c r="B1860" s="7">
        <v>2022</v>
      </c>
      <c r="C1860" s="51" t="s">
        <v>702</v>
      </c>
      <c r="D1860" t="s">
        <v>717</v>
      </c>
      <c r="E1860" s="2">
        <v>6.5880000000000001</v>
      </c>
    </row>
    <row r="1861" spans="1:5" x14ac:dyDescent="0.25">
      <c r="A1861" s="32" t="s">
        <v>767</v>
      </c>
      <c r="B1861" s="7">
        <v>2022</v>
      </c>
      <c r="C1861" s="51" t="s">
        <v>703</v>
      </c>
      <c r="D1861" t="s">
        <v>717</v>
      </c>
      <c r="E1861" s="2">
        <v>6.6920000000000002</v>
      </c>
    </row>
    <row r="1862" spans="1:5" x14ac:dyDescent="0.25">
      <c r="A1862" s="32" t="s">
        <v>767</v>
      </c>
      <c r="B1862" s="7">
        <v>2022</v>
      </c>
      <c r="C1862" s="51" t="s">
        <v>704</v>
      </c>
      <c r="D1862" t="s">
        <v>717</v>
      </c>
      <c r="E1862" s="2">
        <v>7.3470000000000004</v>
      </c>
    </row>
    <row r="1863" spans="1:5" x14ac:dyDescent="0.25">
      <c r="A1863" s="32" t="s">
        <v>767</v>
      </c>
      <c r="B1863" s="7">
        <v>2022</v>
      </c>
      <c r="C1863" s="51" t="s">
        <v>705</v>
      </c>
      <c r="D1863" t="s">
        <v>717</v>
      </c>
      <c r="E1863" s="2">
        <v>7.4219999999999997</v>
      </c>
    </row>
    <row r="1864" spans="1:5" x14ac:dyDescent="0.25">
      <c r="A1864" s="32" t="s">
        <v>767</v>
      </c>
      <c r="B1864" s="7">
        <v>2022</v>
      </c>
      <c r="C1864" s="51" t="s">
        <v>706</v>
      </c>
      <c r="D1864" t="s">
        <v>717</v>
      </c>
      <c r="E1864" s="2">
        <v>7.9870000000000001</v>
      </c>
    </row>
    <row r="1865" spans="1:5" x14ac:dyDescent="0.25">
      <c r="A1865" s="32" t="s">
        <v>767</v>
      </c>
      <c r="B1865" s="7">
        <v>2023</v>
      </c>
      <c r="C1865" s="51" t="s">
        <v>713</v>
      </c>
      <c r="D1865" t="s">
        <v>717</v>
      </c>
      <c r="E1865" s="2">
        <v>7.0389999999999997</v>
      </c>
    </row>
    <row r="1866" spans="1:5" x14ac:dyDescent="0.25">
      <c r="A1866" s="32" t="s">
        <v>767</v>
      </c>
      <c r="B1866" s="7">
        <v>2023</v>
      </c>
      <c r="C1866" s="51" t="s">
        <v>707</v>
      </c>
      <c r="D1866" t="s">
        <v>717</v>
      </c>
      <c r="E1866" s="2">
        <v>6.7130000000000001</v>
      </c>
    </row>
    <row r="1867" spans="1:5" x14ac:dyDescent="0.25">
      <c r="A1867" s="32" t="s">
        <v>767</v>
      </c>
      <c r="B1867" s="7">
        <v>2023</v>
      </c>
      <c r="C1867" s="51" t="s">
        <v>708</v>
      </c>
      <c r="D1867" t="s">
        <v>717</v>
      </c>
      <c r="E1867" s="2">
        <v>7.2329999999999997</v>
      </c>
    </row>
    <row r="1868" spans="1:5" x14ac:dyDescent="0.25">
      <c r="A1868" s="32" t="s">
        <v>767</v>
      </c>
      <c r="B1868" s="7">
        <v>2023</v>
      </c>
      <c r="C1868" s="51" t="s">
        <v>699</v>
      </c>
      <c r="D1868" t="s">
        <v>717</v>
      </c>
      <c r="E1868" s="2">
        <v>6.7110000000000003</v>
      </c>
    </row>
    <row r="1869" spans="1:5" x14ac:dyDescent="0.25">
      <c r="A1869" s="32" t="s">
        <v>767</v>
      </c>
      <c r="B1869" s="7">
        <v>2023</v>
      </c>
      <c r="C1869" s="51" t="s">
        <v>709</v>
      </c>
      <c r="D1869" t="s">
        <v>717</v>
      </c>
      <c r="E1869" s="2">
        <v>6.8780000000000001</v>
      </c>
    </row>
    <row r="1870" spans="1:5" x14ac:dyDescent="0.25">
      <c r="A1870" s="32" t="s">
        <v>767</v>
      </c>
      <c r="B1870" s="7">
        <v>2023</v>
      </c>
      <c r="C1870" s="51" t="s">
        <v>712</v>
      </c>
      <c r="D1870" t="s">
        <v>717</v>
      </c>
      <c r="E1870" s="2">
        <v>6.649</v>
      </c>
    </row>
    <row r="1871" spans="1:5" x14ac:dyDescent="0.25">
      <c r="A1871" s="32" t="s">
        <v>767</v>
      </c>
      <c r="B1871" s="7">
        <v>2023</v>
      </c>
      <c r="C1871" s="51" t="s">
        <v>710</v>
      </c>
      <c r="D1871" t="s">
        <v>717</v>
      </c>
      <c r="E1871" s="2">
        <v>6.8259999999999996</v>
      </c>
    </row>
    <row r="1872" spans="1:5" x14ac:dyDescent="0.25">
      <c r="A1872" s="32" t="s">
        <v>767</v>
      </c>
      <c r="B1872" s="7">
        <v>2023</v>
      </c>
      <c r="C1872" s="51" t="s">
        <v>702</v>
      </c>
      <c r="D1872" t="s">
        <v>717</v>
      </c>
      <c r="E1872" s="2">
        <v>6.8310000000000004</v>
      </c>
    </row>
    <row r="1873" spans="1:5" x14ac:dyDescent="0.25">
      <c r="A1873" s="32" t="s">
        <v>767</v>
      </c>
      <c r="B1873" s="7">
        <v>2023</v>
      </c>
      <c r="C1873" s="51" t="s">
        <v>703</v>
      </c>
      <c r="D1873" t="s">
        <v>717</v>
      </c>
      <c r="E1873" s="2">
        <v>7.4059999999999997</v>
      </c>
    </row>
    <row r="1874" spans="1:5" x14ac:dyDescent="0.25">
      <c r="A1874" s="32" t="s">
        <v>767</v>
      </c>
      <c r="B1874" s="7">
        <v>1997</v>
      </c>
      <c r="C1874" s="51" t="s">
        <v>704</v>
      </c>
      <c r="D1874" t="s">
        <v>718</v>
      </c>
      <c r="E1874" s="2">
        <v>2.6230000000000002</v>
      </c>
    </row>
    <row r="1875" spans="1:5" x14ac:dyDescent="0.25">
      <c r="A1875" s="32" t="s">
        <v>767</v>
      </c>
      <c r="B1875" s="7">
        <v>1997</v>
      </c>
      <c r="C1875" s="51" t="s">
        <v>705</v>
      </c>
      <c r="D1875" t="s">
        <v>718</v>
      </c>
      <c r="E1875" s="2">
        <v>2.6640000000000001</v>
      </c>
    </row>
    <row r="1876" spans="1:5" x14ac:dyDescent="0.25">
      <c r="A1876" s="32" t="s">
        <v>767</v>
      </c>
      <c r="B1876" s="7">
        <v>1997</v>
      </c>
      <c r="C1876" s="51" t="s">
        <v>706</v>
      </c>
      <c r="D1876" t="s">
        <v>718</v>
      </c>
      <c r="E1876" s="2">
        <v>2.6709999999999998</v>
      </c>
    </row>
    <row r="1877" spans="1:5" x14ac:dyDescent="0.25">
      <c r="A1877" s="32" t="s">
        <v>767</v>
      </c>
      <c r="B1877" s="7">
        <v>1998</v>
      </c>
      <c r="C1877" s="51" t="s">
        <v>713</v>
      </c>
      <c r="D1877" t="s">
        <v>718</v>
      </c>
      <c r="E1877" s="2">
        <v>3.1880000000000002</v>
      </c>
    </row>
    <row r="1878" spans="1:5" x14ac:dyDescent="0.25">
      <c r="A1878" s="32" t="s">
        <v>767</v>
      </c>
      <c r="B1878" s="7">
        <v>1998</v>
      </c>
      <c r="C1878" s="51" t="s">
        <v>707</v>
      </c>
      <c r="D1878" t="s">
        <v>718</v>
      </c>
      <c r="E1878" s="2">
        <v>2.976</v>
      </c>
    </row>
    <row r="1879" spans="1:5" x14ac:dyDescent="0.25">
      <c r="A1879" s="32" t="s">
        <v>767</v>
      </c>
      <c r="B1879" s="7">
        <v>1998</v>
      </c>
      <c r="C1879" s="51" t="s">
        <v>708</v>
      </c>
      <c r="D1879" t="s">
        <v>718</v>
      </c>
      <c r="E1879" s="2">
        <v>3.17</v>
      </c>
    </row>
    <row r="1880" spans="1:5" x14ac:dyDescent="0.25">
      <c r="A1880" s="32" t="s">
        <v>767</v>
      </c>
      <c r="B1880" s="7">
        <v>1998</v>
      </c>
      <c r="C1880" s="51" t="s">
        <v>699</v>
      </c>
      <c r="D1880" t="s">
        <v>718</v>
      </c>
      <c r="E1880" s="2">
        <v>2.6429999999999998</v>
      </c>
    </row>
    <row r="1881" spans="1:5" x14ac:dyDescent="0.25">
      <c r="A1881" s="32" t="s">
        <v>767</v>
      </c>
      <c r="B1881" s="7">
        <v>1998</v>
      </c>
      <c r="C1881" s="51" t="s">
        <v>709</v>
      </c>
      <c r="D1881" t="s">
        <v>718</v>
      </c>
      <c r="E1881" s="2">
        <v>2.8380000000000001</v>
      </c>
    </row>
    <row r="1882" spans="1:5" x14ac:dyDescent="0.25">
      <c r="A1882" s="32" t="s">
        <v>767</v>
      </c>
      <c r="B1882" s="7">
        <v>1998</v>
      </c>
      <c r="C1882" s="51" t="s">
        <v>712</v>
      </c>
      <c r="D1882" t="s">
        <v>718</v>
      </c>
      <c r="E1882" s="2">
        <v>2.8050000000000002</v>
      </c>
    </row>
    <row r="1883" spans="1:5" x14ac:dyDescent="0.25">
      <c r="A1883" s="32" t="s">
        <v>767</v>
      </c>
      <c r="B1883" s="7">
        <v>1998</v>
      </c>
      <c r="C1883" s="51" t="s">
        <v>710</v>
      </c>
      <c r="D1883" t="s">
        <v>718</v>
      </c>
      <c r="E1883" s="2">
        <v>2.9990000000000001</v>
      </c>
    </row>
    <row r="1884" spans="1:5" x14ac:dyDescent="0.25">
      <c r="A1884" s="32" t="s">
        <v>767</v>
      </c>
      <c r="B1884" s="7">
        <v>1998</v>
      </c>
      <c r="C1884" s="51" t="s">
        <v>702</v>
      </c>
      <c r="D1884" t="s">
        <v>718</v>
      </c>
      <c r="E1884" s="2">
        <v>2.7930000000000001</v>
      </c>
    </row>
    <row r="1885" spans="1:5" x14ac:dyDescent="0.25">
      <c r="A1885" s="32" t="s">
        <v>767</v>
      </c>
      <c r="B1885" s="7">
        <v>1998</v>
      </c>
      <c r="C1885" s="51" t="s">
        <v>703</v>
      </c>
      <c r="D1885" t="s">
        <v>718</v>
      </c>
      <c r="E1885" s="2">
        <v>2.782</v>
      </c>
    </row>
    <row r="1886" spans="1:5" x14ac:dyDescent="0.25">
      <c r="A1886" s="32" t="s">
        <v>767</v>
      </c>
      <c r="B1886" s="7">
        <v>1998</v>
      </c>
      <c r="C1886" s="51" t="s">
        <v>704</v>
      </c>
      <c r="D1886" t="s">
        <v>718</v>
      </c>
      <c r="E1886" s="2">
        <v>2.8159999999999998</v>
      </c>
    </row>
    <row r="1887" spans="1:5" x14ac:dyDescent="0.25">
      <c r="A1887" s="32" t="s">
        <v>767</v>
      </c>
      <c r="B1887" s="7">
        <v>1998</v>
      </c>
      <c r="C1887" s="51" t="s">
        <v>705</v>
      </c>
      <c r="D1887" t="s">
        <v>718</v>
      </c>
      <c r="E1887" s="2">
        <v>2.7450000000000001</v>
      </c>
    </row>
    <row r="1888" spans="1:5" x14ac:dyDescent="0.25">
      <c r="A1888" s="32" t="s">
        <v>767</v>
      </c>
      <c r="B1888" s="7">
        <v>1998</v>
      </c>
      <c r="C1888" s="51" t="s">
        <v>706</v>
      </c>
      <c r="D1888" t="s">
        <v>718</v>
      </c>
      <c r="E1888" s="2">
        <v>2.7029999999999998</v>
      </c>
    </row>
    <row r="1889" spans="1:5" x14ac:dyDescent="0.25">
      <c r="A1889" s="32" t="s">
        <v>767</v>
      </c>
      <c r="B1889" s="7">
        <v>1999</v>
      </c>
      <c r="C1889" s="51" t="s">
        <v>713</v>
      </c>
      <c r="D1889" t="s">
        <v>718</v>
      </c>
      <c r="E1889" s="2">
        <v>2.927</v>
      </c>
    </row>
    <row r="1890" spans="1:5" x14ac:dyDescent="0.25">
      <c r="A1890" s="32" t="s">
        <v>767</v>
      </c>
      <c r="B1890" s="7">
        <v>1999</v>
      </c>
      <c r="C1890" s="51" t="s">
        <v>707</v>
      </c>
      <c r="D1890" t="s">
        <v>718</v>
      </c>
      <c r="E1890" s="2">
        <v>2.3769999999999998</v>
      </c>
    </row>
    <row r="1891" spans="1:5" x14ac:dyDescent="0.25">
      <c r="A1891" s="32" t="s">
        <v>767</v>
      </c>
      <c r="B1891" s="7">
        <v>1999</v>
      </c>
      <c r="C1891" s="51" t="s">
        <v>708</v>
      </c>
      <c r="D1891" t="s">
        <v>718</v>
      </c>
      <c r="E1891" s="2">
        <v>2.7549999999999999</v>
      </c>
    </row>
    <row r="1892" spans="1:5" x14ac:dyDescent="0.25">
      <c r="A1892" s="32" t="s">
        <v>767</v>
      </c>
      <c r="B1892" s="7">
        <v>1999</v>
      </c>
      <c r="C1892" s="51" t="s">
        <v>699</v>
      </c>
      <c r="D1892" t="s">
        <v>718</v>
      </c>
      <c r="E1892" s="2">
        <v>2.6459999999999999</v>
      </c>
    </row>
    <row r="1893" spans="1:5" x14ac:dyDescent="0.25">
      <c r="A1893" s="32" t="s">
        <v>767</v>
      </c>
      <c r="B1893" s="7">
        <v>1999</v>
      </c>
      <c r="C1893" s="51" t="s">
        <v>709</v>
      </c>
      <c r="D1893" t="s">
        <v>718</v>
      </c>
      <c r="E1893" s="2">
        <v>2.8319999999999999</v>
      </c>
    </row>
    <row r="1894" spans="1:5" x14ac:dyDescent="0.25">
      <c r="A1894" s="32" t="s">
        <v>767</v>
      </c>
      <c r="B1894" s="7">
        <v>1999</v>
      </c>
      <c r="C1894" s="51" t="s">
        <v>712</v>
      </c>
      <c r="D1894" t="s">
        <v>718</v>
      </c>
      <c r="E1894" s="2">
        <v>2.84</v>
      </c>
    </row>
    <row r="1895" spans="1:5" x14ac:dyDescent="0.25">
      <c r="A1895" s="32" t="s">
        <v>767</v>
      </c>
      <c r="B1895" s="7">
        <v>1999</v>
      </c>
      <c r="C1895" s="51" t="s">
        <v>710</v>
      </c>
      <c r="D1895" t="s">
        <v>718</v>
      </c>
      <c r="E1895" s="2">
        <v>2.7890000000000001</v>
      </c>
    </row>
    <row r="1896" spans="1:5" x14ac:dyDescent="0.25">
      <c r="A1896" s="32" t="s">
        <v>767</v>
      </c>
      <c r="B1896" s="7">
        <v>1999</v>
      </c>
      <c r="C1896" s="51" t="s">
        <v>702</v>
      </c>
      <c r="D1896" t="s">
        <v>718</v>
      </c>
      <c r="E1896" s="2">
        <v>2.6579999999999999</v>
      </c>
    </row>
    <row r="1897" spans="1:5" x14ac:dyDescent="0.25">
      <c r="A1897" s="32" t="s">
        <v>767</v>
      </c>
      <c r="B1897" s="7">
        <v>1999</v>
      </c>
      <c r="C1897" s="51" t="s">
        <v>703</v>
      </c>
      <c r="D1897" t="s">
        <v>718</v>
      </c>
      <c r="E1897" s="2">
        <v>2.7429999999999999</v>
      </c>
    </row>
    <row r="1898" spans="1:5" x14ac:dyDescent="0.25">
      <c r="A1898" s="32" t="s">
        <v>767</v>
      </c>
      <c r="B1898" s="7">
        <v>1999</v>
      </c>
      <c r="C1898" s="51" t="s">
        <v>704</v>
      </c>
      <c r="D1898" t="s">
        <v>718</v>
      </c>
      <c r="E1898" s="2">
        <v>3.0139999999999998</v>
      </c>
    </row>
    <row r="1899" spans="1:5" x14ac:dyDescent="0.25">
      <c r="A1899" s="32" t="s">
        <v>767</v>
      </c>
      <c r="B1899" s="7">
        <v>1999</v>
      </c>
      <c r="C1899" s="51" t="s">
        <v>705</v>
      </c>
      <c r="D1899" t="s">
        <v>718</v>
      </c>
      <c r="E1899" s="2">
        <v>2.5859999999999999</v>
      </c>
    </row>
    <row r="1900" spans="1:5" x14ac:dyDescent="0.25">
      <c r="A1900" s="32" t="s">
        <v>767</v>
      </c>
      <c r="B1900" s="7">
        <v>1999</v>
      </c>
      <c r="C1900" s="51" t="s">
        <v>706</v>
      </c>
      <c r="D1900" t="s">
        <v>718</v>
      </c>
      <c r="E1900" s="2">
        <v>2.7810000000000001</v>
      </c>
    </row>
    <row r="1901" spans="1:5" x14ac:dyDescent="0.25">
      <c r="A1901" s="32" t="s">
        <v>767</v>
      </c>
      <c r="B1901" s="7">
        <v>2000</v>
      </c>
      <c r="C1901" s="51" t="s">
        <v>713</v>
      </c>
      <c r="D1901" t="s">
        <v>718</v>
      </c>
      <c r="E1901" s="2">
        <v>2.5129999999999999</v>
      </c>
    </row>
    <row r="1902" spans="1:5" x14ac:dyDescent="0.25">
      <c r="A1902" s="32" t="s">
        <v>767</v>
      </c>
      <c r="B1902" s="7">
        <v>2000</v>
      </c>
      <c r="C1902" s="51" t="s">
        <v>707</v>
      </c>
      <c r="D1902" t="s">
        <v>718</v>
      </c>
      <c r="E1902" s="2">
        <v>2.4279999999999999</v>
      </c>
    </row>
    <row r="1903" spans="1:5" x14ac:dyDescent="0.25">
      <c r="A1903" s="32" t="s">
        <v>767</v>
      </c>
      <c r="B1903" s="7">
        <v>2000</v>
      </c>
      <c r="C1903" s="51" t="s">
        <v>708</v>
      </c>
      <c r="D1903" t="s">
        <v>718</v>
      </c>
      <c r="E1903" s="2">
        <v>2.7250000000000001</v>
      </c>
    </row>
    <row r="1904" spans="1:5" x14ac:dyDescent="0.25">
      <c r="A1904" s="32" t="s">
        <v>767</v>
      </c>
      <c r="B1904" s="7">
        <v>2000</v>
      </c>
      <c r="C1904" s="51" t="s">
        <v>699</v>
      </c>
      <c r="D1904" t="s">
        <v>718</v>
      </c>
      <c r="E1904" s="2">
        <v>2.6669999999999998</v>
      </c>
    </row>
    <row r="1905" spans="1:5" x14ac:dyDescent="0.25">
      <c r="A1905" s="32" t="s">
        <v>767</v>
      </c>
      <c r="B1905" s="7">
        <v>2000</v>
      </c>
      <c r="C1905" s="51" t="s">
        <v>709</v>
      </c>
      <c r="D1905" t="s">
        <v>718</v>
      </c>
      <c r="E1905" s="2">
        <v>2.7509999999999999</v>
      </c>
    </row>
    <row r="1906" spans="1:5" x14ac:dyDescent="0.25">
      <c r="A1906" s="32" t="s">
        <v>767</v>
      </c>
      <c r="B1906" s="7">
        <v>2000</v>
      </c>
      <c r="C1906" s="51" t="s">
        <v>712</v>
      </c>
      <c r="D1906" t="s">
        <v>718</v>
      </c>
      <c r="E1906" s="2">
        <v>2.8029999999999999</v>
      </c>
    </row>
    <row r="1907" spans="1:5" x14ac:dyDescent="0.25">
      <c r="A1907" s="32" t="s">
        <v>767</v>
      </c>
      <c r="B1907" s="7">
        <v>2000</v>
      </c>
      <c r="C1907" s="51" t="s">
        <v>710</v>
      </c>
      <c r="D1907" t="s">
        <v>718</v>
      </c>
      <c r="E1907" s="2">
        <v>2.8250000000000002</v>
      </c>
    </row>
    <row r="1908" spans="1:5" x14ac:dyDescent="0.25">
      <c r="A1908" s="32" t="s">
        <v>767</v>
      </c>
      <c r="B1908" s="7">
        <v>2000</v>
      </c>
      <c r="C1908" s="51" t="s">
        <v>702</v>
      </c>
      <c r="D1908" t="s">
        <v>718</v>
      </c>
      <c r="E1908" s="2">
        <v>2.8079999999999998</v>
      </c>
    </row>
    <row r="1909" spans="1:5" x14ac:dyDescent="0.25">
      <c r="A1909" s="32" t="s">
        <v>767</v>
      </c>
      <c r="B1909" s="7">
        <v>2000</v>
      </c>
      <c r="C1909" s="51" t="s">
        <v>703</v>
      </c>
      <c r="D1909" t="s">
        <v>718</v>
      </c>
      <c r="E1909" s="2">
        <v>2.649</v>
      </c>
    </row>
    <row r="1910" spans="1:5" x14ac:dyDescent="0.25">
      <c r="A1910" s="32" t="s">
        <v>767</v>
      </c>
      <c r="B1910" s="7">
        <v>2000</v>
      </c>
      <c r="C1910" s="51" t="s">
        <v>704</v>
      </c>
      <c r="D1910" t="s">
        <v>718</v>
      </c>
      <c r="E1910" s="2">
        <v>3.3570000000000002</v>
      </c>
    </row>
    <row r="1911" spans="1:5" x14ac:dyDescent="0.25">
      <c r="A1911" s="32" t="s">
        <v>767</v>
      </c>
      <c r="B1911" s="7">
        <v>2000</v>
      </c>
      <c r="C1911" s="51" t="s">
        <v>705</v>
      </c>
      <c r="D1911" t="s">
        <v>718</v>
      </c>
      <c r="E1911" s="2">
        <v>3.0979999999999999</v>
      </c>
    </row>
    <row r="1912" spans="1:5" x14ac:dyDescent="0.25">
      <c r="A1912" s="32" t="s">
        <v>767</v>
      </c>
      <c r="B1912" s="7">
        <v>2000</v>
      </c>
      <c r="C1912" s="51" t="s">
        <v>706</v>
      </c>
      <c r="D1912" t="s">
        <v>718</v>
      </c>
      <c r="E1912" s="2">
        <v>3.2130000000000001</v>
      </c>
    </row>
    <row r="1913" spans="1:5" x14ac:dyDescent="0.25">
      <c r="A1913" s="32" t="s">
        <v>767</v>
      </c>
      <c r="B1913" s="7">
        <v>2001</v>
      </c>
      <c r="C1913" s="51" t="s">
        <v>713</v>
      </c>
      <c r="D1913" t="s">
        <v>718</v>
      </c>
      <c r="E1913" s="2">
        <v>3.2610000000000001</v>
      </c>
    </row>
    <row r="1914" spans="1:5" x14ac:dyDescent="0.25">
      <c r="A1914" s="32" t="s">
        <v>767</v>
      </c>
      <c r="B1914" s="7">
        <v>2001</v>
      </c>
      <c r="C1914" s="51" t="s">
        <v>707</v>
      </c>
      <c r="D1914" t="s">
        <v>718</v>
      </c>
      <c r="E1914" s="2">
        <v>2.875</v>
      </c>
    </row>
    <row r="1915" spans="1:5" x14ac:dyDescent="0.25">
      <c r="A1915" s="32" t="s">
        <v>767</v>
      </c>
      <c r="B1915" s="7">
        <v>2001</v>
      </c>
      <c r="C1915" s="51" t="s">
        <v>708</v>
      </c>
      <c r="D1915" t="s">
        <v>718</v>
      </c>
      <c r="E1915" s="2">
        <v>3.206</v>
      </c>
    </row>
    <row r="1916" spans="1:5" x14ac:dyDescent="0.25">
      <c r="A1916" s="32" t="s">
        <v>767</v>
      </c>
      <c r="B1916" s="7">
        <v>2001</v>
      </c>
      <c r="C1916" s="51" t="s">
        <v>699</v>
      </c>
      <c r="D1916" t="s">
        <v>718</v>
      </c>
      <c r="E1916" s="2">
        <v>2.9590000000000001</v>
      </c>
    </row>
    <row r="1917" spans="1:5" x14ac:dyDescent="0.25">
      <c r="A1917" s="32" t="s">
        <v>767</v>
      </c>
      <c r="B1917" s="7">
        <v>2001</v>
      </c>
      <c r="C1917" s="51" t="s">
        <v>709</v>
      </c>
      <c r="D1917" t="s">
        <v>718</v>
      </c>
      <c r="E1917" s="2">
        <v>3.1880000000000002</v>
      </c>
    </row>
    <row r="1918" spans="1:5" x14ac:dyDescent="0.25">
      <c r="A1918" s="32" t="s">
        <v>767</v>
      </c>
      <c r="B1918" s="7">
        <v>2001</v>
      </c>
      <c r="C1918" s="51" t="s">
        <v>712</v>
      </c>
      <c r="D1918" t="s">
        <v>718</v>
      </c>
      <c r="E1918" s="2">
        <v>3.0289999999999999</v>
      </c>
    </row>
    <row r="1919" spans="1:5" x14ac:dyDescent="0.25">
      <c r="A1919" s="32" t="s">
        <v>767</v>
      </c>
      <c r="B1919" s="7">
        <v>2001</v>
      </c>
      <c r="C1919" s="51" t="s">
        <v>710</v>
      </c>
      <c r="D1919" t="s">
        <v>718</v>
      </c>
      <c r="E1919" s="2">
        <v>2.9</v>
      </c>
    </row>
    <row r="1920" spans="1:5" x14ac:dyDescent="0.25">
      <c r="A1920" s="32" t="s">
        <v>767</v>
      </c>
      <c r="B1920" s="7">
        <v>2001</v>
      </c>
      <c r="C1920" s="51" t="s">
        <v>702</v>
      </c>
      <c r="D1920" t="s">
        <v>718</v>
      </c>
      <c r="E1920" s="2">
        <v>2.9820000000000002</v>
      </c>
    </row>
    <row r="1921" spans="1:5" x14ac:dyDescent="0.25">
      <c r="A1921" s="32" t="s">
        <v>767</v>
      </c>
      <c r="B1921" s="7">
        <v>2001</v>
      </c>
      <c r="C1921" s="51" t="s">
        <v>703</v>
      </c>
      <c r="D1921" t="s">
        <v>718</v>
      </c>
      <c r="E1921" s="2">
        <v>2.7869999999999999</v>
      </c>
    </row>
    <row r="1922" spans="1:5" x14ac:dyDescent="0.25">
      <c r="A1922" s="32" t="s">
        <v>767</v>
      </c>
      <c r="B1922" s="7">
        <v>2001</v>
      </c>
      <c r="C1922" s="51" t="s">
        <v>704</v>
      </c>
      <c r="D1922" t="s">
        <v>718</v>
      </c>
      <c r="E1922" s="2">
        <v>2.415</v>
      </c>
    </row>
    <row r="1923" spans="1:5" x14ac:dyDescent="0.25">
      <c r="A1923" s="32" t="s">
        <v>767</v>
      </c>
      <c r="B1923" s="7">
        <v>2001</v>
      </c>
      <c r="C1923" s="51" t="s">
        <v>705</v>
      </c>
      <c r="D1923" t="s">
        <v>718</v>
      </c>
      <c r="E1923" s="2">
        <v>2.5609999999999999</v>
      </c>
    </row>
    <row r="1924" spans="1:5" x14ac:dyDescent="0.25">
      <c r="A1924" s="32" t="s">
        <v>767</v>
      </c>
      <c r="B1924" s="7">
        <v>2001</v>
      </c>
      <c r="C1924" s="51" t="s">
        <v>706</v>
      </c>
      <c r="D1924" t="s">
        <v>718</v>
      </c>
      <c r="E1924" s="2">
        <v>2.5819999999999999</v>
      </c>
    </row>
    <row r="1925" spans="1:5" x14ac:dyDescent="0.25">
      <c r="A1925" s="32" t="s">
        <v>767</v>
      </c>
      <c r="B1925" s="7">
        <v>2002</v>
      </c>
      <c r="C1925" s="51" t="s">
        <v>713</v>
      </c>
      <c r="D1925" t="s">
        <v>718</v>
      </c>
      <c r="E1925" s="2">
        <v>2.5</v>
      </c>
    </row>
    <row r="1926" spans="1:5" x14ac:dyDescent="0.25">
      <c r="A1926" s="32" t="s">
        <v>767</v>
      </c>
      <c r="B1926" s="7">
        <v>2002</v>
      </c>
      <c r="C1926" s="51" t="s">
        <v>707</v>
      </c>
      <c r="D1926" t="s">
        <v>718</v>
      </c>
      <c r="E1926" s="2">
        <v>2.5</v>
      </c>
    </row>
    <row r="1927" spans="1:5" x14ac:dyDescent="0.25">
      <c r="A1927" s="32" t="s">
        <v>767</v>
      </c>
      <c r="B1927" s="7">
        <v>2002</v>
      </c>
      <c r="C1927" s="51" t="s">
        <v>708</v>
      </c>
      <c r="D1927" t="s">
        <v>718</v>
      </c>
      <c r="E1927" s="2">
        <v>2.2149999999999999</v>
      </c>
    </row>
    <row r="1928" spans="1:5" x14ac:dyDescent="0.25">
      <c r="A1928" s="32" t="s">
        <v>767</v>
      </c>
      <c r="B1928" s="7">
        <v>2002</v>
      </c>
      <c r="C1928" s="51" t="s">
        <v>699</v>
      </c>
      <c r="D1928" t="s">
        <v>718</v>
      </c>
      <c r="E1928" s="2">
        <v>2.1970000000000001</v>
      </c>
    </row>
    <row r="1929" spans="1:5" x14ac:dyDescent="0.25">
      <c r="A1929" s="32" t="s">
        <v>767</v>
      </c>
      <c r="B1929" s="7">
        <v>2002</v>
      </c>
      <c r="C1929" s="51" t="s">
        <v>709</v>
      </c>
      <c r="D1929" t="s">
        <v>718</v>
      </c>
      <c r="E1929" s="2">
        <v>2.3359999999999999</v>
      </c>
    </row>
    <row r="1930" spans="1:5" x14ac:dyDescent="0.25">
      <c r="A1930" s="32" t="s">
        <v>767</v>
      </c>
      <c r="B1930" s="7">
        <v>2002</v>
      </c>
      <c r="C1930" s="51" t="s">
        <v>712</v>
      </c>
      <c r="D1930" t="s">
        <v>718</v>
      </c>
      <c r="E1930" s="2">
        <v>2.294</v>
      </c>
    </row>
    <row r="1931" spans="1:5" x14ac:dyDescent="0.25">
      <c r="A1931" s="32" t="s">
        <v>767</v>
      </c>
      <c r="B1931" s="7">
        <v>2002</v>
      </c>
      <c r="C1931" s="51" t="s">
        <v>710</v>
      </c>
      <c r="D1931" t="s">
        <v>718</v>
      </c>
      <c r="E1931" s="2">
        <v>2.37</v>
      </c>
    </row>
    <row r="1932" spans="1:5" x14ac:dyDescent="0.25">
      <c r="A1932" s="32" t="s">
        <v>767</v>
      </c>
      <c r="B1932" s="7">
        <v>2002</v>
      </c>
      <c r="C1932" s="51" t="s">
        <v>702</v>
      </c>
      <c r="D1932" t="s">
        <v>718</v>
      </c>
      <c r="E1932" s="2">
        <v>2.2400000000000002</v>
      </c>
    </row>
    <row r="1933" spans="1:5" x14ac:dyDescent="0.25">
      <c r="A1933" s="32" t="s">
        <v>767</v>
      </c>
      <c r="B1933" s="7">
        <v>2002</v>
      </c>
      <c r="C1933" s="51" t="s">
        <v>703</v>
      </c>
      <c r="D1933" t="s">
        <v>718</v>
      </c>
      <c r="E1933" s="2">
        <v>2.2759999999999998</v>
      </c>
    </row>
    <row r="1934" spans="1:5" x14ac:dyDescent="0.25">
      <c r="A1934" s="32" t="s">
        <v>767</v>
      </c>
      <c r="B1934" s="7">
        <v>2002</v>
      </c>
      <c r="C1934" s="51" t="s">
        <v>704</v>
      </c>
      <c r="D1934" t="s">
        <v>718</v>
      </c>
      <c r="E1934" s="2">
        <v>2.4609999999999999</v>
      </c>
    </row>
    <row r="1935" spans="1:5" x14ac:dyDescent="0.25">
      <c r="A1935" s="32" t="s">
        <v>767</v>
      </c>
      <c r="B1935" s="7">
        <v>2002</v>
      </c>
      <c r="C1935" s="51" t="s">
        <v>705</v>
      </c>
      <c r="D1935" t="s">
        <v>718</v>
      </c>
      <c r="E1935" s="2">
        <v>2.714</v>
      </c>
    </row>
    <row r="1936" spans="1:5" x14ac:dyDescent="0.25">
      <c r="A1936" s="32" t="s">
        <v>767</v>
      </c>
      <c r="B1936" s="7">
        <v>2002</v>
      </c>
      <c r="C1936" s="51" t="s">
        <v>706</v>
      </c>
      <c r="D1936" t="s">
        <v>718</v>
      </c>
      <c r="E1936" s="2">
        <v>2.8050000000000002</v>
      </c>
    </row>
    <row r="1937" spans="1:5" x14ac:dyDescent="0.25">
      <c r="A1937" s="32" t="s">
        <v>767</v>
      </c>
      <c r="B1937" s="7">
        <v>2003</v>
      </c>
      <c r="C1937" s="51" t="s">
        <v>713</v>
      </c>
      <c r="D1937" t="s">
        <v>718</v>
      </c>
      <c r="E1937" s="2">
        <v>2.839</v>
      </c>
    </row>
    <row r="1938" spans="1:5" x14ac:dyDescent="0.25">
      <c r="A1938" s="32" t="s">
        <v>767</v>
      </c>
      <c r="B1938" s="7">
        <v>2003</v>
      </c>
      <c r="C1938" s="51" t="s">
        <v>707</v>
      </c>
      <c r="D1938" t="s">
        <v>718</v>
      </c>
      <c r="E1938" s="2">
        <v>2.7309999999999999</v>
      </c>
    </row>
    <row r="1939" spans="1:5" x14ac:dyDescent="0.25">
      <c r="A1939" s="32" t="s">
        <v>767</v>
      </c>
      <c r="B1939" s="7">
        <v>2003</v>
      </c>
      <c r="C1939" s="51" t="s">
        <v>708</v>
      </c>
      <c r="D1939" t="s">
        <v>718</v>
      </c>
      <c r="E1939" s="2">
        <v>3.214</v>
      </c>
    </row>
    <row r="1940" spans="1:5" x14ac:dyDescent="0.25">
      <c r="A1940" s="32" t="s">
        <v>767</v>
      </c>
      <c r="B1940" s="7">
        <v>2003</v>
      </c>
      <c r="C1940" s="51" t="s">
        <v>699</v>
      </c>
      <c r="D1940" t="s">
        <v>718</v>
      </c>
      <c r="E1940" s="2">
        <v>2.694</v>
      </c>
    </row>
    <row r="1941" spans="1:5" x14ac:dyDescent="0.25">
      <c r="A1941" s="32" t="s">
        <v>767</v>
      </c>
      <c r="B1941" s="7">
        <v>2003</v>
      </c>
      <c r="C1941" s="51" t="s">
        <v>709</v>
      </c>
      <c r="D1941" t="s">
        <v>718</v>
      </c>
      <c r="E1941" s="2">
        <v>3.0089999999999999</v>
      </c>
    </row>
    <row r="1942" spans="1:5" x14ac:dyDescent="0.25">
      <c r="A1942" s="32" t="s">
        <v>767</v>
      </c>
      <c r="B1942" s="7">
        <v>2003</v>
      </c>
      <c r="C1942" s="51" t="s">
        <v>712</v>
      </c>
      <c r="D1942" t="s">
        <v>718</v>
      </c>
      <c r="E1942" s="2">
        <v>3.1459999999999999</v>
      </c>
    </row>
    <row r="1943" spans="1:5" x14ac:dyDescent="0.25">
      <c r="A1943" s="32" t="s">
        <v>767</v>
      </c>
      <c r="B1943" s="7">
        <v>2003</v>
      </c>
      <c r="C1943" s="51" t="s">
        <v>710</v>
      </c>
      <c r="D1943" t="s">
        <v>718</v>
      </c>
      <c r="E1943" s="2">
        <v>2.9929999999999999</v>
      </c>
    </row>
    <row r="1944" spans="1:5" x14ac:dyDescent="0.25">
      <c r="A1944" s="32" t="s">
        <v>767</v>
      </c>
      <c r="B1944" s="7">
        <v>2003</v>
      </c>
      <c r="C1944" s="51" t="s">
        <v>702</v>
      </c>
      <c r="D1944" t="s">
        <v>718</v>
      </c>
      <c r="E1944" s="2">
        <v>2.9910000000000001</v>
      </c>
    </row>
    <row r="1945" spans="1:5" x14ac:dyDescent="0.25">
      <c r="A1945" s="32" t="s">
        <v>767</v>
      </c>
      <c r="B1945" s="7">
        <v>2003</v>
      </c>
      <c r="C1945" s="51" t="s">
        <v>703</v>
      </c>
      <c r="D1945" t="s">
        <v>718</v>
      </c>
      <c r="E1945" s="2">
        <v>2.9140000000000001</v>
      </c>
    </row>
    <row r="1946" spans="1:5" x14ac:dyDescent="0.25">
      <c r="A1946" s="32" t="s">
        <v>767</v>
      </c>
      <c r="B1946" s="7">
        <v>2003</v>
      </c>
      <c r="C1946" s="51" t="s">
        <v>704</v>
      </c>
      <c r="D1946" t="s">
        <v>718</v>
      </c>
      <c r="E1946" s="2">
        <v>2.8580000000000001</v>
      </c>
    </row>
    <row r="1947" spans="1:5" x14ac:dyDescent="0.25">
      <c r="A1947" s="32" t="s">
        <v>767</v>
      </c>
      <c r="B1947" s="7">
        <v>2003</v>
      </c>
      <c r="C1947" s="51" t="s">
        <v>705</v>
      </c>
      <c r="D1947" t="s">
        <v>718</v>
      </c>
      <c r="E1947" s="2">
        <v>2.69</v>
      </c>
    </row>
    <row r="1948" spans="1:5" x14ac:dyDescent="0.25">
      <c r="A1948" s="32" t="s">
        <v>767</v>
      </c>
      <c r="B1948" s="7">
        <v>2003</v>
      </c>
      <c r="C1948" s="51" t="s">
        <v>706</v>
      </c>
      <c r="D1948" t="s">
        <v>718</v>
      </c>
      <c r="E1948" s="2">
        <v>2.7930000000000001</v>
      </c>
    </row>
    <row r="1949" spans="1:5" x14ac:dyDescent="0.25">
      <c r="A1949" s="32" t="s">
        <v>767</v>
      </c>
      <c r="B1949" s="7">
        <v>2004</v>
      </c>
      <c r="C1949" s="51" t="s">
        <v>713</v>
      </c>
      <c r="D1949" t="s">
        <v>718</v>
      </c>
      <c r="E1949" s="2">
        <v>2.7170000000000001</v>
      </c>
    </row>
    <row r="1950" spans="1:5" x14ac:dyDescent="0.25">
      <c r="A1950" s="32" t="s">
        <v>767</v>
      </c>
      <c r="B1950" s="7">
        <v>2004</v>
      </c>
      <c r="C1950" s="51" t="s">
        <v>707</v>
      </c>
      <c r="D1950" t="s">
        <v>718</v>
      </c>
      <c r="E1950" s="2">
        <v>2.7669999999999999</v>
      </c>
    </row>
    <row r="1951" spans="1:5" x14ac:dyDescent="0.25">
      <c r="A1951" s="32" t="s">
        <v>767</v>
      </c>
      <c r="B1951" s="7">
        <v>2004</v>
      </c>
      <c r="C1951" s="51" t="s">
        <v>708</v>
      </c>
      <c r="D1951" t="s">
        <v>718</v>
      </c>
      <c r="E1951" s="2">
        <v>2.8959999999999999</v>
      </c>
    </row>
    <row r="1952" spans="1:5" x14ac:dyDescent="0.25">
      <c r="A1952" s="32" t="s">
        <v>767</v>
      </c>
      <c r="B1952" s="7">
        <v>2004</v>
      </c>
      <c r="C1952" s="51" t="s">
        <v>699</v>
      </c>
      <c r="D1952" t="s">
        <v>718</v>
      </c>
      <c r="E1952" s="2">
        <v>2.9089999999999998</v>
      </c>
    </row>
    <row r="1953" spans="1:5" x14ac:dyDescent="0.25">
      <c r="A1953" s="32" t="s">
        <v>767</v>
      </c>
      <c r="B1953" s="7">
        <v>2004</v>
      </c>
      <c r="C1953" s="51" t="s">
        <v>709</v>
      </c>
      <c r="D1953" t="s">
        <v>718</v>
      </c>
      <c r="E1953" s="2">
        <v>2.9809999999999999</v>
      </c>
    </row>
    <row r="1954" spans="1:5" x14ac:dyDescent="0.25">
      <c r="A1954" s="32" t="s">
        <v>767</v>
      </c>
      <c r="B1954" s="7">
        <v>2004</v>
      </c>
      <c r="C1954" s="51" t="s">
        <v>712</v>
      </c>
      <c r="D1954" t="s">
        <v>718</v>
      </c>
      <c r="E1954" s="2">
        <v>2.9569999999999999</v>
      </c>
    </row>
    <row r="1955" spans="1:5" x14ac:dyDescent="0.25">
      <c r="A1955" s="32" t="s">
        <v>767</v>
      </c>
      <c r="B1955" s="7">
        <v>2004</v>
      </c>
      <c r="C1955" s="51" t="s">
        <v>710</v>
      </c>
      <c r="D1955" t="s">
        <v>718</v>
      </c>
      <c r="E1955" s="2">
        <v>3.004</v>
      </c>
    </row>
    <row r="1956" spans="1:5" x14ac:dyDescent="0.25">
      <c r="A1956" s="32" t="s">
        <v>767</v>
      </c>
      <c r="B1956" s="7">
        <v>2004</v>
      </c>
      <c r="C1956" s="51" t="s">
        <v>702</v>
      </c>
      <c r="D1956" t="s">
        <v>718</v>
      </c>
      <c r="E1956" s="2">
        <v>3.069</v>
      </c>
    </row>
    <row r="1957" spans="1:5" x14ac:dyDescent="0.25">
      <c r="A1957" s="32" t="s">
        <v>767</v>
      </c>
      <c r="B1957" s="7">
        <v>2004</v>
      </c>
      <c r="C1957" s="51" t="s">
        <v>703</v>
      </c>
      <c r="D1957" t="s">
        <v>718</v>
      </c>
      <c r="E1957" s="2">
        <v>2.9159999999999999</v>
      </c>
    </row>
    <row r="1958" spans="1:5" x14ac:dyDescent="0.25">
      <c r="A1958" s="32" t="s">
        <v>767</v>
      </c>
      <c r="B1958" s="7">
        <v>2004</v>
      </c>
      <c r="C1958" s="51" t="s">
        <v>704</v>
      </c>
      <c r="D1958" t="s">
        <v>718</v>
      </c>
      <c r="E1958" s="2">
        <v>2.9569999999999999</v>
      </c>
    </row>
    <row r="1959" spans="1:5" x14ac:dyDescent="0.25">
      <c r="A1959" s="32" t="s">
        <v>767</v>
      </c>
      <c r="B1959" s="7">
        <v>2004</v>
      </c>
      <c r="C1959" s="51" t="s">
        <v>705</v>
      </c>
      <c r="D1959" t="s">
        <v>718</v>
      </c>
      <c r="E1959" s="2">
        <v>2.976</v>
      </c>
    </row>
    <row r="1960" spans="1:5" x14ac:dyDescent="0.25">
      <c r="A1960" s="32" t="s">
        <v>767</v>
      </c>
      <c r="B1960" s="7">
        <v>2004</v>
      </c>
      <c r="C1960" s="51" t="s">
        <v>706</v>
      </c>
      <c r="D1960" t="s">
        <v>718</v>
      </c>
      <c r="E1960" s="2">
        <v>3.0230000000000001</v>
      </c>
    </row>
    <row r="1961" spans="1:5" x14ac:dyDescent="0.25">
      <c r="A1961" s="32" t="s">
        <v>767</v>
      </c>
      <c r="B1961" s="7">
        <v>2005</v>
      </c>
      <c r="C1961" s="51" t="s">
        <v>713</v>
      </c>
      <c r="D1961" t="s">
        <v>718</v>
      </c>
      <c r="E1961" s="2">
        <v>3.0409999999999999</v>
      </c>
    </row>
    <row r="1962" spans="1:5" x14ac:dyDescent="0.25">
      <c r="A1962" s="32" t="s">
        <v>767</v>
      </c>
      <c r="B1962" s="7">
        <v>2005</v>
      </c>
      <c r="C1962" s="51" t="s">
        <v>707</v>
      </c>
      <c r="D1962" t="s">
        <v>718</v>
      </c>
      <c r="E1962" s="2">
        <v>2.7069999999999999</v>
      </c>
    </row>
    <row r="1963" spans="1:5" x14ac:dyDescent="0.25">
      <c r="A1963" s="32" t="s">
        <v>767</v>
      </c>
      <c r="B1963" s="7">
        <v>2005</v>
      </c>
      <c r="C1963" s="51" t="s">
        <v>708</v>
      </c>
      <c r="D1963" t="s">
        <v>718</v>
      </c>
      <c r="E1963" s="2">
        <v>3.0390000000000001</v>
      </c>
    </row>
    <row r="1964" spans="1:5" x14ac:dyDescent="0.25">
      <c r="A1964" s="32" t="s">
        <v>767</v>
      </c>
      <c r="B1964" s="7">
        <v>2005</v>
      </c>
      <c r="C1964" s="51" t="s">
        <v>699</v>
      </c>
      <c r="D1964" t="s">
        <v>718</v>
      </c>
      <c r="E1964" s="2">
        <v>2.823</v>
      </c>
    </row>
    <row r="1965" spans="1:5" x14ac:dyDescent="0.25">
      <c r="A1965" s="32" t="s">
        <v>767</v>
      </c>
      <c r="B1965" s="7">
        <v>2005</v>
      </c>
      <c r="C1965" s="51" t="s">
        <v>709</v>
      </c>
      <c r="D1965" t="s">
        <v>718</v>
      </c>
      <c r="E1965" s="2">
        <v>2.7240000000000002</v>
      </c>
    </row>
    <row r="1966" spans="1:5" x14ac:dyDescent="0.25">
      <c r="A1966" s="32" t="s">
        <v>767</v>
      </c>
      <c r="B1966" s="7">
        <v>2005</v>
      </c>
      <c r="C1966" s="51" t="s">
        <v>712</v>
      </c>
      <c r="D1966" t="s">
        <v>718</v>
      </c>
      <c r="E1966" s="2">
        <v>2.6640000000000001</v>
      </c>
    </row>
    <row r="1967" spans="1:5" x14ac:dyDescent="0.25">
      <c r="A1967" s="32" t="s">
        <v>767</v>
      </c>
      <c r="B1967" s="7">
        <v>2005</v>
      </c>
      <c r="C1967" s="51" t="s">
        <v>710</v>
      </c>
      <c r="D1967" t="s">
        <v>718</v>
      </c>
      <c r="E1967" s="2">
        <v>2.8290000000000002</v>
      </c>
    </row>
    <row r="1968" spans="1:5" x14ac:dyDescent="0.25">
      <c r="A1968" s="32" t="s">
        <v>767</v>
      </c>
      <c r="B1968" s="7">
        <v>2005</v>
      </c>
      <c r="C1968" s="51" t="s">
        <v>702</v>
      </c>
      <c r="D1968" t="s">
        <v>718</v>
      </c>
      <c r="E1968" s="2">
        <v>2.766</v>
      </c>
    </row>
    <row r="1969" spans="1:5" x14ac:dyDescent="0.25">
      <c r="A1969" s="32" t="s">
        <v>767</v>
      </c>
      <c r="B1969" s="7">
        <v>2005</v>
      </c>
      <c r="C1969" s="51" t="s">
        <v>703</v>
      </c>
      <c r="D1969" t="s">
        <v>718</v>
      </c>
      <c r="E1969" s="2">
        <v>2.7280000000000002</v>
      </c>
    </row>
    <row r="1970" spans="1:5" x14ac:dyDescent="0.25">
      <c r="A1970" s="32" t="s">
        <v>767</v>
      </c>
      <c r="B1970" s="7">
        <v>2005</v>
      </c>
      <c r="C1970" s="51" t="s">
        <v>704</v>
      </c>
      <c r="D1970" t="s">
        <v>718</v>
      </c>
      <c r="E1970" s="2">
        <v>2.8559999999999999</v>
      </c>
    </row>
    <row r="1971" spans="1:5" x14ac:dyDescent="0.25">
      <c r="A1971" s="32" t="s">
        <v>767</v>
      </c>
      <c r="B1971" s="7">
        <v>2005</v>
      </c>
      <c r="C1971" s="51" t="s">
        <v>705</v>
      </c>
      <c r="D1971" t="s">
        <v>718</v>
      </c>
      <c r="E1971" s="2">
        <v>2.706</v>
      </c>
    </row>
    <row r="1972" spans="1:5" x14ac:dyDescent="0.25">
      <c r="A1972" s="32" t="s">
        <v>767</v>
      </c>
      <c r="B1972" s="7">
        <v>2005</v>
      </c>
      <c r="C1972" s="51" t="s">
        <v>706</v>
      </c>
      <c r="D1972" t="s">
        <v>718</v>
      </c>
      <c r="E1972" s="2">
        <v>2.8620000000000001</v>
      </c>
    </row>
    <row r="1973" spans="1:5" x14ac:dyDescent="0.25">
      <c r="A1973" s="32" t="s">
        <v>767</v>
      </c>
      <c r="B1973" s="7">
        <v>2006</v>
      </c>
      <c r="C1973" s="51" t="s">
        <v>713</v>
      </c>
      <c r="D1973" t="s">
        <v>718</v>
      </c>
      <c r="E1973" s="2">
        <v>2.7789999999999999</v>
      </c>
    </row>
    <row r="1974" spans="1:5" x14ac:dyDescent="0.25">
      <c r="A1974" s="32" t="s">
        <v>767</v>
      </c>
      <c r="B1974" s="7">
        <v>2006</v>
      </c>
      <c r="C1974" s="51" t="s">
        <v>707</v>
      </c>
      <c r="D1974" t="s">
        <v>718</v>
      </c>
      <c r="E1974" s="2">
        <v>2.5649999999999999</v>
      </c>
    </row>
    <row r="1975" spans="1:5" x14ac:dyDescent="0.25">
      <c r="A1975" s="32" t="s">
        <v>767</v>
      </c>
      <c r="B1975" s="7">
        <v>2006</v>
      </c>
      <c r="C1975" s="51" t="s">
        <v>708</v>
      </c>
      <c r="D1975" t="s">
        <v>718</v>
      </c>
      <c r="E1975" s="2">
        <v>2.8690000000000002</v>
      </c>
    </row>
    <row r="1976" spans="1:5" x14ac:dyDescent="0.25">
      <c r="A1976" s="32" t="s">
        <v>767</v>
      </c>
      <c r="B1976" s="7">
        <v>2006</v>
      </c>
      <c r="C1976" s="51" t="s">
        <v>699</v>
      </c>
      <c r="D1976" t="s">
        <v>718</v>
      </c>
      <c r="E1976" s="2">
        <v>2.69</v>
      </c>
    </row>
    <row r="1977" spans="1:5" x14ac:dyDescent="0.25">
      <c r="A1977" s="32" t="s">
        <v>767</v>
      </c>
      <c r="B1977" s="7">
        <v>2006</v>
      </c>
      <c r="C1977" s="51" t="s">
        <v>709</v>
      </c>
      <c r="D1977" t="s">
        <v>718</v>
      </c>
      <c r="E1977" s="2">
        <v>2.78</v>
      </c>
    </row>
    <row r="1978" spans="1:5" x14ac:dyDescent="0.25">
      <c r="A1978" s="32" t="s">
        <v>767</v>
      </c>
      <c r="B1978" s="7">
        <v>2006</v>
      </c>
      <c r="C1978" s="51" t="s">
        <v>712</v>
      </c>
      <c r="D1978" t="s">
        <v>718</v>
      </c>
      <c r="E1978" s="2">
        <v>3.01</v>
      </c>
    </row>
    <row r="1979" spans="1:5" x14ac:dyDescent="0.25">
      <c r="A1979" s="32" t="s">
        <v>767</v>
      </c>
      <c r="B1979" s="7">
        <v>2006</v>
      </c>
      <c r="C1979" s="51" t="s">
        <v>710</v>
      </c>
      <c r="D1979" t="s">
        <v>718</v>
      </c>
      <c r="E1979" s="2">
        <v>2.7759999999999998</v>
      </c>
    </row>
    <row r="1980" spans="1:5" x14ac:dyDescent="0.25">
      <c r="A1980" s="32" t="s">
        <v>767</v>
      </c>
      <c r="B1980" s="7">
        <v>2006</v>
      </c>
      <c r="C1980" s="51" t="s">
        <v>702</v>
      </c>
      <c r="D1980" t="s">
        <v>718</v>
      </c>
      <c r="E1980" s="2">
        <v>3.032</v>
      </c>
    </row>
    <row r="1981" spans="1:5" x14ac:dyDescent="0.25">
      <c r="A1981" s="32" t="s">
        <v>767</v>
      </c>
      <c r="B1981" s="7">
        <v>2006</v>
      </c>
      <c r="C1981" s="51" t="s">
        <v>703</v>
      </c>
      <c r="D1981" t="s">
        <v>718</v>
      </c>
      <c r="E1981" s="2">
        <v>2.871</v>
      </c>
    </row>
    <row r="1982" spans="1:5" x14ac:dyDescent="0.25">
      <c r="A1982" s="32" t="s">
        <v>767</v>
      </c>
      <c r="B1982" s="7">
        <v>2006</v>
      </c>
      <c r="C1982" s="51" t="s">
        <v>704</v>
      </c>
      <c r="D1982" t="s">
        <v>718</v>
      </c>
      <c r="E1982" s="2">
        <v>2.8279999999999998</v>
      </c>
    </row>
    <row r="1983" spans="1:5" x14ac:dyDescent="0.25">
      <c r="A1983" s="32" t="s">
        <v>767</v>
      </c>
      <c r="B1983" s="7">
        <v>2006</v>
      </c>
      <c r="C1983" s="51" t="s">
        <v>705</v>
      </c>
      <c r="D1983" t="s">
        <v>718</v>
      </c>
      <c r="E1983" s="2">
        <v>2.8530000000000002</v>
      </c>
    </row>
    <row r="1984" spans="1:5" x14ac:dyDescent="0.25">
      <c r="A1984" s="32" t="s">
        <v>767</v>
      </c>
      <c r="B1984" s="7">
        <v>2006</v>
      </c>
      <c r="C1984" s="51" t="s">
        <v>706</v>
      </c>
      <c r="D1984" t="s">
        <v>718</v>
      </c>
      <c r="E1984" s="2">
        <v>2.8849999999999998</v>
      </c>
    </row>
    <row r="1985" spans="1:5" x14ac:dyDescent="0.25">
      <c r="A1985" s="32" t="s">
        <v>767</v>
      </c>
      <c r="B1985" s="7">
        <v>2007</v>
      </c>
      <c r="C1985" s="51" t="s">
        <v>713</v>
      </c>
      <c r="D1985" t="s">
        <v>718</v>
      </c>
      <c r="E1985" s="2">
        <v>2.9119999999999999</v>
      </c>
    </row>
    <row r="1986" spans="1:5" x14ac:dyDescent="0.25">
      <c r="A1986" s="32" t="s">
        <v>767</v>
      </c>
      <c r="B1986" s="7">
        <v>2007</v>
      </c>
      <c r="C1986" s="51" t="s">
        <v>707</v>
      </c>
      <c r="D1986" t="s">
        <v>718</v>
      </c>
      <c r="E1986" s="2">
        <v>2.6619999999999999</v>
      </c>
    </row>
    <row r="1987" spans="1:5" x14ac:dyDescent="0.25">
      <c r="A1987" s="32" t="s">
        <v>767</v>
      </c>
      <c r="B1987" s="7">
        <v>2007</v>
      </c>
      <c r="C1987" s="51" t="s">
        <v>708</v>
      </c>
      <c r="D1987" t="s">
        <v>718</v>
      </c>
      <c r="E1987" s="2">
        <v>2.9929999999999999</v>
      </c>
    </row>
    <row r="1988" spans="1:5" x14ac:dyDescent="0.25">
      <c r="A1988" s="32" t="s">
        <v>767</v>
      </c>
      <c r="B1988" s="7">
        <v>2007</v>
      </c>
      <c r="C1988" s="51" t="s">
        <v>699</v>
      </c>
      <c r="D1988" t="s">
        <v>718</v>
      </c>
      <c r="E1988" s="2">
        <v>2.7109999999999999</v>
      </c>
    </row>
    <row r="1989" spans="1:5" x14ac:dyDescent="0.25">
      <c r="A1989" s="32" t="s">
        <v>767</v>
      </c>
      <c r="B1989" s="7">
        <v>2007</v>
      </c>
      <c r="C1989" s="51" t="s">
        <v>709</v>
      </c>
      <c r="D1989" t="s">
        <v>718</v>
      </c>
      <c r="E1989" s="2">
        <v>2.7450000000000001</v>
      </c>
    </row>
    <row r="1990" spans="1:5" x14ac:dyDescent="0.25">
      <c r="A1990" s="32" t="s">
        <v>767</v>
      </c>
      <c r="B1990" s="7">
        <v>2007</v>
      </c>
      <c r="C1990" s="51" t="s">
        <v>712</v>
      </c>
      <c r="D1990" t="s">
        <v>718</v>
      </c>
      <c r="E1990" s="2">
        <v>2.6379999999999999</v>
      </c>
    </row>
    <row r="1991" spans="1:5" x14ac:dyDescent="0.25">
      <c r="A1991" s="32" t="s">
        <v>767</v>
      </c>
      <c r="B1991" s="7">
        <v>2007</v>
      </c>
      <c r="C1991" s="51" t="s">
        <v>710</v>
      </c>
      <c r="D1991" t="s">
        <v>718</v>
      </c>
      <c r="E1991" s="2">
        <v>2.613</v>
      </c>
    </row>
    <row r="1992" spans="1:5" x14ac:dyDescent="0.25">
      <c r="A1992" s="32" t="s">
        <v>767</v>
      </c>
      <c r="B1992" s="7">
        <v>2007</v>
      </c>
      <c r="C1992" s="51" t="s">
        <v>702</v>
      </c>
      <c r="D1992" t="s">
        <v>718</v>
      </c>
      <c r="E1992" s="2">
        <v>2.6349999999999998</v>
      </c>
    </row>
    <row r="1993" spans="1:5" x14ac:dyDescent="0.25">
      <c r="A1993" s="32" t="s">
        <v>767</v>
      </c>
      <c r="B1993" s="7">
        <v>2007</v>
      </c>
      <c r="C1993" s="51" t="s">
        <v>703</v>
      </c>
      <c r="D1993" t="s">
        <v>718</v>
      </c>
      <c r="E1993" s="2">
        <v>2.887</v>
      </c>
    </row>
    <row r="1994" spans="1:5" x14ac:dyDescent="0.25">
      <c r="A1994" s="32" t="s">
        <v>767</v>
      </c>
      <c r="B1994" s="7">
        <v>2007</v>
      </c>
      <c r="C1994" s="51" t="s">
        <v>704</v>
      </c>
      <c r="D1994" t="s">
        <v>718</v>
      </c>
      <c r="E1994" s="2">
        <v>3.1179999999999999</v>
      </c>
    </row>
    <row r="1995" spans="1:5" x14ac:dyDescent="0.25">
      <c r="A1995" s="32" t="s">
        <v>767</v>
      </c>
      <c r="B1995" s="7">
        <v>2007</v>
      </c>
      <c r="C1995" s="51" t="s">
        <v>705</v>
      </c>
      <c r="D1995" t="s">
        <v>718</v>
      </c>
      <c r="E1995" s="2">
        <v>2.9460000000000002</v>
      </c>
    </row>
    <row r="1996" spans="1:5" x14ac:dyDescent="0.25">
      <c r="A1996" s="32" t="s">
        <v>767</v>
      </c>
      <c r="B1996" s="7">
        <v>2007</v>
      </c>
      <c r="C1996" s="51" t="s">
        <v>706</v>
      </c>
      <c r="D1996" t="s">
        <v>718</v>
      </c>
      <c r="E1996" s="2">
        <v>3.1819999999999999</v>
      </c>
    </row>
    <row r="1997" spans="1:5" x14ac:dyDescent="0.25">
      <c r="A1997" s="32" t="s">
        <v>767</v>
      </c>
      <c r="B1997" s="7">
        <v>2008</v>
      </c>
      <c r="C1997" s="51" t="s">
        <v>713</v>
      </c>
      <c r="D1997" t="s">
        <v>718</v>
      </c>
      <c r="E1997" s="2">
        <v>2.84</v>
      </c>
    </row>
    <row r="1998" spans="1:5" x14ac:dyDescent="0.25">
      <c r="A1998" s="32" t="s">
        <v>767</v>
      </c>
      <c r="B1998" s="7">
        <v>2008</v>
      </c>
      <c r="C1998" s="51" t="s">
        <v>707</v>
      </c>
      <c r="D1998" t="s">
        <v>718</v>
      </c>
      <c r="E1998" s="2">
        <v>2.9990000000000001</v>
      </c>
    </row>
    <row r="1999" spans="1:5" x14ac:dyDescent="0.25">
      <c r="A1999" s="32" t="s">
        <v>767</v>
      </c>
      <c r="B1999" s="7">
        <v>2008</v>
      </c>
      <c r="C1999" s="51" t="s">
        <v>708</v>
      </c>
      <c r="D1999" t="s">
        <v>718</v>
      </c>
      <c r="E1999" s="2">
        <v>2.774</v>
      </c>
    </row>
    <row r="2000" spans="1:5" x14ac:dyDescent="0.25">
      <c r="A2000" s="32" t="s">
        <v>767</v>
      </c>
      <c r="B2000" s="7">
        <v>2008</v>
      </c>
      <c r="C2000" s="51" t="s">
        <v>699</v>
      </c>
      <c r="D2000" t="s">
        <v>718</v>
      </c>
      <c r="E2000" s="2">
        <v>3.1360000000000001</v>
      </c>
    </row>
    <row r="2001" spans="1:5" x14ac:dyDescent="0.25">
      <c r="A2001" s="32" t="s">
        <v>767</v>
      </c>
      <c r="B2001" s="7">
        <v>2008</v>
      </c>
      <c r="C2001" s="51" t="s">
        <v>709</v>
      </c>
      <c r="D2001" t="s">
        <v>718</v>
      </c>
      <c r="E2001" s="2">
        <v>3.4849999999999999</v>
      </c>
    </row>
    <row r="2002" spans="1:5" x14ac:dyDescent="0.25">
      <c r="A2002" s="32" t="s">
        <v>767</v>
      </c>
      <c r="B2002" s="7">
        <v>2008</v>
      </c>
      <c r="C2002" s="51" t="s">
        <v>712</v>
      </c>
      <c r="D2002" t="s">
        <v>718</v>
      </c>
      <c r="E2002" s="2">
        <v>2.8330000000000002</v>
      </c>
    </row>
    <row r="2003" spans="1:5" x14ac:dyDescent="0.25">
      <c r="A2003" s="32" t="s">
        <v>767</v>
      </c>
      <c r="B2003" s="7">
        <v>2008</v>
      </c>
      <c r="C2003" s="51" t="s">
        <v>710</v>
      </c>
      <c r="D2003" t="s">
        <v>718</v>
      </c>
      <c r="E2003" s="2">
        <v>3.0070000000000001</v>
      </c>
    </row>
    <row r="2004" spans="1:5" x14ac:dyDescent="0.25">
      <c r="A2004" s="32" t="s">
        <v>767</v>
      </c>
      <c r="B2004" s="7">
        <v>2008</v>
      </c>
      <c r="C2004" s="51" t="s">
        <v>702</v>
      </c>
      <c r="D2004" t="s">
        <v>718</v>
      </c>
      <c r="E2004" s="2">
        <v>3.0680000000000001</v>
      </c>
    </row>
    <row r="2005" spans="1:5" x14ac:dyDescent="0.25">
      <c r="A2005" s="32" t="s">
        <v>767</v>
      </c>
      <c r="B2005" s="7">
        <v>2008</v>
      </c>
      <c r="C2005" s="51" t="s">
        <v>703</v>
      </c>
      <c r="D2005" t="s">
        <v>718</v>
      </c>
      <c r="E2005" s="2">
        <v>2.9580000000000002</v>
      </c>
    </row>
    <row r="2006" spans="1:5" x14ac:dyDescent="0.25">
      <c r="A2006" s="32" t="s">
        <v>767</v>
      </c>
      <c r="B2006" s="7">
        <v>2008</v>
      </c>
      <c r="C2006" s="51" t="s">
        <v>704</v>
      </c>
      <c r="D2006" t="s">
        <v>718</v>
      </c>
      <c r="E2006" s="2">
        <v>3.194</v>
      </c>
    </row>
    <row r="2007" spans="1:5" x14ac:dyDescent="0.25">
      <c r="A2007" s="32" t="s">
        <v>767</v>
      </c>
      <c r="B2007" s="7">
        <v>2008</v>
      </c>
      <c r="C2007" s="51" t="s">
        <v>705</v>
      </c>
      <c r="D2007" t="s">
        <v>718</v>
      </c>
      <c r="E2007" s="2">
        <v>2.6720000000000002</v>
      </c>
    </row>
    <row r="2008" spans="1:5" x14ac:dyDescent="0.25">
      <c r="A2008" s="32" t="s">
        <v>767</v>
      </c>
      <c r="B2008" s="7">
        <v>2008</v>
      </c>
      <c r="C2008" s="51" t="s">
        <v>706</v>
      </c>
      <c r="D2008" t="s">
        <v>718</v>
      </c>
      <c r="E2008" s="2">
        <v>3.0230000000000001</v>
      </c>
    </row>
    <row r="2009" spans="1:5" x14ac:dyDescent="0.25">
      <c r="A2009" s="32" t="s">
        <v>767</v>
      </c>
      <c r="B2009" s="7">
        <v>2009</v>
      </c>
      <c r="C2009" s="51" t="s">
        <v>713</v>
      </c>
      <c r="D2009" t="s">
        <v>718</v>
      </c>
      <c r="E2009" s="2">
        <v>3.5009999999999999</v>
      </c>
    </row>
    <row r="2010" spans="1:5" x14ac:dyDescent="0.25">
      <c r="A2010" s="32" t="s">
        <v>767</v>
      </c>
      <c r="B2010" s="7">
        <v>2009</v>
      </c>
      <c r="C2010" s="51" t="s">
        <v>707</v>
      </c>
      <c r="D2010" t="s">
        <v>718</v>
      </c>
      <c r="E2010" s="2">
        <v>2.839</v>
      </c>
    </row>
    <row r="2011" spans="1:5" x14ac:dyDescent="0.25">
      <c r="A2011" s="32" t="s">
        <v>767</v>
      </c>
      <c r="B2011" s="7">
        <v>2009</v>
      </c>
      <c r="C2011" s="51" t="s">
        <v>708</v>
      </c>
      <c r="D2011" t="s">
        <v>718</v>
      </c>
      <c r="E2011" s="2">
        <v>2.9249999999999998</v>
      </c>
    </row>
    <row r="2012" spans="1:5" x14ac:dyDescent="0.25">
      <c r="A2012" s="32" t="s">
        <v>767</v>
      </c>
      <c r="B2012" s="7">
        <v>2009</v>
      </c>
      <c r="C2012" s="51" t="s">
        <v>699</v>
      </c>
      <c r="D2012" t="s">
        <v>718</v>
      </c>
      <c r="E2012" s="2">
        <v>2.8839999999999999</v>
      </c>
    </row>
    <row r="2013" spans="1:5" x14ac:dyDescent="0.25">
      <c r="A2013" s="32" t="s">
        <v>767</v>
      </c>
      <c r="B2013" s="7">
        <v>2009</v>
      </c>
      <c r="C2013" s="51" t="s">
        <v>709</v>
      </c>
      <c r="D2013" t="s">
        <v>718</v>
      </c>
      <c r="E2013" s="2">
        <v>3.3969999999999998</v>
      </c>
    </row>
    <row r="2014" spans="1:5" x14ac:dyDescent="0.25">
      <c r="A2014" s="32" t="s">
        <v>767</v>
      </c>
      <c r="B2014" s="7">
        <v>2009</v>
      </c>
      <c r="C2014" s="51" t="s">
        <v>712</v>
      </c>
      <c r="D2014" t="s">
        <v>718</v>
      </c>
      <c r="E2014" s="2">
        <v>3.1680000000000001</v>
      </c>
    </row>
    <row r="2015" spans="1:5" x14ac:dyDescent="0.25">
      <c r="A2015" s="32" t="s">
        <v>767</v>
      </c>
      <c r="B2015" s="7">
        <v>2009</v>
      </c>
      <c r="C2015" s="51" t="s">
        <v>710</v>
      </c>
      <c r="D2015" t="s">
        <v>718</v>
      </c>
      <c r="E2015" s="2">
        <v>3</v>
      </c>
    </row>
    <row r="2016" spans="1:5" x14ac:dyDescent="0.25">
      <c r="A2016" s="32" t="s">
        <v>767</v>
      </c>
      <c r="B2016" s="7">
        <v>2009</v>
      </c>
      <c r="C2016" s="51" t="s">
        <v>702</v>
      </c>
      <c r="D2016" t="s">
        <v>718</v>
      </c>
      <c r="E2016" s="2">
        <v>2.7360000000000002</v>
      </c>
    </row>
    <row r="2017" spans="1:5" x14ac:dyDescent="0.25">
      <c r="A2017" s="32" t="s">
        <v>767</v>
      </c>
      <c r="B2017" s="7">
        <v>2009</v>
      </c>
      <c r="C2017" s="51" t="s">
        <v>703</v>
      </c>
      <c r="D2017" t="s">
        <v>718</v>
      </c>
      <c r="E2017" s="2">
        <v>2.8330000000000002</v>
      </c>
    </row>
    <row r="2018" spans="1:5" x14ac:dyDescent="0.25">
      <c r="A2018" s="32" t="s">
        <v>767</v>
      </c>
      <c r="B2018" s="7">
        <v>2009</v>
      </c>
      <c r="C2018" s="51" t="s">
        <v>704</v>
      </c>
      <c r="D2018" t="s">
        <v>718</v>
      </c>
      <c r="E2018" s="2">
        <v>3.077</v>
      </c>
    </row>
    <row r="2019" spans="1:5" x14ac:dyDescent="0.25">
      <c r="A2019" s="32" t="s">
        <v>767</v>
      </c>
      <c r="B2019" s="7">
        <v>2009</v>
      </c>
      <c r="C2019" s="51" t="s">
        <v>705</v>
      </c>
      <c r="D2019" t="s">
        <v>718</v>
      </c>
      <c r="E2019" s="2">
        <v>3.254</v>
      </c>
    </row>
    <row r="2020" spans="1:5" x14ac:dyDescent="0.25">
      <c r="A2020" s="32" t="s">
        <v>767</v>
      </c>
      <c r="B2020" s="7">
        <v>2009</v>
      </c>
      <c r="C2020" s="51" t="s">
        <v>706</v>
      </c>
      <c r="D2020" t="s">
        <v>718</v>
      </c>
      <c r="E2020" s="2">
        <v>4.0259999999999998</v>
      </c>
    </row>
    <row r="2021" spans="1:5" x14ac:dyDescent="0.25">
      <c r="A2021" s="32" t="s">
        <v>767</v>
      </c>
      <c r="B2021" s="7">
        <v>2010</v>
      </c>
      <c r="C2021" s="51" t="s">
        <v>713</v>
      </c>
      <c r="D2021" t="s">
        <v>718</v>
      </c>
      <c r="E2021" s="2">
        <v>3.16</v>
      </c>
    </row>
    <row r="2022" spans="1:5" x14ac:dyDescent="0.25">
      <c r="A2022" s="32" t="s">
        <v>767</v>
      </c>
      <c r="B2022" s="7">
        <v>2010</v>
      </c>
      <c r="C2022" s="51" t="s">
        <v>707</v>
      </c>
      <c r="D2022" t="s">
        <v>718</v>
      </c>
      <c r="E2022" s="2">
        <v>3.3620000000000001</v>
      </c>
    </row>
    <row r="2023" spans="1:5" x14ac:dyDescent="0.25">
      <c r="A2023" s="32" t="s">
        <v>767</v>
      </c>
      <c r="B2023" s="7">
        <v>2010</v>
      </c>
      <c r="C2023" s="51" t="s">
        <v>708</v>
      </c>
      <c r="D2023" t="s">
        <v>718</v>
      </c>
      <c r="E2023" s="2">
        <v>3.7639999999999998</v>
      </c>
    </row>
    <row r="2024" spans="1:5" x14ac:dyDescent="0.25">
      <c r="A2024" s="32" t="s">
        <v>767</v>
      </c>
      <c r="B2024" s="7">
        <v>2010</v>
      </c>
      <c r="C2024" s="51" t="s">
        <v>699</v>
      </c>
      <c r="D2024" t="s">
        <v>718</v>
      </c>
      <c r="E2024" s="2">
        <v>3.3940000000000001</v>
      </c>
    </row>
    <row r="2025" spans="1:5" x14ac:dyDescent="0.25">
      <c r="A2025" s="32" t="s">
        <v>767</v>
      </c>
      <c r="B2025" s="7">
        <v>2010</v>
      </c>
      <c r="C2025" s="51" t="s">
        <v>709</v>
      </c>
      <c r="D2025" t="s">
        <v>718</v>
      </c>
      <c r="E2025" s="2">
        <v>3.0710000000000002</v>
      </c>
    </row>
    <row r="2026" spans="1:5" x14ac:dyDescent="0.25">
      <c r="A2026" s="32" t="s">
        <v>767</v>
      </c>
      <c r="B2026" s="7">
        <v>2010</v>
      </c>
      <c r="C2026" s="51" t="s">
        <v>712</v>
      </c>
      <c r="D2026" t="s">
        <v>718</v>
      </c>
      <c r="E2026" s="2">
        <v>3.2429999999999999</v>
      </c>
    </row>
    <row r="2027" spans="1:5" x14ac:dyDescent="0.25">
      <c r="A2027" s="32" t="s">
        <v>767</v>
      </c>
      <c r="B2027" s="7">
        <v>2010</v>
      </c>
      <c r="C2027" s="51" t="s">
        <v>710</v>
      </c>
      <c r="D2027" t="s">
        <v>718</v>
      </c>
      <c r="E2027" s="2">
        <v>3.125</v>
      </c>
    </row>
    <row r="2028" spans="1:5" x14ac:dyDescent="0.25">
      <c r="A2028" s="32" t="s">
        <v>767</v>
      </c>
      <c r="B2028" s="7">
        <v>2010</v>
      </c>
      <c r="C2028" s="51" t="s">
        <v>702</v>
      </c>
      <c r="D2028" t="s">
        <v>718</v>
      </c>
      <c r="E2028" s="2">
        <v>3.5920000000000001</v>
      </c>
    </row>
    <row r="2029" spans="1:5" x14ac:dyDescent="0.25">
      <c r="A2029" s="32" t="s">
        <v>767</v>
      </c>
      <c r="B2029" s="7">
        <v>2010</v>
      </c>
      <c r="C2029" s="51" t="s">
        <v>703</v>
      </c>
      <c r="D2029" t="s">
        <v>718</v>
      </c>
      <c r="E2029" s="2">
        <v>3.2330000000000001</v>
      </c>
    </row>
    <row r="2030" spans="1:5" x14ac:dyDescent="0.25">
      <c r="A2030" s="32" t="s">
        <v>767</v>
      </c>
      <c r="B2030" s="7">
        <v>2010</v>
      </c>
      <c r="C2030" s="51" t="s">
        <v>704</v>
      </c>
      <c r="D2030" t="s">
        <v>718</v>
      </c>
      <c r="E2030" s="2">
        <v>3.2949999999999999</v>
      </c>
    </row>
    <row r="2031" spans="1:5" x14ac:dyDescent="0.25">
      <c r="A2031" s="32" t="s">
        <v>767</v>
      </c>
      <c r="B2031" s="7">
        <v>2010</v>
      </c>
      <c r="C2031" s="51" t="s">
        <v>705</v>
      </c>
      <c r="D2031" t="s">
        <v>718</v>
      </c>
      <c r="E2031" s="2">
        <v>3.06</v>
      </c>
    </row>
    <row r="2032" spans="1:5" x14ac:dyDescent="0.25">
      <c r="A2032" s="32" t="s">
        <v>767</v>
      </c>
      <c r="B2032" s="7">
        <v>2010</v>
      </c>
      <c r="C2032" s="51" t="s">
        <v>706</v>
      </c>
      <c r="D2032" t="s">
        <v>718</v>
      </c>
      <c r="E2032" s="2">
        <v>2.984</v>
      </c>
    </row>
    <row r="2033" spans="1:5" x14ac:dyDescent="0.25">
      <c r="A2033" s="32" t="s">
        <v>767</v>
      </c>
      <c r="B2033" s="7">
        <v>2011</v>
      </c>
      <c r="C2033" s="51" t="s">
        <v>713</v>
      </c>
      <c r="D2033" t="s">
        <v>718</v>
      </c>
      <c r="E2033" s="2">
        <v>3.5249999999999999</v>
      </c>
    </row>
    <row r="2034" spans="1:5" x14ac:dyDescent="0.25">
      <c r="A2034" s="32" t="s">
        <v>767</v>
      </c>
      <c r="B2034" s="7">
        <v>2011</v>
      </c>
      <c r="C2034" s="51" t="s">
        <v>707</v>
      </c>
      <c r="D2034" t="s">
        <v>718</v>
      </c>
      <c r="E2034" s="2">
        <v>3.0760000000000001</v>
      </c>
    </row>
    <row r="2035" spans="1:5" x14ac:dyDescent="0.25">
      <c r="A2035" s="32" t="s">
        <v>767</v>
      </c>
      <c r="B2035" s="7">
        <v>2011</v>
      </c>
      <c r="C2035" s="51" t="s">
        <v>708</v>
      </c>
      <c r="D2035" t="s">
        <v>718</v>
      </c>
      <c r="E2035" s="2">
        <v>3.577</v>
      </c>
    </row>
    <row r="2036" spans="1:5" x14ac:dyDescent="0.25">
      <c r="A2036" s="32" t="s">
        <v>767</v>
      </c>
      <c r="B2036" s="7">
        <v>2011</v>
      </c>
      <c r="C2036" s="51" t="s">
        <v>699</v>
      </c>
      <c r="D2036" t="s">
        <v>718</v>
      </c>
      <c r="E2036" s="2">
        <v>3.077</v>
      </c>
    </row>
    <row r="2037" spans="1:5" x14ac:dyDescent="0.25">
      <c r="A2037" s="32" t="s">
        <v>767</v>
      </c>
      <c r="B2037" s="7">
        <v>2011</v>
      </c>
      <c r="C2037" s="51" t="s">
        <v>709</v>
      </c>
      <c r="D2037" t="s">
        <v>718</v>
      </c>
      <c r="E2037" s="2">
        <v>3.4940000000000002</v>
      </c>
    </row>
    <row r="2038" spans="1:5" x14ac:dyDescent="0.25">
      <c r="A2038" s="32" t="s">
        <v>767</v>
      </c>
      <c r="B2038" s="7">
        <v>2011</v>
      </c>
      <c r="C2038" s="51" t="s">
        <v>712</v>
      </c>
      <c r="D2038" t="s">
        <v>718</v>
      </c>
      <c r="E2038" s="2">
        <v>3.2770000000000001</v>
      </c>
    </row>
    <row r="2039" spans="1:5" x14ac:dyDescent="0.25">
      <c r="A2039" s="32" t="s">
        <v>767</v>
      </c>
      <c r="B2039" s="7">
        <v>2011</v>
      </c>
      <c r="C2039" s="51" t="s">
        <v>710</v>
      </c>
      <c r="D2039" t="s">
        <v>718</v>
      </c>
      <c r="E2039" s="2">
        <v>3.3079999999999998</v>
      </c>
    </row>
    <row r="2040" spans="1:5" x14ac:dyDescent="0.25">
      <c r="A2040" s="32" t="s">
        <v>767</v>
      </c>
      <c r="B2040" s="7">
        <v>2011</v>
      </c>
      <c r="C2040" s="51" t="s">
        <v>702</v>
      </c>
      <c r="D2040" t="s">
        <v>718</v>
      </c>
      <c r="E2040" s="2">
        <v>2.7709999999999999</v>
      </c>
    </row>
    <row r="2041" spans="1:5" x14ac:dyDescent="0.25">
      <c r="A2041" s="32" t="s">
        <v>767</v>
      </c>
      <c r="B2041" s="7">
        <v>2011</v>
      </c>
      <c r="C2041" s="51" t="s">
        <v>703</v>
      </c>
      <c r="D2041" t="s">
        <v>718</v>
      </c>
      <c r="E2041" s="2">
        <v>1.994</v>
      </c>
    </row>
    <row r="2042" spans="1:5" x14ac:dyDescent="0.25">
      <c r="A2042" s="32" t="s">
        <v>767</v>
      </c>
      <c r="B2042" s="7">
        <v>2011</v>
      </c>
      <c r="C2042" s="51" t="s">
        <v>704</v>
      </c>
      <c r="D2042" t="s">
        <v>718</v>
      </c>
      <c r="E2042" s="2">
        <v>1.984</v>
      </c>
    </row>
    <row r="2043" spans="1:5" x14ac:dyDescent="0.25">
      <c r="A2043" s="32" t="s">
        <v>767</v>
      </c>
      <c r="B2043" s="7">
        <v>2011</v>
      </c>
      <c r="C2043" s="51" t="s">
        <v>705</v>
      </c>
      <c r="D2043" t="s">
        <v>718</v>
      </c>
      <c r="E2043" s="2">
        <v>1.829</v>
      </c>
    </row>
    <row r="2044" spans="1:5" x14ac:dyDescent="0.25">
      <c r="A2044" s="32" t="s">
        <v>767</v>
      </c>
      <c r="B2044" s="7">
        <v>2011</v>
      </c>
      <c r="C2044" s="51" t="s">
        <v>706</v>
      </c>
      <c r="D2044" t="s">
        <v>718</v>
      </c>
      <c r="E2044" s="2">
        <v>1.9370000000000001</v>
      </c>
    </row>
    <row r="2045" spans="1:5" x14ac:dyDescent="0.25">
      <c r="A2045" s="32" t="s">
        <v>767</v>
      </c>
      <c r="B2045" s="7">
        <v>2012</v>
      </c>
      <c r="C2045" s="51" t="s">
        <v>713</v>
      </c>
      <c r="D2045" t="s">
        <v>718</v>
      </c>
      <c r="E2045" s="2">
        <v>2.0209999999999999</v>
      </c>
    </row>
    <row r="2046" spans="1:5" x14ac:dyDescent="0.25">
      <c r="A2046" s="32" t="s">
        <v>767</v>
      </c>
      <c r="B2046" s="7">
        <v>2012</v>
      </c>
      <c r="C2046" s="51" t="s">
        <v>707</v>
      </c>
      <c r="D2046" t="s">
        <v>718</v>
      </c>
      <c r="E2046" s="2">
        <v>1.9139999999999999</v>
      </c>
    </row>
    <row r="2047" spans="1:5" x14ac:dyDescent="0.25">
      <c r="A2047" s="32" t="s">
        <v>767</v>
      </c>
      <c r="B2047" s="7">
        <v>2012</v>
      </c>
      <c r="C2047" s="51" t="s">
        <v>708</v>
      </c>
      <c r="D2047" t="s">
        <v>718</v>
      </c>
      <c r="E2047" s="2">
        <v>2.33</v>
      </c>
    </row>
    <row r="2048" spans="1:5" x14ac:dyDescent="0.25">
      <c r="A2048" s="32" t="s">
        <v>767</v>
      </c>
      <c r="B2048" s="7">
        <v>2012</v>
      </c>
      <c r="C2048" s="51" t="s">
        <v>699</v>
      </c>
      <c r="D2048" t="s">
        <v>718</v>
      </c>
      <c r="E2048" s="2">
        <v>2.39</v>
      </c>
    </row>
    <row r="2049" spans="1:5" x14ac:dyDescent="0.25">
      <c r="A2049" s="32" t="s">
        <v>767</v>
      </c>
      <c r="B2049" s="7">
        <v>2012</v>
      </c>
      <c r="C2049" s="51" t="s">
        <v>709</v>
      </c>
      <c r="D2049" t="s">
        <v>718</v>
      </c>
      <c r="E2049" s="2">
        <v>2.5019999999999998</v>
      </c>
    </row>
    <row r="2050" spans="1:5" x14ac:dyDescent="0.25">
      <c r="A2050" s="32" t="s">
        <v>767</v>
      </c>
      <c r="B2050" s="7">
        <v>2012</v>
      </c>
      <c r="C2050" s="51" t="s">
        <v>712</v>
      </c>
      <c r="D2050" t="s">
        <v>718</v>
      </c>
      <c r="E2050" s="2">
        <v>2.121</v>
      </c>
    </row>
    <row r="2051" spans="1:5" x14ac:dyDescent="0.25">
      <c r="A2051" s="32" t="s">
        <v>767</v>
      </c>
      <c r="B2051" s="7">
        <v>2012</v>
      </c>
      <c r="C2051" s="51" t="s">
        <v>710</v>
      </c>
      <c r="D2051" t="s">
        <v>718</v>
      </c>
      <c r="E2051" s="2">
        <v>2.4769999999999999</v>
      </c>
    </row>
    <row r="2052" spans="1:5" x14ac:dyDescent="0.25">
      <c r="A2052" s="32" t="s">
        <v>767</v>
      </c>
      <c r="B2052" s="7">
        <v>2012</v>
      </c>
      <c r="C2052" s="51" t="s">
        <v>702</v>
      </c>
      <c r="D2052" t="s">
        <v>718</v>
      </c>
      <c r="E2052" s="2">
        <v>2.3879999999999999</v>
      </c>
    </row>
    <row r="2053" spans="1:5" x14ac:dyDescent="0.25">
      <c r="A2053" s="32" t="s">
        <v>767</v>
      </c>
      <c r="B2053" s="7">
        <v>2012</v>
      </c>
      <c r="C2053" s="51" t="s">
        <v>703</v>
      </c>
      <c r="D2053" t="s">
        <v>718</v>
      </c>
      <c r="E2053" s="2">
        <v>2.58</v>
      </c>
    </row>
    <row r="2054" spans="1:5" x14ac:dyDescent="0.25">
      <c r="A2054" s="32" t="s">
        <v>767</v>
      </c>
      <c r="B2054" s="7">
        <v>2012</v>
      </c>
      <c r="C2054" s="51" t="s">
        <v>704</v>
      </c>
      <c r="D2054" t="s">
        <v>718</v>
      </c>
      <c r="E2054" s="2">
        <v>2.6349999999999998</v>
      </c>
    </row>
    <row r="2055" spans="1:5" x14ac:dyDescent="0.25">
      <c r="A2055" s="32" t="s">
        <v>767</v>
      </c>
      <c r="B2055" s="7">
        <v>2012</v>
      </c>
      <c r="C2055" s="51" t="s">
        <v>705</v>
      </c>
      <c r="D2055" t="s">
        <v>718</v>
      </c>
      <c r="E2055" s="2">
        <v>2.3260000000000001</v>
      </c>
    </row>
    <row r="2056" spans="1:5" x14ac:dyDescent="0.25">
      <c r="A2056" s="32" t="s">
        <v>767</v>
      </c>
      <c r="B2056" s="7">
        <v>2012</v>
      </c>
      <c r="C2056" s="51" t="s">
        <v>706</v>
      </c>
      <c r="D2056" t="s">
        <v>718</v>
      </c>
      <c r="E2056" s="2">
        <v>2.29</v>
      </c>
    </row>
    <row r="2057" spans="1:5" x14ac:dyDescent="0.25">
      <c r="A2057" s="32" t="s">
        <v>767</v>
      </c>
      <c r="B2057" s="7">
        <v>2013</v>
      </c>
      <c r="C2057" s="51" t="s">
        <v>713</v>
      </c>
      <c r="D2057" t="s">
        <v>718</v>
      </c>
      <c r="E2057" s="2">
        <v>2.9569999999999999</v>
      </c>
    </row>
    <row r="2058" spans="1:5" x14ac:dyDescent="0.25">
      <c r="A2058" s="32" t="s">
        <v>767</v>
      </c>
      <c r="B2058" s="7">
        <v>2013</v>
      </c>
      <c r="C2058" s="51" t="s">
        <v>707</v>
      </c>
      <c r="D2058" t="s">
        <v>718</v>
      </c>
      <c r="E2058" s="2">
        <v>2.1789999999999998</v>
      </c>
    </row>
    <row r="2059" spans="1:5" x14ac:dyDescent="0.25">
      <c r="A2059" s="32" t="s">
        <v>767</v>
      </c>
      <c r="B2059" s="7">
        <v>2013</v>
      </c>
      <c r="C2059" s="51" t="s">
        <v>708</v>
      </c>
      <c r="D2059" t="s">
        <v>718</v>
      </c>
      <c r="E2059" s="2">
        <v>2.4510000000000001</v>
      </c>
    </row>
    <row r="2060" spans="1:5" x14ac:dyDescent="0.25">
      <c r="A2060" s="32" t="s">
        <v>767</v>
      </c>
      <c r="B2060" s="7">
        <v>2013</v>
      </c>
      <c r="C2060" s="51" t="s">
        <v>699</v>
      </c>
      <c r="D2060" t="s">
        <v>718</v>
      </c>
      <c r="E2060" s="2">
        <v>2.23</v>
      </c>
    </row>
    <row r="2061" spans="1:5" x14ac:dyDescent="0.25">
      <c r="A2061" s="32" t="s">
        <v>767</v>
      </c>
      <c r="B2061" s="7">
        <v>2013</v>
      </c>
      <c r="C2061" s="51" t="s">
        <v>709</v>
      </c>
      <c r="D2061" t="s">
        <v>718</v>
      </c>
      <c r="E2061" s="2">
        <v>2.129</v>
      </c>
    </row>
    <row r="2062" spans="1:5" x14ac:dyDescent="0.25">
      <c r="A2062" s="32" t="s">
        <v>767</v>
      </c>
      <c r="B2062" s="7">
        <v>2013</v>
      </c>
      <c r="C2062" s="51" t="s">
        <v>712</v>
      </c>
      <c r="D2062" t="s">
        <v>718</v>
      </c>
      <c r="E2062" s="2">
        <v>2.492</v>
      </c>
    </row>
    <row r="2063" spans="1:5" x14ac:dyDescent="0.25">
      <c r="A2063" s="32" t="s">
        <v>767</v>
      </c>
      <c r="B2063" s="7">
        <v>2013</v>
      </c>
      <c r="C2063" s="51" t="s">
        <v>710</v>
      </c>
      <c r="D2063" t="s">
        <v>718</v>
      </c>
      <c r="E2063" s="2">
        <v>2.2429999999999999</v>
      </c>
    </row>
    <row r="2064" spans="1:5" x14ac:dyDescent="0.25">
      <c r="A2064" s="32" t="s">
        <v>767</v>
      </c>
      <c r="B2064" s="7">
        <v>2013</v>
      </c>
      <c r="C2064" s="51" t="s">
        <v>702</v>
      </c>
      <c r="D2064" t="s">
        <v>718</v>
      </c>
      <c r="E2064" s="2">
        <v>2.0299999999999998</v>
      </c>
    </row>
    <row r="2065" spans="1:5" x14ac:dyDescent="0.25">
      <c r="A2065" s="32" t="s">
        <v>767</v>
      </c>
      <c r="B2065" s="7">
        <v>2013</v>
      </c>
      <c r="C2065" s="51" t="s">
        <v>703</v>
      </c>
      <c r="D2065" t="s">
        <v>718</v>
      </c>
      <c r="E2065" s="2">
        <v>2.2989999999999999</v>
      </c>
    </row>
    <row r="2066" spans="1:5" x14ac:dyDescent="0.25">
      <c r="A2066" s="32" t="s">
        <v>767</v>
      </c>
      <c r="B2066" s="7">
        <v>2013</v>
      </c>
      <c r="C2066" s="51" t="s">
        <v>704</v>
      </c>
      <c r="D2066" t="s">
        <v>718</v>
      </c>
      <c r="E2066" s="2">
        <v>3.3980000000000001</v>
      </c>
    </row>
    <row r="2067" spans="1:5" x14ac:dyDescent="0.25">
      <c r="A2067" s="32" t="s">
        <v>767</v>
      </c>
      <c r="B2067" s="7">
        <v>2013</v>
      </c>
      <c r="C2067" s="51" t="s">
        <v>705</v>
      </c>
      <c r="D2067" t="s">
        <v>718</v>
      </c>
      <c r="E2067" s="2">
        <v>2.75</v>
      </c>
    </row>
    <row r="2068" spans="1:5" x14ac:dyDescent="0.25">
      <c r="A2068" s="32" t="s">
        <v>767</v>
      </c>
      <c r="B2068" s="7">
        <v>2013</v>
      </c>
      <c r="C2068" s="51" t="s">
        <v>706</v>
      </c>
      <c r="D2068" t="s">
        <v>718</v>
      </c>
      <c r="E2068" s="2">
        <v>2.7610000000000001</v>
      </c>
    </row>
    <row r="2069" spans="1:5" x14ac:dyDescent="0.25">
      <c r="A2069" s="32" t="s">
        <v>767</v>
      </c>
      <c r="B2069" s="7">
        <v>2014</v>
      </c>
      <c r="C2069" s="51" t="s">
        <v>713</v>
      </c>
      <c r="D2069" t="s">
        <v>718</v>
      </c>
      <c r="E2069" s="2">
        <v>2.9039999999999999</v>
      </c>
    </row>
    <row r="2070" spans="1:5" x14ac:dyDescent="0.25">
      <c r="A2070" s="32" t="s">
        <v>767</v>
      </c>
      <c r="B2070" s="7">
        <v>2014</v>
      </c>
      <c r="C2070" s="51" t="s">
        <v>707</v>
      </c>
      <c r="D2070" t="s">
        <v>718</v>
      </c>
      <c r="E2070" s="2">
        <v>2.33</v>
      </c>
    </row>
    <row r="2071" spans="1:5" x14ac:dyDescent="0.25">
      <c r="A2071" s="32" t="s">
        <v>767</v>
      </c>
      <c r="B2071" s="7">
        <v>2014</v>
      </c>
      <c r="C2071" s="51" t="s">
        <v>708</v>
      </c>
      <c r="D2071" t="s">
        <v>718</v>
      </c>
      <c r="E2071" s="2">
        <v>1.3460000000000001</v>
      </c>
    </row>
    <row r="2072" spans="1:5" x14ac:dyDescent="0.25">
      <c r="A2072" s="32" t="s">
        <v>767</v>
      </c>
      <c r="B2072" s="7">
        <v>2014</v>
      </c>
      <c r="C2072" s="51" t="s">
        <v>699</v>
      </c>
      <c r="D2072" t="s">
        <v>718</v>
      </c>
      <c r="E2072" s="2">
        <v>1.0880000000000001</v>
      </c>
    </row>
    <row r="2073" spans="1:5" x14ac:dyDescent="0.25">
      <c r="A2073" s="32" t="s">
        <v>767</v>
      </c>
      <c r="B2073" s="7">
        <v>2014</v>
      </c>
      <c r="C2073" s="51" t="s">
        <v>709</v>
      </c>
      <c r="D2073" t="s">
        <v>718</v>
      </c>
      <c r="E2073" s="2">
        <v>1.78</v>
      </c>
    </row>
    <row r="2074" spans="1:5" x14ac:dyDescent="0.25">
      <c r="A2074" s="32" t="s">
        <v>767</v>
      </c>
      <c r="B2074" s="7">
        <v>2014</v>
      </c>
      <c r="C2074" s="51" t="s">
        <v>712</v>
      </c>
      <c r="D2074" t="s">
        <v>718</v>
      </c>
      <c r="E2074" s="2">
        <v>1.091</v>
      </c>
    </row>
    <row r="2075" spans="1:5" x14ac:dyDescent="0.25">
      <c r="A2075" s="32" t="s">
        <v>767</v>
      </c>
      <c r="B2075" s="7">
        <v>2014</v>
      </c>
      <c r="C2075" s="51" t="s">
        <v>710</v>
      </c>
      <c r="D2075" t="s">
        <v>718</v>
      </c>
      <c r="E2075" s="2">
        <v>1.016</v>
      </c>
    </row>
    <row r="2076" spans="1:5" x14ac:dyDescent="0.25">
      <c r="A2076" s="32" t="s">
        <v>767</v>
      </c>
      <c r="B2076" s="7">
        <v>2014</v>
      </c>
      <c r="C2076" s="51" t="s">
        <v>702</v>
      </c>
      <c r="D2076" t="s">
        <v>718</v>
      </c>
      <c r="E2076" s="2">
        <v>0.999</v>
      </c>
    </row>
    <row r="2077" spans="1:5" x14ac:dyDescent="0.25">
      <c r="A2077" s="32" t="s">
        <v>767</v>
      </c>
      <c r="B2077" s="7">
        <v>2014</v>
      </c>
      <c r="C2077" s="51" t="s">
        <v>703</v>
      </c>
      <c r="D2077" t="s">
        <v>718</v>
      </c>
      <c r="E2077" s="2">
        <v>0.97899999999999998</v>
      </c>
    </row>
    <row r="2078" spans="1:5" x14ac:dyDescent="0.25">
      <c r="A2078" s="32" t="s">
        <v>767</v>
      </c>
      <c r="B2078" s="7">
        <v>2014</v>
      </c>
      <c r="C2078" s="51" t="s">
        <v>704</v>
      </c>
      <c r="D2078" t="s">
        <v>718</v>
      </c>
      <c r="E2078" s="2">
        <v>1.0029999999999999</v>
      </c>
    </row>
    <row r="2079" spans="1:5" x14ac:dyDescent="0.25">
      <c r="A2079" s="32" t="s">
        <v>767</v>
      </c>
      <c r="B2079" s="7">
        <v>2014</v>
      </c>
      <c r="C2079" s="51" t="s">
        <v>705</v>
      </c>
      <c r="D2079" t="s">
        <v>718</v>
      </c>
      <c r="E2079" s="2">
        <v>0.96799999999999997</v>
      </c>
    </row>
    <row r="2080" spans="1:5" x14ac:dyDescent="0.25">
      <c r="A2080" s="32" t="s">
        <v>767</v>
      </c>
      <c r="B2080" s="7">
        <v>2014</v>
      </c>
      <c r="C2080" s="51" t="s">
        <v>706</v>
      </c>
      <c r="D2080" t="s">
        <v>718</v>
      </c>
      <c r="E2080" s="2">
        <v>1.052</v>
      </c>
    </row>
    <row r="2081" spans="1:5" x14ac:dyDescent="0.25">
      <c r="A2081" s="32" t="s">
        <v>767</v>
      </c>
      <c r="B2081" s="7">
        <v>2015</v>
      </c>
      <c r="C2081" s="51" t="s">
        <v>713</v>
      </c>
      <c r="D2081" t="s">
        <v>718</v>
      </c>
      <c r="E2081" s="2">
        <v>1.2110000000000001</v>
      </c>
    </row>
    <row r="2082" spans="1:5" x14ac:dyDescent="0.25">
      <c r="A2082" s="32" t="s">
        <v>767</v>
      </c>
      <c r="B2082" s="7">
        <v>2015</v>
      </c>
      <c r="C2082" s="51" t="s">
        <v>707</v>
      </c>
      <c r="D2082" t="s">
        <v>718</v>
      </c>
      <c r="E2082" s="2">
        <v>0.93100000000000005</v>
      </c>
    </row>
    <row r="2083" spans="1:5" x14ac:dyDescent="0.25">
      <c r="A2083" s="32" t="s">
        <v>767</v>
      </c>
      <c r="B2083" s="7">
        <v>2015</v>
      </c>
      <c r="C2083" s="51" t="s">
        <v>708</v>
      </c>
      <c r="D2083" t="s">
        <v>718</v>
      </c>
      <c r="E2083" s="2">
        <v>1.163</v>
      </c>
    </row>
    <row r="2084" spans="1:5" x14ac:dyDescent="0.25">
      <c r="A2084" s="32" t="s">
        <v>767</v>
      </c>
      <c r="B2084" s="7">
        <v>2015</v>
      </c>
      <c r="C2084" s="51" t="s">
        <v>699</v>
      </c>
      <c r="D2084" t="s">
        <v>718</v>
      </c>
      <c r="E2084" s="2">
        <v>0.99299999999999999</v>
      </c>
    </row>
    <row r="2085" spans="1:5" x14ac:dyDescent="0.25">
      <c r="A2085" s="32" t="s">
        <v>767</v>
      </c>
      <c r="B2085" s="7">
        <v>2015</v>
      </c>
      <c r="C2085" s="51" t="s">
        <v>709</v>
      </c>
      <c r="D2085" t="s">
        <v>718</v>
      </c>
      <c r="E2085" s="2">
        <v>1</v>
      </c>
    </row>
    <row r="2086" spans="1:5" x14ac:dyDescent="0.25">
      <c r="A2086" s="32" t="s">
        <v>767</v>
      </c>
      <c r="B2086" s="7">
        <v>2015</v>
      </c>
      <c r="C2086" s="51" t="s">
        <v>712</v>
      </c>
      <c r="D2086" t="s">
        <v>718</v>
      </c>
      <c r="E2086" s="2">
        <v>1.133</v>
      </c>
    </row>
    <row r="2087" spans="1:5" x14ac:dyDescent="0.25">
      <c r="A2087" s="32" t="s">
        <v>767</v>
      </c>
      <c r="B2087" s="7">
        <v>2015</v>
      </c>
      <c r="C2087" s="51" t="s">
        <v>710</v>
      </c>
      <c r="D2087" t="s">
        <v>718</v>
      </c>
      <c r="E2087" s="2">
        <v>0.90300000000000002</v>
      </c>
    </row>
    <row r="2088" spans="1:5" x14ac:dyDescent="0.25">
      <c r="A2088" s="32" t="s">
        <v>767</v>
      </c>
      <c r="B2088" s="7">
        <v>2015</v>
      </c>
      <c r="C2088" s="51" t="s">
        <v>702</v>
      </c>
      <c r="D2088" t="s">
        <v>718</v>
      </c>
      <c r="E2088" s="2">
        <v>0.88</v>
      </c>
    </row>
    <row r="2089" spans="1:5" x14ac:dyDescent="0.25">
      <c r="A2089" s="32" t="s">
        <v>767</v>
      </c>
      <c r="B2089" s="7">
        <v>2015</v>
      </c>
      <c r="C2089" s="51" t="s">
        <v>703</v>
      </c>
      <c r="D2089" t="s">
        <v>718</v>
      </c>
      <c r="E2089" s="2">
        <v>0.76</v>
      </c>
    </row>
    <row r="2090" spans="1:5" x14ac:dyDescent="0.25">
      <c r="A2090" s="32" t="s">
        <v>767</v>
      </c>
      <c r="B2090" s="7">
        <v>2015</v>
      </c>
      <c r="C2090" s="51" t="s">
        <v>704</v>
      </c>
      <c r="D2090" t="s">
        <v>718</v>
      </c>
      <c r="E2090" s="2">
        <v>0.80600000000000005</v>
      </c>
    </row>
    <row r="2091" spans="1:5" x14ac:dyDescent="0.25">
      <c r="A2091" s="32" t="s">
        <v>767</v>
      </c>
      <c r="B2091" s="7">
        <v>2015</v>
      </c>
      <c r="C2091" s="51" t="s">
        <v>705</v>
      </c>
      <c r="D2091" t="s">
        <v>718</v>
      </c>
      <c r="E2091" s="2">
        <v>0.71799999999999997</v>
      </c>
    </row>
    <row r="2092" spans="1:5" x14ac:dyDescent="0.25">
      <c r="A2092" s="32" t="s">
        <v>767</v>
      </c>
      <c r="B2092" s="7">
        <v>2015</v>
      </c>
      <c r="C2092" s="51" t="s">
        <v>706</v>
      </c>
      <c r="D2092" t="s">
        <v>718</v>
      </c>
      <c r="E2092" s="2">
        <v>0.77400000000000002</v>
      </c>
    </row>
    <row r="2093" spans="1:5" x14ac:dyDescent="0.25">
      <c r="A2093" s="32" t="s">
        <v>767</v>
      </c>
      <c r="B2093" s="7">
        <v>2016</v>
      </c>
      <c r="C2093" s="51" t="s">
        <v>713</v>
      </c>
      <c r="D2093" t="s">
        <v>718</v>
      </c>
      <c r="E2093" s="2">
        <v>0.89900000000000002</v>
      </c>
    </row>
    <row r="2094" spans="1:5" x14ac:dyDescent="0.25">
      <c r="A2094" s="32" t="s">
        <v>767</v>
      </c>
      <c r="B2094" s="7">
        <v>2016</v>
      </c>
      <c r="C2094" s="51" t="s">
        <v>707</v>
      </c>
      <c r="D2094" t="s">
        <v>718</v>
      </c>
      <c r="E2094" s="2">
        <v>1.6719999999999999</v>
      </c>
    </row>
    <row r="2095" spans="1:5" x14ac:dyDescent="0.25">
      <c r="A2095" s="32" t="s">
        <v>767</v>
      </c>
      <c r="B2095" s="7">
        <v>2016</v>
      </c>
      <c r="C2095" s="51" t="s">
        <v>708</v>
      </c>
      <c r="D2095" t="s">
        <v>718</v>
      </c>
      <c r="E2095" s="2">
        <v>1.8640000000000001</v>
      </c>
    </row>
    <row r="2096" spans="1:5" x14ac:dyDescent="0.25">
      <c r="A2096" s="32" t="s">
        <v>767</v>
      </c>
      <c r="B2096" s="7">
        <v>2016</v>
      </c>
      <c r="C2096" s="51" t="s">
        <v>699</v>
      </c>
      <c r="D2096" t="s">
        <v>718</v>
      </c>
      <c r="E2096" s="2">
        <v>1.4550000000000001</v>
      </c>
    </row>
    <row r="2097" spans="1:5" x14ac:dyDescent="0.25">
      <c r="A2097" s="32" t="s">
        <v>767</v>
      </c>
      <c r="B2097" s="7">
        <v>2016</v>
      </c>
      <c r="C2097" s="51" t="s">
        <v>709</v>
      </c>
      <c r="D2097" t="s">
        <v>718</v>
      </c>
      <c r="E2097" s="2">
        <v>2.3570000000000002</v>
      </c>
    </row>
    <row r="2098" spans="1:5" x14ac:dyDescent="0.25">
      <c r="A2098" s="32" t="s">
        <v>767</v>
      </c>
      <c r="B2098" s="7">
        <v>2016</v>
      </c>
      <c r="C2098" s="51" t="s">
        <v>712</v>
      </c>
      <c r="D2098" t="s">
        <v>718</v>
      </c>
      <c r="E2098" s="2">
        <v>1.716</v>
      </c>
    </row>
    <row r="2099" spans="1:5" x14ac:dyDescent="0.25">
      <c r="A2099" s="32" t="s">
        <v>767</v>
      </c>
      <c r="B2099" s="7">
        <v>2016</v>
      </c>
      <c r="C2099" s="51" t="s">
        <v>710</v>
      </c>
      <c r="D2099" t="s">
        <v>718</v>
      </c>
      <c r="E2099" s="2">
        <v>1.3640000000000001</v>
      </c>
    </row>
    <row r="2100" spans="1:5" x14ac:dyDescent="0.25">
      <c r="A2100" s="32" t="s">
        <v>767</v>
      </c>
      <c r="B2100" s="7">
        <v>2016</v>
      </c>
      <c r="C2100" s="51" t="s">
        <v>702</v>
      </c>
      <c r="D2100" t="s">
        <v>718</v>
      </c>
      <c r="E2100" s="2">
        <v>1.494</v>
      </c>
    </row>
    <row r="2101" spans="1:5" x14ac:dyDescent="0.25">
      <c r="A2101" s="32" t="s">
        <v>767</v>
      </c>
      <c r="B2101" s="7">
        <v>2016</v>
      </c>
      <c r="C2101" s="51" t="s">
        <v>703</v>
      </c>
      <c r="D2101" t="s">
        <v>718</v>
      </c>
      <c r="E2101" s="2">
        <v>1.419</v>
      </c>
    </row>
    <row r="2102" spans="1:5" x14ac:dyDescent="0.25">
      <c r="A2102" s="32" t="s">
        <v>767</v>
      </c>
      <c r="B2102" s="7">
        <v>2016</v>
      </c>
      <c r="C2102" s="51" t="s">
        <v>704</v>
      </c>
      <c r="D2102" t="s">
        <v>718</v>
      </c>
      <c r="E2102" s="2">
        <v>1.782</v>
      </c>
    </row>
    <row r="2103" spans="1:5" x14ac:dyDescent="0.25">
      <c r="A2103" s="32" t="s">
        <v>767</v>
      </c>
      <c r="B2103" s="7">
        <v>2016</v>
      </c>
      <c r="C2103" s="51" t="s">
        <v>705</v>
      </c>
      <c r="D2103" t="s">
        <v>718</v>
      </c>
      <c r="E2103" s="2">
        <v>1.4670000000000001</v>
      </c>
    </row>
    <row r="2104" spans="1:5" x14ac:dyDescent="0.25">
      <c r="A2104" s="32" t="s">
        <v>767</v>
      </c>
      <c r="B2104" s="7">
        <v>2016</v>
      </c>
      <c r="C2104" s="51" t="s">
        <v>706</v>
      </c>
      <c r="D2104" t="s">
        <v>718</v>
      </c>
      <c r="E2104" s="2">
        <v>2.4169999999999998</v>
      </c>
    </row>
    <row r="2105" spans="1:5" x14ac:dyDescent="0.25">
      <c r="A2105" s="32" t="s">
        <v>767</v>
      </c>
      <c r="B2105" s="7">
        <v>2017</v>
      </c>
      <c r="C2105" s="51" t="s">
        <v>713</v>
      </c>
      <c r="D2105" t="s">
        <v>718</v>
      </c>
      <c r="E2105" s="2">
        <v>1.7769999999999999</v>
      </c>
    </row>
    <row r="2106" spans="1:5" x14ac:dyDescent="0.25">
      <c r="A2106" s="32" t="s">
        <v>767</v>
      </c>
      <c r="B2106" s="7">
        <v>2017</v>
      </c>
      <c r="C2106" s="51" t="s">
        <v>707</v>
      </c>
      <c r="D2106" t="s">
        <v>718</v>
      </c>
      <c r="E2106" s="2">
        <v>1.583</v>
      </c>
    </row>
    <row r="2107" spans="1:5" x14ac:dyDescent="0.25">
      <c r="A2107" s="32" t="s">
        <v>767</v>
      </c>
      <c r="B2107" s="7">
        <v>2017</v>
      </c>
      <c r="C2107" s="51" t="s">
        <v>708</v>
      </c>
      <c r="D2107" t="s">
        <v>718</v>
      </c>
      <c r="E2107" s="2">
        <v>1.7150000000000001</v>
      </c>
    </row>
    <row r="2108" spans="1:5" x14ac:dyDescent="0.25">
      <c r="A2108" s="32" t="s">
        <v>767</v>
      </c>
      <c r="B2108" s="7">
        <v>2017</v>
      </c>
      <c r="C2108" s="51" t="s">
        <v>699</v>
      </c>
      <c r="D2108" t="s">
        <v>718</v>
      </c>
      <c r="E2108" s="2">
        <v>2.4159999999999999</v>
      </c>
    </row>
    <row r="2109" spans="1:5" x14ac:dyDescent="0.25">
      <c r="A2109" s="32" t="s">
        <v>767</v>
      </c>
      <c r="B2109" s="7">
        <v>2017</v>
      </c>
      <c r="C2109" s="51" t="s">
        <v>709</v>
      </c>
      <c r="D2109" t="s">
        <v>718</v>
      </c>
      <c r="E2109" s="2">
        <v>1.806</v>
      </c>
    </row>
    <row r="2110" spans="1:5" x14ac:dyDescent="0.25">
      <c r="A2110" s="32" t="s">
        <v>767</v>
      </c>
      <c r="B2110" s="7">
        <v>2017</v>
      </c>
      <c r="C2110" s="51" t="s">
        <v>712</v>
      </c>
      <c r="D2110" t="s">
        <v>718</v>
      </c>
      <c r="E2110" s="2">
        <v>1.1870000000000001</v>
      </c>
    </row>
    <row r="2111" spans="1:5" x14ac:dyDescent="0.25">
      <c r="A2111" s="32" t="s">
        <v>767</v>
      </c>
      <c r="B2111" s="7">
        <v>2017</v>
      </c>
      <c r="C2111" s="51" t="s">
        <v>710</v>
      </c>
      <c r="D2111" t="s">
        <v>718</v>
      </c>
      <c r="E2111" s="2">
        <v>1.7250000000000001</v>
      </c>
    </row>
    <row r="2112" spans="1:5" x14ac:dyDescent="0.25">
      <c r="A2112" s="32" t="s">
        <v>767</v>
      </c>
      <c r="B2112" s="7">
        <v>2017</v>
      </c>
      <c r="C2112" s="51" t="s">
        <v>702</v>
      </c>
      <c r="D2112" t="s">
        <v>718</v>
      </c>
      <c r="E2112" s="2">
        <v>1.6419999999999999</v>
      </c>
    </row>
    <row r="2113" spans="1:5" x14ac:dyDescent="0.25">
      <c r="A2113" s="32" t="s">
        <v>767</v>
      </c>
      <c r="B2113" s="7">
        <v>2017</v>
      </c>
      <c r="C2113" s="51" t="s">
        <v>703</v>
      </c>
      <c r="D2113" t="s">
        <v>718</v>
      </c>
      <c r="E2113" s="2">
        <v>1.583</v>
      </c>
    </row>
    <row r="2114" spans="1:5" x14ac:dyDescent="0.25">
      <c r="A2114" s="32" t="s">
        <v>767</v>
      </c>
      <c r="B2114" s="7">
        <v>2017</v>
      </c>
      <c r="C2114" s="51" t="s">
        <v>704</v>
      </c>
      <c r="D2114" t="s">
        <v>718</v>
      </c>
      <c r="E2114" s="2">
        <v>1.8140000000000001</v>
      </c>
    </row>
    <row r="2115" spans="1:5" x14ac:dyDescent="0.25">
      <c r="A2115" s="32" t="s">
        <v>767</v>
      </c>
      <c r="B2115" s="7">
        <v>2017</v>
      </c>
      <c r="C2115" s="51" t="s">
        <v>705</v>
      </c>
      <c r="D2115" t="s">
        <v>718</v>
      </c>
      <c r="E2115" s="2">
        <v>1.6220000000000001</v>
      </c>
    </row>
    <row r="2116" spans="1:5" x14ac:dyDescent="0.25">
      <c r="A2116" s="32" t="s">
        <v>767</v>
      </c>
      <c r="B2116" s="7">
        <v>2017</v>
      </c>
      <c r="C2116" s="51" t="s">
        <v>706</v>
      </c>
      <c r="D2116" t="s">
        <v>718</v>
      </c>
      <c r="E2116" s="2">
        <v>1.6779999999999999</v>
      </c>
    </row>
    <row r="2117" spans="1:5" x14ac:dyDescent="0.25">
      <c r="A2117" s="32" t="s">
        <v>767</v>
      </c>
      <c r="B2117" s="7">
        <v>2018</v>
      </c>
      <c r="C2117" s="51" t="s">
        <v>713</v>
      </c>
      <c r="D2117" t="s">
        <v>718</v>
      </c>
      <c r="E2117" s="2">
        <v>1.44</v>
      </c>
    </row>
    <row r="2118" spans="1:5" x14ac:dyDescent="0.25">
      <c r="A2118" s="32" t="s">
        <v>767</v>
      </c>
      <c r="B2118" s="7">
        <v>2018</v>
      </c>
      <c r="C2118" s="51" t="s">
        <v>707</v>
      </c>
      <c r="D2118" t="s">
        <v>718</v>
      </c>
      <c r="E2118" s="2">
        <v>1.528</v>
      </c>
    </row>
    <row r="2119" spans="1:5" x14ac:dyDescent="0.25">
      <c r="A2119" s="32" t="s">
        <v>767</v>
      </c>
      <c r="B2119" s="7">
        <v>2018</v>
      </c>
      <c r="C2119" s="51" t="s">
        <v>708</v>
      </c>
      <c r="D2119" t="s">
        <v>718</v>
      </c>
      <c r="E2119" s="2">
        <v>0.78700000000000003</v>
      </c>
    </row>
    <row r="2120" spans="1:5" x14ac:dyDescent="0.25">
      <c r="A2120" s="32" t="s">
        <v>767</v>
      </c>
      <c r="B2120" s="7">
        <v>2018</v>
      </c>
      <c r="C2120" s="51" t="s">
        <v>699</v>
      </c>
      <c r="D2120" t="s">
        <v>718</v>
      </c>
      <c r="E2120" s="2">
        <v>0.754</v>
      </c>
    </row>
    <row r="2121" spans="1:5" x14ac:dyDescent="0.25">
      <c r="A2121" s="32" t="s">
        <v>767</v>
      </c>
      <c r="B2121" s="7">
        <v>2018</v>
      </c>
      <c r="C2121" s="51" t="s">
        <v>709</v>
      </c>
      <c r="D2121" t="s">
        <v>718</v>
      </c>
      <c r="E2121" s="2">
        <v>1.095</v>
      </c>
    </row>
    <row r="2122" spans="1:5" x14ac:dyDescent="0.25">
      <c r="A2122" s="32" t="s">
        <v>767</v>
      </c>
      <c r="B2122" s="7">
        <v>2018</v>
      </c>
      <c r="C2122" s="51" t="s">
        <v>712</v>
      </c>
      <c r="D2122" t="s">
        <v>718</v>
      </c>
      <c r="E2122" s="2">
        <v>1.3340000000000001</v>
      </c>
    </row>
    <row r="2123" spans="1:5" x14ac:dyDescent="0.25">
      <c r="A2123" s="32" t="s">
        <v>767</v>
      </c>
      <c r="B2123" s="7">
        <v>2018</v>
      </c>
      <c r="C2123" s="51" t="s">
        <v>710</v>
      </c>
      <c r="D2123" t="s">
        <v>718</v>
      </c>
      <c r="E2123" s="2">
        <v>2.169</v>
      </c>
    </row>
    <row r="2124" spans="1:5" x14ac:dyDescent="0.25">
      <c r="A2124" s="32" t="s">
        <v>767</v>
      </c>
      <c r="B2124" s="7">
        <v>2018</v>
      </c>
      <c r="C2124" s="51" t="s">
        <v>702</v>
      </c>
      <c r="D2124" t="s">
        <v>718</v>
      </c>
      <c r="E2124" s="2">
        <v>1.976</v>
      </c>
    </row>
    <row r="2125" spans="1:5" x14ac:dyDescent="0.25">
      <c r="A2125" s="32" t="s">
        <v>767</v>
      </c>
      <c r="B2125" s="7">
        <v>2018</v>
      </c>
      <c r="C2125" s="51" t="s">
        <v>703</v>
      </c>
      <c r="D2125" t="s">
        <v>718</v>
      </c>
      <c r="E2125" s="2">
        <v>2.198</v>
      </c>
    </row>
    <row r="2126" spans="1:5" x14ac:dyDescent="0.25">
      <c r="A2126" s="32" t="s">
        <v>767</v>
      </c>
      <c r="B2126" s="7">
        <v>2018</v>
      </c>
      <c r="C2126" s="51" t="s">
        <v>704</v>
      </c>
      <c r="D2126" t="s">
        <v>718</v>
      </c>
      <c r="E2126" s="2">
        <v>1.821</v>
      </c>
    </row>
    <row r="2127" spans="1:5" x14ac:dyDescent="0.25">
      <c r="A2127" s="32" t="s">
        <v>767</v>
      </c>
      <c r="B2127" s="7">
        <v>2018</v>
      </c>
      <c r="C2127" s="51" t="s">
        <v>705</v>
      </c>
      <c r="D2127" t="s">
        <v>718</v>
      </c>
      <c r="E2127" s="2">
        <v>2.1749999999999998</v>
      </c>
    </row>
    <row r="2128" spans="1:5" x14ac:dyDescent="0.25">
      <c r="A2128" s="32" t="s">
        <v>767</v>
      </c>
      <c r="B2128" s="7">
        <v>2018</v>
      </c>
      <c r="C2128" s="51" t="s">
        <v>706</v>
      </c>
      <c r="D2128" t="s">
        <v>718</v>
      </c>
      <c r="E2128" s="2">
        <v>1.427</v>
      </c>
    </row>
    <row r="2129" spans="1:5" x14ac:dyDescent="0.25">
      <c r="A2129" s="32" t="s">
        <v>767</v>
      </c>
      <c r="B2129" s="7">
        <v>2019</v>
      </c>
      <c r="C2129" s="51" t="s">
        <v>713</v>
      </c>
      <c r="D2129" t="s">
        <v>718</v>
      </c>
      <c r="E2129" s="2">
        <v>2.7</v>
      </c>
    </row>
    <row r="2130" spans="1:5" x14ac:dyDescent="0.25">
      <c r="A2130" s="32" t="s">
        <v>767</v>
      </c>
      <c r="B2130" s="7">
        <v>2019</v>
      </c>
      <c r="C2130" s="51" t="s">
        <v>707</v>
      </c>
      <c r="D2130" t="s">
        <v>718</v>
      </c>
      <c r="E2130" s="2">
        <v>1.4350000000000001</v>
      </c>
    </row>
    <row r="2131" spans="1:5" x14ac:dyDescent="0.25">
      <c r="A2131" s="32" t="s">
        <v>767</v>
      </c>
      <c r="B2131" s="7">
        <v>2019</v>
      </c>
      <c r="C2131" s="51" t="s">
        <v>708</v>
      </c>
      <c r="D2131" t="s">
        <v>718</v>
      </c>
      <c r="E2131" s="2">
        <v>2.5609999999999999</v>
      </c>
    </row>
    <row r="2132" spans="1:5" x14ac:dyDescent="0.25">
      <c r="A2132" s="32" t="s">
        <v>767</v>
      </c>
      <c r="B2132" s="7">
        <v>2019</v>
      </c>
      <c r="C2132" s="51" t="s">
        <v>699</v>
      </c>
      <c r="D2132" t="s">
        <v>718</v>
      </c>
      <c r="E2132" s="2">
        <v>1.639</v>
      </c>
    </row>
    <row r="2133" spans="1:5" x14ac:dyDescent="0.25">
      <c r="A2133" s="32" t="s">
        <v>767</v>
      </c>
      <c r="B2133" s="7">
        <v>2019</v>
      </c>
      <c r="C2133" s="51" t="s">
        <v>709</v>
      </c>
      <c r="D2133" t="s">
        <v>718</v>
      </c>
      <c r="E2133" s="2">
        <v>2.12</v>
      </c>
    </row>
    <row r="2134" spans="1:5" x14ac:dyDescent="0.25">
      <c r="A2134" s="32" t="s">
        <v>767</v>
      </c>
      <c r="B2134" s="7">
        <v>2019</v>
      </c>
      <c r="C2134" s="51" t="s">
        <v>712</v>
      </c>
      <c r="D2134" t="s">
        <v>718</v>
      </c>
      <c r="E2134" s="2">
        <v>2.1059999999999999</v>
      </c>
    </row>
    <row r="2135" spans="1:5" x14ac:dyDescent="0.25">
      <c r="A2135" s="32" t="s">
        <v>767</v>
      </c>
      <c r="B2135" s="7">
        <v>2019</v>
      </c>
      <c r="C2135" s="51" t="s">
        <v>710</v>
      </c>
      <c r="D2135" t="s">
        <v>718</v>
      </c>
      <c r="E2135" s="2">
        <v>2.1930000000000001</v>
      </c>
    </row>
    <row r="2136" spans="1:5" x14ac:dyDescent="0.25">
      <c r="A2136" s="32" t="s">
        <v>767</v>
      </c>
      <c r="B2136" s="7">
        <v>2019</v>
      </c>
      <c r="C2136" s="51" t="s">
        <v>702</v>
      </c>
      <c r="D2136" t="s">
        <v>718</v>
      </c>
      <c r="E2136" s="2">
        <v>1.8620000000000001</v>
      </c>
    </row>
    <row r="2137" spans="1:5" x14ac:dyDescent="0.25">
      <c r="A2137" s="32" t="s">
        <v>767</v>
      </c>
      <c r="B2137" s="7">
        <v>2019</v>
      </c>
      <c r="C2137" s="51" t="s">
        <v>703</v>
      </c>
      <c r="D2137" t="s">
        <v>718</v>
      </c>
      <c r="E2137" s="2">
        <v>2.2080000000000002</v>
      </c>
    </row>
    <row r="2138" spans="1:5" x14ac:dyDescent="0.25">
      <c r="A2138" s="32" t="s">
        <v>767</v>
      </c>
      <c r="B2138" s="7">
        <v>2019</v>
      </c>
      <c r="C2138" s="51" t="s">
        <v>704</v>
      </c>
      <c r="D2138" t="s">
        <v>718</v>
      </c>
      <c r="E2138" s="2">
        <v>2.1469999999999998</v>
      </c>
    </row>
    <row r="2139" spans="1:5" x14ac:dyDescent="0.25">
      <c r="A2139" s="32" t="s">
        <v>767</v>
      </c>
      <c r="B2139" s="7">
        <v>2019</v>
      </c>
      <c r="C2139" s="51" t="s">
        <v>705</v>
      </c>
      <c r="D2139" t="s">
        <v>718</v>
      </c>
      <c r="E2139" s="2">
        <v>2.097</v>
      </c>
    </row>
    <row r="2140" spans="1:5" x14ac:dyDescent="0.25">
      <c r="A2140" s="32" t="s">
        <v>767</v>
      </c>
      <c r="B2140" s="7">
        <v>2019</v>
      </c>
      <c r="C2140" s="51" t="s">
        <v>706</v>
      </c>
      <c r="D2140" t="s">
        <v>718</v>
      </c>
      <c r="E2140" s="2">
        <v>2.3330000000000002</v>
      </c>
    </row>
    <row r="2141" spans="1:5" x14ac:dyDescent="0.25">
      <c r="A2141" s="32" t="s">
        <v>767</v>
      </c>
      <c r="B2141" s="7">
        <v>2020</v>
      </c>
      <c r="C2141" s="51" t="s">
        <v>713</v>
      </c>
      <c r="D2141" t="s">
        <v>718</v>
      </c>
      <c r="E2141" s="2">
        <v>2.379</v>
      </c>
    </row>
    <row r="2142" spans="1:5" x14ac:dyDescent="0.25">
      <c r="A2142" s="32" t="s">
        <v>767</v>
      </c>
      <c r="B2142" s="7">
        <v>2020</v>
      </c>
      <c r="C2142" s="51" t="s">
        <v>707</v>
      </c>
      <c r="D2142" t="s">
        <v>718</v>
      </c>
      <c r="E2142" s="2">
        <v>2.2410000000000001</v>
      </c>
    </row>
    <row r="2143" spans="1:5" x14ac:dyDescent="0.25">
      <c r="A2143" s="32" t="s">
        <v>767</v>
      </c>
      <c r="B2143" s="7">
        <v>2020</v>
      </c>
      <c r="C2143" s="51" t="s">
        <v>708</v>
      </c>
      <c r="D2143" t="s">
        <v>718</v>
      </c>
      <c r="E2143" s="2">
        <v>1.532</v>
      </c>
    </row>
    <row r="2144" spans="1:5" x14ac:dyDescent="0.25">
      <c r="A2144" s="32" t="s">
        <v>767</v>
      </c>
      <c r="B2144" s="7">
        <v>2020</v>
      </c>
      <c r="C2144" s="51" t="s">
        <v>699</v>
      </c>
      <c r="D2144" t="s">
        <v>718</v>
      </c>
      <c r="E2144" s="2">
        <v>1.42</v>
      </c>
    </row>
    <row r="2145" spans="1:5" x14ac:dyDescent="0.25">
      <c r="A2145" s="32" t="s">
        <v>767</v>
      </c>
      <c r="B2145" s="7">
        <v>2020</v>
      </c>
      <c r="C2145" s="51" t="s">
        <v>709</v>
      </c>
      <c r="D2145" t="s">
        <v>718</v>
      </c>
      <c r="E2145" s="2">
        <v>1.4510000000000001</v>
      </c>
    </row>
    <row r="2146" spans="1:5" x14ac:dyDescent="0.25">
      <c r="A2146" s="32" t="s">
        <v>767</v>
      </c>
      <c r="B2146" s="7">
        <v>2020</v>
      </c>
      <c r="C2146" s="51" t="s">
        <v>712</v>
      </c>
      <c r="D2146" t="s">
        <v>718</v>
      </c>
      <c r="E2146" s="2">
        <v>1.5740000000000001</v>
      </c>
    </row>
    <row r="2147" spans="1:5" x14ac:dyDescent="0.25">
      <c r="A2147" s="32" t="s">
        <v>767</v>
      </c>
      <c r="B2147" s="7">
        <v>2020</v>
      </c>
      <c r="C2147" s="51" t="s">
        <v>710</v>
      </c>
      <c r="D2147" t="s">
        <v>718</v>
      </c>
      <c r="E2147" s="2">
        <v>1.897</v>
      </c>
    </row>
    <row r="2148" spans="1:5" x14ac:dyDescent="0.25">
      <c r="A2148" s="32" t="s">
        <v>767</v>
      </c>
      <c r="B2148" s="7">
        <v>2020</v>
      </c>
      <c r="C2148" s="51" t="s">
        <v>702</v>
      </c>
      <c r="D2148" t="s">
        <v>718</v>
      </c>
      <c r="E2148" s="2">
        <v>2.0619999999999998</v>
      </c>
    </row>
    <row r="2149" spans="1:5" x14ac:dyDescent="0.25">
      <c r="A2149" s="32" t="s">
        <v>767</v>
      </c>
      <c r="B2149" s="7">
        <v>2020</v>
      </c>
      <c r="C2149" s="51" t="s">
        <v>703</v>
      </c>
      <c r="D2149" t="s">
        <v>718</v>
      </c>
      <c r="E2149" s="2">
        <v>1.9790000000000001</v>
      </c>
    </row>
    <row r="2150" spans="1:5" x14ac:dyDescent="0.25">
      <c r="A2150" s="32" t="s">
        <v>767</v>
      </c>
      <c r="B2150" s="7">
        <v>2020</v>
      </c>
      <c r="C2150" s="51" t="s">
        <v>704</v>
      </c>
      <c r="D2150" t="s">
        <v>718</v>
      </c>
      <c r="E2150" s="2">
        <v>1.85</v>
      </c>
    </row>
    <row r="2151" spans="1:5" x14ac:dyDescent="0.25">
      <c r="A2151" s="32" t="s">
        <v>767</v>
      </c>
      <c r="B2151" s="7">
        <v>2020</v>
      </c>
      <c r="C2151" s="51" t="s">
        <v>705</v>
      </c>
      <c r="D2151" t="s">
        <v>718</v>
      </c>
      <c r="E2151" s="2">
        <v>1.9139999999999999</v>
      </c>
    </row>
    <row r="2152" spans="1:5" x14ac:dyDescent="0.25">
      <c r="A2152" s="32" t="s">
        <v>767</v>
      </c>
      <c r="B2152" s="7">
        <v>2020</v>
      </c>
      <c r="C2152" s="51" t="s">
        <v>706</v>
      </c>
      <c r="D2152" t="s">
        <v>718</v>
      </c>
      <c r="E2152" s="2">
        <v>2.4510000000000001</v>
      </c>
    </row>
    <row r="2153" spans="1:5" x14ac:dyDescent="0.25">
      <c r="A2153" s="32" t="s">
        <v>767</v>
      </c>
      <c r="B2153" s="7">
        <v>2021</v>
      </c>
      <c r="C2153" s="51" t="s">
        <v>713</v>
      </c>
      <c r="D2153" t="s">
        <v>718</v>
      </c>
      <c r="E2153" s="2">
        <v>2.0680000000000001</v>
      </c>
    </row>
    <row r="2154" spans="1:5" x14ac:dyDescent="0.25">
      <c r="A2154" s="32" t="s">
        <v>767</v>
      </c>
      <c r="B2154" s="7">
        <v>2021</v>
      </c>
      <c r="C2154" s="51" t="s">
        <v>707</v>
      </c>
      <c r="D2154" t="s">
        <v>718</v>
      </c>
      <c r="E2154" s="2">
        <v>2.1240000000000001</v>
      </c>
    </row>
    <row r="2155" spans="1:5" x14ac:dyDescent="0.25">
      <c r="A2155" s="32" t="s">
        <v>767</v>
      </c>
      <c r="B2155" s="7">
        <v>2021</v>
      </c>
      <c r="C2155" s="51" t="s">
        <v>708</v>
      </c>
      <c r="D2155" t="s">
        <v>718</v>
      </c>
      <c r="E2155" s="2">
        <v>2.3119999999999998</v>
      </c>
    </row>
    <row r="2156" spans="1:5" x14ac:dyDescent="0.25">
      <c r="A2156" s="32" t="s">
        <v>767</v>
      </c>
      <c r="B2156" s="7">
        <v>2021</v>
      </c>
      <c r="C2156" s="51" t="s">
        <v>699</v>
      </c>
      <c r="D2156" t="s">
        <v>718</v>
      </c>
      <c r="E2156" s="2">
        <v>2.0840000000000001</v>
      </c>
    </row>
    <row r="2157" spans="1:5" x14ac:dyDescent="0.25">
      <c r="A2157" s="32" t="s">
        <v>767</v>
      </c>
      <c r="B2157" s="7">
        <v>2021</v>
      </c>
      <c r="C2157" s="51" t="s">
        <v>709</v>
      </c>
      <c r="D2157" t="s">
        <v>718</v>
      </c>
      <c r="E2157" s="2">
        <v>1.9430000000000001</v>
      </c>
    </row>
    <row r="2158" spans="1:5" x14ac:dyDescent="0.25">
      <c r="A2158" s="32" t="s">
        <v>767</v>
      </c>
      <c r="B2158" s="7">
        <v>2021</v>
      </c>
      <c r="C2158" s="51" t="s">
        <v>712</v>
      </c>
      <c r="D2158" t="s">
        <v>718</v>
      </c>
      <c r="E2158" s="2">
        <v>1.883</v>
      </c>
    </row>
    <row r="2159" spans="1:5" x14ac:dyDescent="0.25">
      <c r="A2159" s="32" t="s">
        <v>767</v>
      </c>
      <c r="B2159" s="7">
        <v>2021</v>
      </c>
      <c r="C2159" s="51" t="s">
        <v>710</v>
      </c>
      <c r="D2159" t="s">
        <v>718</v>
      </c>
      <c r="E2159" s="2">
        <v>2.1179999999999999</v>
      </c>
    </row>
    <row r="2160" spans="1:5" x14ac:dyDescent="0.25">
      <c r="A2160" s="32" t="s">
        <v>767</v>
      </c>
      <c r="B2160" s="7">
        <v>2021</v>
      </c>
      <c r="C2160" s="51" t="s">
        <v>702</v>
      </c>
      <c r="D2160" t="s">
        <v>718</v>
      </c>
      <c r="E2160" s="2">
        <v>2.262</v>
      </c>
    </row>
    <row r="2161" spans="1:5" x14ac:dyDescent="0.25">
      <c r="A2161" s="32" t="s">
        <v>767</v>
      </c>
      <c r="B2161" s="7">
        <v>2021</v>
      </c>
      <c r="C2161" s="51" t="s">
        <v>703</v>
      </c>
      <c r="D2161" t="s">
        <v>718</v>
      </c>
      <c r="E2161" s="2">
        <v>2.2719999999999998</v>
      </c>
    </row>
    <row r="2162" spans="1:5" x14ac:dyDescent="0.25">
      <c r="A2162" s="32" t="s">
        <v>767</v>
      </c>
      <c r="B2162" s="7">
        <v>2021</v>
      </c>
      <c r="C2162" s="51" t="s">
        <v>704</v>
      </c>
      <c r="D2162" t="s">
        <v>718</v>
      </c>
      <c r="E2162" s="2">
        <v>2.0870000000000002</v>
      </c>
    </row>
    <row r="2163" spans="1:5" x14ac:dyDescent="0.25">
      <c r="A2163" s="32" t="s">
        <v>767</v>
      </c>
      <c r="B2163" s="7">
        <v>2021</v>
      </c>
      <c r="C2163" s="51" t="s">
        <v>705</v>
      </c>
      <c r="D2163" t="s">
        <v>718</v>
      </c>
      <c r="E2163" s="2">
        <v>1.8120000000000001</v>
      </c>
    </row>
    <row r="2164" spans="1:5" x14ac:dyDescent="0.25">
      <c r="A2164" s="32" t="s">
        <v>767</v>
      </c>
      <c r="B2164" s="7">
        <v>2021</v>
      </c>
      <c r="C2164" s="51" t="s">
        <v>706</v>
      </c>
      <c r="D2164" t="s">
        <v>718</v>
      </c>
      <c r="E2164" s="2">
        <v>1.9470000000000001</v>
      </c>
    </row>
    <row r="2165" spans="1:5" x14ac:dyDescent="0.25">
      <c r="A2165" s="32" t="s">
        <v>767</v>
      </c>
      <c r="B2165" s="7">
        <v>2022</v>
      </c>
      <c r="C2165" s="51" t="s">
        <v>713</v>
      </c>
      <c r="D2165" t="s">
        <v>718</v>
      </c>
      <c r="E2165" s="2">
        <v>1.9039999999999999</v>
      </c>
    </row>
    <row r="2166" spans="1:5" x14ac:dyDescent="0.25">
      <c r="A2166" s="32" t="s">
        <v>767</v>
      </c>
      <c r="B2166" s="7">
        <v>2022</v>
      </c>
      <c r="C2166" s="51" t="s">
        <v>707</v>
      </c>
      <c r="D2166" t="s">
        <v>718</v>
      </c>
      <c r="E2166" s="2">
        <v>1.7889999999999999</v>
      </c>
    </row>
    <row r="2167" spans="1:5" x14ac:dyDescent="0.25">
      <c r="A2167" s="32" t="s">
        <v>767</v>
      </c>
      <c r="B2167" s="7">
        <v>2022</v>
      </c>
      <c r="C2167" s="51" t="s">
        <v>708</v>
      </c>
      <c r="D2167" t="s">
        <v>718</v>
      </c>
      <c r="E2167" s="2">
        <v>2.048</v>
      </c>
    </row>
    <row r="2168" spans="1:5" x14ac:dyDescent="0.25">
      <c r="A2168" s="32" t="s">
        <v>767</v>
      </c>
      <c r="B2168" s="7">
        <v>2022</v>
      </c>
      <c r="C2168" s="51" t="s">
        <v>699</v>
      </c>
      <c r="D2168" t="s">
        <v>718</v>
      </c>
      <c r="E2168" s="2">
        <v>1.915</v>
      </c>
    </row>
    <row r="2169" spans="1:5" x14ac:dyDescent="0.25">
      <c r="A2169" s="32" t="s">
        <v>767</v>
      </c>
      <c r="B2169" s="7">
        <v>2022</v>
      </c>
      <c r="C2169" s="51" t="s">
        <v>709</v>
      </c>
      <c r="D2169" t="s">
        <v>718</v>
      </c>
      <c r="E2169" s="2">
        <v>2.11</v>
      </c>
    </row>
    <row r="2170" spans="1:5" x14ac:dyDescent="0.25">
      <c r="A2170" s="32" t="s">
        <v>767</v>
      </c>
      <c r="B2170" s="7">
        <v>2022</v>
      </c>
      <c r="C2170" s="51" t="s">
        <v>712</v>
      </c>
      <c r="D2170" t="s">
        <v>718</v>
      </c>
      <c r="E2170" s="2">
        <v>1.7450000000000001</v>
      </c>
    </row>
    <row r="2171" spans="1:5" x14ac:dyDescent="0.25">
      <c r="A2171" s="32" t="s">
        <v>767</v>
      </c>
      <c r="B2171" s="7">
        <v>2022</v>
      </c>
      <c r="C2171" s="51" t="s">
        <v>710</v>
      </c>
      <c r="D2171" t="s">
        <v>718</v>
      </c>
      <c r="E2171" s="2">
        <v>1.796</v>
      </c>
    </row>
    <row r="2172" spans="1:5" x14ac:dyDescent="0.25">
      <c r="A2172" s="32" t="s">
        <v>767</v>
      </c>
      <c r="B2172" s="7">
        <v>2022</v>
      </c>
      <c r="C2172" s="51" t="s">
        <v>702</v>
      </c>
      <c r="D2172" t="s">
        <v>718</v>
      </c>
      <c r="E2172" s="2">
        <v>1.877</v>
      </c>
    </row>
    <row r="2173" spans="1:5" x14ac:dyDescent="0.25">
      <c r="A2173" s="32" t="s">
        <v>767</v>
      </c>
      <c r="B2173" s="7">
        <v>2022</v>
      </c>
      <c r="C2173" s="51" t="s">
        <v>703</v>
      </c>
      <c r="D2173" t="s">
        <v>718</v>
      </c>
      <c r="E2173" s="2">
        <v>1.764</v>
      </c>
    </row>
    <row r="2174" spans="1:5" x14ac:dyDescent="0.25">
      <c r="A2174" s="32" t="s">
        <v>767</v>
      </c>
      <c r="B2174" s="7">
        <v>2022</v>
      </c>
      <c r="C2174" s="51" t="s">
        <v>704</v>
      </c>
      <c r="D2174" t="s">
        <v>718</v>
      </c>
      <c r="E2174" s="2">
        <v>1.806</v>
      </c>
    </row>
    <row r="2175" spans="1:5" x14ac:dyDescent="0.25">
      <c r="A2175" s="32" t="s">
        <v>767</v>
      </c>
      <c r="B2175" s="7">
        <v>2022</v>
      </c>
      <c r="C2175" s="51" t="s">
        <v>705</v>
      </c>
      <c r="D2175" t="s">
        <v>718</v>
      </c>
      <c r="E2175" s="2">
        <v>1.863</v>
      </c>
    </row>
    <row r="2176" spans="1:5" x14ac:dyDescent="0.25">
      <c r="A2176" s="32" t="s">
        <v>767</v>
      </c>
      <c r="B2176" s="7">
        <v>2022</v>
      </c>
      <c r="C2176" s="51" t="s">
        <v>706</v>
      </c>
      <c r="D2176" t="s">
        <v>718</v>
      </c>
      <c r="E2176" s="2">
        <v>2.1680000000000001</v>
      </c>
    </row>
    <row r="2177" spans="1:5" x14ac:dyDescent="0.25">
      <c r="A2177" s="32" t="s">
        <v>767</v>
      </c>
      <c r="B2177" s="7">
        <v>2023</v>
      </c>
      <c r="C2177" s="51" t="s">
        <v>713</v>
      </c>
      <c r="D2177" t="s">
        <v>718</v>
      </c>
      <c r="E2177" s="2">
        <v>1.917</v>
      </c>
    </row>
    <row r="2178" spans="1:5" x14ac:dyDescent="0.25">
      <c r="A2178" s="32" t="s">
        <v>767</v>
      </c>
      <c r="B2178" s="7">
        <v>2023</v>
      </c>
      <c r="C2178" s="51" t="s">
        <v>707</v>
      </c>
      <c r="D2178" t="s">
        <v>718</v>
      </c>
      <c r="E2178" s="2">
        <v>1.792</v>
      </c>
    </row>
    <row r="2179" spans="1:5" x14ac:dyDescent="0.25">
      <c r="A2179" s="32" t="s">
        <v>767</v>
      </c>
      <c r="B2179" s="7">
        <v>2023</v>
      </c>
      <c r="C2179" s="51" t="s">
        <v>708</v>
      </c>
      <c r="D2179" t="s">
        <v>718</v>
      </c>
      <c r="E2179" s="2">
        <v>2.0169999999999999</v>
      </c>
    </row>
    <row r="2180" spans="1:5" x14ac:dyDescent="0.25">
      <c r="A2180" s="32" t="s">
        <v>767</v>
      </c>
      <c r="B2180" s="7">
        <v>2023</v>
      </c>
      <c r="C2180" s="51" t="s">
        <v>699</v>
      </c>
      <c r="D2180" t="s">
        <v>718</v>
      </c>
      <c r="E2180" s="2">
        <v>1.9610000000000001</v>
      </c>
    </row>
    <row r="2181" spans="1:5" x14ac:dyDescent="0.25">
      <c r="A2181" s="32" t="s">
        <v>767</v>
      </c>
      <c r="B2181" s="7">
        <v>2023</v>
      </c>
      <c r="C2181" s="51" t="s">
        <v>709</v>
      </c>
      <c r="D2181" t="s">
        <v>718</v>
      </c>
      <c r="E2181" s="2">
        <v>1.996</v>
      </c>
    </row>
    <row r="2182" spans="1:5" x14ac:dyDescent="0.25">
      <c r="A2182" s="32" t="s">
        <v>767</v>
      </c>
      <c r="B2182" s="7">
        <v>2023</v>
      </c>
      <c r="C2182" s="51" t="s">
        <v>712</v>
      </c>
      <c r="D2182" t="s">
        <v>718</v>
      </c>
      <c r="E2182" s="2">
        <v>1.7769999999999999</v>
      </c>
    </row>
    <row r="2183" spans="1:5" x14ac:dyDescent="0.25">
      <c r="A2183" s="32" t="s">
        <v>767</v>
      </c>
      <c r="B2183" s="7">
        <v>2023</v>
      </c>
      <c r="C2183" s="51" t="s">
        <v>710</v>
      </c>
      <c r="D2183" t="s">
        <v>718</v>
      </c>
      <c r="E2183" s="2">
        <v>1.8049999999999999</v>
      </c>
    </row>
    <row r="2184" spans="1:5" x14ac:dyDescent="0.25">
      <c r="A2184" s="32" t="s">
        <v>767</v>
      </c>
      <c r="B2184" s="7">
        <v>2023</v>
      </c>
      <c r="C2184" s="51" t="s">
        <v>702</v>
      </c>
      <c r="D2184" t="s">
        <v>718</v>
      </c>
      <c r="E2184" s="2">
        <v>1.756</v>
      </c>
    </row>
    <row r="2185" spans="1:5" x14ac:dyDescent="0.25">
      <c r="A2185" s="32" t="s">
        <v>767</v>
      </c>
      <c r="B2185" s="7">
        <v>2023</v>
      </c>
      <c r="C2185" s="51" t="s">
        <v>703</v>
      </c>
      <c r="D2185" t="s">
        <v>718</v>
      </c>
      <c r="E2185" s="2">
        <v>2.0270000000000001</v>
      </c>
    </row>
    <row r="2186" spans="1:5" x14ac:dyDescent="0.25">
      <c r="A2186" s="32" t="s">
        <v>767</v>
      </c>
      <c r="B2186" s="7">
        <v>1997</v>
      </c>
      <c r="C2186" s="51" t="s">
        <v>704</v>
      </c>
      <c r="D2186" t="s">
        <v>719</v>
      </c>
      <c r="E2186" s="2">
        <v>4.9429999999999996</v>
      </c>
    </row>
    <row r="2187" spans="1:5" x14ac:dyDescent="0.25">
      <c r="A2187" s="32" t="s">
        <v>767</v>
      </c>
      <c r="B2187" s="7">
        <v>1997</v>
      </c>
      <c r="C2187" s="51" t="s">
        <v>705</v>
      </c>
      <c r="D2187" t="s">
        <v>719</v>
      </c>
      <c r="E2187" s="2">
        <v>5.3179999999999996</v>
      </c>
    </row>
    <row r="2188" spans="1:5" x14ac:dyDescent="0.25">
      <c r="A2188" s="32" t="s">
        <v>767</v>
      </c>
      <c r="B2188" s="7">
        <v>1997</v>
      </c>
      <c r="C2188" s="51" t="s">
        <v>706</v>
      </c>
      <c r="D2188" t="s">
        <v>719</v>
      </c>
      <c r="E2188" s="2">
        <v>5.28</v>
      </c>
    </row>
    <row r="2189" spans="1:5" x14ac:dyDescent="0.25">
      <c r="A2189" s="32" t="s">
        <v>767</v>
      </c>
      <c r="B2189" s="7">
        <v>1998</v>
      </c>
      <c r="C2189" s="51" t="s">
        <v>713</v>
      </c>
      <c r="D2189" t="s">
        <v>719</v>
      </c>
      <c r="E2189" s="2">
        <v>5.5810000000000004</v>
      </c>
    </row>
    <row r="2190" spans="1:5" x14ac:dyDescent="0.25">
      <c r="A2190" s="32" t="s">
        <v>767</v>
      </c>
      <c r="B2190" s="7">
        <v>1998</v>
      </c>
      <c r="C2190" s="51" t="s">
        <v>707</v>
      </c>
      <c r="D2190" t="s">
        <v>719</v>
      </c>
      <c r="E2190" s="2">
        <v>5.1130000000000004</v>
      </c>
    </row>
    <row r="2191" spans="1:5" x14ac:dyDescent="0.25">
      <c r="A2191" s="32" t="s">
        <v>767</v>
      </c>
      <c r="B2191" s="7">
        <v>1998</v>
      </c>
      <c r="C2191" s="51" t="s">
        <v>708</v>
      </c>
      <c r="D2191" t="s">
        <v>719</v>
      </c>
      <c r="E2191" s="2">
        <v>5.6870000000000003</v>
      </c>
    </row>
    <row r="2192" spans="1:5" x14ac:dyDescent="0.25">
      <c r="A2192" s="32" t="s">
        <v>767</v>
      </c>
      <c r="B2192" s="7">
        <v>1998</v>
      </c>
      <c r="C2192" s="51" t="s">
        <v>699</v>
      </c>
      <c r="D2192" t="s">
        <v>719</v>
      </c>
      <c r="E2192" s="2">
        <v>5.274</v>
      </c>
    </row>
    <row r="2193" spans="1:5" x14ac:dyDescent="0.25">
      <c r="A2193" s="32" t="s">
        <v>767</v>
      </c>
      <c r="B2193" s="7">
        <v>1998</v>
      </c>
      <c r="C2193" s="51" t="s">
        <v>709</v>
      </c>
      <c r="D2193" t="s">
        <v>719</v>
      </c>
      <c r="E2193" s="2">
        <v>5.6420000000000003</v>
      </c>
    </row>
    <row r="2194" spans="1:5" x14ac:dyDescent="0.25">
      <c r="A2194" s="32" t="s">
        <v>767</v>
      </c>
      <c r="B2194" s="7">
        <v>1998</v>
      </c>
      <c r="C2194" s="51" t="s">
        <v>712</v>
      </c>
      <c r="D2194" t="s">
        <v>719</v>
      </c>
      <c r="E2194" s="2">
        <v>5.1619999999999999</v>
      </c>
    </row>
    <row r="2195" spans="1:5" x14ac:dyDescent="0.25">
      <c r="A2195" s="32" t="s">
        <v>767</v>
      </c>
      <c r="B2195" s="7">
        <v>1998</v>
      </c>
      <c r="C2195" s="51" t="s">
        <v>710</v>
      </c>
      <c r="D2195" t="s">
        <v>719</v>
      </c>
      <c r="E2195" s="2">
        <v>5.0110000000000001</v>
      </c>
    </row>
    <row r="2196" spans="1:5" x14ac:dyDescent="0.25">
      <c r="A2196" s="32" t="s">
        <v>767</v>
      </c>
      <c r="B2196" s="7">
        <v>1998</v>
      </c>
      <c r="C2196" s="51" t="s">
        <v>702</v>
      </c>
      <c r="D2196" t="s">
        <v>719</v>
      </c>
      <c r="E2196" s="2">
        <v>5.1139999999999999</v>
      </c>
    </row>
    <row r="2197" spans="1:5" x14ac:dyDescent="0.25">
      <c r="A2197" s="32" t="s">
        <v>767</v>
      </c>
      <c r="B2197" s="7">
        <v>1998</v>
      </c>
      <c r="C2197" s="51" t="s">
        <v>703</v>
      </c>
      <c r="D2197" t="s">
        <v>719</v>
      </c>
      <c r="E2197" s="2">
        <v>5.2439999999999998</v>
      </c>
    </row>
    <row r="2198" spans="1:5" x14ac:dyDescent="0.25">
      <c r="A2198" s="32" t="s">
        <v>767</v>
      </c>
      <c r="B2198" s="7">
        <v>1998</v>
      </c>
      <c r="C2198" s="51" t="s">
        <v>704</v>
      </c>
      <c r="D2198" t="s">
        <v>719</v>
      </c>
      <c r="E2198" s="2">
        <v>6.4969999999999999</v>
      </c>
    </row>
    <row r="2199" spans="1:5" x14ac:dyDescent="0.25">
      <c r="A2199" s="32" t="s">
        <v>767</v>
      </c>
      <c r="B2199" s="7">
        <v>1998</v>
      </c>
      <c r="C2199" s="51" t="s">
        <v>705</v>
      </c>
      <c r="D2199" t="s">
        <v>719</v>
      </c>
      <c r="E2199" s="2">
        <v>6.3659999999999997</v>
      </c>
    </row>
    <row r="2200" spans="1:5" x14ac:dyDescent="0.25">
      <c r="A2200" s="32" t="s">
        <v>767</v>
      </c>
      <c r="B2200" s="7">
        <v>1998</v>
      </c>
      <c r="C2200" s="51" t="s">
        <v>706</v>
      </c>
      <c r="D2200" t="s">
        <v>719</v>
      </c>
      <c r="E2200" s="2">
        <v>6.2220000000000004</v>
      </c>
    </row>
    <row r="2201" spans="1:5" x14ac:dyDescent="0.25">
      <c r="A2201" s="32" t="s">
        <v>767</v>
      </c>
      <c r="B2201" s="7">
        <v>1999</v>
      </c>
      <c r="C2201" s="51" t="s">
        <v>713</v>
      </c>
      <c r="D2201" t="s">
        <v>719</v>
      </c>
      <c r="E2201" s="2">
        <v>6.9139999999999997</v>
      </c>
    </row>
    <row r="2202" spans="1:5" x14ac:dyDescent="0.25">
      <c r="A2202" s="32" t="s">
        <v>767</v>
      </c>
      <c r="B2202" s="7">
        <v>1999</v>
      </c>
      <c r="C2202" s="51" t="s">
        <v>707</v>
      </c>
      <c r="D2202" t="s">
        <v>719</v>
      </c>
      <c r="E2202" s="2">
        <v>6.157</v>
      </c>
    </row>
    <row r="2203" spans="1:5" x14ac:dyDescent="0.25">
      <c r="A2203" s="32" t="s">
        <v>767</v>
      </c>
      <c r="B2203" s="7">
        <v>1999</v>
      </c>
      <c r="C2203" s="51" t="s">
        <v>708</v>
      </c>
      <c r="D2203" t="s">
        <v>719</v>
      </c>
      <c r="E2203" s="2">
        <v>6.7770000000000001</v>
      </c>
    </row>
    <row r="2204" spans="1:5" x14ac:dyDescent="0.25">
      <c r="A2204" s="32" t="s">
        <v>767</v>
      </c>
      <c r="B2204" s="7">
        <v>1999</v>
      </c>
      <c r="C2204" s="51" t="s">
        <v>699</v>
      </c>
      <c r="D2204" t="s">
        <v>719</v>
      </c>
      <c r="E2204" s="2">
        <v>6.4269999999999996</v>
      </c>
    </row>
    <row r="2205" spans="1:5" x14ac:dyDescent="0.25">
      <c r="A2205" s="32" t="s">
        <v>767</v>
      </c>
      <c r="B2205" s="7">
        <v>1999</v>
      </c>
      <c r="C2205" s="51" t="s">
        <v>709</v>
      </c>
      <c r="D2205" t="s">
        <v>719</v>
      </c>
      <c r="E2205" s="2">
        <v>6.7110000000000003</v>
      </c>
    </row>
    <row r="2206" spans="1:5" x14ac:dyDescent="0.25">
      <c r="A2206" s="32" t="s">
        <v>767</v>
      </c>
      <c r="B2206" s="7">
        <v>1999</v>
      </c>
      <c r="C2206" s="51" t="s">
        <v>712</v>
      </c>
      <c r="D2206" t="s">
        <v>719</v>
      </c>
      <c r="E2206" s="2">
        <v>5.8890000000000002</v>
      </c>
    </row>
    <row r="2207" spans="1:5" x14ac:dyDescent="0.25">
      <c r="A2207" s="32" t="s">
        <v>767</v>
      </c>
      <c r="B2207" s="7">
        <v>1999</v>
      </c>
      <c r="C2207" s="51" t="s">
        <v>710</v>
      </c>
      <c r="D2207" t="s">
        <v>719</v>
      </c>
      <c r="E2207" s="2">
        <v>5.7480000000000002</v>
      </c>
    </row>
    <row r="2208" spans="1:5" x14ac:dyDescent="0.25">
      <c r="A2208" s="32" t="s">
        <v>767</v>
      </c>
      <c r="B2208" s="7">
        <v>1999</v>
      </c>
      <c r="C2208" s="51" t="s">
        <v>702</v>
      </c>
      <c r="D2208" t="s">
        <v>719</v>
      </c>
      <c r="E2208" s="2">
        <v>6.444</v>
      </c>
    </row>
    <row r="2209" spans="1:5" x14ac:dyDescent="0.25">
      <c r="A2209" s="32" t="s">
        <v>767</v>
      </c>
      <c r="B2209" s="7">
        <v>1999</v>
      </c>
      <c r="C2209" s="51" t="s">
        <v>703</v>
      </c>
      <c r="D2209" t="s">
        <v>719</v>
      </c>
      <c r="E2209" s="2">
        <v>6.8710000000000004</v>
      </c>
    </row>
    <row r="2210" spans="1:5" x14ac:dyDescent="0.25">
      <c r="A2210" s="32" t="s">
        <v>767</v>
      </c>
      <c r="B2210" s="7">
        <v>1999</v>
      </c>
      <c r="C2210" s="51" t="s">
        <v>704</v>
      </c>
      <c r="D2210" t="s">
        <v>719</v>
      </c>
      <c r="E2210" s="2">
        <v>7.08</v>
      </c>
    </row>
    <row r="2211" spans="1:5" x14ac:dyDescent="0.25">
      <c r="A2211" s="32" t="s">
        <v>767</v>
      </c>
      <c r="B2211" s="7">
        <v>1999</v>
      </c>
      <c r="C2211" s="51" t="s">
        <v>705</v>
      </c>
      <c r="D2211" t="s">
        <v>719</v>
      </c>
      <c r="E2211" s="2">
        <v>6.7560000000000002</v>
      </c>
    </row>
    <row r="2212" spans="1:5" x14ac:dyDescent="0.25">
      <c r="A2212" s="32" t="s">
        <v>767</v>
      </c>
      <c r="B2212" s="7">
        <v>1999</v>
      </c>
      <c r="C2212" s="51" t="s">
        <v>706</v>
      </c>
      <c r="D2212" t="s">
        <v>719</v>
      </c>
      <c r="E2212" s="2">
        <v>6.8529999999999998</v>
      </c>
    </row>
    <row r="2213" spans="1:5" x14ac:dyDescent="0.25">
      <c r="A2213" s="32" t="s">
        <v>767</v>
      </c>
      <c r="B2213" s="7">
        <v>2000</v>
      </c>
      <c r="C2213" s="51" t="s">
        <v>713</v>
      </c>
      <c r="D2213" t="s">
        <v>719</v>
      </c>
      <c r="E2213" s="2">
        <v>6.968</v>
      </c>
    </row>
    <row r="2214" spans="1:5" x14ac:dyDescent="0.25">
      <c r="A2214" s="32" t="s">
        <v>767</v>
      </c>
      <c r="B2214" s="7">
        <v>2000</v>
      </c>
      <c r="C2214" s="51" t="s">
        <v>707</v>
      </c>
      <c r="D2214" t="s">
        <v>719</v>
      </c>
      <c r="E2214" s="2">
        <v>6.8170000000000002</v>
      </c>
    </row>
    <row r="2215" spans="1:5" x14ac:dyDescent="0.25">
      <c r="A2215" s="32" t="s">
        <v>767</v>
      </c>
      <c r="B2215" s="7">
        <v>2000</v>
      </c>
      <c r="C2215" s="51" t="s">
        <v>708</v>
      </c>
      <c r="D2215" t="s">
        <v>719</v>
      </c>
      <c r="E2215" s="2">
        <v>7.5540000000000003</v>
      </c>
    </row>
    <row r="2216" spans="1:5" x14ac:dyDescent="0.25">
      <c r="A2216" s="32" t="s">
        <v>767</v>
      </c>
      <c r="B2216" s="7">
        <v>2000</v>
      </c>
      <c r="C2216" s="51" t="s">
        <v>699</v>
      </c>
      <c r="D2216" t="s">
        <v>719</v>
      </c>
      <c r="E2216" s="2">
        <v>7.3150000000000004</v>
      </c>
    </row>
    <row r="2217" spans="1:5" x14ac:dyDescent="0.25">
      <c r="A2217" s="32" t="s">
        <v>767</v>
      </c>
      <c r="B2217" s="7">
        <v>2000</v>
      </c>
      <c r="C2217" s="51" t="s">
        <v>709</v>
      </c>
      <c r="D2217" t="s">
        <v>719</v>
      </c>
      <c r="E2217" s="2">
        <v>7.2350000000000003</v>
      </c>
    </row>
    <row r="2218" spans="1:5" x14ac:dyDescent="0.25">
      <c r="A2218" s="32" t="s">
        <v>767</v>
      </c>
      <c r="B2218" s="7">
        <v>2000</v>
      </c>
      <c r="C2218" s="51" t="s">
        <v>712</v>
      </c>
      <c r="D2218" t="s">
        <v>719</v>
      </c>
      <c r="E2218" s="2">
        <v>6.7969999999999997</v>
      </c>
    </row>
    <row r="2219" spans="1:5" x14ac:dyDescent="0.25">
      <c r="A2219" s="32" t="s">
        <v>767</v>
      </c>
      <c r="B2219" s="7">
        <v>2000</v>
      </c>
      <c r="C2219" s="51" t="s">
        <v>710</v>
      </c>
      <c r="D2219" t="s">
        <v>719</v>
      </c>
      <c r="E2219" s="2">
        <v>6.9480000000000004</v>
      </c>
    </row>
    <row r="2220" spans="1:5" x14ac:dyDescent="0.25">
      <c r="A2220" s="32" t="s">
        <v>767</v>
      </c>
      <c r="B2220" s="7">
        <v>2000</v>
      </c>
      <c r="C2220" s="51" t="s">
        <v>702</v>
      </c>
      <c r="D2220" t="s">
        <v>719</v>
      </c>
      <c r="E2220" s="2">
        <v>7.1509999999999998</v>
      </c>
    </row>
    <row r="2221" spans="1:5" x14ac:dyDescent="0.25">
      <c r="A2221" s="32" t="s">
        <v>767</v>
      </c>
      <c r="B2221" s="7">
        <v>2000</v>
      </c>
      <c r="C2221" s="51" t="s">
        <v>703</v>
      </c>
      <c r="D2221" t="s">
        <v>719</v>
      </c>
      <c r="E2221" s="2">
        <v>7.5750000000000002</v>
      </c>
    </row>
    <row r="2222" spans="1:5" x14ac:dyDescent="0.25">
      <c r="A2222" s="32" t="s">
        <v>767</v>
      </c>
      <c r="B2222" s="7">
        <v>2000</v>
      </c>
      <c r="C2222" s="51" t="s">
        <v>704</v>
      </c>
      <c r="D2222" t="s">
        <v>719</v>
      </c>
      <c r="E2222" s="2">
        <v>7.91</v>
      </c>
    </row>
    <row r="2223" spans="1:5" x14ac:dyDescent="0.25">
      <c r="A2223" s="32" t="s">
        <v>767</v>
      </c>
      <c r="B2223" s="7">
        <v>2000</v>
      </c>
      <c r="C2223" s="51" t="s">
        <v>705</v>
      </c>
      <c r="D2223" t="s">
        <v>719</v>
      </c>
      <c r="E2223" s="2">
        <v>7.66</v>
      </c>
    </row>
    <row r="2224" spans="1:5" x14ac:dyDescent="0.25">
      <c r="A2224" s="32" t="s">
        <v>767</v>
      </c>
      <c r="B2224" s="7">
        <v>2000</v>
      </c>
      <c r="C2224" s="51" t="s">
        <v>706</v>
      </c>
      <c r="D2224" t="s">
        <v>719</v>
      </c>
      <c r="E2224" s="2">
        <v>8.2710000000000008</v>
      </c>
    </row>
    <row r="2225" spans="1:5" x14ac:dyDescent="0.25">
      <c r="A2225" s="32" t="s">
        <v>767</v>
      </c>
      <c r="B2225" s="7">
        <v>2001</v>
      </c>
      <c r="C2225" s="51" t="s">
        <v>713</v>
      </c>
      <c r="D2225" t="s">
        <v>719</v>
      </c>
      <c r="E2225" s="2">
        <v>8.4039999999999999</v>
      </c>
    </row>
    <row r="2226" spans="1:5" x14ac:dyDescent="0.25">
      <c r="A2226" s="32" t="s">
        <v>767</v>
      </c>
      <c r="B2226" s="7">
        <v>2001</v>
      </c>
      <c r="C2226" s="51" t="s">
        <v>707</v>
      </c>
      <c r="D2226" t="s">
        <v>719</v>
      </c>
      <c r="E2226" s="2">
        <v>7.7060000000000004</v>
      </c>
    </row>
    <row r="2227" spans="1:5" x14ac:dyDescent="0.25">
      <c r="A2227" s="32" t="s">
        <v>767</v>
      </c>
      <c r="B2227" s="7">
        <v>2001</v>
      </c>
      <c r="C2227" s="51" t="s">
        <v>708</v>
      </c>
      <c r="D2227" t="s">
        <v>719</v>
      </c>
      <c r="E2227" s="2">
        <v>8.3960000000000008</v>
      </c>
    </row>
    <row r="2228" spans="1:5" x14ac:dyDescent="0.25">
      <c r="A2228" s="32" t="s">
        <v>767</v>
      </c>
      <c r="B2228" s="7">
        <v>2001</v>
      </c>
      <c r="C2228" s="51" t="s">
        <v>699</v>
      </c>
      <c r="D2228" t="s">
        <v>719</v>
      </c>
      <c r="E2228" s="2">
        <v>7.6310000000000002</v>
      </c>
    </row>
    <row r="2229" spans="1:5" x14ac:dyDescent="0.25">
      <c r="A2229" s="32" t="s">
        <v>767</v>
      </c>
      <c r="B2229" s="7">
        <v>2001</v>
      </c>
      <c r="C2229" s="51" t="s">
        <v>709</v>
      </c>
      <c r="D2229" t="s">
        <v>719</v>
      </c>
      <c r="E2229" s="2">
        <v>7.7830000000000004</v>
      </c>
    </row>
    <row r="2230" spans="1:5" x14ac:dyDescent="0.25">
      <c r="A2230" s="32" t="s">
        <v>767</v>
      </c>
      <c r="B2230" s="7">
        <v>2001</v>
      </c>
      <c r="C2230" s="51" t="s">
        <v>712</v>
      </c>
      <c r="D2230" t="s">
        <v>719</v>
      </c>
      <c r="E2230" s="2">
        <v>7.2229999999999999</v>
      </c>
    </row>
    <row r="2231" spans="1:5" x14ac:dyDescent="0.25">
      <c r="A2231" s="32" t="s">
        <v>767</v>
      </c>
      <c r="B2231" s="7">
        <v>2001</v>
      </c>
      <c r="C2231" s="51" t="s">
        <v>710</v>
      </c>
      <c r="D2231" t="s">
        <v>719</v>
      </c>
      <c r="E2231" s="2">
        <v>7.57</v>
      </c>
    </row>
    <row r="2232" spans="1:5" x14ac:dyDescent="0.25">
      <c r="A2232" s="32" t="s">
        <v>767</v>
      </c>
      <c r="B2232" s="7">
        <v>2001</v>
      </c>
      <c r="C2232" s="51" t="s">
        <v>702</v>
      </c>
      <c r="D2232" t="s">
        <v>719</v>
      </c>
      <c r="E2232" s="2">
        <v>7.5970000000000004</v>
      </c>
    </row>
    <row r="2233" spans="1:5" x14ac:dyDescent="0.25">
      <c r="A2233" s="32" t="s">
        <v>767</v>
      </c>
      <c r="B2233" s="7">
        <v>2001</v>
      </c>
      <c r="C2233" s="51" t="s">
        <v>703</v>
      </c>
      <c r="D2233" t="s">
        <v>719</v>
      </c>
      <c r="E2233" s="2">
        <v>8.0760000000000005</v>
      </c>
    </row>
    <row r="2234" spans="1:5" x14ac:dyDescent="0.25">
      <c r="A2234" s="32" t="s">
        <v>767</v>
      </c>
      <c r="B2234" s="7">
        <v>2001</v>
      </c>
      <c r="C2234" s="51" t="s">
        <v>704</v>
      </c>
      <c r="D2234" t="s">
        <v>719</v>
      </c>
      <c r="E2234" s="2">
        <v>8.3309999999999995</v>
      </c>
    </row>
    <row r="2235" spans="1:5" x14ac:dyDescent="0.25">
      <c r="A2235" s="32" t="s">
        <v>767</v>
      </c>
      <c r="B2235" s="7">
        <v>2001</v>
      </c>
      <c r="C2235" s="51" t="s">
        <v>705</v>
      </c>
      <c r="D2235" t="s">
        <v>719</v>
      </c>
      <c r="E2235" s="2">
        <v>8.3030000000000008</v>
      </c>
    </row>
    <row r="2236" spans="1:5" x14ac:dyDescent="0.25">
      <c r="A2236" s="32" t="s">
        <v>767</v>
      </c>
      <c r="B2236" s="7">
        <v>2001</v>
      </c>
      <c r="C2236" s="51" t="s">
        <v>706</v>
      </c>
      <c r="D2236" t="s">
        <v>719</v>
      </c>
      <c r="E2236" s="2">
        <v>8.7170000000000005</v>
      </c>
    </row>
    <row r="2237" spans="1:5" x14ac:dyDescent="0.25">
      <c r="A2237" s="32" t="s">
        <v>767</v>
      </c>
      <c r="B2237" s="7">
        <v>2002</v>
      </c>
      <c r="C2237" s="51" t="s">
        <v>713</v>
      </c>
      <c r="D2237" t="s">
        <v>719</v>
      </c>
      <c r="E2237" s="2">
        <v>8.702</v>
      </c>
    </row>
    <row r="2238" spans="1:5" x14ac:dyDescent="0.25">
      <c r="A2238" s="32" t="s">
        <v>767</v>
      </c>
      <c r="B2238" s="7">
        <v>2002</v>
      </c>
      <c r="C2238" s="51" t="s">
        <v>707</v>
      </c>
      <c r="D2238" t="s">
        <v>719</v>
      </c>
      <c r="E2238" s="2">
        <v>7.7939999999999996</v>
      </c>
    </row>
    <row r="2239" spans="1:5" x14ac:dyDescent="0.25">
      <c r="A2239" s="32" t="s">
        <v>767</v>
      </c>
      <c r="B2239" s="7">
        <v>2002</v>
      </c>
      <c r="C2239" s="51" t="s">
        <v>708</v>
      </c>
      <c r="D2239" t="s">
        <v>719</v>
      </c>
      <c r="E2239" s="2">
        <v>8.4220000000000006</v>
      </c>
    </row>
    <row r="2240" spans="1:5" x14ac:dyDescent="0.25">
      <c r="A2240" s="32" t="s">
        <v>767</v>
      </c>
      <c r="B2240" s="7">
        <v>2002</v>
      </c>
      <c r="C2240" s="51" t="s">
        <v>699</v>
      </c>
      <c r="D2240" t="s">
        <v>719</v>
      </c>
      <c r="E2240" s="2">
        <v>7.9870000000000001</v>
      </c>
    </row>
    <row r="2241" spans="1:5" x14ac:dyDescent="0.25">
      <c r="A2241" s="32" t="s">
        <v>767</v>
      </c>
      <c r="B2241" s="7">
        <v>2002</v>
      </c>
      <c r="C2241" s="51" t="s">
        <v>709</v>
      </c>
      <c r="D2241" t="s">
        <v>719</v>
      </c>
      <c r="E2241" s="2">
        <v>7.9850000000000003</v>
      </c>
    </row>
    <row r="2242" spans="1:5" x14ac:dyDescent="0.25">
      <c r="A2242" s="32" t="s">
        <v>767</v>
      </c>
      <c r="B2242" s="7">
        <v>2002</v>
      </c>
      <c r="C2242" s="51" t="s">
        <v>712</v>
      </c>
      <c r="D2242" t="s">
        <v>719</v>
      </c>
      <c r="E2242" s="2">
        <v>7.5839999999999996</v>
      </c>
    </row>
    <row r="2243" spans="1:5" x14ac:dyDescent="0.25">
      <c r="A2243" s="32" t="s">
        <v>767</v>
      </c>
      <c r="B2243" s="7">
        <v>2002</v>
      </c>
      <c r="C2243" s="51" t="s">
        <v>710</v>
      </c>
      <c r="D2243" t="s">
        <v>719</v>
      </c>
      <c r="E2243" s="2">
        <v>7.5</v>
      </c>
    </row>
    <row r="2244" spans="1:5" x14ac:dyDescent="0.25">
      <c r="A2244" s="32" t="s">
        <v>767</v>
      </c>
      <c r="B2244" s="7">
        <v>2002</v>
      </c>
      <c r="C2244" s="51" t="s">
        <v>702</v>
      </c>
      <c r="D2244" t="s">
        <v>719</v>
      </c>
      <c r="E2244" s="2">
        <v>7.5</v>
      </c>
    </row>
    <row r="2245" spans="1:5" x14ac:dyDescent="0.25">
      <c r="A2245" s="32" t="s">
        <v>767</v>
      </c>
      <c r="B2245" s="7">
        <v>2002</v>
      </c>
      <c r="C2245" s="51" t="s">
        <v>703</v>
      </c>
      <c r="D2245" t="s">
        <v>719</v>
      </c>
      <c r="E2245" s="2">
        <v>8.4499999999999993</v>
      </c>
    </row>
    <row r="2246" spans="1:5" x14ac:dyDescent="0.25">
      <c r="A2246" s="32" t="s">
        <v>767</v>
      </c>
      <c r="B2246" s="7">
        <v>2002</v>
      </c>
      <c r="C2246" s="51" t="s">
        <v>704</v>
      </c>
      <c r="D2246" t="s">
        <v>719</v>
      </c>
      <c r="E2246" s="2">
        <v>9.7170000000000005</v>
      </c>
    </row>
    <row r="2247" spans="1:5" x14ac:dyDescent="0.25">
      <c r="A2247" s="32" t="s">
        <v>767</v>
      </c>
      <c r="B2247" s="7">
        <v>2002</v>
      </c>
      <c r="C2247" s="51" t="s">
        <v>705</v>
      </c>
      <c r="D2247" t="s">
        <v>719</v>
      </c>
      <c r="E2247" s="2">
        <v>8.6549999999999994</v>
      </c>
    </row>
    <row r="2248" spans="1:5" x14ac:dyDescent="0.25">
      <c r="A2248" s="32" t="s">
        <v>767</v>
      </c>
      <c r="B2248" s="7">
        <v>2002</v>
      </c>
      <c r="C2248" s="51" t="s">
        <v>706</v>
      </c>
      <c r="D2248" t="s">
        <v>719</v>
      </c>
      <c r="E2248" s="2">
        <v>9.6969999999999992</v>
      </c>
    </row>
    <row r="2249" spans="1:5" x14ac:dyDescent="0.25">
      <c r="A2249" s="32" t="s">
        <v>767</v>
      </c>
      <c r="B2249" s="7">
        <v>2003</v>
      </c>
      <c r="C2249" s="51" t="s">
        <v>713</v>
      </c>
      <c r="D2249" t="s">
        <v>719</v>
      </c>
      <c r="E2249" s="2">
        <v>8.9220000000000006</v>
      </c>
    </row>
    <row r="2250" spans="1:5" x14ac:dyDescent="0.25">
      <c r="A2250" s="32" t="s">
        <v>767</v>
      </c>
      <c r="B2250" s="7">
        <v>2003</v>
      </c>
      <c r="C2250" s="51" t="s">
        <v>707</v>
      </c>
      <c r="D2250" t="s">
        <v>719</v>
      </c>
      <c r="E2250" s="2">
        <v>8.9339999999999993</v>
      </c>
    </row>
    <row r="2251" spans="1:5" x14ac:dyDescent="0.25">
      <c r="A2251" s="32" t="s">
        <v>767</v>
      </c>
      <c r="B2251" s="7">
        <v>2003</v>
      </c>
      <c r="C2251" s="51" t="s">
        <v>708</v>
      </c>
      <c r="D2251" t="s">
        <v>719</v>
      </c>
      <c r="E2251" s="2">
        <v>9.4390000000000001</v>
      </c>
    </row>
    <row r="2252" spans="1:5" x14ac:dyDescent="0.25">
      <c r="A2252" s="32" t="s">
        <v>767</v>
      </c>
      <c r="B2252" s="7">
        <v>2003</v>
      </c>
      <c r="C2252" s="51" t="s">
        <v>699</v>
      </c>
      <c r="D2252" t="s">
        <v>719</v>
      </c>
      <c r="E2252" s="2">
        <v>8.5389999999999997</v>
      </c>
    </row>
    <row r="2253" spans="1:5" x14ac:dyDescent="0.25">
      <c r="A2253" s="32" t="s">
        <v>767</v>
      </c>
      <c r="B2253" s="7">
        <v>2003</v>
      </c>
      <c r="C2253" s="51" t="s">
        <v>709</v>
      </c>
      <c r="D2253" t="s">
        <v>719</v>
      </c>
      <c r="E2253" s="2">
        <v>8.9329999999999998</v>
      </c>
    </row>
    <row r="2254" spans="1:5" x14ac:dyDescent="0.25">
      <c r="A2254" s="32" t="s">
        <v>767</v>
      </c>
      <c r="B2254" s="7">
        <v>2003</v>
      </c>
      <c r="C2254" s="51" t="s">
        <v>712</v>
      </c>
      <c r="D2254" t="s">
        <v>719</v>
      </c>
      <c r="E2254" s="2">
        <v>8.4420000000000002</v>
      </c>
    </row>
    <row r="2255" spans="1:5" x14ac:dyDescent="0.25">
      <c r="A2255" s="32" t="s">
        <v>767</v>
      </c>
      <c r="B2255" s="7">
        <v>2003</v>
      </c>
      <c r="C2255" s="51" t="s">
        <v>710</v>
      </c>
      <c r="D2255" t="s">
        <v>719</v>
      </c>
      <c r="E2255" s="2">
        <v>8.0250000000000004</v>
      </c>
    </row>
    <row r="2256" spans="1:5" x14ac:dyDescent="0.25">
      <c r="A2256" s="32" t="s">
        <v>767</v>
      </c>
      <c r="B2256" s="7">
        <v>2003</v>
      </c>
      <c r="C2256" s="51" t="s">
        <v>702</v>
      </c>
      <c r="D2256" t="s">
        <v>719</v>
      </c>
      <c r="E2256" s="2">
        <v>8.0410000000000004</v>
      </c>
    </row>
    <row r="2257" spans="1:5" x14ac:dyDescent="0.25">
      <c r="A2257" s="32" t="s">
        <v>767</v>
      </c>
      <c r="B2257" s="7">
        <v>2003</v>
      </c>
      <c r="C2257" s="51" t="s">
        <v>703</v>
      </c>
      <c r="D2257" t="s">
        <v>719</v>
      </c>
      <c r="E2257" s="2">
        <v>8.6180000000000003</v>
      </c>
    </row>
    <row r="2258" spans="1:5" x14ac:dyDescent="0.25">
      <c r="A2258" s="32" t="s">
        <v>767</v>
      </c>
      <c r="B2258" s="7">
        <v>2003</v>
      </c>
      <c r="C2258" s="51" t="s">
        <v>704</v>
      </c>
      <c r="D2258" t="s">
        <v>719</v>
      </c>
      <c r="E2258" s="2">
        <v>8.8650000000000002</v>
      </c>
    </row>
    <row r="2259" spans="1:5" x14ac:dyDescent="0.25">
      <c r="A2259" s="32" t="s">
        <v>767</v>
      </c>
      <c r="B2259" s="7">
        <v>2003</v>
      </c>
      <c r="C2259" s="51" t="s">
        <v>705</v>
      </c>
      <c r="D2259" t="s">
        <v>719</v>
      </c>
      <c r="E2259" s="2">
        <v>8.8249999999999993</v>
      </c>
    </row>
    <row r="2260" spans="1:5" x14ac:dyDescent="0.25">
      <c r="A2260" s="32" t="s">
        <v>767</v>
      </c>
      <c r="B2260" s="7">
        <v>2003</v>
      </c>
      <c r="C2260" s="51" t="s">
        <v>706</v>
      </c>
      <c r="D2260" t="s">
        <v>719</v>
      </c>
      <c r="E2260" s="2">
        <v>9.3119999999999994</v>
      </c>
    </row>
    <row r="2261" spans="1:5" x14ac:dyDescent="0.25">
      <c r="A2261" s="32" t="s">
        <v>767</v>
      </c>
      <c r="B2261" s="7">
        <v>2004</v>
      </c>
      <c r="C2261" s="51" t="s">
        <v>713</v>
      </c>
      <c r="D2261" t="s">
        <v>719</v>
      </c>
      <c r="E2261" s="2">
        <v>9.3550000000000004</v>
      </c>
    </row>
    <row r="2262" spans="1:5" x14ac:dyDescent="0.25">
      <c r="A2262" s="32" t="s">
        <v>767</v>
      </c>
      <c r="B2262" s="7">
        <v>2004</v>
      </c>
      <c r="C2262" s="51" t="s">
        <v>707</v>
      </c>
      <c r="D2262" t="s">
        <v>719</v>
      </c>
      <c r="E2262" s="2">
        <v>8.8260000000000005</v>
      </c>
    </row>
    <row r="2263" spans="1:5" x14ac:dyDescent="0.25">
      <c r="A2263" s="32" t="s">
        <v>767</v>
      </c>
      <c r="B2263" s="7">
        <v>2004</v>
      </c>
      <c r="C2263" s="51" t="s">
        <v>708</v>
      </c>
      <c r="D2263" t="s">
        <v>719</v>
      </c>
      <c r="E2263" s="2">
        <v>8.4809999999999999</v>
      </c>
    </row>
    <row r="2264" spans="1:5" x14ac:dyDescent="0.25">
      <c r="A2264" s="32" t="s">
        <v>767</v>
      </c>
      <c r="B2264" s="7">
        <v>2004</v>
      </c>
      <c r="C2264" s="51" t="s">
        <v>699</v>
      </c>
      <c r="D2264" t="s">
        <v>719</v>
      </c>
      <c r="E2264" s="2">
        <v>8.1460000000000008</v>
      </c>
    </row>
    <row r="2265" spans="1:5" x14ac:dyDescent="0.25">
      <c r="A2265" s="32" t="s">
        <v>767</v>
      </c>
      <c r="B2265" s="7">
        <v>2004</v>
      </c>
      <c r="C2265" s="51" t="s">
        <v>709</v>
      </c>
      <c r="D2265" t="s">
        <v>719</v>
      </c>
      <c r="E2265" s="2">
        <v>8.3059999999999992</v>
      </c>
    </row>
    <row r="2266" spans="1:5" x14ac:dyDescent="0.25">
      <c r="A2266" s="32" t="s">
        <v>767</v>
      </c>
      <c r="B2266" s="7">
        <v>2004</v>
      </c>
      <c r="C2266" s="51" t="s">
        <v>712</v>
      </c>
      <c r="D2266" t="s">
        <v>719</v>
      </c>
      <c r="E2266" s="2">
        <v>6.3940000000000001</v>
      </c>
    </row>
    <row r="2267" spans="1:5" x14ac:dyDescent="0.25">
      <c r="A2267" s="32" t="s">
        <v>767</v>
      </c>
      <c r="B2267" s="7">
        <v>2004</v>
      </c>
      <c r="C2267" s="51" t="s">
        <v>710</v>
      </c>
      <c r="D2267" t="s">
        <v>719</v>
      </c>
      <c r="E2267" s="2">
        <v>8.1140000000000008</v>
      </c>
    </row>
    <row r="2268" spans="1:5" x14ac:dyDescent="0.25">
      <c r="A2268" s="32" t="s">
        <v>767</v>
      </c>
      <c r="B2268" s="7">
        <v>2004</v>
      </c>
      <c r="C2268" s="51" t="s">
        <v>702</v>
      </c>
      <c r="D2268" t="s">
        <v>719</v>
      </c>
      <c r="E2268" s="2">
        <v>8.5510000000000002</v>
      </c>
    </row>
    <row r="2269" spans="1:5" x14ac:dyDescent="0.25">
      <c r="A2269" s="32" t="s">
        <v>767</v>
      </c>
      <c r="B2269" s="7">
        <v>2004</v>
      </c>
      <c r="C2269" s="51" t="s">
        <v>703</v>
      </c>
      <c r="D2269" t="s">
        <v>719</v>
      </c>
      <c r="E2269" s="2">
        <v>8.6709999999999994</v>
      </c>
    </row>
    <row r="2270" spans="1:5" x14ac:dyDescent="0.25">
      <c r="A2270" s="32" t="s">
        <v>767</v>
      </c>
      <c r="B2270" s="7">
        <v>2004</v>
      </c>
      <c r="C2270" s="51" t="s">
        <v>704</v>
      </c>
      <c r="D2270" t="s">
        <v>719</v>
      </c>
      <c r="E2270" s="2">
        <v>8.82</v>
      </c>
    </row>
    <row r="2271" spans="1:5" x14ac:dyDescent="0.25">
      <c r="A2271" s="32" t="s">
        <v>767</v>
      </c>
      <c r="B2271" s="7">
        <v>2004</v>
      </c>
      <c r="C2271" s="51" t="s">
        <v>705</v>
      </c>
      <c r="D2271" t="s">
        <v>719</v>
      </c>
      <c r="E2271" s="2">
        <v>8.6140000000000008</v>
      </c>
    </row>
    <row r="2272" spans="1:5" x14ac:dyDescent="0.25">
      <c r="A2272" s="32" t="s">
        <v>767</v>
      </c>
      <c r="B2272" s="7">
        <v>2004</v>
      </c>
      <c r="C2272" s="51" t="s">
        <v>706</v>
      </c>
      <c r="D2272" t="s">
        <v>719</v>
      </c>
      <c r="E2272" s="2">
        <v>8.94</v>
      </c>
    </row>
    <row r="2273" spans="1:5" x14ac:dyDescent="0.25">
      <c r="A2273" s="32" t="s">
        <v>767</v>
      </c>
      <c r="B2273" s="7">
        <v>2005</v>
      </c>
      <c r="C2273" s="51" t="s">
        <v>713</v>
      </c>
      <c r="D2273" t="s">
        <v>719</v>
      </c>
      <c r="E2273" s="2">
        <v>9.1839999999999993</v>
      </c>
    </row>
    <row r="2274" spans="1:5" x14ac:dyDescent="0.25">
      <c r="A2274" s="32" t="s">
        <v>767</v>
      </c>
      <c r="B2274" s="7">
        <v>2005</v>
      </c>
      <c r="C2274" s="51" t="s">
        <v>707</v>
      </c>
      <c r="D2274" t="s">
        <v>719</v>
      </c>
      <c r="E2274" s="2">
        <v>8.016</v>
      </c>
    </row>
    <row r="2275" spans="1:5" x14ac:dyDescent="0.25">
      <c r="A2275" s="32" t="s">
        <v>767</v>
      </c>
      <c r="B2275" s="7">
        <v>2005</v>
      </c>
      <c r="C2275" s="51" t="s">
        <v>708</v>
      </c>
      <c r="D2275" t="s">
        <v>719</v>
      </c>
      <c r="E2275" s="2">
        <v>8.83</v>
      </c>
    </row>
    <row r="2276" spans="1:5" x14ac:dyDescent="0.25">
      <c r="A2276" s="32" t="s">
        <v>767</v>
      </c>
      <c r="B2276" s="7">
        <v>2005</v>
      </c>
      <c r="C2276" s="51" t="s">
        <v>699</v>
      </c>
      <c r="D2276" t="s">
        <v>719</v>
      </c>
      <c r="E2276" s="2">
        <v>8.3719999999999999</v>
      </c>
    </row>
    <row r="2277" spans="1:5" x14ac:dyDescent="0.25">
      <c r="A2277" s="32" t="s">
        <v>767</v>
      </c>
      <c r="B2277" s="7">
        <v>2005</v>
      </c>
      <c r="C2277" s="51" t="s">
        <v>709</v>
      </c>
      <c r="D2277" t="s">
        <v>719</v>
      </c>
      <c r="E2277" s="2">
        <v>8.7050000000000001</v>
      </c>
    </row>
    <row r="2278" spans="1:5" x14ac:dyDescent="0.25">
      <c r="A2278" s="32" t="s">
        <v>767</v>
      </c>
      <c r="B2278" s="7">
        <v>2005</v>
      </c>
      <c r="C2278" s="51" t="s">
        <v>712</v>
      </c>
      <c r="D2278" t="s">
        <v>719</v>
      </c>
      <c r="E2278" s="2">
        <v>8.3480000000000008</v>
      </c>
    </row>
    <row r="2279" spans="1:5" x14ac:dyDescent="0.25">
      <c r="A2279" s="32" t="s">
        <v>767</v>
      </c>
      <c r="B2279" s="7">
        <v>2005</v>
      </c>
      <c r="C2279" s="51" t="s">
        <v>710</v>
      </c>
      <c r="D2279" t="s">
        <v>719</v>
      </c>
      <c r="E2279" s="2">
        <v>8.3729999999999993</v>
      </c>
    </row>
    <row r="2280" spans="1:5" x14ac:dyDescent="0.25">
      <c r="A2280" s="32" t="s">
        <v>767</v>
      </c>
      <c r="B2280" s="7">
        <v>2005</v>
      </c>
      <c r="C2280" s="51" t="s">
        <v>702</v>
      </c>
      <c r="D2280" t="s">
        <v>719</v>
      </c>
      <c r="E2280" s="2">
        <v>8.2870000000000008</v>
      </c>
    </row>
    <row r="2281" spans="1:5" x14ac:dyDescent="0.25">
      <c r="A2281" s="32" t="s">
        <v>767</v>
      </c>
      <c r="B2281" s="7">
        <v>2005</v>
      </c>
      <c r="C2281" s="51" t="s">
        <v>703</v>
      </c>
      <c r="D2281" t="s">
        <v>719</v>
      </c>
      <c r="E2281" s="2">
        <v>8.5890000000000004</v>
      </c>
    </row>
    <row r="2282" spans="1:5" x14ac:dyDescent="0.25">
      <c r="A2282" s="32" t="s">
        <v>767</v>
      </c>
      <c r="B2282" s="7">
        <v>2005</v>
      </c>
      <c r="C2282" s="51" t="s">
        <v>704</v>
      </c>
      <c r="D2282" t="s">
        <v>719</v>
      </c>
      <c r="E2282" s="2">
        <v>9.1470000000000002</v>
      </c>
    </row>
    <row r="2283" spans="1:5" x14ac:dyDescent="0.25">
      <c r="A2283" s="32" t="s">
        <v>767</v>
      </c>
      <c r="B2283" s="7">
        <v>2005</v>
      </c>
      <c r="C2283" s="51" t="s">
        <v>705</v>
      </c>
      <c r="D2283" t="s">
        <v>719</v>
      </c>
      <c r="E2283" s="2">
        <v>8.4090000000000007</v>
      </c>
    </row>
    <row r="2284" spans="1:5" x14ac:dyDescent="0.25">
      <c r="A2284" s="32" t="s">
        <v>767</v>
      </c>
      <c r="B2284" s="7">
        <v>2005</v>
      </c>
      <c r="C2284" s="51" t="s">
        <v>706</v>
      </c>
      <c r="D2284" t="s">
        <v>719</v>
      </c>
      <c r="E2284" s="2">
        <v>9.1519999999999992</v>
      </c>
    </row>
    <row r="2285" spans="1:5" x14ac:dyDescent="0.25">
      <c r="A2285" s="32" t="s">
        <v>767</v>
      </c>
      <c r="B2285" s="7">
        <v>2006</v>
      </c>
      <c r="C2285" s="51" t="s">
        <v>713</v>
      </c>
      <c r="D2285" t="s">
        <v>719</v>
      </c>
      <c r="E2285" s="2">
        <v>8.6240000000000006</v>
      </c>
    </row>
    <row r="2286" spans="1:5" x14ac:dyDescent="0.25">
      <c r="A2286" s="32" t="s">
        <v>767</v>
      </c>
      <c r="B2286" s="7">
        <v>2006</v>
      </c>
      <c r="C2286" s="51" t="s">
        <v>707</v>
      </c>
      <c r="D2286" t="s">
        <v>719</v>
      </c>
      <c r="E2286" s="2">
        <v>7.7089999999999996</v>
      </c>
    </row>
    <row r="2287" spans="1:5" x14ac:dyDescent="0.25">
      <c r="A2287" s="32" t="s">
        <v>767</v>
      </c>
      <c r="B2287" s="7">
        <v>2006</v>
      </c>
      <c r="C2287" s="51" t="s">
        <v>708</v>
      </c>
      <c r="D2287" t="s">
        <v>719</v>
      </c>
      <c r="E2287" s="2">
        <v>8.5440000000000005</v>
      </c>
    </row>
    <row r="2288" spans="1:5" x14ac:dyDescent="0.25">
      <c r="A2288" s="32" t="s">
        <v>767</v>
      </c>
      <c r="B2288" s="7">
        <v>2006</v>
      </c>
      <c r="C2288" s="51" t="s">
        <v>699</v>
      </c>
      <c r="D2288" t="s">
        <v>719</v>
      </c>
      <c r="E2288" s="2">
        <v>8.2010000000000005</v>
      </c>
    </row>
    <row r="2289" spans="1:5" x14ac:dyDescent="0.25">
      <c r="A2289" s="32" t="s">
        <v>767</v>
      </c>
      <c r="B2289" s="7">
        <v>2006</v>
      </c>
      <c r="C2289" s="51" t="s">
        <v>709</v>
      </c>
      <c r="D2289" t="s">
        <v>719</v>
      </c>
      <c r="E2289" s="2">
        <v>8.7949999999999999</v>
      </c>
    </row>
    <row r="2290" spans="1:5" x14ac:dyDescent="0.25">
      <c r="A2290" s="32" t="s">
        <v>767</v>
      </c>
      <c r="B2290" s="7">
        <v>2006</v>
      </c>
      <c r="C2290" s="51" t="s">
        <v>712</v>
      </c>
      <c r="D2290" t="s">
        <v>719</v>
      </c>
      <c r="E2290" s="2">
        <v>8.94</v>
      </c>
    </row>
    <row r="2291" spans="1:5" x14ac:dyDescent="0.25">
      <c r="A2291" s="32" t="s">
        <v>767</v>
      </c>
      <c r="B2291" s="7">
        <v>2006</v>
      </c>
      <c r="C2291" s="51" t="s">
        <v>710</v>
      </c>
      <c r="D2291" t="s">
        <v>719</v>
      </c>
      <c r="E2291" s="2">
        <v>8.5739999999999998</v>
      </c>
    </row>
    <row r="2292" spans="1:5" x14ac:dyDescent="0.25">
      <c r="A2292" s="32" t="s">
        <v>767</v>
      </c>
      <c r="B2292" s="7">
        <v>2006</v>
      </c>
      <c r="C2292" s="51" t="s">
        <v>702</v>
      </c>
      <c r="D2292" t="s">
        <v>719</v>
      </c>
      <c r="E2292" s="2">
        <v>8.3699999999999992</v>
      </c>
    </row>
    <row r="2293" spans="1:5" x14ac:dyDescent="0.25">
      <c r="A2293" s="32" t="s">
        <v>767</v>
      </c>
      <c r="B2293" s="7">
        <v>2006</v>
      </c>
      <c r="C2293" s="51" t="s">
        <v>703</v>
      </c>
      <c r="D2293" t="s">
        <v>719</v>
      </c>
      <c r="E2293" s="2">
        <v>8.907</v>
      </c>
    </row>
    <row r="2294" spans="1:5" x14ac:dyDescent="0.25">
      <c r="A2294" s="32" t="s">
        <v>767</v>
      </c>
      <c r="B2294" s="7">
        <v>2006</v>
      </c>
      <c r="C2294" s="51" t="s">
        <v>704</v>
      </c>
      <c r="D2294" t="s">
        <v>719</v>
      </c>
      <c r="E2294" s="2">
        <v>8.8960000000000008</v>
      </c>
    </row>
    <row r="2295" spans="1:5" x14ac:dyDescent="0.25">
      <c r="A2295" s="32" t="s">
        <v>767</v>
      </c>
      <c r="B2295" s="7">
        <v>2006</v>
      </c>
      <c r="C2295" s="51" t="s">
        <v>705</v>
      </c>
      <c r="D2295" t="s">
        <v>719</v>
      </c>
      <c r="E2295" s="2">
        <v>9.4410000000000007</v>
      </c>
    </row>
    <row r="2296" spans="1:5" x14ac:dyDescent="0.25">
      <c r="A2296" s="32" t="s">
        <v>767</v>
      </c>
      <c r="B2296" s="7">
        <v>2006</v>
      </c>
      <c r="C2296" s="51" t="s">
        <v>706</v>
      </c>
      <c r="D2296" t="s">
        <v>719</v>
      </c>
      <c r="E2296" s="2">
        <v>8.9139999999999997</v>
      </c>
    </row>
    <row r="2297" spans="1:5" x14ac:dyDescent="0.25">
      <c r="A2297" s="32" t="s">
        <v>767</v>
      </c>
      <c r="B2297" s="7">
        <v>2007</v>
      </c>
      <c r="C2297" s="51" t="s">
        <v>713</v>
      </c>
      <c r="D2297" t="s">
        <v>719</v>
      </c>
      <c r="E2297" s="2">
        <v>9.1080000000000005</v>
      </c>
    </row>
    <row r="2298" spans="1:5" x14ac:dyDescent="0.25">
      <c r="A2298" s="32" t="s">
        <v>767</v>
      </c>
      <c r="B2298" s="7">
        <v>2007</v>
      </c>
      <c r="C2298" s="51" t="s">
        <v>707</v>
      </c>
      <c r="D2298" t="s">
        <v>719</v>
      </c>
      <c r="E2298" s="2">
        <v>8.1180000000000003</v>
      </c>
    </row>
    <row r="2299" spans="1:5" x14ac:dyDescent="0.25">
      <c r="A2299" s="32" t="s">
        <v>767</v>
      </c>
      <c r="B2299" s="7">
        <v>2007</v>
      </c>
      <c r="C2299" s="51" t="s">
        <v>708</v>
      </c>
      <c r="D2299" t="s">
        <v>719</v>
      </c>
      <c r="E2299" s="2">
        <v>8.9629999999999992</v>
      </c>
    </row>
    <row r="2300" spans="1:5" x14ac:dyDescent="0.25">
      <c r="A2300" s="32" t="s">
        <v>767</v>
      </c>
      <c r="B2300" s="7">
        <v>2007</v>
      </c>
      <c r="C2300" s="51" t="s">
        <v>699</v>
      </c>
      <c r="D2300" t="s">
        <v>719</v>
      </c>
      <c r="E2300" s="2">
        <v>8.359</v>
      </c>
    </row>
    <row r="2301" spans="1:5" x14ac:dyDescent="0.25">
      <c r="A2301" s="32" t="s">
        <v>767</v>
      </c>
      <c r="B2301" s="7">
        <v>2007</v>
      </c>
      <c r="C2301" s="51" t="s">
        <v>709</v>
      </c>
      <c r="D2301" t="s">
        <v>719</v>
      </c>
      <c r="E2301" s="2">
        <v>8.6059999999999999</v>
      </c>
    </row>
    <row r="2302" spans="1:5" x14ac:dyDescent="0.25">
      <c r="A2302" s="32" t="s">
        <v>767</v>
      </c>
      <c r="B2302" s="7">
        <v>2007</v>
      </c>
      <c r="C2302" s="51" t="s">
        <v>712</v>
      </c>
      <c r="D2302" t="s">
        <v>719</v>
      </c>
      <c r="E2302" s="2">
        <v>9.5820000000000007</v>
      </c>
    </row>
    <row r="2303" spans="1:5" x14ac:dyDescent="0.25">
      <c r="A2303" s="32" t="s">
        <v>767</v>
      </c>
      <c r="B2303" s="7">
        <v>2007</v>
      </c>
      <c r="C2303" s="51" t="s">
        <v>710</v>
      </c>
      <c r="D2303" t="s">
        <v>719</v>
      </c>
      <c r="E2303" s="2">
        <v>8.6999999999999993</v>
      </c>
    </row>
    <row r="2304" spans="1:5" x14ac:dyDescent="0.25">
      <c r="A2304" s="32" t="s">
        <v>767</v>
      </c>
      <c r="B2304" s="7">
        <v>2007</v>
      </c>
      <c r="C2304" s="51" t="s">
        <v>702</v>
      </c>
      <c r="D2304" t="s">
        <v>719</v>
      </c>
      <c r="E2304" s="2">
        <v>8.3780000000000001</v>
      </c>
    </row>
    <row r="2305" spans="1:5" x14ac:dyDescent="0.25">
      <c r="A2305" s="32" t="s">
        <v>767</v>
      </c>
      <c r="B2305" s="7">
        <v>2007</v>
      </c>
      <c r="C2305" s="51" t="s">
        <v>703</v>
      </c>
      <c r="D2305" t="s">
        <v>719</v>
      </c>
      <c r="E2305" s="2">
        <v>8.1479999999999997</v>
      </c>
    </row>
    <row r="2306" spans="1:5" x14ac:dyDescent="0.25">
      <c r="A2306" s="32" t="s">
        <v>767</v>
      </c>
      <c r="B2306" s="7">
        <v>2007</v>
      </c>
      <c r="C2306" s="51" t="s">
        <v>704</v>
      </c>
      <c r="D2306" t="s">
        <v>719</v>
      </c>
      <c r="E2306" s="2">
        <v>8.2409999999999997</v>
      </c>
    </row>
    <row r="2307" spans="1:5" x14ac:dyDescent="0.25">
      <c r="A2307" s="32" t="s">
        <v>767</v>
      </c>
      <c r="B2307" s="7">
        <v>2007</v>
      </c>
      <c r="C2307" s="51" t="s">
        <v>705</v>
      </c>
      <c r="D2307" t="s">
        <v>719</v>
      </c>
      <c r="E2307" s="2">
        <v>8.3079999999999998</v>
      </c>
    </row>
    <row r="2308" spans="1:5" x14ac:dyDescent="0.25">
      <c r="A2308" s="32" t="s">
        <v>767</v>
      </c>
      <c r="B2308" s="7">
        <v>2007</v>
      </c>
      <c r="C2308" s="51" t="s">
        <v>706</v>
      </c>
      <c r="D2308" t="s">
        <v>719</v>
      </c>
      <c r="E2308" s="2">
        <v>8.9220000000000006</v>
      </c>
    </row>
    <row r="2309" spans="1:5" x14ac:dyDescent="0.25">
      <c r="A2309" s="32" t="s">
        <v>767</v>
      </c>
      <c r="B2309" s="7">
        <v>2008</v>
      </c>
      <c r="C2309" s="51" t="s">
        <v>713</v>
      </c>
      <c r="D2309" t="s">
        <v>719</v>
      </c>
      <c r="E2309" s="2">
        <v>8.7840000000000007</v>
      </c>
    </row>
    <row r="2310" spans="1:5" x14ac:dyDescent="0.25">
      <c r="A2310" s="32" t="s">
        <v>767</v>
      </c>
      <c r="B2310" s="7">
        <v>2008</v>
      </c>
      <c r="C2310" s="51" t="s">
        <v>707</v>
      </c>
      <c r="D2310" t="s">
        <v>719</v>
      </c>
      <c r="E2310" s="2">
        <v>9.0619999999999994</v>
      </c>
    </row>
    <row r="2311" spans="1:5" x14ac:dyDescent="0.25">
      <c r="A2311" s="32" t="s">
        <v>767</v>
      </c>
      <c r="B2311" s="7">
        <v>2008</v>
      </c>
      <c r="C2311" s="51" t="s">
        <v>708</v>
      </c>
      <c r="D2311" t="s">
        <v>719</v>
      </c>
      <c r="E2311" s="2">
        <v>8.2469999999999999</v>
      </c>
    </row>
    <row r="2312" spans="1:5" x14ac:dyDescent="0.25">
      <c r="A2312" s="32" t="s">
        <v>767</v>
      </c>
      <c r="B2312" s="7">
        <v>2008</v>
      </c>
      <c r="C2312" s="51" t="s">
        <v>699</v>
      </c>
      <c r="D2312" t="s">
        <v>719</v>
      </c>
      <c r="E2312" s="2">
        <v>8.8689999999999998</v>
      </c>
    </row>
    <row r="2313" spans="1:5" x14ac:dyDescent="0.25">
      <c r="A2313" s="32" t="s">
        <v>767</v>
      </c>
      <c r="B2313" s="7">
        <v>2008</v>
      </c>
      <c r="C2313" s="51" t="s">
        <v>709</v>
      </c>
      <c r="D2313" t="s">
        <v>719</v>
      </c>
      <c r="E2313" s="2">
        <v>9.9149999999999991</v>
      </c>
    </row>
    <row r="2314" spans="1:5" x14ac:dyDescent="0.25">
      <c r="A2314" s="32" t="s">
        <v>767</v>
      </c>
      <c r="B2314" s="7">
        <v>2008</v>
      </c>
      <c r="C2314" s="51" t="s">
        <v>712</v>
      </c>
      <c r="D2314" t="s">
        <v>719</v>
      </c>
      <c r="E2314" s="2">
        <v>8.34</v>
      </c>
    </row>
    <row r="2315" spans="1:5" x14ac:dyDescent="0.25">
      <c r="A2315" s="32" t="s">
        <v>767</v>
      </c>
      <c r="B2315" s="7">
        <v>2008</v>
      </c>
      <c r="C2315" s="51" t="s">
        <v>710</v>
      </c>
      <c r="D2315" t="s">
        <v>719</v>
      </c>
      <c r="E2315" s="2">
        <v>9.1219999999999999</v>
      </c>
    </row>
    <row r="2316" spans="1:5" x14ac:dyDescent="0.25">
      <c r="A2316" s="32" t="s">
        <v>767</v>
      </c>
      <c r="B2316" s="7">
        <v>2008</v>
      </c>
      <c r="C2316" s="51" t="s">
        <v>702</v>
      </c>
      <c r="D2316" t="s">
        <v>719</v>
      </c>
      <c r="E2316" s="2">
        <v>9.9130000000000003</v>
      </c>
    </row>
    <row r="2317" spans="1:5" x14ac:dyDescent="0.25">
      <c r="A2317" s="32" t="s">
        <v>767</v>
      </c>
      <c r="B2317" s="7">
        <v>2008</v>
      </c>
      <c r="C2317" s="51" t="s">
        <v>703</v>
      </c>
      <c r="D2317" t="s">
        <v>719</v>
      </c>
      <c r="E2317" s="2">
        <v>9.85</v>
      </c>
    </row>
    <row r="2318" spans="1:5" x14ac:dyDescent="0.25">
      <c r="A2318" s="32" t="s">
        <v>767</v>
      </c>
      <c r="B2318" s="7">
        <v>2008</v>
      </c>
      <c r="C2318" s="51" t="s">
        <v>704</v>
      </c>
      <c r="D2318" t="s">
        <v>719</v>
      </c>
      <c r="E2318" s="2">
        <v>9.8279999999999994</v>
      </c>
    </row>
    <row r="2319" spans="1:5" x14ac:dyDescent="0.25">
      <c r="A2319" s="32" t="s">
        <v>767</v>
      </c>
      <c r="B2319" s="7">
        <v>2008</v>
      </c>
      <c r="C2319" s="51" t="s">
        <v>705</v>
      </c>
      <c r="D2319" t="s">
        <v>719</v>
      </c>
      <c r="E2319" s="2">
        <v>8.1760000000000002</v>
      </c>
    </row>
    <row r="2320" spans="1:5" x14ac:dyDescent="0.25">
      <c r="A2320" s="32" t="s">
        <v>767</v>
      </c>
      <c r="B2320" s="7">
        <v>2008</v>
      </c>
      <c r="C2320" s="51" t="s">
        <v>706</v>
      </c>
      <c r="D2320" t="s">
        <v>719</v>
      </c>
      <c r="E2320" s="2">
        <v>8.6760000000000002</v>
      </c>
    </row>
    <row r="2321" spans="1:5" x14ac:dyDescent="0.25">
      <c r="A2321" s="32" t="s">
        <v>767</v>
      </c>
      <c r="B2321" s="7">
        <v>2009</v>
      </c>
      <c r="C2321" s="51" t="s">
        <v>713</v>
      </c>
      <c r="D2321" t="s">
        <v>719</v>
      </c>
      <c r="E2321" s="2">
        <v>9.5470000000000006</v>
      </c>
    </row>
    <row r="2322" spans="1:5" x14ac:dyDescent="0.25">
      <c r="A2322" s="32" t="s">
        <v>767</v>
      </c>
      <c r="B2322" s="7">
        <v>2009</v>
      </c>
      <c r="C2322" s="51" t="s">
        <v>707</v>
      </c>
      <c r="D2322" t="s">
        <v>719</v>
      </c>
      <c r="E2322" s="2">
        <v>8.1999999999999993</v>
      </c>
    </row>
    <row r="2323" spans="1:5" x14ac:dyDescent="0.25">
      <c r="A2323" s="32" t="s">
        <v>767</v>
      </c>
      <c r="B2323" s="7">
        <v>2009</v>
      </c>
      <c r="C2323" s="51" t="s">
        <v>708</v>
      </c>
      <c r="D2323" t="s">
        <v>719</v>
      </c>
      <c r="E2323" s="2">
        <v>9.5150000000000006</v>
      </c>
    </row>
    <row r="2324" spans="1:5" x14ac:dyDescent="0.25">
      <c r="A2324" s="32" t="s">
        <v>767</v>
      </c>
      <c r="B2324" s="7">
        <v>2009</v>
      </c>
      <c r="C2324" s="51" t="s">
        <v>699</v>
      </c>
      <c r="D2324" t="s">
        <v>719</v>
      </c>
      <c r="E2324" s="2">
        <v>9.18</v>
      </c>
    </row>
    <row r="2325" spans="1:5" x14ac:dyDescent="0.25">
      <c r="A2325" s="32" t="s">
        <v>767</v>
      </c>
      <c r="B2325" s="7">
        <v>2009</v>
      </c>
      <c r="C2325" s="51" t="s">
        <v>709</v>
      </c>
      <c r="D2325" t="s">
        <v>719</v>
      </c>
      <c r="E2325" s="2">
        <v>9.3640000000000008</v>
      </c>
    </row>
    <row r="2326" spans="1:5" x14ac:dyDescent="0.25">
      <c r="A2326" s="32" t="s">
        <v>767</v>
      </c>
      <c r="B2326" s="7">
        <v>2009</v>
      </c>
      <c r="C2326" s="51" t="s">
        <v>712</v>
      </c>
      <c r="D2326" t="s">
        <v>719</v>
      </c>
      <c r="E2326" s="2">
        <v>9.577</v>
      </c>
    </row>
    <row r="2327" spans="1:5" x14ac:dyDescent="0.25">
      <c r="A2327" s="32" t="s">
        <v>767</v>
      </c>
      <c r="B2327" s="7">
        <v>2009</v>
      </c>
      <c r="C2327" s="51" t="s">
        <v>710</v>
      </c>
      <c r="D2327" t="s">
        <v>719</v>
      </c>
      <c r="E2327" s="2">
        <v>9.1999999999999993</v>
      </c>
    </row>
    <row r="2328" spans="1:5" x14ac:dyDescent="0.25">
      <c r="A2328" s="32" t="s">
        <v>767</v>
      </c>
      <c r="B2328" s="7">
        <v>2009</v>
      </c>
      <c r="C2328" s="51" t="s">
        <v>702</v>
      </c>
      <c r="D2328" t="s">
        <v>719</v>
      </c>
      <c r="E2328" s="2">
        <v>8.7880000000000003</v>
      </c>
    </row>
    <row r="2329" spans="1:5" x14ac:dyDescent="0.25">
      <c r="A2329" s="32" t="s">
        <v>767</v>
      </c>
      <c r="B2329" s="7">
        <v>2009</v>
      </c>
      <c r="C2329" s="51" t="s">
        <v>703</v>
      </c>
      <c r="D2329" t="s">
        <v>719</v>
      </c>
      <c r="E2329" s="2">
        <v>9.3130000000000006</v>
      </c>
    </row>
    <row r="2330" spans="1:5" x14ac:dyDescent="0.25">
      <c r="A2330" s="32" t="s">
        <v>767</v>
      </c>
      <c r="B2330" s="7">
        <v>2009</v>
      </c>
      <c r="C2330" s="51" t="s">
        <v>704</v>
      </c>
      <c r="D2330" t="s">
        <v>719</v>
      </c>
      <c r="E2330" s="2">
        <v>9.6530000000000005</v>
      </c>
    </row>
    <row r="2331" spans="1:5" x14ac:dyDescent="0.25">
      <c r="A2331" s="32" t="s">
        <v>767</v>
      </c>
      <c r="B2331" s="7">
        <v>2009</v>
      </c>
      <c r="C2331" s="51" t="s">
        <v>705</v>
      </c>
      <c r="D2331" t="s">
        <v>719</v>
      </c>
      <c r="E2331" s="2">
        <v>9.7200000000000006</v>
      </c>
    </row>
    <row r="2332" spans="1:5" x14ac:dyDescent="0.25">
      <c r="A2332" s="32" t="s">
        <v>767</v>
      </c>
      <c r="B2332" s="7">
        <v>2009</v>
      </c>
      <c r="C2332" s="51" t="s">
        <v>706</v>
      </c>
      <c r="D2332" t="s">
        <v>719</v>
      </c>
      <c r="E2332" s="2">
        <v>10.93</v>
      </c>
    </row>
    <row r="2333" spans="1:5" x14ac:dyDescent="0.25">
      <c r="A2333" s="32" t="s">
        <v>767</v>
      </c>
      <c r="B2333" s="7">
        <v>2010</v>
      </c>
      <c r="C2333" s="51" t="s">
        <v>713</v>
      </c>
      <c r="D2333" t="s">
        <v>719</v>
      </c>
      <c r="E2333" s="2">
        <v>8.6859999999999999</v>
      </c>
    </row>
    <row r="2334" spans="1:5" x14ac:dyDescent="0.25">
      <c r="A2334" s="32" t="s">
        <v>767</v>
      </c>
      <c r="B2334" s="7">
        <v>2010</v>
      </c>
      <c r="C2334" s="51" t="s">
        <v>707</v>
      </c>
      <c r="D2334" t="s">
        <v>719</v>
      </c>
      <c r="E2334" s="2">
        <v>8.92</v>
      </c>
    </row>
    <row r="2335" spans="1:5" x14ac:dyDescent="0.25">
      <c r="A2335" s="32" t="s">
        <v>767</v>
      </c>
      <c r="B2335" s="7">
        <v>2010</v>
      </c>
      <c r="C2335" s="51" t="s">
        <v>708</v>
      </c>
      <c r="D2335" t="s">
        <v>719</v>
      </c>
      <c r="E2335" s="2">
        <v>9.2669999999999995</v>
      </c>
    </row>
    <row r="2336" spans="1:5" x14ac:dyDescent="0.25">
      <c r="A2336" s="32" t="s">
        <v>767</v>
      </c>
      <c r="B2336" s="7">
        <v>2010</v>
      </c>
      <c r="C2336" s="51" t="s">
        <v>699</v>
      </c>
      <c r="D2336" t="s">
        <v>719</v>
      </c>
      <c r="E2336" s="2">
        <v>9.7970000000000006</v>
      </c>
    </row>
    <row r="2337" spans="1:5" x14ac:dyDescent="0.25">
      <c r="A2337" s="32" t="s">
        <v>767</v>
      </c>
      <c r="B2337" s="7">
        <v>2010</v>
      </c>
      <c r="C2337" s="51" t="s">
        <v>709</v>
      </c>
      <c r="D2337" t="s">
        <v>719</v>
      </c>
      <c r="E2337" s="2">
        <v>9.202</v>
      </c>
    </row>
    <row r="2338" spans="1:5" x14ac:dyDescent="0.25">
      <c r="A2338" s="32" t="s">
        <v>767</v>
      </c>
      <c r="B2338" s="7">
        <v>2010</v>
      </c>
      <c r="C2338" s="51" t="s">
        <v>712</v>
      </c>
      <c r="D2338" t="s">
        <v>719</v>
      </c>
      <c r="E2338" s="2">
        <v>10.475</v>
      </c>
    </row>
    <row r="2339" spans="1:5" x14ac:dyDescent="0.25">
      <c r="A2339" s="32" t="s">
        <v>767</v>
      </c>
      <c r="B2339" s="7">
        <v>2010</v>
      </c>
      <c r="C2339" s="51" t="s">
        <v>710</v>
      </c>
      <c r="D2339" t="s">
        <v>719</v>
      </c>
      <c r="E2339" s="2">
        <v>8.6010000000000009</v>
      </c>
    </row>
    <row r="2340" spans="1:5" x14ac:dyDescent="0.25">
      <c r="A2340" s="32" t="s">
        <v>767</v>
      </c>
      <c r="B2340" s="7">
        <v>2010</v>
      </c>
      <c r="C2340" s="51" t="s">
        <v>702</v>
      </c>
      <c r="D2340" t="s">
        <v>719</v>
      </c>
      <c r="E2340" s="2">
        <v>9.7750000000000004</v>
      </c>
    </row>
    <row r="2341" spans="1:5" x14ac:dyDescent="0.25">
      <c r="A2341" s="32" t="s">
        <v>767</v>
      </c>
      <c r="B2341" s="7">
        <v>2010</v>
      </c>
      <c r="C2341" s="51" t="s">
        <v>703</v>
      </c>
      <c r="D2341" t="s">
        <v>719</v>
      </c>
      <c r="E2341" s="2">
        <v>9.6039999999999992</v>
      </c>
    </row>
    <row r="2342" spans="1:5" x14ac:dyDescent="0.25">
      <c r="A2342" s="32" t="s">
        <v>767</v>
      </c>
      <c r="B2342" s="7">
        <v>2010</v>
      </c>
      <c r="C2342" s="51" t="s">
        <v>704</v>
      </c>
      <c r="D2342" t="s">
        <v>719</v>
      </c>
      <c r="E2342" s="2">
        <v>9.69</v>
      </c>
    </row>
    <row r="2343" spans="1:5" x14ac:dyDescent="0.25">
      <c r="A2343" s="32" t="s">
        <v>767</v>
      </c>
      <c r="B2343" s="7">
        <v>2010</v>
      </c>
      <c r="C2343" s="51" t="s">
        <v>705</v>
      </c>
      <c r="D2343" t="s">
        <v>719</v>
      </c>
      <c r="E2343" s="2">
        <v>9.69</v>
      </c>
    </row>
    <row r="2344" spans="1:5" x14ac:dyDescent="0.25">
      <c r="A2344" s="32" t="s">
        <v>767</v>
      </c>
      <c r="B2344" s="7">
        <v>2010</v>
      </c>
      <c r="C2344" s="51" t="s">
        <v>706</v>
      </c>
      <c r="D2344" t="s">
        <v>719</v>
      </c>
      <c r="E2344" s="2">
        <v>9.2210000000000001</v>
      </c>
    </row>
    <row r="2345" spans="1:5" x14ac:dyDescent="0.25">
      <c r="A2345" s="32" t="s">
        <v>767</v>
      </c>
      <c r="B2345" s="7">
        <v>2011</v>
      </c>
      <c r="C2345" s="51" t="s">
        <v>713</v>
      </c>
      <c r="D2345" t="s">
        <v>719</v>
      </c>
      <c r="E2345" s="2">
        <v>10.4</v>
      </c>
    </row>
    <row r="2346" spans="1:5" x14ac:dyDescent="0.25">
      <c r="A2346" s="32" t="s">
        <v>767</v>
      </c>
      <c r="B2346" s="7">
        <v>2011</v>
      </c>
      <c r="C2346" s="51" t="s">
        <v>707</v>
      </c>
      <c r="D2346" t="s">
        <v>719</v>
      </c>
      <c r="E2346" s="2">
        <v>7.7960000000000003</v>
      </c>
    </row>
    <row r="2347" spans="1:5" x14ac:dyDescent="0.25">
      <c r="A2347" s="32" t="s">
        <v>767</v>
      </c>
      <c r="B2347" s="7">
        <v>2011</v>
      </c>
      <c r="C2347" s="51" t="s">
        <v>708</v>
      </c>
      <c r="D2347" t="s">
        <v>719</v>
      </c>
      <c r="E2347" s="2">
        <v>8.6069999999999993</v>
      </c>
    </row>
    <row r="2348" spans="1:5" x14ac:dyDescent="0.25">
      <c r="A2348" s="32" t="s">
        <v>767</v>
      </c>
      <c r="B2348" s="7">
        <v>2011</v>
      </c>
      <c r="C2348" s="51" t="s">
        <v>699</v>
      </c>
      <c r="D2348" t="s">
        <v>719</v>
      </c>
      <c r="E2348" s="2">
        <v>7.8120000000000003</v>
      </c>
    </row>
    <row r="2349" spans="1:5" x14ac:dyDescent="0.25">
      <c r="A2349" s="32" t="s">
        <v>767</v>
      </c>
      <c r="B2349" s="7">
        <v>2011</v>
      </c>
      <c r="C2349" s="51" t="s">
        <v>709</v>
      </c>
      <c r="D2349" t="s">
        <v>719</v>
      </c>
      <c r="E2349" s="2">
        <v>9.3190000000000008</v>
      </c>
    </row>
    <row r="2350" spans="1:5" x14ac:dyDescent="0.25">
      <c r="A2350" s="32" t="s">
        <v>767</v>
      </c>
      <c r="B2350" s="7">
        <v>2011</v>
      </c>
      <c r="C2350" s="51" t="s">
        <v>712</v>
      </c>
      <c r="D2350" t="s">
        <v>719</v>
      </c>
      <c r="E2350" s="2">
        <v>7.9420000000000002</v>
      </c>
    </row>
    <row r="2351" spans="1:5" x14ac:dyDescent="0.25">
      <c r="A2351" s="32" t="s">
        <v>767</v>
      </c>
      <c r="B2351" s="7">
        <v>2011</v>
      </c>
      <c r="C2351" s="51" t="s">
        <v>710</v>
      </c>
      <c r="D2351" t="s">
        <v>719</v>
      </c>
      <c r="E2351" s="2">
        <v>7.9969999999999999</v>
      </c>
    </row>
    <row r="2352" spans="1:5" x14ac:dyDescent="0.25">
      <c r="A2352" s="32" t="s">
        <v>767</v>
      </c>
      <c r="B2352" s="7">
        <v>2011</v>
      </c>
      <c r="C2352" s="51" t="s">
        <v>702</v>
      </c>
      <c r="D2352" t="s">
        <v>719</v>
      </c>
      <c r="E2352" s="2">
        <v>8.9779999999999998</v>
      </c>
    </row>
    <row r="2353" spans="1:5" x14ac:dyDescent="0.25">
      <c r="A2353" s="32" t="s">
        <v>767</v>
      </c>
      <c r="B2353" s="7">
        <v>2011</v>
      </c>
      <c r="C2353" s="51" t="s">
        <v>703</v>
      </c>
      <c r="D2353" t="s">
        <v>719</v>
      </c>
      <c r="E2353" s="2">
        <v>9.0719999999999992</v>
      </c>
    </row>
    <row r="2354" spans="1:5" x14ac:dyDescent="0.25">
      <c r="A2354" s="32" t="s">
        <v>767</v>
      </c>
      <c r="B2354" s="7">
        <v>2011</v>
      </c>
      <c r="C2354" s="51" t="s">
        <v>704</v>
      </c>
      <c r="D2354" t="s">
        <v>719</v>
      </c>
      <c r="E2354" s="2">
        <v>9.8490000000000002</v>
      </c>
    </row>
    <row r="2355" spans="1:5" x14ac:dyDescent="0.25">
      <c r="A2355" s="32" t="s">
        <v>767</v>
      </c>
      <c r="B2355" s="7">
        <v>2011</v>
      </c>
      <c r="C2355" s="51" t="s">
        <v>705</v>
      </c>
      <c r="D2355" t="s">
        <v>719</v>
      </c>
      <c r="E2355" s="2">
        <v>9.609</v>
      </c>
    </row>
    <row r="2356" spans="1:5" x14ac:dyDescent="0.25">
      <c r="A2356" s="32" t="s">
        <v>767</v>
      </c>
      <c r="B2356" s="7">
        <v>2011</v>
      </c>
      <c r="C2356" s="51" t="s">
        <v>706</v>
      </c>
      <c r="D2356" t="s">
        <v>719</v>
      </c>
      <c r="E2356" s="2">
        <v>9.6419999999999995</v>
      </c>
    </row>
    <row r="2357" spans="1:5" x14ac:dyDescent="0.25">
      <c r="A2357" s="32" t="s">
        <v>767</v>
      </c>
      <c r="B2357" s="7">
        <v>2012</v>
      </c>
      <c r="C2357" s="51" t="s">
        <v>713</v>
      </c>
      <c r="D2357" t="s">
        <v>719</v>
      </c>
      <c r="E2357" s="2">
        <v>9.8309999999999995</v>
      </c>
    </row>
    <row r="2358" spans="1:5" x14ac:dyDescent="0.25">
      <c r="A2358" s="32" t="s">
        <v>767</v>
      </c>
      <c r="B2358" s="7">
        <v>2012</v>
      </c>
      <c r="C2358" s="51" t="s">
        <v>707</v>
      </c>
      <c r="D2358" t="s">
        <v>719</v>
      </c>
      <c r="E2358" s="2">
        <v>8.9369999999999994</v>
      </c>
    </row>
    <row r="2359" spans="1:5" x14ac:dyDescent="0.25">
      <c r="A2359" s="32" t="s">
        <v>767</v>
      </c>
      <c r="B2359" s="7">
        <v>2012</v>
      </c>
      <c r="C2359" s="51" t="s">
        <v>708</v>
      </c>
      <c r="D2359" t="s">
        <v>719</v>
      </c>
      <c r="E2359" s="2">
        <v>8.6880000000000006</v>
      </c>
    </row>
    <row r="2360" spans="1:5" x14ac:dyDescent="0.25">
      <c r="A2360" s="32" t="s">
        <v>767</v>
      </c>
      <c r="B2360" s="7">
        <v>2012</v>
      </c>
      <c r="C2360" s="51" t="s">
        <v>699</v>
      </c>
      <c r="D2360" t="s">
        <v>719</v>
      </c>
      <c r="E2360" s="2">
        <v>8.9350000000000005</v>
      </c>
    </row>
    <row r="2361" spans="1:5" x14ac:dyDescent="0.25">
      <c r="A2361" s="32" t="s">
        <v>767</v>
      </c>
      <c r="B2361" s="7">
        <v>2012</v>
      </c>
      <c r="C2361" s="51" t="s">
        <v>709</v>
      </c>
      <c r="D2361" t="s">
        <v>719</v>
      </c>
      <c r="E2361" s="2">
        <v>9.0909999999999993</v>
      </c>
    </row>
    <row r="2362" spans="1:5" x14ac:dyDescent="0.25">
      <c r="A2362" s="32" t="s">
        <v>767</v>
      </c>
      <c r="B2362" s="7">
        <v>2012</v>
      </c>
      <c r="C2362" s="51" t="s">
        <v>712</v>
      </c>
      <c r="D2362" t="s">
        <v>719</v>
      </c>
      <c r="E2362" s="2">
        <v>7.9459999999999997</v>
      </c>
    </row>
    <row r="2363" spans="1:5" x14ac:dyDescent="0.25">
      <c r="A2363" s="32" t="s">
        <v>767</v>
      </c>
      <c r="B2363" s="7">
        <v>2012</v>
      </c>
      <c r="C2363" s="51" t="s">
        <v>710</v>
      </c>
      <c r="D2363" t="s">
        <v>719</v>
      </c>
      <c r="E2363" s="2">
        <v>9.2629999999999999</v>
      </c>
    </row>
    <row r="2364" spans="1:5" x14ac:dyDescent="0.25">
      <c r="A2364" s="32" t="s">
        <v>767</v>
      </c>
      <c r="B2364" s="7">
        <v>2012</v>
      </c>
      <c r="C2364" s="51" t="s">
        <v>702</v>
      </c>
      <c r="D2364" t="s">
        <v>719</v>
      </c>
      <c r="E2364" s="2">
        <v>8.5640000000000001</v>
      </c>
    </row>
    <row r="2365" spans="1:5" x14ac:dyDescent="0.25">
      <c r="A2365" s="32" t="s">
        <v>767</v>
      </c>
      <c r="B2365" s="7">
        <v>2012</v>
      </c>
      <c r="C2365" s="51" t="s">
        <v>703</v>
      </c>
      <c r="D2365" t="s">
        <v>719</v>
      </c>
      <c r="E2365" s="2">
        <v>8.9120000000000008</v>
      </c>
    </row>
    <row r="2366" spans="1:5" x14ac:dyDescent="0.25">
      <c r="A2366" s="32" t="s">
        <v>767</v>
      </c>
      <c r="B2366" s="7">
        <v>2012</v>
      </c>
      <c r="C2366" s="51" t="s">
        <v>704</v>
      </c>
      <c r="D2366" t="s">
        <v>719</v>
      </c>
      <c r="E2366" s="2">
        <v>9.2279999999999998</v>
      </c>
    </row>
    <row r="2367" spans="1:5" x14ac:dyDescent="0.25">
      <c r="A2367" s="32" t="s">
        <v>767</v>
      </c>
      <c r="B2367" s="7">
        <v>2012</v>
      </c>
      <c r="C2367" s="51" t="s">
        <v>705</v>
      </c>
      <c r="D2367" t="s">
        <v>719</v>
      </c>
      <c r="E2367" s="2">
        <v>9.4250000000000007</v>
      </c>
    </row>
    <row r="2368" spans="1:5" x14ac:dyDescent="0.25">
      <c r="A2368" s="32" t="s">
        <v>767</v>
      </c>
      <c r="B2368" s="7">
        <v>2012</v>
      </c>
      <c r="C2368" s="51" t="s">
        <v>706</v>
      </c>
      <c r="D2368" t="s">
        <v>719</v>
      </c>
      <c r="E2368" s="2">
        <v>10.394</v>
      </c>
    </row>
    <row r="2369" spans="1:5" x14ac:dyDescent="0.25">
      <c r="A2369" s="32" t="s">
        <v>767</v>
      </c>
      <c r="B2369" s="7">
        <v>2013</v>
      </c>
      <c r="C2369" s="51" t="s">
        <v>713</v>
      </c>
      <c r="D2369" t="s">
        <v>719</v>
      </c>
      <c r="E2369" s="2">
        <v>12.741</v>
      </c>
    </row>
    <row r="2370" spans="1:5" x14ac:dyDescent="0.25">
      <c r="A2370" s="32" t="s">
        <v>767</v>
      </c>
      <c r="B2370" s="7">
        <v>2013</v>
      </c>
      <c r="C2370" s="51" t="s">
        <v>707</v>
      </c>
      <c r="D2370" t="s">
        <v>719</v>
      </c>
      <c r="E2370" s="2">
        <v>9.7479999999999993</v>
      </c>
    </row>
    <row r="2371" spans="1:5" x14ac:dyDescent="0.25">
      <c r="A2371" s="32" t="s">
        <v>767</v>
      </c>
      <c r="B2371" s="7">
        <v>2013</v>
      </c>
      <c r="C2371" s="51" t="s">
        <v>708</v>
      </c>
      <c r="D2371" t="s">
        <v>719</v>
      </c>
      <c r="E2371" s="2">
        <v>11.054</v>
      </c>
    </row>
    <row r="2372" spans="1:5" x14ac:dyDescent="0.25">
      <c r="A2372" s="32" t="s">
        <v>767</v>
      </c>
      <c r="B2372" s="7">
        <v>2013</v>
      </c>
      <c r="C2372" s="51" t="s">
        <v>699</v>
      </c>
      <c r="D2372" t="s">
        <v>719</v>
      </c>
      <c r="E2372" s="2">
        <v>10.705</v>
      </c>
    </row>
    <row r="2373" spans="1:5" x14ac:dyDescent="0.25">
      <c r="A2373" s="32" t="s">
        <v>767</v>
      </c>
      <c r="B2373" s="7">
        <v>2013</v>
      </c>
      <c r="C2373" s="51" t="s">
        <v>709</v>
      </c>
      <c r="D2373" t="s">
        <v>719</v>
      </c>
      <c r="E2373" s="2">
        <v>10.914</v>
      </c>
    </row>
    <row r="2374" spans="1:5" x14ac:dyDescent="0.25">
      <c r="A2374" s="32" t="s">
        <v>767</v>
      </c>
      <c r="B2374" s="7">
        <v>2013</v>
      </c>
      <c r="C2374" s="51" t="s">
        <v>712</v>
      </c>
      <c r="D2374" t="s">
        <v>719</v>
      </c>
      <c r="E2374" s="2">
        <v>11.491</v>
      </c>
    </row>
    <row r="2375" spans="1:5" x14ac:dyDescent="0.25">
      <c r="A2375" s="32" t="s">
        <v>767</v>
      </c>
      <c r="B2375" s="7">
        <v>2013</v>
      </c>
      <c r="C2375" s="51" t="s">
        <v>710</v>
      </c>
      <c r="D2375" t="s">
        <v>719</v>
      </c>
      <c r="E2375" s="2">
        <v>10.613</v>
      </c>
    </row>
    <row r="2376" spans="1:5" x14ac:dyDescent="0.25">
      <c r="A2376" s="32" t="s">
        <v>767</v>
      </c>
      <c r="B2376" s="7">
        <v>2013</v>
      </c>
      <c r="C2376" s="51" t="s">
        <v>702</v>
      </c>
      <c r="D2376" t="s">
        <v>719</v>
      </c>
      <c r="E2376" s="2">
        <v>10.037000000000001</v>
      </c>
    </row>
    <row r="2377" spans="1:5" x14ac:dyDescent="0.25">
      <c r="A2377" s="32" t="s">
        <v>767</v>
      </c>
      <c r="B2377" s="7">
        <v>2013</v>
      </c>
      <c r="C2377" s="51" t="s">
        <v>703</v>
      </c>
      <c r="D2377" t="s">
        <v>719</v>
      </c>
      <c r="E2377" s="2">
        <v>11.571</v>
      </c>
    </row>
    <row r="2378" spans="1:5" x14ac:dyDescent="0.25">
      <c r="A2378" s="32" t="s">
        <v>767</v>
      </c>
      <c r="B2378" s="7">
        <v>2013</v>
      </c>
      <c r="C2378" s="51" t="s">
        <v>704</v>
      </c>
      <c r="D2378" t="s">
        <v>719</v>
      </c>
      <c r="E2378" s="2">
        <v>11.448</v>
      </c>
    </row>
    <row r="2379" spans="1:5" x14ac:dyDescent="0.25">
      <c r="A2379" s="32" t="s">
        <v>767</v>
      </c>
      <c r="B2379" s="7">
        <v>2013</v>
      </c>
      <c r="C2379" s="51" t="s">
        <v>705</v>
      </c>
      <c r="D2379" t="s">
        <v>719</v>
      </c>
      <c r="E2379" s="2">
        <v>11.25</v>
      </c>
    </row>
    <row r="2380" spans="1:5" x14ac:dyDescent="0.25">
      <c r="A2380" s="32" t="s">
        <v>767</v>
      </c>
      <c r="B2380" s="7">
        <v>2013</v>
      </c>
      <c r="C2380" s="51" t="s">
        <v>706</v>
      </c>
      <c r="D2380" t="s">
        <v>719</v>
      </c>
      <c r="E2380" s="2">
        <v>10.566000000000001</v>
      </c>
    </row>
    <row r="2381" spans="1:5" x14ac:dyDescent="0.25">
      <c r="A2381" s="32" t="s">
        <v>767</v>
      </c>
      <c r="B2381" s="7">
        <v>2014</v>
      </c>
      <c r="C2381" s="51" t="s">
        <v>713</v>
      </c>
      <c r="D2381" t="s">
        <v>719</v>
      </c>
      <c r="E2381" s="2">
        <v>11.09</v>
      </c>
    </row>
    <row r="2382" spans="1:5" x14ac:dyDescent="0.25">
      <c r="A2382" s="32" t="s">
        <v>767</v>
      </c>
      <c r="B2382" s="7">
        <v>2014</v>
      </c>
      <c r="C2382" s="51" t="s">
        <v>707</v>
      </c>
      <c r="D2382" t="s">
        <v>719</v>
      </c>
      <c r="E2382" s="2">
        <v>9.9909999999999997</v>
      </c>
    </row>
    <row r="2383" spans="1:5" x14ac:dyDescent="0.25">
      <c r="A2383" s="32" t="s">
        <v>767</v>
      </c>
      <c r="B2383" s="7">
        <v>2014</v>
      </c>
      <c r="C2383" s="51" t="s">
        <v>708</v>
      </c>
      <c r="D2383" t="s">
        <v>719</v>
      </c>
      <c r="E2383" s="2">
        <v>11.483000000000001</v>
      </c>
    </row>
    <row r="2384" spans="1:5" x14ac:dyDescent="0.25">
      <c r="A2384" s="32" t="s">
        <v>767</v>
      </c>
      <c r="B2384" s="7">
        <v>2014</v>
      </c>
      <c r="C2384" s="51" t="s">
        <v>699</v>
      </c>
      <c r="D2384" t="s">
        <v>719</v>
      </c>
      <c r="E2384" s="2">
        <v>11.808</v>
      </c>
    </row>
    <row r="2385" spans="1:5" x14ac:dyDescent="0.25">
      <c r="A2385" s="32" t="s">
        <v>767</v>
      </c>
      <c r="B2385" s="7">
        <v>2014</v>
      </c>
      <c r="C2385" s="51" t="s">
        <v>709</v>
      </c>
      <c r="D2385" t="s">
        <v>719</v>
      </c>
      <c r="E2385" s="2">
        <v>11.416</v>
      </c>
    </row>
    <row r="2386" spans="1:5" x14ac:dyDescent="0.25">
      <c r="A2386" s="32" t="s">
        <v>767</v>
      </c>
      <c r="B2386" s="7">
        <v>2014</v>
      </c>
      <c r="C2386" s="51" t="s">
        <v>712</v>
      </c>
      <c r="D2386" t="s">
        <v>719</v>
      </c>
      <c r="E2386" s="2">
        <v>10.069000000000001</v>
      </c>
    </row>
    <row r="2387" spans="1:5" x14ac:dyDescent="0.25">
      <c r="A2387" s="32" t="s">
        <v>767</v>
      </c>
      <c r="B2387" s="7">
        <v>2014</v>
      </c>
      <c r="C2387" s="51" t="s">
        <v>710</v>
      </c>
      <c r="D2387" t="s">
        <v>719</v>
      </c>
      <c r="E2387" s="2">
        <v>10.247999999999999</v>
      </c>
    </row>
    <row r="2388" spans="1:5" x14ac:dyDescent="0.25">
      <c r="A2388" s="32" t="s">
        <v>767</v>
      </c>
      <c r="B2388" s="7">
        <v>2014</v>
      </c>
      <c r="C2388" s="51" t="s">
        <v>702</v>
      </c>
      <c r="D2388" t="s">
        <v>719</v>
      </c>
      <c r="E2388" s="2">
        <v>10.904</v>
      </c>
    </row>
    <row r="2389" spans="1:5" x14ac:dyDescent="0.25">
      <c r="A2389" s="32" t="s">
        <v>767</v>
      </c>
      <c r="B2389" s="7">
        <v>2014</v>
      </c>
      <c r="C2389" s="51" t="s">
        <v>703</v>
      </c>
      <c r="D2389" t="s">
        <v>719</v>
      </c>
      <c r="E2389" s="2">
        <v>10.066000000000001</v>
      </c>
    </row>
    <row r="2390" spans="1:5" x14ac:dyDescent="0.25">
      <c r="A2390" s="32" t="s">
        <v>767</v>
      </c>
      <c r="B2390" s="7">
        <v>2014</v>
      </c>
      <c r="C2390" s="51" t="s">
        <v>704</v>
      </c>
      <c r="D2390" t="s">
        <v>719</v>
      </c>
      <c r="E2390" s="2">
        <v>10.305999999999999</v>
      </c>
    </row>
    <row r="2391" spans="1:5" x14ac:dyDescent="0.25">
      <c r="A2391" s="32" t="s">
        <v>767</v>
      </c>
      <c r="B2391" s="7">
        <v>2014</v>
      </c>
      <c r="C2391" s="51" t="s">
        <v>705</v>
      </c>
      <c r="D2391" t="s">
        <v>719</v>
      </c>
      <c r="E2391" s="2">
        <v>11.163</v>
      </c>
    </row>
    <row r="2392" spans="1:5" x14ac:dyDescent="0.25">
      <c r="A2392" s="32" t="s">
        <v>767</v>
      </c>
      <c r="B2392" s="7">
        <v>2014</v>
      </c>
      <c r="C2392" s="51" t="s">
        <v>706</v>
      </c>
      <c r="D2392" t="s">
        <v>719</v>
      </c>
      <c r="E2392" s="2">
        <v>10.821999999999999</v>
      </c>
    </row>
    <row r="2393" spans="1:5" x14ac:dyDescent="0.25">
      <c r="A2393" s="32" t="s">
        <v>767</v>
      </c>
      <c r="B2393" s="7">
        <v>2015</v>
      </c>
      <c r="C2393" s="51" t="s">
        <v>713</v>
      </c>
      <c r="D2393" t="s">
        <v>719</v>
      </c>
      <c r="E2393" s="2">
        <v>11.936</v>
      </c>
    </row>
    <row r="2394" spans="1:5" x14ac:dyDescent="0.25">
      <c r="A2394" s="32" t="s">
        <v>767</v>
      </c>
      <c r="B2394" s="7">
        <v>2015</v>
      </c>
      <c r="C2394" s="51" t="s">
        <v>707</v>
      </c>
      <c r="D2394" t="s">
        <v>719</v>
      </c>
      <c r="E2394" s="2">
        <v>10.221</v>
      </c>
    </row>
    <row r="2395" spans="1:5" x14ac:dyDescent="0.25">
      <c r="A2395" s="32" t="s">
        <v>767</v>
      </c>
      <c r="B2395" s="7">
        <v>2015</v>
      </c>
      <c r="C2395" s="51" t="s">
        <v>708</v>
      </c>
      <c r="D2395" t="s">
        <v>719</v>
      </c>
      <c r="E2395" s="2">
        <v>10.788</v>
      </c>
    </row>
    <row r="2396" spans="1:5" x14ac:dyDescent="0.25">
      <c r="A2396" s="32" t="s">
        <v>767</v>
      </c>
      <c r="B2396" s="7">
        <v>2015</v>
      </c>
      <c r="C2396" s="51" t="s">
        <v>699</v>
      </c>
      <c r="D2396" t="s">
        <v>719</v>
      </c>
      <c r="E2396" s="2">
        <v>10.512</v>
      </c>
    </row>
    <row r="2397" spans="1:5" x14ac:dyDescent="0.25">
      <c r="A2397" s="32" t="s">
        <v>767</v>
      </c>
      <c r="B2397" s="7">
        <v>2015</v>
      </c>
      <c r="C2397" s="51" t="s">
        <v>709</v>
      </c>
      <c r="D2397" t="s">
        <v>719</v>
      </c>
      <c r="E2397" s="2">
        <v>10.682</v>
      </c>
    </row>
    <row r="2398" spans="1:5" x14ac:dyDescent="0.25">
      <c r="A2398" s="32" t="s">
        <v>767</v>
      </c>
      <c r="B2398" s="7">
        <v>2015</v>
      </c>
      <c r="C2398" s="51" t="s">
        <v>712</v>
      </c>
      <c r="D2398" t="s">
        <v>719</v>
      </c>
      <c r="E2398" s="2">
        <v>10.711</v>
      </c>
    </row>
    <row r="2399" spans="1:5" x14ac:dyDescent="0.25">
      <c r="A2399" s="32" t="s">
        <v>767</v>
      </c>
      <c r="B2399" s="7">
        <v>2015</v>
      </c>
      <c r="C2399" s="51" t="s">
        <v>710</v>
      </c>
      <c r="D2399" t="s">
        <v>719</v>
      </c>
      <c r="E2399" s="2">
        <v>10.188000000000001</v>
      </c>
    </row>
    <row r="2400" spans="1:5" x14ac:dyDescent="0.25">
      <c r="A2400" s="32" t="s">
        <v>767</v>
      </c>
      <c r="B2400" s="7">
        <v>2015</v>
      </c>
      <c r="C2400" s="51" t="s">
        <v>702</v>
      </c>
      <c r="D2400" t="s">
        <v>719</v>
      </c>
      <c r="E2400" s="2">
        <v>10.725</v>
      </c>
    </row>
    <row r="2401" spans="1:5" x14ac:dyDescent="0.25">
      <c r="A2401" s="32" t="s">
        <v>767</v>
      </c>
      <c r="B2401" s="7">
        <v>2015</v>
      </c>
      <c r="C2401" s="51" t="s">
        <v>703</v>
      </c>
      <c r="D2401" t="s">
        <v>719</v>
      </c>
      <c r="E2401" s="2">
        <v>10.477</v>
      </c>
    </row>
    <row r="2402" spans="1:5" x14ac:dyDescent="0.25">
      <c r="A2402" s="32" t="s">
        <v>767</v>
      </c>
      <c r="B2402" s="7">
        <v>2015</v>
      </c>
      <c r="C2402" s="51" t="s">
        <v>704</v>
      </c>
      <c r="D2402" t="s">
        <v>719</v>
      </c>
      <c r="E2402" s="2">
        <v>11.484</v>
      </c>
    </row>
    <row r="2403" spans="1:5" x14ac:dyDescent="0.25">
      <c r="A2403" s="32" t="s">
        <v>767</v>
      </c>
      <c r="B2403" s="7">
        <v>2015</v>
      </c>
      <c r="C2403" s="51" t="s">
        <v>705</v>
      </c>
      <c r="D2403" t="s">
        <v>719</v>
      </c>
      <c r="E2403" s="2">
        <v>10.202999999999999</v>
      </c>
    </row>
    <row r="2404" spans="1:5" x14ac:dyDescent="0.25">
      <c r="A2404" s="32" t="s">
        <v>767</v>
      </c>
      <c r="B2404" s="7">
        <v>2015</v>
      </c>
      <c r="C2404" s="51" t="s">
        <v>706</v>
      </c>
      <c r="D2404" t="s">
        <v>719</v>
      </c>
      <c r="E2404" s="2">
        <v>11.079000000000001</v>
      </c>
    </row>
    <row r="2405" spans="1:5" x14ac:dyDescent="0.25">
      <c r="A2405" s="32" t="s">
        <v>767</v>
      </c>
      <c r="B2405" s="7">
        <v>2016</v>
      </c>
      <c r="C2405" s="51" t="s">
        <v>713</v>
      </c>
      <c r="D2405" t="s">
        <v>719</v>
      </c>
      <c r="E2405" s="2">
        <v>11.627000000000001</v>
      </c>
    </row>
    <row r="2406" spans="1:5" x14ac:dyDescent="0.25">
      <c r="A2406" s="32" t="s">
        <v>767</v>
      </c>
      <c r="B2406" s="7">
        <v>2016</v>
      </c>
      <c r="C2406" s="51" t="s">
        <v>707</v>
      </c>
      <c r="D2406" t="s">
        <v>719</v>
      </c>
      <c r="E2406" s="2">
        <v>10.686</v>
      </c>
    </row>
    <row r="2407" spans="1:5" x14ac:dyDescent="0.25">
      <c r="A2407" s="32" t="s">
        <v>767</v>
      </c>
      <c r="B2407" s="7">
        <v>2016</v>
      </c>
      <c r="C2407" s="51" t="s">
        <v>708</v>
      </c>
      <c r="D2407" t="s">
        <v>719</v>
      </c>
      <c r="E2407" s="2">
        <v>10.669</v>
      </c>
    </row>
    <row r="2408" spans="1:5" x14ac:dyDescent="0.25">
      <c r="A2408" s="32" t="s">
        <v>767</v>
      </c>
      <c r="B2408" s="7">
        <v>2016</v>
      </c>
      <c r="C2408" s="51" t="s">
        <v>699</v>
      </c>
      <c r="D2408" t="s">
        <v>719</v>
      </c>
      <c r="E2408" s="2">
        <v>11.241</v>
      </c>
    </row>
    <row r="2409" spans="1:5" x14ac:dyDescent="0.25">
      <c r="A2409" s="32" t="s">
        <v>767</v>
      </c>
      <c r="B2409" s="7">
        <v>2016</v>
      </c>
      <c r="C2409" s="51" t="s">
        <v>709</v>
      </c>
      <c r="D2409" t="s">
        <v>719</v>
      </c>
      <c r="E2409" s="2">
        <v>10.827999999999999</v>
      </c>
    </row>
    <row r="2410" spans="1:5" x14ac:dyDescent="0.25">
      <c r="A2410" s="32" t="s">
        <v>767</v>
      </c>
      <c r="B2410" s="7">
        <v>2016</v>
      </c>
      <c r="C2410" s="51" t="s">
        <v>712</v>
      </c>
      <c r="D2410" t="s">
        <v>719</v>
      </c>
      <c r="E2410" s="2">
        <v>9.3940000000000001</v>
      </c>
    </row>
    <row r="2411" spans="1:5" x14ac:dyDescent="0.25">
      <c r="A2411" s="32" t="s">
        <v>767</v>
      </c>
      <c r="B2411" s="7">
        <v>2016</v>
      </c>
      <c r="C2411" s="51" t="s">
        <v>710</v>
      </c>
      <c r="D2411" t="s">
        <v>719</v>
      </c>
      <c r="E2411" s="2">
        <v>7.024</v>
      </c>
    </row>
    <row r="2412" spans="1:5" x14ac:dyDescent="0.25">
      <c r="A2412" s="32" t="s">
        <v>767</v>
      </c>
      <c r="B2412" s="7">
        <v>2016</v>
      </c>
      <c r="C2412" s="51" t="s">
        <v>702</v>
      </c>
      <c r="D2412" t="s">
        <v>719</v>
      </c>
      <c r="E2412" s="2">
        <v>7.4</v>
      </c>
    </row>
    <row r="2413" spans="1:5" x14ac:dyDescent="0.25">
      <c r="A2413" s="32" t="s">
        <v>767</v>
      </c>
      <c r="B2413" s="7">
        <v>2016</v>
      </c>
      <c r="C2413" s="51" t="s">
        <v>703</v>
      </c>
      <c r="D2413" t="s">
        <v>719</v>
      </c>
      <c r="E2413" s="2">
        <v>8.27</v>
      </c>
    </row>
    <row r="2414" spans="1:5" x14ac:dyDescent="0.25">
      <c r="A2414" s="32" t="s">
        <v>767</v>
      </c>
      <c r="B2414" s="7">
        <v>2016</v>
      </c>
      <c r="C2414" s="51" t="s">
        <v>704</v>
      </c>
      <c r="D2414" t="s">
        <v>719</v>
      </c>
      <c r="E2414" s="2">
        <v>9.8010000000000002</v>
      </c>
    </row>
    <row r="2415" spans="1:5" x14ac:dyDescent="0.25">
      <c r="A2415" s="32" t="s">
        <v>767</v>
      </c>
      <c r="B2415" s="7">
        <v>2016</v>
      </c>
      <c r="C2415" s="51" t="s">
        <v>705</v>
      </c>
      <c r="D2415" t="s">
        <v>719</v>
      </c>
      <c r="E2415" s="2">
        <v>9.3460000000000001</v>
      </c>
    </row>
    <row r="2416" spans="1:5" x14ac:dyDescent="0.25">
      <c r="A2416" s="32" t="s">
        <v>767</v>
      </c>
      <c r="B2416" s="7">
        <v>2016</v>
      </c>
      <c r="C2416" s="51" t="s">
        <v>706</v>
      </c>
      <c r="D2416" t="s">
        <v>719</v>
      </c>
      <c r="E2416" s="2">
        <v>10.032</v>
      </c>
    </row>
    <row r="2417" spans="1:5" x14ac:dyDescent="0.25">
      <c r="A2417" s="32" t="s">
        <v>767</v>
      </c>
      <c r="B2417" s="7">
        <v>2017</v>
      </c>
      <c r="C2417" s="51" t="s">
        <v>713</v>
      </c>
      <c r="D2417" t="s">
        <v>719</v>
      </c>
      <c r="E2417" s="2">
        <v>8.8160000000000007</v>
      </c>
    </row>
    <row r="2418" spans="1:5" x14ac:dyDescent="0.25">
      <c r="A2418" s="32" t="s">
        <v>767</v>
      </c>
      <c r="B2418" s="7">
        <v>2017</v>
      </c>
      <c r="C2418" s="51" t="s">
        <v>707</v>
      </c>
      <c r="D2418" t="s">
        <v>719</v>
      </c>
      <c r="E2418" s="2">
        <v>8.6969999999999992</v>
      </c>
    </row>
    <row r="2419" spans="1:5" x14ac:dyDescent="0.25">
      <c r="A2419" s="32" t="s">
        <v>767</v>
      </c>
      <c r="B2419" s="7">
        <v>2017</v>
      </c>
      <c r="C2419" s="51" t="s">
        <v>708</v>
      </c>
      <c r="D2419" t="s">
        <v>719</v>
      </c>
      <c r="E2419" s="2">
        <v>10.18</v>
      </c>
    </row>
    <row r="2420" spans="1:5" x14ac:dyDescent="0.25">
      <c r="A2420" s="32" t="s">
        <v>767</v>
      </c>
      <c r="B2420" s="7">
        <v>2017</v>
      </c>
      <c r="C2420" s="51" t="s">
        <v>699</v>
      </c>
      <c r="D2420" t="s">
        <v>719</v>
      </c>
      <c r="E2420" s="2">
        <v>10.44</v>
      </c>
    </row>
    <row r="2421" spans="1:5" x14ac:dyDescent="0.25">
      <c r="A2421" s="32" t="s">
        <v>767</v>
      </c>
      <c r="B2421" s="7">
        <v>2017</v>
      </c>
      <c r="C2421" s="51" t="s">
        <v>709</v>
      </c>
      <c r="D2421" t="s">
        <v>719</v>
      </c>
      <c r="E2421" s="2">
        <v>10.734</v>
      </c>
    </row>
    <row r="2422" spans="1:5" x14ac:dyDescent="0.25">
      <c r="A2422" s="32" t="s">
        <v>767</v>
      </c>
      <c r="B2422" s="7">
        <v>2017</v>
      </c>
      <c r="C2422" s="51" t="s">
        <v>712</v>
      </c>
      <c r="D2422" t="s">
        <v>719</v>
      </c>
      <c r="E2422" s="2">
        <v>9.3780000000000001</v>
      </c>
    </row>
    <row r="2423" spans="1:5" x14ac:dyDescent="0.25">
      <c r="A2423" s="32" t="s">
        <v>767</v>
      </c>
      <c r="B2423" s="7">
        <v>2017</v>
      </c>
      <c r="C2423" s="51" t="s">
        <v>710</v>
      </c>
      <c r="D2423" t="s">
        <v>719</v>
      </c>
      <c r="E2423" s="2">
        <v>10.304</v>
      </c>
    </row>
    <row r="2424" spans="1:5" x14ac:dyDescent="0.25">
      <c r="A2424" s="32" t="s">
        <v>767</v>
      </c>
      <c r="B2424" s="7">
        <v>2017</v>
      </c>
      <c r="C2424" s="51" t="s">
        <v>702</v>
      </c>
      <c r="D2424" t="s">
        <v>719</v>
      </c>
      <c r="E2424" s="2">
        <v>10.199</v>
      </c>
    </row>
    <row r="2425" spans="1:5" x14ac:dyDescent="0.25">
      <c r="A2425" s="32" t="s">
        <v>767</v>
      </c>
      <c r="B2425" s="7">
        <v>2017</v>
      </c>
      <c r="C2425" s="51" t="s">
        <v>703</v>
      </c>
      <c r="D2425" t="s">
        <v>719</v>
      </c>
      <c r="E2425" s="2">
        <v>9.5830000000000002</v>
      </c>
    </row>
    <row r="2426" spans="1:5" x14ac:dyDescent="0.25">
      <c r="A2426" s="32" t="s">
        <v>767</v>
      </c>
      <c r="B2426" s="7">
        <v>2017</v>
      </c>
      <c r="C2426" s="51" t="s">
        <v>704</v>
      </c>
      <c r="D2426" t="s">
        <v>719</v>
      </c>
      <c r="E2426" s="2">
        <v>9.6329999999999991</v>
      </c>
    </row>
    <row r="2427" spans="1:5" x14ac:dyDescent="0.25">
      <c r="A2427" s="32" t="s">
        <v>767</v>
      </c>
      <c r="B2427" s="7">
        <v>2017</v>
      </c>
      <c r="C2427" s="51" t="s">
        <v>705</v>
      </c>
      <c r="D2427" t="s">
        <v>719</v>
      </c>
      <c r="E2427" s="2">
        <v>8.6219999999999999</v>
      </c>
    </row>
    <row r="2428" spans="1:5" x14ac:dyDescent="0.25">
      <c r="A2428" s="32" t="s">
        <v>767</v>
      </c>
      <c r="B2428" s="7">
        <v>2017</v>
      </c>
      <c r="C2428" s="51" t="s">
        <v>706</v>
      </c>
      <c r="D2428" t="s">
        <v>719</v>
      </c>
      <c r="E2428" s="2">
        <v>9.4309999999999992</v>
      </c>
    </row>
    <row r="2429" spans="1:5" x14ac:dyDescent="0.25">
      <c r="A2429" s="32" t="s">
        <v>767</v>
      </c>
      <c r="B2429" s="7">
        <v>2018</v>
      </c>
      <c r="C2429" s="51" t="s">
        <v>713</v>
      </c>
      <c r="D2429" t="s">
        <v>719</v>
      </c>
      <c r="E2429" s="2">
        <v>8.39</v>
      </c>
    </row>
    <row r="2430" spans="1:5" x14ac:dyDescent="0.25">
      <c r="A2430" s="32" t="s">
        <v>767</v>
      </c>
      <c r="B2430" s="7">
        <v>2018</v>
      </c>
      <c r="C2430" s="51" t="s">
        <v>707</v>
      </c>
      <c r="D2430" t="s">
        <v>719</v>
      </c>
      <c r="E2430" s="2">
        <v>8.0980000000000008</v>
      </c>
    </row>
    <row r="2431" spans="1:5" x14ac:dyDescent="0.25">
      <c r="A2431" s="32" t="s">
        <v>767</v>
      </c>
      <c r="B2431" s="7">
        <v>2018</v>
      </c>
      <c r="C2431" s="51" t="s">
        <v>708</v>
      </c>
      <c r="D2431" t="s">
        <v>719</v>
      </c>
      <c r="E2431" s="2">
        <v>8.8149999999999995</v>
      </c>
    </row>
    <row r="2432" spans="1:5" x14ac:dyDescent="0.25">
      <c r="A2432" s="32" t="s">
        <v>767</v>
      </c>
      <c r="B2432" s="7">
        <v>2018</v>
      </c>
      <c r="C2432" s="51" t="s">
        <v>699</v>
      </c>
      <c r="D2432" t="s">
        <v>719</v>
      </c>
      <c r="E2432" s="2">
        <v>8.3059999999999992</v>
      </c>
    </row>
    <row r="2433" spans="1:5" x14ac:dyDescent="0.25">
      <c r="A2433" s="32" t="s">
        <v>767</v>
      </c>
      <c r="B2433" s="7">
        <v>2018</v>
      </c>
      <c r="C2433" s="51" t="s">
        <v>709</v>
      </c>
      <c r="D2433" t="s">
        <v>719</v>
      </c>
      <c r="E2433" s="2">
        <v>8.9830000000000005</v>
      </c>
    </row>
    <row r="2434" spans="1:5" x14ac:dyDescent="0.25">
      <c r="A2434" s="32" t="s">
        <v>767</v>
      </c>
      <c r="B2434" s="7">
        <v>2018</v>
      </c>
      <c r="C2434" s="51" t="s">
        <v>712</v>
      </c>
      <c r="D2434" t="s">
        <v>719</v>
      </c>
      <c r="E2434" s="2">
        <v>7.6260000000000003</v>
      </c>
    </row>
    <row r="2435" spans="1:5" x14ac:dyDescent="0.25">
      <c r="A2435" s="32" t="s">
        <v>767</v>
      </c>
      <c r="B2435" s="7">
        <v>2018</v>
      </c>
      <c r="C2435" s="51" t="s">
        <v>710</v>
      </c>
      <c r="D2435" t="s">
        <v>719</v>
      </c>
      <c r="E2435" s="2">
        <v>9.0340000000000007</v>
      </c>
    </row>
    <row r="2436" spans="1:5" x14ac:dyDescent="0.25">
      <c r="A2436" s="32" t="s">
        <v>767</v>
      </c>
      <c r="B2436" s="7">
        <v>2018</v>
      </c>
      <c r="C2436" s="51" t="s">
        <v>702</v>
      </c>
      <c r="D2436" t="s">
        <v>719</v>
      </c>
      <c r="E2436" s="2">
        <v>10.318</v>
      </c>
    </row>
    <row r="2437" spans="1:5" x14ac:dyDescent="0.25">
      <c r="A2437" s="32" t="s">
        <v>767</v>
      </c>
      <c r="B2437" s="7">
        <v>2018</v>
      </c>
      <c r="C2437" s="51" t="s">
        <v>703</v>
      </c>
      <c r="D2437" t="s">
        <v>719</v>
      </c>
      <c r="E2437" s="2">
        <v>12.545</v>
      </c>
    </row>
    <row r="2438" spans="1:5" x14ac:dyDescent="0.25">
      <c r="A2438" s="32" t="s">
        <v>767</v>
      </c>
      <c r="B2438" s="7">
        <v>2018</v>
      </c>
      <c r="C2438" s="51" t="s">
        <v>704</v>
      </c>
      <c r="D2438" t="s">
        <v>719</v>
      </c>
      <c r="E2438" s="2">
        <v>11.561</v>
      </c>
    </row>
    <row r="2439" spans="1:5" x14ac:dyDescent="0.25">
      <c r="A2439" s="32" t="s">
        <v>767</v>
      </c>
      <c r="B2439" s="7">
        <v>2018</v>
      </c>
      <c r="C2439" s="51" t="s">
        <v>705</v>
      </c>
      <c r="D2439" t="s">
        <v>719</v>
      </c>
      <c r="E2439" s="2">
        <v>11.712</v>
      </c>
    </row>
    <row r="2440" spans="1:5" x14ac:dyDescent="0.25">
      <c r="A2440" s="32" t="s">
        <v>767</v>
      </c>
      <c r="B2440" s="7">
        <v>2018</v>
      </c>
      <c r="C2440" s="51" t="s">
        <v>706</v>
      </c>
      <c r="D2440" t="s">
        <v>719</v>
      </c>
      <c r="E2440" s="2">
        <v>12.919</v>
      </c>
    </row>
    <row r="2441" spans="1:5" x14ac:dyDescent="0.25">
      <c r="A2441" s="32" t="s">
        <v>767</v>
      </c>
      <c r="B2441" s="7">
        <v>2019</v>
      </c>
      <c r="C2441" s="51" t="s">
        <v>713</v>
      </c>
      <c r="D2441" t="s">
        <v>719</v>
      </c>
      <c r="E2441" s="2">
        <v>11.763999999999999</v>
      </c>
    </row>
    <row r="2442" spans="1:5" x14ac:dyDescent="0.25">
      <c r="A2442" s="32" t="s">
        <v>767</v>
      </c>
      <c r="B2442" s="7">
        <v>2019</v>
      </c>
      <c r="C2442" s="51" t="s">
        <v>707</v>
      </c>
      <c r="D2442" t="s">
        <v>719</v>
      </c>
      <c r="E2442" s="2">
        <v>8.3350000000000009</v>
      </c>
    </row>
    <row r="2443" spans="1:5" x14ac:dyDescent="0.25">
      <c r="A2443" s="32" t="s">
        <v>767</v>
      </c>
      <c r="B2443" s="7">
        <v>2019</v>
      </c>
      <c r="C2443" s="51" t="s">
        <v>708</v>
      </c>
      <c r="D2443" t="s">
        <v>719</v>
      </c>
      <c r="E2443" s="2">
        <v>7.7649999999999997</v>
      </c>
    </row>
    <row r="2444" spans="1:5" x14ac:dyDescent="0.25">
      <c r="A2444" s="32" t="s">
        <v>767</v>
      </c>
      <c r="B2444" s="7">
        <v>2019</v>
      </c>
      <c r="C2444" s="51" t="s">
        <v>699</v>
      </c>
      <c r="D2444" t="s">
        <v>719</v>
      </c>
      <c r="E2444" s="2">
        <v>8.2189999999999994</v>
      </c>
    </row>
    <row r="2445" spans="1:5" x14ac:dyDescent="0.25">
      <c r="A2445" s="32" t="s">
        <v>767</v>
      </c>
      <c r="B2445" s="7">
        <v>2019</v>
      </c>
      <c r="C2445" s="51" t="s">
        <v>709</v>
      </c>
      <c r="D2445" t="s">
        <v>719</v>
      </c>
      <c r="E2445" s="2">
        <v>8.952</v>
      </c>
    </row>
    <row r="2446" spans="1:5" x14ac:dyDescent="0.25">
      <c r="A2446" s="32" t="s">
        <v>767</v>
      </c>
      <c r="B2446" s="7">
        <v>2019</v>
      </c>
      <c r="C2446" s="51" t="s">
        <v>712</v>
      </c>
      <c r="D2446" t="s">
        <v>719</v>
      </c>
      <c r="E2446" s="2">
        <v>8.0060000000000002</v>
      </c>
    </row>
    <row r="2447" spans="1:5" x14ac:dyDescent="0.25">
      <c r="A2447" s="32" t="s">
        <v>767</v>
      </c>
      <c r="B2447" s="7">
        <v>2019</v>
      </c>
      <c r="C2447" s="51" t="s">
        <v>710</v>
      </c>
      <c r="D2447" t="s">
        <v>719</v>
      </c>
      <c r="E2447" s="2">
        <v>8.1950000000000003</v>
      </c>
    </row>
    <row r="2448" spans="1:5" x14ac:dyDescent="0.25">
      <c r="A2448" s="32" t="s">
        <v>767</v>
      </c>
      <c r="B2448" s="7">
        <v>2019</v>
      </c>
      <c r="C2448" s="51" t="s">
        <v>702</v>
      </c>
      <c r="D2448" t="s">
        <v>719</v>
      </c>
      <c r="E2448" s="2">
        <v>7.8109999999999999</v>
      </c>
    </row>
    <row r="2449" spans="1:5" x14ac:dyDescent="0.25">
      <c r="A2449" s="32" t="s">
        <v>767</v>
      </c>
      <c r="B2449" s="7">
        <v>2019</v>
      </c>
      <c r="C2449" s="51" t="s">
        <v>703</v>
      </c>
      <c r="D2449" t="s">
        <v>719</v>
      </c>
      <c r="E2449" s="2">
        <v>9.1129999999999995</v>
      </c>
    </row>
    <row r="2450" spans="1:5" x14ac:dyDescent="0.25">
      <c r="A2450" s="32" t="s">
        <v>767</v>
      </c>
      <c r="B2450" s="7">
        <v>2019</v>
      </c>
      <c r="C2450" s="51" t="s">
        <v>704</v>
      </c>
      <c r="D2450" t="s">
        <v>719</v>
      </c>
      <c r="E2450" s="2">
        <v>9.09</v>
      </c>
    </row>
    <row r="2451" spans="1:5" x14ac:dyDescent="0.25">
      <c r="A2451" s="32" t="s">
        <v>767</v>
      </c>
      <c r="B2451" s="7">
        <v>2019</v>
      </c>
      <c r="C2451" s="51" t="s">
        <v>705</v>
      </c>
      <c r="D2451" t="s">
        <v>719</v>
      </c>
      <c r="E2451" s="2">
        <v>8.8580000000000005</v>
      </c>
    </row>
    <row r="2452" spans="1:5" x14ac:dyDescent="0.25">
      <c r="A2452" s="32" t="s">
        <v>767</v>
      </c>
      <c r="B2452" s="7">
        <v>2019</v>
      </c>
      <c r="C2452" s="51" t="s">
        <v>706</v>
      </c>
      <c r="D2452" t="s">
        <v>719</v>
      </c>
      <c r="E2452" s="2">
        <v>9.0399999999999991</v>
      </c>
    </row>
    <row r="2453" spans="1:5" x14ac:dyDescent="0.25">
      <c r="A2453" s="32" t="s">
        <v>767</v>
      </c>
      <c r="B2453" s="7">
        <v>2020</v>
      </c>
      <c r="C2453" s="51" t="s">
        <v>713</v>
      </c>
      <c r="D2453" t="s">
        <v>719</v>
      </c>
      <c r="E2453" s="2">
        <v>8.9120000000000008</v>
      </c>
    </row>
    <row r="2454" spans="1:5" x14ac:dyDescent="0.25">
      <c r="A2454" s="32" t="s">
        <v>767</v>
      </c>
      <c r="B2454" s="7">
        <v>2020</v>
      </c>
      <c r="C2454" s="51" t="s">
        <v>707</v>
      </c>
      <c r="D2454" t="s">
        <v>719</v>
      </c>
      <c r="E2454" s="2">
        <v>8.516</v>
      </c>
    </row>
    <row r="2455" spans="1:5" x14ac:dyDescent="0.25">
      <c r="A2455" s="32" t="s">
        <v>767</v>
      </c>
      <c r="B2455" s="7">
        <v>2020</v>
      </c>
      <c r="C2455" s="51" t="s">
        <v>708</v>
      </c>
      <c r="D2455" t="s">
        <v>719</v>
      </c>
      <c r="E2455" s="2">
        <v>9.6319999999999997</v>
      </c>
    </row>
    <row r="2456" spans="1:5" x14ac:dyDescent="0.25">
      <c r="A2456" s="32" t="s">
        <v>767</v>
      </c>
      <c r="B2456" s="7">
        <v>2020</v>
      </c>
      <c r="C2456" s="51" t="s">
        <v>699</v>
      </c>
      <c r="D2456" t="s">
        <v>719</v>
      </c>
      <c r="E2456" s="2">
        <v>9.5020000000000007</v>
      </c>
    </row>
    <row r="2457" spans="1:5" x14ac:dyDescent="0.25">
      <c r="A2457" s="32" t="s">
        <v>767</v>
      </c>
      <c r="B2457" s="7">
        <v>2020</v>
      </c>
      <c r="C2457" s="51" t="s">
        <v>709</v>
      </c>
      <c r="D2457" t="s">
        <v>719</v>
      </c>
      <c r="E2457" s="2">
        <v>9.6549999999999994</v>
      </c>
    </row>
    <row r="2458" spans="1:5" x14ac:dyDescent="0.25">
      <c r="A2458" s="32" t="s">
        <v>767</v>
      </c>
      <c r="B2458" s="7">
        <v>2020</v>
      </c>
      <c r="C2458" s="51" t="s">
        <v>712</v>
      </c>
      <c r="D2458" t="s">
        <v>719</v>
      </c>
      <c r="E2458" s="2">
        <v>8.8379999999999992</v>
      </c>
    </row>
    <row r="2459" spans="1:5" x14ac:dyDescent="0.25">
      <c r="A2459" s="32" t="s">
        <v>767</v>
      </c>
      <c r="B2459" s="7">
        <v>2020</v>
      </c>
      <c r="C2459" s="51" t="s">
        <v>710</v>
      </c>
      <c r="D2459" t="s">
        <v>719</v>
      </c>
      <c r="E2459" s="2">
        <v>8.8360000000000003</v>
      </c>
    </row>
    <row r="2460" spans="1:5" x14ac:dyDescent="0.25">
      <c r="A2460" s="32" t="s">
        <v>767</v>
      </c>
      <c r="B2460" s="7">
        <v>2020</v>
      </c>
      <c r="C2460" s="51" t="s">
        <v>702</v>
      </c>
      <c r="D2460" t="s">
        <v>719</v>
      </c>
      <c r="E2460" s="2">
        <v>9.4220000000000006</v>
      </c>
    </row>
    <row r="2461" spans="1:5" x14ac:dyDescent="0.25">
      <c r="A2461" s="32" t="s">
        <v>767</v>
      </c>
      <c r="B2461" s="7">
        <v>2020</v>
      </c>
      <c r="C2461" s="51" t="s">
        <v>703</v>
      </c>
      <c r="D2461" t="s">
        <v>719</v>
      </c>
      <c r="E2461" s="2">
        <v>8.9570000000000007</v>
      </c>
    </row>
    <row r="2462" spans="1:5" x14ac:dyDescent="0.25">
      <c r="A2462" s="32" t="s">
        <v>767</v>
      </c>
      <c r="B2462" s="7">
        <v>2020</v>
      </c>
      <c r="C2462" s="51" t="s">
        <v>704</v>
      </c>
      <c r="D2462" t="s">
        <v>719</v>
      </c>
      <c r="E2462" s="2">
        <v>9.2460000000000004</v>
      </c>
    </row>
    <row r="2463" spans="1:5" x14ac:dyDescent="0.25">
      <c r="A2463" s="32" t="s">
        <v>767</v>
      </c>
      <c r="B2463" s="7">
        <v>2020</v>
      </c>
      <c r="C2463" s="51" t="s">
        <v>705</v>
      </c>
      <c r="D2463" t="s">
        <v>719</v>
      </c>
      <c r="E2463" s="2">
        <v>9.4890000000000008</v>
      </c>
    </row>
    <row r="2464" spans="1:5" x14ac:dyDescent="0.25">
      <c r="A2464" s="32" t="s">
        <v>767</v>
      </c>
      <c r="B2464" s="7">
        <v>2020</v>
      </c>
      <c r="C2464" s="51" t="s">
        <v>706</v>
      </c>
      <c r="D2464" t="s">
        <v>719</v>
      </c>
      <c r="E2464" s="2">
        <v>9.8680000000000003</v>
      </c>
    </row>
    <row r="2465" spans="1:5" x14ac:dyDescent="0.25">
      <c r="A2465" s="32" t="s">
        <v>767</v>
      </c>
      <c r="B2465" s="7">
        <v>2021</v>
      </c>
      <c r="C2465" s="51" t="s">
        <v>713</v>
      </c>
      <c r="D2465" t="s">
        <v>719</v>
      </c>
      <c r="E2465" s="2">
        <v>9.4130000000000003</v>
      </c>
    </row>
    <row r="2466" spans="1:5" x14ac:dyDescent="0.25">
      <c r="A2466" s="32" t="s">
        <v>767</v>
      </c>
      <c r="B2466" s="7">
        <v>2021</v>
      </c>
      <c r="C2466" s="51" t="s">
        <v>707</v>
      </c>
      <c r="D2466" t="s">
        <v>719</v>
      </c>
      <c r="E2466" s="2">
        <v>8.4659999999999993</v>
      </c>
    </row>
    <row r="2467" spans="1:5" x14ac:dyDescent="0.25">
      <c r="A2467" s="32" t="s">
        <v>767</v>
      </c>
      <c r="B2467" s="7">
        <v>2021</v>
      </c>
      <c r="C2467" s="51" t="s">
        <v>708</v>
      </c>
      <c r="D2467" t="s">
        <v>719</v>
      </c>
      <c r="E2467" s="2">
        <v>9.8559999999999999</v>
      </c>
    </row>
    <row r="2468" spans="1:5" x14ac:dyDescent="0.25">
      <c r="A2468" s="32" t="s">
        <v>767</v>
      </c>
      <c r="B2468" s="7">
        <v>2021</v>
      </c>
      <c r="C2468" s="51" t="s">
        <v>699</v>
      </c>
      <c r="D2468" t="s">
        <v>719</v>
      </c>
      <c r="E2468" s="2">
        <v>9.7469999999999999</v>
      </c>
    </row>
    <row r="2469" spans="1:5" x14ac:dyDescent="0.25">
      <c r="A2469" s="32" t="s">
        <v>767</v>
      </c>
      <c r="B2469" s="7">
        <v>2021</v>
      </c>
      <c r="C2469" s="51" t="s">
        <v>709</v>
      </c>
      <c r="D2469" t="s">
        <v>719</v>
      </c>
      <c r="E2469" s="2">
        <v>9.7799999999999994</v>
      </c>
    </row>
    <row r="2470" spans="1:5" x14ac:dyDescent="0.25">
      <c r="A2470" s="32" t="s">
        <v>767</v>
      </c>
      <c r="B2470" s="7">
        <v>2021</v>
      </c>
      <c r="C2470" s="51" t="s">
        <v>712</v>
      </c>
      <c r="D2470" t="s">
        <v>719</v>
      </c>
      <c r="E2470" s="2">
        <v>9.1270000000000007</v>
      </c>
    </row>
    <row r="2471" spans="1:5" x14ac:dyDescent="0.25">
      <c r="A2471" s="32" t="s">
        <v>767</v>
      </c>
      <c r="B2471" s="7">
        <v>2021</v>
      </c>
      <c r="C2471" s="51" t="s">
        <v>710</v>
      </c>
      <c r="D2471" t="s">
        <v>719</v>
      </c>
      <c r="E2471" s="2">
        <v>8.3740000000000006</v>
      </c>
    </row>
    <row r="2472" spans="1:5" x14ac:dyDescent="0.25">
      <c r="A2472" s="32" t="s">
        <v>767</v>
      </c>
      <c r="B2472" s="7">
        <v>2021</v>
      </c>
      <c r="C2472" s="51" t="s">
        <v>702</v>
      </c>
      <c r="D2472" t="s">
        <v>719</v>
      </c>
      <c r="E2472" s="2">
        <v>7.1</v>
      </c>
    </row>
    <row r="2473" spans="1:5" x14ac:dyDescent="0.25">
      <c r="A2473" s="32" t="s">
        <v>767</v>
      </c>
      <c r="B2473" s="7">
        <v>2021</v>
      </c>
      <c r="C2473" s="51" t="s">
        <v>703</v>
      </c>
      <c r="D2473" t="s">
        <v>719</v>
      </c>
      <c r="E2473" s="2">
        <v>8.4060000000000006</v>
      </c>
    </row>
    <row r="2474" spans="1:5" x14ac:dyDescent="0.25">
      <c r="A2474" s="32" t="s">
        <v>767</v>
      </c>
      <c r="B2474" s="7">
        <v>2021</v>
      </c>
      <c r="C2474" s="51" t="s">
        <v>704</v>
      </c>
      <c r="D2474" t="s">
        <v>719</v>
      </c>
      <c r="E2474" s="2">
        <v>10.09</v>
      </c>
    </row>
    <row r="2475" spans="1:5" x14ac:dyDescent="0.25">
      <c r="A2475" s="32" t="s">
        <v>767</v>
      </c>
      <c r="B2475" s="7">
        <v>2021</v>
      </c>
      <c r="C2475" s="51" t="s">
        <v>705</v>
      </c>
      <c r="D2475" t="s">
        <v>719</v>
      </c>
      <c r="E2475" s="2">
        <v>9.8800000000000008</v>
      </c>
    </row>
    <row r="2476" spans="1:5" x14ac:dyDescent="0.25">
      <c r="A2476" s="32" t="s">
        <v>767</v>
      </c>
      <c r="B2476" s="7">
        <v>2021</v>
      </c>
      <c r="C2476" s="51" t="s">
        <v>706</v>
      </c>
      <c r="D2476" t="s">
        <v>719</v>
      </c>
      <c r="E2476" s="2">
        <v>11.339</v>
      </c>
    </row>
    <row r="2477" spans="1:5" x14ac:dyDescent="0.25">
      <c r="A2477" s="32" t="s">
        <v>767</v>
      </c>
      <c r="B2477" s="7">
        <v>2022</v>
      </c>
      <c r="C2477" s="51" t="s">
        <v>713</v>
      </c>
      <c r="D2477" t="s">
        <v>719</v>
      </c>
      <c r="E2477" s="2">
        <v>8.7880000000000003</v>
      </c>
    </row>
    <row r="2478" spans="1:5" x14ac:dyDescent="0.25">
      <c r="A2478" s="32" t="s">
        <v>767</v>
      </c>
      <c r="B2478" s="7">
        <v>2022</v>
      </c>
      <c r="C2478" s="51" t="s">
        <v>707</v>
      </c>
      <c r="D2478" t="s">
        <v>719</v>
      </c>
      <c r="E2478" s="2">
        <v>7.7080000000000002</v>
      </c>
    </row>
    <row r="2479" spans="1:5" x14ac:dyDescent="0.25">
      <c r="A2479" s="32" t="s">
        <v>767</v>
      </c>
      <c r="B2479" s="7">
        <v>2022</v>
      </c>
      <c r="C2479" s="51" t="s">
        <v>708</v>
      </c>
      <c r="D2479" t="s">
        <v>719</v>
      </c>
      <c r="E2479" s="2">
        <v>10.108000000000001</v>
      </c>
    </row>
    <row r="2480" spans="1:5" x14ac:dyDescent="0.25">
      <c r="A2480" s="32" t="s">
        <v>767</v>
      </c>
      <c r="B2480" s="7">
        <v>2022</v>
      </c>
      <c r="C2480" s="51" t="s">
        <v>699</v>
      </c>
      <c r="D2480" t="s">
        <v>719</v>
      </c>
      <c r="E2480" s="2">
        <v>8.6039999999999992</v>
      </c>
    </row>
    <row r="2481" spans="1:5" x14ac:dyDescent="0.25">
      <c r="A2481" s="32" t="s">
        <v>767</v>
      </c>
      <c r="B2481" s="7">
        <v>2022</v>
      </c>
      <c r="C2481" s="51" t="s">
        <v>709</v>
      </c>
      <c r="D2481" t="s">
        <v>719</v>
      </c>
      <c r="E2481" s="2">
        <v>7.1760000000000002</v>
      </c>
    </row>
    <row r="2482" spans="1:5" x14ac:dyDescent="0.25">
      <c r="A2482" s="32" t="s">
        <v>767</v>
      </c>
      <c r="B2482" s="7">
        <v>2022</v>
      </c>
      <c r="C2482" s="51" t="s">
        <v>712</v>
      </c>
      <c r="D2482" t="s">
        <v>719</v>
      </c>
      <c r="E2482" s="2">
        <v>6.2679999999999998</v>
      </c>
    </row>
    <row r="2483" spans="1:5" x14ac:dyDescent="0.25">
      <c r="A2483" s="32" t="s">
        <v>767</v>
      </c>
      <c r="B2483" s="7">
        <v>2022</v>
      </c>
      <c r="C2483" s="51" t="s">
        <v>710</v>
      </c>
      <c r="D2483" t="s">
        <v>719</v>
      </c>
      <c r="E2483" s="2">
        <v>6.2409999999999997</v>
      </c>
    </row>
    <row r="2484" spans="1:5" x14ac:dyDescent="0.25">
      <c r="A2484" s="32" t="s">
        <v>767</v>
      </c>
      <c r="B2484" s="7">
        <v>2022</v>
      </c>
      <c r="C2484" s="51" t="s">
        <v>702</v>
      </c>
      <c r="D2484" t="s">
        <v>719</v>
      </c>
      <c r="E2484" s="2">
        <v>7.702</v>
      </c>
    </row>
    <row r="2485" spans="1:5" x14ac:dyDescent="0.25">
      <c r="A2485" s="32" t="s">
        <v>767</v>
      </c>
      <c r="B2485" s="7">
        <v>2022</v>
      </c>
      <c r="C2485" s="51" t="s">
        <v>703</v>
      </c>
      <c r="D2485" t="s">
        <v>719</v>
      </c>
      <c r="E2485" s="2">
        <v>7.2990000000000004</v>
      </c>
    </row>
    <row r="2486" spans="1:5" x14ac:dyDescent="0.25">
      <c r="A2486" s="32" t="s">
        <v>767</v>
      </c>
      <c r="B2486" s="7">
        <v>2022</v>
      </c>
      <c r="C2486" s="51" t="s">
        <v>704</v>
      </c>
      <c r="D2486" t="s">
        <v>719</v>
      </c>
      <c r="E2486" s="2">
        <v>7.75</v>
      </c>
    </row>
    <row r="2487" spans="1:5" x14ac:dyDescent="0.25">
      <c r="A2487" s="32" t="s">
        <v>767</v>
      </c>
      <c r="B2487" s="7">
        <v>2022</v>
      </c>
      <c r="C2487" s="51" t="s">
        <v>705</v>
      </c>
      <c r="D2487" t="s">
        <v>719</v>
      </c>
      <c r="E2487" s="2">
        <v>7.5030000000000001</v>
      </c>
    </row>
    <row r="2488" spans="1:5" x14ac:dyDescent="0.25">
      <c r="A2488" s="32" t="s">
        <v>767</v>
      </c>
      <c r="B2488" s="7">
        <v>2022</v>
      </c>
      <c r="C2488" s="51" t="s">
        <v>706</v>
      </c>
      <c r="D2488" t="s">
        <v>719</v>
      </c>
      <c r="E2488" s="2">
        <v>9.9030000000000005</v>
      </c>
    </row>
    <row r="2489" spans="1:5" x14ac:dyDescent="0.25">
      <c r="A2489" s="32" t="s">
        <v>767</v>
      </c>
      <c r="B2489" s="7">
        <v>2023</v>
      </c>
      <c r="C2489" s="51" t="s">
        <v>713</v>
      </c>
      <c r="D2489" t="s">
        <v>719</v>
      </c>
      <c r="E2489" s="2">
        <v>9.6920000000000002</v>
      </c>
    </row>
    <row r="2490" spans="1:5" x14ac:dyDescent="0.25">
      <c r="A2490" s="32" t="s">
        <v>767</v>
      </c>
      <c r="B2490" s="7">
        <v>2023</v>
      </c>
      <c r="C2490" s="51" t="s">
        <v>707</v>
      </c>
      <c r="D2490" t="s">
        <v>719</v>
      </c>
      <c r="E2490" s="2">
        <v>8.8490000000000002</v>
      </c>
    </row>
    <row r="2491" spans="1:5" x14ac:dyDescent="0.25">
      <c r="A2491" s="32" t="s">
        <v>767</v>
      </c>
      <c r="B2491" s="7">
        <v>2023</v>
      </c>
      <c r="C2491" s="51" t="s">
        <v>708</v>
      </c>
      <c r="D2491" t="s">
        <v>719</v>
      </c>
      <c r="E2491" s="2">
        <v>9.7010000000000005</v>
      </c>
    </row>
    <row r="2492" spans="1:5" x14ac:dyDescent="0.25">
      <c r="A2492" s="32" t="s">
        <v>767</v>
      </c>
      <c r="B2492" s="7">
        <v>2023</v>
      </c>
      <c r="C2492" s="51" t="s">
        <v>699</v>
      </c>
      <c r="D2492" t="s">
        <v>719</v>
      </c>
      <c r="E2492" s="2">
        <v>9.157</v>
      </c>
    </row>
    <row r="2493" spans="1:5" x14ac:dyDescent="0.25">
      <c r="A2493" s="32" t="s">
        <v>767</v>
      </c>
      <c r="B2493" s="7">
        <v>2023</v>
      </c>
      <c r="C2493" s="51" t="s">
        <v>709</v>
      </c>
      <c r="D2493" t="s">
        <v>719</v>
      </c>
      <c r="E2493" s="2">
        <v>9.6219999999999999</v>
      </c>
    </row>
    <row r="2494" spans="1:5" x14ac:dyDescent="0.25">
      <c r="A2494" s="32" t="s">
        <v>767</v>
      </c>
      <c r="B2494" s="7">
        <v>2023</v>
      </c>
      <c r="C2494" s="51" t="s">
        <v>712</v>
      </c>
      <c r="D2494" t="s">
        <v>719</v>
      </c>
      <c r="E2494" s="2">
        <v>8.9499999999999993</v>
      </c>
    </row>
    <row r="2495" spans="1:5" x14ac:dyDescent="0.25">
      <c r="A2495" s="32" t="s">
        <v>767</v>
      </c>
      <c r="B2495" s="7">
        <v>2023</v>
      </c>
      <c r="C2495" s="51" t="s">
        <v>710</v>
      </c>
      <c r="D2495" t="s">
        <v>719</v>
      </c>
      <c r="E2495" s="2">
        <v>8.0760000000000005</v>
      </c>
    </row>
    <row r="2496" spans="1:5" x14ac:dyDescent="0.25">
      <c r="A2496" s="32" t="s">
        <v>767</v>
      </c>
      <c r="B2496" s="7">
        <v>2023</v>
      </c>
      <c r="C2496" s="51" t="s">
        <v>702</v>
      </c>
      <c r="D2496" t="s">
        <v>719</v>
      </c>
      <c r="E2496" s="2">
        <v>7.4619999999999997</v>
      </c>
    </row>
    <row r="2497" spans="1:5" x14ac:dyDescent="0.25">
      <c r="A2497" s="32" t="s">
        <v>767</v>
      </c>
      <c r="B2497" s="7">
        <v>2023</v>
      </c>
      <c r="C2497" s="51" t="s">
        <v>703</v>
      </c>
      <c r="D2497" t="s">
        <v>719</v>
      </c>
      <c r="E2497" s="2">
        <v>7.6749999999999998</v>
      </c>
    </row>
    <row r="2498" spans="1:5" x14ac:dyDescent="0.25">
      <c r="A2498" s="32" t="s">
        <v>767</v>
      </c>
      <c r="B2498" s="7">
        <v>1997</v>
      </c>
      <c r="C2498" s="51" t="s">
        <v>704</v>
      </c>
      <c r="D2498" t="s">
        <v>736</v>
      </c>
      <c r="E2498" s="2">
        <v>2.2450000000000001</v>
      </c>
    </row>
    <row r="2499" spans="1:5" x14ac:dyDescent="0.25">
      <c r="A2499" s="32" t="s">
        <v>767</v>
      </c>
      <c r="B2499" s="7">
        <v>1997</v>
      </c>
      <c r="C2499" s="51" t="s">
        <v>705</v>
      </c>
      <c r="D2499" t="s">
        <v>736</v>
      </c>
      <c r="E2499" s="2">
        <v>2.3730000000000002</v>
      </c>
    </row>
    <row r="2500" spans="1:5" x14ac:dyDescent="0.25">
      <c r="A2500" s="32" t="s">
        <v>767</v>
      </c>
      <c r="B2500" s="7">
        <v>1997</v>
      </c>
      <c r="C2500" s="51" t="s">
        <v>706</v>
      </c>
      <c r="D2500" t="s">
        <v>736</v>
      </c>
      <c r="E2500" s="2">
        <v>2.2519999999999998</v>
      </c>
    </row>
    <row r="2501" spans="1:5" x14ac:dyDescent="0.25">
      <c r="A2501" s="32" t="s">
        <v>767</v>
      </c>
      <c r="B2501" s="7">
        <v>1998</v>
      </c>
      <c r="C2501" s="51" t="s">
        <v>713</v>
      </c>
      <c r="D2501" t="s">
        <v>736</v>
      </c>
      <c r="E2501" s="2">
        <v>2.0880000000000001</v>
      </c>
    </row>
    <row r="2502" spans="1:5" x14ac:dyDescent="0.25">
      <c r="A2502" s="32" t="s">
        <v>767</v>
      </c>
      <c r="B2502" s="7">
        <v>1998</v>
      </c>
      <c r="C2502" s="51" t="s">
        <v>707</v>
      </c>
      <c r="D2502" t="s">
        <v>736</v>
      </c>
      <c r="E2502" s="2">
        <v>2.3370000000000002</v>
      </c>
    </row>
    <row r="2503" spans="1:5" x14ac:dyDescent="0.25">
      <c r="A2503" s="32" t="s">
        <v>767</v>
      </c>
      <c r="B2503" s="7">
        <v>1998</v>
      </c>
      <c r="C2503" s="51" t="s">
        <v>708</v>
      </c>
      <c r="D2503" t="s">
        <v>736</v>
      </c>
      <c r="E2503" s="2">
        <v>2.4550000000000001</v>
      </c>
    </row>
    <row r="2504" spans="1:5" x14ac:dyDescent="0.25">
      <c r="A2504" s="32" t="s">
        <v>767</v>
      </c>
      <c r="B2504" s="7">
        <v>1998</v>
      </c>
      <c r="C2504" s="51" t="s">
        <v>699</v>
      </c>
      <c r="D2504" t="s">
        <v>736</v>
      </c>
      <c r="E2504" s="2">
        <v>2.1659999999999999</v>
      </c>
    </row>
    <row r="2505" spans="1:5" x14ac:dyDescent="0.25">
      <c r="A2505" s="32" t="s">
        <v>767</v>
      </c>
      <c r="B2505" s="7">
        <v>1998</v>
      </c>
      <c r="C2505" s="51" t="s">
        <v>709</v>
      </c>
      <c r="D2505" t="s">
        <v>736</v>
      </c>
      <c r="E2505" s="2">
        <v>2.3380000000000001</v>
      </c>
    </row>
    <row r="2506" spans="1:5" x14ac:dyDescent="0.25">
      <c r="A2506" s="32" t="s">
        <v>767</v>
      </c>
      <c r="B2506" s="7">
        <v>1998</v>
      </c>
      <c r="C2506" s="51" t="s">
        <v>712</v>
      </c>
      <c r="D2506" t="s">
        <v>736</v>
      </c>
      <c r="E2506" s="2">
        <v>2.1880000000000002</v>
      </c>
    </row>
    <row r="2507" spans="1:5" x14ac:dyDescent="0.25">
      <c r="A2507" s="32" t="s">
        <v>767</v>
      </c>
      <c r="B2507" s="7">
        <v>1998</v>
      </c>
      <c r="C2507" s="51" t="s">
        <v>710</v>
      </c>
      <c r="D2507" t="s">
        <v>736</v>
      </c>
      <c r="E2507" s="2">
        <v>1.974</v>
      </c>
    </row>
    <row r="2508" spans="1:5" x14ac:dyDescent="0.25">
      <c r="A2508" s="32" t="s">
        <v>767</v>
      </c>
      <c r="B2508" s="7">
        <v>1998</v>
      </c>
      <c r="C2508" s="51" t="s">
        <v>702</v>
      </c>
      <c r="D2508" t="s">
        <v>736</v>
      </c>
      <c r="E2508" s="2">
        <v>2.14</v>
      </c>
    </row>
    <row r="2509" spans="1:5" x14ac:dyDescent="0.25">
      <c r="A2509" s="32" t="s">
        <v>767</v>
      </c>
      <c r="B2509" s="7">
        <v>1998</v>
      </c>
      <c r="C2509" s="51" t="s">
        <v>703</v>
      </c>
      <c r="D2509" t="s">
        <v>736</v>
      </c>
      <c r="E2509" s="2">
        <v>2.1749999999999998</v>
      </c>
    </row>
    <row r="2510" spans="1:5" x14ac:dyDescent="0.25">
      <c r="A2510" s="32" t="s">
        <v>767</v>
      </c>
      <c r="B2510" s="7">
        <v>1998</v>
      </c>
      <c r="C2510" s="51" t="s">
        <v>704</v>
      </c>
      <c r="D2510" t="s">
        <v>736</v>
      </c>
      <c r="E2510" s="2">
        <v>2.2440000000000002</v>
      </c>
    </row>
    <row r="2511" spans="1:5" x14ac:dyDescent="0.25">
      <c r="A2511" s="32" t="s">
        <v>767</v>
      </c>
      <c r="B2511" s="7">
        <v>1998</v>
      </c>
      <c r="C2511" s="51" t="s">
        <v>705</v>
      </c>
      <c r="D2511" t="s">
        <v>736</v>
      </c>
      <c r="E2511" s="2">
        <v>2.2410000000000001</v>
      </c>
    </row>
    <row r="2512" spans="1:5" x14ac:dyDescent="0.25">
      <c r="A2512" s="32" t="s">
        <v>767</v>
      </c>
      <c r="B2512" s="7">
        <v>1998</v>
      </c>
      <c r="C2512" s="51" t="s">
        <v>706</v>
      </c>
      <c r="D2512" t="s">
        <v>736</v>
      </c>
      <c r="E2512" s="2">
        <v>2.27</v>
      </c>
    </row>
    <row r="2513" spans="1:5" x14ac:dyDescent="0.25">
      <c r="A2513" s="32" t="s">
        <v>767</v>
      </c>
      <c r="B2513" s="7">
        <v>1999</v>
      </c>
      <c r="C2513" s="51" t="s">
        <v>713</v>
      </c>
      <c r="D2513" t="s">
        <v>736</v>
      </c>
      <c r="E2513" s="2">
        <v>2.2999999999999998</v>
      </c>
    </row>
    <row r="2514" spans="1:5" x14ac:dyDescent="0.25">
      <c r="A2514" s="32" t="s">
        <v>767</v>
      </c>
      <c r="B2514" s="7">
        <v>1999</v>
      </c>
      <c r="C2514" s="51" t="s">
        <v>707</v>
      </c>
      <c r="D2514" t="s">
        <v>736</v>
      </c>
      <c r="E2514" s="2">
        <v>2.1019999999999999</v>
      </c>
    </row>
    <row r="2515" spans="1:5" x14ac:dyDescent="0.25">
      <c r="A2515" s="32" t="s">
        <v>767</v>
      </c>
      <c r="B2515" s="7">
        <v>1999</v>
      </c>
      <c r="C2515" s="51" t="s">
        <v>708</v>
      </c>
      <c r="D2515" t="s">
        <v>736</v>
      </c>
      <c r="E2515" s="2">
        <v>2.5270000000000001</v>
      </c>
    </row>
    <row r="2516" spans="1:5" x14ac:dyDescent="0.25">
      <c r="A2516" s="32" t="s">
        <v>767</v>
      </c>
      <c r="B2516" s="7">
        <v>1999</v>
      </c>
      <c r="C2516" s="51" t="s">
        <v>699</v>
      </c>
      <c r="D2516" t="s">
        <v>736</v>
      </c>
      <c r="E2516" s="2">
        <v>2.218</v>
      </c>
    </row>
    <row r="2517" spans="1:5" x14ac:dyDescent="0.25">
      <c r="A2517" s="32" t="s">
        <v>767</v>
      </c>
      <c r="B2517" s="7">
        <v>1999</v>
      </c>
      <c r="C2517" s="51" t="s">
        <v>709</v>
      </c>
      <c r="D2517" t="s">
        <v>736</v>
      </c>
      <c r="E2517" s="2">
        <v>2.121</v>
      </c>
    </row>
    <row r="2518" spans="1:5" x14ac:dyDescent="0.25">
      <c r="A2518" s="32" t="s">
        <v>767</v>
      </c>
      <c r="B2518" s="7">
        <v>1999</v>
      </c>
      <c r="C2518" s="51" t="s">
        <v>712</v>
      </c>
      <c r="D2518" t="s">
        <v>736</v>
      </c>
      <c r="E2518" s="2">
        <v>2.1480000000000001</v>
      </c>
    </row>
    <row r="2519" spans="1:5" x14ac:dyDescent="0.25">
      <c r="A2519" s="32" t="s">
        <v>767</v>
      </c>
      <c r="B2519" s="7">
        <v>1999</v>
      </c>
      <c r="C2519" s="51" t="s">
        <v>710</v>
      </c>
      <c r="D2519" t="s">
        <v>736</v>
      </c>
      <c r="E2519" s="2">
        <v>1.9259999999999999</v>
      </c>
    </row>
    <row r="2520" spans="1:5" x14ac:dyDescent="0.25">
      <c r="A2520" s="32" t="s">
        <v>767</v>
      </c>
      <c r="B2520" s="7">
        <v>1999</v>
      </c>
      <c r="C2520" s="51" t="s">
        <v>702</v>
      </c>
      <c r="D2520" t="s">
        <v>736</v>
      </c>
      <c r="E2520" s="2">
        <v>2.2839999999999998</v>
      </c>
    </row>
    <row r="2521" spans="1:5" x14ac:dyDescent="0.25">
      <c r="A2521" s="32" t="s">
        <v>767</v>
      </c>
      <c r="B2521" s="7">
        <v>1999</v>
      </c>
      <c r="C2521" s="51" t="s">
        <v>703</v>
      </c>
      <c r="D2521" t="s">
        <v>736</v>
      </c>
      <c r="E2521" s="2">
        <v>2.266</v>
      </c>
    </row>
    <row r="2522" spans="1:5" x14ac:dyDescent="0.25">
      <c r="A2522" s="32" t="s">
        <v>767</v>
      </c>
      <c r="B2522" s="7">
        <v>1999</v>
      </c>
      <c r="C2522" s="51" t="s">
        <v>704</v>
      </c>
      <c r="D2522" t="s">
        <v>736</v>
      </c>
      <c r="E2522" s="2">
        <v>2.319</v>
      </c>
    </row>
    <row r="2523" spans="1:5" x14ac:dyDescent="0.25">
      <c r="A2523" s="32" t="s">
        <v>767</v>
      </c>
      <c r="B2523" s="7">
        <v>1999</v>
      </c>
      <c r="C2523" s="51" t="s">
        <v>705</v>
      </c>
      <c r="D2523" t="s">
        <v>736</v>
      </c>
      <c r="E2523" s="2">
        <v>2.2909999999999999</v>
      </c>
    </row>
    <row r="2524" spans="1:5" x14ac:dyDescent="0.25">
      <c r="A2524" s="32" t="s">
        <v>767</v>
      </c>
      <c r="B2524" s="7">
        <v>1999</v>
      </c>
      <c r="C2524" s="51" t="s">
        <v>706</v>
      </c>
      <c r="D2524" t="s">
        <v>736</v>
      </c>
      <c r="E2524" s="2">
        <v>2.3559999999999999</v>
      </c>
    </row>
    <row r="2525" spans="1:5" x14ac:dyDescent="0.25">
      <c r="A2525" s="32" t="s">
        <v>767</v>
      </c>
      <c r="B2525" s="7">
        <v>2000</v>
      </c>
      <c r="C2525" s="51" t="s">
        <v>713</v>
      </c>
      <c r="D2525" t="s">
        <v>736</v>
      </c>
      <c r="E2525" s="2">
        <v>2.1469999999999998</v>
      </c>
    </row>
    <row r="2526" spans="1:5" x14ac:dyDescent="0.25">
      <c r="A2526" s="32" t="s">
        <v>767</v>
      </c>
      <c r="B2526" s="7">
        <v>2000</v>
      </c>
      <c r="C2526" s="51" t="s">
        <v>707</v>
      </c>
      <c r="D2526" t="s">
        <v>736</v>
      </c>
      <c r="E2526" s="2">
        <v>2.1709999999999998</v>
      </c>
    </row>
    <row r="2527" spans="1:5" x14ac:dyDescent="0.25">
      <c r="A2527" s="32" t="s">
        <v>767</v>
      </c>
      <c r="B2527" s="7">
        <v>2000</v>
      </c>
      <c r="C2527" s="51" t="s">
        <v>708</v>
      </c>
      <c r="D2527" t="s">
        <v>736</v>
      </c>
      <c r="E2527" s="2">
        <v>3.121</v>
      </c>
    </row>
    <row r="2528" spans="1:5" x14ac:dyDescent="0.25">
      <c r="A2528" s="32" t="s">
        <v>767</v>
      </c>
      <c r="B2528" s="7">
        <v>2000</v>
      </c>
      <c r="C2528" s="51" t="s">
        <v>699</v>
      </c>
      <c r="D2528" t="s">
        <v>736</v>
      </c>
      <c r="E2528" s="2">
        <v>2.2320000000000002</v>
      </c>
    </row>
    <row r="2529" spans="1:5" x14ac:dyDescent="0.25">
      <c r="A2529" s="32" t="s">
        <v>767</v>
      </c>
      <c r="B2529" s="7">
        <v>2000</v>
      </c>
      <c r="C2529" s="51" t="s">
        <v>709</v>
      </c>
      <c r="D2529" t="s">
        <v>736</v>
      </c>
      <c r="E2529" s="2">
        <v>2.806</v>
      </c>
    </row>
    <row r="2530" spans="1:5" x14ac:dyDescent="0.25">
      <c r="A2530" s="32" t="s">
        <v>767</v>
      </c>
      <c r="B2530" s="7">
        <v>2000</v>
      </c>
      <c r="C2530" s="51" t="s">
        <v>712</v>
      </c>
      <c r="D2530" t="s">
        <v>736</v>
      </c>
      <c r="E2530" s="2">
        <v>2.7639999999999998</v>
      </c>
    </row>
    <row r="2531" spans="1:5" x14ac:dyDescent="0.25">
      <c r="A2531" s="32" t="s">
        <v>767</v>
      </c>
      <c r="B2531" s="7">
        <v>2000</v>
      </c>
      <c r="C2531" s="51" t="s">
        <v>710</v>
      </c>
      <c r="D2531" t="s">
        <v>736</v>
      </c>
      <c r="E2531" s="2">
        <v>2.9929999999999999</v>
      </c>
    </row>
    <row r="2532" spans="1:5" x14ac:dyDescent="0.25">
      <c r="A2532" s="32" t="s">
        <v>767</v>
      </c>
      <c r="B2532" s="7">
        <v>2000</v>
      </c>
      <c r="C2532" s="51" t="s">
        <v>702</v>
      </c>
      <c r="D2532" t="s">
        <v>736</v>
      </c>
      <c r="E2532" s="2">
        <v>2.7069999999999999</v>
      </c>
    </row>
    <row r="2533" spans="1:5" x14ac:dyDescent="0.25">
      <c r="A2533" s="32" t="s">
        <v>767</v>
      </c>
      <c r="B2533" s="7">
        <v>2000</v>
      </c>
      <c r="C2533" s="51" t="s">
        <v>703</v>
      </c>
      <c r="D2533" t="s">
        <v>736</v>
      </c>
      <c r="E2533" s="2">
        <v>2.3620000000000001</v>
      </c>
    </row>
    <row r="2534" spans="1:5" x14ac:dyDescent="0.25">
      <c r="A2534" s="32" t="s">
        <v>767</v>
      </c>
      <c r="B2534" s="7">
        <v>2000</v>
      </c>
      <c r="C2534" s="51" t="s">
        <v>704</v>
      </c>
      <c r="D2534" t="s">
        <v>736</v>
      </c>
      <c r="E2534" s="2">
        <v>2.786</v>
      </c>
    </row>
    <row r="2535" spans="1:5" x14ac:dyDescent="0.25">
      <c r="A2535" s="32" t="s">
        <v>767</v>
      </c>
      <c r="B2535" s="7">
        <v>2000</v>
      </c>
      <c r="C2535" s="51" t="s">
        <v>705</v>
      </c>
      <c r="D2535" t="s">
        <v>736</v>
      </c>
      <c r="E2535" s="2">
        <v>2.5430000000000001</v>
      </c>
    </row>
    <row r="2536" spans="1:5" x14ac:dyDescent="0.25">
      <c r="A2536" s="32" t="s">
        <v>767</v>
      </c>
      <c r="B2536" s="7">
        <v>2000</v>
      </c>
      <c r="C2536" s="51" t="s">
        <v>706</v>
      </c>
      <c r="D2536" t="s">
        <v>736</v>
      </c>
      <c r="E2536" s="2">
        <v>2.58</v>
      </c>
    </row>
    <row r="2537" spans="1:5" x14ac:dyDescent="0.25">
      <c r="A2537" s="32" t="s">
        <v>767</v>
      </c>
      <c r="B2537" s="7">
        <v>2001</v>
      </c>
      <c r="C2537" s="51" t="s">
        <v>713</v>
      </c>
      <c r="D2537" t="s">
        <v>736</v>
      </c>
      <c r="E2537" s="2">
        <v>2.3839999999999999</v>
      </c>
    </row>
    <row r="2538" spans="1:5" x14ac:dyDescent="0.25">
      <c r="A2538" s="32" t="s">
        <v>767</v>
      </c>
      <c r="B2538" s="7">
        <v>2001</v>
      </c>
      <c r="C2538" s="51" t="s">
        <v>707</v>
      </c>
      <c r="D2538" t="s">
        <v>736</v>
      </c>
      <c r="E2538" s="2">
        <v>2.0550000000000002</v>
      </c>
    </row>
    <row r="2539" spans="1:5" x14ac:dyDescent="0.25">
      <c r="A2539" s="32" t="s">
        <v>767</v>
      </c>
      <c r="B2539" s="7">
        <v>2001</v>
      </c>
      <c r="C2539" s="51" t="s">
        <v>708</v>
      </c>
      <c r="D2539" t="s">
        <v>736</v>
      </c>
      <c r="E2539" s="2">
        <v>2.5099999999999998</v>
      </c>
    </row>
    <row r="2540" spans="1:5" x14ac:dyDescent="0.25">
      <c r="A2540" s="32" t="s">
        <v>767</v>
      </c>
      <c r="B2540" s="7">
        <v>2001</v>
      </c>
      <c r="C2540" s="51" t="s">
        <v>699</v>
      </c>
      <c r="D2540" t="s">
        <v>736</v>
      </c>
      <c r="E2540" s="2">
        <v>2.343</v>
      </c>
    </row>
    <row r="2541" spans="1:5" x14ac:dyDescent="0.25">
      <c r="A2541" s="32" t="s">
        <v>767</v>
      </c>
      <c r="B2541" s="7">
        <v>2001</v>
      </c>
      <c r="C2541" s="51" t="s">
        <v>709</v>
      </c>
      <c r="D2541" t="s">
        <v>736</v>
      </c>
      <c r="E2541" s="2">
        <v>2.6120000000000001</v>
      </c>
    </row>
    <row r="2542" spans="1:5" x14ac:dyDescent="0.25">
      <c r="A2542" s="32" t="s">
        <v>767</v>
      </c>
      <c r="B2542" s="7">
        <v>2001</v>
      </c>
      <c r="C2542" s="51" t="s">
        <v>712</v>
      </c>
      <c r="D2542" t="s">
        <v>736</v>
      </c>
      <c r="E2542" s="2">
        <v>3.0289999999999999</v>
      </c>
    </row>
    <row r="2543" spans="1:5" x14ac:dyDescent="0.25">
      <c r="A2543" s="32" t="s">
        <v>767</v>
      </c>
      <c r="B2543" s="7">
        <v>2001</v>
      </c>
      <c r="C2543" s="51" t="s">
        <v>710</v>
      </c>
      <c r="D2543" t="s">
        <v>736</v>
      </c>
      <c r="E2543" s="2">
        <v>3.218</v>
      </c>
    </row>
    <row r="2544" spans="1:5" x14ac:dyDescent="0.25">
      <c r="A2544" s="32" t="s">
        <v>767</v>
      </c>
      <c r="B2544" s="7">
        <v>2001</v>
      </c>
      <c r="C2544" s="51" t="s">
        <v>702</v>
      </c>
      <c r="D2544" t="s">
        <v>736</v>
      </c>
      <c r="E2544" s="2">
        <v>3.2090000000000001</v>
      </c>
    </row>
    <row r="2545" spans="1:5" x14ac:dyDescent="0.25">
      <c r="A2545" s="32" t="s">
        <v>767</v>
      </c>
      <c r="B2545" s="7">
        <v>2001</v>
      </c>
      <c r="C2545" s="51" t="s">
        <v>703</v>
      </c>
      <c r="D2545" t="s">
        <v>736</v>
      </c>
      <c r="E2545" s="2">
        <v>3.2240000000000002</v>
      </c>
    </row>
    <row r="2546" spans="1:5" x14ac:dyDescent="0.25">
      <c r="A2546" s="32" t="s">
        <v>767</v>
      </c>
      <c r="B2546" s="7">
        <v>2001</v>
      </c>
      <c r="C2546" s="51" t="s">
        <v>704</v>
      </c>
      <c r="D2546" t="s">
        <v>736</v>
      </c>
      <c r="E2546" s="2">
        <v>2.93</v>
      </c>
    </row>
    <row r="2547" spans="1:5" x14ac:dyDescent="0.25">
      <c r="A2547" s="32" t="s">
        <v>767</v>
      </c>
      <c r="B2547" s="7">
        <v>2001</v>
      </c>
      <c r="C2547" s="51" t="s">
        <v>705</v>
      </c>
      <c r="D2547" t="s">
        <v>736</v>
      </c>
      <c r="E2547" s="2">
        <v>2.3980000000000001</v>
      </c>
    </row>
    <row r="2548" spans="1:5" x14ac:dyDescent="0.25">
      <c r="A2548" s="32" t="s">
        <v>767</v>
      </c>
      <c r="B2548" s="7">
        <v>2001</v>
      </c>
      <c r="C2548" s="51" t="s">
        <v>706</v>
      </c>
      <c r="D2548" t="s">
        <v>736</v>
      </c>
      <c r="E2548" s="2">
        <v>2.7360000000000002</v>
      </c>
    </row>
    <row r="2549" spans="1:5" x14ac:dyDescent="0.25">
      <c r="A2549" s="32" t="s">
        <v>767</v>
      </c>
      <c r="B2549" s="7">
        <v>2002</v>
      </c>
      <c r="C2549" s="51" t="s">
        <v>713</v>
      </c>
      <c r="D2549" t="s">
        <v>736</v>
      </c>
      <c r="E2549" s="2">
        <v>2.5059999999999998</v>
      </c>
    </row>
    <row r="2550" spans="1:5" x14ac:dyDescent="0.25">
      <c r="A2550" s="32" t="s">
        <v>767</v>
      </c>
      <c r="B2550" s="7">
        <v>2002</v>
      </c>
      <c r="C2550" s="51" t="s">
        <v>707</v>
      </c>
      <c r="D2550" t="s">
        <v>736</v>
      </c>
      <c r="E2550" s="2">
        <v>2.1459999999999999</v>
      </c>
    </row>
    <row r="2551" spans="1:5" x14ac:dyDescent="0.25">
      <c r="A2551" s="32" t="s">
        <v>767</v>
      </c>
      <c r="B2551" s="7">
        <v>2002</v>
      </c>
      <c r="C2551" s="51" t="s">
        <v>708</v>
      </c>
      <c r="D2551" t="s">
        <v>736</v>
      </c>
      <c r="E2551" s="2">
        <v>2.367</v>
      </c>
    </row>
    <row r="2552" spans="1:5" x14ac:dyDescent="0.25">
      <c r="A2552" s="32" t="s">
        <v>767</v>
      </c>
      <c r="B2552" s="7">
        <v>2002</v>
      </c>
      <c r="C2552" s="51" t="s">
        <v>699</v>
      </c>
      <c r="D2552" t="s">
        <v>736</v>
      </c>
      <c r="E2552" s="2">
        <v>2.5590000000000002</v>
      </c>
    </row>
    <row r="2553" spans="1:5" x14ac:dyDescent="0.25">
      <c r="A2553" s="32" t="s">
        <v>767</v>
      </c>
      <c r="B2553" s="7">
        <v>2002</v>
      </c>
      <c r="C2553" s="51" t="s">
        <v>709</v>
      </c>
      <c r="D2553" t="s">
        <v>736</v>
      </c>
      <c r="E2553" s="2">
        <v>2.6819999999999999</v>
      </c>
    </row>
    <row r="2554" spans="1:5" x14ac:dyDescent="0.25">
      <c r="A2554" s="32" t="s">
        <v>767</v>
      </c>
      <c r="B2554" s="7">
        <v>2002</v>
      </c>
      <c r="C2554" s="51" t="s">
        <v>712</v>
      </c>
      <c r="D2554" t="s">
        <v>736</v>
      </c>
      <c r="E2554" s="2">
        <v>2.7709999999999999</v>
      </c>
    </row>
    <row r="2555" spans="1:5" x14ac:dyDescent="0.25">
      <c r="A2555" s="32" t="s">
        <v>767</v>
      </c>
      <c r="B2555" s="7">
        <v>2002</v>
      </c>
      <c r="C2555" s="51" t="s">
        <v>710</v>
      </c>
      <c r="D2555" t="s">
        <v>736</v>
      </c>
      <c r="E2555" s="2">
        <v>2.911</v>
      </c>
    </row>
    <row r="2556" spans="1:5" x14ac:dyDescent="0.25">
      <c r="A2556" s="32" t="s">
        <v>767</v>
      </c>
      <c r="B2556" s="7">
        <v>2002</v>
      </c>
      <c r="C2556" s="51" t="s">
        <v>702</v>
      </c>
      <c r="D2556" t="s">
        <v>736</v>
      </c>
      <c r="E2556" s="2">
        <v>3.0169999999999999</v>
      </c>
    </row>
    <row r="2557" spans="1:5" x14ac:dyDescent="0.25">
      <c r="A2557" s="32" t="s">
        <v>767</v>
      </c>
      <c r="B2557" s="7">
        <v>2002</v>
      </c>
      <c r="C2557" s="51" t="s">
        <v>703</v>
      </c>
      <c r="D2557" t="s">
        <v>736</v>
      </c>
      <c r="E2557" s="2">
        <v>3.1269999999999998</v>
      </c>
    </row>
    <row r="2558" spans="1:5" x14ac:dyDescent="0.25">
      <c r="A2558" s="32" t="s">
        <v>767</v>
      </c>
      <c r="B2558" s="7">
        <v>2002</v>
      </c>
      <c r="C2558" s="51" t="s">
        <v>704</v>
      </c>
      <c r="D2558" t="s">
        <v>736</v>
      </c>
      <c r="E2558" s="2">
        <v>3.073</v>
      </c>
    </row>
    <row r="2559" spans="1:5" x14ac:dyDescent="0.25">
      <c r="A2559" s="32" t="s">
        <v>767</v>
      </c>
      <c r="B2559" s="7">
        <v>2002</v>
      </c>
      <c r="C2559" s="51" t="s">
        <v>705</v>
      </c>
      <c r="D2559" t="s">
        <v>736</v>
      </c>
      <c r="E2559" s="2">
        <v>2.7639999999999998</v>
      </c>
    </row>
    <row r="2560" spans="1:5" x14ac:dyDescent="0.25">
      <c r="A2560" s="32" t="s">
        <v>767</v>
      </c>
      <c r="B2560" s="7">
        <v>2002</v>
      </c>
      <c r="C2560" s="51" t="s">
        <v>706</v>
      </c>
      <c r="D2560" t="s">
        <v>736</v>
      </c>
      <c r="E2560" s="2">
        <v>2.625</v>
      </c>
    </row>
    <row r="2561" spans="1:5" x14ac:dyDescent="0.25">
      <c r="A2561" s="32" t="s">
        <v>767</v>
      </c>
      <c r="B2561" s="7">
        <v>2003</v>
      </c>
      <c r="C2561" s="51" t="s">
        <v>713</v>
      </c>
      <c r="D2561" t="s">
        <v>736</v>
      </c>
      <c r="E2561" s="2">
        <v>2.7709999999999999</v>
      </c>
    </row>
    <row r="2562" spans="1:5" x14ac:dyDescent="0.25">
      <c r="A2562" s="32" t="s">
        <v>767</v>
      </c>
      <c r="B2562" s="7">
        <v>2003</v>
      </c>
      <c r="C2562" s="51" t="s">
        <v>707</v>
      </c>
      <c r="D2562" t="s">
        <v>736</v>
      </c>
      <c r="E2562" s="2">
        <v>3.2269999999999999</v>
      </c>
    </row>
    <row r="2563" spans="1:5" x14ac:dyDescent="0.25">
      <c r="A2563" s="32" t="s">
        <v>767</v>
      </c>
      <c r="B2563" s="7">
        <v>2003</v>
      </c>
      <c r="C2563" s="51" t="s">
        <v>708</v>
      </c>
      <c r="D2563" t="s">
        <v>736</v>
      </c>
      <c r="E2563" s="2">
        <v>3.9630000000000001</v>
      </c>
    </row>
    <row r="2564" spans="1:5" x14ac:dyDescent="0.25">
      <c r="A2564" s="32" t="s">
        <v>767</v>
      </c>
      <c r="B2564" s="7">
        <v>2003</v>
      </c>
      <c r="C2564" s="51" t="s">
        <v>699</v>
      </c>
      <c r="D2564" t="s">
        <v>736</v>
      </c>
      <c r="E2564" s="2">
        <v>3.6360000000000001</v>
      </c>
    </row>
    <row r="2565" spans="1:5" x14ac:dyDescent="0.25">
      <c r="A2565" s="32" t="s">
        <v>767</v>
      </c>
      <c r="B2565" s="7">
        <v>2003</v>
      </c>
      <c r="C2565" s="51" t="s">
        <v>709</v>
      </c>
      <c r="D2565" t="s">
        <v>736</v>
      </c>
      <c r="E2565" s="2">
        <v>4.3739999999999997</v>
      </c>
    </row>
    <row r="2566" spans="1:5" x14ac:dyDescent="0.25">
      <c r="A2566" s="32" t="s">
        <v>767</v>
      </c>
      <c r="B2566" s="7">
        <v>2003</v>
      </c>
      <c r="C2566" s="51" t="s">
        <v>712</v>
      </c>
      <c r="D2566" t="s">
        <v>736</v>
      </c>
      <c r="E2566" s="2">
        <v>4.4219999999999997</v>
      </c>
    </row>
    <row r="2567" spans="1:5" x14ac:dyDescent="0.25">
      <c r="A2567" s="32" t="s">
        <v>767</v>
      </c>
      <c r="B2567" s="7">
        <v>2003</v>
      </c>
      <c r="C2567" s="51" t="s">
        <v>710</v>
      </c>
      <c r="D2567" t="s">
        <v>736</v>
      </c>
      <c r="E2567" s="2">
        <v>4.1849999999999996</v>
      </c>
    </row>
    <row r="2568" spans="1:5" x14ac:dyDescent="0.25">
      <c r="A2568" s="32" t="s">
        <v>767</v>
      </c>
      <c r="B2568" s="7">
        <v>2003</v>
      </c>
      <c r="C2568" s="51" t="s">
        <v>702</v>
      </c>
      <c r="D2568" t="s">
        <v>736</v>
      </c>
      <c r="E2568" s="2">
        <v>3.907</v>
      </c>
    </row>
    <row r="2569" spans="1:5" x14ac:dyDescent="0.25">
      <c r="A2569" s="32" t="s">
        <v>767</v>
      </c>
      <c r="B2569" s="7">
        <v>2003</v>
      </c>
      <c r="C2569" s="51" t="s">
        <v>703</v>
      </c>
      <c r="D2569" t="s">
        <v>736</v>
      </c>
      <c r="E2569" s="2">
        <v>3.3650000000000002</v>
      </c>
    </row>
    <row r="2570" spans="1:5" x14ac:dyDescent="0.25">
      <c r="A2570" s="32" t="s">
        <v>767</v>
      </c>
      <c r="B2570" s="7">
        <v>2003</v>
      </c>
      <c r="C2570" s="51" t="s">
        <v>704</v>
      </c>
      <c r="D2570" t="s">
        <v>736</v>
      </c>
      <c r="E2570" s="2">
        <v>3.0339999999999998</v>
      </c>
    </row>
    <row r="2571" spans="1:5" x14ac:dyDescent="0.25">
      <c r="A2571" s="32" t="s">
        <v>767</v>
      </c>
      <c r="B2571" s="7">
        <v>2003</v>
      </c>
      <c r="C2571" s="51" t="s">
        <v>705</v>
      </c>
      <c r="D2571" t="s">
        <v>736</v>
      </c>
      <c r="E2571" s="2">
        <v>3.0230000000000001</v>
      </c>
    </row>
    <row r="2572" spans="1:5" x14ac:dyDescent="0.25">
      <c r="A2572" s="32" t="s">
        <v>767</v>
      </c>
      <c r="B2572" s="7">
        <v>2003</v>
      </c>
      <c r="C2572" s="51" t="s">
        <v>706</v>
      </c>
      <c r="D2572" t="s">
        <v>736</v>
      </c>
      <c r="E2572" s="2">
        <v>2.9489999999999998</v>
      </c>
    </row>
    <row r="2573" spans="1:5" x14ac:dyDescent="0.25">
      <c r="A2573" s="32" t="s">
        <v>767</v>
      </c>
      <c r="B2573" s="7">
        <v>2004</v>
      </c>
      <c r="C2573" s="51" t="s">
        <v>713</v>
      </c>
      <c r="D2573" t="s">
        <v>736</v>
      </c>
      <c r="E2573" s="2">
        <v>2.5870000000000002</v>
      </c>
    </row>
    <row r="2574" spans="1:5" x14ac:dyDescent="0.25">
      <c r="A2574" s="32" t="s">
        <v>767</v>
      </c>
      <c r="B2574" s="7">
        <v>2004</v>
      </c>
      <c r="C2574" s="51" t="s">
        <v>707</v>
      </c>
      <c r="D2574" t="s">
        <v>736</v>
      </c>
      <c r="E2574" s="2">
        <v>3.0390000000000001</v>
      </c>
    </row>
    <row r="2575" spans="1:5" x14ac:dyDescent="0.25">
      <c r="A2575" s="32" t="s">
        <v>767</v>
      </c>
      <c r="B2575" s="7">
        <v>2004</v>
      </c>
      <c r="C2575" s="51" t="s">
        <v>708</v>
      </c>
      <c r="D2575" t="s">
        <v>736</v>
      </c>
      <c r="E2575" s="2">
        <v>2.9830000000000001</v>
      </c>
    </row>
    <row r="2576" spans="1:5" x14ac:dyDescent="0.25">
      <c r="A2576" s="32" t="s">
        <v>767</v>
      </c>
      <c r="B2576" s="7">
        <v>2004</v>
      </c>
      <c r="C2576" s="51" t="s">
        <v>699</v>
      </c>
      <c r="D2576" t="s">
        <v>736</v>
      </c>
      <c r="E2576" s="2">
        <v>2.5</v>
      </c>
    </row>
    <row r="2577" spans="1:5" x14ac:dyDescent="0.25">
      <c r="A2577" s="32" t="s">
        <v>767</v>
      </c>
      <c r="B2577" s="7">
        <v>2004</v>
      </c>
      <c r="C2577" s="51" t="s">
        <v>709</v>
      </c>
      <c r="D2577" t="s">
        <v>736</v>
      </c>
      <c r="E2577" s="2">
        <v>3.6139999999999999</v>
      </c>
    </row>
    <row r="2578" spans="1:5" x14ac:dyDescent="0.25">
      <c r="A2578" s="32" t="s">
        <v>767</v>
      </c>
      <c r="B2578" s="7">
        <v>2004</v>
      </c>
      <c r="C2578" s="51" t="s">
        <v>712</v>
      </c>
      <c r="D2578" t="s">
        <v>736</v>
      </c>
      <c r="E2578" s="2">
        <v>3.931</v>
      </c>
    </row>
    <row r="2579" spans="1:5" x14ac:dyDescent="0.25">
      <c r="A2579" s="32" t="s">
        <v>767</v>
      </c>
      <c r="B2579" s="7">
        <v>2004</v>
      </c>
      <c r="C2579" s="51" t="s">
        <v>710</v>
      </c>
      <c r="D2579" t="s">
        <v>736</v>
      </c>
      <c r="E2579" s="2">
        <v>3.9289999999999998</v>
      </c>
    </row>
    <row r="2580" spans="1:5" x14ac:dyDescent="0.25">
      <c r="A2580" s="32" t="s">
        <v>767</v>
      </c>
      <c r="B2580" s="7">
        <v>2004</v>
      </c>
      <c r="C2580" s="51" t="s">
        <v>702</v>
      </c>
      <c r="D2580" t="s">
        <v>736</v>
      </c>
      <c r="E2580" s="2">
        <v>4.1920000000000002</v>
      </c>
    </row>
    <row r="2581" spans="1:5" x14ac:dyDescent="0.25">
      <c r="A2581" s="32" t="s">
        <v>767</v>
      </c>
      <c r="B2581" s="7">
        <v>2004</v>
      </c>
      <c r="C2581" s="51" t="s">
        <v>703</v>
      </c>
      <c r="D2581" t="s">
        <v>736</v>
      </c>
      <c r="E2581" s="2">
        <v>4.0170000000000003</v>
      </c>
    </row>
    <row r="2582" spans="1:5" x14ac:dyDescent="0.25">
      <c r="A2582" s="32" t="s">
        <v>767</v>
      </c>
      <c r="B2582" s="7">
        <v>2004</v>
      </c>
      <c r="C2582" s="51" t="s">
        <v>704</v>
      </c>
      <c r="D2582" t="s">
        <v>736</v>
      </c>
      <c r="E2582" s="2">
        <v>2.66</v>
      </c>
    </row>
    <row r="2583" spans="1:5" x14ac:dyDescent="0.25">
      <c r="A2583" s="32" t="s">
        <v>767</v>
      </c>
      <c r="B2583" s="7">
        <v>2004</v>
      </c>
      <c r="C2583" s="51" t="s">
        <v>705</v>
      </c>
      <c r="D2583" t="s">
        <v>736</v>
      </c>
      <c r="E2583" s="2">
        <v>2.597</v>
      </c>
    </row>
    <row r="2584" spans="1:5" x14ac:dyDescent="0.25">
      <c r="A2584" s="32" t="s">
        <v>767</v>
      </c>
      <c r="B2584" s="7">
        <v>2004</v>
      </c>
      <c r="C2584" s="51" t="s">
        <v>706</v>
      </c>
      <c r="D2584" t="s">
        <v>736</v>
      </c>
      <c r="E2584" s="2">
        <v>2.4590000000000001</v>
      </c>
    </row>
    <row r="2585" spans="1:5" x14ac:dyDescent="0.25">
      <c r="A2585" s="32" t="s">
        <v>767</v>
      </c>
      <c r="B2585" s="7">
        <v>2005</v>
      </c>
      <c r="C2585" s="51" t="s">
        <v>713</v>
      </c>
      <c r="D2585" t="s">
        <v>736</v>
      </c>
      <c r="E2585" s="2">
        <v>2.4649999999999999</v>
      </c>
    </row>
    <row r="2586" spans="1:5" x14ac:dyDescent="0.25">
      <c r="A2586" s="32" t="s">
        <v>767</v>
      </c>
      <c r="B2586" s="7">
        <v>2005</v>
      </c>
      <c r="C2586" s="51" t="s">
        <v>707</v>
      </c>
      <c r="D2586" t="s">
        <v>736</v>
      </c>
      <c r="E2586" s="2">
        <v>2.1850000000000001</v>
      </c>
    </row>
    <row r="2587" spans="1:5" x14ac:dyDescent="0.25">
      <c r="A2587" s="32" t="s">
        <v>767</v>
      </c>
      <c r="B2587" s="7">
        <v>2005</v>
      </c>
      <c r="C2587" s="51" t="s">
        <v>708</v>
      </c>
      <c r="D2587" t="s">
        <v>736</v>
      </c>
      <c r="E2587" s="2">
        <v>2.855</v>
      </c>
    </row>
    <row r="2588" spans="1:5" x14ac:dyDescent="0.25">
      <c r="A2588" s="32" t="s">
        <v>767</v>
      </c>
      <c r="B2588" s="7">
        <v>2005</v>
      </c>
      <c r="C2588" s="51" t="s">
        <v>699</v>
      </c>
      <c r="D2588" t="s">
        <v>736</v>
      </c>
      <c r="E2588" s="2">
        <v>3.153</v>
      </c>
    </row>
    <row r="2589" spans="1:5" x14ac:dyDescent="0.25">
      <c r="A2589" s="32" t="s">
        <v>767</v>
      </c>
      <c r="B2589" s="7">
        <v>2005</v>
      </c>
      <c r="C2589" s="51" t="s">
        <v>709</v>
      </c>
      <c r="D2589" t="s">
        <v>736</v>
      </c>
      <c r="E2589" s="2">
        <v>3.2970000000000002</v>
      </c>
    </row>
    <row r="2590" spans="1:5" x14ac:dyDescent="0.25">
      <c r="A2590" s="32" t="s">
        <v>767</v>
      </c>
      <c r="B2590" s="7">
        <v>2005</v>
      </c>
      <c r="C2590" s="51" t="s">
        <v>712</v>
      </c>
      <c r="D2590" t="s">
        <v>736</v>
      </c>
      <c r="E2590" s="2">
        <v>3.4340000000000002</v>
      </c>
    </row>
    <row r="2591" spans="1:5" x14ac:dyDescent="0.25">
      <c r="A2591" s="32" t="s">
        <v>767</v>
      </c>
      <c r="B2591" s="7">
        <v>2005</v>
      </c>
      <c r="C2591" s="51" t="s">
        <v>710</v>
      </c>
      <c r="D2591" t="s">
        <v>736</v>
      </c>
      <c r="E2591" s="2">
        <v>3.9870000000000001</v>
      </c>
    </row>
    <row r="2592" spans="1:5" x14ac:dyDescent="0.25">
      <c r="A2592" s="32" t="s">
        <v>767</v>
      </c>
      <c r="B2592" s="7">
        <v>2005</v>
      </c>
      <c r="C2592" s="51" t="s">
        <v>702</v>
      </c>
      <c r="D2592" t="s">
        <v>736</v>
      </c>
      <c r="E2592" s="2">
        <v>3.5150000000000001</v>
      </c>
    </row>
    <row r="2593" spans="1:5" x14ac:dyDescent="0.25">
      <c r="A2593" s="32" t="s">
        <v>767</v>
      </c>
      <c r="B2593" s="7">
        <v>2005</v>
      </c>
      <c r="C2593" s="51" t="s">
        <v>703</v>
      </c>
      <c r="D2593" t="s">
        <v>736</v>
      </c>
      <c r="E2593" s="2">
        <v>2.3450000000000002</v>
      </c>
    </row>
    <row r="2594" spans="1:5" x14ac:dyDescent="0.25">
      <c r="A2594" s="32" t="s">
        <v>767</v>
      </c>
      <c r="B2594" s="7">
        <v>2005</v>
      </c>
      <c r="C2594" s="51" t="s">
        <v>704</v>
      </c>
      <c r="D2594" t="s">
        <v>736</v>
      </c>
      <c r="E2594" s="2">
        <v>2.5579999999999998</v>
      </c>
    </row>
    <row r="2595" spans="1:5" x14ac:dyDescent="0.25">
      <c r="A2595" s="32" t="s">
        <v>767</v>
      </c>
      <c r="B2595" s="7">
        <v>2005</v>
      </c>
      <c r="C2595" s="51" t="s">
        <v>705</v>
      </c>
      <c r="D2595" t="s">
        <v>736</v>
      </c>
      <c r="E2595" s="2">
        <v>2.5179999999999998</v>
      </c>
    </row>
    <row r="2596" spans="1:5" x14ac:dyDescent="0.25">
      <c r="A2596" s="32" t="s">
        <v>767</v>
      </c>
      <c r="B2596" s="7">
        <v>2005</v>
      </c>
      <c r="C2596" s="51" t="s">
        <v>706</v>
      </c>
      <c r="D2596" t="s">
        <v>736</v>
      </c>
      <c r="E2596" s="2">
        <v>2.7080000000000002</v>
      </c>
    </row>
    <row r="2597" spans="1:5" x14ac:dyDescent="0.25">
      <c r="A2597" s="32" t="s">
        <v>767</v>
      </c>
      <c r="B2597" s="7">
        <v>2006</v>
      </c>
      <c r="C2597" s="51" t="s">
        <v>713</v>
      </c>
      <c r="D2597" t="s">
        <v>736</v>
      </c>
      <c r="E2597" s="2">
        <v>2.5819999999999999</v>
      </c>
    </row>
    <row r="2598" spans="1:5" x14ac:dyDescent="0.25">
      <c r="A2598" s="32" t="s">
        <v>767</v>
      </c>
      <c r="B2598" s="7">
        <v>2006</v>
      </c>
      <c r="C2598" s="51" t="s">
        <v>707</v>
      </c>
      <c r="D2598" t="s">
        <v>736</v>
      </c>
      <c r="E2598" s="2">
        <v>2.11</v>
      </c>
    </row>
    <row r="2599" spans="1:5" x14ac:dyDescent="0.25">
      <c r="A2599" s="32" t="s">
        <v>767</v>
      </c>
      <c r="B2599" s="7">
        <v>2006</v>
      </c>
      <c r="C2599" s="51" t="s">
        <v>708</v>
      </c>
      <c r="D2599" t="s">
        <v>736</v>
      </c>
      <c r="E2599" s="2">
        <v>1.7450000000000001</v>
      </c>
    </row>
    <row r="2600" spans="1:5" x14ac:dyDescent="0.25">
      <c r="A2600" s="32" t="s">
        <v>767</v>
      </c>
      <c r="B2600" s="7">
        <v>2006</v>
      </c>
      <c r="C2600" s="51" t="s">
        <v>699</v>
      </c>
      <c r="D2600" t="s">
        <v>736</v>
      </c>
      <c r="E2600" s="2">
        <v>2.3780000000000001</v>
      </c>
    </row>
    <row r="2601" spans="1:5" x14ac:dyDescent="0.25">
      <c r="A2601" s="32" t="s">
        <v>767</v>
      </c>
      <c r="B2601" s="7">
        <v>2006</v>
      </c>
      <c r="C2601" s="51" t="s">
        <v>709</v>
      </c>
      <c r="D2601" t="s">
        <v>736</v>
      </c>
      <c r="E2601" s="2">
        <v>2.6640000000000001</v>
      </c>
    </row>
    <row r="2602" spans="1:5" x14ac:dyDescent="0.25">
      <c r="A2602" s="32" t="s">
        <v>767</v>
      </c>
      <c r="B2602" s="7">
        <v>2006</v>
      </c>
      <c r="C2602" s="51" t="s">
        <v>712</v>
      </c>
      <c r="D2602" t="s">
        <v>736</v>
      </c>
      <c r="E2602" s="2">
        <v>2.952</v>
      </c>
    </row>
    <row r="2603" spans="1:5" x14ac:dyDescent="0.25">
      <c r="A2603" s="32" t="s">
        <v>767</v>
      </c>
      <c r="B2603" s="7">
        <v>2006</v>
      </c>
      <c r="C2603" s="51" t="s">
        <v>710</v>
      </c>
      <c r="D2603" t="s">
        <v>736</v>
      </c>
      <c r="E2603" s="2">
        <v>1.6279999999999999</v>
      </c>
    </row>
    <row r="2604" spans="1:5" x14ac:dyDescent="0.25">
      <c r="A2604" s="32" t="s">
        <v>767</v>
      </c>
      <c r="B2604" s="7">
        <v>2006</v>
      </c>
      <c r="C2604" s="51" t="s">
        <v>702</v>
      </c>
      <c r="D2604" t="s">
        <v>736</v>
      </c>
      <c r="E2604" s="2">
        <v>2.4279999999999999</v>
      </c>
    </row>
    <row r="2605" spans="1:5" x14ac:dyDescent="0.25">
      <c r="A2605" s="32" t="s">
        <v>767</v>
      </c>
      <c r="B2605" s="7">
        <v>2006</v>
      </c>
      <c r="C2605" s="51" t="s">
        <v>703</v>
      </c>
      <c r="D2605" t="s">
        <v>736</v>
      </c>
      <c r="E2605" s="2">
        <v>2.5550000000000002</v>
      </c>
    </row>
    <row r="2606" spans="1:5" x14ac:dyDescent="0.25">
      <c r="A2606" s="32" t="s">
        <v>767</v>
      </c>
      <c r="B2606" s="7">
        <v>2006</v>
      </c>
      <c r="C2606" s="51" t="s">
        <v>704</v>
      </c>
      <c r="D2606" t="s">
        <v>736</v>
      </c>
      <c r="E2606" s="2">
        <v>2.6579999999999999</v>
      </c>
    </row>
    <row r="2607" spans="1:5" x14ac:dyDescent="0.25">
      <c r="A2607" s="32" t="s">
        <v>767</v>
      </c>
      <c r="B2607" s="7">
        <v>2006</v>
      </c>
      <c r="C2607" s="51" t="s">
        <v>705</v>
      </c>
      <c r="D2607" t="s">
        <v>736</v>
      </c>
      <c r="E2607" s="2">
        <v>2.7490000000000001</v>
      </c>
    </row>
    <row r="2608" spans="1:5" x14ac:dyDescent="0.25">
      <c r="A2608" s="32" t="s">
        <v>767</v>
      </c>
      <c r="B2608" s="7">
        <v>2006</v>
      </c>
      <c r="C2608" s="51" t="s">
        <v>706</v>
      </c>
      <c r="D2608" t="s">
        <v>736</v>
      </c>
      <c r="E2608" s="2">
        <v>2.085</v>
      </c>
    </row>
    <row r="2609" spans="1:5" x14ac:dyDescent="0.25">
      <c r="A2609" s="32" t="s">
        <v>767</v>
      </c>
      <c r="B2609" s="7">
        <v>2007</v>
      </c>
      <c r="C2609" s="51" t="s">
        <v>713</v>
      </c>
      <c r="D2609" t="s">
        <v>736</v>
      </c>
      <c r="E2609" s="2">
        <v>2.0779999999999998</v>
      </c>
    </row>
    <row r="2610" spans="1:5" x14ac:dyDescent="0.25">
      <c r="A2610" s="32" t="s">
        <v>767</v>
      </c>
      <c r="B2610" s="7">
        <v>2007</v>
      </c>
      <c r="C2610" s="51" t="s">
        <v>707</v>
      </c>
      <c r="D2610" t="s">
        <v>736</v>
      </c>
      <c r="E2610" s="2">
        <v>1.7410000000000001</v>
      </c>
    </row>
    <row r="2611" spans="1:5" x14ac:dyDescent="0.25">
      <c r="A2611" s="32" t="s">
        <v>767</v>
      </c>
      <c r="B2611" s="7">
        <v>2007</v>
      </c>
      <c r="C2611" s="51" t="s">
        <v>708</v>
      </c>
      <c r="D2611" t="s">
        <v>736</v>
      </c>
      <c r="E2611" s="2">
        <v>2.67</v>
      </c>
    </row>
    <row r="2612" spans="1:5" x14ac:dyDescent="0.25">
      <c r="A2612" s="32" t="s">
        <v>767</v>
      </c>
      <c r="B2612" s="7">
        <v>2007</v>
      </c>
      <c r="C2612" s="51" t="s">
        <v>699</v>
      </c>
      <c r="D2612" t="s">
        <v>736</v>
      </c>
      <c r="E2612" s="2">
        <v>3.3740000000000001</v>
      </c>
    </row>
    <row r="2613" spans="1:5" x14ac:dyDescent="0.25">
      <c r="A2613" s="32" t="s">
        <v>767</v>
      </c>
      <c r="B2613" s="7">
        <v>2007</v>
      </c>
      <c r="C2613" s="51" t="s">
        <v>709</v>
      </c>
      <c r="D2613" t="s">
        <v>736</v>
      </c>
      <c r="E2613" s="2">
        <v>3.1320000000000001</v>
      </c>
    </row>
    <row r="2614" spans="1:5" x14ac:dyDescent="0.25">
      <c r="A2614" s="32" t="s">
        <v>767</v>
      </c>
      <c r="B2614" s="7">
        <v>2007</v>
      </c>
      <c r="C2614" s="51" t="s">
        <v>712</v>
      </c>
      <c r="D2614" t="s">
        <v>736</v>
      </c>
      <c r="E2614" s="2">
        <v>2.91</v>
      </c>
    </row>
    <row r="2615" spans="1:5" x14ac:dyDescent="0.25">
      <c r="A2615" s="32" t="s">
        <v>767</v>
      </c>
      <c r="B2615" s="7">
        <v>2007</v>
      </c>
      <c r="C2615" s="51" t="s">
        <v>710</v>
      </c>
      <c r="D2615" t="s">
        <v>736</v>
      </c>
      <c r="E2615" s="2">
        <v>2.0339999999999998</v>
      </c>
    </row>
    <row r="2616" spans="1:5" x14ac:dyDescent="0.25">
      <c r="A2616" s="32" t="s">
        <v>767</v>
      </c>
      <c r="B2616" s="7">
        <v>2007</v>
      </c>
      <c r="C2616" s="51" t="s">
        <v>702</v>
      </c>
      <c r="D2616" t="s">
        <v>736</v>
      </c>
      <c r="E2616" s="2">
        <v>1.8759999999999999</v>
      </c>
    </row>
    <row r="2617" spans="1:5" x14ac:dyDescent="0.25">
      <c r="A2617" s="32" t="s">
        <v>767</v>
      </c>
      <c r="B2617" s="7">
        <v>2007</v>
      </c>
      <c r="C2617" s="51" t="s">
        <v>703</v>
      </c>
      <c r="D2617" t="s">
        <v>736</v>
      </c>
      <c r="E2617" s="2">
        <v>2.1549999999999998</v>
      </c>
    </row>
    <row r="2618" spans="1:5" x14ac:dyDescent="0.25">
      <c r="A2618" s="32" t="s">
        <v>767</v>
      </c>
      <c r="B2618" s="7">
        <v>2007</v>
      </c>
      <c r="C2618" s="51" t="s">
        <v>704</v>
      </c>
      <c r="D2618" t="s">
        <v>736</v>
      </c>
      <c r="E2618" s="2">
        <v>2.081</v>
      </c>
    </row>
    <row r="2619" spans="1:5" x14ac:dyDescent="0.25">
      <c r="A2619" s="32" t="s">
        <v>767</v>
      </c>
      <c r="B2619" s="7">
        <v>2007</v>
      </c>
      <c r="C2619" s="51" t="s">
        <v>705</v>
      </c>
      <c r="D2619" t="s">
        <v>736</v>
      </c>
      <c r="E2619" s="2">
        <v>2.7559999999999998</v>
      </c>
    </row>
    <row r="2620" spans="1:5" x14ac:dyDescent="0.25">
      <c r="A2620" s="32" t="s">
        <v>767</v>
      </c>
      <c r="B2620" s="7">
        <v>2007</v>
      </c>
      <c r="C2620" s="51" t="s">
        <v>706</v>
      </c>
      <c r="D2620" t="s">
        <v>736</v>
      </c>
      <c r="E2620" s="2">
        <v>3.6459999999999999</v>
      </c>
    </row>
    <row r="2621" spans="1:5" x14ac:dyDescent="0.25">
      <c r="A2621" s="32" t="s">
        <v>767</v>
      </c>
      <c r="B2621" s="7">
        <v>2008</v>
      </c>
      <c r="C2621" s="51" t="s">
        <v>713</v>
      </c>
      <c r="D2621" t="s">
        <v>736</v>
      </c>
      <c r="E2621" s="2">
        <v>2.77</v>
      </c>
    </row>
    <row r="2622" spans="1:5" x14ac:dyDescent="0.25">
      <c r="A2622" s="32" t="s">
        <v>767</v>
      </c>
      <c r="B2622" s="7">
        <v>2008</v>
      </c>
      <c r="C2622" s="51" t="s">
        <v>707</v>
      </c>
      <c r="D2622" t="s">
        <v>736</v>
      </c>
      <c r="E2622" s="2">
        <v>3.2370000000000001</v>
      </c>
    </row>
    <row r="2623" spans="1:5" x14ac:dyDescent="0.25">
      <c r="A2623" s="32" t="s">
        <v>767</v>
      </c>
      <c r="B2623" s="7">
        <v>2008</v>
      </c>
      <c r="C2623" s="51" t="s">
        <v>708</v>
      </c>
      <c r="D2623" t="s">
        <v>736</v>
      </c>
      <c r="E2623" s="2">
        <v>3.016</v>
      </c>
    </row>
    <row r="2624" spans="1:5" x14ac:dyDescent="0.25">
      <c r="A2624" s="32" t="s">
        <v>767</v>
      </c>
      <c r="B2624" s="7">
        <v>2008</v>
      </c>
      <c r="C2624" s="51" t="s">
        <v>699</v>
      </c>
      <c r="D2624" t="s">
        <v>736</v>
      </c>
      <c r="E2624" s="2">
        <v>3.3820000000000001</v>
      </c>
    </row>
    <row r="2625" spans="1:5" x14ac:dyDescent="0.25">
      <c r="A2625" s="32" t="s">
        <v>767</v>
      </c>
      <c r="B2625" s="7">
        <v>2008</v>
      </c>
      <c r="C2625" s="51" t="s">
        <v>709</v>
      </c>
      <c r="D2625" t="s">
        <v>736</v>
      </c>
      <c r="E2625" s="2">
        <v>4.2789999999999999</v>
      </c>
    </row>
    <row r="2626" spans="1:5" x14ac:dyDescent="0.25">
      <c r="A2626" s="32" t="s">
        <v>767</v>
      </c>
      <c r="B2626" s="7">
        <v>2008</v>
      </c>
      <c r="C2626" s="51" t="s">
        <v>712</v>
      </c>
      <c r="D2626" t="s">
        <v>736</v>
      </c>
      <c r="E2626" s="2">
        <v>3.5950000000000002</v>
      </c>
    </row>
    <row r="2627" spans="1:5" x14ac:dyDescent="0.25">
      <c r="A2627" s="32" t="s">
        <v>767</v>
      </c>
      <c r="B2627" s="7">
        <v>2008</v>
      </c>
      <c r="C2627" s="51" t="s">
        <v>710</v>
      </c>
      <c r="D2627" t="s">
        <v>736</v>
      </c>
      <c r="E2627" s="2">
        <v>3.589</v>
      </c>
    </row>
    <row r="2628" spans="1:5" x14ac:dyDescent="0.25">
      <c r="A2628" s="32" t="s">
        <v>767</v>
      </c>
      <c r="B2628" s="7">
        <v>2008</v>
      </c>
      <c r="C2628" s="51" t="s">
        <v>702</v>
      </c>
      <c r="D2628" t="s">
        <v>736</v>
      </c>
      <c r="E2628" s="2">
        <v>2.8719999999999999</v>
      </c>
    </row>
    <row r="2629" spans="1:5" x14ac:dyDescent="0.25">
      <c r="A2629" s="32" t="s">
        <v>767</v>
      </c>
      <c r="B2629" s="7">
        <v>2008</v>
      </c>
      <c r="C2629" s="51" t="s">
        <v>703</v>
      </c>
      <c r="D2629" t="s">
        <v>736</v>
      </c>
      <c r="E2629" s="2">
        <v>2.702</v>
      </c>
    </row>
    <row r="2630" spans="1:5" x14ac:dyDescent="0.25">
      <c r="A2630" s="32" t="s">
        <v>767</v>
      </c>
      <c r="B2630" s="7">
        <v>2008</v>
      </c>
      <c r="C2630" s="51" t="s">
        <v>704</v>
      </c>
      <c r="D2630" t="s">
        <v>736</v>
      </c>
      <c r="E2630" s="2">
        <v>2.4670000000000001</v>
      </c>
    </row>
    <row r="2631" spans="1:5" x14ac:dyDescent="0.25">
      <c r="A2631" s="32" t="s">
        <v>767</v>
      </c>
      <c r="B2631" s="7">
        <v>2008</v>
      </c>
      <c r="C2631" s="51" t="s">
        <v>705</v>
      </c>
      <c r="D2631" t="s">
        <v>736</v>
      </c>
      <c r="E2631" s="2">
        <v>2.093</v>
      </c>
    </row>
    <row r="2632" spans="1:5" x14ac:dyDescent="0.25">
      <c r="A2632" s="32" t="s">
        <v>767</v>
      </c>
      <c r="B2632" s="7">
        <v>2008</v>
      </c>
      <c r="C2632" s="51" t="s">
        <v>706</v>
      </c>
      <c r="D2632" t="s">
        <v>736</v>
      </c>
      <c r="E2632" s="2">
        <v>2.75</v>
      </c>
    </row>
    <row r="2633" spans="1:5" x14ac:dyDescent="0.25">
      <c r="A2633" s="32" t="s">
        <v>767</v>
      </c>
      <c r="B2633" s="7">
        <v>2009</v>
      </c>
      <c r="C2633" s="51" t="s">
        <v>713</v>
      </c>
      <c r="D2633" t="s">
        <v>736</v>
      </c>
      <c r="E2633" s="2">
        <v>4.0380000000000003</v>
      </c>
    </row>
    <row r="2634" spans="1:5" x14ac:dyDescent="0.25">
      <c r="A2634" s="32" t="s">
        <v>767</v>
      </c>
      <c r="B2634" s="7">
        <v>2009</v>
      </c>
      <c r="C2634" s="51" t="s">
        <v>707</v>
      </c>
      <c r="D2634" t="s">
        <v>736</v>
      </c>
      <c r="E2634" s="2">
        <v>2.4910000000000001</v>
      </c>
    </row>
    <row r="2635" spans="1:5" x14ac:dyDescent="0.25">
      <c r="A2635" s="32" t="s">
        <v>767</v>
      </c>
      <c r="B2635" s="7">
        <v>2009</v>
      </c>
      <c r="C2635" s="51" t="s">
        <v>708</v>
      </c>
      <c r="D2635" t="s">
        <v>736</v>
      </c>
      <c r="E2635" s="2">
        <v>1.7250000000000001</v>
      </c>
    </row>
    <row r="2636" spans="1:5" x14ac:dyDescent="0.25">
      <c r="A2636" s="32" t="s">
        <v>767</v>
      </c>
      <c r="B2636" s="7">
        <v>2009</v>
      </c>
      <c r="C2636" s="51" t="s">
        <v>699</v>
      </c>
      <c r="D2636" t="s">
        <v>736</v>
      </c>
      <c r="E2636" s="2">
        <v>2.4889999999999999</v>
      </c>
    </row>
    <row r="2637" spans="1:5" x14ac:dyDescent="0.25">
      <c r="A2637" s="32" t="s">
        <v>767</v>
      </c>
      <c r="B2637" s="7">
        <v>2009</v>
      </c>
      <c r="C2637" s="51" t="s">
        <v>709</v>
      </c>
      <c r="D2637" t="s">
        <v>736</v>
      </c>
      <c r="E2637" s="2">
        <v>3.58</v>
      </c>
    </row>
    <row r="2638" spans="1:5" x14ac:dyDescent="0.25">
      <c r="A2638" s="32" t="s">
        <v>767</v>
      </c>
      <c r="B2638" s="7">
        <v>2009</v>
      </c>
      <c r="C2638" s="51" t="s">
        <v>712</v>
      </c>
      <c r="D2638" t="s">
        <v>736</v>
      </c>
      <c r="E2638" s="2">
        <v>3.9020000000000001</v>
      </c>
    </row>
    <row r="2639" spans="1:5" x14ac:dyDescent="0.25">
      <c r="A2639" s="32" t="s">
        <v>767</v>
      </c>
      <c r="B2639" s="7">
        <v>2009</v>
      </c>
      <c r="C2639" s="51" t="s">
        <v>710</v>
      </c>
      <c r="D2639" t="s">
        <v>736</v>
      </c>
      <c r="E2639" s="2">
        <v>3.012</v>
      </c>
    </row>
    <row r="2640" spans="1:5" x14ac:dyDescent="0.25">
      <c r="A2640" s="32" t="s">
        <v>767</v>
      </c>
      <c r="B2640" s="7">
        <v>2009</v>
      </c>
      <c r="C2640" s="51" t="s">
        <v>702</v>
      </c>
      <c r="D2640" t="s">
        <v>736</v>
      </c>
      <c r="E2640" s="2">
        <v>3.1749999999999998</v>
      </c>
    </row>
    <row r="2641" spans="1:5" x14ac:dyDescent="0.25">
      <c r="A2641" s="32" t="s">
        <v>767</v>
      </c>
      <c r="B2641" s="7">
        <v>2009</v>
      </c>
      <c r="C2641" s="51" t="s">
        <v>703</v>
      </c>
      <c r="D2641" t="s">
        <v>736</v>
      </c>
      <c r="E2641" s="2">
        <v>2.722</v>
      </c>
    </row>
    <row r="2642" spans="1:5" x14ac:dyDescent="0.25">
      <c r="A2642" s="32" t="s">
        <v>767</v>
      </c>
      <c r="B2642" s="7">
        <v>2009</v>
      </c>
      <c r="C2642" s="51" t="s">
        <v>704</v>
      </c>
      <c r="D2642" t="s">
        <v>736</v>
      </c>
      <c r="E2642" s="2">
        <v>3.282</v>
      </c>
    </row>
    <row r="2643" spans="1:5" x14ac:dyDescent="0.25">
      <c r="A2643" s="32" t="s">
        <v>767</v>
      </c>
      <c r="B2643" s="7">
        <v>2009</v>
      </c>
      <c r="C2643" s="51" t="s">
        <v>705</v>
      </c>
      <c r="D2643" t="s">
        <v>736</v>
      </c>
      <c r="E2643" s="2">
        <v>3.0190000000000001</v>
      </c>
    </row>
    <row r="2644" spans="1:5" x14ac:dyDescent="0.25">
      <c r="A2644" s="32" t="s">
        <v>767</v>
      </c>
      <c r="B2644" s="7">
        <v>2009</v>
      </c>
      <c r="C2644" s="51" t="s">
        <v>706</v>
      </c>
      <c r="D2644" t="s">
        <v>736</v>
      </c>
      <c r="E2644" s="2">
        <v>3.51</v>
      </c>
    </row>
    <row r="2645" spans="1:5" x14ac:dyDescent="0.25">
      <c r="A2645" s="32" t="s">
        <v>767</v>
      </c>
      <c r="B2645" s="7">
        <v>2010</v>
      </c>
      <c r="C2645" s="51" t="s">
        <v>713</v>
      </c>
      <c r="D2645" t="s">
        <v>736</v>
      </c>
      <c r="E2645" s="2">
        <v>2.3159999999999998</v>
      </c>
    </row>
    <row r="2646" spans="1:5" x14ac:dyDescent="0.25">
      <c r="A2646" s="32" t="s">
        <v>767</v>
      </c>
      <c r="B2646" s="7">
        <v>2010</v>
      </c>
      <c r="C2646" s="51" t="s">
        <v>707</v>
      </c>
      <c r="D2646" t="s">
        <v>736</v>
      </c>
      <c r="E2646" s="2">
        <v>1.9790000000000001</v>
      </c>
    </row>
    <row r="2647" spans="1:5" x14ac:dyDescent="0.25">
      <c r="A2647" s="32" t="s">
        <v>767</v>
      </c>
      <c r="B2647" s="7">
        <v>2010</v>
      </c>
      <c r="C2647" s="51" t="s">
        <v>708</v>
      </c>
      <c r="D2647" t="s">
        <v>736</v>
      </c>
      <c r="E2647" s="2">
        <v>2.4409999999999998</v>
      </c>
    </row>
    <row r="2648" spans="1:5" x14ac:dyDescent="0.25">
      <c r="A2648" s="32" t="s">
        <v>767</v>
      </c>
      <c r="B2648" s="7">
        <v>2010</v>
      </c>
      <c r="C2648" s="51" t="s">
        <v>699</v>
      </c>
      <c r="D2648" t="s">
        <v>736</v>
      </c>
      <c r="E2648" s="2">
        <v>2.4140000000000001</v>
      </c>
    </row>
    <row r="2649" spans="1:5" x14ac:dyDescent="0.25">
      <c r="A2649" s="32" t="s">
        <v>767</v>
      </c>
      <c r="B2649" s="7">
        <v>2010</v>
      </c>
      <c r="C2649" s="51" t="s">
        <v>709</v>
      </c>
      <c r="D2649" t="s">
        <v>736</v>
      </c>
      <c r="E2649" s="2">
        <v>2.089</v>
      </c>
    </row>
    <row r="2650" spans="1:5" x14ac:dyDescent="0.25">
      <c r="A2650" s="32" t="s">
        <v>767</v>
      </c>
      <c r="B2650" s="7">
        <v>2010</v>
      </c>
      <c r="C2650" s="51" t="s">
        <v>712</v>
      </c>
      <c r="D2650" t="s">
        <v>736</v>
      </c>
      <c r="E2650" s="2">
        <v>2.355</v>
      </c>
    </row>
    <row r="2651" spans="1:5" x14ac:dyDescent="0.25">
      <c r="A2651" s="32" t="s">
        <v>767</v>
      </c>
      <c r="B2651" s="7">
        <v>2010</v>
      </c>
      <c r="C2651" s="51" t="s">
        <v>710</v>
      </c>
      <c r="D2651" t="s">
        <v>736</v>
      </c>
      <c r="E2651" s="2">
        <v>2.4169999999999998</v>
      </c>
    </row>
    <row r="2652" spans="1:5" x14ac:dyDescent="0.25">
      <c r="A2652" s="32" t="s">
        <v>767</v>
      </c>
      <c r="B2652" s="7">
        <v>2010</v>
      </c>
      <c r="C2652" s="51" t="s">
        <v>702</v>
      </c>
      <c r="D2652" t="s">
        <v>736</v>
      </c>
      <c r="E2652" s="2">
        <v>2.7610000000000001</v>
      </c>
    </row>
    <row r="2653" spans="1:5" x14ac:dyDescent="0.25">
      <c r="A2653" s="32" t="s">
        <v>767</v>
      </c>
      <c r="B2653" s="7">
        <v>2010</v>
      </c>
      <c r="C2653" s="51" t="s">
        <v>703</v>
      </c>
      <c r="D2653" t="s">
        <v>736</v>
      </c>
      <c r="E2653" s="2">
        <v>2.7130000000000001</v>
      </c>
    </row>
    <row r="2654" spans="1:5" x14ac:dyDescent="0.25">
      <c r="A2654" s="32" t="s">
        <v>767</v>
      </c>
      <c r="B2654" s="7">
        <v>2010</v>
      </c>
      <c r="C2654" s="51" t="s">
        <v>704</v>
      </c>
      <c r="D2654" t="s">
        <v>736</v>
      </c>
      <c r="E2654" s="2">
        <v>2.9359999999999999</v>
      </c>
    </row>
    <row r="2655" spans="1:5" x14ac:dyDescent="0.25">
      <c r="A2655" s="32" t="s">
        <v>767</v>
      </c>
      <c r="B2655" s="7">
        <v>2010</v>
      </c>
      <c r="C2655" s="51" t="s">
        <v>705</v>
      </c>
      <c r="D2655" t="s">
        <v>736</v>
      </c>
      <c r="E2655" s="2">
        <v>2.4750000000000001</v>
      </c>
    </row>
    <row r="2656" spans="1:5" x14ac:dyDescent="0.25">
      <c r="A2656" s="32" t="s">
        <v>767</v>
      </c>
      <c r="B2656" s="7">
        <v>2010</v>
      </c>
      <c r="C2656" s="51" t="s">
        <v>706</v>
      </c>
      <c r="D2656" t="s">
        <v>736</v>
      </c>
      <c r="E2656" s="2">
        <v>2.16</v>
      </c>
    </row>
    <row r="2657" spans="1:5" x14ac:dyDescent="0.25">
      <c r="A2657" s="32" t="s">
        <v>767</v>
      </c>
      <c r="B2657" s="7">
        <v>2011</v>
      </c>
      <c r="C2657" s="51" t="s">
        <v>713</v>
      </c>
      <c r="D2657" t="s">
        <v>736</v>
      </c>
      <c r="E2657" s="2">
        <v>2.9889999999999999</v>
      </c>
    </row>
    <row r="2658" spans="1:5" x14ac:dyDescent="0.25">
      <c r="A2658" s="32" t="s">
        <v>767</v>
      </c>
      <c r="B2658" s="7">
        <v>2011</v>
      </c>
      <c r="C2658" s="51" t="s">
        <v>707</v>
      </c>
      <c r="D2658" t="s">
        <v>736</v>
      </c>
      <c r="E2658" s="2">
        <v>3.536</v>
      </c>
    </row>
    <row r="2659" spans="1:5" x14ac:dyDescent="0.25">
      <c r="A2659" s="32" t="s">
        <v>767</v>
      </c>
      <c r="B2659" s="7">
        <v>2011</v>
      </c>
      <c r="C2659" s="51" t="s">
        <v>708</v>
      </c>
      <c r="D2659" t="s">
        <v>736</v>
      </c>
      <c r="E2659" s="2">
        <v>4.3600000000000003</v>
      </c>
    </row>
    <row r="2660" spans="1:5" x14ac:dyDescent="0.25">
      <c r="A2660" s="32" t="s">
        <v>767</v>
      </c>
      <c r="B2660" s="7">
        <v>2011</v>
      </c>
      <c r="C2660" s="51" t="s">
        <v>699</v>
      </c>
      <c r="D2660" t="s">
        <v>736</v>
      </c>
      <c r="E2660" s="2">
        <v>3.4569999999999999</v>
      </c>
    </row>
    <row r="2661" spans="1:5" x14ac:dyDescent="0.25">
      <c r="A2661" s="32" t="s">
        <v>767</v>
      </c>
      <c r="B2661" s="7">
        <v>2011</v>
      </c>
      <c r="C2661" s="51" t="s">
        <v>709</v>
      </c>
      <c r="D2661" t="s">
        <v>736</v>
      </c>
      <c r="E2661" s="2">
        <v>4.5620000000000003</v>
      </c>
    </row>
    <row r="2662" spans="1:5" x14ac:dyDescent="0.25">
      <c r="A2662" s="32" t="s">
        <v>767</v>
      </c>
      <c r="B2662" s="7">
        <v>2011</v>
      </c>
      <c r="C2662" s="51" t="s">
        <v>712</v>
      </c>
      <c r="D2662" t="s">
        <v>736</v>
      </c>
      <c r="E2662" s="2">
        <v>3.331</v>
      </c>
    </row>
    <row r="2663" spans="1:5" x14ac:dyDescent="0.25">
      <c r="A2663" s="32" t="s">
        <v>767</v>
      </c>
      <c r="B2663" s="7">
        <v>2011</v>
      </c>
      <c r="C2663" s="51" t="s">
        <v>710</v>
      </c>
      <c r="D2663" t="s">
        <v>736</v>
      </c>
      <c r="E2663" s="2">
        <v>3.008</v>
      </c>
    </row>
    <row r="2664" spans="1:5" x14ac:dyDescent="0.25">
      <c r="A2664" s="32" t="s">
        <v>767</v>
      </c>
      <c r="B2664" s="7">
        <v>2011</v>
      </c>
      <c r="C2664" s="51" t="s">
        <v>702</v>
      </c>
      <c r="D2664" t="s">
        <v>736</v>
      </c>
      <c r="E2664" s="2">
        <v>2.9729999999999999</v>
      </c>
    </row>
    <row r="2665" spans="1:5" x14ac:dyDescent="0.25">
      <c r="A2665" s="32" t="s">
        <v>767</v>
      </c>
      <c r="B2665" s="7">
        <v>2011</v>
      </c>
      <c r="C2665" s="51" t="s">
        <v>703</v>
      </c>
      <c r="D2665" t="s">
        <v>736</v>
      </c>
      <c r="E2665" s="2">
        <v>3.4380000000000002</v>
      </c>
    </row>
    <row r="2666" spans="1:5" x14ac:dyDescent="0.25">
      <c r="A2666" s="32" t="s">
        <v>767</v>
      </c>
      <c r="B2666" s="7">
        <v>2011</v>
      </c>
      <c r="C2666" s="51" t="s">
        <v>704</v>
      </c>
      <c r="D2666" t="s">
        <v>736</v>
      </c>
      <c r="E2666" s="2">
        <v>3.0329999999999999</v>
      </c>
    </row>
    <row r="2667" spans="1:5" x14ac:dyDescent="0.25">
      <c r="A2667" s="32" t="s">
        <v>767</v>
      </c>
      <c r="B2667" s="7">
        <v>2011</v>
      </c>
      <c r="C2667" s="51" t="s">
        <v>705</v>
      </c>
      <c r="D2667" t="s">
        <v>736</v>
      </c>
      <c r="E2667" s="2">
        <v>2.0270000000000001</v>
      </c>
    </row>
    <row r="2668" spans="1:5" x14ac:dyDescent="0.25">
      <c r="A2668" s="32" t="s">
        <v>767</v>
      </c>
      <c r="B2668" s="7">
        <v>2011</v>
      </c>
      <c r="C2668" s="51" t="s">
        <v>706</v>
      </c>
      <c r="D2668" t="s">
        <v>736</v>
      </c>
      <c r="E2668" s="2">
        <v>2.3039999999999998</v>
      </c>
    </row>
    <row r="2669" spans="1:5" x14ac:dyDescent="0.25">
      <c r="A2669" s="32" t="s">
        <v>767</v>
      </c>
      <c r="B2669" s="7">
        <v>2012</v>
      </c>
      <c r="C2669" s="51" t="s">
        <v>713</v>
      </c>
      <c r="D2669" t="s">
        <v>736</v>
      </c>
      <c r="E2669" s="2">
        <v>1.9370000000000001</v>
      </c>
    </row>
    <row r="2670" spans="1:5" x14ac:dyDescent="0.25">
      <c r="A2670" s="32" t="s">
        <v>767</v>
      </c>
      <c r="B2670" s="7">
        <v>2012</v>
      </c>
      <c r="C2670" s="51" t="s">
        <v>707</v>
      </c>
      <c r="D2670" t="s">
        <v>736</v>
      </c>
      <c r="E2670" s="2">
        <v>2.7360000000000002</v>
      </c>
    </row>
    <row r="2671" spans="1:5" x14ac:dyDescent="0.25">
      <c r="A2671" s="32" t="s">
        <v>767</v>
      </c>
      <c r="B2671" s="7">
        <v>2012</v>
      </c>
      <c r="C2671" s="51" t="s">
        <v>708</v>
      </c>
      <c r="D2671" t="s">
        <v>736</v>
      </c>
      <c r="E2671" s="2">
        <v>3.681</v>
      </c>
    </row>
    <row r="2672" spans="1:5" x14ac:dyDescent="0.25">
      <c r="A2672" s="32" t="s">
        <v>767</v>
      </c>
      <c r="B2672" s="7">
        <v>2012</v>
      </c>
      <c r="C2672" s="51" t="s">
        <v>699</v>
      </c>
      <c r="D2672" t="s">
        <v>736</v>
      </c>
      <c r="E2672" s="2">
        <v>3.6459999999999999</v>
      </c>
    </row>
    <row r="2673" spans="1:5" x14ac:dyDescent="0.25">
      <c r="A2673" s="32" t="s">
        <v>767</v>
      </c>
      <c r="B2673" s="7">
        <v>2012</v>
      </c>
      <c r="C2673" s="51" t="s">
        <v>709</v>
      </c>
      <c r="D2673" t="s">
        <v>736</v>
      </c>
      <c r="E2673" s="2">
        <v>3.948</v>
      </c>
    </row>
    <row r="2674" spans="1:5" x14ac:dyDescent="0.25">
      <c r="A2674" s="32" t="s">
        <v>767</v>
      </c>
      <c r="B2674" s="7">
        <v>2012</v>
      </c>
      <c r="C2674" s="51" t="s">
        <v>712</v>
      </c>
      <c r="D2674" t="s">
        <v>736</v>
      </c>
      <c r="E2674" s="2">
        <v>3.47</v>
      </c>
    </row>
    <row r="2675" spans="1:5" x14ac:dyDescent="0.25">
      <c r="A2675" s="32" t="s">
        <v>767</v>
      </c>
      <c r="B2675" s="7">
        <v>2012</v>
      </c>
      <c r="C2675" s="51" t="s">
        <v>710</v>
      </c>
      <c r="D2675" t="s">
        <v>736</v>
      </c>
      <c r="E2675" s="2">
        <v>3.8319999999999999</v>
      </c>
    </row>
    <row r="2676" spans="1:5" x14ac:dyDescent="0.25">
      <c r="A2676" s="32" t="s">
        <v>767</v>
      </c>
      <c r="B2676" s="7">
        <v>2012</v>
      </c>
      <c r="C2676" s="51" t="s">
        <v>702</v>
      </c>
      <c r="D2676" t="s">
        <v>736</v>
      </c>
      <c r="E2676" s="2">
        <v>3.8420000000000001</v>
      </c>
    </row>
    <row r="2677" spans="1:5" x14ac:dyDescent="0.25">
      <c r="A2677" s="32" t="s">
        <v>767</v>
      </c>
      <c r="B2677" s="7">
        <v>2012</v>
      </c>
      <c r="C2677" s="51" t="s">
        <v>703</v>
      </c>
      <c r="D2677" t="s">
        <v>736</v>
      </c>
      <c r="E2677" s="2">
        <v>2.9039999999999999</v>
      </c>
    </row>
    <row r="2678" spans="1:5" x14ac:dyDescent="0.25">
      <c r="A2678" s="32" t="s">
        <v>767</v>
      </c>
      <c r="B2678" s="7">
        <v>2012</v>
      </c>
      <c r="C2678" s="51" t="s">
        <v>704</v>
      </c>
      <c r="D2678" t="s">
        <v>736</v>
      </c>
      <c r="E2678" s="2">
        <v>2.847</v>
      </c>
    </row>
    <row r="2679" spans="1:5" x14ac:dyDescent="0.25">
      <c r="A2679" s="32" t="s">
        <v>767</v>
      </c>
      <c r="B2679" s="7">
        <v>2012</v>
      </c>
      <c r="C2679" s="51" t="s">
        <v>705</v>
      </c>
      <c r="D2679" t="s">
        <v>736</v>
      </c>
      <c r="E2679" s="2">
        <v>3.4529999999999998</v>
      </c>
    </row>
    <row r="2680" spans="1:5" x14ac:dyDescent="0.25">
      <c r="A2680" s="32" t="s">
        <v>767</v>
      </c>
      <c r="B2680" s="7">
        <v>2012</v>
      </c>
      <c r="C2680" s="51" t="s">
        <v>706</v>
      </c>
      <c r="D2680" t="s">
        <v>736</v>
      </c>
      <c r="E2680" s="2">
        <v>3.2080000000000002</v>
      </c>
    </row>
    <row r="2681" spans="1:5" x14ac:dyDescent="0.25">
      <c r="A2681" s="32" t="s">
        <v>767</v>
      </c>
      <c r="B2681" s="7">
        <v>2013</v>
      </c>
      <c r="C2681" s="51" t="s">
        <v>713</v>
      </c>
      <c r="D2681" t="s">
        <v>736</v>
      </c>
      <c r="E2681" s="2">
        <v>4.3659999999999997</v>
      </c>
    </row>
    <row r="2682" spans="1:5" x14ac:dyDescent="0.25">
      <c r="A2682" s="32" t="s">
        <v>767</v>
      </c>
      <c r="B2682" s="7">
        <v>2013</v>
      </c>
      <c r="C2682" s="51" t="s">
        <v>707</v>
      </c>
      <c r="D2682" t="s">
        <v>736</v>
      </c>
      <c r="E2682" s="2">
        <v>3.2970000000000002</v>
      </c>
    </row>
    <row r="2683" spans="1:5" x14ac:dyDescent="0.25">
      <c r="A2683" s="32" t="s">
        <v>767</v>
      </c>
      <c r="B2683" s="7">
        <v>2013</v>
      </c>
      <c r="C2683" s="51" t="s">
        <v>708</v>
      </c>
      <c r="D2683" t="s">
        <v>736</v>
      </c>
      <c r="E2683" s="2">
        <v>3.8239999999999998</v>
      </c>
    </row>
    <row r="2684" spans="1:5" x14ac:dyDescent="0.25">
      <c r="A2684" s="32" t="s">
        <v>767</v>
      </c>
      <c r="B2684" s="7">
        <v>2013</v>
      </c>
      <c r="C2684" s="51" t="s">
        <v>699</v>
      </c>
      <c r="D2684" t="s">
        <v>736</v>
      </c>
      <c r="E2684" s="2">
        <v>3.2589999999999999</v>
      </c>
    </row>
    <row r="2685" spans="1:5" x14ac:dyDescent="0.25">
      <c r="A2685" s="32" t="s">
        <v>767</v>
      </c>
      <c r="B2685" s="7">
        <v>2013</v>
      </c>
      <c r="C2685" s="51" t="s">
        <v>709</v>
      </c>
      <c r="D2685" t="s">
        <v>736</v>
      </c>
      <c r="E2685" s="2">
        <v>3.4129999999999998</v>
      </c>
    </row>
    <row r="2686" spans="1:5" x14ac:dyDescent="0.25">
      <c r="A2686" s="32" t="s">
        <v>767</v>
      </c>
      <c r="B2686" s="7">
        <v>2013</v>
      </c>
      <c r="C2686" s="51" t="s">
        <v>712</v>
      </c>
      <c r="D2686" t="s">
        <v>736</v>
      </c>
      <c r="E2686" s="2">
        <v>4.5209999999999999</v>
      </c>
    </row>
    <row r="2687" spans="1:5" x14ac:dyDescent="0.25">
      <c r="A2687" s="32" t="s">
        <v>767</v>
      </c>
      <c r="B2687" s="7">
        <v>2013</v>
      </c>
      <c r="C2687" s="51" t="s">
        <v>710</v>
      </c>
      <c r="D2687" t="s">
        <v>736</v>
      </c>
      <c r="E2687" s="2">
        <v>3.7160000000000002</v>
      </c>
    </row>
    <row r="2688" spans="1:5" x14ac:dyDescent="0.25">
      <c r="A2688" s="32" t="s">
        <v>767</v>
      </c>
      <c r="B2688" s="7">
        <v>2013</v>
      </c>
      <c r="C2688" s="51" t="s">
        <v>702</v>
      </c>
      <c r="D2688" t="s">
        <v>736</v>
      </c>
      <c r="E2688" s="2">
        <v>3.226</v>
      </c>
    </row>
    <row r="2689" spans="1:5" x14ac:dyDescent="0.25">
      <c r="A2689" s="32" t="s">
        <v>767</v>
      </c>
      <c r="B2689" s="7">
        <v>2013</v>
      </c>
      <c r="C2689" s="51" t="s">
        <v>703</v>
      </c>
      <c r="D2689" t="s">
        <v>736</v>
      </c>
      <c r="E2689" s="2">
        <v>3.246</v>
      </c>
    </row>
    <row r="2690" spans="1:5" x14ac:dyDescent="0.25">
      <c r="A2690" s="32" t="s">
        <v>767</v>
      </c>
      <c r="B2690" s="7">
        <v>2013</v>
      </c>
      <c r="C2690" s="51" t="s">
        <v>704</v>
      </c>
      <c r="D2690" t="s">
        <v>736</v>
      </c>
      <c r="E2690" s="2">
        <v>3.4550000000000001</v>
      </c>
    </row>
    <row r="2691" spans="1:5" x14ac:dyDescent="0.25">
      <c r="A2691" s="32" t="s">
        <v>767</v>
      </c>
      <c r="B2691" s="7">
        <v>2013</v>
      </c>
      <c r="C2691" s="51" t="s">
        <v>705</v>
      </c>
      <c r="D2691" t="s">
        <v>736</v>
      </c>
      <c r="E2691" s="2">
        <v>2.9</v>
      </c>
    </row>
    <row r="2692" spans="1:5" x14ac:dyDescent="0.25">
      <c r="A2692" s="32" t="s">
        <v>767</v>
      </c>
      <c r="B2692" s="7">
        <v>2013</v>
      </c>
      <c r="C2692" s="51" t="s">
        <v>706</v>
      </c>
      <c r="D2692" t="s">
        <v>736</v>
      </c>
      <c r="E2692" s="2">
        <v>3.6589999999999998</v>
      </c>
    </row>
    <row r="2693" spans="1:5" x14ac:dyDescent="0.25">
      <c r="A2693" s="32" t="s">
        <v>767</v>
      </c>
      <c r="B2693" s="7">
        <v>2014</v>
      </c>
      <c r="C2693" s="51" t="s">
        <v>713</v>
      </c>
      <c r="D2693" t="s">
        <v>736</v>
      </c>
      <c r="E2693" s="2">
        <v>3.3940000000000001</v>
      </c>
    </row>
    <row r="2694" spans="1:5" x14ac:dyDescent="0.25">
      <c r="A2694" s="32" t="s">
        <v>767</v>
      </c>
      <c r="B2694" s="7">
        <v>2014</v>
      </c>
      <c r="C2694" s="51" t="s">
        <v>707</v>
      </c>
      <c r="D2694" t="s">
        <v>736</v>
      </c>
      <c r="E2694" s="2">
        <v>3.532</v>
      </c>
    </row>
    <row r="2695" spans="1:5" x14ac:dyDescent="0.25">
      <c r="A2695" s="32" t="s">
        <v>767</v>
      </c>
      <c r="B2695" s="7">
        <v>2014</v>
      </c>
      <c r="C2695" s="51" t="s">
        <v>708</v>
      </c>
      <c r="D2695" t="s">
        <v>736</v>
      </c>
      <c r="E2695" s="2">
        <v>3.5569999999999999</v>
      </c>
    </row>
    <row r="2696" spans="1:5" x14ac:dyDescent="0.25">
      <c r="A2696" s="32" t="s">
        <v>767</v>
      </c>
      <c r="B2696" s="7">
        <v>2014</v>
      </c>
      <c r="C2696" s="51" t="s">
        <v>699</v>
      </c>
      <c r="D2696" t="s">
        <v>736</v>
      </c>
      <c r="E2696" s="2">
        <v>3.2589999999999999</v>
      </c>
    </row>
    <row r="2697" spans="1:5" x14ac:dyDescent="0.25">
      <c r="A2697" s="32" t="s">
        <v>767</v>
      </c>
      <c r="B2697" s="7">
        <v>2014</v>
      </c>
      <c r="C2697" s="51" t="s">
        <v>709</v>
      </c>
      <c r="D2697" t="s">
        <v>736</v>
      </c>
      <c r="E2697" s="2">
        <v>3.996</v>
      </c>
    </row>
    <row r="2698" spans="1:5" x14ac:dyDescent="0.25">
      <c r="A2698" s="32" t="s">
        <v>767</v>
      </c>
      <c r="B2698" s="7">
        <v>2014</v>
      </c>
      <c r="C2698" s="51" t="s">
        <v>712</v>
      </c>
      <c r="D2698" t="s">
        <v>736</v>
      </c>
      <c r="E2698" s="2">
        <v>2.64</v>
      </c>
    </row>
    <row r="2699" spans="1:5" x14ac:dyDescent="0.25">
      <c r="A2699" s="32" t="s">
        <v>767</v>
      </c>
      <c r="B2699" s="7">
        <v>2014</v>
      </c>
      <c r="C2699" s="51" t="s">
        <v>710</v>
      </c>
      <c r="D2699" t="s">
        <v>736</v>
      </c>
      <c r="E2699" s="2">
        <v>1.333</v>
      </c>
    </row>
    <row r="2700" spans="1:5" x14ac:dyDescent="0.25">
      <c r="A2700" s="32" t="s">
        <v>767</v>
      </c>
      <c r="B2700" s="7">
        <v>2014</v>
      </c>
      <c r="C2700" s="51" t="s">
        <v>702</v>
      </c>
      <c r="D2700" t="s">
        <v>736</v>
      </c>
      <c r="E2700" s="2">
        <v>1.3009999999999999</v>
      </c>
    </row>
    <row r="2701" spans="1:5" x14ac:dyDescent="0.25">
      <c r="A2701" s="32" t="s">
        <v>767</v>
      </c>
      <c r="B2701" s="7">
        <v>2014</v>
      </c>
      <c r="C2701" s="51" t="s">
        <v>703</v>
      </c>
      <c r="D2701" t="s">
        <v>736</v>
      </c>
      <c r="E2701" s="2">
        <v>1.21</v>
      </c>
    </row>
    <row r="2702" spans="1:5" x14ac:dyDescent="0.25">
      <c r="A2702" s="32" t="s">
        <v>767</v>
      </c>
      <c r="B2702" s="7">
        <v>2014</v>
      </c>
      <c r="C2702" s="51" t="s">
        <v>704</v>
      </c>
      <c r="D2702" t="s">
        <v>736</v>
      </c>
      <c r="E2702" s="2">
        <v>1.2969999999999999</v>
      </c>
    </row>
    <row r="2703" spans="1:5" x14ac:dyDescent="0.25">
      <c r="A2703" s="32" t="s">
        <v>767</v>
      </c>
      <c r="B2703" s="7">
        <v>2014</v>
      </c>
      <c r="C2703" s="51" t="s">
        <v>705</v>
      </c>
      <c r="D2703" t="s">
        <v>736</v>
      </c>
      <c r="E2703" s="2">
        <v>1.1233</v>
      </c>
    </row>
    <row r="2704" spans="1:5" x14ac:dyDescent="0.25">
      <c r="A2704" s="32" t="s">
        <v>767</v>
      </c>
      <c r="B2704" s="7">
        <v>2014</v>
      </c>
      <c r="C2704" s="51" t="s">
        <v>706</v>
      </c>
      <c r="D2704" t="s">
        <v>736</v>
      </c>
      <c r="E2704" s="2">
        <v>1.194</v>
      </c>
    </row>
    <row r="2705" spans="1:5" x14ac:dyDescent="0.25">
      <c r="A2705" s="32" t="s">
        <v>767</v>
      </c>
      <c r="B2705" s="7">
        <v>2015</v>
      </c>
      <c r="C2705" s="51" t="s">
        <v>713</v>
      </c>
      <c r="D2705" t="s">
        <v>736</v>
      </c>
      <c r="E2705" s="2">
        <v>2.0129999999999999</v>
      </c>
    </row>
    <row r="2706" spans="1:5" x14ac:dyDescent="0.25">
      <c r="A2706" s="32" t="s">
        <v>767</v>
      </c>
      <c r="B2706" s="7">
        <v>2015</v>
      </c>
      <c r="C2706" s="51" t="s">
        <v>707</v>
      </c>
      <c r="D2706" t="s">
        <v>736</v>
      </c>
      <c r="E2706" s="2">
        <v>1.7250000000000001</v>
      </c>
    </row>
    <row r="2707" spans="1:5" x14ac:dyDescent="0.25">
      <c r="A2707" s="32" t="s">
        <v>767</v>
      </c>
      <c r="B2707" s="7">
        <v>2015</v>
      </c>
      <c r="C2707" s="51" t="s">
        <v>708</v>
      </c>
      <c r="D2707" t="s">
        <v>736</v>
      </c>
      <c r="E2707" s="2">
        <v>1.9610000000000001</v>
      </c>
    </row>
    <row r="2708" spans="1:5" x14ac:dyDescent="0.25">
      <c r="A2708" s="32" t="s">
        <v>767</v>
      </c>
      <c r="B2708" s="7">
        <v>2015</v>
      </c>
      <c r="C2708" s="51" t="s">
        <v>699</v>
      </c>
      <c r="D2708" t="s">
        <v>736</v>
      </c>
      <c r="E2708" s="2">
        <v>2.0590000000000002</v>
      </c>
    </row>
    <row r="2709" spans="1:5" x14ac:dyDescent="0.25">
      <c r="A2709" s="32" t="s">
        <v>767</v>
      </c>
      <c r="B2709" s="7">
        <v>2015</v>
      </c>
      <c r="C2709" s="51" t="s">
        <v>709</v>
      </c>
      <c r="D2709" t="s">
        <v>736</v>
      </c>
      <c r="E2709" s="2">
        <v>2.899</v>
      </c>
    </row>
    <row r="2710" spans="1:5" x14ac:dyDescent="0.25">
      <c r="A2710" s="32" t="s">
        <v>767</v>
      </c>
      <c r="B2710" s="7">
        <v>2015</v>
      </c>
      <c r="C2710" s="51" t="s">
        <v>712</v>
      </c>
      <c r="D2710" t="s">
        <v>736</v>
      </c>
      <c r="E2710" s="2">
        <v>2.4089999999999998</v>
      </c>
    </row>
    <row r="2711" spans="1:5" x14ac:dyDescent="0.25">
      <c r="A2711" s="32" t="s">
        <v>767</v>
      </c>
      <c r="B2711" s="7">
        <v>2015</v>
      </c>
      <c r="C2711" s="51" t="s">
        <v>710</v>
      </c>
      <c r="D2711" t="s">
        <v>736</v>
      </c>
      <c r="E2711" s="2">
        <v>3.1829999999999998</v>
      </c>
    </row>
    <row r="2712" spans="1:5" x14ac:dyDescent="0.25">
      <c r="A2712" s="32" t="s">
        <v>767</v>
      </c>
      <c r="B2712" s="7">
        <v>2015</v>
      </c>
      <c r="C2712" s="51" t="s">
        <v>702</v>
      </c>
      <c r="D2712" t="s">
        <v>736</v>
      </c>
      <c r="E2712" s="2">
        <v>2.6930000000000001</v>
      </c>
    </row>
    <row r="2713" spans="1:5" x14ac:dyDescent="0.25">
      <c r="A2713" s="32" t="s">
        <v>767</v>
      </c>
      <c r="B2713" s="7">
        <v>2015</v>
      </c>
      <c r="C2713" s="51" t="s">
        <v>703</v>
      </c>
      <c r="D2713" t="s">
        <v>736</v>
      </c>
      <c r="E2713" s="2">
        <v>2.5939999999999999</v>
      </c>
    </row>
    <row r="2714" spans="1:5" x14ac:dyDescent="0.25">
      <c r="A2714" s="32" t="s">
        <v>767</v>
      </c>
      <c r="B2714" s="7">
        <v>2015</v>
      </c>
      <c r="C2714" s="51" t="s">
        <v>704</v>
      </c>
      <c r="D2714" t="s">
        <v>736</v>
      </c>
      <c r="E2714" s="2">
        <v>3.2930000000000001</v>
      </c>
    </row>
    <row r="2715" spans="1:5" x14ac:dyDescent="0.25">
      <c r="A2715" s="32" t="s">
        <v>767</v>
      </c>
      <c r="B2715" s="7">
        <v>2015</v>
      </c>
      <c r="C2715" s="51" t="s">
        <v>705</v>
      </c>
      <c r="D2715" t="s">
        <v>736</v>
      </c>
      <c r="E2715" s="2">
        <v>1.5580000000000001</v>
      </c>
    </row>
    <row r="2716" spans="1:5" x14ac:dyDescent="0.25">
      <c r="A2716" s="32" t="s">
        <v>767</v>
      </c>
      <c r="B2716" s="7">
        <v>2015</v>
      </c>
      <c r="C2716" s="51" t="s">
        <v>706</v>
      </c>
      <c r="D2716" t="s">
        <v>736</v>
      </c>
      <c r="E2716" s="2">
        <v>1.625</v>
      </c>
    </row>
    <row r="2717" spans="1:5" x14ac:dyDescent="0.25">
      <c r="A2717" s="32" t="s">
        <v>767</v>
      </c>
      <c r="B2717" s="7">
        <v>2016</v>
      </c>
      <c r="C2717" s="51" t="s">
        <v>713</v>
      </c>
      <c r="D2717" t="s">
        <v>736</v>
      </c>
      <c r="E2717" s="2">
        <v>3.7149999999999999</v>
      </c>
    </row>
    <row r="2718" spans="1:5" x14ac:dyDescent="0.25">
      <c r="A2718" s="32" t="s">
        <v>767</v>
      </c>
      <c r="B2718" s="7">
        <v>2016</v>
      </c>
      <c r="C2718" s="51" t="s">
        <v>707</v>
      </c>
      <c r="D2718" t="s">
        <v>736</v>
      </c>
      <c r="E2718" s="2">
        <v>4.5449999999999999</v>
      </c>
    </row>
    <row r="2719" spans="1:5" x14ac:dyDescent="0.25">
      <c r="A2719" s="32" t="s">
        <v>767</v>
      </c>
      <c r="B2719" s="7">
        <v>2016</v>
      </c>
      <c r="C2719" s="51" t="s">
        <v>708</v>
      </c>
      <c r="D2719" t="s">
        <v>736</v>
      </c>
      <c r="E2719" s="2">
        <v>2.78</v>
      </c>
    </row>
    <row r="2720" spans="1:5" x14ac:dyDescent="0.25">
      <c r="A2720" s="32" t="s">
        <v>767</v>
      </c>
      <c r="B2720" s="7">
        <v>2016</v>
      </c>
      <c r="C2720" s="51" t="s">
        <v>699</v>
      </c>
      <c r="D2720" t="s">
        <v>736</v>
      </c>
      <c r="E2720" s="2">
        <v>2.0910000000000002</v>
      </c>
    </row>
    <row r="2721" spans="1:5" x14ac:dyDescent="0.25">
      <c r="A2721" s="32" t="s">
        <v>767</v>
      </c>
      <c r="B2721" s="7">
        <v>2016</v>
      </c>
      <c r="C2721" s="51" t="s">
        <v>709</v>
      </c>
      <c r="D2721" t="s">
        <v>736</v>
      </c>
      <c r="E2721" s="2">
        <v>3.1480000000000001</v>
      </c>
    </row>
    <row r="2722" spans="1:5" x14ac:dyDescent="0.25">
      <c r="A2722" s="32" t="s">
        <v>767</v>
      </c>
      <c r="B2722" s="7">
        <v>2016</v>
      </c>
      <c r="C2722" s="51" t="s">
        <v>712</v>
      </c>
      <c r="D2722" t="s">
        <v>736</v>
      </c>
      <c r="E2722" s="2">
        <v>2.4329999999999998</v>
      </c>
    </row>
    <row r="2723" spans="1:5" x14ac:dyDescent="0.25">
      <c r="A2723" s="32" t="s">
        <v>767</v>
      </c>
      <c r="B2723" s="7">
        <v>2016</v>
      </c>
      <c r="C2723" s="51" t="s">
        <v>710</v>
      </c>
      <c r="D2723" t="s">
        <v>736</v>
      </c>
      <c r="E2723" s="2">
        <v>2.4369999999999998</v>
      </c>
    </row>
    <row r="2724" spans="1:5" x14ac:dyDescent="0.25">
      <c r="A2724" s="32" t="s">
        <v>767</v>
      </c>
      <c r="B2724" s="7">
        <v>2016</v>
      </c>
      <c r="C2724" s="51" t="s">
        <v>702</v>
      </c>
      <c r="D2724" t="s">
        <v>736</v>
      </c>
      <c r="E2724" s="2">
        <v>2.1859999999999999</v>
      </c>
    </row>
    <row r="2725" spans="1:5" x14ac:dyDescent="0.25">
      <c r="A2725" s="32" t="s">
        <v>767</v>
      </c>
      <c r="B2725" s="7">
        <v>2016</v>
      </c>
      <c r="C2725" s="51" t="s">
        <v>703</v>
      </c>
      <c r="D2725" t="s">
        <v>736</v>
      </c>
      <c r="E2725" s="2">
        <v>1.927</v>
      </c>
    </row>
    <row r="2726" spans="1:5" x14ac:dyDescent="0.25">
      <c r="A2726" s="32" t="s">
        <v>767</v>
      </c>
      <c r="B2726" s="7">
        <v>2016</v>
      </c>
      <c r="C2726" s="51" t="s">
        <v>704</v>
      </c>
      <c r="D2726" t="s">
        <v>736</v>
      </c>
      <c r="E2726" s="2">
        <v>1.2330000000000001</v>
      </c>
    </row>
    <row r="2727" spans="1:5" x14ac:dyDescent="0.25">
      <c r="A2727" s="32" t="s">
        <v>767</v>
      </c>
      <c r="B2727" s="7">
        <v>2016</v>
      </c>
      <c r="C2727" s="51" t="s">
        <v>705</v>
      </c>
      <c r="D2727" t="s">
        <v>736</v>
      </c>
      <c r="E2727" s="2">
        <v>1.3180000000000001</v>
      </c>
    </row>
    <row r="2728" spans="1:5" x14ac:dyDescent="0.25">
      <c r="A2728" s="32" t="s">
        <v>767</v>
      </c>
      <c r="B2728" s="7">
        <v>2016</v>
      </c>
      <c r="C2728" s="51" t="s">
        <v>706</v>
      </c>
      <c r="D2728" t="s">
        <v>736</v>
      </c>
      <c r="E2728" s="2">
        <v>2.2789999999999999</v>
      </c>
    </row>
    <row r="2729" spans="1:5" x14ac:dyDescent="0.25">
      <c r="A2729" s="32" t="s">
        <v>767</v>
      </c>
      <c r="B2729" s="7">
        <v>2017</v>
      </c>
      <c r="C2729" s="51" t="s">
        <v>713</v>
      </c>
      <c r="D2729" t="s">
        <v>736</v>
      </c>
      <c r="E2729" s="2">
        <v>2.657</v>
      </c>
    </row>
    <row r="2730" spans="1:5" x14ac:dyDescent="0.25">
      <c r="A2730" s="32" t="s">
        <v>767</v>
      </c>
      <c r="B2730" s="7">
        <v>2017</v>
      </c>
      <c r="C2730" s="51" t="s">
        <v>707</v>
      </c>
      <c r="D2730" t="s">
        <v>736</v>
      </c>
      <c r="E2730" s="2">
        <v>1.667</v>
      </c>
    </row>
    <row r="2731" spans="1:5" x14ac:dyDescent="0.25">
      <c r="A2731" s="32" t="s">
        <v>767</v>
      </c>
      <c r="B2731" s="7">
        <v>2017</v>
      </c>
      <c r="C2731" s="51" t="s">
        <v>708</v>
      </c>
      <c r="D2731" t="s">
        <v>736</v>
      </c>
      <c r="E2731" s="2">
        <v>2.4590000000000001</v>
      </c>
    </row>
    <row r="2732" spans="1:5" x14ac:dyDescent="0.25">
      <c r="A2732" s="32" t="s">
        <v>767</v>
      </c>
      <c r="B2732" s="7">
        <v>2017</v>
      </c>
      <c r="C2732" s="51" t="s">
        <v>699</v>
      </c>
      <c r="D2732" t="s">
        <v>736</v>
      </c>
      <c r="E2732" s="2">
        <v>2.6379999999999999</v>
      </c>
    </row>
    <row r="2733" spans="1:5" x14ac:dyDescent="0.25">
      <c r="A2733" s="32" t="s">
        <v>767</v>
      </c>
      <c r="B2733" s="7">
        <v>2017</v>
      </c>
      <c r="C2733" s="51" t="s">
        <v>709</v>
      </c>
      <c r="D2733" t="s">
        <v>736</v>
      </c>
      <c r="E2733" s="2">
        <v>1.0629999999999999</v>
      </c>
    </row>
    <row r="2734" spans="1:5" x14ac:dyDescent="0.25">
      <c r="A2734" s="32" t="s">
        <v>767</v>
      </c>
      <c r="B2734" s="7">
        <v>2017</v>
      </c>
      <c r="C2734" s="51" t="s">
        <v>712</v>
      </c>
      <c r="D2734" t="s">
        <v>736</v>
      </c>
      <c r="E2734" s="2">
        <v>1.474</v>
      </c>
    </row>
    <row r="2735" spans="1:5" x14ac:dyDescent="0.25">
      <c r="A2735" s="32" t="s">
        <v>767</v>
      </c>
      <c r="B2735" s="7">
        <v>2017</v>
      </c>
      <c r="C2735" s="51" t="s">
        <v>710</v>
      </c>
      <c r="D2735" t="s">
        <v>736</v>
      </c>
      <c r="E2735" s="2">
        <v>2.4870000000000001</v>
      </c>
    </row>
    <row r="2736" spans="1:5" x14ac:dyDescent="0.25">
      <c r="A2736" s="32" t="s">
        <v>767</v>
      </c>
      <c r="B2736" s="7">
        <v>2017</v>
      </c>
      <c r="C2736" s="51" t="s">
        <v>702</v>
      </c>
      <c r="D2736" t="s">
        <v>736</v>
      </c>
      <c r="E2736" s="2">
        <v>2.4630000000000001</v>
      </c>
    </row>
    <row r="2737" spans="1:5" x14ac:dyDescent="0.25">
      <c r="A2737" s="32" t="s">
        <v>767</v>
      </c>
      <c r="B2737" s="7">
        <v>2017</v>
      </c>
      <c r="C2737" s="51" t="s">
        <v>703</v>
      </c>
      <c r="D2737" t="s">
        <v>736</v>
      </c>
      <c r="E2737" s="2">
        <v>2.2050000000000001</v>
      </c>
    </row>
    <row r="2738" spans="1:5" x14ac:dyDescent="0.25">
      <c r="A2738" s="32" t="s">
        <v>767</v>
      </c>
      <c r="B2738" s="7">
        <v>2017</v>
      </c>
      <c r="C2738" s="51" t="s">
        <v>704</v>
      </c>
      <c r="D2738" t="s">
        <v>736</v>
      </c>
      <c r="E2738" s="2">
        <v>2.887</v>
      </c>
    </row>
    <row r="2739" spans="1:5" x14ac:dyDescent="0.25">
      <c r="A2739" s="32" t="s">
        <v>767</v>
      </c>
      <c r="B2739" s="7">
        <v>2017</v>
      </c>
      <c r="C2739" s="51" t="s">
        <v>705</v>
      </c>
      <c r="D2739" t="s">
        <v>736</v>
      </c>
      <c r="E2739" s="2">
        <v>3.7389999999999999</v>
      </c>
    </row>
    <row r="2740" spans="1:5" x14ac:dyDescent="0.25">
      <c r="A2740" s="32" t="s">
        <v>767</v>
      </c>
      <c r="B2740" s="7">
        <v>2017</v>
      </c>
      <c r="C2740" s="51" t="s">
        <v>706</v>
      </c>
      <c r="D2740" t="s">
        <v>736</v>
      </c>
      <c r="E2740" s="2">
        <v>2.6949999999999998</v>
      </c>
    </row>
    <row r="2741" spans="1:5" x14ac:dyDescent="0.25">
      <c r="A2741" s="32" t="s">
        <v>767</v>
      </c>
      <c r="B2741" s="7">
        <v>2018</v>
      </c>
      <c r="C2741" s="51" t="s">
        <v>713</v>
      </c>
      <c r="D2741" t="s">
        <v>736</v>
      </c>
      <c r="E2741" s="2">
        <v>2.2010000000000001</v>
      </c>
    </row>
    <row r="2742" spans="1:5" x14ac:dyDescent="0.25">
      <c r="A2742" s="32" t="s">
        <v>767</v>
      </c>
      <c r="B2742" s="7">
        <v>2018</v>
      </c>
      <c r="C2742" s="51" t="s">
        <v>707</v>
      </c>
      <c r="D2742" t="s">
        <v>736</v>
      </c>
      <c r="E2742" s="2">
        <v>3.4980000000000002</v>
      </c>
    </row>
    <row r="2743" spans="1:5" x14ac:dyDescent="0.25">
      <c r="A2743" s="32" t="s">
        <v>767</v>
      </c>
      <c r="B2743" s="7">
        <v>2018</v>
      </c>
      <c r="C2743" s="51" t="s">
        <v>708</v>
      </c>
      <c r="D2743" t="s">
        <v>736</v>
      </c>
      <c r="E2743" s="2">
        <v>2.806</v>
      </c>
    </row>
    <row r="2744" spans="1:5" x14ac:dyDescent="0.25">
      <c r="A2744" s="32" t="s">
        <v>767</v>
      </c>
      <c r="B2744" s="7">
        <v>2018</v>
      </c>
      <c r="C2744" s="51" t="s">
        <v>699</v>
      </c>
      <c r="D2744" t="s">
        <v>736</v>
      </c>
      <c r="E2744" s="2">
        <v>2.87</v>
      </c>
    </row>
    <row r="2745" spans="1:5" x14ac:dyDescent="0.25">
      <c r="A2745" s="32" t="s">
        <v>767</v>
      </c>
      <c r="B2745" s="7">
        <v>2018</v>
      </c>
      <c r="C2745" s="51" t="s">
        <v>709</v>
      </c>
      <c r="D2745" t="s">
        <v>736</v>
      </c>
      <c r="E2745" s="2">
        <v>4.024</v>
      </c>
    </row>
    <row r="2746" spans="1:5" x14ac:dyDescent="0.25">
      <c r="A2746" s="32" t="s">
        <v>767</v>
      </c>
      <c r="B2746" s="7">
        <v>2018</v>
      </c>
      <c r="C2746" s="51" t="s">
        <v>712</v>
      </c>
      <c r="D2746" t="s">
        <v>736</v>
      </c>
      <c r="E2746" s="2">
        <v>3.5579999999999998</v>
      </c>
    </row>
    <row r="2747" spans="1:5" x14ac:dyDescent="0.25">
      <c r="A2747" s="32" t="s">
        <v>767</v>
      </c>
      <c r="B2747" s="7">
        <v>2018</v>
      </c>
      <c r="C2747" s="51" t="s">
        <v>710</v>
      </c>
      <c r="D2747" t="s">
        <v>736</v>
      </c>
      <c r="E2747" s="2">
        <v>2.851</v>
      </c>
    </row>
    <row r="2748" spans="1:5" x14ac:dyDescent="0.25">
      <c r="A2748" s="32" t="s">
        <v>767</v>
      </c>
      <c r="B2748" s="7">
        <v>2018</v>
      </c>
      <c r="C2748" s="51" t="s">
        <v>702</v>
      </c>
      <c r="D2748" t="s">
        <v>736</v>
      </c>
      <c r="E2748" s="2">
        <v>3.7109999999999999</v>
      </c>
    </row>
    <row r="2749" spans="1:5" x14ac:dyDescent="0.25">
      <c r="A2749" s="32" t="s">
        <v>767</v>
      </c>
      <c r="B2749" s="7">
        <v>2018</v>
      </c>
      <c r="C2749" s="51" t="s">
        <v>703</v>
      </c>
      <c r="D2749" t="s">
        <v>736</v>
      </c>
      <c r="E2749" s="2">
        <v>3.714</v>
      </c>
    </row>
    <row r="2750" spans="1:5" x14ac:dyDescent="0.25">
      <c r="A2750" s="32" t="s">
        <v>767</v>
      </c>
      <c r="B2750" s="7">
        <v>2018</v>
      </c>
      <c r="C2750" s="51" t="s">
        <v>704</v>
      </c>
      <c r="D2750" t="s">
        <v>736</v>
      </c>
      <c r="E2750" s="2">
        <v>2.855</v>
      </c>
    </row>
    <row r="2751" spans="1:5" x14ac:dyDescent="0.25">
      <c r="A2751" s="32" t="s">
        <v>767</v>
      </c>
      <c r="B2751" s="7">
        <v>2018</v>
      </c>
      <c r="C2751" s="51" t="s">
        <v>705</v>
      </c>
      <c r="D2751" t="s">
        <v>736</v>
      </c>
      <c r="E2751" s="2">
        <v>4.5220000000000002</v>
      </c>
    </row>
    <row r="2752" spans="1:5" x14ac:dyDescent="0.25">
      <c r="A2752" s="32" t="s">
        <v>767</v>
      </c>
      <c r="B2752" s="7">
        <v>2018</v>
      </c>
      <c r="C2752" s="51" t="s">
        <v>706</v>
      </c>
      <c r="D2752" t="s">
        <v>736</v>
      </c>
      <c r="E2752" s="2">
        <v>4.5250000000000004</v>
      </c>
    </row>
    <row r="2753" spans="1:5" x14ac:dyDescent="0.25">
      <c r="A2753" s="32" t="s">
        <v>767</v>
      </c>
      <c r="B2753" s="7">
        <v>2019</v>
      </c>
      <c r="C2753" s="51" t="s">
        <v>713</v>
      </c>
      <c r="D2753" t="s">
        <v>736</v>
      </c>
      <c r="E2753" s="2">
        <v>4.0629999999999997</v>
      </c>
    </row>
    <row r="2754" spans="1:5" x14ac:dyDescent="0.25">
      <c r="A2754" s="32" t="s">
        <v>767</v>
      </c>
      <c r="B2754" s="7">
        <v>2019</v>
      </c>
      <c r="C2754" s="51" t="s">
        <v>707</v>
      </c>
      <c r="D2754" t="s">
        <v>736</v>
      </c>
      <c r="E2754" s="2">
        <v>4.234</v>
      </c>
    </row>
    <row r="2755" spans="1:5" x14ac:dyDescent="0.25">
      <c r="A2755" s="32" t="s">
        <v>767</v>
      </c>
      <c r="B2755" s="7">
        <v>2019</v>
      </c>
      <c r="C2755" s="51" t="s">
        <v>708</v>
      </c>
      <c r="D2755" t="s">
        <v>736</v>
      </c>
      <c r="E2755" s="2">
        <v>3.8079999999999998</v>
      </c>
    </row>
    <row r="2756" spans="1:5" x14ac:dyDescent="0.25">
      <c r="A2756" s="32" t="s">
        <v>767</v>
      </c>
      <c r="B2756" s="7">
        <v>2019</v>
      </c>
      <c r="C2756" s="51" t="s">
        <v>699</v>
      </c>
      <c r="D2756" t="s">
        <v>736</v>
      </c>
      <c r="E2756" s="2">
        <v>2.3239999999999998</v>
      </c>
    </row>
    <row r="2757" spans="1:5" x14ac:dyDescent="0.25">
      <c r="A2757" s="32" t="s">
        <v>767</v>
      </c>
      <c r="B2757" s="7">
        <v>2019</v>
      </c>
      <c r="C2757" s="51" t="s">
        <v>709</v>
      </c>
      <c r="D2757" t="s">
        <v>736</v>
      </c>
      <c r="E2757" s="2">
        <v>3.3290000000000002</v>
      </c>
    </row>
    <row r="2758" spans="1:5" x14ac:dyDescent="0.25">
      <c r="A2758" s="32" t="s">
        <v>767</v>
      </c>
      <c r="B2758" s="7">
        <v>2019</v>
      </c>
      <c r="C2758" s="51" t="s">
        <v>712</v>
      </c>
      <c r="D2758" t="s">
        <v>736</v>
      </c>
      <c r="E2758" s="2">
        <v>2.6560000000000001</v>
      </c>
    </row>
    <row r="2759" spans="1:5" x14ac:dyDescent="0.25">
      <c r="A2759" s="32" t="s">
        <v>767</v>
      </c>
      <c r="B2759" s="7">
        <v>2019</v>
      </c>
      <c r="C2759" s="51" t="s">
        <v>710</v>
      </c>
      <c r="D2759" t="s">
        <v>736</v>
      </c>
      <c r="E2759" s="2">
        <v>3.9079999999999999</v>
      </c>
    </row>
    <row r="2760" spans="1:5" x14ac:dyDescent="0.25">
      <c r="A2760" s="32" t="s">
        <v>767</v>
      </c>
      <c r="B2760" s="7">
        <v>2019</v>
      </c>
      <c r="C2760" s="51" t="s">
        <v>702</v>
      </c>
      <c r="D2760" t="s">
        <v>736</v>
      </c>
      <c r="E2760" s="2">
        <v>3.0459999999999998</v>
      </c>
    </row>
    <row r="2761" spans="1:5" x14ac:dyDescent="0.25">
      <c r="A2761" s="32" t="s">
        <v>767</v>
      </c>
      <c r="B2761" s="7">
        <v>2019</v>
      </c>
      <c r="C2761" s="51" t="s">
        <v>703</v>
      </c>
      <c r="D2761" t="s">
        <v>736</v>
      </c>
      <c r="E2761" s="2">
        <v>4.6859999999999999</v>
      </c>
    </row>
    <row r="2762" spans="1:5" x14ac:dyDescent="0.25">
      <c r="A2762" s="32" t="s">
        <v>767</v>
      </c>
      <c r="B2762" s="7">
        <v>2019</v>
      </c>
      <c r="C2762" s="51" t="s">
        <v>704</v>
      </c>
      <c r="D2762" t="s">
        <v>736</v>
      </c>
      <c r="E2762" s="2">
        <v>4.8579999999999997</v>
      </c>
    </row>
    <row r="2763" spans="1:5" x14ac:dyDescent="0.25">
      <c r="A2763" s="32" t="s">
        <v>767</v>
      </c>
      <c r="B2763" s="7">
        <v>2019</v>
      </c>
      <c r="C2763" s="51" t="s">
        <v>705</v>
      </c>
      <c r="D2763" t="s">
        <v>736</v>
      </c>
      <c r="E2763" s="2">
        <v>4.8049999999999997</v>
      </c>
    </row>
    <row r="2764" spans="1:5" x14ac:dyDescent="0.25">
      <c r="A2764" s="32" t="s">
        <v>767</v>
      </c>
      <c r="B2764" s="7">
        <v>2019</v>
      </c>
      <c r="C2764" s="51" t="s">
        <v>706</v>
      </c>
      <c r="D2764" t="s">
        <v>736</v>
      </c>
      <c r="E2764" s="2">
        <v>4.26</v>
      </c>
    </row>
    <row r="2765" spans="1:5" x14ac:dyDescent="0.25">
      <c r="A2765" s="32" t="s">
        <v>767</v>
      </c>
      <c r="B2765" s="7">
        <v>2020</v>
      </c>
      <c r="C2765" s="51" t="s">
        <v>713</v>
      </c>
      <c r="D2765" t="s">
        <v>736</v>
      </c>
      <c r="E2765" s="2">
        <v>4.4390000000000001</v>
      </c>
    </row>
    <row r="2766" spans="1:5" x14ac:dyDescent="0.25">
      <c r="A2766" s="32" t="s">
        <v>767</v>
      </c>
      <c r="B2766" s="7">
        <v>2020</v>
      </c>
      <c r="C2766" s="51" t="s">
        <v>707</v>
      </c>
      <c r="D2766" t="s">
        <v>736</v>
      </c>
      <c r="E2766" s="2">
        <v>5.3739999999999997</v>
      </c>
    </row>
    <row r="2767" spans="1:5" x14ac:dyDescent="0.25">
      <c r="A2767" s="32" t="s">
        <v>767</v>
      </c>
      <c r="B2767" s="7">
        <v>2020</v>
      </c>
      <c r="C2767" s="51" t="s">
        <v>708</v>
      </c>
      <c r="D2767" t="s">
        <v>736</v>
      </c>
      <c r="E2767" s="2">
        <v>4.6130000000000004</v>
      </c>
    </row>
    <row r="2768" spans="1:5" x14ac:dyDescent="0.25">
      <c r="A2768" s="32" t="s">
        <v>767</v>
      </c>
      <c r="B2768" s="7">
        <v>2020</v>
      </c>
      <c r="C2768" s="51" t="s">
        <v>699</v>
      </c>
      <c r="D2768" t="s">
        <v>736</v>
      </c>
      <c r="E2768" s="2">
        <v>5.71</v>
      </c>
    </row>
    <row r="2769" spans="1:5" x14ac:dyDescent="0.25">
      <c r="A2769" s="32" t="s">
        <v>767</v>
      </c>
      <c r="B2769" s="7">
        <v>2020</v>
      </c>
      <c r="C2769" s="51" t="s">
        <v>709</v>
      </c>
      <c r="D2769" t="s">
        <v>736</v>
      </c>
      <c r="E2769" s="2">
        <v>5.9029999999999996</v>
      </c>
    </row>
    <row r="2770" spans="1:5" x14ac:dyDescent="0.25">
      <c r="A2770" s="32" t="s">
        <v>767</v>
      </c>
      <c r="B2770" s="7">
        <v>2020</v>
      </c>
      <c r="C2770" s="51" t="s">
        <v>712</v>
      </c>
      <c r="D2770" t="s">
        <v>736</v>
      </c>
      <c r="E2770" s="2">
        <v>5.3070000000000004</v>
      </c>
    </row>
    <row r="2771" spans="1:5" x14ac:dyDescent="0.25">
      <c r="A2771" s="32" t="s">
        <v>767</v>
      </c>
      <c r="B2771" s="7">
        <v>2020</v>
      </c>
      <c r="C2771" s="51" t="s">
        <v>710</v>
      </c>
      <c r="D2771" t="s">
        <v>736</v>
      </c>
      <c r="E2771" s="2">
        <v>4.6020000000000003</v>
      </c>
    </row>
    <row r="2772" spans="1:5" x14ac:dyDescent="0.25">
      <c r="A2772" s="32" t="s">
        <v>767</v>
      </c>
      <c r="B2772" s="7">
        <v>2020</v>
      </c>
      <c r="C2772" s="51" t="s">
        <v>702</v>
      </c>
      <c r="D2772" t="s">
        <v>736</v>
      </c>
      <c r="E2772" s="2">
        <v>5.2869999999999999</v>
      </c>
    </row>
    <row r="2773" spans="1:5" x14ac:dyDescent="0.25">
      <c r="A2773" s="32" t="s">
        <v>767</v>
      </c>
      <c r="B2773" s="7">
        <v>2020</v>
      </c>
      <c r="C2773" s="51" t="s">
        <v>703</v>
      </c>
      <c r="D2773" t="s">
        <v>736</v>
      </c>
      <c r="E2773" s="2">
        <v>4.9660000000000002</v>
      </c>
    </row>
    <row r="2774" spans="1:5" x14ac:dyDescent="0.25">
      <c r="A2774" s="32" t="s">
        <v>767</v>
      </c>
      <c r="B2774" s="7">
        <v>2020</v>
      </c>
      <c r="C2774" s="51" t="s">
        <v>704</v>
      </c>
      <c r="D2774" t="s">
        <v>736</v>
      </c>
      <c r="E2774" s="2">
        <v>4.9960000000000004</v>
      </c>
    </row>
    <row r="2775" spans="1:5" x14ac:dyDescent="0.25">
      <c r="A2775" s="32" t="s">
        <v>767</v>
      </c>
      <c r="B2775" s="7">
        <v>2020</v>
      </c>
      <c r="C2775" s="51" t="s">
        <v>705</v>
      </c>
      <c r="D2775" t="s">
        <v>736</v>
      </c>
      <c r="E2775" s="2">
        <v>5.016</v>
      </c>
    </row>
    <row r="2776" spans="1:5" x14ac:dyDescent="0.25">
      <c r="A2776" s="32" t="s">
        <v>767</v>
      </c>
      <c r="B2776" s="7">
        <v>2020</v>
      </c>
      <c r="C2776" s="51" t="s">
        <v>706</v>
      </c>
      <c r="D2776" t="s">
        <v>736</v>
      </c>
      <c r="E2776" s="2">
        <v>7.6849999999999996</v>
      </c>
    </row>
    <row r="2777" spans="1:5" x14ac:dyDescent="0.25">
      <c r="A2777" s="32" t="s">
        <v>767</v>
      </c>
      <c r="B2777" s="7">
        <v>2021</v>
      </c>
      <c r="C2777" s="51" t="s">
        <v>713</v>
      </c>
      <c r="D2777" t="s">
        <v>736</v>
      </c>
      <c r="E2777" s="2">
        <v>6.1980000000000004</v>
      </c>
    </row>
    <row r="2778" spans="1:5" x14ac:dyDescent="0.25">
      <c r="A2778" s="32" t="s">
        <v>767</v>
      </c>
      <c r="B2778" s="7">
        <v>2021</v>
      </c>
      <c r="C2778" s="51" t="s">
        <v>707</v>
      </c>
      <c r="D2778" t="s">
        <v>736</v>
      </c>
      <c r="E2778" s="2">
        <v>6.2850000000000001</v>
      </c>
    </row>
    <row r="2779" spans="1:5" x14ac:dyDescent="0.25">
      <c r="A2779" s="32" t="s">
        <v>767</v>
      </c>
      <c r="B2779" s="7">
        <v>2021</v>
      </c>
      <c r="C2779" s="51" t="s">
        <v>708</v>
      </c>
      <c r="D2779" t="s">
        <v>736</v>
      </c>
      <c r="E2779" s="2">
        <v>4.0460000000000003</v>
      </c>
    </row>
    <row r="2780" spans="1:5" x14ac:dyDescent="0.25">
      <c r="A2780" s="32" t="s">
        <v>767</v>
      </c>
      <c r="B2780" s="7">
        <v>2021</v>
      </c>
      <c r="C2780" s="51" t="s">
        <v>699</v>
      </c>
      <c r="D2780" t="s">
        <v>736</v>
      </c>
      <c r="E2780" s="2">
        <v>3.778</v>
      </c>
    </row>
    <row r="2781" spans="1:5" x14ac:dyDescent="0.25">
      <c r="A2781" s="32" t="s">
        <v>767</v>
      </c>
      <c r="B2781" s="7">
        <v>2021</v>
      </c>
      <c r="C2781" s="51" t="s">
        <v>709</v>
      </c>
      <c r="D2781" t="s">
        <v>736</v>
      </c>
      <c r="E2781" s="2">
        <v>3.4049999999999998</v>
      </c>
    </row>
    <row r="2782" spans="1:5" x14ac:dyDescent="0.25">
      <c r="A2782" s="32" t="s">
        <v>767</v>
      </c>
      <c r="B2782" s="7">
        <v>2021</v>
      </c>
      <c r="C2782" s="51" t="s">
        <v>712</v>
      </c>
      <c r="D2782" t="s">
        <v>736</v>
      </c>
      <c r="E2782" s="2">
        <v>3.1459999999999999</v>
      </c>
    </row>
    <row r="2783" spans="1:5" x14ac:dyDescent="0.25">
      <c r="A2783" s="32" t="s">
        <v>767</v>
      </c>
      <c r="B2783" s="7">
        <v>2021</v>
      </c>
      <c r="C2783" s="51" t="s">
        <v>710</v>
      </c>
      <c r="D2783" t="s">
        <v>736</v>
      </c>
      <c r="E2783" s="2">
        <v>3.395</v>
      </c>
    </row>
    <row r="2784" spans="1:5" x14ac:dyDescent="0.25">
      <c r="A2784" s="32" t="s">
        <v>767</v>
      </c>
      <c r="B2784" s="7">
        <v>2021</v>
      </c>
      <c r="C2784" s="51" t="s">
        <v>702</v>
      </c>
      <c r="D2784" t="s">
        <v>736</v>
      </c>
      <c r="E2784" s="2">
        <v>3.8639999999999999</v>
      </c>
    </row>
    <row r="2785" spans="1:5" x14ac:dyDescent="0.25">
      <c r="A2785" s="32" t="s">
        <v>767</v>
      </c>
      <c r="B2785" s="7">
        <v>2021</v>
      </c>
      <c r="C2785" s="51" t="s">
        <v>703</v>
      </c>
      <c r="D2785" t="s">
        <v>736</v>
      </c>
      <c r="E2785" s="2">
        <v>4.0279999999999996</v>
      </c>
    </row>
    <row r="2786" spans="1:5" x14ac:dyDescent="0.25">
      <c r="A2786" s="32" t="s">
        <v>767</v>
      </c>
      <c r="B2786" s="7">
        <v>2021</v>
      </c>
      <c r="C2786" s="51" t="s">
        <v>704</v>
      </c>
      <c r="D2786" t="s">
        <v>736</v>
      </c>
      <c r="E2786" s="2">
        <v>3.7269999999999999</v>
      </c>
    </row>
    <row r="2787" spans="1:5" x14ac:dyDescent="0.25">
      <c r="A2787" s="32" t="s">
        <v>767</v>
      </c>
      <c r="B2787" s="7">
        <v>2021</v>
      </c>
      <c r="C2787" s="51" t="s">
        <v>705</v>
      </c>
      <c r="D2787" t="s">
        <v>736</v>
      </c>
      <c r="E2787" s="2">
        <v>3.153</v>
      </c>
    </row>
    <row r="2788" spans="1:5" x14ac:dyDescent="0.25">
      <c r="A2788" s="32" t="s">
        <v>767</v>
      </c>
      <c r="B2788" s="7">
        <v>2021</v>
      </c>
      <c r="C2788" s="51" t="s">
        <v>706</v>
      </c>
      <c r="D2788" t="s">
        <v>736</v>
      </c>
      <c r="E2788" s="2">
        <v>2.9329999999999998</v>
      </c>
    </row>
    <row r="2789" spans="1:5" x14ac:dyDescent="0.25">
      <c r="A2789" s="32" t="s">
        <v>767</v>
      </c>
      <c r="B2789" s="7">
        <v>2022</v>
      </c>
      <c r="C2789" s="51" t="s">
        <v>713</v>
      </c>
      <c r="D2789" t="s">
        <v>736</v>
      </c>
      <c r="E2789" s="2">
        <v>6.3090000000000002</v>
      </c>
    </row>
    <row r="2790" spans="1:5" x14ac:dyDescent="0.25">
      <c r="A2790" s="32" t="s">
        <v>767</v>
      </c>
      <c r="B2790" s="7">
        <v>2022</v>
      </c>
      <c r="C2790" s="51" t="s">
        <v>707</v>
      </c>
      <c r="D2790" t="s">
        <v>736</v>
      </c>
      <c r="E2790" s="2">
        <v>5.9710000000000001</v>
      </c>
    </row>
    <row r="2791" spans="1:5" x14ac:dyDescent="0.25">
      <c r="A2791" s="32" t="s">
        <v>767</v>
      </c>
      <c r="B2791" s="7">
        <v>2022</v>
      </c>
      <c r="C2791" s="51" t="s">
        <v>708</v>
      </c>
      <c r="D2791" t="s">
        <v>736</v>
      </c>
      <c r="E2791" s="2">
        <v>4.5910000000000002</v>
      </c>
    </row>
    <row r="2792" spans="1:5" x14ac:dyDescent="0.25">
      <c r="A2792" s="32" t="s">
        <v>767</v>
      </c>
      <c r="B2792" s="7">
        <v>2022</v>
      </c>
      <c r="C2792" s="51" t="s">
        <v>699</v>
      </c>
      <c r="D2792" t="s">
        <v>736</v>
      </c>
      <c r="E2792" s="2">
        <v>5.44</v>
      </c>
    </row>
    <row r="2793" spans="1:5" x14ac:dyDescent="0.25">
      <c r="A2793" s="32" t="s">
        <v>767</v>
      </c>
      <c r="B2793" s="7">
        <v>2022</v>
      </c>
      <c r="C2793" s="51" t="s">
        <v>709</v>
      </c>
      <c r="D2793" t="s">
        <v>736</v>
      </c>
      <c r="E2793" s="2">
        <v>7.516</v>
      </c>
    </row>
    <row r="2794" spans="1:5" x14ac:dyDescent="0.25">
      <c r="A2794" s="32" t="s">
        <v>767</v>
      </c>
      <c r="B2794" s="7">
        <v>2022</v>
      </c>
      <c r="C2794" s="51" t="s">
        <v>712</v>
      </c>
      <c r="D2794" t="s">
        <v>736</v>
      </c>
      <c r="E2794" s="2">
        <v>4.88</v>
      </c>
    </row>
    <row r="2795" spans="1:5" x14ac:dyDescent="0.25">
      <c r="A2795" s="32" t="s">
        <v>767</v>
      </c>
      <c r="B2795" s="7">
        <v>2022</v>
      </c>
      <c r="C2795" s="51" t="s">
        <v>710</v>
      </c>
      <c r="D2795" t="s">
        <v>736</v>
      </c>
      <c r="E2795" s="2">
        <v>4.5289999999999999</v>
      </c>
    </row>
    <row r="2796" spans="1:5" x14ac:dyDescent="0.25">
      <c r="A2796" s="32" t="s">
        <v>767</v>
      </c>
      <c r="B2796" s="7">
        <v>2022</v>
      </c>
      <c r="C2796" s="51" t="s">
        <v>702</v>
      </c>
      <c r="D2796" t="s">
        <v>736</v>
      </c>
      <c r="E2796" s="2">
        <v>4.4029999999999996</v>
      </c>
    </row>
    <row r="2797" spans="1:5" x14ac:dyDescent="0.25">
      <c r="A2797" s="32" t="s">
        <v>767</v>
      </c>
      <c r="B2797" s="7">
        <v>2022</v>
      </c>
      <c r="C2797" s="51" t="s">
        <v>703</v>
      </c>
      <c r="D2797" t="s">
        <v>736</v>
      </c>
      <c r="E2797" s="2">
        <v>4.1980000000000004</v>
      </c>
    </row>
    <row r="2798" spans="1:5" x14ac:dyDescent="0.25">
      <c r="A2798" s="32" t="s">
        <v>767</v>
      </c>
      <c r="B2798" s="7">
        <v>2022</v>
      </c>
      <c r="C2798" s="51" t="s">
        <v>704</v>
      </c>
      <c r="D2798" t="s">
        <v>736</v>
      </c>
      <c r="E2798" s="2">
        <v>4.4470000000000001</v>
      </c>
    </row>
    <row r="2799" spans="1:5" x14ac:dyDescent="0.25">
      <c r="A2799" s="32" t="s">
        <v>767</v>
      </c>
      <c r="B2799" s="7">
        <v>2022</v>
      </c>
      <c r="C2799" s="51" t="s">
        <v>705</v>
      </c>
      <c r="D2799" t="s">
        <v>736</v>
      </c>
      <c r="E2799" s="2">
        <v>4.4409999999999998</v>
      </c>
    </row>
    <row r="2800" spans="1:5" x14ac:dyDescent="0.25">
      <c r="A2800" s="32" t="s">
        <v>767</v>
      </c>
      <c r="B2800" s="7">
        <v>2022</v>
      </c>
      <c r="C2800" s="51" t="s">
        <v>706</v>
      </c>
      <c r="D2800" t="s">
        <v>736</v>
      </c>
      <c r="E2800" s="2">
        <v>5.8310000000000004</v>
      </c>
    </row>
    <row r="2801" spans="1:5" x14ac:dyDescent="0.25">
      <c r="A2801" s="32" t="s">
        <v>767</v>
      </c>
      <c r="B2801" s="7">
        <v>2023</v>
      </c>
      <c r="C2801" s="51" t="s">
        <v>713</v>
      </c>
      <c r="D2801" t="s">
        <v>736</v>
      </c>
      <c r="E2801" s="2">
        <v>5.1180000000000003</v>
      </c>
    </row>
    <row r="2802" spans="1:5" x14ac:dyDescent="0.25">
      <c r="A2802" s="32" t="s">
        <v>767</v>
      </c>
      <c r="B2802" s="7">
        <v>2023</v>
      </c>
      <c r="C2802" s="51" t="s">
        <v>707</v>
      </c>
      <c r="D2802" t="s">
        <v>736</v>
      </c>
      <c r="E2802" s="2">
        <v>5.6050000000000004</v>
      </c>
    </row>
    <row r="2803" spans="1:5" x14ac:dyDescent="0.25">
      <c r="A2803" s="32" t="s">
        <v>767</v>
      </c>
      <c r="B2803" s="7">
        <v>2023</v>
      </c>
      <c r="C2803" s="51" t="s">
        <v>708</v>
      </c>
      <c r="D2803" t="s">
        <v>736</v>
      </c>
      <c r="E2803" s="2">
        <v>5.1420000000000003</v>
      </c>
    </row>
    <row r="2804" spans="1:5" x14ac:dyDescent="0.25">
      <c r="A2804" s="32" t="s">
        <v>767</v>
      </c>
      <c r="B2804" s="7">
        <v>2023</v>
      </c>
      <c r="C2804" s="51" t="s">
        <v>699</v>
      </c>
      <c r="D2804" t="s">
        <v>736</v>
      </c>
      <c r="E2804" s="2">
        <v>4.5039999999999996</v>
      </c>
    </row>
    <row r="2805" spans="1:5" x14ac:dyDescent="0.25">
      <c r="A2805" s="32" t="s">
        <v>767</v>
      </c>
      <c r="B2805" s="7">
        <v>2023</v>
      </c>
      <c r="C2805" s="51" t="s">
        <v>709</v>
      </c>
      <c r="D2805" t="s">
        <v>736</v>
      </c>
      <c r="E2805" s="2">
        <v>4.6130000000000004</v>
      </c>
    </row>
    <row r="2806" spans="1:5" x14ac:dyDescent="0.25">
      <c r="A2806" s="32" t="s">
        <v>767</v>
      </c>
      <c r="B2806" s="7">
        <v>2023</v>
      </c>
      <c r="C2806" s="51" t="s">
        <v>712</v>
      </c>
      <c r="D2806" t="s">
        <v>736</v>
      </c>
      <c r="E2806" s="2">
        <v>4.0359999999999996</v>
      </c>
    </row>
    <row r="2807" spans="1:5" x14ac:dyDescent="0.25">
      <c r="A2807" s="32" t="s">
        <v>767</v>
      </c>
      <c r="B2807" s="7">
        <v>2023</v>
      </c>
      <c r="C2807" s="51" t="s">
        <v>710</v>
      </c>
      <c r="D2807" t="s">
        <v>736</v>
      </c>
      <c r="E2807" s="2">
        <v>4.3250000000000002</v>
      </c>
    </row>
    <row r="2808" spans="1:5" x14ac:dyDescent="0.25">
      <c r="A2808" s="32" t="s">
        <v>767</v>
      </c>
      <c r="B2808" s="7">
        <v>2023</v>
      </c>
      <c r="C2808" s="51" t="s">
        <v>702</v>
      </c>
      <c r="D2808" t="s">
        <v>736</v>
      </c>
      <c r="E2808" s="2">
        <v>4.3230000000000004</v>
      </c>
    </row>
    <row r="2809" spans="1:5" x14ac:dyDescent="0.25">
      <c r="A2809" s="32" t="s">
        <v>767</v>
      </c>
      <c r="B2809" s="7">
        <v>2023</v>
      </c>
      <c r="C2809" s="51" t="s">
        <v>703</v>
      </c>
      <c r="D2809" t="s">
        <v>736</v>
      </c>
      <c r="E2809" s="2">
        <v>4.7720000000000002</v>
      </c>
    </row>
    <row r="2810" spans="1:5" x14ac:dyDescent="0.25">
      <c r="A2810" s="32" t="s">
        <v>767</v>
      </c>
      <c r="B2810" s="7">
        <v>1997</v>
      </c>
      <c r="C2810" s="51" t="s">
        <v>704</v>
      </c>
      <c r="D2810" t="s">
        <v>737</v>
      </c>
      <c r="E2810" s="2">
        <v>1.8839999999999999</v>
      </c>
    </row>
    <row r="2811" spans="1:5" x14ac:dyDescent="0.25">
      <c r="A2811" s="32" t="s">
        <v>767</v>
      </c>
      <c r="B2811" s="7">
        <v>1997</v>
      </c>
      <c r="C2811" s="51" t="s">
        <v>705</v>
      </c>
      <c r="D2811" t="s">
        <v>737</v>
      </c>
      <c r="E2811" s="2">
        <v>1.9430000000000001</v>
      </c>
    </row>
    <row r="2812" spans="1:5" x14ac:dyDescent="0.25">
      <c r="A2812" s="32" t="s">
        <v>767</v>
      </c>
      <c r="B2812" s="7">
        <v>1997</v>
      </c>
      <c r="C2812" s="51" t="s">
        <v>706</v>
      </c>
      <c r="D2812" t="s">
        <v>737</v>
      </c>
      <c r="E2812" s="2">
        <v>1.96</v>
      </c>
    </row>
    <row r="2813" spans="1:5" x14ac:dyDescent="0.25">
      <c r="A2813" s="32" t="s">
        <v>767</v>
      </c>
      <c r="B2813" s="7">
        <v>1998</v>
      </c>
      <c r="C2813" s="51" t="s">
        <v>713</v>
      </c>
      <c r="D2813" t="s">
        <v>737</v>
      </c>
      <c r="E2813" s="2">
        <v>2.0430000000000001</v>
      </c>
    </row>
    <row r="2814" spans="1:5" x14ac:dyDescent="0.25">
      <c r="A2814" s="32" t="s">
        <v>767</v>
      </c>
      <c r="B2814" s="7">
        <v>1998</v>
      </c>
      <c r="C2814" s="51" t="s">
        <v>707</v>
      </c>
      <c r="D2814" t="s">
        <v>737</v>
      </c>
      <c r="E2814" s="2">
        <v>1.7889999999999999</v>
      </c>
    </row>
    <row r="2815" spans="1:5" x14ac:dyDescent="0.25">
      <c r="A2815" s="32" t="s">
        <v>767</v>
      </c>
      <c r="B2815" s="7">
        <v>1998</v>
      </c>
      <c r="C2815" s="51" t="s">
        <v>708</v>
      </c>
      <c r="D2815" t="s">
        <v>737</v>
      </c>
      <c r="E2815" s="2">
        <v>2.1</v>
      </c>
    </row>
    <row r="2816" spans="1:5" x14ac:dyDescent="0.25">
      <c r="A2816" s="32" t="s">
        <v>767</v>
      </c>
      <c r="B2816" s="7">
        <v>1998</v>
      </c>
      <c r="C2816" s="51" t="s">
        <v>699</v>
      </c>
      <c r="D2816" t="s">
        <v>737</v>
      </c>
      <c r="E2816" s="2">
        <v>1.9930000000000001</v>
      </c>
    </row>
    <row r="2817" spans="1:5" x14ac:dyDescent="0.25">
      <c r="A2817" s="32" t="s">
        <v>767</v>
      </c>
      <c r="B2817" s="7">
        <v>1998</v>
      </c>
      <c r="C2817" s="51" t="s">
        <v>709</v>
      </c>
      <c r="D2817" t="s">
        <v>737</v>
      </c>
      <c r="E2817" s="2">
        <v>2.1040000000000001</v>
      </c>
    </row>
    <row r="2818" spans="1:5" x14ac:dyDescent="0.25">
      <c r="A2818" s="32" t="s">
        <v>767</v>
      </c>
      <c r="B2818" s="7">
        <v>1998</v>
      </c>
      <c r="C2818" s="51" t="s">
        <v>712</v>
      </c>
      <c r="D2818" t="s">
        <v>737</v>
      </c>
      <c r="E2818" s="2">
        <v>2.0830000000000002</v>
      </c>
    </row>
    <row r="2819" spans="1:5" x14ac:dyDescent="0.25">
      <c r="A2819" s="32" t="s">
        <v>767</v>
      </c>
      <c r="B2819" s="7">
        <v>1998</v>
      </c>
      <c r="C2819" s="51" t="s">
        <v>710</v>
      </c>
      <c r="D2819" t="s">
        <v>737</v>
      </c>
      <c r="E2819" s="2">
        <v>1.996</v>
      </c>
    </row>
    <row r="2820" spans="1:5" x14ac:dyDescent="0.25">
      <c r="A2820" s="32" t="s">
        <v>767</v>
      </c>
      <c r="B2820" s="7">
        <v>1998</v>
      </c>
      <c r="C2820" s="51" t="s">
        <v>702</v>
      </c>
      <c r="D2820" t="s">
        <v>737</v>
      </c>
      <c r="E2820" s="2">
        <v>2.0529999999999999</v>
      </c>
    </row>
    <row r="2821" spans="1:5" x14ac:dyDescent="0.25">
      <c r="A2821" s="32" t="s">
        <v>767</v>
      </c>
      <c r="B2821" s="7">
        <v>1998</v>
      </c>
      <c r="C2821" s="51" t="s">
        <v>703</v>
      </c>
      <c r="D2821" t="s">
        <v>737</v>
      </c>
      <c r="E2821" s="2">
        <v>2.081</v>
      </c>
    </row>
    <row r="2822" spans="1:5" x14ac:dyDescent="0.25">
      <c r="A2822" s="32" t="s">
        <v>767</v>
      </c>
      <c r="B2822" s="7">
        <v>1998</v>
      </c>
      <c r="C2822" s="51" t="s">
        <v>704</v>
      </c>
      <c r="D2822" t="s">
        <v>737</v>
      </c>
      <c r="E2822" s="2">
        <v>2.1909999999999998</v>
      </c>
    </row>
    <row r="2823" spans="1:5" x14ac:dyDescent="0.25">
      <c r="A2823" s="32" t="s">
        <v>767</v>
      </c>
      <c r="B2823" s="7">
        <v>1998</v>
      </c>
      <c r="C2823" s="51" t="s">
        <v>705</v>
      </c>
      <c r="D2823" t="s">
        <v>737</v>
      </c>
      <c r="E2823" s="2">
        <v>2.1259999999999999</v>
      </c>
    </row>
    <row r="2824" spans="1:5" x14ac:dyDescent="0.25">
      <c r="A2824" s="32" t="s">
        <v>767</v>
      </c>
      <c r="B2824" s="7">
        <v>1998</v>
      </c>
      <c r="C2824" s="51" t="s">
        <v>706</v>
      </c>
      <c r="D2824" t="s">
        <v>737</v>
      </c>
      <c r="E2824" s="2">
        <v>2.1890000000000001</v>
      </c>
    </row>
    <row r="2825" spans="1:5" x14ac:dyDescent="0.25">
      <c r="A2825" s="32" t="s">
        <v>767</v>
      </c>
      <c r="B2825" s="7">
        <v>1999</v>
      </c>
      <c r="C2825" s="51" t="s">
        <v>713</v>
      </c>
      <c r="D2825" t="s">
        <v>737</v>
      </c>
      <c r="E2825" s="2">
        <v>2.2650000000000001</v>
      </c>
    </row>
    <row r="2826" spans="1:5" x14ac:dyDescent="0.25">
      <c r="A2826" s="32" t="s">
        <v>767</v>
      </c>
      <c r="B2826" s="7">
        <v>1999</v>
      </c>
      <c r="C2826" s="51" t="s">
        <v>707</v>
      </c>
      <c r="D2826" t="s">
        <v>737</v>
      </c>
      <c r="E2826" s="2">
        <v>1.96</v>
      </c>
    </row>
    <row r="2827" spans="1:5" x14ac:dyDescent="0.25">
      <c r="A2827" s="32" t="s">
        <v>767</v>
      </c>
      <c r="B2827" s="7">
        <v>1999</v>
      </c>
      <c r="C2827" s="51" t="s">
        <v>708</v>
      </c>
      <c r="D2827" t="s">
        <v>737</v>
      </c>
      <c r="E2827" s="2">
        <v>2.1859999999999999</v>
      </c>
    </row>
    <row r="2828" spans="1:5" x14ac:dyDescent="0.25">
      <c r="A2828" s="32" t="s">
        <v>767</v>
      </c>
      <c r="B2828" s="7">
        <v>1999</v>
      </c>
      <c r="C2828" s="51" t="s">
        <v>699</v>
      </c>
      <c r="D2828" t="s">
        <v>737</v>
      </c>
      <c r="E2828" s="2">
        <v>2.0649999999999999</v>
      </c>
    </row>
    <row r="2829" spans="1:5" x14ac:dyDescent="0.25">
      <c r="A2829" s="32" t="s">
        <v>767</v>
      </c>
      <c r="B2829" s="7">
        <v>1999</v>
      </c>
      <c r="C2829" s="51" t="s">
        <v>709</v>
      </c>
      <c r="D2829" t="s">
        <v>737</v>
      </c>
      <c r="E2829" s="2">
        <v>2.222</v>
      </c>
    </row>
    <row r="2830" spans="1:5" x14ac:dyDescent="0.25">
      <c r="A2830" s="32" t="s">
        <v>767</v>
      </c>
      <c r="B2830" s="7">
        <v>1999</v>
      </c>
      <c r="C2830" s="51" t="s">
        <v>712</v>
      </c>
      <c r="D2830" t="s">
        <v>737</v>
      </c>
      <c r="E2830" s="2">
        <v>2.141</v>
      </c>
    </row>
    <row r="2831" spans="1:5" x14ac:dyDescent="0.25">
      <c r="A2831" s="32" t="s">
        <v>767</v>
      </c>
      <c r="B2831" s="7">
        <v>1999</v>
      </c>
      <c r="C2831" s="51" t="s">
        <v>710</v>
      </c>
      <c r="D2831" t="s">
        <v>737</v>
      </c>
      <c r="E2831" s="2">
        <v>2.137</v>
      </c>
    </row>
    <row r="2832" spans="1:5" x14ac:dyDescent="0.25">
      <c r="A2832" s="32" t="s">
        <v>767</v>
      </c>
      <c r="B2832" s="7">
        <v>1999</v>
      </c>
      <c r="C2832" s="51" t="s">
        <v>702</v>
      </c>
      <c r="D2832" t="s">
        <v>737</v>
      </c>
      <c r="E2832" s="2">
        <v>2.0990000000000002</v>
      </c>
    </row>
    <row r="2833" spans="1:5" x14ac:dyDescent="0.25">
      <c r="A2833" s="32" t="s">
        <v>767</v>
      </c>
      <c r="B2833" s="7">
        <v>1999</v>
      </c>
      <c r="C2833" s="51" t="s">
        <v>703</v>
      </c>
      <c r="D2833" t="s">
        <v>737</v>
      </c>
      <c r="E2833" s="2">
        <v>2.165</v>
      </c>
    </row>
    <row r="2834" spans="1:5" x14ac:dyDescent="0.25">
      <c r="A2834" s="32" t="s">
        <v>767</v>
      </c>
      <c r="B2834" s="7">
        <v>1999</v>
      </c>
      <c r="C2834" s="51" t="s">
        <v>704</v>
      </c>
      <c r="D2834" t="s">
        <v>737</v>
      </c>
      <c r="E2834" s="2">
        <v>2.286</v>
      </c>
    </row>
    <row r="2835" spans="1:5" x14ac:dyDescent="0.25">
      <c r="A2835" s="32" t="s">
        <v>767</v>
      </c>
      <c r="B2835" s="7">
        <v>1999</v>
      </c>
      <c r="C2835" s="51" t="s">
        <v>705</v>
      </c>
      <c r="D2835" t="s">
        <v>737</v>
      </c>
      <c r="E2835" s="2">
        <v>2.2109999999999999</v>
      </c>
    </row>
    <row r="2836" spans="1:5" x14ac:dyDescent="0.25">
      <c r="A2836" s="32" t="s">
        <v>767</v>
      </c>
      <c r="B2836" s="7">
        <v>1999</v>
      </c>
      <c r="C2836" s="51" t="s">
        <v>706</v>
      </c>
      <c r="D2836" t="s">
        <v>737</v>
      </c>
      <c r="E2836" s="2">
        <v>2.1659999999999999</v>
      </c>
    </row>
    <row r="2837" spans="1:5" x14ac:dyDescent="0.25">
      <c r="A2837" s="32" t="s">
        <v>767</v>
      </c>
      <c r="B2837" s="7">
        <v>2000</v>
      </c>
      <c r="C2837" s="51" t="s">
        <v>713</v>
      </c>
      <c r="D2837" t="s">
        <v>737</v>
      </c>
      <c r="E2837" s="2">
        <v>2.1880000000000002</v>
      </c>
    </row>
    <row r="2838" spans="1:5" x14ac:dyDescent="0.25">
      <c r="A2838" s="32" t="s">
        <v>767</v>
      </c>
      <c r="B2838" s="7">
        <v>2000</v>
      </c>
      <c r="C2838" s="51" t="s">
        <v>707</v>
      </c>
      <c r="D2838" t="s">
        <v>737</v>
      </c>
      <c r="E2838" s="2">
        <v>2.1890000000000001</v>
      </c>
    </row>
    <row r="2839" spans="1:5" x14ac:dyDescent="0.25">
      <c r="A2839" s="32" t="s">
        <v>767</v>
      </c>
      <c r="B2839" s="7">
        <v>2000</v>
      </c>
      <c r="C2839" s="51" t="s">
        <v>708</v>
      </c>
      <c r="D2839" t="s">
        <v>737</v>
      </c>
      <c r="E2839" s="2">
        <v>2.6709999999999998</v>
      </c>
    </row>
    <row r="2840" spans="1:5" x14ac:dyDescent="0.25">
      <c r="A2840" s="32" t="s">
        <v>767</v>
      </c>
      <c r="B2840" s="7">
        <v>2000</v>
      </c>
      <c r="C2840" s="51" t="s">
        <v>699</v>
      </c>
      <c r="D2840" t="s">
        <v>737</v>
      </c>
      <c r="E2840" s="2">
        <v>2.6560000000000001</v>
      </c>
    </row>
    <row r="2841" spans="1:5" x14ac:dyDescent="0.25">
      <c r="A2841" s="32" t="s">
        <v>767</v>
      </c>
      <c r="B2841" s="7">
        <v>2000</v>
      </c>
      <c r="C2841" s="51" t="s">
        <v>709</v>
      </c>
      <c r="D2841" t="s">
        <v>737</v>
      </c>
      <c r="E2841" s="2">
        <v>2.7930000000000001</v>
      </c>
    </row>
    <row r="2842" spans="1:5" x14ac:dyDescent="0.25">
      <c r="A2842" s="32" t="s">
        <v>767</v>
      </c>
      <c r="B2842" s="7">
        <v>2000</v>
      </c>
      <c r="C2842" s="51" t="s">
        <v>712</v>
      </c>
      <c r="D2842" t="s">
        <v>737</v>
      </c>
      <c r="E2842" s="2">
        <v>2.6280000000000001</v>
      </c>
    </row>
    <row r="2843" spans="1:5" x14ac:dyDescent="0.25">
      <c r="A2843" s="32" t="s">
        <v>767</v>
      </c>
      <c r="B2843" s="7">
        <v>2000</v>
      </c>
      <c r="C2843" s="51" t="s">
        <v>710</v>
      </c>
      <c r="D2843" t="s">
        <v>737</v>
      </c>
      <c r="E2843" s="2">
        <v>2.6549999999999998</v>
      </c>
    </row>
    <row r="2844" spans="1:5" x14ac:dyDescent="0.25">
      <c r="A2844" s="32" t="s">
        <v>767</v>
      </c>
      <c r="B2844" s="7">
        <v>2000</v>
      </c>
      <c r="C2844" s="51" t="s">
        <v>702</v>
      </c>
      <c r="D2844" t="s">
        <v>737</v>
      </c>
      <c r="E2844" s="2">
        <v>2.6549999999999998</v>
      </c>
    </row>
    <row r="2845" spans="1:5" x14ac:dyDescent="0.25">
      <c r="A2845" s="32" t="s">
        <v>767</v>
      </c>
      <c r="B2845" s="7">
        <v>2000</v>
      </c>
      <c r="C2845" s="51" t="s">
        <v>703</v>
      </c>
      <c r="D2845" t="s">
        <v>737</v>
      </c>
      <c r="E2845" s="2">
        <v>2.5979999999999999</v>
      </c>
    </row>
    <row r="2846" spans="1:5" x14ac:dyDescent="0.25">
      <c r="A2846" s="32" t="s">
        <v>767</v>
      </c>
      <c r="B2846" s="7">
        <v>2000</v>
      </c>
      <c r="C2846" s="51" t="s">
        <v>704</v>
      </c>
      <c r="D2846" t="s">
        <v>737</v>
      </c>
      <c r="E2846" s="2">
        <v>2.7210000000000001</v>
      </c>
    </row>
    <row r="2847" spans="1:5" x14ac:dyDescent="0.25">
      <c r="A2847" s="32" t="s">
        <v>767</v>
      </c>
      <c r="B2847" s="7">
        <v>2000</v>
      </c>
      <c r="C2847" s="51" t="s">
        <v>705</v>
      </c>
      <c r="D2847" t="s">
        <v>737</v>
      </c>
      <c r="E2847" s="2">
        <v>2.7160000000000002</v>
      </c>
    </row>
    <row r="2848" spans="1:5" x14ac:dyDescent="0.25">
      <c r="A2848" s="32" t="s">
        <v>767</v>
      </c>
      <c r="B2848" s="7">
        <v>2000</v>
      </c>
      <c r="C2848" s="51" t="s">
        <v>706</v>
      </c>
      <c r="D2848" t="s">
        <v>737</v>
      </c>
      <c r="E2848" s="2">
        <v>2.9089999999999998</v>
      </c>
    </row>
    <row r="2849" spans="1:5" x14ac:dyDescent="0.25">
      <c r="A2849" s="32" t="s">
        <v>767</v>
      </c>
      <c r="B2849" s="7">
        <v>2001</v>
      </c>
      <c r="C2849" s="51" t="s">
        <v>713</v>
      </c>
      <c r="D2849" t="s">
        <v>737</v>
      </c>
      <c r="E2849" s="2">
        <v>2.9049999999999998</v>
      </c>
    </row>
    <row r="2850" spans="1:5" x14ac:dyDescent="0.25">
      <c r="A2850" s="32" t="s">
        <v>767</v>
      </c>
      <c r="B2850" s="7">
        <v>2001</v>
      </c>
      <c r="C2850" s="51" t="s">
        <v>707</v>
      </c>
      <c r="D2850" t="s">
        <v>737</v>
      </c>
      <c r="E2850" s="2">
        <v>2.5070000000000001</v>
      </c>
    </row>
    <row r="2851" spans="1:5" x14ac:dyDescent="0.25">
      <c r="A2851" s="32" t="s">
        <v>767</v>
      </c>
      <c r="B2851" s="7">
        <v>2001</v>
      </c>
      <c r="C2851" s="51" t="s">
        <v>708</v>
      </c>
      <c r="D2851" t="s">
        <v>737</v>
      </c>
      <c r="E2851" s="2">
        <v>2.7730000000000001</v>
      </c>
    </row>
    <row r="2852" spans="1:5" x14ac:dyDescent="0.25">
      <c r="A2852" s="32" t="s">
        <v>767</v>
      </c>
      <c r="B2852" s="7">
        <v>2001</v>
      </c>
      <c r="C2852" s="51" t="s">
        <v>699</v>
      </c>
      <c r="D2852" t="s">
        <v>737</v>
      </c>
      <c r="E2852" s="2">
        <v>2.665</v>
      </c>
    </row>
    <row r="2853" spans="1:5" x14ac:dyDescent="0.25">
      <c r="A2853" s="32" t="s">
        <v>767</v>
      </c>
      <c r="B2853" s="7">
        <v>2001</v>
      </c>
      <c r="C2853" s="51" t="s">
        <v>709</v>
      </c>
      <c r="D2853" t="s">
        <v>737</v>
      </c>
      <c r="E2853" s="2">
        <v>2.72</v>
      </c>
    </row>
    <row r="2854" spans="1:5" x14ac:dyDescent="0.25">
      <c r="A2854" s="32" t="s">
        <v>767</v>
      </c>
      <c r="B2854" s="7">
        <v>2001</v>
      </c>
      <c r="C2854" s="51" t="s">
        <v>712</v>
      </c>
      <c r="D2854" t="s">
        <v>737</v>
      </c>
      <c r="E2854" s="2">
        <v>2.2109999999999999</v>
      </c>
    </row>
    <row r="2855" spans="1:5" x14ac:dyDescent="0.25">
      <c r="A2855" s="32" t="s">
        <v>767</v>
      </c>
      <c r="B2855" s="7">
        <v>2001</v>
      </c>
      <c r="C2855" s="51" t="s">
        <v>710</v>
      </c>
      <c r="D2855" t="s">
        <v>737</v>
      </c>
      <c r="E2855" s="2">
        <v>1.9179999999999999</v>
      </c>
    </row>
    <row r="2856" spans="1:5" x14ac:dyDescent="0.25">
      <c r="A2856" s="32" t="s">
        <v>767</v>
      </c>
      <c r="B2856" s="7">
        <v>2001</v>
      </c>
      <c r="C2856" s="51" t="s">
        <v>702</v>
      </c>
      <c r="D2856" t="s">
        <v>737</v>
      </c>
      <c r="E2856" s="2">
        <v>1.9139999999999999</v>
      </c>
    </row>
    <row r="2857" spans="1:5" x14ac:dyDescent="0.25">
      <c r="A2857" s="32" t="s">
        <v>767</v>
      </c>
      <c r="B2857" s="7">
        <v>2001</v>
      </c>
      <c r="C2857" s="51" t="s">
        <v>703</v>
      </c>
      <c r="D2857" t="s">
        <v>737</v>
      </c>
      <c r="E2857" s="2">
        <v>1.9410000000000001</v>
      </c>
    </row>
    <row r="2858" spans="1:5" x14ac:dyDescent="0.25">
      <c r="A2858" s="32" t="s">
        <v>767</v>
      </c>
      <c r="B2858" s="7">
        <v>2001</v>
      </c>
      <c r="C2858" s="51" t="s">
        <v>704</v>
      </c>
      <c r="D2858" t="s">
        <v>737</v>
      </c>
      <c r="E2858" s="2">
        <v>1.982</v>
      </c>
    </row>
    <row r="2859" spans="1:5" x14ac:dyDescent="0.25">
      <c r="A2859" s="32" t="s">
        <v>767</v>
      </c>
      <c r="B2859" s="7">
        <v>2001</v>
      </c>
      <c r="C2859" s="51" t="s">
        <v>705</v>
      </c>
      <c r="D2859" t="s">
        <v>737</v>
      </c>
      <c r="E2859" s="2">
        <v>1.9390000000000001</v>
      </c>
    </row>
    <row r="2860" spans="1:5" x14ac:dyDescent="0.25">
      <c r="A2860" s="32" t="s">
        <v>767</v>
      </c>
      <c r="B2860" s="7">
        <v>2001</v>
      </c>
      <c r="C2860" s="51" t="s">
        <v>706</v>
      </c>
      <c r="D2860" t="s">
        <v>737</v>
      </c>
      <c r="E2860" s="2">
        <v>2.0219999999999998</v>
      </c>
    </row>
    <row r="2861" spans="1:5" x14ac:dyDescent="0.25">
      <c r="A2861" s="32" t="s">
        <v>767</v>
      </c>
      <c r="B2861" s="7">
        <v>2002</v>
      </c>
      <c r="C2861" s="51" t="s">
        <v>713</v>
      </c>
      <c r="D2861" t="s">
        <v>737</v>
      </c>
      <c r="E2861" s="2">
        <v>2.0110000000000001</v>
      </c>
    </row>
    <row r="2862" spans="1:5" x14ac:dyDescent="0.25">
      <c r="A2862" s="32" t="s">
        <v>767</v>
      </c>
      <c r="B2862" s="7">
        <v>2002</v>
      </c>
      <c r="C2862" s="51" t="s">
        <v>707</v>
      </c>
      <c r="D2862" t="s">
        <v>737</v>
      </c>
      <c r="E2862" s="2">
        <v>1.786</v>
      </c>
    </row>
    <row r="2863" spans="1:5" x14ac:dyDescent="0.25">
      <c r="A2863" s="32" t="s">
        <v>767</v>
      </c>
      <c r="B2863" s="7">
        <v>2002</v>
      </c>
      <c r="C2863" s="51" t="s">
        <v>708</v>
      </c>
      <c r="D2863" t="s">
        <v>737</v>
      </c>
      <c r="E2863" s="2">
        <v>2.0150000000000001</v>
      </c>
    </row>
    <row r="2864" spans="1:5" x14ac:dyDescent="0.25">
      <c r="A2864" s="32" t="s">
        <v>767</v>
      </c>
      <c r="B2864" s="7">
        <v>2002</v>
      </c>
      <c r="C2864" s="51" t="s">
        <v>699</v>
      </c>
      <c r="D2864" t="s">
        <v>737</v>
      </c>
      <c r="E2864" s="2">
        <v>1.917</v>
      </c>
    </row>
    <row r="2865" spans="1:5" x14ac:dyDescent="0.25">
      <c r="A2865" s="32" t="s">
        <v>767</v>
      </c>
      <c r="B2865" s="7">
        <v>2002</v>
      </c>
      <c r="C2865" s="51" t="s">
        <v>709</v>
      </c>
      <c r="D2865" t="s">
        <v>737</v>
      </c>
      <c r="E2865" s="2">
        <v>1.9970000000000001</v>
      </c>
    </row>
    <row r="2866" spans="1:5" x14ac:dyDescent="0.25">
      <c r="A2866" s="32" t="s">
        <v>767</v>
      </c>
      <c r="B2866" s="7">
        <v>2002</v>
      </c>
      <c r="C2866" s="51" t="s">
        <v>712</v>
      </c>
      <c r="D2866" t="s">
        <v>737</v>
      </c>
      <c r="E2866" s="2">
        <v>1.9079999999999999</v>
      </c>
    </row>
    <row r="2867" spans="1:5" x14ac:dyDescent="0.25">
      <c r="A2867" s="32" t="s">
        <v>767</v>
      </c>
      <c r="B2867" s="7">
        <v>2002</v>
      </c>
      <c r="C2867" s="51" t="s">
        <v>710</v>
      </c>
      <c r="D2867" t="s">
        <v>737</v>
      </c>
      <c r="E2867" s="2">
        <v>1.889</v>
      </c>
    </row>
    <row r="2868" spans="1:5" x14ac:dyDescent="0.25">
      <c r="A2868" s="32" t="s">
        <v>767</v>
      </c>
      <c r="B2868" s="7">
        <v>2002</v>
      </c>
      <c r="C2868" s="51" t="s">
        <v>702</v>
      </c>
      <c r="D2868" t="s">
        <v>737</v>
      </c>
      <c r="E2868" s="2">
        <v>1.756</v>
      </c>
    </row>
    <row r="2869" spans="1:5" x14ac:dyDescent="0.25">
      <c r="A2869" s="32" t="s">
        <v>767</v>
      </c>
      <c r="B2869" s="7">
        <v>2002</v>
      </c>
      <c r="C2869" s="51" t="s">
        <v>703</v>
      </c>
      <c r="D2869" t="s">
        <v>737</v>
      </c>
      <c r="E2869" s="2">
        <v>1.95</v>
      </c>
    </row>
    <row r="2870" spans="1:5" x14ac:dyDescent="0.25">
      <c r="A2870" s="32" t="s">
        <v>767</v>
      </c>
      <c r="B2870" s="7">
        <v>2002</v>
      </c>
      <c r="C2870" s="51" t="s">
        <v>704</v>
      </c>
      <c r="D2870" t="s">
        <v>737</v>
      </c>
      <c r="E2870" s="2">
        <v>1.889</v>
      </c>
    </row>
    <row r="2871" spans="1:5" x14ac:dyDescent="0.25">
      <c r="A2871" s="32" t="s">
        <v>767</v>
      </c>
      <c r="B2871" s="7">
        <v>2002</v>
      </c>
      <c r="C2871" s="51" t="s">
        <v>705</v>
      </c>
      <c r="D2871" t="s">
        <v>737</v>
      </c>
      <c r="E2871" s="2">
        <v>1.7110000000000001</v>
      </c>
    </row>
    <row r="2872" spans="1:5" x14ac:dyDescent="0.25">
      <c r="A2872" s="32" t="s">
        <v>767</v>
      </c>
      <c r="B2872" s="7">
        <v>2002</v>
      </c>
      <c r="C2872" s="51" t="s">
        <v>706</v>
      </c>
      <c r="D2872" t="s">
        <v>737</v>
      </c>
      <c r="E2872" s="2">
        <v>2.4159999999999999</v>
      </c>
    </row>
    <row r="2873" spans="1:5" x14ac:dyDescent="0.25">
      <c r="A2873" s="32" t="s">
        <v>767</v>
      </c>
      <c r="B2873" s="7">
        <v>2003</v>
      </c>
      <c r="C2873" s="51" t="s">
        <v>713</v>
      </c>
      <c r="D2873" t="s">
        <v>737</v>
      </c>
      <c r="E2873" s="2">
        <v>2.915</v>
      </c>
    </row>
    <row r="2874" spans="1:5" x14ac:dyDescent="0.25">
      <c r="A2874" s="32" t="s">
        <v>767</v>
      </c>
      <c r="B2874" s="7">
        <v>2003</v>
      </c>
      <c r="C2874" s="51" t="s">
        <v>707</v>
      </c>
      <c r="D2874" t="s">
        <v>737</v>
      </c>
      <c r="E2874" s="2">
        <v>1.9810000000000001</v>
      </c>
    </row>
    <row r="2875" spans="1:5" x14ac:dyDescent="0.25">
      <c r="A2875" s="32" t="s">
        <v>767</v>
      </c>
      <c r="B2875" s="7">
        <v>2003</v>
      </c>
      <c r="C2875" s="51" t="s">
        <v>708</v>
      </c>
      <c r="D2875" t="s">
        <v>737</v>
      </c>
      <c r="E2875" s="2">
        <v>1.8140000000000001</v>
      </c>
    </row>
    <row r="2876" spans="1:5" x14ac:dyDescent="0.25">
      <c r="A2876" s="32" t="s">
        <v>767</v>
      </c>
      <c r="B2876" s="7">
        <v>2003</v>
      </c>
      <c r="C2876" s="51" t="s">
        <v>699</v>
      </c>
      <c r="D2876" t="s">
        <v>737</v>
      </c>
      <c r="E2876" s="2">
        <v>2.3069999999999999</v>
      </c>
    </row>
    <row r="2877" spans="1:5" x14ac:dyDescent="0.25">
      <c r="A2877" s="32" t="s">
        <v>767</v>
      </c>
      <c r="B2877" s="7">
        <v>2003</v>
      </c>
      <c r="C2877" s="51" t="s">
        <v>709</v>
      </c>
      <c r="D2877" t="s">
        <v>737</v>
      </c>
      <c r="E2877" s="2">
        <v>2.742</v>
      </c>
    </row>
    <row r="2878" spans="1:5" x14ac:dyDescent="0.25">
      <c r="A2878" s="32" t="s">
        <v>767</v>
      </c>
      <c r="B2878" s="7">
        <v>2003</v>
      </c>
      <c r="C2878" s="51" t="s">
        <v>712</v>
      </c>
      <c r="D2878" t="s">
        <v>737</v>
      </c>
      <c r="E2878" s="2">
        <v>1.5820000000000001</v>
      </c>
    </row>
    <row r="2879" spans="1:5" x14ac:dyDescent="0.25">
      <c r="A2879" s="32" t="s">
        <v>767</v>
      </c>
      <c r="B2879" s="7">
        <v>2003</v>
      </c>
      <c r="C2879" s="51" t="s">
        <v>710</v>
      </c>
      <c r="D2879" t="s">
        <v>737</v>
      </c>
      <c r="E2879" s="2">
        <v>2.4039999999999999</v>
      </c>
    </row>
    <row r="2880" spans="1:5" x14ac:dyDescent="0.25">
      <c r="A2880" s="32" t="s">
        <v>767</v>
      </c>
      <c r="B2880" s="7">
        <v>2003</v>
      </c>
      <c r="C2880" s="51" t="s">
        <v>702</v>
      </c>
      <c r="D2880" t="s">
        <v>737</v>
      </c>
      <c r="E2880" s="2">
        <v>3.399</v>
      </c>
    </row>
    <row r="2881" spans="1:5" x14ac:dyDescent="0.25">
      <c r="A2881" s="32" t="s">
        <v>767</v>
      </c>
      <c r="B2881" s="7">
        <v>2003</v>
      </c>
      <c r="C2881" s="51" t="s">
        <v>703</v>
      </c>
      <c r="D2881" t="s">
        <v>737</v>
      </c>
      <c r="E2881" s="2">
        <v>2.5819999999999999</v>
      </c>
    </row>
    <row r="2882" spans="1:5" x14ac:dyDescent="0.25">
      <c r="A2882" s="32" t="s">
        <v>767</v>
      </c>
      <c r="B2882" s="7">
        <v>2003</v>
      </c>
      <c r="C2882" s="51" t="s">
        <v>704</v>
      </c>
      <c r="D2882" t="s">
        <v>737</v>
      </c>
      <c r="E2882" s="2">
        <v>1.419</v>
      </c>
    </row>
    <row r="2883" spans="1:5" x14ac:dyDescent="0.25">
      <c r="A2883" s="32" t="s">
        <v>767</v>
      </c>
      <c r="B2883" s="7">
        <v>2003</v>
      </c>
      <c r="C2883" s="51" t="s">
        <v>705</v>
      </c>
      <c r="D2883" t="s">
        <v>737</v>
      </c>
      <c r="E2883" s="2">
        <v>1.4359999999999999</v>
      </c>
    </row>
    <row r="2884" spans="1:5" x14ac:dyDescent="0.25">
      <c r="A2884" s="32" t="s">
        <v>767</v>
      </c>
      <c r="B2884" s="7">
        <v>2003</v>
      </c>
      <c r="C2884" s="51" t="s">
        <v>706</v>
      </c>
      <c r="D2884" t="s">
        <v>737</v>
      </c>
      <c r="E2884" s="2">
        <v>1.3540000000000001</v>
      </c>
    </row>
    <row r="2885" spans="1:5" x14ac:dyDescent="0.25">
      <c r="A2885" s="32" t="s">
        <v>767</v>
      </c>
      <c r="B2885" s="7">
        <v>2004</v>
      </c>
      <c r="C2885" s="51" t="s">
        <v>713</v>
      </c>
      <c r="D2885" t="s">
        <v>737</v>
      </c>
      <c r="E2885" s="2">
        <v>1.84</v>
      </c>
    </row>
    <row r="2886" spans="1:5" x14ac:dyDescent="0.25">
      <c r="A2886" s="32" t="s">
        <v>767</v>
      </c>
      <c r="B2886" s="7">
        <v>2004</v>
      </c>
      <c r="C2886" s="51" t="s">
        <v>707</v>
      </c>
      <c r="D2886" t="s">
        <v>737</v>
      </c>
      <c r="E2886" s="2">
        <v>2.5489999999999999</v>
      </c>
    </row>
    <row r="2887" spans="1:5" x14ac:dyDescent="0.25">
      <c r="A2887" s="32" t="s">
        <v>767</v>
      </c>
      <c r="B2887" s="7">
        <v>2004</v>
      </c>
      <c r="C2887" s="51" t="s">
        <v>708</v>
      </c>
      <c r="D2887" t="s">
        <v>737</v>
      </c>
      <c r="E2887" s="2">
        <v>2.7</v>
      </c>
    </row>
    <row r="2888" spans="1:5" x14ac:dyDescent="0.25">
      <c r="A2888" s="32" t="s">
        <v>767</v>
      </c>
      <c r="B2888" s="7">
        <v>2004</v>
      </c>
      <c r="C2888" s="51" t="s">
        <v>699</v>
      </c>
      <c r="D2888" t="s">
        <v>737</v>
      </c>
      <c r="E2888" s="2">
        <v>2.35</v>
      </c>
    </row>
    <row r="2889" spans="1:5" x14ac:dyDescent="0.25">
      <c r="A2889" s="32" t="s">
        <v>767</v>
      </c>
      <c r="B2889" s="7">
        <v>2004</v>
      </c>
      <c r="C2889" s="51" t="s">
        <v>709</v>
      </c>
      <c r="D2889" t="s">
        <v>737</v>
      </c>
      <c r="E2889" s="2">
        <v>2.7280000000000002</v>
      </c>
    </row>
    <row r="2890" spans="1:5" x14ac:dyDescent="0.25">
      <c r="A2890" s="32" t="s">
        <v>767</v>
      </c>
      <c r="B2890" s="7">
        <v>2004</v>
      </c>
      <c r="C2890" s="51" t="s">
        <v>712</v>
      </c>
      <c r="D2890" t="s">
        <v>737</v>
      </c>
      <c r="E2890" s="2">
        <v>2.367</v>
      </c>
    </row>
    <row r="2891" spans="1:5" x14ac:dyDescent="0.25">
      <c r="A2891" s="32" t="s">
        <v>767</v>
      </c>
      <c r="B2891" s="7">
        <v>2004</v>
      </c>
      <c r="C2891" s="51" t="s">
        <v>710</v>
      </c>
      <c r="D2891" t="s">
        <v>737</v>
      </c>
      <c r="E2891" s="2">
        <v>2.2589999999999999</v>
      </c>
    </row>
    <row r="2892" spans="1:5" x14ac:dyDescent="0.25">
      <c r="A2892" s="32" t="s">
        <v>767</v>
      </c>
      <c r="B2892" s="7">
        <v>2004</v>
      </c>
      <c r="C2892" s="51" t="s">
        <v>702</v>
      </c>
      <c r="D2892" t="s">
        <v>737</v>
      </c>
      <c r="E2892" s="2">
        <v>1.8049999999999999</v>
      </c>
    </row>
    <row r="2893" spans="1:5" x14ac:dyDescent="0.25">
      <c r="A2893" s="32" t="s">
        <v>767</v>
      </c>
      <c r="B2893" s="7">
        <v>2004</v>
      </c>
      <c r="C2893" s="51" t="s">
        <v>703</v>
      </c>
      <c r="D2893" t="s">
        <v>737</v>
      </c>
      <c r="E2893" s="2">
        <v>2.3740000000000001</v>
      </c>
    </row>
    <row r="2894" spans="1:5" x14ac:dyDescent="0.25">
      <c r="A2894" s="32" t="s">
        <v>767</v>
      </c>
      <c r="B2894" s="7">
        <v>2004</v>
      </c>
      <c r="C2894" s="51" t="s">
        <v>704</v>
      </c>
      <c r="D2894" t="s">
        <v>737</v>
      </c>
      <c r="E2894" s="2">
        <v>2.0379999999999998</v>
      </c>
    </row>
    <row r="2895" spans="1:5" x14ac:dyDescent="0.25">
      <c r="A2895" s="32" t="s">
        <v>767</v>
      </c>
      <c r="B2895" s="7">
        <v>2004</v>
      </c>
      <c r="C2895" s="51" t="s">
        <v>705</v>
      </c>
      <c r="D2895" t="s">
        <v>737</v>
      </c>
      <c r="E2895" s="2">
        <v>1.665</v>
      </c>
    </row>
    <row r="2896" spans="1:5" x14ac:dyDescent="0.25">
      <c r="A2896" s="32" t="s">
        <v>767</v>
      </c>
      <c r="B2896" s="7">
        <v>2004</v>
      </c>
      <c r="C2896" s="51" t="s">
        <v>706</v>
      </c>
      <c r="D2896" t="s">
        <v>737</v>
      </c>
      <c r="E2896" s="2">
        <v>1.464</v>
      </c>
    </row>
    <row r="2897" spans="1:5" x14ac:dyDescent="0.25">
      <c r="A2897" s="32" t="s">
        <v>767</v>
      </c>
      <c r="B2897" s="7">
        <v>2005</v>
      </c>
      <c r="C2897" s="51" t="s">
        <v>713</v>
      </c>
      <c r="D2897" t="s">
        <v>737</v>
      </c>
      <c r="E2897" s="2">
        <v>1.276</v>
      </c>
    </row>
    <row r="2898" spans="1:5" x14ac:dyDescent="0.25">
      <c r="A2898" s="32" t="s">
        <v>767</v>
      </c>
      <c r="B2898" s="7">
        <v>2005</v>
      </c>
      <c r="C2898" s="51" t="s">
        <v>707</v>
      </c>
      <c r="D2898" t="s">
        <v>737</v>
      </c>
      <c r="E2898" s="2">
        <v>1.0920000000000001</v>
      </c>
    </row>
    <row r="2899" spans="1:5" x14ac:dyDescent="0.25">
      <c r="A2899" s="32" t="s">
        <v>767</v>
      </c>
      <c r="B2899" s="7">
        <v>2005</v>
      </c>
      <c r="C2899" s="51" t="s">
        <v>708</v>
      </c>
      <c r="D2899" t="s">
        <v>737</v>
      </c>
      <c r="E2899" s="2">
        <v>1.4770000000000001</v>
      </c>
    </row>
    <row r="2900" spans="1:5" x14ac:dyDescent="0.25">
      <c r="A2900" s="32" t="s">
        <v>767</v>
      </c>
      <c r="B2900" s="7">
        <v>2005</v>
      </c>
      <c r="C2900" s="51" t="s">
        <v>699</v>
      </c>
      <c r="D2900" t="s">
        <v>737</v>
      </c>
      <c r="E2900" s="2">
        <v>1.9410000000000001</v>
      </c>
    </row>
    <row r="2901" spans="1:5" x14ac:dyDescent="0.25">
      <c r="A2901" s="32" t="s">
        <v>767</v>
      </c>
      <c r="B2901" s="7">
        <v>2005</v>
      </c>
      <c r="C2901" s="51" t="s">
        <v>709</v>
      </c>
      <c r="D2901" t="s">
        <v>737</v>
      </c>
      <c r="E2901" s="2">
        <v>2.2210000000000001</v>
      </c>
    </row>
    <row r="2902" spans="1:5" x14ac:dyDescent="0.25">
      <c r="A2902" s="32" t="s">
        <v>767</v>
      </c>
      <c r="B2902" s="7">
        <v>2005</v>
      </c>
      <c r="C2902" s="51" t="s">
        <v>712</v>
      </c>
      <c r="D2902" t="s">
        <v>737</v>
      </c>
      <c r="E2902" s="2">
        <v>2.4390000000000001</v>
      </c>
    </row>
    <row r="2903" spans="1:5" x14ac:dyDescent="0.25">
      <c r="A2903" s="32" t="s">
        <v>767</v>
      </c>
      <c r="B2903" s="7">
        <v>2005</v>
      </c>
      <c r="C2903" s="51" t="s">
        <v>710</v>
      </c>
      <c r="D2903" t="s">
        <v>737</v>
      </c>
      <c r="E2903" s="2">
        <v>2.4140000000000001</v>
      </c>
    </row>
    <row r="2904" spans="1:5" x14ac:dyDescent="0.25">
      <c r="A2904" s="32" t="s">
        <v>767</v>
      </c>
      <c r="B2904" s="7">
        <v>2005</v>
      </c>
      <c r="C2904" s="51" t="s">
        <v>702</v>
      </c>
      <c r="D2904" t="s">
        <v>737</v>
      </c>
      <c r="E2904" s="2">
        <v>2.4710000000000001</v>
      </c>
    </row>
    <row r="2905" spans="1:5" x14ac:dyDescent="0.25">
      <c r="A2905" s="32" t="s">
        <v>767</v>
      </c>
      <c r="B2905" s="7">
        <v>2005</v>
      </c>
      <c r="C2905" s="51" t="s">
        <v>703</v>
      </c>
      <c r="D2905" t="s">
        <v>737</v>
      </c>
      <c r="E2905" s="2">
        <v>2.5619999999999998</v>
      </c>
    </row>
    <row r="2906" spans="1:5" x14ac:dyDescent="0.25">
      <c r="A2906" s="32" t="s">
        <v>767</v>
      </c>
      <c r="B2906" s="7">
        <v>2005</v>
      </c>
      <c r="C2906" s="51" t="s">
        <v>704</v>
      </c>
      <c r="D2906" t="s">
        <v>737</v>
      </c>
      <c r="E2906" s="2">
        <v>1.9630000000000001</v>
      </c>
    </row>
    <row r="2907" spans="1:5" x14ac:dyDescent="0.25">
      <c r="A2907" s="32" t="s">
        <v>767</v>
      </c>
      <c r="B2907" s="7">
        <v>2005</v>
      </c>
      <c r="C2907" s="51" t="s">
        <v>705</v>
      </c>
      <c r="D2907" t="s">
        <v>737</v>
      </c>
      <c r="E2907" s="2">
        <v>2.2040000000000002</v>
      </c>
    </row>
    <row r="2908" spans="1:5" x14ac:dyDescent="0.25">
      <c r="A2908" s="32" t="s">
        <v>767</v>
      </c>
      <c r="B2908" s="7">
        <v>2005</v>
      </c>
      <c r="C2908" s="51" t="s">
        <v>706</v>
      </c>
      <c r="D2908" t="s">
        <v>737</v>
      </c>
      <c r="E2908" s="2">
        <v>2.4289999999999998</v>
      </c>
    </row>
    <row r="2909" spans="1:5" x14ac:dyDescent="0.25">
      <c r="A2909" s="32" t="s">
        <v>767</v>
      </c>
      <c r="B2909" s="7">
        <v>2006</v>
      </c>
      <c r="C2909" s="51" t="s">
        <v>713</v>
      </c>
      <c r="D2909" t="s">
        <v>737</v>
      </c>
      <c r="E2909" s="2">
        <v>2.323</v>
      </c>
    </row>
    <row r="2910" spans="1:5" x14ac:dyDescent="0.25">
      <c r="A2910" s="32" t="s">
        <v>767</v>
      </c>
      <c r="B2910" s="7">
        <v>2006</v>
      </c>
      <c r="C2910" s="51" t="s">
        <v>707</v>
      </c>
      <c r="D2910" t="s">
        <v>737</v>
      </c>
      <c r="E2910" s="2">
        <v>1.6919999999999999</v>
      </c>
    </row>
    <row r="2911" spans="1:5" x14ac:dyDescent="0.25">
      <c r="A2911" s="32" t="s">
        <v>767</v>
      </c>
      <c r="B2911" s="7">
        <v>2006</v>
      </c>
      <c r="C2911" s="51" t="s">
        <v>708</v>
      </c>
      <c r="D2911" t="s">
        <v>737</v>
      </c>
      <c r="E2911" s="2">
        <v>1.8120000000000001</v>
      </c>
    </row>
    <row r="2912" spans="1:5" x14ac:dyDescent="0.25">
      <c r="A2912" s="32" t="s">
        <v>767</v>
      </c>
      <c r="B2912" s="7">
        <v>2006</v>
      </c>
      <c r="C2912" s="51" t="s">
        <v>699</v>
      </c>
      <c r="D2912" t="s">
        <v>737</v>
      </c>
      <c r="E2912" s="2">
        <v>1.6859999999999999</v>
      </c>
    </row>
    <row r="2913" spans="1:5" x14ac:dyDescent="0.25">
      <c r="A2913" s="32" t="s">
        <v>767</v>
      </c>
      <c r="B2913" s="7">
        <v>2006</v>
      </c>
      <c r="C2913" s="51" t="s">
        <v>709</v>
      </c>
      <c r="D2913" t="s">
        <v>737</v>
      </c>
      <c r="E2913" s="2">
        <v>1.806</v>
      </c>
    </row>
    <row r="2914" spans="1:5" x14ac:dyDescent="0.25">
      <c r="A2914" s="32" t="s">
        <v>767</v>
      </c>
      <c r="B2914" s="7">
        <v>2006</v>
      </c>
      <c r="C2914" s="51" t="s">
        <v>712</v>
      </c>
      <c r="D2914" t="s">
        <v>737</v>
      </c>
      <c r="E2914" s="2">
        <v>1.8120000000000001</v>
      </c>
    </row>
    <row r="2915" spans="1:5" x14ac:dyDescent="0.25">
      <c r="A2915" s="32" t="s">
        <v>767</v>
      </c>
      <c r="B2915" s="7">
        <v>2006</v>
      </c>
      <c r="C2915" s="51" t="s">
        <v>710</v>
      </c>
      <c r="D2915" t="s">
        <v>737</v>
      </c>
      <c r="E2915" s="2">
        <v>1.794</v>
      </c>
    </row>
    <row r="2916" spans="1:5" x14ac:dyDescent="0.25">
      <c r="A2916" s="32" t="s">
        <v>767</v>
      </c>
      <c r="B2916" s="7">
        <v>2006</v>
      </c>
      <c r="C2916" s="51" t="s">
        <v>702</v>
      </c>
      <c r="D2916" t="s">
        <v>737</v>
      </c>
      <c r="E2916" s="2">
        <v>1.821</v>
      </c>
    </row>
    <row r="2917" spans="1:5" x14ac:dyDescent="0.25">
      <c r="A2917" s="32" t="s">
        <v>767</v>
      </c>
      <c r="B2917" s="7">
        <v>2006</v>
      </c>
      <c r="C2917" s="51" t="s">
        <v>703</v>
      </c>
      <c r="D2917" t="s">
        <v>737</v>
      </c>
      <c r="E2917" s="2">
        <v>1.764</v>
      </c>
    </row>
    <row r="2918" spans="1:5" x14ac:dyDescent="0.25">
      <c r="A2918" s="32" t="s">
        <v>767</v>
      </c>
      <c r="B2918" s="7">
        <v>2006</v>
      </c>
      <c r="C2918" s="51" t="s">
        <v>704</v>
      </c>
      <c r="D2918" t="s">
        <v>737</v>
      </c>
      <c r="E2918" s="2">
        <v>1.861</v>
      </c>
    </row>
    <row r="2919" spans="1:5" x14ac:dyDescent="0.25">
      <c r="A2919" s="32" t="s">
        <v>767</v>
      </c>
      <c r="B2919" s="7">
        <v>2006</v>
      </c>
      <c r="C2919" s="51" t="s">
        <v>705</v>
      </c>
      <c r="D2919" t="s">
        <v>737</v>
      </c>
      <c r="E2919" s="2">
        <v>1.758</v>
      </c>
    </row>
    <row r="2920" spans="1:5" x14ac:dyDescent="0.25">
      <c r="A2920" s="32" t="s">
        <v>767</v>
      </c>
      <c r="B2920" s="7">
        <v>2006</v>
      </c>
      <c r="C2920" s="51" t="s">
        <v>706</v>
      </c>
      <c r="D2920" t="s">
        <v>737</v>
      </c>
      <c r="E2920" s="2">
        <v>1.8129999999999999</v>
      </c>
    </row>
    <row r="2921" spans="1:5" x14ac:dyDescent="0.25">
      <c r="A2921" s="32" t="s">
        <v>767</v>
      </c>
      <c r="B2921" s="7">
        <v>2007</v>
      </c>
      <c r="C2921" s="51" t="s">
        <v>713</v>
      </c>
      <c r="D2921" t="s">
        <v>737</v>
      </c>
      <c r="E2921" s="2">
        <v>1.7450000000000001</v>
      </c>
    </row>
    <row r="2922" spans="1:5" x14ac:dyDescent="0.25">
      <c r="A2922" s="32" t="s">
        <v>767</v>
      </c>
      <c r="B2922" s="7">
        <v>2007</v>
      </c>
      <c r="C2922" s="51" t="s">
        <v>707</v>
      </c>
      <c r="D2922" t="s">
        <v>737</v>
      </c>
      <c r="E2922" s="2">
        <v>1.663</v>
      </c>
    </row>
    <row r="2923" spans="1:5" x14ac:dyDescent="0.25">
      <c r="A2923" s="32" t="s">
        <v>767</v>
      </c>
      <c r="B2923" s="7">
        <v>2007</v>
      </c>
      <c r="C2923" s="51" t="s">
        <v>708</v>
      </c>
      <c r="D2923" t="s">
        <v>737</v>
      </c>
      <c r="E2923" s="2">
        <v>1.821</v>
      </c>
    </row>
    <row r="2924" spans="1:5" x14ac:dyDescent="0.25">
      <c r="A2924" s="32" t="s">
        <v>767</v>
      </c>
      <c r="B2924" s="7">
        <v>2007</v>
      </c>
      <c r="C2924" s="51" t="s">
        <v>699</v>
      </c>
      <c r="D2924" t="s">
        <v>737</v>
      </c>
      <c r="E2924" s="2">
        <v>1.7689999999999999</v>
      </c>
    </row>
    <row r="2925" spans="1:5" x14ac:dyDescent="0.25">
      <c r="A2925" s="32" t="s">
        <v>767</v>
      </c>
      <c r="B2925" s="7">
        <v>2007</v>
      </c>
      <c r="C2925" s="51" t="s">
        <v>709</v>
      </c>
      <c r="D2925" t="s">
        <v>737</v>
      </c>
      <c r="E2925" s="2">
        <v>1.7909999999999999</v>
      </c>
    </row>
    <row r="2926" spans="1:5" x14ac:dyDescent="0.25">
      <c r="A2926" s="32" t="s">
        <v>767</v>
      </c>
      <c r="B2926" s="7">
        <v>2007</v>
      </c>
      <c r="C2926" s="51" t="s">
        <v>712</v>
      </c>
      <c r="D2926" t="s">
        <v>737</v>
      </c>
      <c r="E2926" s="2">
        <v>1.802</v>
      </c>
    </row>
    <row r="2927" spans="1:5" x14ac:dyDescent="0.25">
      <c r="A2927" s="32" t="s">
        <v>767</v>
      </c>
      <c r="B2927" s="7">
        <v>2007</v>
      </c>
      <c r="C2927" s="51" t="s">
        <v>710</v>
      </c>
      <c r="D2927" t="s">
        <v>737</v>
      </c>
      <c r="E2927" s="2">
        <v>1.7969999999999999</v>
      </c>
    </row>
    <row r="2928" spans="1:5" x14ac:dyDescent="0.25">
      <c r="A2928" s="32" t="s">
        <v>767</v>
      </c>
      <c r="B2928" s="7">
        <v>2007</v>
      </c>
      <c r="C2928" s="51" t="s">
        <v>702</v>
      </c>
      <c r="D2928" t="s">
        <v>737</v>
      </c>
      <c r="E2928" s="2">
        <v>1.8360000000000001</v>
      </c>
    </row>
    <row r="2929" spans="1:5" x14ac:dyDescent="0.25">
      <c r="A2929" s="32" t="s">
        <v>767</v>
      </c>
      <c r="B2929" s="7">
        <v>2007</v>
      </c>
      <c r="C2929" s="51" t="s">
        <v>703</v>
      </c>
      <c r="D2929" t="s">
        <v>737</v>
      </c>
      <c r="E2929" s="2">
        <v>1.8280000000000001</v>
      </c>
    </row>
    <row r="2930" spans="1:5" x14ac:dyDescent="0.25">
      <c r="A2930" s="32" t="s">
        <v>767</v>
      </c>
      <c r="B2930" s="7">
        <v>2007</v>
      </c>
      <c r="C2930" s="51" t="s">
        <v>704</v>
      </c>
      <c r="D2930" t="s">
        <v>737</v>
      </c>
      <c r="E2930" s="2">
        <v>1.7969999999999999</v>
      </c>
    </row>
    <row r="2931" spans="1:5" x14ac:dyDescent="0.25">
      <c r="A2931" s="32" t="s">
        <v>767</v>
      </c>
      <c r="B2931" s="7">
        <v>2007</v>
      </c>
      <c r="C2931" s="51" t="s">
        <v>705</v>
      </c>
      <c r="D2931" t="s">
        <v>737</v>
      </c>
      <c r="E2931" s="2">
        <v>1.7330000000000001</v>
      </c>
    </row>
    <row r="2932" spans="1:5" x14ac:dyDescent="0.25">
      <c r="A2932" s="32" t="s">
        <v>767</v>
      </c>
      <c r="B2932" s="7">
        <v>2007</v>
      </c>
      <c r="C2932" s="51" t="s">
        <v>706</v>
      </c>
      <c r="D2932" t="s">
        <v>737</v>
      </c>
      <c r="E2932" s="2">
        <v>1.96</v>
      </c>
    </row>
    <row r="2933" spans="1:5" x14ac:dyDescent="0.25">
      <c r="A2933" s="32" t="s">
        <v>767</v>
      </c>
      <c r="B2933" s="7">
        <v>2008</v>
      </c>
      <c r="C2933" s="51" t="s">
        <v>713</v>
      </c>
      <c r="D2933" t="s">
        <v>737</v>
      </c>
      <c r="E2933" s="2">
        <v>1.782</v>
      </c>
    </row>
    <row r="2934" spans="1:5" x14ac:dyDescent="0.25">
      <c r="A2934" s="32" t="s">
        <v>767</v>
      </c>
      <c r="B2934" s="7">
        <v>2008</v>
      </c>
      <c r="C2934" s="51" t="s">
        <v>707</v>
      </c>
      <c r="D2934" t="s">
        <v>737</v>
      </c>
      <c r="E2934" s="2">
        <v>1.8520000000000001</v>
      </c>
    </row>
    <row r="2935" spans="1:5" x14ac:dyDescent="0.25">
      <c r="A2935" s="32" t="s">
        <v>767</v>
      </c>
      <c r="B2935" s="7">
        <v>2008</v>
      </c>
      <c r="C2935" s="51" t="s">
        <v>708</v>
      </c>
      <c r="D2935" t="s">
        <v>737</v>
      </c>
      <c r="E2935" s="2">
        <v>1.657</v>
      </c>
    </row>
    <row r="2936" spans="1:5" x14ac:dyDescent="0.25">
      <c r="A2936" s="32" t="s">
        <v>767</v>
      </c>
      <c r="B2936" s="7">
        <v>2008</v>
      </c>
      <c r="C2936" s="51" t="s">
        <v>699</v>
      </c>
      <c r="D2936" t="s">
        <v>737</v>
      </c>
      <c r="E2936" s="2">
        <v>1.81</v>
      </c>
    </row>
    <row r="2937" spans="1:5" x14ac:dyDescent="0.25">
      <c r="A2937" s="32" t="s">
        <v>767</v>
      </c>
      <c r="B2937" s="7">
        <v>2008</v>
      </c>
      <c r="C2937" s="51" t="s">
        <v>709</v>
      </c>
      <c r="D2937" t="s">
        <v>737</v>
      </c>
      <c r="E2937" s="2">
        <v>2.0219999999999998</v>
      </c>
    </row>
    <row r="2938" spans="1:5" x14ac:dyDescent="0.25">
      <c r="A2938" s="32" t="s">
        <v>767</v>
      </c>
      <c r="B2938" s="7">
        <v>2008</v>
      </c>
      <c r="C2938" s="51" t="s">
        <v>712</v>
      </c>
      <c r="D2938" t="s">
        <v>737</v>
      </c>
      <c r="E2938" s="2">
        <v>1.798</v>
      </c>
    </row>
    <row r="2939" spans="1:5" x14ac:dyDescent="0.25">
      <c r="A2939" s="32" t="s">
        <v>767</v>
      </c>
      <c r="B2939" s="7">
        <v>2008</v>
      </c>
      <c r="C2939" s="51" t="s">
        <v>710</v>
      </c>
      <c r="D2939" t="s">
        <v>737</v>
      </c>
      <c r="E2939" s="2">
        <v>1.859</v>
      </c>
    </row>
    <row r="2940" spans="1:5" x14ac:dyDescent="0.25">
      <c r="A2940" s="32" t="s">
        <v>767</v>
      </c>
      <c r="B2940" s="7">
        <v>2008</v>
      </c>
      <c r="C2940" s="51" t="s">
        <v>702</v>
      </c>
      <c r="D2940" t="s">
        <v>737</v>
      </c>
      <c r="E2940" s="2">
        <v>1.901</v>
      </c>
    </row>
    <row r="2941" spans="1:5" x14ac:dyDescent="0.25">
      <c r="A2941" s="32" t="s">
        <v>767</v>
      </c>
      <c r="B2941" s="7">
        <v>2008</v>
      </c>
      <c r="C2941" s="51" t="s">
        <v>703</v>
      </c>
      <c r="D2941" t="s">
        <v>737</v>
      </c>
      <c r="E2941" s="2">
        <v>1.867</v>
      </c>
    </row>
    <row r="2942" spans="1:5" x14ac:dyDescent="0.25">
      <c r="A2942" s="32" t="s">
        <v>767</v>
      </c>
      <c r="B2942" s="7">
        <v>2008</v>
      </c>
      <c r="C2942" s="51" t="s">
        <v>704</v>
      </c>
      <c r="D2942" t="s">
        <v>737</v>
      </c>
      <c r="E2942" s="2">
        <v>2.4039999999999999</v>
      </c>
    </row>
    <row r="2943" spans="1:5" x14ac:dyDescent="0.25">
      <c r="A2943" s="32" t="s">
        <v>767</v>
      </c>
      <c r="B2943" s="7">
        <v>2008</v>
      </c>
      <c r="C2943" s="51" t="s">
        <v>705</v>
      </c>
      <c r="D2943" t="s">
        <v>737</v>
      </c>
      <c r="E2943" s="2">
        <v>2.5649999999999999</v>
      </c>
    </row>
    <row r="2944" spans="1:5" x14ac:dyDescent="0.25">
      <c r="A2944" s="32" t="s">
        <v>767</v>
      </c>
      <c r="B2944" s="7">
        <v>2008</v>
      </c>
      <c r="C2944" s="51" t="s">
        <v>706</v>
      </c>
      <c r="D2944" t="s">
        <v>737</v>
      </c>
      <c r="E2944" s="2">
        <v>2.7949999999999999</v>
      </c>
    </row>
    <row r="2945" spans="1:5" x14ac:dyDescent="0.25">
      <c r="A2945" s="32" t="s">
        <v>767</v>
      </c>
      <c r="B2945" s="7">
        <v>2009</v>
      </c>
      <c r="C2945" s="51" t="s">
        <v>713</v>
      </c>
      <c r="D2945" t="s">
        <v>737</v>
      </c>
      <c r="E2945" s="2">
        <v>3.073</v>
      </c>
    </row>
    <row r="2946" spans="1:5" x14ac:dyDescent="0.25">
      <c r="A2946" s="32" t="s">
        <v>767</v>
      </c>
      <c r="B2946" s="7">
        <v>2009</v>
      </c>
      <c r="C2946" s="51" t="s">
        <v>707</v>
      </c>
      <c r="D2946" t="s">
        <v>737</v>
      </c>
      <c r="E2946" s="2">
        <v>2.61</v>
      </c>
    </row>
    <row r="2947" spans="1:5" x14ac:dyDescent="0.25">
      <c r="A2947" s="32" t="s">
        <v>767</v>
      </c>
      <c r="B2947" s="7">
        <v>2009</v>
      </c>
      <c r="C2947" s="51" t="s">
        <v>708</v>
      </c>
      <c r="D2947" t="s">
        <v>737</v>
      </c>
      <c r="E2947" s="2">
        <v>2.633</v>
      </c>
    </row>
    <row r="2948" spans="1:5" x14ac:dyDescent="0.25">
      <c r="A2948" s="32" t="s">
        <v>767</v>
      </c>
      <c r="B2948" s="7">
        <v>2009</v>
      </c>
      <c r="C2948" s="51" t="s">
        <v>699</v>
      </c>
      <c r="D2948" t="s">
        <v>737</v>
      </c>
      <c r="E2948" s="2">
        <v>2.5790000000000002</v>
      </c>
    </row>
    <row r="2949" spans="1:5" x14ac:dyDescent="0.25">
      <c r="A2949" s="32" t="s">
        <v>767</v>
      </c>
      <c r="B2949" s="7">
        <v>2009</v>
      </c>
      <c r="C2949" s="51" t="s">
        <v>709</v>
      </c>
      <c r="D2949" t="s">
        <v>737</v>
      </c>
      <c r="E2949" s="2">
        <v>2.532</v>
      </c>
    </row>
    <row r="2950" spans="1:5" x14ac:dyDescent="0.25">
      <c r="A2950" s="32" t="s">
        <v>767</v>
      </c>
      <c r="B2950" s="7">
        <v>2009</v>
      </c>
      <c r="C2950" s="51" t="s">
        <v>712</v>
      </c>
      <c r="D2950" t="s">
        <v>737</v>
      </c>
      <c r="E2950" s="2">
        <v>2.4020000000000001</v>
      </c>
    </row>
    <row r="2951" spans="1:5" x14ac:dyDescent="0.25">
      <c r="A2951" s="32" t="s">
        <v>767</v>
      </c>
      <c r="B2951" s="7">
        <v>2009</v>
      </c>
      <c r="C2951" s="51" t="s">
        <v>710</v>
      </c>
      <c r="D2951" t="s">
        <v>737</v>
      </c>
      <c r="E2951" s="2">
        <v>2.427</v>
      </c>
    </row>
    <row r="2952" spans="1:5" x14ac:dyDescent="0.25">
      <c r="A2952" s="32" t="s">
        <v>767</v>
      </c>
      <c r="B2952" s="7">
        <v>2009</v>
      </c>
      <c r="C2952" s="51" t="s">
        <v>702</v>
      </c>
      <c r="D2952" t="s">
        <v>737</v>
      </c>
      <c r="E2952" s="2">
        <v>2.0840000000000001</v>
      </c>
    </row>
    <row r="2953" spans="1:5" x14ac:dyDescent="0.25">
      <c r="A2953" s="32" t="s">
        <v>767</v>
      </c>
      <c r="B2953" s="7">
        <v>2009</v>
      </c>
      <c r="C2953" s="51" t="s">
        <v>703</v>
      </c>
      <c r="D2953" t="s">
        <v>737</v>
      </c>
      <c r="E2953" s="2">
        <v>2.19</v>
      </c>
    </row>
    <row r="2954" spans="1:5" x14ac:dyDescent="0.25">
      <c r="A2954" s="32" t="s">
        <v>767</v>
      </c>
      <c r="B2954" s="7">
        <v>2009</v>
      </c>
      <c r="C2954" s="51" t="s">
        <v>704</v>
      </c>
      <c r="D2954" t="s">
        <v>737</v>
      </c>
      <c r="E2954" s="2">
        <v>2.4449999999999998</v>
      </c>
    </row>
    <row r="2955" spans="1:5" x14ac:dyDescent="0.25">
      <c r="A2955" s="32" t="s">
        <v>767</v>
      </c>
      <c r="B2955" s="7">
        <v>2009</v>
      </c>
      <c r="C2955" s="51" t="s">
        <v>705</v>
      </c>
      <c r="D2955" t="s">
        <v>737</v>
      </c>
      <c r="E2955" s="2">
        <v>1.9650000000000001</v>
      </c>
    </row>
    <row r="2956" spans="1:5" x14ac:dyDescent="0.25">
      <c r="A2956" s="32" t="s">
        <v>767</v>
      </c>
      <c r="B2956" s="7">
        <v>2009</v>
      </c>
      <c r="C2956" s="51" t="s">
        <v>706</v>
      </c>
      <c r="D2956" t="s">
        <v>737</v>
      </c>
      <c r="E2956" s="2">
        <v>2.4180000000000001</v>
      </c>
    </row>
    <row r="2957" spans="1:5" x14ac:dyDescent="0.25">
      <c r="A2957" s="32" t="s">
        <v>767</v>
      </c>
      <c r="B2957" s="7">
        <v>2010</v>
      </c>
      <c r="C2957" s="51" t="s">
        <v>713</v>
      </c>
      <c r="D2957" t="s">
        <v>737</v>
      </c>
      <c r="E2957" s="2">
        <v>1.7989999999999999</v>
      </c>
    </row>
    <row r="2958" spans="1:5" x14ac:dyDescent="0.25">
      <c r="A2958" s="32" t="s">
        <v>767</v>
      </c>
      <c r="B2958" s="7">
        <v>2010</v>
      </c>
      <c r="C2958" s="51" t="s">
        <v>707</v>
      </c>
      <c r="D2958" t="s">
        <v>737</v>
      </c>
      <c r="E2958" s="2">
        <v>1.8460000000000001</v>
      </c>
    </row>
    <row r="2959" spans="1:5" x14ac:dyDescent="0.25">
      <c r="A2959" s="32" t="s">
        <v>767</v>
      </c>
      <c r="B2959" s="7">
        <v>2010</v>
      </c>
      <c r="C2959" s="51" t="s">
        <v>708</v>
      </c>
      <c r="D2959" t="s">
        <v>737</v>
      </c>
      <c r="E2959" s="2">
        <v>2.012</v>
      </c>
    </row>
    <row r="2960" spans="1:5" x14ac:dyDescent="0.25">
      <c r="A2960" s="32" t="s">
        <v>767</v>
      </c>
      <c r="B2960" s="7">
        <v>2010</v>
      </c>
      <c r="C2960" s="51" t="s">
        <v>699</v>
      </c>
      <c r="D2960" t="s">
        <v>737</v>
      </c>
      <c r="E2960" s="2">
        <v>2.2309999999999999</v>
      </c>
    </row>
    <row r="2961" spans="1:5" x14ac:dyDescent="0.25">
      <c r="A2961" s="32" t="s">
        <v>767</v>
      </c>
      <c r="B2961" s="7">
        <v>2010</v>
      </c>
      <c r="C2961" s="51" t="s">
        <v>709</v>
      </c>
      <c r="D2961" t="s">
        <v>737</v>
      </c>
      <c r="E2961" s="2">
        <v>2.3519999999999999</v>
      </c>
    </row>
    <row r="2962" spans="1:5" x14ac:dyDescent="0.25">
      <c r="A2962" s="32" t="s">
        <v>767</v>
      </c>
      <c r="B2962" s="7">
        <v>2010</v>
      </c>
      <c r="C2962" s="51" t="s">
        <v>712</v>
      </c>
      <c r="D2962" t="s">
        <v>737</v>
      </c>
      <c r="E2962" s="2">
        <v>2.4359999999999999</v>
      </c>
    </row>
    <row r="2963" spans="1:5" x14ac:dyDescent="0.25">
      <c r="A2963" s="32" t="s">
        <v>767</v>
      </c>
      <c r="B2963" s="7">
        <v>2010</v>
      </c>
      <c r="C2963" s="51" t="s">
        <v>710</v>
      </c>
      <c r="D2963" t="s">
        <v>737</v>
      </c>
      <c r="E2963" s="2">
        <v>2.3809999999999998</v>
      </c>
    </row>
    <row r="2964" spans="1:5" x14ac:dyDescent="0.25">
      <c r="A2964" s="32" t="s">
        <v>767</v>
      </c>
      <c r="B2964" s="7">
        <v>2010</v>
      </c>
      <c r="C2964" s="51" t="s">
        <v>702</v>
      </c>
      <c r="D2964" t="s">
        <v>737</v>
      </c>
      <c r="E2964" s="2">
        <v>2.7090000000000001</v>
      </c>
    </row>
    <row r="2965" spans="1:5" x14ac:dyDescent="0.25">
      <c r="A2965" s="32" t="s">
        <v>767</v>
      </c>
      <c r="B2965" s="7">
        <v>2010</v>
      </c>
      <c r="C2965" s="51" t="s">
        <v>703</v>
      </c>
      <c r="D2965" t="s">
        <v>737</v>
      </c>
      <c r="E2965" s="2">
        <v>2.58</v>
      </c>
    </row>
    <row r="2966" spans="1:5" x14ac:dyDescent="0.25">
      <c r="A2966" s="32" t="s">
        <v>767</v>
      </c>
      <c r="B2966" s="7">
        <v>2010</v>
      </c>
      <c r="C2966" s="51" t="s">
        <v>704</v>
      </c>
      <c r="D2966" t="s">
        <v>737</v>
      </c>
      <c r="E2966" s="2">
        <v>2.48</v>
      </c>
    </row>
    <row r="2967" spans="1:5" x14ac:dyDescent="0.25">
      <c r="A2967" s="32" t="s">
        <v>767</v>
      </c>
      <c r="B2967" s="7">
        <v>2010</v>
      </c>
      <c r="C2967" s="51" t="s">
        <v>705</v>
      </c>
      <c r="D2967" t="s">
        <v>737</v>
      </c>
      <c r="E2967" s="2">
        <v>2.5019999999999998</v>
      </c>
    </row>
    <row r="2968" spans="1:5" x14ac:dyDescent="0.25">
      <c r="A2968" s="32" t="s">
        <v>767</v>
      </c>
      <c r="B2968" s="7">
        <v>2010</v>
      </c>
      <c r="C2968" s="51" t="s">
        <v>706</v>
      </c>
      <c r="D2968" t="s">
        <v>737</v>
      </c>
      <c r="E2968" s="2">
        <v>2.3660000000000001</v>
      </c>
    </row>
    <row r="2969" spans="1:5" x14ac:dyDescent="0.25">
      <c r="A2969" s="32" t="s">
        <v>767</v>
      </c>
      <c r="B2969" s="7">
        <v>2011</v>
      </c>
      <c r="C2969" s="51" t="s">
        <v>713</v>
      </c>
      <c r="D2969" t="s">
        <v>737</v>
      </c>
      <c r="E2969" s="2">
        <v>2.7</v>
      </c>
    </row>
    <row r="2970" spans="1:5" x14ac:dyDescent="0.25">
      <c r="A2970" s="32" t="s">
        <v>767</v>
      </c>
      <c r="B2970" s="7">
        <v>2011</v>
      </c>
      <c r="C2970" s="51" t="s">
        <v>707</v>
      </c>
      <c r="D2970" t="s">
        <v>737</v>
      </c>
      <c r="E2970" s="2">
        <v>2.222</v>
      </c>
    </row>
    <row r="2971" spans="1:5" x14ac:dyDescent="0.25">
      <c r="A2971" s="32" t="s">
        <v>767</v>
      </c>
      <c r="B2971" s="7">
        <v>2011</v>
      </c>
      <c r="C2971" s="51" t="s">
        <v>708</v>
      </c>
      <c r="D2971" t="s">
        <v>737</v>
      </c>
      <c r="E2971" s="2">
        <v>2.5299999999999998</v>
      </c>
    </row>
    <row r="2972" spans="1:5" x14ac:dyDescent="0.25">
      <c r="A2972" s="32" t="s">
        <v>767</v>
      </c>
      <c r="B2972" s="7">
        <v>2011</v>
      </c>
      <c r="C2972" s="51" t="s">
        <v>699</v>
      </c>
      <c r="D2972" t="s">
        <v>737</v>
      </c>
      <c r="E2972" s="2">
        <v>2.3730000000000002</v>
      </c>
    </row>
    <row r="2973" spans="1:5" x14ac:dyDescent="0.25">
      <c r="A2973" s="32" t="s">
        <v>767</v>
      </c>
      <c r="B2973" s="7">
        <v>2011</v>
      </c>
      <c r="C2973" s="51" t="s">
        <v>709</v>
      </c>
      <c r="D2973" t="s">
        <v>737</v>
      </c>
      <c r="E2973" s="2">
        <v>2.6110000000000002</v>
      </c>
    </row>
    <row r="2974" spans="1:5" x14ac:dyDescent="0.25">
      <c r="A2974" s="32" t="s">
        <v>767</v>
      </c>
      <c r="B2974" s="7">
        <v>2011</v>
      </c>
      <c r="C2974" s="51" t="s">
        <v>712</v>
      </c>
      <c r="D2974" t="s">
        <v>737</v>
      </c>
      <c r="E2974" s="2">
        <v>2.423</v>
      </c>
    </row>
    <row r="2975" spans="1:5" x14ac:dyDescent="0.25">
      <c r="A2975" s="32" t="s">
        <v>767</v>
      </c>
      <c r="B2975" s="7">
        <v>2011</v>
      </c>
      <c r="C2975" s="51" t="s">
        <v>710</v>
      </c>
      <c r="D2975" t="s">
        <v>737</v>
      </c>
      <c r="E2975" s="2">
        <v>2.4740000000000002</v>
      </c>
    </row>
    <row r="2976" spans="1:5" x14ac:dyDescent="0.25">
      <c r="A2976" s="32" t="s">
        <v>767</v>
      </c>
      <c r="B2976" s="7">
        <v>2011</v>
      </c>
      <c r="C2976" s="51" t="s">
        <v>702</v>
      </c>
      <c r="D2976" t="s">
        <v>737</v>
      </c>
      <c r="E2976" s="2">
        <v>2.4420000000000002</v>
      </c>
    </row>
    <row r="2977" spans="1:5" x14ac:dyDescent="0.25">
      <c r="A2977" s="32" t="s">
        <v>767</v>
      </c>
      <c r="B2977" s="7">
        <v>2011</v>
      </c>
      <c r="C2977" s="51" t="s">
        <v>703</v>
      </c>
      <c r="D2977" t="s">
        <v>737</v>
      </c>
      <c r="E2977" s="2">
        <v>2.714</v>
      </c>
    </row>
    <row r="2978" spans="1:5" x14ac:dyDescent="0.25">
      <c r="A2978" s="32" t="s">
        <v>767</v>
      </c>
      <c r="B2978" s="7">
        <v>2011</v>
      </c>
      <c r="C2978" s="51" t="s">
        <v>704</v>
      </c>
      <c r="D2978" t="s">
        <v>737</v>
      </c>
      <c r="E2978" s="2">
        <v>2.7130000000000001</v>
      </c>
    </row>
    <row r="2979" spans="1:5" x14ac:dyDescent="0.25">
      <c r="A2979" s="32" t="s">
        <v>767</v>
      </c>
      <c r="B2979" s="7">
        <v>2011</v>
      </c>
      <c r="C2979" s="51" t="s">
        <v>705</v>
      </c>
      <c r="D2979" t="s">
        <v>737</v>
      </c>
      <c r="E2979" s="2">
        <v>2.31</v>
      </c>
    </row>
    <row r="2980" spans="1:5" x14ac:dyDescent="0.25">
      <c r="A2980" s="32" t="s">
        <v>767</v>
      </c>
      <c r="B2980" s="7">
        <v>2011</v>
      </c>
      <c r="C2980" s="51" t="s">
        <v>706</v>
      </c>
      <c r="D2980" t="s">
        <v>737</v>
      </c>
      <c r="E2980" s="2">
        <v>2.427</v>
      </c>
    </row>
    <row r="2981" spans="1:5" x14ac:dyDescent="0.25">
      <c r="A2981" s="32" t="s">
        <v>767</v>
      </c>
      <c r="B2981" s="7">
        <v>2012</v>
      </c>
      <c r="C2981" s="51" t="s">
        <v>713</v>
      </c>
      <c r="D2981" t="s">
        <v>737</v>
      </c>
      <c r="E2981" s="2">
        <v>2.6309999999999998</v>
      </c>
    </row>
    <row r="2982" spans="1:5" x14ac:dyDescent="0.25">
      <c r="A2982" s="32" t="s">
        <v>767</v>
      </c>
      <c r="B2982" s="7">
        <v>2012</v>
      </c>
      <c r="C2982" s="51" t="s">
        <v>707</v>
      </c>
      <c r="D2982" t="s">
        <v>737</v>
      </c>
      <c r="E2982" s="2">
        <v>2.2730000000000001</v>
      </c>
    </row>
    <row r="2983" spans="1:5" x14ac:dyDescent="0.25">
      <c r="A2983" s="32" t="s">
        <v>767</v>
      </c>
      <c r="B2983" s="7">
        <v>2012</v>
      </c>
      <c r="C2983" s="51" t="s">
        <v>708</v>
      </c>
      <c r="D2983" t="s">
        <v>737</v>
      </c>
      <c r="E2983" s="2">
        <v>2.2530000000000001</v>
      </c>
    </row>
    <row r="2984" spans="1:5" x14ac:dyDescent="0.25">
      <c r="A2984" s="32" t="s">
        <v>767</v>
      </c>
      <c r="B2984" s="7">
        <v>2012</v>
      </c>
      <c r="C2984" s="51" t="s">
        <v>699</v>
      </c>
      <c r="D2984" t="s">
        <v>737</v>
      </c>
      <c r="E2984" s="2">
        <v>2.1160000000000001</v>
      </c>
    </row>
    <row r="2985" spans="1:5" x14ac:dyDescent="0.25">
      <c r="A2985" s="32" t="s">
        <v>767</v>
      </c>
      <c r="B2985" s="7">
        <v>2012</v>
      </c>
      <c r="C2985" s="51" t="s">
        <v>709</v>
      </c>
      <c r="D2985" t="s">
        <v>737</v>
      </c>
      <c r="E2985" s="2">
        <v>1.3480000000000001</v>
      </c>
    </row>
    <row r="2986" spans="1:5" x14ac:dyDescent="0.25">
      <c r="A2986" s="32" t="s">
        <v>767</v>
      </c>
      <c r="B2986" s="7">
        <v>2012</v>
      </c>
      <c r="C2986" s="51" t="s">
        <v>712</v>
      </c>
      <c r="D2986" t="s">
        <v>737</v>
      </c>
      <c r="E2986" s="2">
        <v>1.2609999999999999</v>
      </c>
    </row>
    <row r="2987" spans="1:5" x14ac:dyDescent="0.25">
      <c r="A2987" s="32" t="s">
        <v>767</v>
      </c>
      <c r="B2987" s="7">
        <v>2012</v>
      </c>
      <c r="C2987" s="51" t="s">
        <v>710</v>
      </c>
      <c r="D2987" t="s">
        <v>737</v>
      </c>
      <c r="E2987" s="2">
        <v>1.514</v>
      </c>
    </row>
    <row r="2988" spans="1:5" x14ac:dyDescent="0.25">
      <c r="A2988" s="32" t="s">
        <v>767</v>
      </c>
      <c r="B2988" s="7">
        <v>2012</v>
      </c>
      <c r="C2988" s="51" t="s">
        <v>702</v>
      </c>
      <c r="D2988" t="s">
        <v>737</v>
      </c>
      <c r="E2988" s="2">
        <v>1.3149999999999999</v>
      </c>
    </row>
    <row r="2989" spans="1:5" x14ac:dyDescent="0.25">
      <c r="A2989" s="32" t="s">
        <v>767</v>
      </c>
      <c r="B2989" s="7">
        <v>2012</v>
      </c>
      <c r="C2989" s="51" t="s">
        <v>703</v>
      </c>
      <c r="D2989" t="s">
        <v>737</v>
      </c>
      <c r="E2989" s="2">
        <v>1.306</v>
      </c>
    </row>
    <row r="2990" spans="1:5" x14ac:dyDescent="0.25">
      <c r="A2990" s="32" t="s">
        <v>767</v>
      </c>
      <c r="B2990" s="7">
        <v>2012</v>
      </c>
      <c r="C2990" s="51" t="s">
        <v>704</v>
      </c>
      <c r="D2990" t="s">
        <v>737</v>
      </c>
      <c r="E2990" s="2">
        <v>1.45</v>
      </c>
    </row>
    <row r="2991" spans="1:5" x14ac:dyDescent="0.25">
      <c r="A2991" s="32" t="s">
        <v>767</v>
      </c>
      <c r="B2991" s="7">
        <v>2012</v>
      </c>
      <c r="C2991" s="51" t="s">
        <v>705</v>
      </c>
      <c r="D2991" t="s">
        <v>737</v>
      </c>
      <c r="E2991" s="2">
        <v>2.427</v>
      </c>
    </row>
    <row r="2992" spans="1:5" x14ac:dyDescent="0.25">
      <c r="A2992" s="32" t="s">
        <v>767</v>
      </c>
      <c r="B2992" s="7">
        <v>2012</v>
      </c>
      <c r="C2992" s="51" t="s">
        <v>706</v>
      </c>
      <c r="D2992" t="s">
        <v>737</v>
      </c>
      <c r="E2992" s="2">
        <v>2.4489999999999998</v>
      </c>
    </row>
    <row r="2993" spans="1:5" x14ac:dyDescent="0.25">
      <c r="A2993" s="32" t="s">
        <v>767</v>
      </c>
      <c r="B2993" s="7">
        <v>2013</v>
      </c>
      <c r="C2993" s="51" t="s">
        <v>713</v>
      </c>
      <c r="D2993" t="s">
        <v>737</v>
      </c>
      <c r="E2993" s="2">
        <v>3.14</v>
      </c>
    </row>
    <row r="2994" spans="1:5" x14ac:dyDescent="0.25">
      <c r="A2994" s="32" t="s">
        <v>767</v>
      </c>
      <c r="B2994" s="7">
        <v>2013</v>
      </c>
      <c r="C2994" s="51" t="s">
        <v>707</v>
      </c>
      <c r="D2994" t="s">
        <v>737</v>
      </c>
      <c r="E2994" s="2">
        <v>2.3460000000000001</v>
      </c>
    </row>
    <row r="2995" spans="1:5" x14ac:dyDescent="0.25">
      <c r="A2995" s="32" t="s">
        <v>767</v>
      </c>
      <c r="B2995" s="7">
        <v>2013</v>
      </c>
      <c r="C2995" s="51" t="s">
        <v>708</v>
      </c>
      <c r="D2995" t="s">
        <v>737</v>
      </c>
      <c r="E2995" s="2">
        <v>2.677</v>
      </c>
    </row>
    <row r="2996" spans="1:5" x14ac:dyDescent="0.25">
      <c r="A2996" s="32" t="s">
        <v>767</v>
      </c>
      <c r="B2996" s="7">
        <v>2013</v>
      </c>
      <c r="C2996" s="51" t="s">
        <v>699</v>
      </c>
      <c r="D2996" t="s">
        <v>737</v>
      </c>
      <c r="E2996" s="2">
        <v>2.4529999999999998</v>
      </c>
    </row>
    <row r="2997" spans="1:5" x14ac:dyDescent="0.25">
      <c r="A2997" s="32" t="s">
        <v>767</v>
      </c>
      <c r="B2997" s="7">
        <v>2013</v>
      </c>
      <c r="C2997" s="51" t="s">
        <v>709</v>
      </c>
      <c r="D2997" t="s">
        <v>737</v>
      </c>
      <c r="E2997" s="2">
        <v>2.4380000000000002</v>
      </c>
    </row>
    <row r="2998" spans="1:5" x14ac:dyDescent="0.25">
      <c r="A2998" s="32" t="s">
        <v>767</v>
      </c>
      <c r="B2998" s="7">
        <v>2013</v>
      </c>
      <c r="C2998" s="51" t="s">
        <v>712</v>
      </c>
      <c r="D2998" t="s">
        <v>737</v>
      </c>
      <c r="E2998" s="2">
        <v>2.6909999999999998</v>
      </c>
    </row>
    <row r="2999" spans="1:5" x14ac:dyDescent="0.25">
      <c r="A2999" s="32" t="s">
        <v>767</v>
      </c>
      <c r="B2999" s="7">
        <v>2013</v>
      </c>
      <c r="C2999" s="51" t="s">
        <v>710</v>
      </c>
      <c r="D2999" t="s">
        <v>737</v>
      </c>
      <c r="E2999" s="2">
        <v>2.4369999999999998</v>
      </c>
    </row>
    <row r="3000" spans="1:5" x14ac:dyDescent="0.25">
      <c r="A3000" s="32" t="s">
        <v>767</v>
      </c>
      <c r="B3000" s="7">
        <v>2013</v>
      </c>
      <c r="C3000" s="51" t="s">
        <v>702</v>
      </c>
      <c r="D3000" t="s">
        <v>737</v>
      </c>
      <c r="E3000" s="2">
        <v>2.335</v>
      </c>
    </row>
    <row r="3001" spans="1:5" x14ac:dyDescent="0.25">
      <c r="A3001" s="32" t="s">
        <v>767</v>
      </c>
      <c r="B3001" s="7">
        <v>2013</v>
      </c>
      <c r="C3001" s="51" t="s">
        <v>703</v>
      </c>
      <c r="D3001" t="s">
        <v>737</v>
      </c>
      <c r="E3001" s="2">
        <v>2.67</v>
      </c>
    </row>
    <row r="3002" spans="1:5" x14ac:dyDescent="0.25">
      <c r="A3002" s="32" t="s">
        <v>767</v>
      </c>
      <c r="B3002" s="7">
        <v>2013</v>
      </c>
      <c r="C3002" s="51" t="s">
        <v>704</v>
      </c>
      <c r="D3002" t="s">
        <v>737</v>
      </c>
      <c r="E3002" s="2">
        <v>3.2349999999999999</v>
      </c>
    </row>
    <row r="3003" spans="1:5" x14ac:dyDescent="0.25">
      <c r="A3003" s="32" t="s">
        <v>767</v>
      </c>
      <c r="B3003" s="7">
        <v>2013</v>
      </c>
      <c r="C3003" s="51" t="s">
        <v>705</v>
      </c>
      <c r="D3003" t="s">
        <v>737</v>
      </c>
      <c r="E3003" s="2">
        <v>2.6589999999999998</v>
      </c>
    </row>
    <row r="3004" spans="1:5" x14ac:dyDescent="0.25">
      <c r="A3004" s="32" t="s">
        <v>767</v>
      </c>
      <c r="B3004" s="7">
        <v>2013</v>
      </c>
      <c r="C3004" s="51" t="s">
        <v>706</v>
      </c>
      <c r="D3004" t="s">
        <v>737</v>
      </c>
      <c r="E3004" s="2">
        <v>2.5299999999999998</v>
      </c>
    </row>
    <row r="3005" spans="1:5" x14ac:dyDescent="0.25">
      <c r="A3005" s="32" t="s">
        <v>767</v>
      </c>
      <c r="B3005" s="7">
        <v>2014</v>
      </c>
      <c r="C3005" s="51" t="s">
        <v>713</v>
      </c>
      <c r="D3005" t="s">
        <v>737</v>
      </c>
      <c r="E3005" s="2">
        <v>2.657</v>
      </c>
    </row>
    <row r="3006" spans="1:5" x14ac:dyDescent="0.25">
      <c r="A3006" s="32" t="s">
        <v>767</v>
      </c>
      <c r="B3006" s="7">
        <v>2014</v>
      </c>
      <c r="C3006" s="51" t="s">
        <v>707</v>
      </c>
      <c r="D3006" t="s">
        <v>737</v>
      </c>
      <c r="E3006" s="2">
        <v>2.488</v>
      </c>
    </row>
    <row r="3007" spans="1:5" x14ac:dyDescent="0.25">
      <c r="A3007" s="32" t="s">
        <v>767</v>
      </c>
      <c r="B3007" s="7">
        <v>2014</v>
      </c>
      <c r="C3007" s="51" t="s">
        <v>708</v>
      </c>
      <c r="D3007" t="s">
        <v>737</v>
      </c>
      <c r="E3007" s="2">
        <v>2.883</v>
      </c>
    </row>
    <row r="3008" spans="1:5" x14ac:dyDescent="0.25">
      <c r="A3008" s="32" t="s">
        <v>767</v>
      </c>
      <c r="B3008" s="7">
        <v>2014</v>
      </c>
      <c r="C3008" s="51" t="s">
        <v>699</v>
      </c>
      <c r="D3008" t="s">
        <v>737</v>
      </c>
      <c r="E3008" s="2">
        <v>2.3809999999999998</v>
      </c>
    </row>
    <row r="3009" spans="1:5" x14ac:dyDescent="0.25">
      <c r="A3009" s="32" t="s">
        <v>767</v>
      </c>
      <c r="B3009" s="7">
        <v>2014</v>
      </c>
      <c r="C3009" s="51" t="s">
        <v>709</v>
      </c>
      <c r="D3009" t="s">
        <v>737</v>
      </c>
      <c r="E3009" s="2">
        <v>3.1520000000000001</v>
      </c>
    </row>
    <row r="3010" spans="1:5" x14ac:dyDescent="0.25">
      <c r="A3010" s="32" t="s">
        <v>767</v>
      </c>
      <c r="B3010" s="7">
        <v>2014</v>
      </c>
      <c r="C3010" s="51" t="s">
        <v>712</v>
      </c>
      <c r="D3010" t="s">
        <v>737</v>
      </c>
      <c r="E3010" s="2">
        <v>2.3420000000000001</v>
      </c>
    </row>
    <row r="3011" spans="1:5" x14ac:dyDescent="0.25">
      <c r="A3011" s="32" t="s">
        <v>767</v>
      </c>
      <c r="B3011" s="7">
        <v>2014</v>
      </c>
      <c r="C3011" s="51" t="s">
        <v>710</v>
      </c>
      <c r="D3011" t="s">
        <v>737</v>
      </c>
      <c r="E3011" s="2">
        <v>2.3450000000000002</v>
      </c>
    </row>
    <row r="3012" spans="1:5" x14ac:dyDescent="0.25">
      <c r="A3012" s="32" t="s">
        <v>767</v>
      </c>
      <c r="B3012" s="7">
        <v>2014</v>
      </c>
      <c r="C3012" s="51" t="s">
        <v>702</v>
      </c>
      <c r="D3012" t="s">
        <v>737</v>
      </c>
      <c r="E3012" s="2">
        <v>1.879</v>
      </c>
    </row>
    <row r="3013" spans="1:5" x14ac:dyDescent="0.25">
      <c r="A3013" s="32" t="s">
        <v>767</v>
      </c>
      <c r="B3013" s="7">
        <v>2014</v>
      </c>
      <c r="C3013" s="51" t="s">
        <v>703</v>
      </c>
      <c r="D3013" t="s">
        <v>737</v>
      </c>
      <c r="E3013" s="2">
        <v>1.7569999999999999</v>
      </c>
    </row>
    <row r="3014" spans="1:5" x14ac:dyDescent="0.25">
      <c r="A3014" s="32" t="s">
        <v>767</v>
      </c>
      <c r="B3014" s="7">
        <v>2014</v>
      </c>
      <c r="C3014" s="51" t="s">
        <v>704</v>
      </c>
      <c r="D3014" t="s">
        <v>737</v>
      </c>
      <c r="E3014" s="2">
        <v>1.4770000000000001</v>
      </c>
    </row>
    <row r="3015" spans="1:5" x14ac:dyDescent="0.25">
      <c r="A3015" s="32" t="s">
        <v>767</v>
      </c>
      <c r="B3015" s="7">
        <v>2014</v>
      </c>
      <c r="C3015" s="51" t="s">
        <v>705</v>
      </c>
      <c r="D3015" t="s">
        <v>737</v>
      </c>
      <c r="E3015" s="2">
        <v>2.2010000000000001</v>
      </c>
    </row>
    <row r="3016" spans="1:5" x14ac:dyDescent="0.25">
      <c r="A3016" s="32" t="s">
        <v>767</v>
      </c>
      <c r="B3016" s="7">
        <v>2014</v>
      </c>
      <c r="C3016" s="51" t="s">
        <v>706</v>
      </c>
      <c r="D3016" t="s">
        <v>737</v>
      </c>
      <c r="E3016" s="2">
        <v>2.2170000000000001</v>
      </c>
    </row>
    <row r="3017" spans="1:5" x14ac:dyDescent="0.25">
      <c r="A3017" s="32" t="s">
        <v>767</v>
      </c>
      <c r="B3017" s="7">
        <v>2015</v>
      </c>
      <c r="C3017" s="51" t="s">
        <v>713</v>
      </c>
      <c r="D3017" t="s">
        <v>737</v>
      </c>
      <c r="E3017" s="2">
        <v>2.8889999999999998</v>
      </c>
    </row>
    <row r="3018" spans="1:5" x14ac:dyDescent="0.25">
      <c r="A3018" s="32" t="s">
        <v>767</v>
      </c>
      <c r="B3018" s="7">
        <v>2015</v>
      </c>
      <c r="C3018" s="51" t="s">
        <v>707</v>
      </c>
      <c r="D3018" t="s">
        <v>737</v>
      </c>
      <c r="E3018" s="2">
        <v>1.5589999999999999</v>
      </c>
    </row>
    <row r="3019" spans="1:5" x14ac:dyDescent="0.25">
      <c r="A3019" s="32" t="s">
        <v>767</v>
      </c>
      <c r="B3019" s="7">
        <v>2015</v>
      </c>
      <c r="C3019" s="51" t="s">
        <v>708</v>
      </c>
      <c r="D3019" t="s">
        <v>737</v>
      </c>
      <c r="E3019" s="2">
        <v>2.3929999999999998</v>
      </c>
    </row>
    <row r="3020" spans="1:5" x14ac:dyDescent="0.25">
      <c r="A3020" s="32" t="s">
        <v>767</v>
      </c>
      <c r="B3020" s="7">
        <v>2015</v>
      </c>
      <c r="C3020" s="51" t="s">
        <v>699</v>
      </c>
      <c r="D3020" t="s">
        <v>737</v>
      </c>
      <c r="E3020" s="2">
        <v>2.1360000000000001</v>
      </c>
    </row>
    <row r="3021" spans="1:5" x14ac:dyDescent="0.25">
      <c r="A3021" s="32" t="s">
        <v>767</v>
      </c>
      <c r="B3021" s="7">
        <v>2015</v>
      </c>
      <c r="C3021" s="51" t="s">
        <v>709</v>
      </c>
      <c r="D3021" t="s">
        <v>737</v>
      </c>
      <c r="E3021" s="2">
        <v>2.2309999999999999</v>
      </c>
    </row>
    <row r="3022" spans="1:5" x14ac:dyDescent="0.25">
      <c r="A3022" s="32" t="s">
        <v>767</v>
      </c>
      <c r="B3022" s="7">
        <v>2015</v>
      </c>
      <c r="C3022" s="51" t="s">
        <v>712</v>
      </c>
      <c r="D3022" t="s">
        <v>737</v>
      </c>
      <c r="E3022" s="2">
        <v>3.6110000000000002</v>
      </c>
    </row>
    <row r="3023" spans="1:5" x14ac:dyDescent="0.25">
      <c r="A3023" s="32" t="s">
        <v>767</v>
      </c>
      <c r="B3023" s="7">
        <v>2015</v>
      </c>
      <c r="C3023" s="51" t="s">
        <v>710</v>
      </c>
      <c r="D3023" t="s">
        <v>737</v>
      </c>
      <c r="E3023" s="2">
        <v>2.8159999999999998</v>
      </c>
    </row>
    <row r="3024" spans="1:5" x14ac:dyDescent="0.25">
      <c r="A3024" s="32" t="s">
        <v>767</v>
      </c>
      <c r="B3024" s="7">
        <v>2015</v>
      </c>
      <c r="C3024" s="51" t="s">
        <v>702</v>
      </c>
      <c r="D3024" t="s">
        <v>737</v>
      </c>
      <c r="E3024" s="2">
        <v>3.36</v>
      </c>
    </row>
    <row r="3025" spans="1:5" x14ac:dyDescent="0.25">
      <c r="A3025" s="32" t="s">
        <v>767</v>
      </c>
      <c r="B3025" s="7">
        <v>2015</v>
      </c>
      <c r="C3025" s="51" t="s">
        <v>703</v>
      </c>
      <c r="D3025" t="s">
        <v>737</v>
      </c>
      <c r="E3025" s="2">
        <v>3.2850000000000001</v>
      </c>
    </row>
    <row r="3026" spans="1:5" x14ac:dyDescent="0.25">
      <c r="A3026" s="32" t="s">
        <v>767</v>
      </c>
      <c r="B3026" s="7">
        <v>2015</v>
      </c>
      <c r="C3026" s="51" t="s">
        <v>704</v>
      </c>
      <c r="D3026" t="s">
        <v>737</v>
      </c>
      <c r="E3026" s="2">
        <v>3.6739999999999999</v>
      </c>
    </row>
    <row r="3027" spans="1:5" x14ac:dyDescent="0.25">
      <c r="A3027" s="32" t="s">
        <v>767</v>
      </c>
      <c r="B3027" s="7">
        <v>2015</v>
      </c>
      <c r="C3027" s="51" t="s">
        <v>705</v>
      </c>
      <c r="D3027" t="s">
        <v>737</v>
      </c>
      <c r="E3027" s="2">
        <v>3.5270000000000001</v>
      </c>
    </row>
    <row r="3028" spans="1:5" x14ac:dyDescent="0.25">
      <c r="A3028" s="32" t="s">
        <v>767</v>
      </c>
      <c r="B3028" s="7">
        <v>2015</v>
      </c>
      <c r="C3028" s="51" t="s">
        <v>706</v>
      </c>
      <c r="D3028" t="s">
        <v>737</v>
      </c>
      <c r="E3028" s="2">
        <v>3.6970000000000001</v>
      </c>
    </row>
    <row r="3029" spans="1:5" x14ac:dyDescent="0.25">
      <c r="A3029" s="32" t="s">
        <v>767</v>
      </c>
      <c r="B3029" s="7">
        <v>2016</v>
      </c>
      <c r="C3029" s="51" t="s">
        <v>713</v>
      </c>
      <c r="D3029" t="s">
        <v>737</v>
      </c>
      <c r="E3029" s="2">
        <v>4.0609999999999999</v>
      </c>
    </row>
    <row r="3030" spans="1:5" x14ac:dyDescent="0.25">
      <c r="A3030" s="32" t="s">
        <v>767</v>
      </c>
      <c r="B3030" s="7">
        <v>2016</v>
      </c>
      <c r="C3030" s="51" t="s">
        <v>707</v>
      </c>
      <c r="D3030" t="s">
        <v>737</v>
      </c>
      <c r="E3030" s="2">
        <v>3.3759999999999999</v>
      </c>
    </row>
    <row r="3031" spans="1:5" x14ac:dyDescent="0.25">
      <c r="A3031" s="32" t="s">
        <v>767</v>
      </c>
      <c r="B3031" s="7">
        <v>2016</v>
      </c>
      <c r="C3031" s="51" t="s">
        <v>708</v>
      </c>
      <c r="D3031" t="s">
        <v>737</v>
      </c>
      <c r="E3031" s="2">
        <v>3.609</v>
      </c>
    </row>
    <row r="3032" spans="1:5" x14ac:dyDescent="0.25">
      <c r="A3032" s="32" t="s">
        <v>767</v>
      </c>
      <c r="B3032" s="7">
        <v>2016</v>
      </c>
      <c r="C3032" s="51" t="s">
        <v>699</v>
      </c>
      <c r="D3032" t="s">
        <v>737</v>
      </c>
      <c r="E3032" s="2">
        <v>3.609</v>
      </c>
    </row>
    <row r="3033" spans="1:5" x14ac:dyDescent="0.25">
      <c r="A3033" s="32" t="s">
        <v>767</v>
      </c>
      <c r="B3033" s="7">
        <v>2016</v>
      </c>
      <c r="C3033" s="51" t="s">
        <v>709</v>
      </c>
      <c r="D3033" t="s">
        <v>737</v>
      </c>
      <c r="E3033" s="2">
        <v>1.171</v>
      </c>
    </row>
    <row r="3034" spans="1:5" x14ac:dyDescent="0.25">
      <c r="A3034" s="32" t="s">
        <v>767</v>
      </c>
      <c r="B3034" s="7">
        <v>2016</v>
      </c>
      <c r="C3034" s="51" t="s">
        <v>712</v>
      </c>
      <c r="D3034" t="s">
        <v>737</v>
      </c>
      <c r="E3034" s="2">
        <v>1.38</v>
      </c>
    </row>
    <row r="3035" spans="1:5" x14ac:dyDescent="0.25">
      <c r="A3035" s="32" t="s">
        <v>767</v>
      </c>
      <c r="B3035" s="7">
        <v>2016</v>
      </c>
      <c r="C3035" s="51" t="s">
        <v>710</v>
      </c>
      <c r="D3035" t="s">
        <v>737</v>
      </c>
      <c r="E3035" s="2">
        <v>1.641</v>
      </c>
    </row>
    <row r="3036" spans="1:5" x14ac:dyDescent="0.25">
      <c r="A3036" s="32" t="s">
        <v>767</v>
      </c>
      <c r="B3036" s="7">
        <v>2016</v>
      </c>
      <c r="C3036" s="51" t="s">
        <v>702</v>
      </c>
      <c r="D3036" t="s">
        <v>737</v>
      </c>
      <c r="E3036" s="2">
        <v>1.454</v>
      </c>
    </row>
    <row r="3037" spans="1:5" x14ac:dyDescent="0.25">
      <c r="A3037" s="32" t="s">
        <v>767</v>
      </c>
      <c r="B3037" s="7">
        <v>2016</v>
      </c>
      <c r="C3037" s="51" t="s">
        <v>703</v>
      </c>
      <c r="D3037" t="s">
        <v>737</v>
      </c>
      <c r="E3037" s="2">
        <v>2.0710000000000002</v>
      </c>
    </row>
    <row r="3038" spans="1:5" x14ac:dyDescent="0.25">
      <c r="A3038" s="32" t="s">
        <v>767</v>
      </c>
      <c r="B3038" s="7">
        <v>2016</v>
      </c>
      <c r="C3038" s="51" t="s">
        <v>704</v>
      </c>
      <c r="D3038" t="s">
        <v>737</v>
      </c>
      <c r="E3038" s="2">
        <v>1.121</v>
      </c>
    </row>
    <row r="3039" spans="1:5" x14ac:dyDescent="0.25">
      <c r="A3039" s="32" t="s">
        <v>767</v>
      </c>
      <c r="B3039" s="7">
        <v>2016</v>
      </c>
      <c r="C3039" s="51" t="s">
        <v>705</v>
      </c>
      <c r="D3039" t="s">
        <v>737</v>
      </c>
      <c r="E3039" s="2">
        <v>1.575</v>
      </c>
    </row>
    <row r="3040" spans="1:5" x14ac:dyDescent="0.25">
      <c r="A3040" s="32" t="s">
        <v>767</v>
      </c>
      <c r="B3040" s="7">
        <v>2016</v>
      </c>
      <c r="C3040" s="51" t="s">
        <v>706</v>
      </c>
      <c r="D3040" t="s">
        <v>737</v>
      </c>
      <c r="E3040" s="2">
        <v>2.3119999999999998</v>
      </c>
    </row>
    <row r="3041" spans="1:5" x14ac:dyDescent="0.25">
      <c r="A3041" s="32" t="s">
        <v>767</v>
      </c>
      <c r="B3041" s="7">
        <v>2017</v>
      </c>
      <c r="C3041" s="51" t="s">
        <v>713</v>
      </c>
      <c r="D3041" t="s">
        <v>737</v>
      </c>
      <c r="E3041" s="2">
        <v>1.865</v>
      </c>
    </row>
    <row r="3042" spans="1:5" x14ac:dyDescent="0.25">
      <c r="A3042" s="32" t="s">
        <v>767</v>
      </c>
      <c r="B3042" s="7">
        <v>2017</v>
      </c>
      <c r="C3042" s="51" t="s">
        <v>707</v>
      </c>
      <c r="D3042" t="s">
        <v>737</v>
      </c>
      <c r="E3042" s="2">
        <v>1.7170000000000001</v>
      </c>
    </row>
    <row r="3043" spans="1:5" x14ac:dyDescent="0.25">
      <c r="A3043" s="32" t="s">
        <v>767</v>
      </c>
      <c r="B3043" s="7">
        <v>2017</v>
      </c>
      <c r="C3043" s="51" t="s">
        <v>708</v>
      </c>
      <c r="D3043" t="s">
        <v>737</v>
      </c>
      <c r="E3043" s="2">
        <v>1.974</v>
      </c>
    </row>
    <row r="3044" spans="1:5" x14ac:dyDescent="0.25">
      <c r="A3044" s="32" t="s">
        <v>767</v>
      </c>
      <c r="B3044" s="7">
        <v>2017</v>
      </c>
      <c r="C3044" s="51" t="s">
        <v>699</v>
      </c>
      <c r="D3044" t="s">
        <v>737</v>
      </c>
      <c r="E3044" s="2">
        <v>1.1970000000000001</v>
      </c>
    </row>
    <row r="3045" spans="1:5" x14ac:dyDescent="0.25">
      <c r="A3045" s="32" t="s">
        <v>767</v>
      </c>
      <c r="B3045" s="7">
        <v>2017</v>
      </c>
      <c r="C3045" s="51" t="s">
        <v>709</v>
      </c>
      <c r="D3045" t="s">
        <v>737</v>
      </c>
      <c r="E3045" s="2">
        <v>2.0129999999999999</v>
      </c>
    </row>
    <row r="3046" spans="1:5" x14ac:dyDescent="0.25">
      <c r="A3046" s="32" t="s">
        <v>767</v>
      </c>
      <c r="B3046" s="7">
        <v>2017</v>
      </c>
      <c r="C3046" s="51" t="s">
        <v>712</v>
      </c>
      <c r="D3046" t="s">
        <v>737</v>
      </c>
      <c r="E3046" s="2">
        <v>1.667</v>
      </c>
    </row>
    <row r="3047" spans="1:5" x14ac:dyDescent="0.25">
      <c r="A3047" s="32" t="s">
        <v>767</v>
      </c>
      <c r="B3047" s="7">
        <v>2017</v>
      </c>
      <c r="C3047" s="51" t="s">
        <v>710</v>
      </c>
      <c r="D3047" t="s">
        <v>737</v>
      </c>
      <c r="E3047" s="2">
        <v>1.776</v>
      </c>
    </row>
    <row r="3048" spans="1:5" x14ac:dyDescent="0.25">
      <c r="A3048" s="32" t="s">
        <v>767</v>
      </c>
      <c r="B3048" s="7">
        <v>2017</v>
      </c>
      <c r="C3048" s="51" t="s">
        <v>702</v>
      </c>
      <c r="D3048" t="s">
        <v>737</v>
      </c>
      <c r="E3048" s="2">
        <v>1.6359999999999999</v>
      </c>
    </row>
    <row r="3049" spans="1:5" x14ac:dyDescent="0.25">
      <c r="A3049" s="32" t="s">
        <v>767</v>
      </c>
      <c r="B3049" s="7">
        <v>2017</v>
      </c>
      <c r="C3049" s="51" t="s">
        <v>703</v>
      </c>
      <c r="D3049" t="s">
        <v>737</v>
      </c>
      <c r="E3049" s="2">
        <v>1.577</v>
      </c>
    </row>
    <row r="3050" spans="1:5" x14ac:dyDescent="0.25">
      <c r="A3050" s="32" t="s">
        <v>767</v>
      </c>
      <c r="B3050" s="7">
        <v>2017</v>
      </c>
      <c r="C3050" s="51" t="s">
        <v>704</v>
      </c>
      <c r="D3050" t="s">
        <v>737</v>
      </c>
      <c r="E3050" s="2">
        <v>1.784</v>
      </c>
    </row>
    <row r="3051" spans="1:5" x14ac:dyDescent="0.25">
      <c r="A3051" s="32" t="s">
        <v>767</v>
      </c>
      <c r="B3051" s="7">
        <v>2017</v>
      </c>
      <c r="C3051" s="51" t="s">
        <v>705</v>
      </c>
      <c r="D3051" t="s">
        <v>737</v>
      </c>
      <c r="E3051" s="2">
        <v>1.657</v>
      </c>
    </row>
    <row r="3052" spans="1:5" x14ac:dyDescent="0.25">
      <c r="A3052" s="32" t="s">
        <v>767</v>
      </c>
      <c r="B3052" s="7">
        <v>2017</v>
      </c>
      <c r="C3052" s="51" t="s">
        <v>706</v>
      </c>
      <c r="D3052" t="s">
        <v>737</v>
      </c>
      <c r="E3052" s="2">
        <v>1.7709999999999999</v>
      </c>
    </row>
    <row r="3053" spans="1:5" x14ac:dyDescent="0.25">
      <c r="A3053" s="32" t="s">
        <v>767</v>
      </c>
      <c r="B3053" s="7">
        <v>2018</v>
      </c>
      <c r="C3053" s="51" t="s">
        <v>713</v>
      </c>
      <c r="D3053" t="s">
        <v>737</v>
      </c>
      <c r="E3053" s="2">
        <v>1.54</v>
      </c>
    </row>
    <row r="3054" spans="1:5" x14ac:dyDescent="0.25">
      <c r="A3054" s="32" t="s">
        <v>767</v>
      </c>
      <c r="B3054" s="7">
        <v>2018</v>
      </c>
      <c r="C3054" s="51" t="s">
        <v>707</v>
      </c>
      <c r="D3054" t="s">
        <v>737</v>
      </c>
      <c r="E3054" s="2">
        <v>1.75</v>
      </c>
    </row>
    <row r="3055" spans="1:5" x14ac:dyDescent="0.25">
      <c r="A3055" s="32" t="s">
        <v>767</v>
      </c>
      <c r="B3055" s="7">
        <v>2018</v>
      </c>
      <c r="C3055" s="51" t="s">
        <v>708</v>
      </c>
      <c r="D3055" t="s">
        <v>737</v>
      </c>
      <c r="E3055" s="2">
        <v>1.835</v>
      </c>
    </row>
    <row r="3056" spans="1:5" x14ac:dyDescent="0.25">
      <c r="A3056" s="32" t="s">
        <v>767</v>
      </c>
      <c r="B3056" s="7">
        <v>2018</v>
      </c>
      <c r="C3056" s="51" t="s">
        <v>699</v>
      </c>
      <c r="D3056" t="s">
        <v>737</v>
      </c>
      <c r="E3056" s="2">
        <v>1.4370000000000001</v>
      </c>
    </row>
    <row r="3057" spans="1:5" x14ac:dyDescent="0.25">
      <c r="A3057" s="32" t="s">
        <v>767</v>
      </c>
      <c r="B3057" s="7">
        <v>2018</v>
      </c>
      <c r="C3057" s="51" t="s">
        <v>709</v>
      </c>
      <c r="D3057" t="s">
        <v>737</v>
      </c>
      <c r="E3057" s="2">
        <v>2.2090000000000001</v>
      </c>
    </row>
    <row r="3058" spans="1:5" x14ac:dyDescent="0.25">
      <c r="A3058" s="32" t="s">
        <v>767</v>
      </c>
      <c r="B3058" s="7">
        <v>2018</v>
      </c>
      <c r="C3058" s="51" t="s">
        <v>712</v>
      </c>
      <c r="D3058" t="s">
        <v>737</v>
      </c>
      <c r="E3058" s="2">
        <v>1.7150000000000001</v>
      </c>
    </row>
    <row r="3059" spans="1:5" x14ac:dyDescent="0.25">
      <c r="A3059" s="32" t="s">
        <v>767</v>
      </c>
      <c r="B3059" s="7">
        <v>2018</v>
      </c>
      <c r="C3059" s="51" t="s">
        <v>710</v>
      </c>
      <c r="D3059" t="s">
        <v>737</v>
      </c>
      <c r="E3059" s="2">
        <v>2.383</v>
      </c>
    </row>
    <row r="3060" spans="1:5" x14ac:dyDescent="0.25">
      <c r="A3060" s="32" t="s">
        <v>767</v>
      </c>
      <c r="B3060" s="7">
        <v>2018</v>
      </c>
      <c r="C3060" s="51" t="s">
        <v>702</v>
      </c>
      <c r="D3060" t="s">
        <v>737</v>
      </c>
      <c r="E3060" s="2">
        <v>2.0270000000000001</v>
      </c>
    </row>
    <row r="3061" spans="1:5" x14ac:dyDescent="0.25">
      <c r="A3061" s="32" t="s">
        <v>767</v>
      </c>
      <c r="B3061" s="7">
        <v>2018</v>
      </c>
      <c r="C3061" s="51" t="s">
        <v>703</v>
      </c>
      <c r="D3061" t="s">
        <v>737</v>
      </c>
      <c r="E3061" s="2">
        <v>2.1909999999999998</v>
      </c>
    </row>
    <row r="3062" spans="1:5" x14ac:dyDescent="0.25">
      <c r="A3062" s="32" t="s">
        <v>767</v>
      </c>
      <c r="B3062" s="7">
        <v>2018</v>
      </c>
      <c r="C3062" s="51" t="s">
        <v>704</v>
      </c>
      <c r="D3062" t="s">
        <v>737</v>
      </c>
      <c r="E3062" s="2">
        <v>1.6990000000000001</v>
      </c>
    </row>
    <row r="3063" spans="1:5" x14ac:dyDescent="0.25">
      <c r="A3063" s="32" t="s">
        <v>767</v>
      </c>
      <c r="B3063" s="7">
        <v>2018</v>
      </c>
      <c r="C3063" s="51" t="s">
        <v>705</v>
      </c>
      <c r="D3063" t="s">
        <v>737</v>
      </c>
      <c r="E3063" s="2">
        <v>2.3650000000000002</v>
      </c>
    </row>
    <row r="3064" spans="1:5" x14ac:dyDescent="0.25">
      <c r="A3064" s="32" t="s">
        <v>767</v>
      </c>
      <c r="B3064" s="7">
        <v>2018</v>
      </c>
      <c r="C3064" s="51" t="s">
        <v>706</v>
      </c>
      <c r="D3064" t="s">
        <v>737</v>
      </c>
      <c r="E3064" s="2">
        <v>2.4729999999999999</v>
      </c>
    </row>
    <row r="3065" spans="1:5" x14ac:dyDescent="0.25">
      <c r="A3065" s="32" t="s">
        <v>767</v>
      </c>
      <c r="B3065" s="7">
        <v>2019</v>
      </c>
      <c r="C3065" s="51" t="s">
        <v>713</v>
      </c>
      <c r="D3065" t="s">
        <v>737</v>
      </c>
      <c r="E3065" s="2">
        <v>2.0840000000000001</v>
      </c>
    </row>
    <row r="3066" spans="1:5" x14ac:dyDescent="0.25">
      <c r="A3066" s="32" t="s">
        <v>767</v>
      </c>
      <c r="B3066" s="7">
        <v>2019</v>
      </c>
      <c r="C3066" s="51" t="s">
        <v>707</v>
      </c>
      <c r="D3066" t="s">
        <v>737</v>
      </c>
      <c r="E3066" s="2">
        <v>1.9359999999999999</v>
      </c>
    </row>
    <row r="3067" spans="1:5" x14ac:dyDescent="0.25">
      <c r="A3067" s="32" t="s">
        <v>767</v>
      </c>
      <c r="B3067" s="7">
        <v>2019</v>
      </c>
      <c r="C3067" s="51" t="s">
        <v>708</v>
      </c>
      <c r="D3067" t="s">
        <v>737</v>
      </c>
      <c r="E3067" s="2">
        <v>2.1680000000000001</v>
      </c>
    </row>
    <row r="3068" spans="1:5" x14ac:dyDescent="0.25">
      <c r="A3068" s="32" t="s">
        <v>767</v>
      </c>
      <c r="B3068" s="7">
        <v>2019</v>
      </c>
      <c r="C3068" s="51" t="s">
        <v>699</v>
      </c>
      <c r="D3068" t="s">
        <v>737</v>
      </c>
      <c r="E3068" s="2">
        <v>1.2130000000000001</v>
      </c>
    </row>
    <row r="3069" spans="1:5" x14ac:dyDescent="0.25">
      <c r="A3069" s="32" t="s">
        <v>767</v>
      </c>
      <c r="B3069" s="7">
        <v>2019</v>
      </c>
      <c r="C3069" s="51" t="s">
        <v>709</v>
      </c>
      <c r="D3069" t="s">
        <v>737</v>
      </c>
      <c r="E3069" s="2">
        <v>1.5920000000000001</v>
      </c>
    </row>
    <row r="3070" spans="1:5" x14ac:dyDescent="0.25">
      <c r="A3070" s="32" t="s">
        <v>767</v>
      </c>
      <c r="B3070" s="7">
        <v>2019</v>
      </c>
      <c r="C3070" s="51" t="s">
        <v>712</v>
      </c>
      <c r="D3070" t="s">
        <v>737</v>
      </c>
      <c r="E3070" s="2">
        <v>1.2569999999999999</v>
      </c>
    </row>
    <row r="3071" spans="1:5" x14ac:dyDescent="0.25">
      <c r="A3071" s="32" t="s">
        <v>767</v>
      </c>
      <c r="B3071" s="7">
        <v>2019</v>
      </c>
      <c r="C3071" s="51" t="s">
        <v>710</v>
      </c>
      <c r="D3071" t="s">
        <v>737</v>
      </c>
      <c r="E3071" s="2">
        <v>1.4219999999999999</v>
      </c>
    </row>
    <row r="3072" spans="1:5" x14ac:dyDescent="0.25">
      <c r="A3072" s="32" t="s">
        <v>767</v>
      </c>
      <c r="B3072" s="7">
        <v>2019</v>
      </c>
      <c r="C3072" s="51" t="s">
        <v>702</v>
      </c>
      <c r="D3072" t="s">
        <v>737</v>
      </c>
      <c r="E3072" s="2">
        <v>1.1759999999999999</v>
      </c>
    </row>
    <row r="3073" spans="1:5" x14ac:dyDescent="0.25">
      <c r="A3073" s="32" t="s">
        <v>767</v>
      </c>
      <c r="B3073" s="7">
        <v>2019</v>
      </c>
      <c r="C3073" s="51" t="s">
        <v>703</v>
      </c>
      <c r="D3073" t="s">
        <v>737</v>
      </c>
      <c r="E3073" s="2">
        <v>1.3939999999999999</v>
      </c>
    </row>
    <row r="3074" spans="1:5" x14ac:dyDescent="0.25">
      <c r="A3074" s="32" t="s">
        <v>767</v>
      </c>
      <c r="B3074" s="7">
        <v>2019</v>
      </c>
      <c r="C3074" s="51" t="s">
        <v>704</v>
      </c>
      <c r="D3074" t="s">
        <v>737</v>
      </c>
      <c r="E3074" s="2">
        <v>2.278</v>
      </c>
    </row>
    <row r="3075" spans="1:5" x14ac:dyDescent="0.25">
      <c r="A3075" s="32" t="s">
        <v>767</v>
      </c>
      <c r="B3075" s="7">
        <v>2019</v>
      </c>
      <c r="C3075" s="51" t="s">
        <v>705</v>
      </c>
      <c r="D3075" t="s">
        <v>737</v>
      </c>
      <c r="E3075" s="2">
        <v>1.296</v>
      </c>
    </row>
    <row r="3076" spans="1:5" x14ac:dyDescent="0.25">
      <c r="A3076" s="32" t="s">
        <v>767</v>
      </c>
      <c r="B3076" s="7">
        <v>2019</v>
      </c>
      <c r="C3076" s="51" t="s">
        <v>706</v>
      </c>
      <c r="D3076" t="s">
        <v>737</v>
      </c>
      <c r="E3076" s="2">
        <v>1.244</v>
      </c>
    </row>
    <row r="3077" spans="1:5" x14ac:dyDescent="0.25">
      <c r="A3077" s="32" t="s">
        <v>767</v>
      </c>
      <c r="B3077" s="7">
        <v>2020</v>
      </c>
      <c r="C3077" s="51" t="s">
        <v>713</v>
      </c>
      <c r="D3077" t="s">
        <v>737</v>
      </c>
      <c r="E3077" s="2">
        <v>1.879</v>
      </c>
    </row>
    <row r="3078" spans="1:5" x14ac:dyDescent="0.25">
      <c r="A3078" s="32" t="s">
        <v>767</v>
      </c>
      <c r="B3078" s="7">
        <v>2020</v>
      </c>
      <c r="C3078" s="51" t="s">
        <v>707</v>
      </c>
      <c r="D3078" t="s">
        <v>737</v>
      </c>
      <c r="E3078" s="2">
        <v>1.361</v>
      </c>
    </row>
    <row r="3079" spans="1:5" x14ac:dyDescent="0.25">
      <c r="A3079" s="32" t="s">
        <v>767</v>
      </c>
      <c r="B3079" s="7">
        <v>2020</v>
      </c>
      <c r="C3079" s="51" t="s">
        <v>708</v>
      </c>
      <c r="D3079" t="s">
        <v>737</v>
      </c>
      <c r="E3079" s="2">
        <v>1.417</v>
      </c>
    </row>
    <row r="3080" spans="1:5" x14ac:dyDescent="0.25">
      <c r="A3080" s="32" t="s">
        <v>767</v>
      </c>
      <c r="B3080" s="7">
        <v>2020</v>
      </c>
      <c r="C3080" s="51" t="s">
        <v>699</v>
      </c>
      <c r="D3080" t="s">
        <v>737</v>
      </c>
      <c r="E3080" s="2">
        <v>1.643</v>
      </c>
    </row>
    <row r="3081" spans="1:5" x14ac:dyDescent="0.25">
      <c r="A3081" s="32" t="s">
        <v>767</v>
      </c>
      <c r="B3081" s="7">
        <v>2020</v>
      </c>
      <c r="C3081" s="51" t="s">
        <v>709</v>
      </c>
      <c r="D3081" t="s">
        <v>737</v>
      </c>
      <c r="E3081" s="2">
        <v>1.7030000000000001</v>
      </c>
    </row>
    <row r="3082" spans="1:5" x14ac:dyDescent="0.25">
      <c r="A3082" s="32" t="s">
        <v>767</v>
      </c>
      <c r="B3082" s="7">
        <v>2020</v>
      </c>
      <c r="C3082" s="51" t="s">
        <v>712</v>
      </c>
      <c r="D3082" t="s">
        <v>737</v>
      </c>
      <c r="E3082" s="2">
        <v>1.5089999999999999</v>
      </c>
    </row>
    <row r="3083" spans="1:5" x14ac:dyDescent="0.25">
      <c r="A3083" s="32" t="s">
        <v>767</v>
      </c>
      <c r="B3083" s="7">
        <v>2020</v>
      </c>
      <c r="C3083" s="51" t="s">
        <v>710</v>
      </c>
      <c r="D3083" t="s">
        <v>737</v>
      </c>
      <c r="E3083" s="2">
        <v>1.3080000000000001</v>
      </c>
    </row>
    <row r="3084" spans="1:5" x14ac:dyDescent="0.25">
      <c r="A3084" s="32" t="s">
        <v>767</v>
      </c>
      <c r="B3084" s="7">
        <v>2020</v>
      </c>
      <c r="C3084" s="51" t="s">
        <v>702</v>
      </c>
      <c r="D3084" t="s">
        <v>737</v>
      </c>
      <c r="E3084" s="2">
        <v>1.8779999999999999</v>
      </c>
    </row>
    <row r="3085" spans="1:5" x14ac:dyDescent="0.25">
      <c r="A3085" s="32" t="s">
        <v>767</v>
      </c>
      <c r="B3085" s="7">
        <v>2020</v>
      </c>
      <c r="C3085" s="51" t="s">
        <v>703</v>
      </c>
      <c r="D3085" t="s">
        <v>737</v>
      </c>
      <c r="E3085" s="2">
        <v>1.714</v>
      </c>
    </row>
    <row r="3086" spans="1:5" x14ac:dyDescent="0.25">
      <c r="A3086" s="32" t="s">
        <v>767</v>
      </c>
      <c r="B3086" s="7">
        <v>2020</v>
      </c>
      <c r="C3086" s="51" t="s">
        <v>704</v>
      </c>
      <c r="D3086" t="s">
        <v>737</v>
      </c>
      <c r="E3086" s="2">
        <v>1.78</v>
      </c>
    </row>
    <row r="3087" spans="1:5" x14ac:dyDescent="0.25">
      <c r="A3087" s="32" t="s">
        <v>767</v>
      </c>
      <c r="B3087" s="7">
        <v>2020</v>
      </c>
      <c r="C3087" s="51" t="s">
        <v>705</v>
      </c>
      <c r="D3087" t="s">
        <v>737</v>
      </c>
      <c r="E3087" s="2">
        <v>1.79</v>
      </c>
    </row>
    <row r="3088" spans="1:5" x14ac:dyDescent="0.25">
      <c r="A3088" s="32" t="s">
        <v>767</v>
      </c>
      <c r="B3088" s="7">
        <v>2020</v>
      </c>
      <c r="C3088" s="51" t="s">
        <v>706</v>
      </c>
      <c r="D3088" t="s">
        <v>737</v>
      </c>
      <c r="E3088" s="2">
        <v>2.319</v>
      </c>
    </row>
    <row r="3089" spans="1:5" x14ac:dyDescent="0.25">
      <c r="A3089" s="32" t="s">
        <v>767</v>
      </c>
      <c r="B3089" s="7">
        <v>2021</v>
      </c>
      <c r="C3089" s="51" t="s">
        <v>713</v>
      </c>
      <c r="D3089" t="s">
        <v>737</v>
      </c>
      <c r="E3089" s="2">
        <v>1.778</v>
      </c>
    </row>
    <row r="3090" spans="1:5" x14ac:dyDescent="0.25">
      <c r="A3090" s="32" t="s">
        <v>767</v>
      </c>
      <c r="B3090" s="7">
        <v>2021</v>
      </c>
      <c r="C3090" s="51" t="s">
        <v>707</v>
      </c>
      <c r="D3090" t="s">
        <v>737</v>
      </c>
      <c r="E3090" s="2">
        <v>0.93500000000000005</v>
      </c>
    </row>
    <row r="3091" spans="1:5" x14ac:dyDescent="0.25">
      <c r="A3091" s="32" t="s">
        <v>767</v>
      </c>
      <c r="B3091" s="7">
        <v>2021</v>
      </c>
      <c r="C3091" s="51" t="s">
        <v>708</v>
      </c>
      <c r="D3091" t="s">
        <v>737</v>
      </c>
      <c r="E3091" s="2">
        <v>0.88</v>
      </c>
    </row>
    <row r="3092" spans="1:5" x14ac:dyDescent="0.25">
      <c r="A3092" s="32" t="s">
        <v>767</v>
      </c>
      <c r="B3092" s="7">
        <v>2021</v>
      </c>
      <c r="C3092" s="51" t="s">
        <v>699</v>
      </c>
      <c r="D3092" t="s">
        <v>737</v>
      </c>
      <c r="E3092" s="2">
        <v>1.619</v>
      </c>
    </row>
    <row r="3093" spans="1:5" x14ac:dyDescent="0.25">
      <c r="A3093" s="32" t="s">
        <v>767</v>
      </c>
      <c r="B3093" s="7">
        <v>2021</v>
      </c>
      <c r="C3093" s="51" t="s">
        <v>709</v>
      </c>
      <c r="D3093" t="s">
        <v>737</v>
      </c>
      <c r="E3093" s="2">
        <v>1.587</v>
      </c>
    </row>
    <row r="3094" spans="1:5" x14ac:dyDescent="0.25">
      <c r="A3094" s="32" t="s">
        <v>767</v>
      </c>
      <c r="B3094" s="7">
        <v>2021</v>
      </c>
      <c r="C3094" s="51" t="s">
        <v>712</v>
      </c>
      <c r="D3094" t="s">
        <v>737</v>
      </c>
      <c r="E3094" s="2">
        <v>1.5069999999999999</v>
      </c>
    </row>
    <row r="3095" spans="1:5" x14ac:dyDescent="0.25">
      <c r="A3095" s="32" t="s">
        <v>767</v>
      </c>
      <c r="B3095" s="7">
        <v>2021</v>
      </c>
      <c r="C3095" s="51" t="s">
        <v>710</v>
      </c>
      <c r="D3095" t="s">
        <v>737</v>
      </c>
      <c r="E3095" s="2">
        <v>1.4770000000000001</v>
      </c>
    </row>
    <row r="3096" spans="1:5" x14ac:dyDescent="0.25">
      <c r="A3096" s="32" t="s">
        <v>767</v>
      </c>
      <c r="B3096" s="7">
        <v>2021</v>
      </c>
      <c r="C3096" s="51" t="s">
        <v>702</v>
      </c>
      <c r="D3096" t="s">
        <v>737</v>
      </c>
      <c r="E3096" s="2">
        <v>1.601</v>
      </c>
    </row>
    <row r="3097" spans="1:5" x14ac:dyDescent="0.25">
      <c r="A3097" s="32" t="s">
        <v>767</v>
      </c>
      <c r="B3097" s="7">
        <v>2021</v>
      </c>
      <c r="C3097" s="51" t="s">
        <v>703</v>
      </c>
      <c r="D3097" t="s">
        <v>737</v>
      </c>
      <c r="E3097" s="2">
        <v>1.6579999999999999</v>
      </c>
    </row>
    <row r="3098" spans="1:5" x14ac:dyDescent="0.25">
      <c r="A3098" s="32" t="s">
        <v>767</v>
      </c>
      <c r="B3098" s="7">
        <v>2021</v>
      </c>
      <c r="C3098" s="51" t="s">
        <v>704</v>
      </c>
      <c r="D3098" t="s">
        <v>737</v>
      </c>
      <c r="E3098" s="2">
        <v>1.613</v>
      </c>
    </row>
    <row r="3099" spans="1:5" x14ac:dyDescent="0.25">
      <c r="A3099" s="32" t="s">
        <v>767</v>
      </c>
      <c r="B3099" s="7">
        <v>2021</v>
      </c>
      <c r="C3099" s="51" t="s">
        <v>705</v>
      </c>
      <c r="D3099" t="s">
        <v>737</v>
      </c>
      <c r="E3099" s="2">
        <v>1.484</v>
      </c>
    </row>
    <row r="3100" spans="1:5" x14ac:dyDescent="0.25">
      <c r="A3100" s="32" t="s">
        <v>767</v>
      </c>
      <c r="B3100" s="7">
        <v>2021</v>
      </c>
      <c r="C3100" s="51" t="s">
        <v>706</v>
      </c>
      <c r="D3100" t="s">
        <v>737</v>
      </c>
      <c r="E3100" s="2">
        <v>1.522</v>
      </c>
    </row>
    <row r="3101" spans="1:5" x14ac:dyDescent="0.25">
      <c r="A3101" s="32" t="s">
        <v>767</v>
      </c>
      <c r="B3101" s="7">
        <v>2022</v>
      </c>
      <c r="C3101" s="51" t="s">
        <v>713</v>
      </c>
      <c r="D3101" t="s">
        <v>737</v>
      </c>
      <c r="E3101" s="2">
        <v>1.897</v>
      </c>
    </row>
    <row r="3102" spans="1:5" x14ac:dyDescent="0.25">
      <c r="A3102" s="32" t="s">
        <v>767</v>
      </c>
      <c r="B3102" s="7">
        <v>2022</v>
      </c>
      <c r="C3102" s="51" t="s">
        <v>707</v>
      </c>
      <c r="D3102" t="s">
        <v>737</v>
      </c>
      <c r="E3102" s="2">
        <v>1.514</v>
      </c>
    </row>
    <row r="3103" spans="1:5" x14ac:dyDescent="0.25">
      <c r="A3103" s="32" t="s">
        <v>767</v>
      </c>
      <c r="B3103" s="7">
        <v>2022</v>
      </c>
      <c r="C3103" s="51" t="s">
        <v>708</v>
      </c>
      <c r="D3103" t="s">
        <v>737</v>
      </c>
      <c r="E3103" s="2">
        <v>1.526</v>
      </c>
    </row>
    <row r="3104" spans="1:5" x14ac:dyDescent="0.25">
      <c r="A3104" s="32" t="s">
        <v>767</v>
      </c>
      <c r="B3104" s="7">
        <v>2022</v>
      </c>
      <c r="C3104" s="51" t="s">
        <v>699</v>
      </c>
      <c r="D3104" t="s">
        <v>737</v>
      </c>
      <c r="E3104" s="2">
        <v>1.498</v>
      </c>
    </row>
    <row r="3105" spans="1:5" x14ac:dyDescent="0.25">
      <c r="A3105" s="32" t="s">
        <v>767</v>
      </c>
      <c r="B3105" s="7">
        <v>2022</v>
      </c>
      <c r="C3105" s="51" t="s">
        <v>709</v>
      </c>
      <c r="D3105" t="s">
        <v>737</v>
      </c>
      <c r="E3105" s="2">
        <v>1.9139999999999999</v>
      </c>
    </row>
    <row r="3106" spans="1:5" x14ac:dyDescent="0.25">
      <c r="A3106" s="32" t="s">
        <v>767</v>
      </c>
      <c r="B3106" s="7">
        <v>2022</v>
      </c>
      <c r="C3106" s="51" t="s">
        <v>712</v>
      </c>
      <c r="D3106" t="s">
        <v>737</v>
      </c>
      <c r="E3106" s="2">
        <v>1.494</v>
      </c>
    </row>
    <row r="3107" spans="1:5" x14ac:dyDescent="0.25">
      <c r="A3107" s="32" t="s">
        <v>767</v>
      </c>
      <c r="B3107" s="7">
        <v>2022</v>
      </c>
      <c r="C3107" s="51" t="s">
        <v>710</v>
      </c>
      <c r="D3107" t="s">
        <v>737</v>
      </c>
      <c r="E3107" s="2">
        <v>1.4430000000000001</v>
      </c>
    </row>
    <row r="3108" spans="1:5" x14ac:dyDescent="0.25">
      <c r="A3108" s="32" t="s">
        <v>767</v>
      </c>
      <c r="B3108" s="7">
        <v>2022</v>
      </c>
      <c r="C3108" s="51" t="s">
        <v>702</v>
      </c>
      <c r="D3108" t="s">
        <v>737</v>
      </c>
      <c r="E3108" s="2">
        <v>1.3819999999999999</v>
      </c>
    </row>
    <row r="3109" spans="1:5" x14ac:dyDescent="0.25">
      <c r="A3109" s="32" t="s">
        <v>767</v>
      </c>
      <c r="B3109" s="7">
        <v>2022</v>
      </c>
      <c r="C3109" s="51" t="s">
        <v>703</v>
      </c>
      <c r="D3109" t="s">
        <v>737</v>
      </c>
      <c r="E3109" s="2">
        <v>1.349</v>
      </c>
    </row>
    <row r="3110" spans="1:5" x14ac:dyDescent="0.25">
      <c r="A3110" s="32" t="s">
        <v>767</v>
      </c>
      <c r="B3110" s="7">
        <v>2022</v>
      </c>
      <c r="C3110" s="51" t="s">
        <v>704</v>
      </c>
      <c r="D3110" t="s">
        <v>737</v>
      </c>
      <c r="E3110" s="2">
        <v>1.498</v>
      </c>
    </row>
    <row r="3111" spans="1:5" x14ac:dyDescent="0.25">
      <c r="A3111" s="32" t="s">
        <v>767</v>
      </c>
      <c r="B3111" s="7">
        <v>2022</v>
      </c>
      <c r="C3111" s="51" t="s">
        <v>705</v>
      </c>
      <c r="D3111" t="s">
        <v>737</v>
      </c>
      <c r="E3111" s="2">
        <v>1.446</v>
      </c>
    </row>
    <row r="3112" spans="1:5" x14ac:dyDescent="0.25">
      <c r="A3112" s="32" t="s">
        <v>767</v>
      </c>
      <c r="B3112" s="7">
        <v>2022</v>
      </c>
      <c r="C3112" s="51" t="s">
        <v>706</v>
      </c>
      <c r="D3112" t="s">
        <v>737</v>
      </c>
      <c r="E3112" s="2">
        <v>1.7949999999999999</v>
      </c>
    </row>
    <row r="3113" spans="1:5" x14ac:dyDescent="0.25">
      <c r="A3113" s="32" t="s">
        <v>767</v>
      </c>
      <c r="B3113" s="7">
        <v>2023</v>
      </c>
      <c r="C3113" s="51" t="s">
        <v>713</v>
      </c>
      <c r="D3113" t="s">
        <v>737</v>
      </c>
      <c r="E3113" s="2">
        <v>1.488</v>
      </c>
    </row>
    <row r="3114" spans="1:5" x14ac:dyDescent="0.25">
      <c r="A3114" s="32" t="s">
        <v>767</v>
      </c>
      <c r="B3114" s="7">
        <v>2023</v>
      </c>
      <c r="C3114" s="51" t="s">
        <v>707</v>
      </c>
      <c r="D3114" t="s">
        <v>737</v>
      </c>
      <c r="E3114" s="2">
        <v>1.4830000000000001</v>
      </c>
    </row>
    <row r="3115" spans="1:5" x14ac:dyDescent="0.25">
      <c r="A3115" s="32" t="s">
        <v>767</v>
      </c>
      <c r="B3115" s="7">
        <v>2023</v>
      </c>
      <c r="C3115" s="51" t="s">
        <v>708</v>
      </c>
      <c r="D3115" t="s">
        <v>737</v>
      </c>
      <c r="E3115" s="2">
        <v>1.4750000000000001</v>
      </c>
    </row>
    <row r="3116" spans="1:5" x14ac:dyDescent="0.25">
      <c r="A3116" s="32" t="s">
        <v>767</v>
      </c>
      <c r="B3116" s="7">
        <v>2023</v>
      </c>
      <c r="C3116" s="51" t="s">
        <v>699</v>
      </c>
      <c r="D3116" t="s">
        <v>737</v>
      </c>
      <c r="E3116" s="2">
        <v>1.51</v>
      </c>
    </row>
    <row r="3117" spans="1:5" x14ac:dyDescent="0.25">
      <c r="A3117" s="32" t="s">
        <v>767</v>
      </c>
      <c r="B3117" s="7">
        <v>2023</v>
      </c>
      <c r="C3117" s="51" t="s">
        <v>709</v>
      </c>
      <c r="D3117" t="s">
        <v>737</v>
      </c>
      <c r="E3117" s="2">
        <v>1.5580000000000001</v>
      </c>
    </row>
    <row r="3118" spans="1:5" x14ac:dyDescent="0.25">
      <c r="A3118" s="32" t="s">
        <v>767</v>
      </c>
      <c r="B3118" s="7">
        <v>2023</v>
      </c>
      <c r="C3118" s="51" t="s">
        <v>712</v>
      </c>
      <c r="D3118" t="s">
        <v>737</v>
      </c>
      <c r="E3118" s="2">
        <v>1.4259999999999999</v>
      </c>
    </row>
    <row r="3119" spans="1:5" x14ac:dyDescent="0.25">
      <c r="A3119" s="32" t="s">
        <v>767</v>
      </c>
      <c r="B3119" s="7">
        <v>2023</v>
      </c>
      <c r="C3119" s="51" t="s">
        <v>710</v>
      </c>
      <c r="D3119" t="s">
        <v>737</v>
      </c>
      <c r="E3119" s="2">
        <v>1.405</v>
      </c>
    </row>
    <row r="3120" spans="1:5" x14ac:dyDescent="0.25">
      <c r="A3120" s="32" t="s">
        <v>767</v>
      </c>
      <c r="B3120" s="7">
        <v>2023</v>
      </c>
      <c r="C3120" s="51" t="s">
        <v>702</v>
      </c>
      <c r="D3120" t="s">
        <v>737</v>
      </c>
      <c r="E3120" s="2">
        <v>1.456</v>
      </c>
    </row>
    <row r="3121" spans="1:5" x14ac:dyDescent="0.25">
      <c r="A3121" s="32" t="s">
        <v>767</v>
      </c>
      <c r="B3121" s="7">
        <v>2023</v>
      </c>
      <c r="C3121" s="51" t="s">
        <v>703</v>
      </c>
      <c r="D3121" t="s">
        <v>737</v>
      </c>
      <c r="E3121" s="2">
        <v>1.583</v>
      </c>
    </row>
    <row r="3122" spans="1:5" x14ac:dyDescent="0.25">
      <c r="A3122" s="32" t="s">
        <v>767</v>
      </c>
      <c r="B3122" s="7">
        <v>1997</v>
      </c>
      <c r="C3122" s="51" t="s">
        <v>704</v>
      </c>
      <c r="D3122" t="s">
        <v>738</v>
      </c>
      <c r="E3122" s="2">
        <v>18.443999999999999</v>
      </c>
    </row>
    <row r="3123" spans="1:5" x14ac:dyDescent="0.25">
      <c r="A3123" s="32" t="s">
        <v>767</v>
      </c>
      <c r="B3123" s="7">
        <v>1997</v>
      </c>
      <c r="C3123" s="51" t="s">
        <v>705</v>
      </c>
      <c r="D3123" t="s">
        <v>738</v>
      </c>
      <c r="E3123" s="2">
        <v>20.391999999999999</v>
      </c>
    </row>
    <row r="3124" spans="1:5" x14ac:dyDescent="0.25">
      <c r="A3124" s="32" t="s">
        <v>767</v>
      </c>
      <c r="B3124" s="7">
        <v>1997</v>
      </c>
      <c r="C3124" s="51" t="s">
        <v>706</v>
      </c>
      <c r="D3124" t="s">
        <v>738</v>
      </c>
      <c r="E3124" s="2">
        <v>18.501999999999999</v>
      </c>
    </row>
    <row r="3125" spans="1:5" x14ac:dyDescent="0.25">
      <c r="A3125" s="32" t="s">
        <v>767</v>
      </c>
      <c r="B3125" s="7">
        <v>1998</v>
      </c>
      <c r="C3125" s="51" t="s">
        <v>713</v>
      </c>
      <c r="D3125" t="s">
        <v>738</v>
      </c>
      <c r="E3125" s="2">
        <v>19.931999999999999</v>
      </c>
    </row>
    <row r="3126" spans="1:5" x14ac:dyDescent="0.25">
      <c r="A3126" s="32" t="s">
        <v>767</v>
      </c>
      <c r="B3126" s="7">
        <v>1998</v>
      </c>
      <c r="C3126" s="51" t="s">
        <v>707</v>
      </c>
      <c r="D3126" t="s">
        <v>738</v>
      </c>
      <c r="E3126" s="2">
        <v>20.942</v>
      </c>
    </row>
    <row r="3127" spans="1:5" x14ac:dyDescent="0.25">
      <c r="A3127" s="32" t="s">
        <v>767</v>
      </c>
      <c r="B3127" s="7">
        <v>1998</v>
      </c>
      <c r="C3127" s="51" t="s">
        <v>708</v>
      </c>
      <c r="D3127" t="s">
        <v>738</v>
      </c>
      <c r="E3127" s="2">
        <v>23.175000000000001</v>
      </c>
    </row>
    <row r="3128" spans="1:5" x14ac:dyDescent="0.25">
      <c r="A3128" s="32" t="s">
        <v>767</v>
      </c>
      <c r="B3128" s="7">
        <v>1998</v>
      </c>
      <c r="C3128" s="51" t="s">
        <v>699</v>
      </c>
      <c r="D3128" t="s">
        <v>738</v>
      </c>
      <c r="E3128" s="2">
        <v>20.001999999999999</v>
      </c>
    </row>
    <row r="3129" spans="1:5" x14ac:dyDescent="0.25">
      <c r="A3129" s="32" t="s">
        <v>767</v>
      </c>
      <c r="B3129" s="7">
        <v>1998</v>
      </c>
      <c r="C3129" s="51" t="s">
        <v>709</v>
      </c>
      <c r="D3129" t="s">
        <v>738</v>
      </c>
      <c r="E3129" s="2">
        <v>23.414000000000001</v>
      </c>
    </row>
    <row r="3130" spans="1:5" x14ac:dyDescent="0.25">
      <c r="A3130" s="32" t="s">
        <v>767</v>
      </c>
      <c r="B3130" s="7">
        <v>1998</v>
      </c>
      <c r="C3130" s="51" t="s">
        <v>712</v>
      </c>
      <c r="D3130" t="s">
        <v>738</v>
      </c>
      <c r="E3130" s="2">
        <v>20.091000000000001</v>
      </c>
    </row>
    <row r="3131" spans="1:5" x14ac:dyDescent="0.25">
      <c r="A3131" s="32" t="s">
        <v>767</v>
      </c>
      <c r="B3131" s="7">
        <v>1998</v>
      </c>
      <c r="C3131" s="51" t="s">
        <v>710</v>
      </c>
      <c r="D3131" t="s">
        <v>738</v>
      </c>
      <c r="E3131" s="2">
        <v>21.059000000000001</v>
      </c>
    </row>
    <row r="3132" spans="1:5" x14ac:dyDescent="0.25">
      <c r="A3132" s="32" t="s">
        <v>767</v>
      </c>
      <c r="B3132" s="7">
        <v>1998</v>
      </c>
      <c r="C3132" s="51" t="s">
        <v>702</v>
      </c>
      <c r="D3132" t="s">
        <v>738</v>
      </c>
      <c r="E3132" s="2">
        <v>21.561</v>
      </c>
    </row>
    <row r="3133" spans="1:5" x14ac:dyDescent="0.25">
      <c r="A3133" s="32" t="s">
        <v>767</v>
      </c>
      <c r="B3133" s="7">
        <v>1998</v>
      </c>
      <c r="C3133" s="51" t="s">
        <v>703</v>
      </c>
      <c r="D3133" t="s">
        <v>738</v>
      </c>
      <c r="E3133" s="2">
        <v>21.369</v>
      </c>
    </row>
    <row r="3134" spans="1:5" x14ac:dyDescent="0.25">
      <c r="A3134" s="32" t="s">
        <v>767</v>
      </c>
      <c r="B3134" s="7">
        <v>1998</v>
      </c>
      <c r="C3134" s="51" t="s">
        <v>704</v>
      </c>
      <c r="D3134" t="s">
        <v>738</v>
      </c>
      <c r="E3134" s="2">
        <v>20.542000000000002</v>
      </c>
    </row>
    <row r="3135" spans="1:5" x14ac:dyDescent="0.25">
      <c r="A3135" s="32" t="s">
        <v>767</v>
      </c>
      <c r="B3135" s="7">
        <v>1998</v>
      </c>
      <c r="C3135" s="51" t="s">
        <v>705</v>
      </c>
      <c r="D3135" t="s">
        <v>738</v>
      </c>
      <c r="E3135" s="2">
        <v>18.838000000000001</v>
      </c>
    </row>
    <row r="3136" spans="1:5" x14ac:dyDescent="0.25">
      <c r="A3136" s="32" t="s">
        <v>767</v>
      </c>
      <c r="B3136" s="7">
        <v>1998</v>
      </c>
      <c r="C3136" s="51" t="s">
        <v>706</v>
      </c>
      <c r="D3136" t="s">
        <v>738</v>
      </c>
      <c r="E3136" s="2">
        <v>18.547000000000001</v>
      </c>
    </row>
    <row r="3137" spans="1:5" x14ac:dyDescent="0.25">
      <c r="A3137" s="32" t="s">
        <v>767</v>
      </c>
      <c r="B3137" s="7">
        <v>1999</v>
      </c>
      <c r="C3137" s="51" t="s">
        <v>713</v>
      </c>
      <c r="D3137" t="s">
        <v>738</v>
      </c>
      <c r="E3137" s="2">
        <v>19.89</v>
      </c>
    </row>
    <row r="3138" spans="1:5" x14ac:dyDescent="0.25">
      <c r="A3138" s="32" t="s">
        <v>767</v>
      </c>
      <c r="B3138" s="7">
        <v>1999</v>
      </c>
      <c r="C3138" s="51" t="s">
        <v>707</v>
      </c>
      <c r="D3138" t="s">
        <v>738</v>
      </c>
      <c r="E3138" s="2">
        <v>18.042000000000002</v>
      </c>
    </row>
    <row r="3139" spans="1:5" x14ac:dyDescent="0.25">
      <c r="A3139" s="32" t="s">
        <v>767</v>
      </c>
      <c r="B3139" s="7">
        <v>1999</v>
      </c>
      <c r="C3139" s="51" t="s">
        <v>708</v>
      </c>
      <c r="D3139" t="s">
        <v>738</v>
      </c>
      <c r="E3139" s="2">
        <v>23.997</v>
      </c>
    </row>
    <row r="3140" spans="1:5" x14ac:dyDescent="0.25">
      <c r="A3140" s="32" t="s">
        <v>767</v>
      </c>
      <c r="B3140" s="7">
        <v>1999</v>
      </c>
      <c r="C3140" s="51" t="s">
        <v>699</v>
      </c>
      <c r="D3140" t="s">
        <v>738</v>
      </c>
      <c r="E3140" s="2">
        <v>21.387</v>
      </c>
    </row>
    <row r="3141" spans="1:5" x14ac:dyDescent="0.25">
      <c r="A3141" s="32" t="s">
        <v>767</v>
      </c>
      <c r="B3141" s="7">
        <v>1999</v>
      </c>
      <c r="C3141" s="51" t="s">
        <v>709</v>
      </c>
      <c r="D3141" t="s">
        <v>738</v>
      </c>
      <c r="E3141" s="2">
        <v>23.457999999999998</v>
      </c>
    </row>
    <row r="3142" spans="1:5" x14ac:dyDescent="0.25">
      <c r="A3142" s="32" t="s">
        <v>767</v>
      </c>
      <c r="B3142" s="7">
        <v>1999</v>
      </c>
      <c r="C3142" s="51" t="s">
        <v>712</v>
      </c>
      <c r="D3142" t="s">
        <v>738</v>
      </c>
      <c r="E3142" s="2">
        <v>23.63</v>
      </c>
    </row>
    <row r="3143" spans="1:5" x14ac:dyDescent="0.25">
      <c r="A3143" s="32" t="s">
        <v>767</v>
      </c>
      <c r="B3143" s="7">
        <v>1999</v>
      </c>
      <c r="C3143" s="51" t="s">
        <v>710</v>
      </c>
      <c r="D3143" t="s">
        <v>738</v>
      </c>
      <c r="E3143" s="2">
        <v>17.029</v>
      </c>
    </row>
    <row r="3144" spans="1:5" x14ac:dyDescent="0.25">
      <c r="A3144" s="32" t="s">
        <v>767</v>
      </c>
      <c r="B3144" s="7">
        <v>1999</v>
      </c>
      <c r="C3144" s="51" t="s">
        <v>702</v>
      </c>
      <c r="D3144" t="s">
        <v>738</v>
      </c>
      <c r="E3144" s="2">
        <v>17.382999999999999</v>
      </c>
    </row>
    <row r="3145" spans="1:5" x14ac:dyDescent="0.25">
      <c r="A3145" s="32" t="s">
        <v>767</v>
      </c>
      <c r="B3145" s="7">
        <v>1999</v>
      </c>
      <c r="C3145" s="51" t="s">
        <v>703</v>
      </c>
      <c r="D3145" t="s">
        <v>738</v>
      </c>
      <c r="E3145" s="2">
        <v>18.547999999999998</v>
      </c>
    </row>
    <row r="3146" spans="1:5" x14ac:dyDescent="0.25">
      <c r="A3146" s="32" t="s">
        <v>767</v>
      </c>
      <c r="B3146" s="7">
        <v>1999</v>
      </c>
      <c r="C3146" s="51" t="s">
        <v>704</v>
      </c>
      <c r="D3146" t="s">
        <v>738</v>
      </c>
      <c r="E3146" s="2">
        <v>24.077999999999999</v>
      </c>
    </row>
    <row r="3147" spans="1:5" x14ac:dyDescent="0.25">
      <c r="A3147" s="32" t="s">
        <v>767</v>
      </c>
      <c r="B3147" s="7">
        <v>1999</v>
      </c>
      <c r="C3147" s="51" t="s">
        <v>705</v>
      </c>
      <c r="D3147" t="s">
        <v>738</v>
      </c>
      <c r="E3147" s="2">
        <v>23.619</v>
      </c>
    </row>
    <row r="3148" spans="1:5" x14ac:dyDescent="0.25">
      <c r="A3148" s="32" t="s">
        <v>767</v>
      </c>
      <c r="B3148" s="7">
        <v>1999</v>
      </c>
      <c r="C3148" s="51" t="s">
        <v>706</v>
      </c>
      <c r="D3148" t="s">
        <v>738</v>
      </c>
      <c r="E3148" s="2">
        <v>23.971</v>
      </c>
    </row>
    <row r="3149" spans="1:5" x14ac:dyDescent="0.25">
      <c r="A3149" s="32" t="s">
        <v>767</v>
      </c>
      <c r="B3149" s="7">
        <v>2000</v>
      </c>
      <c r="C3149" s="51" t="s">
        <v>713</v>
      </c>
      <c r="D3149" t="s">
        <v>738</v>
      </c>
      <c r="E3149" s="2">
        <v>23.100999999999999</v>
      </c>
    </row>
    <row r="3150" spans="1:5" x14ac:dyDescent="0.25">
      <c r="A3150" s="32" t="s">
        <v>767</v>
      </c>
      <c r="B3150" s="7">
        <v>2000</v>
      </c>
      <c r="C3150" s="51" t="s">
        <v>707</v>
      </c>
      <c r="D3150" t="s">
        <v>738</v>
      </c>
      <c r="E3150" s="2">
        <v>24.463000000000001</v>
      </c>
    </row>
    <row r="3151" spans="1:5" x14ac:dyDescent="0.25">
      <c r="A3151" s="32" t="s">
        <v>767</v>
      </c>
      <c r="B3151" s="7">
        <v>2000</v>
      </c>
      <c r="C3151" s="51" t="s">
        <v>708</v>
      </c>
      <c r="D3151" t="s">
        <v>738</v>
      </c>
      <c r="E3151" s="2">
        <v>24.992000000000001</v>
      </c>
    </row>
    <row r="3152" spans="1:5" x14ac:dyDescent="0.25">
      <c r="A3152" s="32" t="s">
        <v>767</v>
      </c>
      <c r="B3152" s="7">
        <v>2000</v>
      </c>
      <c r="C3152" s="51" t="s">
        <v>699</v>
      </c>
      <c r="D3152" t="s">
        <v>738</v>
      </c>
      <c r="E3152" s="2">
        <v>24.648</v>
      </c>
    </row>
    <row r="3153" spans="1:5" x14ac:dyDescent="0.25">
      <c r="A3153" s="32" t="s">
        <v>767</v>
      </c>
      <c r="B3153" s="7">
        <v>2000</v>
      </c>
      <c r="C3153" s="51" t="s">
        <v>709</v>
      </c>
      <c r="D3153" t="s">
        <v>738</v>
      </c>
      <c r="E3153" s="2">
        <v>24.388999999999999</v>
      </c>
    </row>
    <row r="3154" spans="1:5" x14ac:dyDescent="0.25">
      <c r="A3154" s="32" t="s">
        <v>767</v>
      </c>
      <c r="B3154" s="7">
        <v>2000</v>
      </c>
      <c r="C3154" s="51" t="s">
        <v>712</v>
      </c>
      <c r="D3154" t="s">
        <v>738</v>
      </c>
      <c r="E3154" s="2">
        <v>24.262</v>
      </c>
    </row>
    <row r="3155" spans="1:5" x14ac:dyDescent="0.25">
      <c r="A3155" s="32" t="s">
        <v>767</v>
      </c>
      <c r="B3155" s="7">
        <v>2000</v>
      </c>
      <c r="C3155" s="51" t="s">
        <v>710</v>
      </c>
      <c r="D3155" t="s">
        <v>738</v>
      </c>
      <c r="E3155" s="2">
        <v>24.661000000000001</v>
      </c>
    </row>
    <row r="3156" spans="1:5" x14ac:dyDescent="0.25">
      <c r="A3156" s="32" t="s">
        <v>767</v>
      </c>
      <c r="B3156" s="7">
        <v>2000</v>
      </c>
      <c r="C3156" s="51" t="s">
        <v>702</v>
      </c>
      <c r="D3156" t="s">
        <v>738</v>
      </c>
      <c r="E3156" s="2">
        <v>25.064</v>
      </c>
    </row>
    <row r="3157" spans="1:5" x14ac:dyDescent="0.25">
      <c r="A3157" s="32" t="s">
        <v>767</v>
      </c>
      <c r="B3157" s="7">
        <v>2000</v>
      </c>
      <c r="C3157" s="51" t="s">
        <v>703</v>
      </c>
      <c r="D3157" t="s">
        <v>738</v>
      </c>
      <c r="E3157" s="2">
        <v>24.923999999999999</v>
      </c>
    </row>
    <row r="3158" spans="1:5" x14ac:dyDescent="0.25">
      <c r="A3158" s="32" t="s">
        <v>767</v>
      </c>
      <c r="B3158" s="7">
        <v>2000</v>
      </c>
      <c r="C3158" s="51" t="s">
        <v>704</v>
      </c>
      <c r="D3158" t="s">
        <v>738</v>
      </c>
      <c r="E3158" s="2">
        <v>25.222000000000001</v>
      </c>
    </row>
    <row r="3159" spans="1:5" x14ac:dyDescent="0.25">
      <c r="A3159" s="32" t="s">
        <v>767</v>
      </c>
      <c r="B3159" s="7">
        <v>2000</v>
      </c>
      <c r="C3159" s="51" t="s">
        <v>705</v>
      </c>
      <c r="D3159" t="s">
        <v>738</v>
      </c>
      <c r="E3159" s="2">
        <v>23.861999999999998</v>
      </c>
    </row>
    <row r="3160" spans="1:5" x14ac:dyDescent="0.25">
      <c r="A3160" s="32" t="s">
        <v>767</v>
      </c>
      <c r="B3160" s="7">
        <v>2000</v>
      </c>
      <c r="C3160" s="51" t="s">
        <v>706</v>
      </c>
      <c r="D3160" t="s">
        <v>738</v>
      </c>
      <c r="E3160" s="2">
        <v>24.766999999999999</v>
      </c>
    </row>
    <row r="3161" spans="1:5" x14ac:dyDescent="0.25">
      <c r="A3161" s="32" t="s">
        <v>767</v>
      </c>
      <c r="B3161" s="7">
        <v>2001</v>
      </c>
      <c r="C3161" s="51" t="s">
        <v>713</v>
      </c>
      <c r="D3161" t="s">
        <v>738</v>
      </c>
      <c r="E3161" s="2">
        <v>25.538</v>
      </c>
    </row>
    <row r="3162" spans="1:5" x14ac:dyDescent="0.25">
      <c r="A3162" s="32" t="s">
        <v>767</v>
      </c>
      <c r="B3162" s="7">
        <v>2001</v>
      </c>
      <c r="C3162" s="51" t="s">
        <v>707</v>
      </c>
      <c r="D3162" t="s">
        <v>738</v>
      </c>
      <c r="E3162" s="2">
        <v>23.265000000000001</v>
      </c>
    </row>
    <row r="3163" spans="1:5" x14ac:dyDescent="0.25">
      <c r="A3163" s="32" t="s">
        <v>767</v>
      </c>
      <c r="B3163" s="7">
        <v>2001</v>
      </c>
      <c r="C3163" s="51" t="s">
        <v>708</v>
      </c>
      <c r="D3163" t="s">
        <v>738</v>
      </c>
      <c r="E3163" s="2">
        <v>27.13</v>
      </c>
    </row>
    <row r="3164" spans="1:5" x14ac:dyDescent="0.25">
      <c r="A3164" s="32" t="s">
        <v>767</v>
      </c>
      <c r="B3164" s="7">
        <v>2001</v>
      </c>
      <c r="C3164" s="51" t="s">
        <v>699</v>
      </c>
      <c r="D3164" t="s">
        <v>738</v>
      </c>
      <c r="E3164" s="2">
        <v>26.126000000000001</v>
      </c>
    </row>
    <row r="3165" spans="1:5" x14ac:dyDescent="0.25">
      <c r="A3165" s="32" t="s">
        <v>767</v>
      </c>
      <c r="B3165" s="7">
        <v>2001</v>
      </c>
      <c r="C3165" s="51" t="s">
        <v>709</v>
      </c>
      <c r="D3165" t="s">
        <v>738</v>
      </c>
      <c r="E3165" s="2">
        <v>26.902000000000001</v>
      </c>
    </row>
    <row r="3166" spans="1:5" x14ac:dyDescent="0.25">
      <c r="A3166" s="32" t="s">
        <v>767</v>
      </c>
      <c r="B3166" s="7">
        <v>2001</v>
      </c>
      <c r="C3166" s="51" t="s">
        <v>712</v>
      </c>
      <c r="D3166" t="s">
        <v>738</v>
      </c>
      <c r="E3166" s="2">
        <v>26.806999999999999</v>
      </c>
    </row>
    <row r="3167" spans="1:5" x14ac:dyDescent="0.25">
      <c r="A3167" s="32" t="s">
        <v>767</v>
      </c>
      <c r="B3167" s="7">
        <v>2001</v>
      </c>
      <c r="C3167" s="51" t="s">
        <v>710</v>
      </c>
      <c r="D3167" t="s">
        <v>738</v>
      </c>
      <c r="E3167" s="2">
        <v>27.356999999999999</v>
      </c>
    </row>
    <row r="3168" spans="1:5" x14ac:dyDescent="0.25">
      <c r="A3168" s="32" t="s">
        <v>767</v>
      </c>
      <c r="B3168" s="7">
        <v>2001</v>
      </c>
      <c r="C3168" s="51" t="s">
        <v>702</v>
      </c>
      <c r="D3168" t="s">
        <v>738</v>
      </c>
      <c r="E3168" s="2">
        <v>27.738</v>
      </c>
    </row>
    <row r="3169" spans="1:5" x14ac:dyDescent="0.25">
      <c r="A3169" s="32" t="s">
        <v>767</v>
      </c>
      <c r="B3169" s="7">
        <v>2001</v>
      </c>
      <c r="C3169" s="51" t="s">
        <v>703</v>
      </c>
      <c r="D3169" t="s">
        <v>738</v>
      </c>
      <c r="E3169" s="2">
        <v>26.3</v>
      </c>
    </row>
    <row r="3170" spans="1:5" x14ac:dyDescent="0.25">
      <c r="A3170" s="32" t="s">
        <v>767</v>
      </c>
      <c r="B3170" s="7">
        <v>2001</v>
      </c>
      <c r="C3170" s="51" t="s">
        <v>704</v>
      </c>
      <c r="D3170" t="s">
        <v>738</v>
      </c>
      <c r="E3170" s="2">
        <v>26.561</v>
      </c>
    </row>
    <row r="3171" spans="1:5" x14ac:dyDescent="0.25">
      <c r="A3171" s="32" t="s">
        <v>767</v>
      </c>
      <c r="B3171" s="7">
        <v>2001</v>
      </c>
      <c r="C3171" s="51" t="s">
        <v>705</v>
      </c>
      <c r="D3171" t="s">
        <v>738</v>
      </c>
      <c r="E3171" s="2">
        <v>25.552</v>
      </c>
    </row>
    <row r="3172" spans="1:5" x14ac:dyDescent="0.25">
      <c r="A3172" s="32" t="s">
        <v>767</v>
      </c>
      <c r="B3172" s="7">
        <v>2001</v>
      </c>
      <c r="C3172" s="51" t="s">
        <v>706</v>
      </c>
      <c r="D3172" t="s">
        <v>738</v>
      </c>
      <c r="E3172" s="2">
        <v>27.263999999999999</v>
      </c>
    </row>
    <row r="3173" spans="1:5" x14ac:dyDescent="0.25">
      <c r="A3173" s="32" t="s">
        <v>767</v>
      </c>
      <c r="B3173" s="7">
        <v>2002</v>
      </c>
      <c r="C3173" s="51" t="s">
        <v>713</v>
      </c>
      <c r="D3173" t="s">
        <v>738</v>
      </c>
      <c r="E3173" s="2">
        <v>27.25</v>
      </c>
    </row>
    <row r="3174" spans="1:5" x14ac:dyDescent="0.25">
      <c r="A3174" s="32" t="s">
        <v>767</v>
      </c>
      <c r="B3174" s="7">
        <v>2002</v>
      </c>
      <c r="C3174" s="51" t="s">
        <v>707</v>
      </c>
      <c r="D3174" t="s">
        <v>738</v>
      </c>
      <c r="E3174" s="2">
        <v>23.658000000000001</v>
      </c>
    </row>
    <row r="3175" spans="1:5" x14ac:dyDescent="0.25">
      <c r="A3175" s="32" t="s">
        <v>767</v>
      </c>
      <c r="B3175" s="7">
        <v>2002</v>
      </c>
      <c r="C3175" s="51" t="s">
        <v>708</v>
      </c>
      <c r="D3175" t="s">
        <v>738</v>
      </c>
      <c r="E3175" s="2">
        <v>26.422000000000001</v>
      </c>
    </row>
    <row r="3176" spans="1:5" x14ac:dyDescent="0.25">
      <c r="A3176" s="32" t="s">
        <v>767</v>
      </c>
      <c r="B3176" s="7">
        <v>2002</v>
      </c>
      <c r="C3176" s="51" t="s">
        <v>699</v>
      </c>
      <c r="D3176" t="s">
        <v>738</v>
      </c>
      <c r="E3176" s="2">
        <v>25.561</v>
      </c>
    </row>
    <row r="3177" spans="1:5" x14ac:dyDescent="0.25">
      <c r="A3177" s="32" t="s">
        <v>767</v>
      </c>
      <c r="B3177" s="7">
        <v>2002</v>
      </c>
      <c r="C3177" s="51" t="s">
        <v>709</v>
      </c>
      <c r="D3177" t="s">
        <v>738</v>
      </c>
      <c r="E3177" s="2">
        <v>26.684000000000001</v>
      </c>
    </row>
    <row r="3178" spans="1:5" x14ac:dyDescent="0.25">
      <c r="A3178" s="32" t="s">
        <v>767</v>
      </c>
      <c r="B3178" s="7">
        <v>2002</v>
      </c>
      <c r="C3178" s="51" t="s">
        <v>712</v>
      </c>
      <c r="D3178" t="s">
        <v>738</v>
      </c>
      <c r="E3178" s="2">
        <v>26.161000000000001</v>
      </c>
    </row>
    <row r="3179" spans="1:5" x14ac:dyDescent="0.25">
      <c r="A3179" s="32" t="s">
        <v>767</v>
      </c>
      <c r="B3179" s="7">
        <v>2002</v>
      </c>
      <c r="C3179" s="51" t="s">
        <v>710</v>
      </c>
      <c r="D3179" t="s">
        <v>738</v>
      </c>
      <c r="E3179" s="2">
        <v>26.13</v>
      </c>
    </row>
    <row r="3180" spans="1:5" x14ac:dyDescent="0.25">
      <c r="A3180" s="32" t="s">
        <v>767</v>
      </c>
      <c r="B3180" s="7">
        <v>2002</v>
      </c>
      <c r="C3180" s="51" t="s">
        <v>702</v>
      </c>
      <c r="D3180" t="s">
        <v>738</v>
      </c>
      <c r="E3180" s="2">
        <v>26.562999999999999</v>
      </c>
    </row>
    <row r="3181" spans="1:5" x14ac:dyDescent="0.25">
      <c r="A3181" s="32" t="s">
        <v>767</v>
      </c>
      <c r="B3181" s="7">
        <v>2002</v>
      </c>
      <c r="C3181" s="51" t="s">
        <v>703</v>
      </c>
      <c r="D3181" t="s">
        <v>738</v>
      </c>
      <c r="E3181" s="2">
        <v>25.943999999999999</v>
      </c>
    </row>
    <row r="3182" spans="1:5" x14ac:dyDescent="0.25">
      <c r="A3182" s="32" t="s">
        <v>767</v>
      </c>
      <c r="B3182" s="7">
        <v>2002</v>
      </c>
      <c r="C3182" s="51" t="s">
        <v>704</v>
      </c>
      <c r="D3182" t="s">
        <v>738</v>
      </c>
      <c r="E3182" s="2">
        <v>26.919</v>
      </c>
    </row>
    <row r="3183" spans="1:5" x14ac:dyDescent="0.25">
      <c r="A3183" s="32" t="s">
        <v>767</v>
      </c>
      <c r="B3183" s="7">
        <v>2002</v>
      </c>
      <c r="C3183" s="51" t="s">
        <v>705</v>
      </c>
      <c r="D3183" t="s">
        <v>738</v>
      </c>
      <c r="E3183" s="2">
        <v>27.024000000000001</v>
      </c>
    </row>
    <row r="3184" spans="1:5" x14ac:dyDescent="0.25">
      <c r="A3184" s="32" t="s">
        <v>767</v>
      </c>
      <c r="B3184" s="7">
        <v>2002</v>
      </c>
      <c r="C3184" s="51" t="s">
        <v>706</v>
      </c>
      <c r="D3184" t="s">
        <v>738</v>
      </c>
      <c r="E3184" s="2">
        <v>28.402000000000001</v>
      </c>
    </row>
    <row r="3185" spans="1:5" x14ac:dyDescent="0.25">
      <c r="A3185" s="32" t="s">
        <v>767</v>
      </c>
      <c r="B3185" s="7">
        <v>2003</v>
      </c>
      <c r="C3185" s="51" t="s">
        <v>713</v>
      </c>
      <c r="D3185" t="s">
        <v>738</v>
      </c>
      <c r="E3185" s="2">
        <v>28.603000000000002</v>
      </c>
    </row>
    <row r="3186" spans="1:5" x14ac:dyDescent="0.25">
      <c r="A3186" s="32" t="s">
        <v>767</v>
      </c>
      <c r="B3186" s="7">
        <v>2003</v>
      </c>
      <c r="C3186" s="51" t="s">
        <v>707</v>
      </c>
      <c r="D3186" t="s">
        <v>738</v>
      </c>
      <c r="E3186" s="2">
        <v>25.742000000000001</v>
      </c>
    </row>
    <row r="3187" spans="1:5" x14ac:dyDescent="0.25">
      <c r="A3187" s="32" t="s">
        <v>767</v>
      </c>
      <c r="B3187" s="7">
        <v>2003</v>
      </c>
      <c r="C3187" s="51" t="s">
        <v>708</v>
      </c>
      <c r="D3187" t="s">
        <v>738</v>
      </c>
      <c r="E3187" s="2">
        <v>30.045000000000002</v>
      </c>
    </row>
    <row r="3188" spans="1:5" x14ac:dyDescent="0.25">
      <c r="A3188" s="32" t="s">
        <v>767</v>
      </c>
      <c r="B3188" s="7">
        <v>2003</v>
      </c>
      <c r="C3188" s="51" t="s">
        <v>699</v>
      </c>
      <c r="D3188" t="s">
        <v>738</v>
      </c>
      <c r="E3188" s="2">
        <v>26.045000000000002</v>
      </c>
    </row>
    <row r="3189" spans="1:5" x14ac:dyDescent="0.25">
      <c r="A3189" s="32" t="s">
        <v>767</v>
      </c>
      <c r="B3189" s="7">
        <v>2003</v>
      </c>
      <c r="C3189" s="51" t="s">
        <v>709</v>
      </c>
      <c r="D3189" t="s">
        <v>738</v>
      </c>
      <c r="E3189" s="2">
        <v>28.965</v>
      </c>
    </row>
    <row r="3190" spans="1:5" x14ac:dyDescent="0.25">
      <c r="A3190" s="32" t="s">
        <v>767</v>
      </c>
      <c r="B3190" s="7">
        <v>2003</v>
      </c>
      <c r="C3190" s="51" t="s">
        <v>712</v>
      </c>
      <c r="D3190" t="s">
        <v>738</v>
      </c>
      <c r="E3190" s="2">
        <v>29.202999999999999</v>
      </c>
    </row>
    <row r="3191" spans="1:5" x14ac:dyDescent="0.25">
      <c r="A3191" s="32" t="s">
        <v>767</v>
      </c>
      <c r="B3191" s="7">
        <v>2003</v>
      </c>
      <c r="C3191" s="51" t="s">
        <v>710</v>
      </c>
      <c r="D3191" t="s">
        <v>738</v>
      </c>
      <c r="E3191" s="2">
        <v>26.404</v>
      </c>
    </row>
    <row r="3192" spans="1:5" x14ac:dyDescent="0.25">
      <c r="A3192" s="32" t="s">
        <v>767</v>
      </c>
      <c r="B3192" s="7">
        <v>2003</v>
      </c>
      <c r="C3192" s="51" t="s">
        <v>702</v>
      </c>
      <c r="D3192" t="s">
        <v>738</v>
      </c>
      <c r="E3192" s="2">
        <v>27.248000000000001</v>
      </c>
    </row>
    <row r="3193" spans="1:5" x14ac:dyDescent="0.25">
      <c r="A3193" s="32" t="s">
        <v>767</v>
      </c>
      <c r="B3193" s="7">
        <v>2003</v>
      </c>
      <c r="C3193" s="51" t="s">
        <v>703</v>
      </c>
      <c r="D3193" t="s">
        <v>738</v>
      </c>
      <c r="E3193" s="2">
        <v>27.103000000000002</v>
      </c>
    </row>
    <row r="3194" spans="1:5" x14ac:dyDescent="0.25">
      <c r="A3194" s="32" t="s">
        <v>767</v>
      </c>
      <c r="B3194" s="7">
        <v>2003</v>
      </c>
      <c r="C3194" s="51" t="s">
        <v>704</v>
      </c>
      <c r="D3194" t="s">
        <v>738</v>
      </c>
      <c r="E3194" s="2">
        <v>27.161999999999999</v>
      </c>
    </row>
    <row r="3195" spans="1:5" x14ac:dyDescent="0.25">
      <c r="A3195" s="32" t="s">
        <v>767</v>
      </c>
      <c r="B3195" s="7">
        <v>2003</v>
      </c>
      <c r="C3195" s="51" t="s">
        <v>705</v>
      </c>
      <c r="D3195" t="s">
        <v>738</v>
      </c>
      <c r="E3195" s="2">
        <v>26.745999999999999</v>
      </c>
    </row>
    <row r="3196" spans="1:5" x14ac:dyDescent="0.25">
      <c r="A3196" s="32" t="s">
        <v>767</v>
      </c>
      <c r="B3196" s="7">
        <v>2003</v>
      </c>
      <c r="C3196" s="51" t="s">
        <v>706</v>
      </c>
      <c r="D3196" t="s">
        <v>738</v>
      </c>
      <c r="E3196" s="2">
        <v>28.76</v>
      </c>
    </row>
    <row r="3197" spans="1:5" x14ac:dyDescent="0.25">
      <c r="A3197" s="32" t="s">
        <v>767</v>
      </c>
      <c r="B3197" s="7">
        <v>2004</v>
      </c>
      <c r="C3197" s="51" t="s">
        <v>713</v>
      </c>
      <c r="D3197" t="s">
        <v>738</v>
      </c>
      <c r="E3197" s="2">
        <v>26.305</v>
      </c>
    </row>
    <row r="3198" spans="1:5" x14ac:dyDescent="0.25">
      <c r="A3198" s="32" t="s">
        <v>767</v>
      </c>
      <c r="B3198" s="7">
        <v>2004</v>
      </c>
      <c r="C3198" s="51" t="s">
        <v>707</v>
      </c>
      <c r="D3198" t="s">
        <v>738</v>
      </c>
      <c r="E3198" s="2">
        <v>26.093</v>
      </c>
    </row>
    <row r="3199" spans="1:5" x14ac:dyDescent="0.25">
      <c r="A3199" s="32" t="s">
        <v>767</v>
      </c>
      <c r="B3199" s="7">
        <v>2004</v>
      </c>
      <c r="C3199" s="51" t="s">
        <v>708</v>
      </c>
      <c r="D3199" t="s">
        <v>738</v>
      </c>
      <c r="E3199" s="2">
        <v>26.277999999999999</v>
      </c>
    </row>
    <row r="3200" spans="1:5" x14ac:dyDescent="0.25">
      <c r="A3200" s="32" t="s">
        <v>767</v>
      </c>
      <c r="B3200" s="7">
        <v>2004</v>
      </c>
      <c r="C3200" s="51" t="s">
        <v>699</v>
      </c>
      <c r="D3200" t="s">
        <v>738</v>
      </c>
      <c r="E3200" s="2">
        <v>26.981999999999999</v>
      </c>
    </row>
    <row r="3201" spans="1:5" x14ac:dyDescent="0.25">
      <c r="A3201" s="32" t="s">
        <v>767</v>
      </c>
      <c r="B3201" s="7">
        <v>2004</v>
      </c>
      <c r="C3201" s="51" t="s">
        <v>709</v>
      </c>
      <c r="D3201" t="s">
        <v>738</v>
      </c>
      <c r="E3201" s="2">
        <v>27.704999999999998</v>
      </c>
    </row>
    <row r="3202" spans="1:5" x14ac:dyDescent="0.25">
      <c r="A3202" s="32" t="s">
        <v>767</v>
      </c>
      <c r="B3202" s="7">
        <v>2004</v>
      </c>
      <c r="C3202" s="51" t="s">
        <v>712</v>
      </c>
      <c r="D3202" t="s">
        <v>738</v>
      </c>
      <c r="E3202" s="2">
        <v>26.968</v>
      </c>
    </row>
    <row r="3203" spans="1:5" x14ac:dyDescent="0.25">
      <c r="A3203" s="32" t="s">
        <v>767</v>
      </c>
      <c r="B3203" s="7">
        <v>2004</v>
      </c>
      <c r="C3203" s="51" t="s">
        <v>710</v>
      </c>
      <c r="D3203" t="s">
        <v>738</v>
      </c>
      <c r="E3203" s="2">
        <v>27.234999999999999</v>
      </c>
    </row>
    <row r="3204" spans="1:5" x14ac:dyDescent="0.25">
      <c r="A3204" s="32" t="s">
        <v>767</v>
      </c>
      <c r="B3204" s="7">
        <v>2004</v>
      </c>
      <c r="C3204" s="51" t="s">
        <v>702</v>
      </c>
      <c r="D3204" t="s">
        <v>738</v>
      </c>
      <c r="E3204" s="2">
        <v>27.05</v>
      </c>
    </row>
    <row r="3205" spans="1:5" x14ac:dyDescent="0.25">
      <c r="A3205" s="32" t="s">
        <v>767</v>
      </c>
      <c r="B3205" s="7">
        <v>2004</v>
      </c>
      <c r="C3205" s="51" t="s">
        <v>703</v>
      </c>
      <c r="D3205" t="s">
        <v>738</v>
      </c>
      <c r="E3205" s="2">
        <v>25.834</v>
      </c>
    </row>
    <row r="3206" spans="1:5" x14ac:dyDescent="0.25">
      <c r="A3206" s="32" t="s">
        <v>767</v>
      </c>
      <c r="B3206" s="7">
        <v>2004</v>
      </c>
      <c r="C3206" s="51" t="s">
        <v>704</v>
      </c>
      <c r="D3206" t="s">
        <v>738</v>
      </c>
      <c r="E3206" s="2">
        <v>26.274999999999999</v>
      </c>
    </row>
    <row r="3207" spans="1:5" x14ac:dyDescent="0.25">
      <c r="A3207" s="32" t="s">
        <v>767</v>
      </c>
      <c r="B3207" s="7">
        <v>2004</v>
      </c>
      <c r="C3207" s="51" t="s">
        <v>705</v>
      </c>
      <c r="D3207" t="s">
        <v>738</v>
      </c>
      <c r="E3207" s="2">
        <v>26.062999999999999</v>
      </c>
    </row>
    <row r="3208" spans="1:5" x14ac:dyDescent="0.25">
      <c r="A3208" s="32" t="s">
        <v>767</v>
      </c>
      <c r="B3208" s="7">
        <v>2004</v>
      </c>
      <c r="C3208" s="51" t="s">
        <v>706</v>
      </c>
      <c r="D3208" t="s">
        <v>738</v>
      </c>
      <c r="E3208" s="2">
        <v>27.248000000000001</v>
      </c>
    </row>
    <row r="3209" spans="1:5" x14ac:dyDescent="0.25">
      <c r="A3209" s="32" t="s">
        <v>767</v>
      </c>
      <c r="B3209" s="7">
        <v>2005</v>
      </c>
      <c r="C3209" s="51" t="s">
        <v>713</v>
      </c>
      <c r="D3209" t="s">
        <v>738</v>
      </c>
      <c r="E3209" s="2">
        <v>27.923999999999999</v>
      </c>
    </row>
    <row r="3210" spans="1:5" x14ac:dyDescent="0.25">
      <c r="A3210" s="32" t="s">
        <v>767</v>
      </c>
      <c r="B3210" s="7">
        <v>2005</v>
      </c>
      <c r="C3210" s="51" t="s">
        <v>707</v>
      </c>
      <c r="D3210" t="s">
        <v>738</v>
      </c>
      <c r="E3210" s="2">
        <v>24.753</v>
      </c>
    </row>
    <row r="3211" spans="1:5" x14ac:dyDescent="0.25">
      <c r="A3211" s="32" t="s">
        <v>767</v>
      </c>
      <c r="B3211" s="7">
        <v>2005</v>
      </c>
      <c r="C3211" s="51" t="s">
        <v>708</v>
      </c>
      <c r="D3211" t="s">
        <v>738</v>
      </c>
      <c r="E3211" s="2">
        <v>28.012</v>
      </c>
    </row>
    <row r="3212" spans="1:5" x14ac:dyDescent="0.25">
      <c r="A3212" s="32" t="s">
        <v>767</v>
      </c>
      <c r="B3212" s="7">
        <v>2005</v>
      </c>
      <c r="C3212" s="51" t="s">
        <v>699</v>
      </c>
      <c r="D3212" t="s">
        <v>738</v>
      </c>
      <c r="E3212" s="2">
        <v>28.119</v>
      </c>
    </row>
    <row r="3213" spans="1:5" x14ac:dyDescent="0.25">
      <c r="A3213" s="32" t="s">
        <v>767</v>
      </c>
      <c r="B3213" s="7">
        <v>2005</v>
      </c>
      <c r="C3213" s="51" t="s">
        <v>709</v>
      </c>
      <c r="D3213" t="s">
        <v>738</v>
      </c>
      <c r="E3213" s="2">
        <v>28.981999999999999</v>
      </c>
    </row>
    <row r="3214" spans="1:5" x14ac:dyDescent="0.25">
      <c r="A3214" s="32" t="s">
        <v>767</v>
      </c>
      <c r="B3214" s="7">
        <v>2005</v>
      </c>
      <c r="C3214" s="51" t="s">
        <v>712</v>
      </c>
      <c r="D3214" t="s">
        <v>738</v>
      </c>
      <c r="E3214" s="2">
        <v>28.181999999999999</v>
      </c>
    </row>
    <row r="3215" spans="1:5" x14ac:dyDescent="0.25">
      <c r="A3215" s="32" t="s">
        <v>767</v>
      </c>
      <c r="B3215" s="7">
        <v>2005</v>
      </c>
      <c r="C3215" s="51" t="s">
        <v>710</v>
      </c>
      <c r="D3215" t="s">
        <v>738</v>
      </c>
      <c r="E3215" s="2">
        <v>27.951000000000001</v>
      </c>
    </row>
    <row r="3216" spans="1:5" x14ac:dyDescent="0.25">
      <c r="A3216" s="32" t="s">
        <v>767</v>
      </c>
      <c r="B3216" s="7">
        <v>2005</v>
      </c>
      <c r="C3216" s="51" t="s">
        <v>702</v>
      </c>
      <c r="D3216" t="s">
        <v>738</v>
      </c>
      <c r="E3216" s="2">
        <v>27.529</v>
      </c>
    </row>
    <row r="3217" spans="1:5" x14ac:dyDescent="0.25">
      <c r="A3217" s="32" t="s">
        <v>767</v>
      </c>
      <c r="B3217" s="7">
        <v>2005</v>
      </c>
      <c r="C3217" s="51" t="s">
        <v>703</v>
      </c>
      <c r="D3217" t="s">
        <v>738</v>
      </c>
      <c r="E3217" s="2">
        <v>35.744</v>
      </c>
    </row>
    <row r="3218" spans="1:5" x14ac:dyDescent="0.25">
      <c r="A3218" s="32" t="s">
        <v>767</v>
      </c>
      <c r="B3218" s="7">
        <v>2005</v>
      </c>
      <c r="C3218" s="51" t="s">
        <v>704</v>
      </c>
      <c r="D3218" t="s">
        <v>738</v>
      </c>
      <c r="E3218" s="2">
        <v>28.574000000000002</v>
      </c>
    </row>
    <row r="3219" spans="1:5" x14ac:dyDescent="0.25">
      <c r="A3219" s="32" t="s">
        <v>767</v>
      </c>
      <c r="B3219" s="7">
        <v>2005</v>
      </c>
      <c r="C3219" s="51" t="s">
        <v>705</v>
      </c>
      <c r="D3219" t="s">
        <v>738</v>
      </c>
      <c r="E3219" s="2">
        <v>25.786000000000001</v>
      </c>
    </row>
    <row r="3220" spans="1:5" x14ac:dyDescent="0.25">
      <c r="A3220" s="32" t="s">
        <v>767</v>
      </c>
      <c r="B3220" s="7">
        <v>2005</v>
      </c>
      <c r="C3220" s="51" t="s">
        <v>706</v>
      </c>
      <c r="D3220" t="s">
        <v>738</v>
      </c>
      <c r="E3220" s="2">
        <v>27.632000000000001</v>
      </c>
    </row>
    <row r="3221" spans="1:5" x14ac:dyDescent="0.25">
      <c r="A3221" s="32" t="s">
        <v>767</v>
      </c>
      <c r="B3221" s="7">
        <v>2006</v>
      </c>
      <c r="C3221" s="51" t="s">
        <v>713</v>
      </c>
      <c r="D3221" t="s">
        <v>738</v>
      </c>
      <c r="E3221" s="2">
        <v>27.387</v>
      </c>
    </row>
    <row r="3222" spans="1:5" x14ac:dyDescent="0.25">
      <c r="A3222" s="32" t="s">
        <v>767</v>
      </c>
      <c r="B3222" s="7">
        <v>2006</v>
      </c>
      <c r="C3222" s="51" t="s">
        <v>707</v>
      </c>
      <c r="D3222" t="s">
        <v>738</v>
      </c>
      <c r="E3222" s="2">
        <v>24.603000000000002</v>
      </c>
    </row>
    <row r="3223" spans="1:5" x14ac:dyDescent="0.25">
      <c r="A3223" s="32" t="s">
        <v>767</v>
      </c>
      <c r="B3223" s="7">
        <v>2006</v>
      </c>
      <c r="C3223" s="51" t="s">
        <v>708</v>
      </c>
      <c r="D3223" t="s">
        <v>738</v>
      </c>
      <c r="E3223" s="2">
        <v>26.334</v>
      </c>
    </row>
    <row r="3224" spans="1:5" x14ac:dyDescent="0.25">
      <c r="A3224" s="32" t="s">
        <v>767</v>
      </c>
      <c r="B3224" s="7">
        <v>2006</v>
      </c>
      <c r="C3224" s="51" t="s">
        <v>699</v>
      </c>
      <c r="D3224" t="s">
        <v>738</v>
      </c>
      <c r="E3224" s="2">
        <v>25.167000000000002</v>
      </c>
    </row>
    <row r="3225" spans="1:5" x14ac:dyDescent="0.25">
      <c r="A3225" s="32" t="s">
        <v>767</v>
      </c>
      <c r="B3225" s="7">
        <v>2006</v>
      </c>
      <c r="C3225" s="51" t="s">
        <v>709</v>
      </c>
      <c r="D3225" t="s">
        <v>738</v>
      </c>
      <c r="E3225" s="2">
        <v>26.635000000000002</v>
      </c>
    </row>
    <row r="3226" spans="1:5" x14ac:dyDescent="0.25">
      <c r="A3226" s="32" t="s">
        <v>767</v>
      </c>
      <c r="B3226" s="7">
        <v>2006</v>
      </c>
      <c r="C3226" s="51" t="s">
        <v>712</v>
      </c>
      <c r="D3226" t="s">
        <v>738</v>
      </c>
      <c r="E3226" s="2">
        <v>27.975000000000001</v>
      </c>
    </row>
    <row r="3227" spans="1:5" x14ac:dyDescent="0.25">
      <c r="A3227" s="32" t="s">
        <v>767</v>
      </c>
      <c r="B3227" s="7">
        <v>2006</v>
      </c>
      <c r="C3227" s="51" t="s">
        <v>710</v>
      </c>
      <c r="D3227" t="s">
        <v>738</v>
      </c>
      <c r="E3227" s="2">
        <v>27.285</v>
      </c>
    </row>
    <row r="3228" spans="1:5" x14ac:dyDescent="0.25">
      <c r="A3228" s="32" t="s">
        <v>767</v>
      </c>
      <c r="B3228" s="7">
        <v>2006</v>
      </c>
      <c r="C3228" s="51" t="s">
        <v>702</v>
      </c>
      <c r="D3228" t="s">
        <v>738</v>
      </c>
      <c r="E3228" s="2">
        <v>26.693000000000001</v>
      </c>
    </row>
    <row r="3229" spans="1:5" x14ac:dyDescent="0.25">
      <c r="A3229" s="32" t="s">
        <v>767</v>
      </c>
      <c r="B3229" s="7">
        <v>2006</v>
      </c>
      <c r="C3229" s="51" t="s">
        <v>703</v>
      </c>
      <c r="D3229" t="s">
        <v>738</v>
      </c>
      <c r="E3229" s="2">
        <v>27.303999999999998</v>
      </c>
    </row>
    <row r="3230" spans="1:5" x14ac:dyDescent="0.25">
      <c r="A3230" s="32" t="s">
        <v>767</v>
      </c>
      <c r="B3230" s="7">
        <v>2006</v>
      </c>
      <c r="C3230" s="51" t="s">
        <v>704</v>
      </c>
      <c r="D3230" t="s">
        <v>738</v>
      </c>
      <c r="E3230" s="2">
        <v>27.363</v>
      </c>
    </row>
    <row r="3231" spans="1:5" x14ac:dyDescent="0.25">
      <c r="A3231" s="32" t="s">
        <v>767</v>
      </c>
      <c r="B3231" s="7">
        <v>2006</v>
      </c>
      <c r="C3231" s="51" t="s">
        <v>705</v>
      </c>
      <c r="D3231" t="s">
        <v>738</v>
      </c>
      <c r="E3231" s="2">
        <v>27.084</v>
      </c>
    </row>
    <row r="3232" spans="1:5" x14ac:dyDescent="0.25">
      <c r="A3232" s="32" t="s">
        <v>767</v>
      </c>
      <c r="B3232" s="7">
        <v>2006</v>
      </c>
      <c r="C3232" s="51" t="s">
        <v>706</v>
      </c>
      <c r="D3232" t="s">
        <v>738</v>
      </c>
      <c r="E3232" s="2">
        <v>26.257999999999999</v>
      </c>
    </row>
    <row r="3233" spans="1:5" x14ac:dyDescent="0.25">
      <c r="A3233" s="32" t="s">
        <v>767</v>
      </c>
      <c r="B3233" s="7">
        <v>2007</v>
      </c>
      <c r="C3233" s="51" t="s">
        <v>713</v>
      </c>
      <c r="D3233" t="s">
        <v>738</v>
      </c>
      <c r="E3233" s="2">
        <v>26.954999999999998</v>
      </c>
    </row>
    <row r="3234" spans="1:5" x14ac:dyDescent="0.25">
      <c r="A3234" s="32" t="s">
        <v>767</v>
      </c>
      <c r="B3234" s="7">
        <v>2007</v>
      </c>
      <c r="C3234" s="51" t="s">
        <v>707</v>
      </c>
      <c r="D3234" t="s">
        <v>738</v>
      </c>
      <c r="E3234" s="2">
        <v>24.472999999999999</v>
      </c>
    </row>
    <row r="3235" spans="1:5" x14ac:dyDescent="0.25">
      <c r="A3235" s="32" t="s">
        <v>767</v>
      </c>
      <c r="B3235" s="7">
        <v>2007</v>
      </c>
      <c r="C3235" s="51" t="s">
        <v>708</v>
      </c>
      <c r="D3235" t="s">
        <v>738</v>
      </c>
      <c r="E3235" s="2">
        <v>28.47</v>
      </c>
    </row>
    <row r="3236" spans="1:5" x14ac:dyDescent="0.25">
      <c r="A3236" s="32" t="s">
        <v>767</v>
      </c>
      <c r="B3236" s="7">
        <v>2007</v>
      </c>
      <c r="C3236" s="51" t="s">
        <v>699</v>
      </c>
      <c r="D3236" t="s">
        <v>738</v>
      </c>
      <c r="E3236" s="2">
        <v>26.853999999999999</v>
      </c>
    </row>
    <row r="3237" spans="1:5" x14ac:dyDescent="0.25">
      <c r="A3237" s="32" t="s">
        <v>767</v>
      </c>
      <c r="B3237" s="7">
        <v>2007</v>
      </c>
      <c r="C3237" s="51" t="s">
        <v>709</v>
      </c>
      <c r="D3237" t="s">
        <v>738</v>
      </c>
      <c r="E3237" s="2">
        <v>27.347000000000001</v>
      </c>
    </row>
    <row r="3238" spans="1:5" x14ac:dyDescent="0.25">
      <c r="A3238" s="32" t="s">
        <v>767</v>
      </c>
      <c r="B3238" s="7">
        <v>2007</v>
      </c>
      <c r="C3238" s="51" t="s">
        <v>712</v>
      </c>
      <c r="D3238" t="s">
        <v>738</v>
      </c>
      <c r="E3238" s="2">
        <v>26.702000000000002</v>
      </c>
    </row>
    <row r="3239" spans="1:5" x14ac:dyDescent="0.25">
      <c r="A3239" s="32" t="s">
        <v>767</v>
      </c>
      <c r="B3239" s="7">
        <v>2007</v>
      </c>
      <c r="C3239" s="51" t="s">
        <v>710</v>
      </c>
      <c r="D3239" t="s">
        <v>738</v>
      </c>
      <c r="E3239" s="2">
        <v>26.73</v>
      </c>
    </row>
    <row r="3240" spans="1:5" x14ac:dyDescent="0.25">
      <c r="A3240" s="32" t="s">
        <v>767</v>
      </c>
      <c r="B3240" s="7">
        <v>2007</v>
      </c>
      <c r="C3240" s="51" t="s">
        <v>702</v>
      </c>
      <c r="D3240" t="s">
        <v>738</v>
      </c>
      <c r="E3240" s="2">
        <v>27.114000000000001</v>
      </c>
    </row>
    <row r="3241" spans="1:5" x14ac:dyDescent="0.25">
      <c r="A3241" s="32" t="s">
        <v>767</v>
      </c>
      <c r="B3241" s="7">
        <v>2007</v>
      </c>
      <c r="C3241" s="51" t="s">
        <v>703</v>
      </c>
      <c r="D3241" t="s">
        <v>738</v>
      </c>
      <c r="E3241" s="2">
        <v>25.608000000000001</v>
      </c>
    </row>
    <row r="3242" spans="1:5" x14ac:dyDescent="0.25">
      <c r="A3242" s="32" t="s">
        <v>767</v>
      </c>
      <c r="B3242" s="7">
        <v>2007</v>
      </c>
      <c r="C3242" s="51" t="s">
        <v>704</v>
      </c>
      <c r="D3242" t="s">
        <v>738</v>
      </c>
      <c r="E3242" s="2">
        <v>26.207999999999998</v>
      </c>
    </row>
    <row r="3243" spans="1:5" x14ac:dyDescent="0.25">
      <c r="A3243" s="32" t="s">
        <v>767</v>
      </c>
      <c r="B3243" s="7">
        <v>2007</v>
      </c>
      <c r="C3243" s="51" t="s">
        <v>705</v>
      </c>
      <c r="D3243" t="s">
        <v>738</v>
      </c>
      <c r="E3243" s="2">
        <v>24.481000000000002</v>
      </c>
    </row>
    <row r="3244" spans="1:5" x14ac:dyDescent="0.25">
      <c r="A3244" s="32" t="s">
        <v>767</v>
      </c>
      <c r="B3244" s="7">
        <v>2007</v>
      </c>
      <c r="C3244" s="51" t="s">
        <v>706</v>
      </c>
      <c r="D3244" t="s">
        <v>738</v>
      </c>
      <c r="E3244" s="2">
        <v>26.928000000000001</v>
      </c>
    </row>
    <row r="3245" spans="1:5" x14ac:dyDescent="0.25">
      <c r="A3245" s="32" t="s">
        <v>767</v>
      </c>
      <c r="B3245" s="7">
        <v>2008</v>
      </c>
      <c r="C3245" s="51" t="s">
        <v>713</v>
      </c>
      <c r="D3245" t="s">
        <v>738</v>
      </c>
      <c r="E3245" s="2">
        <v>25.219000000000001</v>
      </c>
    </row>
    <row r="3246" spans="1:5" x14ac:dyDescent="0.25">
      <c r="A3246" s="32" t="s">
        <v>767</v>
      </c>
      <c r="B3246" s="7">
        <v>2008</v>
      </c>
      <c r="C3246" s="51" t="s">
        <v>707</v>
      </c>
      <c r="D3246" t="s">
        <v>738</v>
      </c>
      <c r="E3246" s="2">
        <v>26.579000000000001</v>
      </c>
    </row>
    <row r="3247" spans="1:5" x14ac:dyDescent="0.25">
      <c r="A3247" s="32" t="s">
        <v>767</v>
      </c>
      <c r="B3247" s="7">
        <v>2008</v>
      </c>
      <c r="C3247" s="51" t="s">
        <v>708</v>
      </c>
      <c r="D3247" t="s">
        <v>738</v>
      </c>
      <c r="E3247" s="2">
        <v>24.414000000000001</v>
      </c>
    </row>
    <row r="3248" spans="1:5" x14ac:dyDescent="0.25">
      <c r="A3248" s="32" t="s">
        <v>767</v>
      </c>
      <c r="B3248" s="7">
        <v>2008</v>
      </c>
      <c r="C3248" s="51" t="s">
        <v>699</v>
      </c>
      <c r="D3248" t="s">
        <v>738</v>
      </c>
      <c r="E3248" s="2">
        <v>26.824999999999999</v>
      </c>
    </row>
    <row r="3249" spans="1:5" x14ac:dyDescent="0.25">
      <c r="A3249" s="32" t="s">
        <v>767</v>
      </c>
      <c r="B3249" s="7">
        <v>2008</v>
      </c>
      <c r="C3249" s="51" t="s">
        <v>709</v>
      </c>
      <c r="D3249" t="s">
        <v>738</v>
      </c>
      <c r="E3249" s="2">
        <v>29.89</v>
      </c>
    </row>
    <row r="3250" spans="1:5" x14ac:dyDescent="0.25">
      <c r="A3250" s="32" t="s">
        <v>767</v>
      </c>
      <c r="B3250" s="7">
        <v>2008</v>
      </c>
      <c r="C3250" s="51" t="s">
        <v>712</v>
      </c>
      <c r="D3250" t="s">
        <v>738</v>
      </c>
      <c r="E3250" s="2">
        <v>25.056999999999999</v>
      </c>
    </row>
    <row r="3251" spans="1:5" x14ac:dyDescent="0.25">
      <c r="A3251" s="32" t="s">
        <v>767</v>
      </c>
      <c r="B3251" s="7">
        <v>2008</v>
      </c>
      <c r="C3251" s="51" t="s">
        <v>710</v>
      </c>
      <c r="D3251" t="s">
        <v>738</v>
      </c>
      <c r="E3251" s="2">
        <v>26.103999999999999</v>
      </c>
    </row>
    <row r="3252" spans="1:5" x14ac:dyDescent="0.25">
      <c r="A3252" s="32" t="s">
        <v>767</v>
      </c>
      <c r="B3252" s="7">
        <v>2008</v>
      </c>
      <c r="C3252" s="51" t="s">
        <v>702</v>
      </c>
      <c r="D3252" t="s">
        <v>738</v>
      </c>
      <c r="E3252" s="2">
        <v>26.805</v>
      </c>
    </row>
    <row r="3253" spans="1:5" x14ac:dyDescent="0.25">
      <c r="A3253" s="32" t="s">
        <v>767</v>
      </c>
      <c r="B3253" s="7">
        <v>2008</v>
      </c>
      <c r="C3253" s="51" t="s">
        <v>703</v>
      </c>
      <c r="D3253" t="s">
        <v>738</v>
      </c>
      <c r="E3253" s="2">
        <v>26.018999999999998</v>
      </c>
    </row>
    <row r="3254" spans="1:5" x14ac:dyDescent="0.25">
      <c r="A3254" s="32" t="s">
        <v>767</v>
      </c>
      <c r="B3254" s="7">
        <v>2008</v>
      </c>
      <c r="C3254" s="51" t="s">
        <v>704</v>
      </c>
      <c r="D3254" t="s">
        <v>738</v>
      </c>
      <c r="E3254" s="2">
        <v>27.821999999999999</v>
      </c>
    </row>
    <row r="3255" spans="1:5" x14ac:dyDescent="0.25">
      <c r="A3255" s="32" t="s">
        <v>767</v>
      </c>
      <c r="B3255" s="7">
        <v>2008</v>
      </c>
      <c r="C3255" s="51" t="s">
        <v>705</v>
      </c>
      <c r="D3255" t="s">
        <v>738</v>
      </c>
      <c r="E3255" s="2">
        <v>23.513999999999999</v>
      </c>
    </row>
    <row r="3256" spans="1:5" x14ac:dyDescent="0.25">
      <c r="A3256" s="32" t="s">
        <v>767</v>
      </c>
      <c r="B3256" s="7">
        <v>2008</v>
      </c>
      <c r="C3256" s="51" t="s">
        <v>706</v>
      </c>
      <c r="D3256" t="s">
        <v>738</v>
      </c>
      <c r="E3256" s="2">
        <v>25.626000000000001</v>
      </c>
    </row>
    <row r="3257" spans="1:5" x14ac:dyDescent="0.25">
      <c r="A3257" s="32" t="s">
        <v>767</v>
      </c>
      <c r="B3257" s="7">
        <v>2009</v>
      </c>
      <c r="C3257" s="51" t="s">
        <v>713</v>
      </c>
      <c r="D3257" t="s">
        <v>738</v>
      </c>
      <c r="E3257" s="2">
        <v>30.079000000000001</v>
      </c>
    </row>
    <row r="3258" spans="1:5" x14ac:dyDescent="0.25">
      <c r="A3258" s="32" t="s">
        <v>767</v>
      </c>
      <c r="B3258" s="7">
        <v>2009</v>
      </c>
      <c r="C3258" s="51" t="s">
        <v>707</v>
      </c>
      <c r="D3258" t="s">
        <v>738</v>
      </c>
      <c r="E3258" s="2">
        <v>24.756</v>
      </c>
    </row>
    <row r="3259" spans="1:5" x14ac:dyDescent="0.25">
      <c r="A3259" s="32" t="s">
        <v>767</v>
      </c>
      <c r="B3259" s="7">
        <v>2009</v>
      </c>
      <c r="C3259" s="51" t="s">
        <v>708</v>
      </c>
      <c r="D3259" t="s">
        <v>738</v>
      </c>
      <c r="E3259" s="2">
        <v>25.236999999999998</v>
      </c>
    </row>
    <row r="3260" spans="1:5" x14ac:dyDescent="0.25">
      <c r="A3260" s="32" t="s">
        <v>767</v>
      </c>
      <c r="B3260" s="7">
        <v>2009</v>
      </c>
      <c r="C3260" s="51" t="s">
        <v>699</v>
      </c>
      <c r="D3260" t="s">
        <v>738</v>
      </c>
      <c r="E3260" s="2">
        <v>25.26</v>
      </c>
    </row>
    <row r="3261" spans="1:5" x14ac:dyDescent="0.25">
      <c r="A3261" s="32" t="s">
        <v>767</v>
      </c>
      <c r="B3261" s="7">
        <v>2009</v>
      </c>
      <c r="C3261" s="51" t="s">
        <v>709</v>
      </c>
      <c r="D3261" t="s">
        <v>738</v>
      </c>
      <c r="E3261" s="2">
        <v>32.438000000000002</v>
      </c>
    </row>
    <row r="3262" spans="1:5" x14ac:dyDescent="0.25">
      <c r="A3262" s="32" t="s">
        <v>767</v>
      </c>
      <c r="B3262" s="7">
        <v>2009</v>
      </c>
      <c r="C3262" s="51" t="s">
        <v>712</v>
      </c>
      <c r="D3262" t="s">
        <v>738</v>
      </c>
      <c r="E3262" s="2">
        <v>30.899000000000001</v>
      </c>
    </row>
    <row r="3263" spans="1:5" x14ac:dyDescent="0.25">
      <c r="A3263" s="32" t="s">
        <v>767</v>
      </c>
      <c r="B3263" s="7">
        <v>2009</v>
      </c>
      <c r="C3263" s="51" t="s">
        <v>710</v>
      </c>
      <c r="D3263" t="s">
        <v>738</v>
      </c>
      <c r="E3263" s="2">
        <v>30.891999999999999</v>
      </c>
    </row>
    <row r="3264" spans="1:5" x14ac:dyDescent="0.25">
      <c r="A3264" s="32" t="s">
        <v>767</v>
      </c>
      <c r="B3264" s="7">
        <v>2009</v>
      </c>
      <c r="C3264" s="51" t="s">
        <v>702</v>
      </c>
      <c r="D3264" t="s">
        <v>738</v>
      </c>
      <c r="E3264" s="2">
        <v>26.725000000000001</v>
      </c>
    </row>
    <row r="3265" spans="1:5" x14ac:dyDescent="0.25">
      <c r="A3265" s="32" t="s">
        <v>767</v>
      </c>
      <c r="B3265" s="7">
        <v>2009</v>
      </c>
      <c r="C3265" s="51" t="s">
        <v>703</v>
      </c>
      <c r="D3265" t="s">
        <v>738</v>
      </c>
      <c r="E3265" s="2">
        <v>25.265000000000001</v>
      </c>
    </row>
    <row r="3266" spans="1:5" x14ac:dyDescent="0.25">
      <c r="A3266" s="32" t="s">
        <v>767</v>
      </c>
      <c r="B3266" s="7">
        <v>2009</v>
      </c>
      <c r="C3266" s="51" t="s">
        <v>704</v>
      </c>
      <c r="D3266" t="s">
        <v>738</v>
      </c>
      <c r="E3266" s="2">
        <v>30.423999999999999</v>
      </c>
    </row>
    <row r="3267" spans="1:5" x14ac:dyDescent="0.25">
      <c r="A3267" s="32" t="s">
        <v>767</v>
      </c>
      <c r="B3267" s="7">
        <v>2009</v>
      </c>
      <c r="C3267" s="51" t="s">
        <v>705</v>
      </c>
      <c r="D3267" t="s">
        <v>738</v>
      </c>
      <c r="E3267" s="2">
        <v>26.396000000000001</v>
      </c>
    </row>
    <row r="3268" spans="1:5" x14ac:dyDescent="0.25">
      <c r="A3268" s="32" t="s">
        <v>767</v>
      </c>
      <c r="B3268" s="7">
        <v>2009</v>
      </c>
      <c r="C3268" s="51" t="s">
        <v>706</v>
      </c>
      <c r="D3268" t="s">
        <v>738</v>
      </c>
      <c r="E3268" s="2">
        <v>32.664000000000001</v>
      </c>
    </row>
    <row r="3269" spans="1:5" x14ac:dyDescent="0.25">
      <c r="A3269" s="32" t="s">
        <v>767</v>
      </c>
      <c r="B3269" s="7">
        <v>2010</v>
      </c>
      <c r="C3269" s="51" t="s">
        <v>713</v>
      </c>
      <c r="D3269" t="s">
        <v>738</v>
      </c>
      <c r="E3269" s="2">
        <v>25.303999999999998</v>
      </c>
    </row>
    <row r="3270" spans="1:5" x14ac:dyDescent="0.25">
      <c r="A3270" s="32" t="s">
        <v>767</v>
      </c>
      <c r="B3270" s="7">
        <v>2010</v>
      </c>
      <c r="C3270" s="51" t="s">
        <v>707</v>
      </c>
      <c r="D3270" t="s">
        <v>738</v>
      </c>
      <c r="E3270" s="2">
        <v>25.693999999999999</v>
      </c>
    </row>
    <row r="3271" spans="1:5" x14ac:dyDescent="0.25">
      <c r="A3271" s="32" t="s">
        <v>767</v>
      </c>
      <c r="B3271" s="7">
        <v>2010</v>
      </c>
      <c r="C3271" s="51" t="s">
        <v>708</v>
      </c>
      <c r="D3271" t="s">
        <v>738</v>
      </c>
      <c r="E3271" s="2">
        <v>29.559000000000001</v>
      </c>
    </row>
    <row r="3272" spans="1:5" x14ac:dyDescent="0.25">
      <c r="A3272" s="32" t="s">
        <v>767</v>
      </c>
      <c r="B3272" s="7">
        <v>2010</v>
      </c>
      <c r="C3272" s="51" t="s">
        <v>699</v>
      </c>
      <c r="D3272" t="s">
        <v>738</v>
      </c>
      <c r="E3272" s="2">
        <v>28.268000000000001</v>
      </c>
    </row>
    <row r="3273" spans="1:5" x14ac:dyDescent="0.25">
      <c r="A3273" s="32" t="s">
        <v>767</v>
      </c>
      <c r="B3273" s="7">
        <v>2010</v>
      </c>
      <c r="C3273" s="51" t="s">
        <v>709</v>
      </c>
      <c r="D3273" t="s">
        <v>738</v>
      </c>
      <c r="E3273" s="2">
        <v>26.28</v>
      </c>
    </row>
    <row r="3274" spans="1:5" x14ac:dyDescent="0.25">
      <c r="A3274" s="32" t="s">
        <v>767</v>
      </c>
      <c r="B3274" s="7">
        <v>2010</v>
      </c>
      <c r="C3274" s="51" t="s">
        <v>712</v>
      </c>
      <c r="D3274" t="s">
        <v>738</v>
      </c>
      <c r="E3274" s="2">
        <v>27.023</v>
      </c>
    </row>
    <row r="3275" spans="1:5" x14ac:dyDescent="0.25">
      <c r="A3275" s="32" t="s">
        <v>767</v>
      </c>
      <c r="B3275" s="7">
        <v>2010</v>
      </c>
      <c r="C3275" s="51" t="s">
        <v>710</v>
      </c>
      <c r="D3275" t="s">
        <v>738</v>
      </c>
      <c r="E3275" s="2">
        <v>25.888000000000002</v>
      </c>
    </row>
    <row r="3276" spans="1:5" x14ac:dyDescent="0.25">
      <c r="A3276" s="32" t="s">
        <v>767</v>
      </c>
      <c r="B3276" s="7">
        <v>2010</v>
      </c>
      <c r="C3276" s="51" t="s">
        <v>702</v>
      </c>
      <c r="D3276" t="s">
        <v>738</v>
      </c>
      <c r="E3276" s="2">
        <v>29.271000000000001</v>
      </c>
    </row>
    <row r="3277" spans="1:5" x14ac:dyDescent="0.25">
      <c r="A3277" s="32" t="s">
        <v>767</v>
      </c>
      <c r="B3277" s="7">
        <v>2010</v>
      </c>
      <c r="C3277" s="51" t="s">
        <v>703</v>
      </c>
      <c r="D3277" t="s">
        <v>738</v>
      </c>
      <c r="E3277" s="2">
        <v>26.609000000000002</v>
      </c>
    </row>
    <row r="3278" spans="1:5" x14ac:dyDescent="0.25">
      <c r="A3278" s="32" t="s">
        <v>767</v>
      </c>
      <c r="B3278" s="7">
        <v>2010</v>
      </c>
      <c r="C3278" s="51" t="s">
        <v>704</v>
      </c>
      <c r="D3278" t="s">
        <v>738</v>
      </c>
      <c r="E3278" s="2">
        <v>27.817</v>
      </c>
    </row>
    <row r="3279" spans="1:5" x14ac:dyDescent="0.25">
      <c r="A3279" s="32" t="s">
        <v>767</v>
      </c>
      <c r="B3279" s="7">
        <v>2010</v>
      </c>
      <c r="C3279" s="51" t="s">
        <v>705</v>
      </c>
      <c r="D3279" t="s">
        <v>738</v>
      </c>
      <c r="E3279" s="2">
        <v>25.422999999999998</v>
      </c>
    </row>
    <row r="3280" spans="1:5" x14ac:dyDescent="0.25">
      <c r="A3280" s="32" t="s">
        <v>767</v>
      </c>
      <c r="B3280" s="7">
        <v>2010</v>
      </c>
      <c r="C3280" s="51" t="s">
        <v>706</v>
      </c>
      <c r="D3280" t="s">
        <v>738</v>
      </c>
      <c r="E3280" s="2">
        <v>24.76</v>
      </c>
    </row>
    <row r="3281" spans="1:5" x14ac:dyDescent="0.25">
      <c r="A3281" s="32" t="s">
        <v>767</v>
      </c>
      <c r="B3281" s="7">
        <v>2011</v>
      </c>
      <c r="C3281" s="51" t="s">
        <v>713</v>
      </c>
      <c r="D3281" t="s">
        <v>738</v>
      </c>
      <c r="E3281" s="2">
        <v>27.446999999999999</v>
      </c>
    </row>
    <row r="3282" spans="1:5" x14ac:dyDescent="0.25">
      <c r="A3282" s="32" t="s">
        <v>767</v>
      </c>
      <c r="B3282" s="7">
        <v>2011</v>
      </c>
      <c r="C3282" s="51" t="s">
        <v>707</v>
      </c>
      <c r="D3282" t="s">
        <v>738</v>
      </c>
      <c r="E3282" s="2">
        <v>24.846</v>
      </c>
    </row>
    <row r="3283" spans="1:5" x14ac:dyDescent="0.25">
      <c r="A3283" s="32" t="s">
        <v>767</v>
      </c>
      <c r="B3283" s="7">
        <v>2011</v>
      </c>
      <c r="C3283" s="51" t="s">
        <v>708</v>
      </c>
      <c r="D3283" t="s">
        <v>738</v>
      </c>
      <c r="E3283" s="2">
        <v>28.515999999999998</v>
      </c>
    </row>
    <row r="3284" spans="1:5" x14ac:dyDescent="0.25">
      <c r="A3284" s="32" t="s">
        <v>767</v>
      </c>
      <c r="B3284" s="7">
        <v>2011</v>
      </c>
      <c r="C3284" s="51" t="s">
        <v>699</v>
      </c>
      <c r="D3284" t="s">
        <v>738</v>
      </c>
      <c r="E3284" s="2">
        <v>25.006</v>
      </c>
    </row>
    <row r="3285" spans="1:5" x14ac:dyDescent="0.25">
      <c r="A3285" s="32" t="s">
        <v>767</v>
      </c>
      <c r="B3285" s="7">
        <v>2011</v>
      </c>
      <c r="C3285" s="51" t="s">
        <v>709</v>
      </c>
      <c r="D3285" t="s">
        <v>738</v>
      </c>
      <c r="E3285" s="2">
        <v>29.29</v>
      </c>
    </row>
    <row r="3286" spans="1:5" x14ac:dyDescent="0.25">
      <c r="A3286" s="32" t="s">
        <v>767</v>
      </c>
      <c r="B3286" s="7">
        <v>2011</v>
      </c>
      <c r="C3286" s="51" t="s">
        <v>712</v>
      </c>
      <c r="D3286" t="s">
        <v>738</v>
      </c>
      <c r="E3286" s="2">
        <v>25.594999999999999</v>
      </c>
    </row>
    <row r="3287" spans="1:5" x14ac:dyDescent="0.25">
      <c r="A3287" s="32" t="s">
        <v>767</v>
      </c>
      <c r="B3287" s="7">
        <v>2011</v>
      </c>
      <c r="C3287" s="51" t="s">
        <v>710</v>
      </c>
      <c r="D3287" t="s">
        <v>738</v>
      </c>
      <c r="E3287" s="2">
        <v>26.062999999999999</v>
      </c>
    </row>
    <row r="3288" spans="1:5" x14ac:dyDescent="0.25">
      <c r="A3288" s="32" t="s">
        <v>767</v>
      </c>
      <c r="B3288" s="7">
        <v>2011</v>
      </c>
      <c r="C3288" s="51" t="s">
        <v>702</v>
      </c>
      <c r="D3288" t="s">
        <v>738</v>
      </c>
      <c r="E3288" s="2">
        <v>25.302</v>
      </c>
    </row>
    <row r="3289" spans="1:5" x14ac:dyDescent="0.25">
      <c r="A3289" s="32" t="s">
        <v>767</v>
      </c>
      <c r="B3289" s="7">
        <v>2011</v>
      </c>
      <c r="C3289" s="51" t="s">
        <v>703</v>
      </c>
      <c r="D3289" t="s">
        <v>738</v>
      </c>
      <c r="E3289" s="2">
        <v>26.83</v>
      </c>
    </row>
    <row r="3290" spans="1:5" x14ac:dyDescent="0.25">
      <c r="A3290" s="32" t="s">
        <v>767</v>
      </c>
      <c r="B3290" s="7">
        <v>2011</v>
      </c>
      <c r="C3290" s="51" t="s">
        <v>704</v>
      </c>
      <c r="D3290" t="s">
        <v>738</v>
      </c>
      <c r="E3290" s="2">
        <v>27.567</v>
      </c>
    </row>
    <row r="3291" spans="1:5" x14ac:dyDescent="0.25">
      <c r="A3291" s="32" t="s">
        <v>767</v>
      </c>
      <c r="B3291" s="7">
        <v>2011</v>
      </c>
      <c r="C3291" s="51" t="s">
        <v>705</v>
      </c>
      <c r="D3291" t="s">
        <v>738</v>
      </c>
      <c r="E3291" s="2">
        <v>24.198</v>
      </c>
    </row>
    <row r="3292" spans="1:5" x14ac:dyDescent="0.25">
      <c r="A3292" s="32" t="s">
        <v>767</v>
      </c>
      <c r="B3292" s="7">
        <v>2011</v>
      </c>
      <c r="C3292" s="51" t="s">
        <v>706</v>
      </c>
      <c r="D3292" t="s">
        <v>738</v>
      </c>
      <c r="E3292" s="2">
        <v>24.611999999999998</v>
      </c>
    </row>
    <row r="3293" spans="1:5" x14ac:dyDescent="0.25">
      <c r="A3293" s="32" t="s">
        <v>767</v>
      </c>
      <c r="B3293" s="7">
        <v>2012</v>
      </c>
      <c r="C3293" s="51" t="s">
        <v>713</v>
      </c>
      <c r="D3293" t="s">
        <v>738</v>
      </c>
      <c r="E3293" s="2">
        <v>26.623000000000001</v>
      </c>
    </row>
    <row r="3294" spans="1:5" x14ac:dyDescent="0.25">
      <c r="A3294" s="32" t="s">
        <v>767</v>
      </c>
      <c r="B3294" s="7">
        <v>2012</v>
      </c>
      <c r="C3294" s="51" t="s">
        <v>707</v>
      </c>
      <c r="D3294" t="s">
        <v>738</v>
      </c>
      <c r="E3294" s="2">
        <v>22.355</v>
      </c>
    </row>
    <row r="3295" spans="1:5" x14ac:dyDescent="0.25">
      <c r="A3295" s="32" t="s">
        <v>767</v>
      </c>
      <c r="B3295" s="7">
        <v>2012</v>
      </c>
      <c r="C3295" s="51" t="s">
        <v>708</v>
      </c>
      <c r="D3295" t="s">
        <v>738</v>
      </c>
      <c r="E3295" s="2">
        <v>23.27</v>
      </c>
    </row>
    <row r="3296" spans="1:5" x14ac:dyDescent="0.25">
      <c r="A3296" s="32" t="s">
        <v>767</v>
      </c>
      <c r="B3296" s="7">
        <v>2012</v>
      </c>
      <c r="C3296" s="51" t="s">
        <v>699</v>
      </c>
      <c r="D3296" t="s">
        <v>738</v>
      </c>
      <c r="E3296" s="2">
        <v>25.352</v>
      </c>
    </row>
    <row r="3297" spans="1:5" x14ac:dyDescent="0.25">
      <c r="A3297" s="32" t="s">
        <v>767</v>
      </c>
      <c r="B3297" s="7">
        <v>2012</v>
      </c>
      <c r="C3297" s="51" t="s">
        <v>709</v>
      </c>
      <c r="D3297" t="s">
        <v>738</v>
      </c>
      <c r="E3297" s="2">
        <v>26.707000000000001</v>
      </c>
    </row>
    <row r="3298" spans="1:5" x14ac:dyDescent="0.25">
      <c r="A3298" s="32" t="s">
        <v>767</v>
      </c>
      <c r="B3298" s="7">
        <v>2012</v>
      </c>
      <c r="C3298" s="51" t="s">
        <v>712</v>
      </c>
      <c r="D3298" t="s">
        <v>738</v>
      </c>
      <c r="E3298" s="2">
        <v>23.702999999999999</v>
      </c>
    </row>
    <row r="3299" spans="1:5" x14ac:dyDescent="0.25">
      <c r="A3299" s="32" t="s">
        <v>767</v>
      </c>
      <c r="B3299" s="7">
        <v>2012</v>
      </c>
      <c r="C3299" s="51" t="s">
        <v>710</v>
      </c>
      <c r="D3299" t="s">
        <v>738</v>
      </c>
      <c r="E3299" s="2">
        <v>27.181999999999999</v>
      </c>
    </row>
    <row r="3300" spans="1:5" x14ac:dyDescent="0.25">
      <c r="A3300" s="32" t="s">
        <v>767</v>
      </c>
      <c r="B3300" s="7">
        <v>2012</v>
      </c>
      <c r="C3300" s="51" t="s">
        <v>702</v>
      </c>
      <c r="D3300" t="s">
        <v>738</v>
      </c>
      <c r="E3300" s="2">
        <v>24.853000000000002</v>
      </c>
    </row>
    <row r="3301" spans="1:5" x14ac:dyDescent="0.25">
      <c r="A3301" s="32" t="s">
        <v>767</v>
      </c>
      <c r="B3301" s="7">
        <v>2012</v>
      </c>
      <c r="C3301" s="51" t="s">
        <v>703</v>
      </c>
      <c r="D3301" t="s">
        <v>738</v>
      </c>
      <c r="E3301" s="2">
        <v>25.954000000000001</v>
      </c>
    </row>
    <row r="3302" spans="1:5" x14ac:dyDescent="0.25">
      <c r="A3302" s="32" t="s">
        <v>767</v>
      </c>
      <c r="B3302" s="7">
        <v>2012</v>
      </c>
      <c r="C3302" s="51" t="s">
        <v>704</v>
      </c>
      <c r="D3302" t="s">
        <v>738</v>
      </c>
      <c r="E3302" s="2">
        <v>27.236999999999998</v>
      </c>
    </row>
    <row r="3303" spans="1:5" x14ac:dyDescent="0.25">
      <c r="A3303" s="32" t="s">
        <v>767</v>
      </c>
      <c r="B3303" s="7">
        <v>2012</v>
      </c>
      <c r="C3303" s="51" t="s">
        <v>705</v>
      </c>
      <c r="D3303" t="s">
        <v>738</v>
      </c>
      <c r="E3303" s="2">
        <v>23.765999999999998</v>
      </c>
    </row>
    <row r="3304" spans="1:5" x14ac:dyDescent="0.25">
      <c r="A3304" s="32" t="s">
        <v>767</v>
      </c>
      <c r="B3304" s="7">
        <v>2012</v>
      </c>
      <c r="C3304" s="51" t="s">
        <v>706</v>
      </c>
      <c r="D3304" t="s">
        <v>738</v>
      </c>
      <c r="E3304" s="2">
        <v>22.654</v>
      </c>
    </row>
    <row r="3305" spans="1:5" x14ac:dyDescent="0.25">
      <c r="A3305" s="32" t="s">
        <v>767</v>
      </c>
      <c r="B3305" s="7">
        <v>2013</v>
      </c>
      <c r="C3305" s="51" t="s">
        <v>713</v>
      </c>
      <c r="D3305" t="s">
        <v>738</v>
      </c>
      <c r="E3305" s="2">
        <v>29.859000000000002</v>
      </c>
    </row>
    <row r="3306" spans="1:5" x14ac:dyDescent="0.25">
      <c r="A3306" s="32" t="s">
        <v>767</v>
      </c>
      <c r="B3306" s="7">
        <v>2013</v>
      </c>
      <c r="C3306" s="51" t="s">
        <v>707</v>
      </c>
      <c r="D3306" t="s">
        <v>738</v>
      </c>
      <c r="E3306" s="2">
        <v>23.460999999999999</v>
      </c>
    </row>
    <row r="3307" spans="1:5" x14ac:dyDescent="0.25">
      <c r="A3307" s="32" t="s">
        <v>767</v>
      </c>
      <c r="B3307" s="7">
        <v>2013</v>
      </c>
      <c r="C3307" s="51" t="s">
        <v>708</v>
      </c>
      <c r="D3307" t="s">
        <v>738</v>
      </c>
      <c r="E3307" s="2">
        <v>26.693999999999999</v>
      </c>
    </row>
    <row r="3308" spans="1:5" x14ac:dyDescent="0.25">
      <c r="A3308" s="32" t="s">
        <v>767</v>
      </c>
      <c r="B3308" s="7">
        <v>2013</v>
      </c>
      <c r="C3308" s="51" t="s">
        <v>699</v>
      </c>
      <c r="D3308" t="s">
        <v>738</v>
      </c>
      <c r="E3308" s="2">
        <v>25.378</v>
      </c>
    </row>
    <row r="3309" spans="1:5" x14ac:dyDescent="0.25">
      <c r="A3309" s="32" t="s">
        <v>767</v>
      </c>
      <c r="B3309" s="7">
        <v>2013</v>
      </c>
      <c r="C3309" s="51" t="s">
        <v>709</v>
      </c>
      <c r="D3309" t="s">
        <v>738</v>
      </c>
      <c r="E3309" s="2">
        <v>25.352</v>
      </c>
    </row>
    <row r="3310" spans="1:5" x14ac:dyDescent="0.25">
      <c r="A3310" s="32" t="s">
        <v>767</v>
      </c>
      <c r="B3310" s="7">
        <v>2013</v>
      </c>
      <c r="C3310" s="51" t="s">
        <v>712</v>
      </c>
      <c r="D3310" t="s">
        <v>738</v>
      </c>
      <c r="E3310" s="2">
        <v>28.242999999999999</v>
      </c>
    </row>
    <row r="3311" spans="1:5" x14ac:dyDescent="0.25">
      <c r="A3311" s="32" t="s">
        <v>767</v>
      </c>
      <c r="B3311" s="7">
        <v>2013</v>
      </c>
      <c r="C3311" s="51" t="s">
        <v>710</v>
      </c>
      <c r="D3311" t="s">
        <v>738</v>
      </c>
      <c r="E3311" s="2">
        <v>26.745999999999999</v>
      </c>
    </row>
    <row r="3312" spans="1:5" x14ac:dyDescent="0.25">
      <c r="A3312" s="32" t="s">
        <v>767</v>
      </c>
      <c r="B3312" s="7">
        <v>2013</v>
      </c>
      <c r="C3312" s="51" t="s">
        <v>702</v>
      </c>
      <c r="D3312" t="s">
        <v>738</v>
      </c>
      <c r="E3312" s="2">
        <v>24.07</v>
      </c>
    </row>
    <row r="3313" spans="1:5" x14ac:dyDescent="0.25">
      <c r="A3313" s="32" t="s">
        <v>767</v>
      </c>
      <c r="B3313" s="7">
        <v>2013</v>
      </c>
      <c r="C3313" s="51" t="s">
        <v>703</v>
      </c>
      <c r="D3313" t="s">
        <v>738</v>
      </c>
      <c r="E3313" s="2">
        <v>24.835999999999999</v>
      </c>
    </row>
    <row r="3314" spans="1:5" x14ac:dyDescent="0.25">
      <c r="A3314" s="32" t="s">
        <v>767</v>
      </c>
      <c r="B3314" s="7">
        <v>2013</v>
      </c>
      <c r="C3314" s="51" t="s">
        <v>704</v>
      </c>
      <c r="D3314" t="s">
        <v>738</v>
      </c>
      <c r="E3314" s="2">
        <v>31.704999999999998</v>
      </c>
    </row>
    <row r="3315" spans="1:5" x14ac:dyDescent="0.25">
      <c r="A3315" s="32" t="s">
        <v>767</v>
      </c>
      <c r="B3315" s="7">
        <v>2013</v>
      </c>
      <c r="C3315" s="51" t="s">
        <v>705</v>
      </c>
      <c r="D3315" t="s">
        <v>738</v>
      </c>
      <c r="E3315" s="2">
        <v>24.524000000000001</v>
      </c>
    </row>
    <row r="3316" spans="1:5" x14ac:dyDescent="0.25">
      <c r="A3316" s="32" t="s">
        <v>767</v>
      </c>
      <c r="B3316" s="7">
        <v>2013</v>
      </c>
      <c r="C3316" s="51" t="s">
        <v>706</v>
      </c>
      <c r="D3316" t="s">
        <v>738</v>
      </c>
      <c r="E3316" s="2">
        <v>25.405000000000001</v>
      </c>
    </row>
    <row r="3317" spans="1:5" x14ac:dyDescent="0.25">
      <c r="A3317" s="32" t="s">
        <v>767</v>
      </c>
      <c r="B3317" s="7">
        <v>2014</v>
      </c>
      <c r="C3317" s="51" t="s">
        <v>713</v>
      </c>
      <c r="D3317" t="s">
        <v>738</v>
      </c>
      <c r="E3317" s="2">
        <v>27.003</v>
      </c>
    </row>
    <row r="3318" spans="1:5" x14ac:dyDescent="0.25">
      <c r="A3318" s="32" t="s">
        <v>767</v>
      </c>
      <c r="B3318" s="7">
        <v>2014</v>
      </c>
      <c r="C3318" s="51" t="s">
        <v>707</v>
      </c>
      <c r="D3318" t="s">
        <v>738</v>
      </c>
      <c r="E3318" s="2">
        <v>25.483000000000001</v>
      </c>
    </row>
    <row r="3319" spans="1:5" x14ac:dyDescent="0.25">
      <c r="A3319" s="32" t="s">
        <v>767</v>
      </c>
      <c r="B3319" s="7">
        <v>2014</v>
      </c>
      <c r="C3319" s="51" t="s">
        <v>708</v>
      </c>
      <c r="D3319" t="s">
        <v>738</v>
      </c>
      <c r="E3319" s="2">
        <v>28.678000000000001</v>
      </c>
    </row>
    <row r="3320" spans="1:5" x14ac:dyDescent="0.25">
      <c r="A3320" s="32" t="s">
        <v>767</v>
      </c>
      <c r="B3320" s="7">
        <v>2014</v>
      </c>
      <c r="C3320" s="51" t="s">
        <v>699</v>
      </c>
      <c r="D3320" t="s">
        <v>738</v>
      </c>
      <c r="E3320" s="2">
        <v>24.751999999999999</v>
      </c>
    </row>
    <row r="3321" spans="1:5" x14ac:dyDescent="0.25">
      <c r="A3321" s="32" t="s">
        <v>767</v>
      </c>
      <c r="B3321" s="7">
        <v>2014</v>
      </c>
      <c r="C3321" s="51" t="s">
        <v>709</v>
      </c>
      <c r="D3321" t="s">
        <v>738</v>
      </c>
      <c r="E3321" s="2">
        <v>32.639000000000003</v>
      </c>
    </row>
    <row r="3322" spans="1:5" x14ac:dyDescent="0.25">
      <c r="A3322" s="32" t="s">
        <v>767</v>
      </c>
      <c r="B3322" s="7">
        <v>2014</v>
      </c>
      <c r="C3322" s="51" t="s">
        <v>712</v>
      </c>
      <c r="D3322" t="s">
        <v>738</v>
      </c>
      <c r="E3322" s="2">
        <v>24.285</v>
      </c>
    </row>
    <row r="3323" spans="1:5" x14ac:dyDescent="0.25">
      <c r="A3323" s="32" t="s">
        <v>767</v>
      </c>
      <c r="B3323" s="7">
        <v>2014</v>
      </c>
      <c r="C3323" s="51" t="s">
        <v>710</v>
      </c>
      <c r="D3323" t="s">
        <v>738</v>
      </c>
      <c r="E3323" s="2">
        <v>23.728000000000002</v>
      </c>
    </row>
    <row r="3324" spans="1:5" x14ac:dyDescent="0.25">
      <c r="A3324" s="32" t="s">
        <v>767</v>
      </c>
      <c r="B3324" s="7">
        <v>2014</v>
      </c>
      <c r="C3324" s="51" t="s">
        <v>702</v>
      </c>
      <c r="D3324" t="s">
        <v>738</v>
      </c>
      <c r="E3324" s="2">
        <v>24.556999999999999</v>
      </c>
    </row>
    <row r="3325" spans="1:5" x14ac:dyDescent="0.25">
      <c r="A3325" s="32" t="s">
        <v>767</v>
      </c>
      <c r="B3325" s="7">
        <v>2014</v>
      </c>
      <c r="C3325" s="51" t="s">
        <v>703</v>
      </c>
      <c r="D3325" t="s">
        <v>738</v>
      </c>
      <c r="E3325" s="2">
        <v>22.24</v>
      </c>
    </row>
    <row r="3326" spans="1:5" x14ac:dyDescent="0.25">
      <c r="A3326" s="32" t="s">
        <v>767</v>
      </c>
      <c r="B3326" s="7">
        <v>2014</v>
      </c>
      <c r="C3326" s="51" t="s">
        <v>704</v>
      </c>
      <c r="D3326" t="s">
        <v>738</v>
      </c>
      <c r="E3326" s="2">
        <v>24.06</v>
      </c>
    </row>
    <row r="3327" spans="1:5" x14ac:dyDescent="0.25">
      <c r="A3327" s="32" t="s">
        <v>767</v>
      </c>
      <c r="B3327" s="7">
        <v>2014</v>
      </c>
      <c r="C3327" s="51" t="s">
        <v>705</v>
      </c>
      <c r="D3327" t="s">
        <v>738</v>
      </c>
      <c r="E3327" s="2">
        <v>24.388999999999999</v>
      </c>
    </row>
    <row r="3328" spans="1:5" x14ac:dyDescent="0.25">
      <c r="A3328" s="32" t="s">
        <v>767</v>
      </c>
      <c r="B3328" s="7">
        <v>2014</v>
      </c>
      <c r="C3328" s="51" t="s">
        <v>706</v>
      </c>
      <c r="D3328" t="s">
        <v>738</v>
      </c>
      <c r="E3328" s="2">
        <v>25.029</v>
      </c>
    </row>
    <row r="3329" spans="1:5" x14ac:dyDescent="0.25">
      <c r="A3329" s="32" t="s">
        <v>767</v>
      </c>
      <c r="B3329" s="7">
        <v>2015</v>
      </c>
      <c r="C3329" s="51" t="s">
        <v>713</v>
      </c>
      <c r="D3329" t="s">
        <v>738</v>
      </c>
      <c r="E3329" s="2">
        <v>29.224</v>
      </c>
    </row>
    <row r="3330" spans="1:5" x14ac:dyDescent="0.25">
      <c r="A3330" s="32" t="s">
        <v>767</v>
      </c>
      <c r="B3330" s="7">
        <v>2015</v>
      </c>
      <c r="C3330" s="51" t="s">
        <v>707</v>
      </c>
      <c r="D3330" t="s">
        <v>738</v>
      </c>
      <c r="E3330" s="2">
        <v>22.192</v>
      </c>
    </row>
    <row r="3331" spans="1:5" x14ac:dyDescent="0.25">
      <c r="A3331" s="32" t="s">
        <v>767</v>
      </c>
      <c r="B3331" s="7">
        <v>2015</v>
      </c>
      <c r="C3331" s="51" t="s">
        <v>708</v>
      </c>
      <c r="D3331" t="s">
        <v>738</v>
      </c>
      <c r="E3331" s="2">
        <v>26.760999999999999</v>
      </c>
    </row>
    <row r="3332" spans="1:5" x14ac:dyDescent="0.25">
      <c r="A3332" s="32" t="s">
        <v>767</v>
      </c>
      <c r="B3332" s="7">
        <v>2015</v>
      </c>
      <c r="C3332" s="51" t="s">
        <v>699</v>
      </c>
      <c r="D3332" t="s">
        <v>738</v>
      </c>
      <c r="E3332" s="2">
        <v>25.731000000000002</v>
      </c>
    </row>
    <row r="3333" spans="1:5" x14ac:dyDescent="0.25">
      <c r="A3333" s="32" t="s">
        <v>767</v>
      </c>
      <c r="B3333" s="7">
        <v>2015</v>
      </c>
      <c r="C3333" s="51" t="s">
        <v>709</v>
      </c>
      <c r="D3333" t="s">
        <v>738</v>
      </c>
      <c r="E3333" s="2">
        <v>25.326000000000001</v>
      </c>
    </row>
    <row r="3334" spans="1:5" x14ac:dyDescent="0.25">
      <c r="A3334" s="32" t="s">
        <v>767</v>
      </c>
      <c r="B3334" s="7">
        <v>2015</v>
      </c>
      <c r="C3334" s="51" t="s">
        <v>712</v>
      </c>
      <c r="D3334" t="s">
        <v>738</v>
      </c>
      <c r="E3334" s="2">
        <v>27.347000000000001</v>
      </c>
    </row>
    <row r="3335" spans="1:5" x14ac:dyDescent="0.25">
      <c r="A3335" s="32" t="s">
        <v>767</v>
      </c>
      <c r="B3335" s="7">
        <v>2015</v>
      </c>
      <c r="C3335" s="51" t="s">
        <v>710</v>
      </c>
      <c r="D3335" t="s">
        <v>738</v>
      </c>
      <c r="E3335" s="2">
        <v>25.042000000000002</v>
      </c>
    </row>
    <row r="3336" spans="1:5" x14ac:dyDescent="0.25">
      <c r="A3336" s="32" t="s">
        <v>767</v>
      </c>
      <c r="B3336" s="7">
        <v>2015</v>
      </c>
      <c r="C3336" s="51" t="s">
        <v>702</v>
      </c>
      <c r="D3336" t="s">
        <v>738</v>
      </c>
      <c r="E3336" s="2">
        <v>25.356999999999999</v>
      </c>
    </row>
    <row r="3337" spans="1:5" x14ac:dyDescent="0.25">
      <c r="A3337" s="32" t="s">
        <v>767</v>
      </c>
      <c r="B3337" s="7">
        <v>2015</v>
      </c>
      <c r="C3337" s="51" t="s">
        <v>703</v>
      </c>
      <c r="D3337" t="s">
        <v>738</v>
      </c>
      <c r="E3337" s="2">
        <v>23.004999999999999</v>
      </c>
    </row>
    <row r="3338" spans="1:5" x14ac:dyDescent="0.25">
      <c r="A3338" s="32" t="s">
        <v>767</v>
      </c>
      <c r="B3338" s="7">
        <v>2015</v>
      </c>
      <c r="C3338" s="51" t="s">
        <v>704</v>
      </c>
      <c r="D3338" t="s">
        <v>738</v>
      </c>
      <c r="E3338" s="2">
        <v>26.402000000000001</v>
      </c>
    </row>
    <row r="3339" spans="1:5" x14ac:dyDescent="0.25">
      <c r="A3339" s="32" t="s">
        <v>767</v>
      </c>
      <c r="B3339" s="7">
        <v>2015</v>
      </c>
      <c r="C3339" s="51" t="s">
        <v>705</v>
      </c>
      <c r="D3339" t="s">
        <v>738</v>
      </c>
      <c r="E3339" s="2">
        <v>24.074000000000002</v>
      </c>
    </row>
    <row r="3340" spans="1:5" x14ac:dyDescent="0.25">
      <c r="A3340" s="32" t="s">
        <v>767</v>
      </c>
      <c r="B3340" s="7">
        <v>2015</v>
      </c>
      <c r="C3340" s="51" t="s">
        <v>706</v>
      </c>
      <c r="D3340" t="s">
        <v>738</v>
      </c>
      <c r="E3340" s="2">
        <v>26.277999999999999</v>
      </c>
    </row>
    <row r="3341" spans="1:5" x14ac:dyDescent="0.25">
      <c r="A3341" s="32" t="s">
        <v>767</v>
      </c>
      <c r="B3341" s="7">
        <v>2016</v>
      </c>
      <c r="C3341" s="51" t="s">
        <v>713</v>
      </c>
      <c r="D3341" t="s">
        <v>738</v>
      </c>
      <c r="E3341" s="2">
        <v>28.88</v>
      </c>
    </row>
    <row r="3342" spans="1:5" x14ac:dyDescent="0.25">
      <c r="A3342" s="32" t="s">
        <v>767</v>
      </c>
      <c r="B3342" s="7">
        <v>2016</v>
      </c>
      <c r="C3342" s="51" t="s">
        <v>707</v>
      </c>
      <c r="D3342" t="s">
        <v>738</v>
      </c>
      <c r="E3342" s="2">
        <v>30.702000000000002</v>
      </c>
    </row>
    <row r="3343" spans="1:5" x14ac:dyDescent="0.25">
      <c r="A3343" s="32" t="s">
        <v>767</v>
      </c>
      <c r="B3343" s="7">
        <v>2016</v>
      </c>
      <c r="C3343" s="51" t="s">
        <v>708</v>
      </c>
      <c r="D3343" t="s">
        <v>738</v>
      </c>
      <c r="E3343" s="2">
        <v>26.669</v>
      </c>
    </row>
    <row r="3344" spans="1:5" x14ac:dyDescent="0.25">
      <c r="A3344" s="32" t="s">
        <v>767</v>
      </c>
      <c r="B3344" s="7">
        <v>2016</v>
      </c>
      <c r="C3344" s="51" t="s">
        <v>699</v>
      </c>
      <c r="D3344" t="s">
        <v>738</v>
      </c>
      <c r="E3344" s="2">
        <v>26.186</v>
      </c>
    </row>
    <row r="3345" spans="1:5" x14ac:dyDescent="0.25">
      <c r="A3345" s="32" t="s">
        <v>767</v>
      </c>
      <c r="B3345" s="7">
        <v>2016</v>
      </c>
      <c r="C3345" s="51" t="s">
        <v>709</v>
      </c>
      <c r="D3345" t="s">
        <v>738</v>
      </c>
      <c r="E3345" s="2">
        <v>28.173999999999999</v>
      </c>
    </row>
    <row r="3346" spans="1:5" x14ac:dyDescent="0.25">
      <c r="A3346" s="32" t="s">
        <v>767</v>
      </c>
      <c r="B3346" s="7">
        <v>2016</v>
      </c>
      <c r="C3346" s="51" t="s">
        <v>712</v>
      </c>
      <c r="D3346" t="s">
        <v>738</v>
      </c>
      <c r="E3346" s="2">
        <v>25.646999999999998</v>
      </c>
    </row>
    <row r="3347" spans="1:5" x14ac:dyDescent="0.25">
      <c r="A3347" s="32" t="s">
        <v>767</v>
      </c>
      <c r="B3347" s="7">
        <v>2016</v>
      </c>
      <c r="C3347" s="51" t="s">
        <v>710</v>
      </c>
      <c r="D3347" t="s">
        <v>738</v>
      </c>
      <c r="E3347" s="2">
        <v>26.602</v>
      </c>
    </row>
    <row r="3348" spans="1:5" x14ac:dyDescent="0.25">
      <c r="A3348" s="32" t="s">
        <v>767</v>
      </c>
      <c r="B3348" s="7">
        <v>2016</v>
      </c>
      <c r="C3348" s="51" t="s">
        <v>702</v>
      </c>
      <c r="D3348" t="s">
        <v>738</v>
      </c>
      <c r="E3348" s="2">
        <v>25.134</v>
      </c>
    </row>
    <row r="3349" spans="1:5" x14ac:dyDescent="0.25">
      <c r="A3349" s="32" t="s">
        <v>767</v>
      </c>
      <c r="B3349" s="7">
        <v>2016</v>
      </c>
      <c r="C3349" s="51" t="s">
        <v>703</v>
      </c>
      <c r="D3349" t="s">
        <v>738</v>
      </c>
      <c r="E3349" s="2">
        <v>22.597000000000001</v>
      </c>
    </row>
    <row r="3350" spans="1:5" x14ac:dyDescent="0.25">
      <c r="A3350" s="32" t="s">
        <v>767</v>
      </c>
      <c r="B3350" s="7">
        <v>2016</v>
      </c>
      <c r="C3350" s="51" t="s">
        <v>704</v>
      </c>
      <c r="D3350" t="s">
        <v>738</v>
      </c>
      <c r="E3350" s="2">
        <v>25.629000000000001</v>
      </c>
    </row>
    <row r="3351" spans="1:5" x14ac:dyDescent="0.25">
      <c r="A3351" s="32" t="s">
        <v>767</v>
      </c>
      <c r="B3351" s="7">
        <v>2016</v>
      </c>
      <c r="C3351" s="51" t="s">
        <v>705</v>
      </c>
      <c r="D3351" t="s">
        <v>738</v>
      </c>
      <c r="E3351" s="2">
        <v>22.803999999999998</v>
      </c>
    </row>
    <row r="3352" spans="1:5" x14ac:dyDescent="0.25">
      <c r="A3352" s="32" t="s">
        <v>767</v>
      </c>
      <c r="B3352" s="7">
        <v>2016</v>
      </c>
      <c r="C3352" s="51" t="s">
        <v>706</v>
      </c>
      <c r="D3352" t="s">
        <v>738</v>
      </c>
      <c r="E3352" s="2">
        <v>27.277000000000001</v>
      </c>
    </row>
    <row r="3353" spans="1:5" x14ac:dyDescent="0.25">
      <c r="A3353" s="32" t="s">
        <v>767</v>
      </c>
      <c r="B3353" s="7">
        <v>2017</v>
      </c>
      <c r="C3353" s="51" t="s">
        <v>713</v>
      </c>
      <c r="D3353" t="s">
        <v>738</v>
      </c>
      <c r="E3353" s="2">
        <v>24.309000000000001</v>
      </c>
    </row>
    <row r="3354" spans="1:5" x14ac:dyDescent="0.25">
      <c r="A3354" s="32" t="s">
        <v>767</v>
      </c>
      <c r="B3354" s="7">
        <v>2017</v>
      </c>
      <c r="C3354" s="51" t="s">
        <v>707</v>
      </c>
      <c r="D3354" t="s">
        <v>738</v>
      </c>
      <c r="E3354" s="2">
        <v>20.14</v>
      </c>
    </row>
    <row r="3355" spans="1:5" x14ac:dyDescent="0.25">
      <c r="A3355" s="32" t="s">
        <v>767</v>
      </c>
      <c r="B3355" s="7">
        <v>2017</v>
      </c>
      <c r="C3355" s="51" t="s">
        <v>708</v>
      </c>
      <c r="D3355" t="s">
        <v>738</v>
      </c>
      <c r="E3355" s="2">
        <v>24.512</v>
      </c>
    </row>
    <row r="3356" spans="1:5" x14ac:dyDescent="0.25">
      <c r="A3356" s="32" t="s">
        <v>767</v>
      </c>
      <c r="B3356" s="7">
        <v>2017</v>
      </c>
      <c r="C3356" s="51" t="s">
        <v>699</v>
      </c>
      <c r="D3356" t="s">
        <v>738</v>
      </c>
      <c r="E3356" s="2">
        <v>26.866</v>
      </c>
    </row>
    <row r="3357" spans="1:5" x14ac:dyDescent="0.25">
      <c r="A3357" s="32" t="s">
        <v>767</v>
      </c>
      <c r="B3357" s="7">
        <v>2017</v>
      </c>
      <c r="C3357" s="51" t="s">
        <v>709</v>
      </c>
      <c r="D3357" t="s">
        <v>738</v>
      </c>
      <c r="E3357" s="2">
        <v>32.21</v>
      </c>
    </row>
    <row r="3358" spans="1:5" x14ac:dyDescent="0.25">
      <c r="A3358" s="32" t="s">
        <v>767</v>
      </c>
      <c r="B3358" s="7">
        <v>2017</v>
      </c>
      <c r="C3358" s="51" t="s">
        <v>712</v>
      </c>
      <c r="D3358" t="s">
        <v>738</v>
      </c>
      <c r="E3358" s="2">
        <v>26.373999999999999</v>
      </c>
    </row>
    <row r="3359" spans="1:5" x14ac:dyDescent="0.25">
      <c r="A3359" s="32" t="s">
        <v>767</v>
      </c>
      <c r="B3359" s="7">
        <v>2017</v>
      </c>
      <c r="C3359" s="51" t="s">
        <v>710</v>
      </c>
      <c r="D3359" t="s">
        <v>738</v>
      </c>
      <c r="E3359" s="2">
        <v>27.315000000000001</v>
      </c>
    </row>
    <row r="3360" spans="1:5" x14ac:dyDescent="0.25">
      <c r="A3360" s="32" t="s">
        <v>767</v>
      </c>
      <c r="B3360" s="7">
        <v>2017</v>
      </c>
      <c r="C3360" s="51" t="s">
        <v>702</v>
      </c>
      <c r="D3360" t="s">
        <v>738</v>
      </c>
      <c r="E3360" s="2">
        <v>26.774000000000001</v>
      </c>
    </row>
    <row r="3361" spans="1:5" x14ac:dyDescent="0.25">
      <c r="A3361" s="32" t="s">
        <v>767</v>
      </c>
      <c r="B3361" s="7">
        <v>2017</v>
      </c>
      <c r="C3361" s="51" t="s">
        <v>703</v>
      </c>
      <c r="D3361" t="s">
        <v>738</v>
      </c>
      <c r="E3361" s="2">
        <v>23.172000000000001</v>
      </c>
    </row>
    <row r="3362" spans="1:5" x14ac:dyDescent="0.25">
      <c r="A3362" s="32" t="s">
        <v>767</v>
      </c>
      <c r="B3362" s="7">
        <v>2017</v>
      </c>
      <c r="C3362" s="51" t="s">
        <v>704</v>
      </c>
      <c r="D3362" t="s">
        <v>738</v>
      </c>
      <c r="E3362" s="2">
        <v>25.949000000000002</v>
      </c>
    </row>
    <row r="3363" spans="1:5" x14ac:dyDescent="0.25">
      <c r="A3363" s="32" t="s">
        <v>767</v>
      </c>
      <c r="B3363" s="7">
        <v>2017</v>
      </c>
      <c r="C3363" s="51" t="s">
        <v>705</v>
      </c>
      <c r="D3363" t="s">
        <v>738</v>
      </c>
      <c r="E3363" s="2">
        <v>24.303000000000001</v>
      </c>
    </row>
    <row r="3364" spans="1:5" x14ac:dyDescent="0.25">
      <c r="A3364" s="32" t="s">
        <v>767</v>
      </c>
      <c r="B3364" s="7">
        <v>2017</v>
      </c>
      <c r="C3364" s="51" t="s">
        <v>706</v>
      </c>
      <c r="D3364" t="s">
        <v>738</v>
      </c>
      <c r="E3364" s="2">
        <v>23.52</v>
      </c>
    </row>
    <row r="3365" spans="1:5" x14ac:dyDescent="0.25">
      <c r="A3365" s="32" t="s">
        <v>767</v>
      </c>
      <c r="B3365" s="7">
        <v>2018</v>
      </c>
      <c r="C3365" s="51" t="s">
        <v>713</v>
      </c>
      <c r="D3365" t="s">
        <v>738</v>
      </c>
      <c r="E3365" s="2">
        <v>22.189</v>
      </c>
    </row>
    <row r="3366" spans="1:5" x14ac:dyDescent="0.25">
      <c r="A3366" s="32" t="s">
        <v>767</v>
      </c>
      <c r="B3366" s="7">
        <v>2018</v>
      </c>
      <c r="C3366" s="51" t="s">
        <v>707</v>
      </c>
      <c r="D3366" t="s">
        <v>738</v>
      </c>
      <c r="E3366" s="2">
        <v>25.24</v>
      </c>
    </row>
    <row r="3367" spans="1:5" x14ac:dyDescent="0.25">
      <c r="A3367" s="32" t="s">
        <v>767</v>
      </c>
      <c r="B3367" s="7">
        <v>2018</v>
      </c>
      <c r="C3367" s="51" t="s">
        <v>708</v>
      </c>
      <c r="D3367" t="s">
        <v>738</v>
      </c>
      <c r="E3367" s="2">
        <v>25.771999999999998</v>
      </c>
    </row>
    <row r="3368" spans="1:5" x14ac:dyDescent="0.25">
      <c r="A3368" s="32" t="s">
        <v>767</v>
      </c>
      <c r="B3368" s="7">
        <v>2018</v>
      </c>
      <c r="C3368" s="51" t="s">
        <v>699</v>
      </c>
      <c r="D3368" t="s">
        <v>738</v>
      </c>
      <c r="E3368" s="2">
        <v>24.465</v>
      </c>
    </row>
    <row r="3369" spans="1:5" x14ac:dyDescent="0.25">
      <c r="A3369" s="32" t="s">
        <v>767</v>
      </c>
      <c r="B3369" s="7">
        <v>2018</v>
      </c>
      <c r="C3369" s="51" t="s">
        <v>709</v>
      </c>
      <c r="D3369" t="s">
        <v>738</v>
      </c>
      <c r="E3369" s="2">
        <v>29.314</v>
      </c>
    </row>
    <row r="3370" spans="1:5" x14ac:dyDescent="0.25">
      <c r="A3370" s="32" t="s">
        <v>767</v>
      </c>
      <c r="B3370" s="7">
        <v>2018</v>
      </c>
      <c r="C3370" s="51" t="s">
        <v>712</v>
      </c>
      <c r="D3370" t="s">
        <v>738</v>
      </c>
      <c r="E3370" s="2">
        <v>26.216000000000001</v>
      </c>
    </row>
    <row r="3371" spans="1:5" x14ac:dyDescent="0.25">
      <c r="A3371" s="32" t="s">
        <v>767</v>
      </c>
      <c r="B3371" s="7">
        <v>2018</v>
      </c>
      <c r="C3371" s="51" t="s">
        <v>710</v>
      </c>
      <c r="D3371" t="s">
        <v>738</v>
      </c>
      <c r="E3371" s="2">
        <v>29.768000000000001</v>
      </c>
    </row>
    <row r="3372" spans="1:5" x14ac:dyDescent="0.25">
      <c r="A3372" s="32" t="s">
        <v>767</v>
      </c>
      <c r="B3372" s="7">
        <v>2018</v>
      </c>
      <c r="C3372" s="51" t="s">
        <v>702</v>
      </c>
      <c r="D3372" t="s">
        <v>738</v>
      </c>
      <c r="E3372" s="2">
        <v>28.081</v>
      </c>
    </row>
    <row r="3373" spans="1:5" x14ac:dyDescent="0.25">
      <c r="A3373" s="32" t="s">
        <v>767</v>
      </c>
      <c r="B3373" s="7">
        <v>2018</v>
      </c>
      <c r="C3373" s="51" t="s">
        <v>703</v>
      </c>
      <c r="D3373" t="s">
        <v>738</v>
      </c>
      <c r="E3373" s="2">
        <v>29.94</v>
      </c>
    </row>
    <row r="3374" spans="1:5" x14ac:dyDescent="0.25">
      <c r="A3374" s="32" t="s">
        <v>767</v>
      </c>
      <c r="B3374" s="7">
        <v>2018</v>
      </c>
      <c r="C3374" s="51" t="s">
        <v>704</v>
      </c>
      <c r="D3374" t="s">
        <v>738</v>
      </c>
      <c r="E3374" s="2">
        <v>26.387</v>
      </c>
    </row>
    <row r="3375" spans="1:5" x14ac:dyDescent="0.25">
      <c r="A3375" s="32" t="s">
        <v>767</v>
      </c>
      <c r="B3375" s="7">
        <v>2018</v>
      </c>
      <c r="C3375" s="51" t="s">
        <v>705</v>
      </c>
      <c r="D3375" t="s">
        <v>738</v>
      </c>
      <c r="E3375" s="2">
        <v>30.97</v>
      </c>
    </row>
    <row r="3376" spans="1:5" x14ac:dyDescent="0.25">
      <c r="A3376" s="32" t="s">
        <v>767</v>
      </c>
      <c r="B3376" s="7">
        <v>2018</v>
      </c>
      <c r="C3376" s="51" t="s">
        <v>706</v>
      </c>
      <c r="D3376" t="s">
        <v>738</v>
      </c>
      <c r="E3376" s="2">
        <v>32.408999999999999</v>
      </c>
    </row>
    <row r="3377" spans="1:5" x14ac:dyDescent="0.25">
      <c r="A3377" s="32" t="s">
        <v>767</v>
      </c>
      <c r="B3377" s="7">
        <v>2019</v>
      </c>
      <c r="C3377" s="51" t="s">
        <v>713</v>
      </c>
      <c r="D3377" t="s">
        <v>738</v>
      </c>
      <c r="E3377" s="2">
        <v>29.032</v>
      </c>
    </row>
    <row r="3378" spans="1:5" x14ac:dyDescent="0.25">
      <c r="A3378" s="32" t="s">
        <v>767</v>
      </c>
      <c r="B3378" s="7">
        <v>2019</v>
      </c>
      <c r="C3378" s="51" t="s">
        <v>707</v>
      </c>
      <c r="D3378" t="s">
        <v>738</v>
      </c>
      <c r="E3378" s="2">
        <v>31.100999999999999</v>
      </c>
    </row>
    <row r="3379" spans="1:5" x14ac:dyDescent="0.25">
      <c r="A3379" s="32" t="s">
        <v>767</v>
      </c>
      <c r="B3379" s="7">
        <v>2019</v>
      </c>
      <c r="C3379" s="51" t="s">
        <v>708</v>
      </c>
      <c r="D3379" t="s">
        <v>738</v>
      </c>
      <c r="E3379" s="2">
        <v>35.65</v>
      </c>
    </row>
    <row r="3380" spans="1:5" x14ac:dyDescent="0.25">
      <c r="A3380" s="32" t="s">
        <v>767</v>
      </c>
      <c r="B3380" s="7">
        <v>2019</v>
      </c>
      <c r="C3380" s="51" t="s">
        <v>699</v>
      </c>
      <c r="D3380" t="s">
        <v>738</v>
      </c>
      <c r="E3380" s="2">
        <v>29.224</v>
      </c>
    </row>
    <row r="3381" spans="1:5" x14ac:dyDescent="0.25">
      <c r="A3381" s="32" t="s">
        <v>767</v>
      </c>
      <c r="B3381" s="7">
        <v>2019</v>
      </c>
      <c r="C3381" s="51" t="s">
        <v>709</v>
      </c>
      <c r="D3381" t="s">
        <v>738</v>
      </c>
      <c r="E3381" s="2">
        <v>33.395000000000003</v>
      </c>
    </row>
    <row r="3382" spans="1:5" x14ac:dyDescent="0.25">
      <c r="A3382" s="32" t="s">
        <v>767</v>
      </c>
      <c r="B3382" s="7">
        <v>2019</v>
      </c>
      <c r="C3382" s="51" t="s">
        <v>712</v>
      </c>
      <c r="D3382" t="s">
        <v>738</v>
      </c>
      <c r="E3382" s="2">
        <v>27.925000000000001</v>
      </c>
    </row>
    <row r="3383" spans="1:5" x14ac:dyDescent="0.25">
      <c r="A3383" s="32" t="s">
        <v>767</v>
      </c>
      <c r="B3383" s="7">
        <v>2019</v>
      </c>
      <c r="C3383" s="51" t="s">
        <v>710</v>
      </c>
      <c r="D3383" t="s">
        <v>738</v>
      </c>
      <c r="E3383" s="2">
        <v>30.978000000000002</v>
      </c>
    </row>
    <row r="3384" spans="1:5" x14ac:dyDescent="0.25">
      <c r="A3384" s="32" t="s">
        <v>767</v>
      </c>
      <c r="B3384" s="7">
        <v>2019</v>
      </c>
      <c r="C3384" s="51" t="s">
        <v>702</v>
      </c>
      <c r="D3384" t="s">
        <v>738</v>
      </c>
      <c r="E3384" s="2">
        <v>26.744</v>
      </c>
    </row>
    <row r="3385" spans="1:5" x14ac:dyDescent="0.25">
      <c r="A3385" s="32" t="s">
        <v>767</v>
      </c>
      <c r="B3385" s="7">
        <v>2019</v>
      </c>
      <c r="C3385" s="51" t="s">
        <v>703</v>
      </c>
      <c r="D3385" t="s">
        <v>738</v>
      </c>
      <c r="E3385" s="2">
        <v>27.687000000000001</v>
      </c>
    </row>
    <row r="3386" spans="1:5" x14ac:dyDescent="0.25">
      <c r="A3386" s="32" t="s">
        <v>767</v>
      </c>
      <c r="B3386" s="7">
        <v>2019</v>
      </c>
      <c r="C3386" s="51" t="s">
        <v>704</v>
      </c>
      <c r="D3386" t="s">
        <v>738</v>
      </c>
      <c r="E3386" s="2">
        <v>28.457000000000001</v>
      </c>
    </row>
    <row r="3387" spans="1:5" x14ac:dyDescent="0.25">
      <c r="A3387" s="32" t="s">
        <v>767</v>
      </c>
      <c r="B3387" s="7">
        <v>2019</v>
      </c>
      <c r="C3387" s="51" t="s">
        <v>705</v>
      </c>
      <c r="D3387" t="s">
        <v>738</v>
      </c>
      <c r="E3387" s="2">
        <v>29.277999999999999</v>
      </c>
    </row>
    <row r="3388" spans="1:5" x14ac:dyDescent="0.25">
      <c r="A3388" s="32" t="s">
        <v>767</v>
      </c>
      <c r="B3388" s="7">
        <v>2019</v>
      </c>
      <c r="C3388" s="51" t="s">
        <v>706</v>
      </c>
      <c r="D3388" t="s">
        <v>738</v>
      </c>
      <c r="E3388" s="2">
        <v>34.588000000000001</v>
      </c>
    </row>
    <row r="3389" spans="1:5" x14ac:dyDescent="0.25">
      <c r="A3389" s="32" t="s">
        <v>767</v>
      </c>
      <c r="B3389" s="7">
        <v>2020</v>
      </c>
      <c r="C3389" s="51" t="s">
        <v>713</v>
      </c>
      <c r="D3389" t="s">
        <v>738</v>
      </c>
      <c r="E3389" s="2">
        <v>32.737000000000002</v>
      </c>
    </row>
    <row r="3390" spans="1:5" x14ac:dyDescent="0.25">
      <c r="A3390" s="32" t="s">
        <v>767</v>
      </c>
      <c r="B3390" s="7">
        <v>2020</v>
      </c>
      <c r="C3390" s="51" t="s">
        <v>707</v>
      </c>
      <c r="D3390" t="s">
        <v>738</v>
      </c>
      <c r="E3390" s="2">
        <v>30.431999999999999</v>
      </c>
    </row>
    <row r="3391" spans="1:5" x14ac:dyDescent="0.25">
      <c r="A3391" s="32" t="s">
        <v>767</v>
      </c>
      <c r="B3391" s="7">
        <v>2020</v>
      </c>
      <c r="C3391" s="51" t="s">
        <v>708</v>
      </c>
      <c r="D3391" t="s">
        <v>738</v>
      </c>
      <c r="E3391" s="2">
        <v>29.442</v>
      </c>
    </row>
    <row r="3392" spans="1:5" x14ac:dyDescent="0.25">
      <c r="A3392" s="32" t="s">
        <v>767</v>
      </c>
      <c r="B3392" s="7">
        <v>2020</v>
      </c>
      <c r="C3392" s="51" t="s">
        <v>699</v>
      </c>
      <c r="D3392" t="s">
        <v>738</v>
      </c>
      <c r="E3392" s="2">
        <v>29.552</v>
      </c>
    </row>
    <row r="3393" spans="1:5" x14ac:dyDescent="0.25">
      <c r="A3393" s="32" t="s">
        <v>767</v>
      </c>
      <c r="B3393" s="7">
        <v>2020</v>
      </c>
      <c r="C3393" s="51" t="s">
        <v>709</v>
      </c>
      <c r="D3393" t="s">
        <v>738</v>
      </c>
      <c r="E3393" s="2">
        <v>30.581</v>
      </c>
    </row>
    <row r="3394" spans="1:5" x14ac:dyDescent="0.25">
      <c r="A3394" s="32" t="s">
        <v>767</v>
      </c>
      <c r="B3394" s="7">
        <v>2020</v>
      </c>
      <c r="C3394" s="51" t="s">
        <v>712</v>
      </c>
      <c r="D3394" t="s">
        <v>738</v>
      </c>
      <c r="E3394" s="2">
        <v>29.350999999999999</v>
      </c>
    </row>
    <row r="3395" spans="1:5" x14ac:dyDescent="0.25">
      <c r="A3395" s="32" t="s">
        <v>767</v>
      </c>
      <c r="B3395" s="7">
        <v>2020</v>
      </c>
      <c r="C3395" s="51" t="s">
        <v>710</v>
      </c>
      <c r="D3395" t="s">
        <v>738</v>
      </c>
      <c r="E3395" s="2">
        <v>25.539000000000001</v>
      </c>
    </row>
    <row r="3396" spans="1:5" x14ac:dyDescent="0.25">
      <c r="A3396" s="32" t="s">
        <v>767</v>
      </c>
      <c r="B3396" s="7">
        <v>2020</v>
      </c>
      <c r="C3396" s="51" t="s">
        <v>702</v>
      </c>
      <c r="D3396" t="s">
        <v>738</v>
      </c>
      <c r="E3396" s="2">
        <v>32.097000000000001</v>
      </c>
    </row>
    <row r="3397" spans="1:5" x14ac:dyDescent="0.25">
      <c r="A3397" s="32" t="s">
        <v>767</v>
      </c>
      <c r="B3397" s="7">
        <v>2020</v>
      </c>
      <c r="C3397" s="51" t="s">
        <v>703</v>
      </c>
      <c r="D3397" t="s">
        <v>738</v>
      </c>
      <c r="E3397" s="2">
        <v>27.913</v>
      </c>
    </row>
    <row r="3398" spans="1:5" x14ac:dyDescent="0.25">
      <c r="A3398" s="32" t="s">
        <v>767</v>
      </c>
      <c r="B3398" s="7">
        <v>2020</v>
      </c>
      <c r="C3398" s="51" t="s">
        <v>704</v>
      </c>
      <c r="D3398" t="s">
        <v>738</v>
      </c>
      <c r="E3398" s="2">
        <v>27.219000000000001</v>
      </c>
    </row>
    <row r="3399" spans="1:5" x14ac:dyDescent="0.25">
      <c r="A3399" s="32" t="s">
        <v>767</v>
      </c>
      <c r="B3399" s="7">
        <v>2020</v>
      </c>
      <c r="C3399" s="51" t="s">
        <v>705</v>
      </c>
      <c r="D3399" t="s">
        <v>738</v>
      </c>
      <c r="E3399" s="2">
        <v>27.283000000000001</v>
      </c>
    </row>
    <row r="3400" spans="1:5" x14ac:dyDescent="0.25">
      <c r="A3400" s="32" t="s">
        <v>767</v>
      </c>
      <c r="B3400" s="7">
        <v>2020</v>
      </c>
      <c r="C3400" s="51" t="s">
        <v>706</v>
      </c>
      <c r="D3400" t="s">
        <v>738</v>
      </c>
      <c r="E3400" s="2">
        <v>32.200000000000003</v>
      </c>
    </row>
    <row r="3401" spans="1:5" x14ac:dyDescent="0.25">
      <c r="A3401" s="32" t="s">
        <v>767</v>
      </c>
      <c r="B3401" s="7">
        <v>2021</v>
      </c>
      <c r="C3401" s="51" t="s">
        <v>713</v>
      </c>
      <c r="D3401" t="s">
        <v>738</v>
      </c>
      <c r="E3401" s="2">
        <v>28.023</v>
      </c>
    </row>
    <row r="3402" spans="1:5" x14ac:dyDescent="0.25">
      <c r="A3402" s="32" t="s">
        <v>767</v>
      </c>
      <c r="B3402" s="7">
        <v>2021</v>
      </c>
      <c r="C3402" s="51" t="s">
        <v>707</v>
      </c>
      <c r="D3402" t="s">
        <v>738</v>
      </c>
      <c r="E3402" s="2">
        <v>29.815999999999999</v>
      </c>
    </row>
    <row r="3403" spans="1:5" x14ac:dyDescent="0.25">
      <c r="A3403" s="32" t="s">
        <v>767</v>
      </c>
      <c r="B3403" s="7">
        <v>2021</v>
      </c>
      <c r="C3403" s="51" t="s">
        <v>708</v>
      </c>
      <c r="D3403" t="s">
        <v>738</v>
      </c>
      <c r="E3403" s="2">
        <v>29.533000000000001</v>
      </c>
    </row>
    <row r="3404" spans="1:5" x14ac:dyDescent="0.25">
      <c r="A3404" s="32" t="s">
        <v>767</v>
      </c>
      <c r="B3404" s="7">
        <v>2021</v>
      </c>
      <c r="C3404" s="51" t="s">
        <v>699</v>
      </c>
      <c r="D3404" t="s">
        <v>738</v>
      </c>
      <c r="E3404" s="2">
        <v>28.786999999999999</v>
      </c>
    </row>
    <row r="3405" spans="1:5" x14ac:dyDescent="0.25">
      <c r="A3405" s="32" t="s">
        <v>767</v>
      </c>
      <c r="B3405" s="7">
        <v>2021</v>
      </c>
      <c r="C3405" s="51" t="s">
        <v>709</v>
      </c>
      <c r="D3405" t="s">
        <v>738</v>
      </c>
      <c r="E3405" s="2">
        <v>26.05</v>
      </c>
    </row>
    <row r="3406" spans="1:5" x14ac:dyDescent="0.25">
      <c r="A3406" s="32" t="s">
        <v>767</v>
      </c>
      <c r="B3406" s="7">
        <v>2021</v>
      </c>
      <c r="C3406" s="51" t="s">
        <v>712</v>
      </c>
      <c r="D3406" t="s">
        <v>738</v>
      </c>
      <c r="E3406" s="2">
        <v>26.763000000000002</v>
      </c>
    </row>
    <row r="3407" spans="1:5" x14ac:dyDescent="0.25">
      <c r="A3407" s="32" t="s">
        <v>767</v>
      </c>
      <c r="B3407" s="7">
        <v>2021</v>
      </c>
      <c r="C3407" s="51" t="s">
        <v>710</v>
      </c>
      <c r="D3407" t="s">
        <v>738</v>
      </c>
      <c r="E3407" s="2">
        <v>26.372</v>
      </c>
    </row>
    <row r="3408" spans="1:5" x14ac:dyDescent="0.25">
      <c r="A3408" s="32" t="s">
        <v>767</v>
      </c>
      <c r="B3408" s="7">
        <v>2021</v>
      </c>
      <c r="C3408" s="51" t="s">
        <v>702</v>
      </c>
      <c r="D3408" t="s">
        <v>738</v>
      </c>
      <c r="E3408" s="2">
        <v>27.863</v>
      </c>
    </row>
    <row r="3409" spans="1:5" x14ac:dyDescent="0.25">
      <c r="A3409" s="32" t="s">
        <v>767</v>
      </c>
      <c r="B3409" s="7">
        <v>2021</v>
      </c>
      <c r="C3409" s="51" t="s">
        <v>703</v>
      </c>
      <c r="D3409" t="s">
        <v>738</v>
      </c>
      <c r="E3409" s="2">
        <v>28.326000000000001</v>
      </c>
    </row>
    <row r="3410" spans="1:5" x14ac:dyDescent="0.25">
      <c r="A3410" s="32" t="s">
        <v>767</v>
      </c>
      <c r="B3410" s="7">
        <v>2021</v>
      </c>
      <c r="C3410" s="51" t="s">
        <v>704</v>
      </c>
      <c r="D3410" t="s">
        <v>738</v>
      </c>
      <c r="E3410" s="2">
        <v>27.524999999999999</v>
      </c>
    </row>
    <row r="3411" spans="1:5" x14ac:dyDescent="0.25">
      <c r="A3411" s="32" t="s">
        <v>767</v>
      </c>
      <c r="B3411" s="7">
        <v>2021</v>
      </c>
      <c r="C3411" s="51" t="s">
        <v>705</v>
      </c>
      <c r="D3411" t="s">
        <v>738</v>
      </c>
      <c r="E3411" s="2">
        <v>26.646999999999998</v>
      </c>
    </row>
    <row r="3412" spans="1:5" x14ac:dyDescent="0.25">
      <c r="A3412" s="32" t="s">
        <v>767</v>
      </c>
      <c r="B3412" s="7">
        <v>2021</v>
      </c>
      <c r="C3412" s="51" t="s">
        <v>706</v>
      </c>
      <c r="D3412" t="s">
        <v>738</v>
      </c>
      <c r="E3412" s="2">
        <v>25.28</v>
      </c>
    </row>
    <row r="3413" spans="1:5" x14ac:dyDescent="0.25">
      <c r="A3413" s="32" t="s">
        <v>767</v>
      </c>
      <c r="B3413" s="7">
        <v>2022</v>
      </c>
      <c r="C3413" s="51" t="s">
        <v>713</v>
      </c>
      <c r="D3413" t="s">
        <v>738</v>
      </c>
      <c r="E3413" s="2">
        <v>32.993000000000002</v>
      </c>
    </row>
    <row r="3414" spans="1:5" x14ac:dyDescent="0.25">
      <c r="A3414" s="32" t="s">
        <v>767</v>
      </c>
      <c r="B3414" s="7">
        <v>2022</v>
      </c>
      <c r="C3414" s="51" t="s">
        <v>707</v>
      </c>
      <c r="D3414" t="s">
        <v>738</v>
      </c>
      <c r="E3414" s="2">
        <v>29.641999999999999</v>
      </c>
    </row>
    <row r="3415" spans="1:5" x14ac:dyDescent="0.25">
      <c r="A3415" s="32" t="s">
        <v>767</v>
      </c>
      <c r="B3415" s="7">
        <v>2022</v>
      </c>
      <c r="C3415" s="51" t="s">
        <v>708</v>
      </c>
      <c r="D3415" t="s">
        <v>738</v>
      </c>
      <c r="E3415" s="2">
        <v>30.356999999999999</v>
      </c>
    </row>
    <row r="3416" spans="1:5" x14ac:dyDescent="0.25">
      <c r="A3416" s="32" t="s">
        <v>767</v>
      </c>
      <c r="B3416" s="7">
        <v>2022</v>
      </c>
      <c r="C3416" s="51" t="s">
        <v>699</v>
      </c>
      <c r="D3416" t="s">
        <v>738</v>
      </c>
      <c r="E3416" s="2">
        <v>28.69</v>
      </c>
    </row>
    <row r="3417" spans="1:5" x14ac:dyDescent="0.25">
      <c r="A3417" s="32" t="s">
        <v>767</v>
      </c>
      <c r="B3417" s="7">
        <v>2022</v>
      </c>
      <c r="C3417" s="51" t="s">
        <v>709</v>
      </c>
      <c r="D3417" t="s">
        <v>738</v>
      </c>
      <c r="E3417" s="2">
        <v>31.14</v>
      </c>
    </row>
    <row r="3418" spans="1:5" x14ac:dyDescent="0.25">
      <c r="A3418" s="32" t="s">
        <v>767</v>
      </c>
      <c r="B3418" s="7">
        <v>2022</v>
      </c>
      <c r="C3418" s="51" t="s">
        <v>712</v>
      </c>
      <c r="D3418" t="s">
        <v>738</v>
      </c>
      <c r="E3418" s="2">
        <v>25.23</v>
      </c>
    </row>
    <row r="3419" spans="1:5" x14ac:dyDescent="0.25">
      <c r="A3419" s="32" t="s">
        <v>767</v>
      </c>
      <c r="B3419" s="7">
        <v>2022</v>
      </c>
      <c r="C3419" s="51" t="s">
        <v>710</v>
      </c>
      <c r="D3419" t="s">
        <v>738</v>
      </c>
      <c r="E3419" s="2">
        <v>26.263000000000002</v>
      </c>
    </row>
    <row r="3420" spans="1:5" x14ac:dyDescent="0.25">
      <c r="A3420" s="32" t="s">
        <v>767</v>
      </c>
      <c r="B3420" s="7">
        <v>2022</v>
      </c>
      <c r="C3420" s="51" t="s">
        <v>702</v>
      </c>
      <c r="D3420" t="s">
        <v>738</v>
      </c>
      <c r="E3420" s="2">
        <v>26.317</v>
      </c>
    </row>
    <row r="3421" spans="1:5" x14ac:dyDescent="0.25">
      <c r="A3421" s="32" t="s">
        <v>767</v>
      </c>
      <c r="B3421" s="7">
        <v>2022</v>
      </c>
      <c r="C3421" s="51" t="s">
        <v>703</v>
      </c>
      <c r="D3421" t="s">
        <v>738</v>
      </c>
      <c r="E3421" s="2">
        <v>25.169</v>
      </c>
    </row>
    <row r="3422" spans="1:5" x14ac:dyDescent="0.25">
      <c r="A3422" s="32" t="s">
        <v>767</v>
      </c>
      <c r="B3422" s="7">
        <v>2022</v>
      </c>
      <c r="C3422" s="51" t="s">
        <v>704</v>
      </c>
      <c r="D3422" t="s">
        <v>738</v>
      </c>
      <c r="E3422" s="2">
        <v>26.904</v>
      </c>
    </row>
    <row r="3423" spans="1:5" x14ac:dyDescent="0.25">
      <c r="A3423" s="32" t="s">
        <v>767</v>
      </c>
      <c r="B3423" s="7">
        <v>2022</v>
      </c>
      <c r="C3423" s="51" t="s">
        <v>705</v>
      </c>
      <c r="D3423" t="s">
        <v>738</v>
      </c>
      <c r="E3423" s="2">
        <v>26.096</v>
      </c>
    </row>
    <row r="3424" spans="1:5" x14ac:dyDescent="0.25">
      <c r="A3424" s="32" t="s">
        <v>767</v>
      </c>
      <c r="B3424" s="7">
        <v>2022</v>
      </c>
      <c r="C3424" s="51" t="s">
        <v>706</v>
      </c>
      <c r="D3424" t="s">
        <v>738</v>
      </c>
      <c r="E3424" s="2">
        <v>30.956</v>
      </c>
    </row>
    <row r="3425" spans="1:5" x14ac:dyDescent="0.25">
      <c r="A3425" s="32" t="s">
        <v>767</v>
      </c>
      <c r="B3425" s="7">
        <v>2023</v>
      </c>
      <c r="C3425" s="51" t="s">
        <v>713</v>
      </c>
      <c r="D3425" t="s">
        <v>738</v>
      </c>
      <c r="E3425" s="2">
        <v>29.126000000000001</v>
      </c>
    </row>
    <row r="3426" spans="1:5" x14ac:dyDescent="0.25">
      <c r="A3426" s="32" t="s">
        <v>767</v>
      </c>
      <c r="B3426" s="7">
        <v>2023</v>
      </c>
      <c r="C3426" s="51" t="s">
        <v>707</v>
      </c>
      <c r="D3426" t="s">
        <v>738</v>
      </c>
      <c r="E3426" s="2">
        <v>26.341999999999999</v>
      </c>
    </row>
    <row r="3427" spans="1:5" x14ac:dyDescent="0.25">
      <c r="A3427" s="32" t="s">
        <v>767</v>
      </c>
      <c r="B3427" s="7">
        <v>2023</v>
      </c>
      <c r="C3427" s="51" t="s">
        <v>708</v>
      </c>
      <c r="D3427" t="s">
        <v>738</v>
      </c>
      <c r="E3427" s="2">
        <v>27.478000000000002</v>
      </c>
    </row>
    <row r="3428" spans="1:5" x14ac:dyDescent="0.25">
      <c r="A3428" s="32" t="s">
        <v>767</v>
      </c>
      <c r="B3428" s="7">
        <v>2023</v>
      </c>
      <c r="C3428" s="51" t="s">
        <v>699</v>
      </c>
      <c r="D3428" t="s">
        <v>738</v>
      </c>
      <c r="E3428" s="2">
        <v>24.818999999999999</v>
      </c>
    </row>
    <row r="3429" spans="1:5" x14ac:dyDescent="0.25">
      <c r="A3429" s="32" t="s">
        <v>767</v>
      </c>
      <c r="B3429" s="7">
        <v>2023</v>
      </c>
      <c r="C3429" s="51" t="s">
        <v>709</v>
      </c>
      <c r="D3429" t="s">
        <v>738</v>
      </c>
      <c r="E3429" s="2">
        <v>26.332000000000001</v>
      </c>
    </row>
    <row r="3430" spans="1:5" x14ac:dyDescent="0.25">
      <c r="A3430" s="32" t="s">
        <v>767</v>
      </c>
      <c r="B3430" s="7">
        <v>2023</v>
      </c>
      <c r="C3430" s="51" t="s">
        <v>712</v>
      </c>
      <c r="D3430" t="s">
        <v>738</v>
      </c>
      <c r="E3430" s="2">
        <v>24.195</v>
      </c>
    </row>
    <row r="3431" spans="1:5" x14ac:dyDescent="0.25">
      <c r="A3431" s="32" t="s">
        <v>767</v>
      </c>
      <c r="B3431" s="7">
        <v>2023</v>
      </c>
      <c r="C3431" s="51" t="s">
        <v>710</v>
      </c>
      <c r="D3431" t="s">
        <v>738</v>
      </c>
      <c r="E3431" s="2">
        <v>25.739000000000001</v>
      </c>
    </row>
    <row r="3432" spans="1:5" x14ac:dyDescent="0.25">
      <c r="A3432" s="32" t="s">
        <v>767</v>
      </c>
      <c r="B3432" s="7">
        <v>2023</v>
      </c>
      <c r="C3432" s="51" t="s">
        <v>702</v>
      </c>
      <c r="D3432" t="s">
        <v>738</v>
      </c>
      <c r="E3432" s="2">
        <v>25.266999999999999</v>
      </c>
    </row>
    <row r="3433" spans="1:5" x14ac:dyDescent="0.25">
      <c r="A3433" s="32" t="s">
        <v>767</v>
      </c>
      <c r="B3433" s="7">
        <v>2023</v>
      </c>
      <c r="C3433" s="51" t="s">
        <v>703</v>
      </c>
      <c r="D3433" t="s">
        <v>738</v>
      </c>
      <c r="E3433" s="2">
        <v>28.143999999999998</v>
      </c>
    </row>
    <row r="3434" spans="1:5" x14ac:dyDescent="0.25">
      <c r="A3434" s="32" t="s">
        <v>767</v>
      </c>
      <c r="B3434" s="7">
        <v>1997</v>
      </c>
      <c r="C3434" s="51" t="s">
        <v>704</v>
      </c>
      <c r="D3434" t="s">
        <v>739</v>
      </c>
      <c r="E3434" s="2">
        <v>8.5730000000000004</v>
      </c>
    </row>
    <row r="3435" spans="1:5" x14ac:dyDescent="0.25">
      <c r="A3435" s="32" t="s">
        <v>767</v>
      </c>
      <c r="B3435" s="7">
        <v>1997</v>
      </c>
      <c r="C3435" s="51" t="s">
        <v>705</v>
      </c>
      <c r="D3435" t="s">
        <v>739</v>
      </c>
      <c r="E3435" s="2">
        <v>8.5630000000000006</v>
      </c>
    </row>
    <row r="3436" spans="1:5" x14ac:dyDescent="0.25">
      <c r="A3436" s="32" t="s">
        <v>767</v>
      </c>
      <c r="B3436" s="7">
        <v>1997</v>
      </c>
      <c r="C3436" s="51" t="s">
        <v>706</v>
      </c>
      <c r="D3436" t="s">
        <v>739</v>
      </c>
      <c r="E3436" s="2">
        <v>7.367</v>
      </c>
    </row>
    <row r="3437" spans="1:5" x14ac:dyDescent="0.25">
      <c r="A3437" s="32" t="s">
        <v>767</v>
      </c>
      <c r="B3437" s="7">
        <v>1998</v>
      </c>
      <c r="C3437" s="51" t="s">
        <v>713</v>
      </c>
      <c r="D3437" t="s">
        <v>739</v>
      </c>
      <c r="E3437" s="2">
        <v>9.07</v>
      </c>
    </row>
    <row r="3438" spans="1:5" x14ac:dyDescent="0.25">
      <c r="A3438" s="32" t="s">
        <v>767</v>
      </c>
      <c r="B3438" s="7">
        <v>1998</v>
      </c>
      <c r="C3438" s="51" t="s">
        <v>707</v>
      </c>
      <c r="D3438" t="s">
        <v>739</v>
      </c>
      <c r="E3438" s="2">
        <v>8.8079999999999998</v>
      </c>
    </row>
    <row r="3439" spans="1:5" x14ac:dyDescent="0.25">
      <c r="A3439" s="32" t="s">
        <v>767</v>
      </c>
      <c r="B3439" s="7">
        <v>1998</v>
      </c>
      <c r="C3439" s="51" t="s">
        <v>708</v>
      </c>
      <c r="D3439" t="s">
        <v>739</v>
      </c>
      <c r="E3439" s="2">
        <v>9.3989999999999991</v>
      </c>
    </row>
    <row r="3440" spans="1:5" x14ac:dyDescent="0.25">
      <c r="A3440" s="32" t="s">
        <v>767</v>
      </c>
      <c r="B3440" s="7">
        <v>1998</v>
      </c>
      <c r="C3440" s="51" t="s">
        <v>699</v>
      </c>
      <c r="D3440" t="s">
        <v>739</v>
      </c>
      <c r="E3440" s="2">
        <v>9.0120000000000005</v>
      </c>
    </row>
    <row r="3441" spans="1:5" x14ac:dyDescent="0.25">
      <c r="A3441" s="32" t="s">
        <v>767</v>
      </c>
      <c r="B3441" s="7">
        <v>1998</v>
      </c>
      <c r="C3441" s="51" t="s">
        <v>709</v>
      </c>
      <c r="D3441" t="s">
        <v>739</v>
      </c>
      <c r="E3441" s="2">
        <v>9.3759999999999994</v>
      </c>
    </row>
    <row r="3442" spans="1:5" x14ac:dyDescent="0.25">
      <c r="A3442" s="32" t="s">
        <v>767</v>
      </c>
      <c r="B3442" s="7">
        <v>1998</v>
      </c>
      <c r="C3442" s="51" t="s">
        <v>712</v>
      </c>
      <c r="D3442" t="s">
        <v>739</v>
      </c>
      <c r="E3442" s="2">
        <v>8.7270000000000003</v>
      </c>
    </row>
    <row r="3443" spans="1:5" x14ac:dyDescent="0.25">
      <c r="A3443" s="32" t="s">
        <v>767</v>
      </c>
      <c r="B3443" s="7">
        <v>1998</v>
      </c>
      <c r="C3443" s="51" t="s">
        <v>710</v>
      </c>
      <c r="D3443" t="s">
        <v>739</v>
      </c>
      <c r="E3443" s="2">
        <v>9.3670000000000009</v>
      </c>
    </row>
    <row r="3444" spans="1:5" x14ac:dyDescent="0.25">
      <c r="A3444" s="32" t="s">
        <v>767</v>
      </c>
      <c r="B3444" s="7">
        <v>1998</v>
      </c>
      <c r="C3444" s="51" t="s">
        <v>702</v>
      </c>
      <c r="D3444" t="s">
        <v>739</v>
      </c>
      <c r="E3444" s="2">
        <v>9.7899999999999991</v>
      </c>
    </row>
    <row r="3445" spans="1:5" x14ac:dyDescent="0.25">
      <c r="A3445" s="32" t="s">
        <v>767</v>
      </c>
      <c r="B3445" s="7">
        <v>1998</v>
      </c>
      <c r="C3445" s="51" t="s">
        <v>703</v>
      </c>
      <c r="D3445" t="s">
        <v>739</v>
      </c>
      <c r="E3445" s="2">
        <v>9.1750000000000007</v>
      </c>
    </row>
    <row r="3446" spans="1:5" x14ac:dyDescent="0.25">
      <c r="A3446" s="32" t="s">
        <v>767</v>
      </c>
      <c r="B3446" s="7">
        <v>1998</v>
      </c>
      <c r="C3446" s="51" t="s">
        <v>704</v>
      </c>
      <c r="D3446" t="s">
        <v>739</v>
      </c>
      <c r="E3446" s="2">
        <v>9.7669999999999995</v>
      </c>
    </row>
    <row r="3447" spans="1:5" x14ac:dyDescent="0.25">
      <c r="A3447" s="32" t="s">
        <v>767</v>
      </c>
      <c r="B3447" s="7">
        <v>1998</v>
      </c>
      <c r="C3447" s="51" t="s">
        <v>705</v>
      </c>
      <c r="D3447" t="s">
        <v>739</v>
      </c>
      <c r="E3447" s="2">
        <v>8.8209999999999997</v>
      </c>
    </row>
    <row r="3448" spans="1:5" x14ac:dyDescent="0.25">
      <c r="A3448" s="32" t="s">
        <v>767</v>
      </c>
      <c r="B3448" s="7">
        <v>1998</v>
      </c>
      <c r="C3448" s="51" t="s">
        <v>706</v>
      </c>
      <c r="D3448" t="s">
        <v>739</v>
      </c>
      <c r="E3448" s="2">
        <v>8.5020000000000007</v>
      </c>
    </row>
    <row r="3449" spans="1:5" x14ac:dyDescent="0.25">
      <c r="A3449" s="32" t="s">
        <v>767</v>
      </c>
      <c r="B3449" s="7">
        <v>1999</v>
      </c>
      <c r="C3449" s="51" t="s">
        <v>713</v>
      </c>
      <c r="D3449" t="s">
        <v>739</v>
      </c>
      <c r="E3449" s="2">
        <v>11.042999999999999</v>
      </c>
    </row>
    <row r="3450" spans="1:5" x14ac:dyDescent="0.25">
      <c r="A3450" s="32" t="s">
        <v>767</v>
      </c>
      <c r="B3450" s="7">
        <v>1999</v>
      </c>
      <c r="C3450" s="51" t="s">
        <v>707</v>
      </c>
      <c r="D3450" t="s">
        <v>739</v>
      </c>
      <c r="E3450" s="2">
        <v>10.292</v>
      </c>
    </row>
    <row r="3451" spans="1:5" x14ac:dyDescent="0.25">
      <c r="A3451" s="32" t="s">
        <v>767</v>
      </c>
      <c r="B3451" s="7">
        <v>1999</v>
      </c>
      <c r="C3451" s="51" t="s">
        <v>708</v>
      </c>
      <c r="D3451" t="s">
        <v>739</v>
      </c>
      <c r="E3451" s="2">
        <v>12.223000000000001</v>
      </c>
    </row>
    <row r="3452" spans="1:5" x14ac:dyDescent="0.25">
      <c r="A3452" s="32" t="s">
        <v>767</v>
      </c>
      <c r="B3452" s="7">
        <v>1999</v>
      </c>
      <c r="C3452" s="51" t="s">
        <v>699</v>
      </c>
      <c r="D3452" t="s">
        <v>739</v>
      </c>
      <c r="E3452" s="2">
        <v>10.398</v>
      </c>
    </row>
    <row r="3453" spans="1:5" x14ac:dyDescent="0.25">
      <c r="A3453" s="32" t="s">
        <v>767</v>
      </c>
      <c r="B3453" s="7">
        <v>1999</v>
      </c>
      <c r="C3453" s="51" t="s">
        <v>709</v>
      </c>
      <c r="D3453" t="s">
        <v>739</v>
      </c>
      <c r="E3453" s="2">
        <v>10.456</v>
      </c>
    </row>
    <row r="3454" spans="1:5" x14ac:dyDescent="0.25">
      <c r="A3454" s="32" t="s">
        <v>767</v>
      </c>
      <c r="B3454" s="7">
        <v>1999</v>
      </c>
      <c r="C3454" s="51" t="s">
        <v>712</v>
      </c>
      <c r="D3454" t="s">
        <v>739</v>
      </c>
      <c r="E3454" s="2">
        <v>10.169</v>
      </c>
    </row>
    <row r="3455" spans="1:5" x14ac:dyDescent="0.25">
      <c r="A3455" s="32" t="s">
        <v>767</v>
      </c>
      <c r="B3455" s="7">
        <v>1999</v>
      </c>
      <c r="C3455" s="51" t="s">
        <v>710</v>
      </c>
      <c r="D3455" t="s">
        <v>739</v>
      </c>
      <c r="E3455" s="2">
        <v>10.487</v>
      </c>
    </row>
    <row r="3456" spans="1:5" x14ac:dyDescent="0.25">
      <c r="A3456" s="32" t="s">
        <v>767</v>
      </c>
      <c r="B3456" s="7">
        <v>1999</v>
      </c>
      <c r="C3456" s="51" t="s">
        <v>702</v>
      </c>
      <c r="D3456" t="s">
        <v>739</v>
      </c>
      <c r="E3456" s="2">
        <v>10.616</v>
      </c>
    </row>
    <row r="3457" spans="1:5" x14ac:dyDescent="0.25">
      <c r="A3457" s="32" t="s">
        <v>767</v>
      </c>
      <c r="B3457" s="7">
        <v>1999</v>
      </c>
      <c r="C3457" s="51" t="s">
        <v>703</v>
      </c>
      <c r="D3457" t="s">
        <v>739</v>
      </c>
      <c r="E3457" s="2">
        <v>10.252000000000001</v>
      </c>
    </row>
    <row r="3458" spans="1:5" x14ac:dyDescent="0.25">
      <c r="A3458" s="32" t="s">
        <v>767</v>
      </c>
      <c r="B3458" s="7">
        <v>1999</v>
      </c>
      <c r="C3458" s="51" t="s">
        <v>704</v>
      </c>
      <c r="D3458" t="s">
        <v>739</v>
      </c>
      <c r="E3458" s="2">
        <v>10.651999999999999</v>
      </c>
    </row>
    <row r="3459" spans="1:5" x14ac:dyDescent="0.25">
      <c r="A3459" s="32" t="s">
        <v>767</v>
      </c>
      <c r="B3459" s="7">
        <v>1999</v>
      </c>
      <c r="C3459" s="51" t="s">
        <v>705</v>
      </c>
      <c r="D3459" t="s">
        <v>739</v>
      </c>
      <c r="E3459" s="2">
        <v>8.9179999999999993</v>
      </c>
    </row>
    <row r="3460" spans="1:5" x14ac:dyDescent="0.25">
      <c r="A3460" s="32" t="s">
        <v>767</v>
      </c>
      <c r="B3460" s="7">
        <v>1999</v>
      </c>
      <c r="C3460" s="51" t="s">
        <v>706</v>
      </c>
      <c r="D3460" t="s">
        <v>739</v>
      </c>
      <c r="E3460" s="2">
        <v>8.1449999999999996</v>
      </c>
    </row>
    <row r="3461" spans="1:5" x14ac:dyDescent="0.25">
      <c r="A3461" s="32" t="s">
        <v>767</v>
      </c>
      <c r="B3461" s="7">
        <v>2000</v>
      </c>
      <c r="C3461" s="51" t="s">
        <v>713</v>
      </c>
      <c r="D3461" t="s">
        <v>739</v>
      </c>
      <c r="E3461" s="2">
        <v>9.1059999999999999</v>
      </c>
    </row>
    <row r="3462" spans="1:5" x14ac:dyDescent="0.25">
      <c r="A3462" s="32" t="s">
        <v>767</v>
      </c>
      <c r="B3462" s="7">
        <v>2000</v>
      </c>
      <c r="C3462" s="51" t="s">
        <v>707</v>
      </c>
      <c r="D3462" t="s">
        <v>739</v>
      </c>
      <c r="E3462" s="2">
        <v>10.568</v>
      </c>
    </row>
    <row r="3463" spans="1:5" x14ac:dyDescent="0.25">
      <c r="A3463" s="32" t="s">
        <v>767</v>
      </c>
      <c r="B3463" s="7">
        <v>2000</v>
      </c>
      <c r="C3463" s="51" t="s">
        <v>708</v>
      </c>
      <c r="D3463" t="s">
        <v>739</v>
      </c>
      <c r="E3463" s="2">
        <v>11.391999999999999</v>
      </c>
    </row>
    <row r="3464" spans="1:5" x14ac:dyDescent="0.25">
      <c r="A3464" s="32" t="s">
        <v>767</v>
      </c>
      <c r="B3464" s="7">
        <v>2000</v>
      </c>
      <c r="C3464" s="51" t="s">
        <v>699</v>
      </c>
      <c r="D3464" t="s">
        <v>739</v>
      </c>
      <c r="E3464" s="2">
        <v>10.606999999999999</v>
      </c>
    </row>
    <row r="3465" spans="1:5" x14ac:dyDescent="0.25">
      <c r="A3465" s="32" t="s">
        <v>767</v>
      </c>
      <c r="B3465" s="7">
        <v>2000</v>
      </c>
      <c r="C3465" s="51" t="s">
        <v>709</v>
      </c>
      <c r="D3465" t="s">
        <v>739</v>
      </c>
      <c r="E3465" s="2">
        <v>9.327</v>
      </c>
    </row>
    <row r="3466" spans="1:5" x14ac:dyDescent="0.25">
      <c r="A3466" s="32" t="s">
        <v>767</v>
      </c>
      <c r="B3466" s="7">
        <v>2000</v>
      </c>
      <c r="C3466" s="51" t="s">
        <v>712</v>
      </c>
      <c r="D3466" t="s">
        <v>739</v>
      </c>
      <c r="E3466" s="2">
        <v>10.515000000000001</v>
      </c>
    </row>
    <row r="3467" spans="1:5" x14ac:dyDescent="0.25">
      <c r="A3467" s="32" t="s">
        <v>767</v>
      </c>
      <c r="B3467" s="7">
        <v>2000</v>
      </c>
      <c r="C3467" s="51" t="s">
        <v>710</v>
      </c>
      <c r="D3467" t="s">
        <v>739</v>
      </c>
      <c r="E3467" s="2">
        <v>10.537000000000001</v>
      </c>
    </row>
    <row r="3468" spans="1:5" x14ac:dyDescent="0.25">
      <c r="A3468" s="32" t="s">
        <v>767</v>
      </c>
      <c r="B3468" s="7">
        <v>2000</v>
      </c>
      <c r="C3468" s="51" t="s">
        <v>702</v>
      </c>
      <c r="D3468" t="s">
        <v>739</v>
      </c>
      <c r="E3468" s="2">
        <v>10.839</v>
      </c>
    </row>
    <row r="3469" spans="1:5" x14ac:dyDescent="0.25">
      <c r="A3469" s="32" t="s">
        <v>767</v>
      </c>
      <c r="B3469" s="7">
        <v>2000</v>
      </c>
      <c r="C3469" s="51" t="s">
        <v>703</v>
      </c>
      <c r="D3469" t="s">
        <v>739</v>
      </c>
      <c r="E3469" s="2">
        <v>10.458</v>
      </c>
    </row>
    <row r="3470" spans="1:5" x14ac:dyDescent="0.25">
      <c r="A3470" s="32" t="s">
        <v>767</v>
      </c>
      <c r="B3470" s="7">
        <v>2000</v>
      </c>
      <c r="C3470" s="51" t="s">
        <v>704</v>
      </c>
      <c r="D3470" t="s">
        <v>739</v>
      </c>
      <c r="E3470" s="2">
        <v>10.435</v>
      </c>
    </row>
    <row r="3471" spans="1:5" x14ac:dyDescent="0.25">
      <c r="A3471" s="32" t="s">
        <v>767</v>
      </c>
      <c r="B3471" s="7">
        <v>2000</v>
      </c>
      <c r="C3471" s="51" t="s">
        <v>705</v>
      </c>
      <c r="D3471" t="s">
        <v>739</v>
      </c>
      <c r="E3471" s="2">
        <v>10.287000000000001</v>
      </c>
    </row>
    <row r="3472" spans="1:5" x14ac:dyDescent="0.25">
      <c r="A3472" s="32" t="s">
        <v>767</v>
      </c>
      <c r="B3472" s="7">
        <v>2000</v>
      </c>
      <c r="C3472" s="51" t="s">
        <v>706</v>
      </c>
      <c r="D3472" t="s">
        <v>739</v>
      </c>
      <c r="E3472" s="2">
        <v>9.5030000000000001</v>
      </c>
    </row>
    <row r="3473" spans="1:5" x14ac:dyDescent="0.25">
      <c r="A3473" s="32" t="s">
        <v>767</v>
      </c>
      <c r="B3473" s="7">
        <v>2001</v>
      </c>
      <c r="C3473" s="51" t="s">
        <v>713</v>
      </c>
      <c r="D3473" t="s">
        <v>739</v>
      </c>
      <c r="E3473" s="2">
        <v>10.602</v>
      </c>
    </row>
    <row r="3474" spans="1:5" x14ac:dyDescent="0.25">
      <c r="A3474" s="32" t="s">
        <v>767</v>
      </c>
      <c r="B3474" s="7">
        <v>2001</v>
      </c>
      <c r="C3474" s="51" t="s">
        <v>707</v>
      </c>
      <c r="D3474" t="s">
        <v>739</v>
      </c>
      <c r="E3474" s="2">
        <v>11.175000000000001</v>
      </c>
    </row>
    <row r="3475" spans="1:5" x14ac:dyDescent="0.25">
      <c r="A3475" s="32" t="s">
        <v>767</v>
      </c>
      <c r="B3475" s="7">
        <v>2001</v>
      </c>
      <c r="C3475" s="51" t="s">
        <v>708</v>
      </c>
      <c r="D3475" t="s">
        <v>739</v>
      </c>
      <c r="E3475" s="2">
        <v>12.869</v>
      </c>
    </row>
    <row r="3476" spans="1:5" x14ac:dyDescent="0.25">
      <c r="A3476" s="32" t="s">
        <v>767</v>
      </c>
      <c r="B3476" s="7">
        <v>2001</v>
      </c>
      <c r="C3476" s="51" t="s">
        <v>699</v>
      </c>
      <c r="D3476" t="s">
        <v>739</v>
      </c>
      <c r="E3476" s="2">
        <v>12.484999999999999</v>
      </c>
    </row>
    <row r="3477" spans="1:5" x14ac:dyDescent="0.25">
      <c r="A3477" s="32" t="s">
        <v>767</v>
      </c>
      <c r="B3477" s="7">
        <v>2001</v>
      </c>
      <c r="C3477" s="51" t="s">
        <v>709</v>
      </c>
      <c r="D3477" t="s">
        <v>739</v>
      </c>
      <c r="E3477" s="2">
        <v>12.887</v>
      </c>
    </row>
    <row r="3478" spans="1:5" x14ac:dyDescent="0.25">
      <c r="A3478" s="32" t="s">
        <v>767</v>
      </c>
      <c r="B3478" s="7">
        <v>2001</v>
      </c>
      <c r="C3478" s="51" t="s">
        <v>712</v>
      </c>
      <c r="D3478" t="s">
        <v>739</v>
      </c>
      <c r="E3478" s="2">
        <v>13.196999999999999</v>
      </c>
    </row>
    <row r="3479" spans="1:5" x14ac:dyDescent="0.25">
      <c r="A3479" s="32" t="s">
        <v>767</v>
      </c>
      <c r="B3479" s="7">
        <v>2001</v>
      </c>
      <c r="C3479" s="51" t="s">
        <v>710</v>
      </c>
      <c r="D3479" t="s">
        <v>739</v>
      </c>
      <c r="E3479" s="2">
        <v>12.851000000000001</v>
      </c>
    </row>
    <row r="3480" spans="1:5" x14ac:dyDescent="0.25">
      <c r="A3480" s="32" t="s">
        <v>767</v>
      </c>
      <c r="B3480" s="7">
        <v>2001</v>
      </c>
      <c r="C3480" s="51" t="s">
        <v>702</v>
      </c>
      <c r="D3480" t="s">
        <v>739</v>
      </c>
      <c r="E3480" s="2">
        <v>15.124000000000001</v>
      </c>
    </row>
    <row r="3481" spans="1:5" x14ac:dyDescent="0.25">
      <c r="A3481" s="32" t="s">
        <v>767</v>
      </c>
      <c r="B3481" s="7">
        <v>2001</v>
      </c>
      <c r="C3481" s="51" t="s">
        <v>703</v>
      </c>
      <c r="D3481" t="s">
        <v>739</v>
      </c>
      <c r="E3481" s="2">
        <v>13.336</v>
      </c>
    </row>
    <row r="3482" spans="1:5" x14ac:dyDescent="0.25">
      <c r="A3482" s="32" t="s">
        <v>767</v>
      </c>
      <c r="B3482" s="7">
        <v>2001</v>
      </c>
      <c r="C3482" s="51" t="s">
        <v>704</v>
      </c>
      <c r="D3482" t="s">
        <v>739</v>
      </c>
      <c r="E3482" s="2">
        <v>13.864000000000001</v>
      </c>
    </row>
    <row r="3483" spans="1:5" x14ac:dyDescent="0.25">
      <c r="A3483" s="32" t="s">
        <v>767</v>
      </c>
      <c r="B3483" s="7">
        <v>2001</v>
      </c>
      <c r="C3483" s="51" t="s">
        <v>705</v>
      </c>
      <c r="D3483" t="s">
        <v>739</v>
      </c>
      <c r="E3483" s="2">
        <v>12.178000000000001</v>
      </c>
    </row>
    <row r="3484" spans="1:5" x14ac:dyDescent="0.25">
      <c r="A3484" s="32" t="s">
        <v>767</v>
      </c>
      <c r="B3484" s="7">
        <v>2001</v>
      </c>
      <c r="C3484" s="51" t="s">
        <v>706</v>
      </c>
      <c r="D3484" t="s">
        <v>739</v>
      </c>
      <c r="E3484" s="2">
        <v>12.2</v>
      </c>
    </row>
    <row r="3485" spans="1:5" x14ac:dyDescent="0.25">
      <c r="A3485" s="32" t="s">
        <v>767</v>
      </c>
      <c r="B3485" s="7">
        <v>2002</v>
      </c>
      <c r="C3485" s="51" t="s">
        <v>713</v>
      </c>
      <c r="D3485" t="s">
        <v>739</v>
      </c>
      <c r="E3485" s="2">
        <v>13.048</v>
      </c>
    </row>
    <row r="3486" spans="1:5" x14ac:dyDescent="0.25">
      <c r="A3486" s="32" t="s">
        <v>767</v>
      </c>
      <c r="B3486" s="7">
        <v>2002</v>
      </c>
      <c r="C3486" s="51" t="s">
        <v>707</v>
      </c>
      <c r="D3486" t="s">
        <v>739</v>
      </c>
      <c r="E3486" s="2">
        <v>12.06</v>
      </c>
    </row>
    <row r="3487" spans="1:5" x14ac:dyDescent="0.25">
      <c r="A3487" s="32" t="s">
        <v>767</v>
      </c>
      <c r="B3487" s="7">
        <v>2002</v>
      </c>
      <c r="C3487" s="51" t="s">
        <v>708</v>
      </c>
      <c r="D3487" t="s">
        <v>739</v>
      </c>
      <c r="E3487" s="2">
        <v>13.845000000000001</v>
      </c>
    </row>
    <row r="3488" spans="1:5" x14ac:dyDescent="0.25">
      <c r="A3488" s="32" t="s">
        <v>767</v>
      </c>
      <c r="B3488" s="7">
        <v>2002</v>
      </c>
      <c r="C3488" s="51" t="s">
        <v>699</v>
      </c>
      <c r="D3488" t="s">
        <v>739</v>
      </c>
      <c r="E3488" s="2">
        <v>14.092000000000001</v>
      </c>
    </row>
    <row r="3489" spans="1:5" x14ac:dyDescent="0.25">
      <c r="A3489" s="32" t="s">
        <v>767</v>
      </c>
      <c r="B3489" s="7">
        <v>2002</v>
      </c>
      <c r="C3489" s="51" t="s">
        <v>709</v>
      </c>
      <c r="D3489" t="s">
        <v>739</v>
      </c>
      <c r="E3489" s="2">
        <v>14.974</v>
      </c>
    </row>
    <row r="3490" spans="1:5" x14ac:dyDescent="0.25">
      <c r="A3490" s="32" t="s">
        <v>767</v>
      </c>
      <c r="B3490" s="7">
        <v>2002</v>
      </c>
      <c r="C3490" s="51" t="s">
        <v>712</v>
      </c>
      <c r="D3490" t="s">
        <v>739</v>
      </c>
      <c r="E3490" s="2">
        <v>14.445</v>
      </c>
    </row>
    <row r="3491" spans="1:5" x14ac:dyDescent="0.25">
      <c r="A3491" s="32" t="s">
        <v>767</v>
      </c>
      <c r="B3491" s="7">
        <v>2002</v>
      </c>
      <c r="C3491" s="51" t="s">
        <v>710</v>
      </c>
      <c r="D3491" t="s">
        <v>739</v>
      </c>
      <c r="E3491" s="2">
        <v>14.616</v>
      </c>
    </row>
    <row r="3492" spans="1:5" x14ac:dyDescent="0.25">
      <c r="A3492" s="32" t="s">
        <v>767</v>
      </c>
      <c r="B3492" s="7">
        <v>2002</v>
      </c>
      <c r="C3492" s="51" t="s">
        <v>702</v>
      </c>
      <c r="D3492" t="s">
        <v>739</v>
      </c>
      <c r="E3492" s="2">
        <v>15.308999999999999</v>
      </c>
    </row>
    <row r="3493" spans="1:5" x14ac:dyDescent="0.25">
      <c r="A3493" s="32" t="s">
        <v>767</v>
      </c>
      <c r="B3493" s="7">
        <v>2002</v>
      </c>
      <c r="C3493" s="51" t="s">
        <v>703</v>
      </c>
      <c r="D3493" t="s">
        <v>739</v>
      </c>
      <c r="E3493" s="2">
        <v>15.122999999999999</v>
      </c>
    </row>
    <row r="3494" spans="1:5" x14ac:dyDescent="0.25">
      <c r="A3494" s="32" t="s">
        <v>767</v>
      </c>
      <c r="B3494" s="7">
        <v>2002</v>
      </c>
      <c r="C3494" s="51" t="s">
        <v>704</v>
      </c>
      <c r="D3494" t="s">
        <v>739</v>
      </c>
      <c r="E3494" s="2">
        <v>16.466999999999999</v>
      </c>
    </row>
    <row r="3495" spans="1:5" x14ac:dyDescent="0.25">
      <c r="A3495" s="32" t="s">
        <v>767</v>
      </c>
      <c r="B3495" s="7">
        <v>2002</v>
      </c>
      <c r="C3495" s="51" t="s">
        <v>705</v>
      </c>
      <c r="D3495" t="s">
        <v>739</v>
      </c>
      <c r="E3495" s="2">
        <v>16.844999999999999</v>
      </c>
    </row>
    <row r="3496" spans="1:5" x14ac:dyDescent="0.25">
      <c r="A3496" s="32" t="s">
        <v>767</v>
      </c>
      <c r="B3496" s="7">
        <v>2002</v>
      </c>
      <c r="C3496" s="51" t="s">
        <v>706</v>
      </c>
      <c r="D3496" t="s">
        <v>739</v>
      </c>
      <c r="E3496" s="2">
        <v>17.911999999999999</v>
      </c>
    </row>
    <row r="3497" spans="1:5" x14ac:dyDescent="0.25">
      <c r="A3497" s="32" t="s">
        <v>767</v>
      </c>
      <c r="B3497" s="7">
        <v>2003</v>
      </c>
      <c r="C3497" s="51" t="s">
        <v>713</v>
      </c>
      <c r="D3497" t="s">
        <v>739</v>
      </c>
      <c r="E3497" s="2">
        <v>19.995000000000001</v>
      </c>
    </row>
    <row r="3498" spans="1:5" x14ac:dyDescent="0.25">
      <c r="A3498" s="32" t="s">
        <v>767</v>
      </c>
      <c r="B3498" s="7">
        <v>2003</v>
      </c>
      <c r="C3498" s="51" t="s">
        <v>707</v>
      </c>
      <c r="D3498" t="s">
        <v>739</v>
      </c>
      <c r="E3498" s="2">
        <v>17.55</v>
      </c>
    </row>
    <row r="3499" spans="1:5" x14ac:dyDescent="0.25">
      <c r="A3499" s="32" t="s">
        <v>767</v>
      </c>
      <c r="B3499" s="7">
        <v>2003</v>
      </c>
      <c r="C3499" s="51" t="s">
        <v>708</v>
      </c>
      <c r="D3499" t="s">
        <v>739</v>
      </c>
      <c r="E3499" s="2">
        <v>18.439</v>
      </c>
    </row>
    <row r="3500" spans="1:5" x14ac:dyDescent="0.25">
      <c r="A3500" s="32" t="s">
        <v>767</v>
      </c>
      <c r="B3500" s="7">
        <v>2003</v>
      </c>
      <c r="C3500" s="51" t="s">
        <v>699</v>
      </c>
      <c r="D3500" t="s">
        <v>739</v>
      </c>
      <c r="E3500" s="2">
        <v>17.670000000000002</v>
      </c>
    </row>
    <row r="3501" spans="1:5" x14ac:dyDescent="0.25">
      <c r="A3501" s="32" t="s">
        <v>767</v>
      </c>
      <c r="B3501" s="7">
        <v>2003</v>
      </c>
      <c r="C3501" s="51" t="s">
        <v>709</v>
      </c>
      <c r="D3501" t="s">
        <v>739</v>
      </c>
      <c r="E3501" s="2">
        <v>18.651</v>
      </c>
    </row>
    <row r="3502" spans="1:5" x14ac:dyDescent="0.25">
      <c r="A3502" s="32" t="s">
        <v>767</v>
      </c>
      <c r="B3502" s="7">
        <v>2003</v>
      </c>
      <c r="C3502" s="51" t="s">
        <v>712</v>
      </c>
      <c r="D3502" t="s">
        <v>739</v>
      </c>
      <c r="E3502" s="2">
        <v>16.606000000000002</v>
      </c>
    </row>
    <row r="3503" spans="1:5" x14ac:dyDescent="0.25">
      <c r="A3503" s="32" t="s">
        <v>767</v>
      </c>
      <c r="B3503" s="7">
        <v>2003</v>
      </c>
      <c r="C3503" s="51" t="s">
        <v>710</v>
      </c>
      <c r="D3503" t="s">
        <v>739</v>
      </c>
      <c r="E3503" s="2">
        <v>17.492000000000001</v>
      </c>
    </row>
    <row r="3504" spans="1:5" x14ac:dyDescent="0.25">
      <c r="A3504" s="32" t="s">
        <v>767</v>
      </c>
      <c r="B3504" s="7">
        <v>2003</v>
      </c>
      <c r="C3504" s="51" t="s">
        <v>702</v>
      </c>
      <c r="D3504" t="s">
        <v>739</v>
      </c>
      <c r="E3504" s="2">
        <v>17.963999999999999</v>
      </c>
    </row>
    <row r="3505" spans="1:5" x14ac:dyDescent="0.25">
      <c r="A3505" s="32" t="s">
        <v>767</v>
      </c>
      <c r="B3505" s="7">
        <v>2003</v>
      </c>
      <c r="C3505" s="51" t="s">
        <v>703</v>
      </c>
      <c r="D3505" t="s">
        <v>739</v>
      </c>
      <c r="E3505" s="2">
        <v>18.686</v>
      </c>
    </row>
    <row r="3506" spans="1:5" x14ac:dyDescent="0.25">
      <c r="A3506" s="32" t="s">
        <v>767</v>
      </c>
      <c r="B3506" s="7">
        <v>2003</v>
      </c>
      <c r="C3506" s="51" t="s">
        <v>704</v>
      </c>
      <c r="D3506" t="s">
        <v>739</v>
      </c>
      <c r="E3506" s="2">
        <v>19.600999999999999</v>
      </c>
    </row>
    <row r="3507" spans="1:5" x14ac:dyDescent="0.25">
      <c r="A3507" s="32" t="s">
        <v>767</v>
      </c>
      <c r="B3507" s="7">
        <v>2003</v>
      </c>
      <c r="C3507" s="51" t="s">
        <v>705</v>
      </c>
      <c r="D3507" t="s">
        <v>739</v>
      </c>
      <c r="E3507" s="2">
        <v>19.190999999999999</v>
      </c>
    </row>
    <row r="3508" spans="1:5" x14ac:dyDescent="0.25">
      <c r="A3508" s="32" t="s">
        <v>767</v>
      </c>
      <c r="B3508" s="7">
        <v>2003</v>
      </c>
      <c r="C3508" s="51" t="s">
        <v>706</v>
      </c>
      <c r="D3508" t="s">
        <v>739</v>
      </c>
      <c r="E3508" s="2">
        <v>19.978000000000002</v>
      </c>
    </row>
    <row r="3509" spans="1:5" x14ac:dyDescent="0.25">
      <c r="A3509" s="32" t="s">
        <v>767</v>
      </c>
      <c r="B3509" s="7">
        <v>2004</v>
      </c>
      <c r="C3509" s="51" t="s">
        <v>713</v>
      </c>
      <c r="D3509" t="s">
        <v>739</v>
      </c>
      <c r="E3509" s="2">
        <v>20.792000000000002</v>
      </c>
    </row>
    <row r="3510" spans="1:5" x14ac:dyDescent="0.25">
      <c r="A3510" s="32" t="s">
        <v>767</v>
      </c>
      <c r="B3510" s="7">
        <v>2004</v>
      </c>
      <c r="C3510" s="51" t="s">
        <v>707</v>
      </c>
      <c r="D3510" t="s">
        <v>739</v>
      </c>
      <c r="E3510" s="2">
        <v>20.827000000000002</v>
      </c>
    </row>
    <row r="3511" spans="1:5" x14ac:dyDescent="0.25">
      <c r="A3511" s="32" t="s">
        <v>767</v>
      </c>
      <c r="B3511" s="7">
        <v>2004</v>
      </c>
      <c r="C3511" s="51" t="s">
        <v>708</v>
      </c>
      <c r="D3511" t="s">
        <v>739</v>
      </c>
      <c r="E3511" s="2">
        <v>20.675999999999998</v>
      </c>
    </row>
    <row r="3512" spans="1:5" x14ac:dyDescent="0.25">
      <c r="A3512" s="32" t="s">
        <v>767</v>
      </c>
      <c r="B3512" s="7">
        <v>2004</v>
      </c>
      <c r="C3512" s="51" t="s">
        <v>699</v>
      </c>
      <c r="D3512" t="s">
        <v>739</v>
      </c>
      <c r="E3512" s="2">
        <v>21.355</v>
      </c>
    </row>
    <row r="3513" spans="1:5" x14ac:dyDescent="0.25">
      <c r="A3513" s="32" t="s">
        <v>767</v>
      </c>
      <c r="B3513" s="7">
        <v>2004</v>
      </c>
      <c r="C3513" s="51" t="s">
        <v>709</v>
      </c>
      <c r="D3513" t="s">
        <v>739</v>
      </c>
      <c r="E3513" s="2">
        <v>21.695</v>
      </c>
    </row>
    <row r="3514" spans="1:5" x14ac:dyDescent="0.25">
      <c r="A3514" s="32" t="s">
        <v>767</v>
      </c>
      <c r="B3514" s="7">
        <v>2004</v>
      </c>
      <c r="C3514" s="51" t="s">
        <v>712</v>
      </c>
      <c r="D3514" t="s">
        <v>739</v>
      </c>
      <c r="E3514" s="2">
        <v>21.213999999999999</v>
      </c>
    </row>
    <row r="3515" spans="1:5" x14ac:dyDescent="0.25">
      <c r="A3515" s="32" t="s">
        <v>767</v>
      </c>
      <c r="B3515" s="7">
        <v>2004</v>
      </c>
      <c r="C3515" s="51" t="s">
        <v>710</v>
      </c>
      <c r="D3515" t="s">
        <v>739</v>
      </c>
      <c r="E3515" s="2">
        <v>21.811</v>
      </c>
    </row>
    <row r="3516" spans="1:5" x14ac:dyDescent="0.25">
      <c r="A3516" s="32" t="s">
        <v>767</v>
      </c>
      <c r="B3516" s="7">
        <v>2004</v>
      </c>
      <c r="C3516" s="51" t="s">
        <v>702</v>
      </c>
      <c r="D3516" t="s">
        <v>739</v>
      </c>
      <c r="E3516" s="2">
        <v>22.137</v>
      </c>
    </row>
    <row r="3517" spans="1:5" x14ac:dyDescent="0.25">
      <c r="A3517" s="32" t="s">
        <v>767</v>
      </c>
      <c r="B3517" s="7">
        <v>2004</v>
      </c>
      <c r="C3517" s="51" t="s">
        <v>703</v>
      </c>
      <c r="D3517" t="s">
        <v>739</v>
      </c>
      <c r="E3517" s="2">
        <v>22.172999999999998</v>
      </c>
    </row>
    <row r="3518" spans="1:5" x14ac:dyDescent="0.25">
      <c r="A3518" s="32" t="s">
        <v>767</v>
      </c>
      <c r="B3518" s="7">
        <v>2004</v>
      </c>
      <c r="C3518" s="51" t="s">
        <v>704</v>
      </c>
      <c r="D3518" t="s">
        <v>739</v>
      </c>
      <c r="E3518" s="2">
        <v>23.126000000000001</v>
      </c>
    </row>
    <row r="3519" spans="1:5" x14ac:dyDescent="0.25">
      <c r="A3519" s="32" t="s">
        <v>767</v>
      </c>
      <c r="B3519" s="7">
        <v>2004</v>
      </c>
      <c r="C3519" s="51" t="s">
        <v>705</v>
      </c>
      <c r="D3519" t="s">
        <v>739</v>
      </c>
      <c r="E3519" s="2">
        <v>22.547999999999998</v>
      </c>
    </row>
    <row r="3520" spans="1:5" x14ac:dyDescent="0.25">
      <c r="A3520" s="32" t="s">
        <v>767</v>
      </c>
      <c r="B3520" s="7">
        <v>2004</v>
      </c>
      <c r="C3520" s="51" t="s">
        <v>706</v>
      </c>
      <c r="D3520" t="s">
        <v>739</v>
      </c>
      <c r="E3520" s="2">
        <v>23.483000000000001</v>
      </c>
    </row>
    <row r="3521" spans="1:5" x14ac:dyDescent="0.25">
      <c r="A3521" s="32" t="s">
        <v>767</v>
      </c>
      <c r="B3521" s="7">
        <v>2005</v>
      </c>
      <c r="C3521" s="51" t="s">
        <v>713</v>
      </c>
      <c r="D3521" t="s">
        <v>739</v>
      </c>
      <c r="E3521" s="2">
        <v>24</v>
      </c>
    </row>
    <row r="3522" spans="1:5" x14ac:dyDescent="0.25">
      <c r="A3522" s="32" t="s">
        <v>767</v>
      </c>
      <c r="B3522" s="7">
        <v>2005</v>
      </c>
      <c r="C3522" s="51" t="s">
        <v>707</v>
      </c>
      <c r="D3522" t="s">
        <v>739</v>
      </c>
      <c r="E3522" s="2">
        <v>19.681000000000001</v>
      </c>
    </row>
    <row r="3523" spans="1:5" x14ac:dyDescent="0.25">
      <c r="A3523" s="32" t="s">
        <v>767</v>
      </c>
      <c r="B3523" s="7">
        <v>2005</v>
      </c>
      <c r="C3523" s="51" t="s">
        <v>708</v>
      </c>
      <c r="D3523" t="s">
        <v>739</v>
      </c>
      <c r="E3523" s="2">
        <v>24.158000000000001</v>
      </c>
    </row>
    <row r="3524" spans="1:5" x14ac:dyDescent="0.25">
      <c r="A3524" s="32" t="s">
        <v>767</v>
      </c>
      <c r="B3524" s="7">
        <v>2005</v>
      </c>
      <c r="C3524" s="51" t="s">
        <v>699</v>
      </c>
      <c r="D3524" t="s">
        <v>739</v>
      </c>
      <c r="E3524" s="2">
        <v>24.036999999999999</v>
      </c>
    </row>
    <row r="3525" spans="1:5" x14ac:dyDescent="0.25">
      <c r="A3525" s="32" t="s">
        <v>767</v>
      </c>
      <c r="B3525" s="7">
        <v>2005</v>
      </c>
      <c r="C3525" s="51" t="s">
        <v>709</v>
      </c>
      <c r="D3525" t="s">
        <v>739</v>
      </c>
      <c r="E3525" s="2">
        <v>24.52</v>
      </c>
    </row>
    <row r="3526" spans="1:5" x14ac:dyDescent="0.25">
      <c r="A3526" s="32" t="s">
        <v>767</v>
      </c>
      <c r="B3526" s="7">
        <v>2005</v>
      </c>
      <c r="C3526" s="51" t="s">
        <v>712</v>
      </c>
      <c r="D3526" t="s">
        <v>739</v>
      </c>
      <c r="E3526" s="2">
        <v>26.184000000000001</v>
      </c>
    </row>
    <row r="3527" spans="1:5" x14ac:dyDescent="0.25">
      <c r="A3527" s="32" t="s">
        <v>767</v>
      </c>
      <c r="B3527" s="7">
        <v>2005</v>
      </c>
      <c r="C3527" s="51" t="s">
        <v>710</v>
      </c>
      <c r="D3527" t="s">
        <v>739</v>
      </c>
      <c r="E3527" s="2">
        <v>26.689</v>
      </c>
    </row>
    <row r="3528" spans="1:5" x14ac:dyDescent="0.25">
      <c r="A3528" s="32" t="s">
        <v>767</v>
      </c>
      <c r="B3528" s="7">
        <v>2005</v>
      </c>
      <c r="C3528" s="51" t="s">
        <v>702</v>
      </c>
      <c r="D3528" t="s">
        <v>739</v>
      </c>
      <c r="E3528" s="2">
        <v>27.654</v>
      </c>
    </row>
    <row r="3529" spans="1:5" x14ac:dyDescent="0.25">
      <c r="A3529" s="32" t="s">
        <v>767</v>
      </c>
      <c r="B3529" s="7">
        <v>2005</v>
      </c>
      <c r="C3529" s="51" t="s">
        <v>703</v>
      </c>
      <c r="D3529" t="s">
        <v>739</v>
      </c>
      <c r="E3529" s="2">
        <v>26.725000000000001</v>
      </c>
    </row>
    <row r="3530" spans="1:5" x14ac:dyDescent="0.25">
      <c r="A3530" s="32" t="s">
        <v>767</v>
      </c>
      <c r="B3530" s="7">
        <v>2005</v>
      </c>
      <c r="C3530" s="51" t="s">
        <v>704</v>
      </c>
      <c r="D3530" t="s">
        <v>739</v>
      </c>
      <c r="E3530" s="2">
        <v>28.931000000000001</v>
      </c>
    </row>
    <row r="3531" spans="1:5" x14ac:dyDescent="0.25">
      <c r="A3531" s="32" t="s">
        <v>767</v>
      </c>
      <c r="B3531" s="7">
        <v>2005</v>
      </c>
      <c r="C3531" s="51" t="s">
        <v>705</v>
      </c>
      <c r="D3531" t="s">
        <v>739</v>
      </c>
      <c r="E3531" s="2">
        <v>26.527000000000001</v>
      </c>
    </row>
    <row r="3532" spans="1:5" x14ac:dyDescent="0.25">
      <c r="A3532" s="32" t="s">
        <v>767</v>
      </c>
      <c r="B3532" s="7">
        <v>2005</v>
      </c>
      <c r="C3532" s="51" t="s">
        <v>706</v>
      </c>
      <c r="D3532" t="s">
        <v>739</v>
      </c>
      <c r="E3532" s="2">
        <v>26.602</v>
      </c>
    </row>
    <row r="3533" spans="1:5" x14ac:dyDescent="0.25">
      <c r="A3533" s="32" t="s">
        <v>767</v>
      </c>
      <c r="B3533" s="7">
        <v>2006</v>
      </c>
      <c r="C3533" s="51" t="s">
        <v>713</v>
      </c>
      <c r="D3533" t="s">
        <v>739</v>
      </c>
      <c r="E3533" s="2">
        <v>28.390999999999998</v>
      </c>
    </row>
    <row r="3534" spans="1:5" x14ac:dyDescent="0.25">
      <c r="A3534" s="32" t="s">
        <v>767</v>
      </c>
      <c r="B3534" s="7">
        <v>2006</v>
      </c>
      <c r="C3534" s="51" t="s">
        <v>707</v>
      </c>
      <c r="D3534" t="s">
        <v>739</v>
      </c>
      <c r="E3534" s="2">
        <v>25.158000000000001</v>
      </c>
    </row>
    <row r="3535" spans="1:5" x14ac:dyDescent="0.25">
      <c r="A3535" s="32" t="s">
        <v>767</v>
      </c>
      <c r="B3535" s="7">
        <v>2006</v>
      </c>
      <c r="C3535" s="51" t="s">
        <v>708</v>
      </c>
      <c r="D3535" t="s">
        <v>739</v>
      </c>
      <c r="E3535" s="2">
        <v>26.815999999999999</v>
      </c>
    </row>
    <row r="3536" spans="1:5" x14ac:dyDescent="0.25">
      <c r="A3536" s="32" t="s">
        <v>767</v>
      </c>
      <c r="B3536" s="7">
        <v>2006</v>
      </c>
      <c r="C3536" s="51" t="s">
        <v>699</v>
      </c>
      <c r="D3536" t="s">
        <v>739</v>
      </c>
      <c r="E3536" s="2">
        <v>26.582000000000001</v>
      </c>
    </row>
    <row r="3537" spans="1:5" x14ac:dyDescent="0.25">
      <c r="A3537" s="32" t="s">
        <v>767</v>
      </c>
      <c r="B3537" s="7">
        <v>2006</v>
      </c>
      <c r="C3537" s="51" t="s">
        <v>709</v>
      </c>
      <c r="D3537" t="s">
        <v>739</v>
      </c>
      <c r="E3537" s="2">
        <v>27.751999999999999</v>
      </c>
    </row>
    <row r="3538" spans="1:5" x14ac:dyDescent="0.25">
      <c r="A3538" s="32" t="s">
        <v>767</v>
      </c>
      <c r="B3538" s="7">
        <v>2006</v>
      </c>
      <c r="C3538" s="51" t="s">
        <v>712</v>
      </c>
      <c r="D3538" t="s">
        <v>739</v>
      </c>
      <c r="E3538" s="2">
        <v>29.035</v>
      </c>
    </row>
    <row r="3539" spans="1:5" x14ac:dyDescent="0.25">
      <c r="A3539" s="32" t="s">
        <v>767</v>
      </c>
      <c r="B3539" s="7">
        <v>2006</v>
      </c>
      <c r="C3539" s="51" t="s">
        <v>710</v>
      </c>
      <c r="D3539" t="s">
        <v>739</v>
      </c>
      <c r="E3539" s="2">
        <v>30.616</v>
      </c>
    </row>
    <row r="3540" spans="1:5" x14ac:dyDescent="0.25">
      <c r="A3540" s="32" t="s">
        <v>767</v>
      </c>
      <c r="B3540" s="7">
        <v>2006</v>
      </c>
      <c r="C3540" s="51" t="s">
        <v>702</v>
      </c>
      <c r="D3540" t="s">
        <v>739</v>
      </c>
      <c r="E3540" s="2">
        <v>29.542999999999999</v>
      </c>
    </row>
    <row r="3541" spans="1:5" x14ac:dyDescent="0.25">
      <c r="A3541" s="32" t="s">
        <v>767</v>
      </c>
      <c r="B3541" s="7">
        <v>2006</v>
      </c>
      <c r="C3541" s="51" t="s">
        <v>703</v>
      </c>
      <c r="D3541" t="s">
        <v>739</v>
      </c>
      <c r="E3541" s="2">
        <v>29.045000000000002</v>
      </c>
    </row>
    <row r="3542" spans="1:5" x14ac:dyDescent="0.25">
      <c r="A3542" s="32" t="s">
        <v>767</v>
      </c>
      <c r="B3542" s="7">
        <v>2006</v>
      </c>
      <c r="C3542" s="51" t="s">
        <v>704</v>
      </c>
      <c r="D3542" t="s">
        <v>739</v>
      </c>
      <c r="E3542" s="2">
        <v>30.103999999999999</v>
      </c>
    </row>
    <row r="3543" spans="1:5" x14ac:dyDescent="0.25">
      <c r="A3543" s="32" t="s">
        <v>767</v>
      </c>
      <c r="B3543" s="7">
        <v>2006</v>
      </c>
      <c r="C3543" s="51" t="s">
        <v>705</v>
      </c>
      <c r="D3543" t="s">
        <v>739</v>
      </c>
      <c r="E3543" s="2">
        <v>29.378</v>
      </c>
    </row>
    <row r="3544" spans="1:5" x14ac:dyDescent="0.25">
      <c r="A3544" s="32" t="s">
        <v>767</v>
      </c>
      <c r="B3544" s="7">
        <v>2006</v>
      </c>
      <c r="C3544" s="51" t="s">
        <v>706</v>
      </c>
      <c r="D3544" t="s">
        <v>739</v>
      </c>
      <c r="E3544" s="2">
        <v>28.311</v>
      </c>
    </row>
    <row r="3545" spans="1:5" x14ac:dyDescent="0.25">
      <c r="A3545" s="32" t="s">
        <v>767</v>
      </c>
      <c r="B3545" s="7">
        <v>2007</v>
      </c>
      <c r="C3545" s="51" t="s">
        <v>713</v>
      </c>
      <c r="D3545" t="s">
        <v>739</v>
      </c>
      <c r="E3545" s="2">
        <v>29.824000000000002</v>
      </c>
    </row>
    <row r="3546" spans="1:5" x14ac:dyDescent="0.25">
      <c r="A3546" s="32" t="s">
        <v>767</v>
      </c>
      <c r="B3546" s="7">
        <v>2007</v>
      </c>
      <c r="C3546" s="51" t="s">
        <v>707</v>
      </c>
      <c r="D3546" t="s">
        <v>739</v>
      </c>
      <c r="E3546" s="2">
        <v>27.167999999999999</v>
      </c>
    </row>
    <row r="3547" spans="1:5" x14ac:dyDescent="0.25">
      <c r="A3547" s="32" t="s">
        <v>767</v>
      </c>
      <c r="B3547" s="7">
        <v>2007</v>
      </c>
      <c r="C3547" s="51" t="s">
        <v>708</v>
      </c>
      <c r="D3547" t="s">
        <v>739</v>
      </c>
      <c r="E3547" s="2">
        <v>31.405000000000001</v>
      </c>
    </row>
    <row r="3548" spans="1:5" x14ac:dyDescent="0.25">
      <c r="A3548" s="32" t="s">
        <v>767</v>
      </c>
      <c r="B3548" s="7">
        <v>2007</v>
      </c>
      <c r="C3548" s="51" t="s">
        <v>699</v>
      </c>
      <c r="D3548" t="s">
        <v>739</v>
      </c>
      <c r="E3548" s="2">
        <v>30.138999999999999</v>
      </c>
    </row>
    <row r="3549" spans="1:5" x14ac:dyDescent="0.25">
      <c r="A3549" s="32" t="s">
        <v>767</v>
      </c>
      <c r="B3549" s="7">
        <v>2007</v>
      </c>
      <c r="C3549" s="51" t="s">
        <v>709</v>
      </c>
      <c r="D3549" t="s">
        <v>739</v>
      </c>
      <c r="E3549" s="2">
        <v>31.146999999999998</v>
      </c>
    </row>
    <row r="3550" spans="1:5" x14ac:dyDescent="0.25">
      <c r="A3550" s="32" t="s">
        <v>767</v>
      </c>
      <c r="B3550" s="7">
        <v>2007</v>
      </c>
      <c r="C3550" s="51" t="s">
        <v>712</v>
      </c>
      <c r="D3550" t="s">
        <v>739</v>
      </c>
      <c r="E3550" s="2">
        <v>30.315999999999999</v>
      </c>
    </row>
    <row r="3551" spans="1:5" x14ac:dyDescent="0.25">
      <c r="A3551" s="32" t="s">
        <v>767</v>
      </c>
      <c r="B3551" s="7">
        <v>2007</v>
      </c>
      <c r="C3551" s="51" t="s">
        <v>710</v>
      </c>
      <c r="D3551" t="s">
        <v>739</v>
      </c>
      <c r="E3551" s="2">
        <v>30.542000000000002</v>
      </c>
    </row>
    <row r="3552" spans="1:5" x14ac:dyDescent="0.25">
      <c r="A3552" s="32" t="s">
        <v>767</v>
      </c>
      <c r="B3552" s="7">
        <v>2007</v>
      </c>
      <c r="C3552" s="51" t="s">
        <v>702</v>
      </c>
      <c r="D3552" t="s">
        <v>739</v>
      </c>
      <c r="E3552" s="2">
        <v>31.655000000000001</v>
      </c>
    </row>
    <row r="3553" spans="1:5" x14ac:dyDescent="0.25">
      <c r="A3553" s="32" t="s">
        <v>767</v>
      </c>
      <c r="B3553" s="7">
        <v>2007</v>
      </c>
      <c r="C3553" s="51" t="s">
        <v>703</v>
      </c>
      <c r="D3553" t="s">
        <v>739</v>
      </c>
      <c r="E3553" s="2">
        <v>30.260999999999999</v>
      </c>
    </row>
    <row r="3554" spans="1:5" x14ac:dyDescent="0.25">
      <c r="A3554" s="32" t="s">
        <v>767</v>
      </c>
      <c r="B3554" s="7">
        <v>2007</v>
      </c>
      <c r="C3554" s="51" t="s">
        <v>704</v>
      </c>
      <c r="D3554" t="s">
        <v>739</v>
      </c>
      <c r="E3554" s="2">
        <v>32.128</v>
      </c>
    </row>
    <row r="3555" spans="1:5" x14ac:dyDescent="0.25">
      <c r="A3555" s="32" t="s">
        <v>767</v>
      </c>
      <c r="B3555" s="7">
        <v>2007</v>
      </c>
      <c r="C3555" s="51" t="s">
        <v>705</v>
      </c>
      <c r="D3555" t="s">
        <v>739</v>
      </c>
      <c r="E3555" s="2">
        <v>29.506</v>
      </c>
    </row>
    <row r="3556" spans="1:5" x14ac:dyDescent="0.25">
      <c r="A3556" s="32" t="s">
        <v>767</v>
      </c>
      <c r="B3556" s="7">
        <v>2007</v>
      </c>
      <c r="C3556" s="51" t="s">
        <v>706</v>
      </c>
      <c r="D3556" t="s">
        <v>739</v>
      </c>
      <c r="E3556" s="2">
        <v>31.370999999999999</v>
      </c>
    </row>
    <row r="3557" spans="1:5" x14ac:dyDescent="0.25">
      <c r="A3557" s="32" t="s">
        <v>767</v>
      </c>
      <c r="B3557" s="7">
        <v>2008</v>
      </c>
      <c r="C3557" s="51" t="s">
        <v>713</v>
      </c>
      <c r="D3557" t="s">
        <v>739</v>
      </c>
      <c r="E3557" s="2">
        <v>30.128</v>
      </c>
    </row>
    <row r="3558" spans="1:5" x14ac:dyDescent="0.25">
      <c r="A3558" s="32" t="s">
        <v>767</v>
      </c>
      <c r="B3558" s="7">
        <v>2008</v>
      </c>
      <c r="C3558" s="51" t="s">
        <v>707</v>
      </c>
      <c r="D3558" t="s">
        <v>739</v>
      </c>
      <c r="E3558" s="2">
        <v>31.417999999999999</v>
      </c>
    </row>
    <row r="3559" spans="1:5" x14ac:dyDescent="0.25">
      <c r="A3559" s="32" t="s">
        <v>767</v>
      </c>
      <c r="B3559" s="7">
        <v>2008</v>
      </c>
      <c r="C3559" s="51" t="s">
        <v>708</v>
      </c>
      <c r="D3559" t="s">
        <v>739</v>
      </c>
      <c r="E3559" s="2">
        <v>29.222999999999999</v>
      </c>
    </row>
    <row r="3560" spans="1:5" x14ac:dyDescent="0.25">
      <c r="A3560" s="32" t="s">
        <v>767</v>
      </c>
      <c r="B3560" s="7">
        <v>2008</v>
      </c>
      <c r="C3560" s="51" t="s">
        <v>699</v>
      </c>
      <c r="D3560" t="s">
        <v>739</v>
      </c>
      <c r="E3560" s="2">
        <v>32.845999999999997</v>
      </c>
    </row>
    <row r="3561" spans="1:5" x14ac:dyDescent="0.25">
      <c r="A3561" s="32" t="s">
        <v>767</v>
      </c>
      <c r="B3561" s="7">
        <v>2008</v>
      </c>
      <c r="C3561" s="51" t="s">
        <v>709</v>
      </c>
      <c r="D3561" t="s">
        <v>739</v>
      </c>
      <c r="E3561" s="2">
        <v>34.442</v>
      </c>
    </row>
    <row r="3562" spans="1:5" x14ac:dyDescent="0.25">
      <c r="A3562" s="32" t="s">
        <v>767</v>
      </c>
      <c r="B3562" s="7">
        <v>2008</v>
      </c>
      <c r="C3562" s="51" t="s">
        <v>712</v>
      </c>
      <c r="D3562" t="s">
        <v>739</v>
      </c>
      <c r="E3562" s="2">
        <v>30.306000000000001</v>
      </c>
    </row>
    <row r="3563" spans="1:5" x14ac:dyDescent="0.25">
      <c r="A3563" s="32" t="s">
        <v>767</v>
      </c>
      <c r="B3563" s="7">
        <v>2008</v>
      </c>
      <c r="C3563" s="51" t="s">
        <v>710</v>
      </c>
      <c r="D3563" t="s">
        <v>739</v>
      </c>
      <c r="E3563" s="2">
        <v>32.497</v>
      </c>
    </row>
    <row r="3564" spans="1:5" x14ac:dyDescent="0.25">
      <c r="A3564" s="32" t="s">
        <v>767</v>
      </c>
      <c r="B3564" s="7">
        <v>2008</v>
      </c>
      <c r="C3564" s="51" t="s">
        <v>702</v>
      </c>
      <c r="D3564" t="s">
        <v>739</v>
      </c>
      <c r="E3564" s="2">
        <v>43.052999999999997</v>
      </c>
    </row>
    <row r="3565" spans="1:5" x14ac:dyDescent="0.25">
      <c r="A3565" s="32" t="s">
        <v>767</v>
      </c>
      <c r="B3565" s="7">
        <v>2008</v>
      </c>
      <c r="C3565" s="51" t="s">
        <v>703</v>
      </c>
      <c r="D3565" t="s">
        <v>739</v>
      </c>
      <c r="E3565" s="2">
        <v>31.637</v>
      </c>
    </row>
    <row r="3566" spans="1:5" x14ac:dyDescent="0.25">
      <c r="A3566" s="32" t="s">
        <v>767</v>
      </c>
      <c r="B3566" s="7">
        <v>2008</v>
      </c>
      <c r="C3566" s="51" t="s">
        <v>704</v>
      </c>
      <c r="D3566" t="s">
        <v>739</v>
      </c>
      <c r="E3566" s="2">
        <v>34.74</v>
      </c>
    </row>
    <row r="3567" spans="1:5" x14ac:dyDescent="0.25">
      <c r="A3567" s="32" t="s">
        <v>767</v>
      </c>
      <c r="B3567" s="7">
        <v>2008</v>
      </c>
      <c r="C3567" s="51" t="s">
        <v>705</v>
      </c>
      <c r="D3567" t="s">
        <v>739</v>
      </c>
      <c r="E3567" s="2">
        <v>28.788</v>
      </c>
    </row>
    <row r="3568" spans="1:5" x14ac:dyDescent="0.25">
      <c r="A3568" s="32" t="s">
        <v>767</v>
      </c>
      <c r="B3568" s="7">
        <v>2008</v>
      </c>
      <c r="C3568" s="51" t="s">
        <v>706</v>
      </c>
      <c r="D3568" t="s">
        <v>739</v>
      </c>
      <c r="E3568" s="2">
        <v>31.884</v>
      </c>
    </row>
    <row r="3569" spans="1:5" x14ac:dyDescent="0.25">
      <c r="A3569" s="32" t="s">
        <v>767</v>
      </c>
      <c r="B3569" s="7">
        <v>2009</v>
      </c>
      <c r="C3569" s="51" t="s">
        <v>713</v>
      </c>
      <c r="D3569" t="s">
        <v>739</v>
      </c>
      <c r="E3569" s="2">
        <v>35.768999999999998</v>
      </c>
    </row>
    <row r="3570" spans="1:5" x14ac:dyDescent="0.25">
      <c r="A3570" s="32" t="s">
        <v>767</v>
      </c>
      <c r="B3570" s="7">
        <v>2009</v>
      </c>
      <c r="C3570" s="51" t="s">
        <v>707</v>
      </c>
      <c r="D3570" t="s">
        <v>739</v>
      </c>
      <c r="E3570" s="2">
        <v>31.024999999999999</v>
      </c>
    </row>
    <row r="3571" spans="1:5" x14ac:dyDescent="0.25">
      <c r="A3571" s="32" t="s">
        <v>767</v>
      </c>
      <c r="B3571" s="7">
        <v>2009</v>
      </c>
      <c r="C3571" s="51" t="s">
        <v>708</v>
      </c>
      <c r="D3571" t="s">
        <v>739</v>
      </c>
      <c r="E3571" s="2">
        <v>35.219000000000001</v>
      </c>
    </row>
    <row r="3572" spans="1:5" x14ac:dyDescent="0.25">
      <c r="A3572" s="32" t="s">
        <v>767</v>
      </c>
      <c r="B3572" s="7">
        <v>2009</v>
      </c>
      <c r="C3572" s="51" t="s">
        <v>699</v>
      </c>
      <c r="D3572" t="s">
        <v>739</v>
      </c>
      <c r="E3572" s="2">
        <v>36.847000000000001</v>
      </c>
    </row>
    <row r="3573" spans="1:5" x14ac:dyDescent="0.25">
      <c r="A3573" s="32" t="s">
        <v>767</v>
      </c>
      <c r="B3573" s="7">
        <v>2009</v>
      </c>
      <c r="C3573" s="51" t="s">
        <v>709</v>
      </c>
      <c r="D3573" t="s">
        <v>739</v>
      </c>
      <c r="E3573" s="2">
        <v>39.777999999999999</v>
      </c>
    </row>
    <row r="3574" spans="1:5" x14ac:dyDescent="0.25">
      <c r="A3574" s="32" t="s">
        <v>767</v>
      </c>
      <c r="B3574" s="7">
        <v>2009</v>
      </c>
      <c r="C3574" s="51" t="s">
        <v>712</v>
      </c>
      <c r="D3574" t="s">
        <v>739</v>
      </c>
      <c r="E3574" s="2">
        <v>37.978999999999999</v>
      </c>
    </row>
    <row r="3575" spans="1:5" x14ac:dyDescent="0.25">
      <c r="A3575" s="32" t="s">
        <v>767</v>
      </c>
      <c r="B3575" s="7">
        <v>2009</v>
      </c>
      <c r="C3575" s="51" t="s">
        <v>710</v>
      </c>
      <c r="D3575" t="s">
        <v>739</v>
      </c>
      <c r="E3575" s="2">
        <v>38.197000000000003</v>
      </c>
    </row>
    <row r="3576" spans="1:5" x14ac:dyDescent="0.25">
      <c r="A3576" s="32" t="s">
        <v>767</v>
      </c>
      <c r="B3576" s="7">
        <v>2009</v>
      </c>
      <c r="C3576" s="51" t="s">
        <v>702</v>
      </c>
      <c r="D3576" t="s">
        <v>739</v>
      </c>
      <c r="E3576" s="2">
        <v>33.643999999999998</v>
      </c>
    </row>
    <row r="3577" spans="1:5" x14ac:dyDescent="0.25">
      <c r="A3577" s="32" t="s">
        <v>767</v>
      </c>
      <c r="B3577" s="7">
        <v>2009</v>
      </c>
      <c r="C3577" s="51" t="s">
        <v>703</v>
      </c>
      <c r="D3577" t="s">
        <v>739</v>
      </c>
      <c r="E3577" s="2">
        <v>33.073999999999998</v>
      </c>
    </row>
    <row r="3578" spans="1:5" x14ac:dyDescent="0.25">
      <c r="A3578" s="32" t="s">
        <v>767</v>
      </c>
      <c r="B3578" s="7">
        <v>2009</v>
      </c>
      <c r="C3578" s="51" t="s">
        <v>704</v>
      </c>
      <c r="D3578" t="s">
        <v>739</v>
      </c>
      <c r="E3578" s="2">
        <v>34.709000000000003</v>
      </c>
    </row>
    <row r="3579" spans="1:5" x14ac:dyDescent="0.25">
      <c r="A3579" s="32" t="s">
        <v>767</v>
      </c>
      <c r="B3579" s="7">
        <v>2009</v>
      </c>
      <c r="C3579" s="51" t="s">
        <v>705</v>
      </c>
      <c r="D3579" t="s">
        <v>739</v>
      </c>
      <c r="E3579" s="2">
        <v>32.045999999999999</v>
      </c>
    </row>
    <row r="3580" spans="1:5" x14ac:dyDescent="0.25">
      <c r="A3580" s="32" t="s">
        <v>767</v>
      </c>
      <c r="B3580" s="7">
        <v>2009</v>
      </c>
      <c r="C3580" s="51" t="s">
        <v>706</v>
      </c>
      <c r="D3580" t="s">
        <v>739</v>
      </c>
      <c r="E3580" s="2">
        <v>38.927</v>
      </c>
    </row>
    <row r="3581" spans="1:5" x14ac:dyDescent="0.25">
      <c r="A3581" s="32" t="s">
        <v>767</v>
      </c>
      <c r="B3581" s="7">
        <v>2010</v>
      </c>
      <c r="C3581" s="51" t="s">
        <v>713</v>
      </c>
      <c r="D3581" t="s">
        <v>739</v>
      </c>
      <c r="E3581" s="2">
        <v>31.64</v>
      </c>
    </row>
    <row r="3582" spans="1:5" x14ac:dyDescent="0.25">
      <c r="A3582" s="32" t="s">
        <v>767</v>
      </c>
      <c r="B3582" s="7">
        <v>2010</v>
      </c>
      <c r="C3582" s="51" t="s">
        <v>707</v>
      </c>
      <c r="D3582" t="s">
        <v>739</v>
      </c>
      <c r="E3582" s="2">
        <v>31.064</v>
      </c>
    </row>
    <row r="3583" spans="1:5" x14ac:dyDescent="0.25">
      <c r="A3583" s="32" t="s">
        <v>767</v>
      </c>
      <c r="B3583" s="7">
        <v>2010</v>
      </c>
      <c r="C3583" s="51" t="s">
        <v>708</v>
      </c>
      <c r="D3583" t="s">
        <v>739</v>
      </c>
      <c r="E3583" s="2">
        <v>34.866999999999997</v>
      </c>
    </row>
    <row r="3584" spans="1:5" x14ac:dyDescent="0.25">
      <c r="A3584" s="32" t="s">
        <v>767</v>
      </c>
      <c r="B3584" s="7">
        <v>2010</v>
      </c>
      <c r="C3584" s="51" t="s">
        <v>699</v>
      </c>
      <c r="D3584" t="s">
        <v>739</v>
      </c>
      <c r="E3584" s="2">
        <v>35.033000000000001</v>
      </c>
    </row>
    <row r="3585" spans="1:5" x14ac:dyDescent="0.25">
      <c r="A3585" s="32" t="s">
        <v>767</v>
      </c>
      <c r="B3585" s="7">
        <v>2010</v>
      </c>
      <c r="C3585" s="51" t="s">
        <v>709</v>
      </c>
      <c r="D3585" t="s">
        <v>739</v>
      </c>
      <c r="E3585" s="2">
        <v>38.256999999999998</v>
      </c>
    </row>
    <row r="3586" spans="1:5" x14ac:dyDescent="0.25">
      <c r="A3586" s="32" t="s">
        <v>767</v>
      </c>
      <c r="B3586" s="7">
        <v>2010</v>
      </c>
      <c r="C3586" s="51" t="s">
        <v>712</v>
      </c>
      <c r="D3586" t="s">
        <v>739</v>
      </c>
      <c r="E3586" s="2">
        <v>33.378999999999998</v>
      </c>
    </row>
    <row r="3587" spans="1:5" x14ac:dyDescent="0.25">
      <c r="A3587" s="32" t="s">
        <v>767</v>
      </c>
      <c r="B3587" s="7">
        <v>2010</v>
      </c>
      <c r="C3587" s="51" t="s">
        <v>710</v>
      </c>
      <c r="D3587" t="s">
        <v>739</v>
      </c>
      <c r="E3587" s="2">
        <v>32.049999999999997</v>
      </c>
    </row>
    <row r="3588" spans="1:5" x14ac:dyDescent="0.25">
      <c r="A3588" s="32" t="s">
        <v>767</v>
      </c>
      <c r="B3588" s="7">
        <v>2010</v>
      </c>
      <c r="C3588" s="51" t="s">
        <v>702</v>
      </c>
      <c r="D3588" t="s">
        <v>739</v>
      </c>
      <c r="E3588" s="2">
        <v>36.826999999999998</v>
      </c>
    </row>
    <row r="3589" spans="1:5" x14ac:dyDescent="0.25">
      <c r="A3589" s="32" t="s">
        <v>767</v>
      </c>
      <c r="B3589" s="7">
        <v>2010</v>
      </c>
      <c r="C3589" s="51" t="s">
        <v>703</v>
      </c>
      <c r="D3589" t="s">
        <v>739</v>
      </c>
      <c r="E3589" s="2">
        <v>33.786999999999999</v>
      </c>
    </row>
    <row r="3590" spans="1:5" x14ac:dyDescent="0.25">
      <c r="A3590" s="32" t="s">
        <v>767</v>
      </c>
      <c r="B3590" s="7">
        <v>2010</v>
      </c>
      <c r="C3590" s="51" t="s">
        <v>704</v>
      </c>
      <c r="D3590" t="s">
        <v>739</v>
      </c>
      <c r="E3590" s="2">
        <v>34.058999999999997</v>
      </c>
    </row>
    <row r="3591" spans="1:5" x14ac:dyDescent="0.25">
      <c r="A3591" s="32" t="s">
        <v>767</v>
      </c>
      <c r="B3591" s="7">
        <v>2010</v>
      </c>
      <c r="C3591" s="51" t="s">
        <v>705</v>
      </c>
      <c r="D3591" t="s">
        <v>739</v>
      </c>
      <c r="E3591" s="2">
        <v>31.658999999999999</v>
      </c>
    </row>
    <row r="3592" spans="1:5" x14ac:dyDescent="0.25">
      <c r="A3592" s="32" t="s">
        <v>767</v>
      </c>
      <c r="B3592" s="7">
        <v>2010</v>
      </c>
      <c r="C3592" s="51" t="s">
        <v>706</v>
      </c>
      <c r="D3592" t="s">
        <v>739</v>
      </c>
      <c r="E3592" s="2">
        <v>30.102</v>
      </c>
    </row>
    <row r="3593" spans="1:5" x14ac:dyDescent="0.25">
      <c r="A3593" s="32" t="s">
        <v>767</v>
      </c>
      <c r="B3593" s="7">
        <v>2011</v>
      </c>
      <c r="C3593" s="51" t="s">
        <v>713</v>
      </c>
      <c r="D3593" t="s">
        <v>739</v>
      </c>
      <c r="E3593" s="2">
        <v>36.173000000000002</v>
      </c>
    </row>
    <row r="3594" spans="1:5" x14ac:dyDescent="0.25">
      <c r="A3594" s="32" t="s">
        <v>767</v>
      </c>
      <c r="B3594" s="7">
        <v>2011</v>
      </c>
      <c r="C3594" s="51" t="s">
        <v>707</v>
      </c>
      <c r="D3594" t="s">
        <v>739</v>
      </c>
      <c r="E3594" s="2">
        <v>32.780999999999999</v>
      </c>
    </row>
    <row r="3595" spans="1:5" x14ac:dyDescent="0.25">
      <c r="A3595" s="32" t="s">
        <v>767</v>
      </c>
      <c r="B3595" s="7">
        <v>2011</v>
      </c>
      <c r="C3595" s="51" t="s">
        <v>708</v>
      </c>
      <c r="D3595" t="s">
        <v>739</v>
      </c>
      <c r="E3595" s="2">
        <v>37.473999999999997</v>
      </c>
    </row>
    <row r="3596" spans="1:5" x14ac:dyDescent="0.25">
      <c r="A3596" s="32" t="s">
        <v>767</v>
      </c>
      <c r="B3596" s="7">
        <v>2011</v>
      </c>
      <c r="C3596" s="51" t="s">
        <v>699</v>
      </c>
      <c r="D3596" t="s">
        <v>739</v>
      </c>
      <c r="E3596" s="2">
        <v>33.533000000000001</v>
      </c>
    </row>
    <row r="3597" spans="1:5" x14ac:dyDescent="0.25">
      <c r="A3597" s="32" t="s">
        <v>767</v>
      </c>
      <c r="B3597" s="7">
        <v>2011</v>
      </c>
      <c r="C3597" s="51" t="s">
        <v>709</v>
      </c>
      <c r="D3597" t="s">
        <v>739</v>
      </c>
      <c r="E3597" s="2">
        <v>39.142000000000003</v>
      </c>
    </row>
    <row r="3598" spans="1:5" x14ac:dyDescent="0.25">
      <c r="A3598" s="32" t="s">
        <v>767</v>
      </c>
      <c r="B3598" s="7">
        <v>2011</v>
      </c>
      <c r="C3598" s="51" t="s">
        <v>712</v>
      </c>
      <c r="D3598" t="s">
        <v>739</v>
      </c>
      <c r="E3598" s="2">
        <v>35.496000000000002</v>
      </c>
    </row>
    <row r="3599" spans="1:5" x14ac:dyDescent="0.25">
      <c r="A3599" s="32" t="s">
        <v>767</v>
      </c>
      <c r="B3599" s="7">
        <v>2011</v>
      </c>
      <c r="C3599" s="51" t="s">
        <v>710</v>
      </c>
      <c r="D3599" t="s">
        <v>739</v>
      </c>
      <c r="E3599" s="2">
        <v>35.789000000000001</v>
      </c>
    </row>
    <row r="3600" spans="1:5" x14ac:dyDescent="0.25">
      <c r="A3600" s="32" t="s">
        <v>767</v>
      </c>
      <c r="B3600" s="7">
        <v>2011</v>
      </c>
      <c r="C3600" s="51" t="s">
        <v>702</v>
      </c>
      <c r="D3600" t="s">
        <v>739</v>
      </c>
      <c r="E3600" s="2">
        <v>35.911000000000001</v>
      </c>
    </row>
    <row r="3601" spans="1:5" x14ac:dyDescent="0.25">
      <c r="A3601" s="32" t="s">
        <v>767</v>
      </c>
      <c r="B3601" s="7">
        <v>2011</v>
      </c>
      <c r="C3601" s="51" t="s">
        <v>703</v>
      </c>
      <c r="D3601" t="s">
        <v>739</v>
      </c>
      <c r="E3601" s="2">
        <v>35.956000000000003</v>
      </c>
    </row>
    <row r="3602" spans="1:5" x14ac:dyDescent="0.25">
      <c r="A3602" s="32" t="s">
        <v>767</v>
      </c>
      <c r="B3602" s="7">
        <v>2011</v>
      </c>
      <c r="C3602" s="51" t="s">
        <v>704</v>
      </c>
      <c r="D3602" t="s">
        <v>739</v>
      </c>
      <c r="E3602" s="2">
        <v>38.229999999999997</v>
      </c>
    </row>
    <row r="3603" spans="1:5" x14ac:dyDescent="0.25">
      <c r="A3603" s="32" t="s">
        <v>767</v>
      </c>
      <c r="B3603" s="7">
        <v>2011</v>
      </c>
      <c r="C3603" s="51" t="s">
        <v>705</v>
      </c>
      <c r="D3603" t="s">
        <v>739</v>
      </c>
      <c r="E3603" s="2">
        <v>34.548000000000002</v>
      </c>
    </row>
    <row r="3604" spans="1:5" x14ac:dyDescent="0.25">
      <c r="A3604" s="32" t="s">
        <v>767</v>
      </c>
      <c r="B3604" s="7">
        <v>2011</v>
      </c>
      <c r="C3604" s="51" t="s">
        <v>706</v>
      </c>
      <c r="D3604" t="s">
        <v>739</v>
      </c>
      <c r="E3604" s="2">
        <v>33.457000000000001</v>
      </c>
    </row>
    <row r="3605" spans="1:5" x14ac:dyDescent="0.25">
      <c r="A3605" s="32" t="s">
        <v>767</v>
      </c>
      <c r="B3605" s="7">
        <v>2012</v>
      </c>
      <c r="C3605" s="51" t="s">
        <v>713</v>
      </c>
      <c r="D3605" t="s">
        <v>739</v>
      </c>
      <c r="E3605" s="2">
        <v>37.481999999999999</v>
      </c>
    </row>
    <row r="3606" spans="1:5" x14ac:dyDescent="0.25">
      <c r="A3606" s="32" t="s">
        <v>767</v>
      </c>
      <c r="B3606" s="7">
        <v>2012</v>
      </c>
      <c r="C3606" s="51" t="s">
        <v>707</v>
      </c>
      <c r="D3606" t="s">
        <v>739</v>
      </c>
      <c r="E3606" s="2">
        <v>32.478000000000002</v>
      </c>
    </row>
    <row r="3607" spans="1:5" x14ac:dyDescent="0.25">
      <c r="A3607" s="32" t="s">
        <v>767</v>
      </c>
      <c r="B3607" s="7">
        <v>2012</v>
      </c>
      <c r="C3607" s="51" t="s">
        <v>708</v>
      </c>
      <c r="D3607" t="s">
        <v>739</v>
      </c>
      <c r="E3607" s="2">
        <v>32.997999999999998</v>
      </c>
    </row>
    <row r="3608" spans="1:5" x14ac:dyDescent="0.25">
      <c r="A3608" s="32" t="s">
        <v>767</v>
      </c>
      <c r="B3608" s="7">
        <v>2012</v>
      </c>
      <c r="C3608" s="51" t="s">
        <v>699</v>
      </c>
      <c r="D3608" t="s">
        <v>739</v>
      </c>
      <c r="E3608" s="2">
        <v>35.046999999999997</v>
      </c>
    </row>
    <row r="3609" spans="1:5" x14ac:dyDescent="0.25">
      <c r="A3609" s="32" t="s">
        <v>767</v>
      </c>
      <c r="B3609" s="7">
        <v>2012</v>
      </c>
      <c r="C3609" s="51" t="s">
        <v>709</v>
      </c>
      <c r="D3609" t="s">
        <v>739</v>
      </c>
      <c r="E3609" s="2">
        <v>36.197000000000003</v>
      </c>
    </row>
    <row r="3610" spans="1:5" x14ac:dyDescent="0.25">
      <c r="A3610" s="32" t="s">
        <v>767</v>
      </c>
      <c r="B3610" s="7">
        <v>2012</v>
      </c>
      <c r="C3610" s="51" t="s">
        <v>712</v>
      </c>
      <c r="D3610" t="s">
        <v>739</v>
      </c>
      <c r="E3610" s="2">
        <v>33.195</v>
      </c>
    </row>
    <row r="3611" spans="1:5" x14ac:dyDescent="0.25">
      <c r="A3611" s="32" t="s">
        <v>767</v>
      </c>
      <c r="B3611" s="7">
        <v>2012</v>
      </c>
      <c r="C3611" s="51" t="s">
        <v>710</v>
      </c>
      <c r="D3611" t="s">
        <v>739</v>
      </c>
      <c r="E3611" s="2">
        <v>37.17</v>
      </c>
    </row>
    <row r="3612" spans="1:5" x14ac:dyDescent="0.25">
      <c r="A3612" s="32" t="s">
        <v>767</v>
      </c>
      <c r="B3612" s="7">
        <v>2012</v>
      </c>
      <c r="C3612" s="51" t="s">
        <v>702</v>
      </c>
      <c r="D3612" t="s">
        <v>739</v>
      </c>
      <c r="E3612" s="2">
        <v>35.360999999999997</v>
      </c>
    </row>
    <row r="3613" spans="1:5" x14ac:dyDescent="0.25">
      <c r="A3613" s="32" t="s">
        <v>767</v>
      </c>
      <c r="B3613" s="7">
        <v>2012</v>
      </c>
      <c r="C3613" s="51" t="s">
        <v>703</v>
      </c>
      <c r="D3613" t="s">
        <v>739</v>
      </c>
      <c r="E3613" s="2">
        <v>32.567</v>
      </c>
    </row>
    <row r="3614" spans="1:5" x14ac:dyDescent="0.25">
      <c r="A3614" s="32" t="s">
        <v>767</v>
      </c>
      <c r="B3614" s="7">
        <v>2012</v>
      </c>
      <c r="C3614" s="51" t="s">
        <v>704</v>
      </c>
      <c r="D3614" t="s">
        <v>739</v>
      </c>
      <c r="E3614" s="2">
        <v>45.716999999999999</v>
      </c>
    </row>
    <row r="3615" spans="1:5" x14ac:dyDescent="0.25">
      <c r="A3615" s="32" t="s">
        <v>767</v>
      </c>
      <c r="B3615" s="7">
        <v>2012</v>
      </c>
      <c r="C3615" s="51" t="s">
        <v>705</v>
      </c>
      <c r="D3615" t="s">
        <v>739</v>
      </c>
      <c r="E3615" s="2">
        <v>37.090000000000003</v>
      </c>
    </row>
    <row r="3616" spans="1:5" x14ac:dyDescent="0.25">
      <c r="A3616" s="32" t="s">
        <v>767</v>
      </c>
      <c r="B3616" s="7">
        <v>2012</v>
      </c>
      <c r="C3616" s="51" t="s">
        <v>706</v>
      </c>
      <c r="D3616" t="s">
        <v>739</v>
      </c>
      <c r="E3616" s="2">
        <v>31.238</v>
      </c>
    </row>
    <row r="3617" spans="1:5" x14ac:dyDescent="0.25">
      <c r="A3617" s="32" t="s">
        <v>767</v>
      </c>
      <c r="B3617" s="7">
        <v>2013</v>
      </c>
      <c r="C3617" s="51" t="s">
        <v>713</v>
      </c>
      <c r="D3617" t="s">
        <v>739</v>
      </c>
      <c r="E3617" s="2">
        <v>40.537999999999997</v>
      </c>
    </row>
    <row r="3618" spans="1:5" x14ac:dyDescent="0.25">
      <c r="A3618" s="32" t="s">
        <v>767</v>
      </c>
      <c r="B3618" s="7">
        <v>2013</v>
      </c>
      <c r="C3618" s="51" t="s">
        <v>707</v>
      </c>
      <c r="D3618" t="s">
        <v>739</v>
      </c>
      <c r="E3618" s="2">
        <v>31.161999999999999</v>
      </c>
    </row>
    <row r="3619" spans="1:5" x14ac:dyDescent="0.25">
      <c r="A3619" s="32" t="s">
        <v>767</v>
      </c>
      <c r="B3619" s="7">
        <v>2013</v>
      </c>
      <c r="C3619" s="51" t="s">
        <v>708</v>
      </c>
      <c r="D3619" t="s">
        <v>739</v>
      </c>
      <c r="E3619" s="2">
        <v>38.491</v>
      </c>
    </row>
    <row r="3620" spans="1:5" x14ac:dyDescent="0.25">
      <c r="A3620" s="32" t="s">
        <v>767</v>
      </c>
      <c r="B3620" s="7">
        <v>2013</v>
      </c>
      <c r="C3620" s="51" t="s">
        <v>699</v>
      </c>
      <c r="D3620" t="s">
        <v>739</v>
      </c>
      <c r="E3620" s="2">
        <v>45.667999999999999</v>
      </c>
    </row>
    <row r="3621" spans="1:5" x14ac:dyDescent="0.25">
      <c r="A3621" s="32" t="s">
        <v>767</v>
      </c>
      <c r="B3621" s="7">
        <v>2013</v>
      </c>
      <c r="C3621" s="51" t="s">
        <v>709</v>
      </c>
      <c r="D3621" t="s">
        <v>739</v>
      </c>
      <c r="E3621" s="2">
        <v>45.612000000000002</v>
      </c>
    </row>
    <row r="3622" spans="1:5" x14ac:dyDescent="0.25">
      <c r="A3622" s="32" t="s">
        <v>767</v>
      </c>
      <c r="B3622" s="7">
        <v>2013</v>
      </c>
      <c r="C3622" s="51" t="s">
        <v>712</v>
      </c>
      <c r="D3622" t="s">
        <v>739</v>
      </c>
      <c r="E3622" s="2">
        <v>36.518000000000001</v>
      </c>
    </row>
    <row r="3623" spans="1:5" x14ac:dyDescent="0.25">
      <c r="A3623" s="32" t="s">
        <v>767</v>
      </c>
      <c r="B3623" s="7">
        <v>2013</v>
      </c>
      <c r="C3623" s="51" t="s">
        <v>710</v>
      </c>
      <c r="D3623" t="s">
        <v>739</v>
      </c>
      <c r="E3623" s="2">
        <v>37.695999999999998</v>
      </c>
    </row>
    <row r="3624" spans="1:5" x14ac:dyDescent="0.25">
      <c r="A3624" s="32" t="s">
        <v>767</v>
      </c>
      <c r="B3624" s="7">
        <v>2013</v>
      </c>
      <c r="C3624" s="51" t="s">
        <v>702</v>
      </c>
      <c r="D3624" t="s">
        <v>739</v>
      </c>
      <c r="E3624" s="2">
        <v>34.161999999999999</v>
      </c>
    </row>
    <row r="3625" spans="1:5" x14ac:dyDescent="0.25">
      <c r="A3625" s="32" t="s">
        <v>767</v>
      </c>
      <c r="B3625" s="7">
        <v>2013</v>
      </c>
      <c r="C3625" s="51" t="s">
        <v>703</v>
      </c>
      <c r="D3625" t="s">
        <v>739</v>
      </c>
      <c r="E3625" s="2">
        <v>38.512</v>
      </c>
    </row>
    <row r="3626" spans="1:5" x14ac:dyDescent="0.25">
      <c r="A3626" s="32" t="s">
        <v>767</v>
      </c>
      <c r="B3626" s="7">
        <v>2013</v>
      </c>
      <c r="C3626" s="51" t="s">
        <v>704</v>
      </c>
      <c r="D3626" t="s">
        <v>739</v>
      </c>
      <c r="E3626" s="2">
        <v>40.408000000000001</v>
      </c>
    </row>
    <row r="3627" spans="1:5" x14ac:dyDescent="0.25">
      <c r="A3627" s="32" t="s">
        <v>767</v>
      </c>
      <c r="B3627" s="7">
        <v>2013</v>
      </c>
      <c r="C3627" s="51" t="s">
        <v>705</v>
      </c>
      <c r="D3627" t="s">
        <v>739</v>
      </c>
      <c r="E3627" s="2">
        <v>32.152000000000001</v>
      </c>
    </row>
    <row r="3628" spans="1:5" x14ac:dyDescent="0.25">
      <c r="A3628" s="32" t="s">
        <v>767</v>
      </c>
      <c r="B3628" s="7">
        <v>2013</v>
      </c>
      <c r="C3628" s="51" t="s">
        <v>706</v>
      </c>
      <c r="D3628" t="s">
        <v>739</v>
      </c>
      <c r="E3628" s="2">
        <v>35.588000000000001</v>
      </c>
    </row>
    <row r="3629" spans="1:5" x14ac:dyDescent="0.25">
      <c r="A3629" s="32" t="s">
        <v>767</v>
      </c>
      <c r="B3629" s="7">
        <v>2014</v>
      </c>
      <c r="C3629" s="51" t="s">
        <v>713</v>
      </c>
      <c r="D3629" t="s">
        <v>739</v>
      </c>
      <c r="E3629" s="2">
        <v>35.588000000000001</v>
      </c>
    </row>
    <row r="3630" spans="1:5" x14ac:dyDescent="0.25">
      <c r="A3630" s="32" t="s">
        <v>767</v>
      </c>
      <c r="B3630" s="7">
        <v>2014</v>
      </c>
      <c r="C3630" s="51" t="s">
        <v>707</v>
      </c>
      <c r="D3630" t="s">
        <v>739</v>
      </c>
      <c r="E3630" s="2">
        <v>31.588000000000001</v>
      </c>
    </row>
    <row r="3631" spans="1:5" x14ac:dyDescent="0.25">
      <c r="A3631" s="32" t="s">
        <v>767</v>
      </c>
      <c r="B3631" s="7">
        <v>2014</v>
      </c>
      <c r="C3631" s="51" t="s">
        <v>708</v>
      </c>
      <c r="D3631" t="s">
        <v>739</v>
      </c>
      <c r="E3631" s="2">
        <v>35.31</v>
      </c>
    </row>
    <row r="3632" spans="1:5" x14ac:dyDescent="0.25">
      <c r="A3632" s="32" t="s">
        <v>767</v>
      </c>
      <c r="B3632" s="7">
        <v>2014</v>
      </c>
      <c r="C3632" s="51" t="s">
        <v>699</v>
      </c>
      <c r="D3632" t="s">
        <v>739</v>
      </c>
      <c r="E3632" s="2">
        <v>30.817</v>
      </c>
    </row>
    <row r="3633" spans="1:5" x14ac:dyDescent="0.25">
      <c r="A3633" s="32" t="s">
        <v>767</v>
      </c>
      <c r="B3633" s="7">
        <v>2014</v>
      </c>
      <c r="C3633" s="51" t="s">
        <v>709</v>
      </c>
      <c r="D3633" t="s">
        <v>739</v>
      </c>
      <c r="E3633" s="2">
        <v>42.375</v>
      </c>
    </row>
    <row r="3634" spans="1:5" x14ac:dyDescent="0.25">
      <c r="A3634" s="32" t="s">
        <v>767</v>
      </c>
      <c r="B3634" s="7">
        <v>2014</v>
      </c>
      <c r="C3634" s="51" t="s">
        <v>712</v>
      </c>
      <c r="D3634" t="s">
        <v>739</v>
      </c>
      <c r="E3634" s="2">
        <v>33.540999999999997</v>
      </c>
    </row>
    <row r="3635" spans="1:5" x14ac:dyDescent="0.25">
      <c r="A3635" s="32" t="s">
        <v>767</v>
      </c>
      <c r="B3635" s="7">
        <v>2014</v>
      </c>
      <c r="C3635" s="51" t="s">
        <v>710</v>
      </c>
      <c r="D3635" t="s">
        <v>739</v>
      </c>
      <c r="E3635" s="2">
        <v>33.18</v>
      </c>
    </row>
    <row r="3636" spans="1:5" x14ac:dyDescent="0.25">
      <c r="A3636" s="32" t="s">
        <v>767</v>
      </c>
      <c r="B3636" s="7">
        <v>2014</v>
      </c>
      <c r="C3636" s="51" t="s">
        <v>702</v>
      </c>
      <c r="D3636" t="s">
        <v>739</v>
      </c>
      <c r="E3636" s="2">
        <v>31.39</v>
      </c>
    </row>
    <row r="3637" spans="1:5" x14ac:dyDescent="0.25">
      <c r="A3637" s="32" t="s">
        <v>767</v>
      </c>
      <c r="B3637" s="7">
        <v>2014</v>
      </c>
      <c r="C3637" s="51" t="s">
        <v>703</v>
      </c>
      <c r="D3637" t="s">
        <v>739</v>
      </c>
      <c r="E3637" s="2">
        <v>32.405000000000001</v>
      </c>
    </row>
    <row r="3638" spans="1:5" x14ac:dyDescent="0.25">
      <c r="A3638" s="32" t="s">
        <v>767</v>
      </c>
      <c r="B3638" s="7">
        <v>2014</v>
      </c>
      <c r="C3638" s="51" t="s">
        <v>704</v>
      </c>
      <c r="D3638" t="s">
        <v>739</v>
      </c>
      <c r="E3638" s="2">
        <v>33.4</v>
      </c>
    </row>
    <row r="3639" spans="1:5" x14ac:dyDescent="0.25">
      <c r="A3639" s="32" t="s">
        <v>767</v>
      </c>
      <c r="B3639" s="7">
        <v>2014</v>
      </c>
      <c r="C3639" s="51" t="s">
        <v>705</v>
      </c>
      <c r="D3639" t="s">
        <v>739</v>
      </c>
      <c r="E3639" s="2">
        <v>34.207000000000001</v>
      </c>
    </row>
    <row r="3640" spans="1:5" x14ac:dyDescent="0.25">
      <c r="A3640" s="32" t="s">
        <v>767</v>
      </c>
      <c r="B3640" s="7">
        <v>2014</v>
      </c>
      <c r="C3640" s="51" t="s">
        <v>706</v>
      </c>
      <c r="D3640" t="s">
        <v>739</v>
      </c>
      <c r="E3640" s="2">
        <v>35.247999999999998</v>
      </c>
    </row>
    <row r="3641" spans="1:5" x14ac:dyDescent="0.25">
      <c r="A3641" s="32" t="s">
        <v>767</v>
      </c>
      <c r="B3641" s="7">
        <v>2015</v>
      </c>
      <c r="C3641" s="51" t="s">
        <v>713</v>
      </c>
      <c r="D3641" t="s">
        <v>739</v>
      </c>
      <c r="E3641" s="2">
        <v>41.488999999999997</v>
      </c>
    </row>
    <row r="3642" spans="1:5" x14ac:dyDescent="0.25">
      <c r="A3642" s="32" t="s">
        <v>767</v>
      </c>
      <c r="B3642" s="7">
        <v>2015</v>
      </c>
      <c r="C3642" s="51" t="s">
        <v>707</v>
      </c>
      <c r="D3642" t="s">
        <v>739</v>
      </c>
      <c r="E3642" s="2">
        <v>33.661000000000001</v>
      </c>
    </row>
    <row r="3643" spans="1:5" x14ac:dyDescent="0.25">
      <c r="A3643" s="32" t="s">
        <v>767</v>
      </c>
      <c r="B3643" s="7">
        <v>2015</v>
      </c>
      <c r="C3643" s="51" t="s">
        <v>708</v>
      </c>
      <c r="D3643" t="s">
        <v>739</v>
      </c>
      <c r="E3643" s="2">
        <v>36.405999999999999</v>
      </c>
    </row>
    <row r="3644" spans="1:5" x14ac:dyDescent="0.25">
      <c r="A3644" s="32" t="s">
        <v>767</v>
      </c>
      <c r="B3644" s="7">
        <v>2015</v>
      </c>
      <c r="C3644" s="51" t="s">
        <v>699</v>
      </c>
      <c r="D3644" t="s">
        <v>739</v>
      </c>
      <c r="E3644" s="2">
        <v>38.19</v>
      </c>
    </row>
    <row r="3645" spans="1:5" x14ac:dyDescent="0.25">
      <c r="A3645" s="32" t="s">
        <v>767</v>
      </c>
      <c r="B3645" s="7">
        <v>2015</v>
      </c>
      <c r="C3645" s="51" t="s">
        <v>709</v>
      </c>
      <c r="D3645" t="s">
        <v>739</v>
      </c>
      <c r="E3645" s="2">
        <v>37.776000000000003</v>
      </c>
    </row>
    <row r="3646" spans="1:5" x14ac:dyDescent="0.25">
      <c r="A3646" s="32" t="s">
        <v>767</v>
      </c>
      <c r="B3646" s="7">
        <v>2015</v>
      </c>
      <c r="C3646" s="51" t="s">
        <v>712</v>
      </c>
      <c r="D3646" t="s">
        <v>739</v>
      </c>
      <c r="E3646" s="2">
        <v>40.253999999999998</v>
      </c>
    </row>
    <row r="3647" spans="1:5" x14ac:dyDescent="0.25">
      <c r="A3647" s="32" t="s">
        <v>767</v>
      </c>
      <c r="B3647" s="7">
        <v>2015</v>
      </c>
      <c r="C3647" s="51" t="s">
        <v>710</v>
      </c>
      <c r="D3647" t="s">
        <v>739</v>
      </c>
      <c r="E3647" s="2">
        <v>38.345999999999997</v>
      </c>
    </row>
    <row r="3648" spans="1:5" x14ac:dyDescent="0.25">
      <c r="A3648" s="32" t="s">
        <v>767</v>
      </c>
      <c r="B3648" s="7">
        <v>2015</v>
      </c>
      <c r="C3648" s="51" t="s">
        <v>702</v>
      </c>
      <c r="D3648" t="s">
        <v>739</v>
      </c>
      <c r="E3648" s="2">
        <v>39.637999999999998</v>
      </c>
    </row>
    <row r="3649" spans="1:5" x14ac:dyDescent="0.25">
      <c r="A3649" s="32" t="s">
        <v>767</v>
      </c>
      <c r="B3649" s="7">
        <v>2015</v>
      </c>
      <c r="C3649" s="51" t="s">
        <v>703</v>
      </c>
      <c r="D3649" t="s">
        <v>739</v>
      </c>
      <c r="E3649" s="2">
        <v>36.231000000000002</v>
      </c>
    </row>
    <row r="3650" spans="1:5" x14ac:dyDescent="0.25">
      <c r="A3650" s="32" t="s">
        <v>767</v>
      </c>
      <c r="B3650" s="7">
        <v>2015</v>
      </c>
      <c r="C3650" s="51" t="s">
        <v>704</v>
      </c>
      <c r="D3650" t="s">
        <v>739</v>
      </c>
      <c r="E3650" s="2">
        <v>37.860999999999997</v>
      </c>
    </row>
    <row r="3651" spans="1:5" x14ac:dyDescent="0.25">
      <c r="A3651" s="32" t="s">
        <v>767</v>
      </c>
      <c r="B3651" s="7">
        <v>2015</v>
      </c>
      <c r="C3651" s="51" t="s">
        <v>705</v>
      </c>
      <c r="D3651" t="s">
        <v>739</v>
      </c>
      <c r="E3651" s="2">
        <v>34.401000000000003</v>
      </c>
    </row>
    <row r="3652" spans="1:5" x14ac:dyDescent="0.25">
      <c r="A3652" s="32" t="s">
        <v>767</v>
      </c>
      <c r="B3652" s="7">
        <v>2015</v>
      </c>
      <c r="C3652" s="51" t="s">
        <v>706</v>
      </c>
      <c r="D3652" t="s">
        <v>739</v>
      </c>
      <c r="E3652" s="2">
        <v>35.122999999999998</v>
      </c>
    </row>
    <row r="3653" spans="1:5" x14ac:dyDescent="0.25">
      <c r="A3653" s="32" t="s">
        <v>767</v>
      </c>
      <c r="B3653" s="7">
        <v>2016</v>
      </c>
      <c r="C3653" s="51" t="s">
        <v>713</v>
      </c>
      <c r="D3653" t="s">
        <v>739</v>
      </c>
      <c r="E3653" s="2">
        <v>38.405999999999999</v>
      </c>
    </row>
    <row r="3654" spans="1:5" x14ac:dyDescent="0.25">
      <c r="A3654" s="32" t="s">
        <v>767</v>
      </c>
      <c r="B3654" s="7">
        <v>2016</v>
      </c>
      <c r="C3654" s="51" t="s">
        <v>707</v>
      </c>
      <c r="D3654" t="s">
        <v>739</v>
      </c>
      <c r="E3654" s="2">
        <v>37.822000000000003</v>
      </c>
    </row>
    <row r="3655" spans="1:5" x14ac:dyDescent="0.25">
      <c r="A3655" s="32" t="s">
        <v>767</v>
      </c>
      <c r="B3655" s="7">
        <v>2016</v>
      </c>
      <c r="C3655" s="51" t="s">
        <v>708</v>
      </c>
      <c r="D3655" t="s">
        <v>739</v>
      </c>
      <c r="E3655" s="2">
        <v>35.252000000000002</v>
      </c>
    </row>
    <row r="3656" spans="1:5" x14ac:dyDescent="0.25">
      <c r="A3656" s="32" t="s">
        <v>767</v>
      </c>
      <c r="B3656" s="7">
        <v>2016</v>
      </c>
      <c r="C3656" s="51" t="s">
        <v>699</v>
      </c>
      <c r="D3656" t="s">
        <v>739</v>
      </c>
      <c r="E3656" s="2">
        <v>36.215000000000003</v>
      </c>
    </row>
    <row r="3657" spans="1:5" x14ac:dyDescent="0.25">
      <c r="A3657" s="32" t="s">
        <v>767</v>
      </c>
      <c r="B3657" s="7">
        <v>2016</v>
      </c>
      <c r="C3657" s="51" t="s">
        <v>709</v>
      </c>
      <c r="D3657" t="s">
        <v>739</v>
      </c>
      <c r="E3657" s="2">
        <v>38.386000000000003</v>
      </c>
    </row>
    <row r="3658" spans="1:5" x14ac:dyDescent="0.25">
      <c r="A3658" s="32" t="s">
        <v>767</v>
      </c>
      <c r="B3658" s="7">
        <v>2016</v>
      </c>
      <c r="C3658" s="51" t="s">
        <v>712</v>
      </c>
      <c r="D3658" t="s">
        <v>739</v>
      </c>
      <c r="E3658" s="2">
        <v>36.116</v>
      </c>
    </row>
    <row r="3659" spans="1:5" x14ac:dyDescent="0.25">
      <c r="A3659" s="32" t="s">
        <v>767</v>
      </c>
      <c r="B3659" s="7">
        <v>2016</v>
      </c>
      <c r="C3659" s="51" t="s">
        <v>710</v>
      </c>
      <c r="D3659" t="s">
        <v>739</v>
      </c>
      <c r="E3659" s="2">
        <v>37.79</v>
      </c>
    </row>
    <row r="3660" spans="1:5" x14ac:dyDescent="0.25">
      <c r="A3660" s="32" t="s">
        <v>767</v>
      </c>
      <c r="B3660" s="7">
        <v>2016</v>
      </c>
      <c r="C3660" s="51" t="s">
        <v>702</v>
      </c>
      <c r="D3660" t="s">
        <v>739</v>
      </c>
      <c r="E3660" s="2">
        <v>37.127000000000002</v>
      </c>
    </row>
    <row r="3661" spans="1:5" x14ac:dyDescent="0.25">
      <c r="A3661" s="32" t="s">
        <v>767</v>
      </c>
      <c r="B3661" s="7">
        <v>2016</v>
      </c>
      <c r="C3661" s="51" t="s">
        <v>703</v>
      </c>
      <c r="D3661" t="s">
        <v>739</v>
      </c>
      <c r="E3661" s="2">
        <v>32.020000000000003</v>
      </c>
    </row>
    <row r="3662" spans="1:5" x14ac:dyDescent="0.25">
      <c r="A3662" s="32" t="s">
        <v>767</v>
      </c>
      <c r="B3662" s="7">
        <v>2016</v>
      </c>
      <c r="C3662" s="51" t="s">
        <v>704</v>
      </c>
      <c r="D3662" t="s">
        <v>739</v>
      </c>
      <c r="E3662" s="2">
        <v>35.332000000000001</v>
      </c>
    </row>
    <row r="3663" spans="1:5" x14ac:dyDescent="0.25">
      <c r="A3663" s="32" t="s">
        <v>767</v>
      </c>
      <c r="B3663" s="7">
        <v>2016</v>
      </c>
      <c r="C3663" s="51" t="s">
        <v>705</v>
      </c>
      <c r="D3663" t="s">
        <v>739</v>
      </c>
      <c r="E3663" s="2">
        <v>33.124000000000002</v>
      </c>
    </row>
    <row r="3664" spans="1:5" x14ac:dyDescent="0.25">
      <c r="A3664" s="32" t="s">
        <v>767</v>
      </c>
      <c r="B3664" s="7">
        <v>2016</v>
      </c>
      <c r="C3664" s="51" t="s">
        <v>706</v>
      </c>
      <c r="D3664" t="s">
        <v>739</v>
      </c>
      <c r="E3664" s="2">
        <v>36.436</v>
      </c>
    </row>
    <row r="3665" spans="1:5" x14ac:dyDescent="0.25">
      <c r="A3665" s="32" t="s">
        <v>767</v>
      </c>
      <c r="B3665" s="7">
        <v>2017</v>
      </c>
      <c r="C3665" s="51" t="s">
        <v>713</v>
      </c>
      <c r="D3665" t="s">
        <v>739</v>
      </c>
      <c r="E3665" s="2">
        <v>32.020000000000003</v>
      </c>
    </row>
    <row r="3666" spans="1:5" x14ac:dyDescent="0.25">
      <c r="A3666" s="32" t="s">
        <v>767</v>
      </c>
      <c r="B3666" s="7">
        <v>2017</v>
      </c>
      <c r="C3666" s="51" t="s">
        <v>707</v>
      </c>
      <c r="D3666" t="s">
        <v>739</v>
      </c>
      <c r="E3666" s="2">
        <v>30.916</v>
      </c>
    </row>
    <row r="3667" spans="1:5" x14ac:dyDescent="0.25">
      <c r="A3667" s="32" t="s">
        <v>767</v>
      </c>
      <c r="B3667" s="7">
        <v>2017</v>
      </c>
      <c r="C3667" s="51" t="s">
        <v>708</v>
      </c>
      <c r="D3667" t="s">
        <v>739</v>
      </c>
      <c r="E3667" s="2">
        <v>33.83</v>
      </c>
    </row>
    <row r="3668" spans="1:5" x14ac:dyDescent="0.25">
      <c r="A3668" s="32" t="s">
        <v>767</v>
      </c>
      <c r="B3668" s="7">
        <v>2017</v>
      </c>
      <c r="C3668" s="51" t="s">
        <v>699</v>
      </c>
      <c r="D3668" t="s">
        <v>739</v>
      </c>
      <c r="E3668" s="2">
        <v>35.238</v>
      </c>
    </row>
    <row r="3669" spans="1:5" x14ac:dyDescent="0.25">
      <c r="A3669" s="32" t="s">
        <v>767</v>
      </c>
      <c r="B3669" s="7">
        <v>2017</v>
      </c>
      <c r="C3669" s="51" t="s">
        <v>709</v>
      </c>
      <c r="D3669" t="s">
        <v>739</v>
      </c>
      <c r="E3669" s="2">
        <v>35.930999999999997</v>
      </c>
    </row>
    <row r="3670" spans="1:5" x14ac:dyDescent="0.25">
      <c r="A3670" s="32" t="s">
        <v>767</v>
      </c>
      <c r="B3670" s="7">
        <v>2017</v>
      </c>
      <c r="C3670" s="51" t="s">
        <v>712</v>
      </c>
      <c r="D3670" t="s">
        <v>739</v>
      </c>
      <c r="E3670" s="2">
        <v>32.948</v>
      </c>
    </row>
    <row r="3671" spans="1:5" x14ac:dyDescent="0.25">
      <c r="A3671" s="32" t="s">
        <v>767</v>
      </c>
      <c r="B3671" s="7">
        <v>2017</v>
      </c>
      <c r="C3671" s="51" t="s">
        <v>710</v>
      </c>
      <c r="D3671" t="s">
        <v>739</v>
      </c>
      <c r="E3671" s="2">
        <v>36.533000000000001</v>
      </c>
    </row>
    <row r="3672" spans="1:5" x14ac:dyDescent="0.25">
      <c r="A3672" s="32" t="s">
        <v>767</v>
      </c>
      <c r="B3672" s="7">
        <v>2017</v>
      </c>
      <c r="C3672" s="51" t="s">
        <v>702</v>
      </c>
      <c r="D3672" t="s">
        <v>739</v>
      </c>
      <c r="E3672" s="2">
        <v>36.302999999999997</v>
      </c>
    </row>
    <row r="3673" spans="1:5" x14ac:dyDescent="0.25">
      <c r="A3673" s="32" t="s">
        <v>767</v>
      </c>
      <c r="B3673" s="7">
        <v>2017</v>
      </c>
      <c r="C3673" s="51" t="s">
        <v>703</v>
      </c>
      <c r="D3673" t="s">
        <v>739</v>
      </c>
      <c r="E3673" s="2">
        <v>32.066000000000003</v>
      </c>
    </row>
    <row r="3674" spans="1:5" x14ac:dyDescent="0.25">
      <c r="A3674" s="32" t="s">
        <v>767</v>
      </c>
      <c r="B3674" s="7">
        <v>2017</v>
      </c>
      <c r="C3674" s="51" t="s">
        <v>704</v>
      </c>
      <c r="D3674" t="s">
        <v>739</v>
      </c>
      <c r="E3674" s="2">
        <v>36.503999999999998</v>
      </c>
    </row>
    <row r="3675" spans="1:5" x14ac:dyDescent="0.25">
      <c r="A3675" s="32" t="s">
        <v>767</v>
      </c>
      <c r="B3675" s="7">
        <v>2017</v>
      </c>
      <c r="C3675" s="51" t="s">
        <v>705</v>
      </c>
      <c r="D3675" t="s">
        <v>739</v>
      </c>
      <c r="E3675" s="2">
        <v>32.962000000000003</v>
      </c>
    </row>
    <row r="3676" spans="1:5" x14ac:dyDescent="0.25">
      <c r="A3676" s="32" t="s">
        <v>767</v>
      </c>
      <c r="B3676" s="7">
        <v>2017</v>
      </c>
      <c r="C3676" s="51" t="s">
        <v>706</v>
      </c>
      <c r="D3676" t="s">
        <v>739</v>
      </c>
      <c r="E3676" s="2">
        <v>34.837000000000003</v>
      </c>
    </row>
    <row r="3677" spans="1:5" x14ac:dyDescent="0.25">
      <c r="A3677" s="32" t="s">
        <v>767</v>
      </c>
      <c r="B3677" s="7">
        <v>2018</v>
      </c>
      <c r="C3677" s="51" t="s">
        <v>713</v>
      </c>
      <c r="D3677" t="s">
        <v>739</v>
      </c>
      <c r="E3677" s="2">
        <v>31.89</v>
      </c>
    </row>
    <row r="3678" spans="1:5" x14ac:dyDescent="0.25">
      <c r="A3678" s="32" t="s">
        <v>767</v>
      </c>
      <c r="B3678" s="7">
        <v>2018</v>
      </c>
      <c r="C3678" s="51" t="s">
        <v>707</v>
      </c>
      <c r="D3678" t="s">
        <v>739</v>
      </c>
      <c r="E3678" s="2">
        <v>33.639000000000003</v>
      </c>
    </row>
    <row r="3679" spans="1:5" x14ac:dyDescent="0.25">
      <c r="A3679" s="32" t="s">
        <v>767</v>
      </c>
      <c r="B3679" s="7">
        <v>2018</v>
      </c>
      <c r="C3679" s="51" t="s">
        <v>708</v>
      </c>
      <c r="D3679" t="s">
        <v>739</v>
      </c>
      <c r="E3679" s="2">
        <v>34.344999999999999</v>
      </c>
    </row>
    <row r="3680" spans="1:5" x14ac:dyDescent="0.25">
      <c r="A3680" s="32" t="s">
        <v>767</v>
      </c>
      <c r="B3680" s="7">
        <v>2018</v>
      </c>
      <c r="C3680" s="51" t="s">
        <v>699</v>
      </c>
      <c r="D3680" t="s">
        <v>739</v>
      </c>
      <c r="E3680" s="2">
        <v>33.192999999999998</v>
      </c>
    </row>
    <row r="3681" spans="1:5" x14ac:dyDescent="0.25">
      <c r="A3681" s="32" t="s">
        <v>767</v>
      </c>
      <c r="B3681" s="7">
        <v>2018</v>
      </c>
      <c r="C3681" s="51" t="s">
        <v>709</v>
      </c>
      <c r="D3681" t="s">
        <v>739</v>
      </c>
      <c r="E3681" s="2">
        <v>37.22</v>
      </c>
    </row>
    <row r="3682" spans="1:5" x14ac:dyDescent="0.25">
      <c r="A3682" s="32" t="s">
        <v>767</v>
      </c>
      <c r="B3682" s="7">
        <v>2018</v>
      </c>
      <c r="C3682" s="51" t="s">
        <v>712</v>
      </c>
      <c r="D3682" t="s">
        <v>739</v>
      </c>
      <c r="E3682" s="2">
        <v>27.135000000000002</v>
      </c>
    </row>
    <row r="3683" spans="1:5" x14ac:dyDescent="0.25">
      <c r="A3683" s="32" t="s">
        <v>767</v>
      </c>
      <c r="B3683" s="7">
        <v>2018</v>
      </c>
      <c r="C3683" s="51" t="s">
        <v>710</v>
      </c>
      <c r="D3683" t="s">
        <v>739</v>
      </c>
      <c r="E3683" s="2">
        <v>36.453000000000003</v>
      </c>
    </row>
    <row r="3684" spans="1:5" x14ac:dyDescent="0.25">
      <c r="A3684" s="32" t="s">
        <v>767</v>
      </c>
      <c r="B3684" s="7">
        <v>2018</v>
      </c>
      <c r="C3684" s="51" t="s">
        <v>702</v>
      </c>
      <c r="D3684" t="s">
        <v>739</v>
      </c>
      <c r="E3684" s="2">
        <v>33.225999999999999</v>
      </c>
    </row>
    <row r="3685" spans="1:5" x14ac:dyDescent="0.25">
      <c r="A3685" s="32" t="s">
        <v>767</v>
      </c>
      <c r="B3685" s="7">
        <v>2018</v>
      </c>
      <c r="C3685" s="51" t="s">
        <v>703</v>
      </c>
      <c r="D3685" t="s">
        <v>739</v>
      </c>
      <c r="E3685" s="2">
        <v>36.981000000000002</v>
      </c>
    </row>
    <row r="3686" spans="1:5" x14ac:dyDescent="0.25">
      <c r="A3686" s="32" t="s">
        <v>767</v>
      </c>
      <c r="B3686" s="7">
        <v>2018</v>
      </c>
      <c r="C3686" s="51" t="s">
        <v>704</v>
      </c>
      <c r="D3686" t="s">
        <v>739</v>
      </c>
      <c r="E3686" s="2">
        <v>34.039000000000001</v>
      </c>
    </row>
    <row r="3687" spans="1:5" x14ac:dyDescent="0.25">
      <c r="A3687" s="32" t="s">
        <v>767</v>
      </c>
      <c r="B3687" s="7">
        <v>2018</v>
      </c>
      <c r="C3687" s="51" t="s">
        <v>705</v>
      </c>
      <c r="D3687" t="s">
        <v>739</v>
      </c>
      <c r="E3687" s="2">
        <v>35.942999999999998</v>
      </c>
    </row>
    <row r="3688" spans="1:5" x14ac:dyDescent="0.25">
      <c r="A3688" s="32" t="s">
        <v>767</v>
      </c>
      <c r="B3688" s="7">
        <v>2018</v>
      </c>
      <c r="C3688" s="51" t="s">
        <v>706</v>
      </c>
      <c r="D3688" t="s">
        <v>739</v>
      </c>
      <c r="E3688" s="2">
        <v>39.234999999999999</v>
      </c>
    </row>
    <row r="3689" spans="1:5" x14ac:dyDescent="0.25">
      <c r="A3689" s="32" t="s">
        <v>767</v>
      </c>
      <c r="B3689" s="7">
        <v>2019</v>
      </c>
      <c r="C3689" s="51" t="s">
        <v>713</v>
      </c>
      <c r="D3689" t="s">
        <v>739</v>
      </c>
      <c r="E3689" s="2">
        <v>36.207000000000001</v>
      </c>
    </row>
    <row r="3690" spans="1:5" x14ac:dyDescent="0.25">
      <c r="A3690" s="32" t="s">
        <v>767</v>
      </c>
      <c r="B3690" s="7">
        <v>2019</v>
      </c>
      <c r="C3690" s="51" t="s">
        <v>707</v>
      </c>
      <c r="D3690" t="s">
        <v>739</v>
      </c>
      <c r="E3690" s="2">
        <v>37.341000000000001</v>
      </c>
    </row>
    <row r="3691" spans="1:5" x14ac:dyDescent="0.25">
      <c r="A3691" s="32" t="s">
        <v>767</v>
      </c>
      <c r="B3691" s="7">
        <v>2019</v>
      </c>
      <c r="C3691" s="51" t="s">
        <v>708</v>
      </c>
      <c r="D3691" t="s">
        <v>739</v>
      </c>
      <c r="E3691" s="2">
        <v>33.901000000000003</v>
      </c>
    </row>
    <row r="3692" spans="1:5" x14ac:dyDescent="0.25">
      <c r="A3692" s="32" t="s">
        <v>767</v>
      </c>
      <c r="B3692" s="7">
        <v>2019</v>
      </c>
      <c r="C3692" s="51" t="s">
        <v>699</v>
      </c>
      <c r="D3692" t="s">
        <v>739</v>
      </c>
      <c r="E3692" s="2">
        <v>39.281999999999996</v>
      </c>
    </row>
    <row r="3693" spans="1:5" x14ac:dyDescent="0.25">
      <c r="A3693" s="32" t="s">
        <v>767</v>
      </c>
      <c r="B3693" s="7">
        <v>2019</v>
      </c>
      <c r="C3693" s="51" t="s">
        <v>709</v>
      </c>
      <c r="D3693" t="s">
        <v>739</v>
      </c>
      <c r="E3693" s="2">
        <v>37.82</v>
      </c>
    </row>
    <row r="3694" spans="1:5" x14ac:dyDescent="0.25">
      <c r="A3694" s="32" t="s">
        <v>767</v>
      </c>
      <c r="B3694" s="7">
        <v>2019</v>
      </c>
      <c r="C3694" s="51" t="s">
        <v>712</v>
      </c>
      <c r="D3694" t="s">
        <v>739</v>
      </c>
      <c r="E3694" s="2">
        <v>40.453000000000003</v>
      </c>
    </row>
    <row r="3695" spans="1:5" x14ac:dyDescent="0.25">
      <c r="A3695" s="32" t="s">
        <v>767</v>
      </c>
      <c r="B3695" s="7">
        <v>2019</v>
      </c>
      <c r="C3695" s="51" t="s">
        <v>710</v>
      </c>
      <c r="D3695" t="s">
        <v>739</v>
      </c>
      <c r="E3695" s="2">
        <v>40.69</v>
      </c>
    </row>
    <row r="3696" spans="1:5" x14ac:dyDescent="0.25">
      <c r="A3696" s="32" t="s">
        <v>767</v>
      </c>
      <c r="B3696" s="7">
        <v>2019</v>
      </c>
      <c r="C3696" s="51" t="s">
        <v>702</v>
      </c>
      <c r="D3696" t="s">
        <v>739</v>
      </c>
      <c r="E3696" s="2">
        <v>33.93</v>
      </c>
    </row>
    <row r="3697" spans="1:5" x14ac:dyDescent="0.25">
      <c r="A3697" s="32" t="s">
        <v>767</v>
      </c>
      <c r="B3697" s="7">
        <v>2019</v>
      </c>
      <c r="C3697" s="51" t="s">
        <v>703</v>
      </c>
      <c r="D3697" t="s">
        <v>739</v>
      </c>
      <c r="E3697" s="2">
        <v>40.253</v>
      </c>
    </row>
    <row r="3698" spans="1:5" x14ac:dyDescent="0.25">
      <c r="A3698" s="32" t="s">
        <v>767</v>
      </c>
      <c r="B3698" s="7">
        <v>2019</v>
      </c>
      <c r="C3698" s="51" t="s">
        <v>704</v>
      </c>
      <c r="D3698" t="s">
        <v>739</v>
      </c>
      <c r="E3698" s="2">
        <v>42.011000000000003</v>
      </c>
    </row>
    <row r="3699" spans="1:5" x14ac:dyDescent="0.25">
      <c r="A3699" s="32" t="s">
        <v>767</v>
      </c>
      <c r="B3699" s="7">
        <v>2019</v>
      </c>
      <c r="C3699" s="51" t="s">
        <v>705</v>
      </c>
      <c r="D3699" t="s">
        <v>739</v>
      </c>
      <c r="E3699" s="2">
        <v>43.98</v>
      </c>
    </row>
    <row r="3700" spans="1:5" x14ac:dyDescent="0.25">
      <c r="A3700" s="32" t="s">
        <v>767</v>
      </c>
      <c r="B3700" s="7">
        <v>2019</v>
      </c>
      <c r="C3700" s="51" t="s">
        <v>706</v>
      </c>
      <c r="D3700" t="s">
        <v>739</v>
      </c>
      <c r="E3700" s="2">
        <v>41.094999999999999</v>
      </c>
    </row>
    <row r="3701" spans="1:5" x14ac:dyDescent="0.25">
      <c r="A3701" s="32" t="s">
        <v>767</v>
      </c>
      <c r="B3701" s="7">
        <v>2020</v>
      </c>
      <c r="C3701" s="51" t="s">
        <v>713</v>
      </c>
      <c r="D3701" t="s">
        <v>739</v>
      </c>
      <c r="E3701" s="2">
        <v>40.634</v>
      </c>
    </row>
    <row r="3702" spans="1:5" x14ac:dyDescent="0.25">
      <c r="A3702" s="32" t="s">
        <v>767</v>
      </c>
      <c r="B3702" s="7">
        <v>2020</v>
      </c>
      <c r="C3702" s="51" t="s">
        <v>707</v>
      </c>
      <c r="D3702" t="s">
        <v>739</v>
      </c>
      <c r="E3702" s="2">
        <v>38.762999999999998</v>
      </c>
    </row>
    <row r="3703" spans="1:5" x14ac:dyDescent="0.25">
      <c r="A3703" s="32" t="s">
        <v>767</v>
      </c>
      <c r="B3703" s="7">
        <v>2020</v>
      </c>
      <c r="C3703" s="51" t="s">
        <v>708</v>
      </c>
      <c r="D3703" t="s">
        <v>739</v>
      </c>
      <c r="E3703" s="2">
        <v>41.09</v>
      </c>
    </row>
    <row r="3704" spans="1:5" x14ac:dyDescent="0.25">
      <c r="A3704" s="32" t="s">
        <v>767</v>
      </c>
      <c r="B3704" s="7">
        <v>2020</v>
      </c>
      <c r="C3704" s="51" t="s">
        <v>699</v>
      </c>
      <c r="D3704" t="s">
        <v>739</v>
      </c>
      <c r="E3704" s="2">
        <v>39.850999999999999</v>
      </c>
    </row>
    <row r="3705" spans="1:5" x14ac:dyDescent="0.25">
      <c r="A3705" s="32" t="s">
        <v>767</v>
      </c>
      <c r="B3705" s="7">
        <v>2020</v>
      </c>
      <c r="C3705" s="51" t="s">
        <v>709</v>
      </c>
      <c r="D3705" t="s">
        <v>739</v>
      </c>
      <c r="E3705" s="2">
        <v>40.31</v>
      </c>
    </row>
    <row r="3706" spans="1:5" x14ac:dyDescent="0.25">
      <c r="A3706" s="32" t="s">
        <v>767</v>
      </c>
      <c r="B3706" s="7">
        <v>2020</v>
      </c>
      <c r="C3706" s="51" t="s">
        <v>712</v>
      </c>
      <c r="D3706" t="s">
        <v>739</v>
      </c>
      <c r="E3706" s="2">
        <v>37.890999999999998</v>
      </c>
    </row>
    <row r="3707" spans="1:5" x14ac:dyDescent="0.25">
      <c r="A3707" s="32" t="s">
        <v>767</v>
      </c>
      <c r="B3707" s="7">
        <v>2020</v>
      </c>
      <c r="C3707" s="51" t="s">
        <v>710</v>
      </c>
      <c r="D3707" t="s">
        <v>739</v>
      </c>
      <c r="E3707" s="2">
        <v>38.563000000000002</v>
      </c>
    </row>
    <row r="3708" spans="1:5" x14ac:dyDescent="0.25">
      <c r="A3708" s="32" t="s">
        <v>767</v>
      </c>
      <c r="B3708" s="7">
        <v>2020</v>
      </c>
      <c r="C3708" s="51" t="s">
        <v>702</v>
      </c>
      <c r="D3708" t="s">
        <v>739</v>
      </c>
      <c r="E3708" s="2">
        <v>41.978000000000002</v>
      </c>
    </row>
    <row r="3709" spans="1:5" x14ac:dyDescent="0.25">
      <c r="A3709" s="32" t="s">
        <v>767</v>
      </c>
      <c r="B3709" s="7">
        <v>2020</v>
      </c>
      <c r="C3709" s="51" t="s">
        <v>703</v>
      </c>
      <c r="D3709" t="s">
        <v>739</v>
      </c>
      <c r="E3709" s="2">
        <v>36.253</v>
      </c>
    </row>
    <row r="3710" spans="1:5" x14ac:dyDescent="0.25">
      <c r="A3710" s="32" t="s">
        <v>767</v>
      </c>
      <c r="B3710" s="7">
        <v>2020</v>
      </c>
      <c r="C3710" s="51" t="s">
        <v>704</v>
      </c>
      <c r="D3710" t="s">
        <v>739</v>
      </c>
      <c r="E3710" s="2">
        <v>37.86</v>
      </c>
    </row>
    <row r="3711" spans="1:5" x14ac:dyDescent="0.25">
      <c r="A3711" s="32" t="s">
        <v>767</v>
      </c>
      <c r="B3711" s="7">
        <v>2020</v>
      </c>
      <c r="C3711" s="51" t="s">
        <v>705</v>
      </c>
      <c r="D3711" t="s">
        <v>739</v>
      </c>
      <c r="E3711" s="2">
        <v>40.197000000000003</v>
      </c>
    </row>
    <row r="3712" spans="1:5" x14ac:dyDescent="0.25">
      <c r="A3712" s="32" t="s">
        <v>767</v>
      </c>
      <c r="B3712" s="7">
        <v>2020</v>
      </c>
      <c r="C3712" s="51" t="s">
        <v>706</v>
      </c>
      <c r="D3712" t="s">
        <v>739</v>
      </c>
      <c r="E3712" s="2">
        <v>42.32</v>
      </c>
    </row>
    <row r="3713" spans="1:5" x14ac:dyDescent="0.25">
      <c r="A3713" s="32" t="s">
        <v>767</v>
      </c>
      <c r="B3713" s="7">
        <v>2021</v>
      </c>
      <c r="C3713" s="51" t="s">
        <v>713</v>
      </c>
      <c r="D3713" t="s">
        <v>739</v>
      </c>
      <c r="E3713" s="2">
        <v>39.451000000000001</v>
      </c>
    </row>
    <row r="3714" spans="1:5" x14ac:dyDescent="0.25">
      <c r="A3714" s="32" t="s">
        <v>767</v>
      </c>
      <c r="B3714" s="7">
        <v>2021</v>
      </c>
      <c r="C3714" s="51" t="s">
        <v>707</v>
      </c>
      <c r="D3714" t="s">
        <v>739</v>
      </c>
      <c r="E3714" s="2">
        <v>37.167999999999999</v>
      </c>
    </row>
    <row r="3715" spans="1:5" x14ac:dyDescent="0.25">
      <c r="A3715" s="32" t="s">
        <v>767</v>
      </c>
      <c r="B3715" s="7">
        <v>2021</v>
      </c>
      <c r="C3715" s="51" t="s">
        <v>708</v>
      </c>
      <c r="D3715" t="s">
        <v>739</v>
      </c>
      <c r="E3715" s="2">
        <v>42.633000000000003</v>
      </c>
    </row>
    <row r="3716" spans="1:5" x14ac:dyDescent="0.25">
      <c r="A3716" s="32" t="s">
        <v>767</v>
      </c>
      <c r="B3716" s="7">
        <v>2021</v>
      </c>
      <c r="C3716" s="51" t="s">
        <v>699</v>
      </c>
      <c r="D3716" t="s">
        <v>739</v>
      </c>
      <c r="E3716" s="2">
        <v>39.555999999999997</v>
      </c>
    </row>
    <row r="3717" spans="1:5" x14ac:dyDescent="0.25">
      <c r="A3717" s="32" t="s">
        <v>767</v>
      </c>
      <c r="B3717" s="7">
        <v>2021</v>
      </c>
      <c r="C3717" s="51" t="s">
        <v>709</v>
      </c>
      <c r="D3717" t="s">
        <v>739</v>
      </c>
      <c r="E3717" s="2">
        <v>39.061999999999998</v>
      </c>
    </row>
    <row r="3718" spans="1:5" x14ac:dyDescent="0.25">
      <c r="A3718" s="32" t="s">
        <v>767</v>
      </c>
      <c r="B3718" s="7">
        <v>2021</v>
      </c>
      <c r="C3718" s="51" t="s">
        <v>712</v>
      </c>
      <c r="D3718" t="s">
        <v>739</v>
      </c>
      <c r="E3718" s="2">
        <v>39.154000000000003</v>
      </c>
    </row>
    <row r="3719" spans="1:5" x14ac:dyDescent="0.25">
      <c r="A3719" s="32" t="s">
        <v>767</v>
      </c>
      <c r="B3719" s="7">
        <v>2021</v>
      </c>
      <c r="C3719" s="51" t="s">
        <v>710</v>
      </c>
      <c r="D3719" t="s">
        <v>739</v>
      </c>
      <c r="E3719" s="2">
        <v>39.557000000000002</v>
      </c>
    </row>
    <row r="3720" spans="1:5" x14ac:dyDescent="0.25">
      <c r="A3720" s="32" t="s">
        <v>767</v>
      </c>
      <c r="B3720" s="7">
        <v>2021</v>
      </c>
      <c r="C3720" s="51" t="s">
        <v>702</v>
      </c>
      <c r="D3720" t="s">
        <v>739</v>
      </c>
      <c r="E3720" s="2">
        <v>39.67</v>
      </c>
    </row>
    <row r="3721" spans="1:5" x14ac:dyDescent="0.25">
      <c r="A3721" s="32" t="s">
        <v>767</v>
      </c>
      <c r="B3721" s="7">
        <v>2021</v>
      </c>
      <c r="C3721" s="51" t="s">
        <v>703</v>
      </c>
      <c r="D3721" t="s">
        <v>739</v>
      </c>
      <c r="E3721" s="2">
        <v>38.19</v>
      </c>
    </row>
    <row r="3722" spans="1:5" x14ac:dyDescent="0.25">
      <c r="A3722" s="32" t="s">
        <v>767</v>
      </c>
      <c r="B3722" s="7">
        <v>2021</v>
      </c>
      <c r="C3722" s="51" t="s">
        <v>704</v>
      </c>
      <c r="D3722" t="s">
        <v>739</v>
      </c>
      <c r="E3722" s="2">
        <v>38.302999999999997</v>
      </c>
    </row>
    <row r="3723" spans="1:5" x14ac:dyDescent="0.25">
      <c r="A3723" s="32" t="s">
        <v>767</v>
      </c>
      <c r="B3723" s="7">
        <v>2021</v>
      </c>
      <c r="C3723" s="51" t="s">
        <v>705</v>
      </c>
      <c r="D3723" t="s">
        <v>739</v>
      </c>
      <c r="E3723" s="2">
        <v>35.741999999999997</v>
      </c>
    </row>
    <row r="3724" spans="1:5" x14ac:dyDescent="0.25">
      <c r="A3724" s="32" t="s">
        <v>767</v>
      </c>
      <c r="B3724" s="7">
        <v>2021</v>
      </c>
      <c r="C3724" s="51" t="s">
        <v>706</v>
      </c>
      <c r="D3724" t="s">
        <v>739</v>
      </c>
      <c r="E3724" s="2">
        <v>36.698999999999998</v>
      </c>
    </row>
    <row r="3725" spans="1:5" x14ac:dyDescent="0.25">
      <c r="A3725" s="32" t="s">
        <v>767</v>
      </c>
      <c r="B3725" s="7">
        <v>2022</v>
      </c>
      <c r="C3725" s="51" t="s">
        <v>713</v>
      </c>
      <c r="D3725" t="s">
        <v>739</v>
      </c>
      <c r="E3725" s="2">
        <v>42.503</v>
      </c>
    </row>
    <row r="3726" spans="1:5" x14ac:dyDescent="0.25">
      <c r="A3726" s="32" t="s">
        <v>767</v>
      </c>
      <c r="B3726" s="7">
        <v>2022</v>
      </c>
      <c r="C3726" s="51" t="s">
        <v>707</v>
      </c>
      <c r="D3726" t="s">
        <v>739</v>
      </c>
      <c r="E3726" s="2">
        <v>41.372</v>
      </c>
    </row>
    <row r="3727" spans="1:5" x14ac:dyDescent="0.25">
      <c r="A3727" s="32" t="s">
        <v>767</v>
      </c>
      <c r="B3727" s="7">
        <v>2022</v>
      </c>
      <c r="C3727" s="51" t="s">
        <v>708</v>
      </c>
      <c r="D3727" t="s">
        <v>739</v>
      </c>
      <c r="E3727" s="2">
        <v>41.716000000000001</v>
      </c>
    </row>
    <row r="3728" spans="1:5" x14ac:dyDescent="0.25">
      <c r="A3728" s="32" t="s">
        <v>767</v>
      </c>
      <c r="B3728" s="7">
        <v>2022</v>
      </c>
      <c r="C3728" s="51" t="s">
        <v>699</v>
      </c>
      <c r="D3728" t="s">
        <v>739</v>
      </c>
      <c r="E3728" s="2">
        <v>40.432000000000002</v>
      </c>
    </row>
    <row r="3729" spans="1:5" x14ac:dyDescent="0.25">
      <c r="A3729" s="32" t="s">
        <v>767</v>
      </c>
      <c r="B3729" s="7">
        <v>2022</v>
      </c>
      <c r="C3729" s="51" t="s">
        <v>709</v>
      </c>
      <c r="D3729" t="s">
        <v>739</v>
      </c>
      <c r="E3729" s="2">
        <v>43.472000000000001</v>
      </c>
    </row>
    <row r="3730" spans="1:5" x14ac:dyDescent="0.25">
      <c r="A3730" s="32" t="s">
        <v>767</v>
      </c>
      <c r="B3730" s="7">
        <v>2022</v>
      </c>
      <c r="C3730" s="51" t="s">
        <v>712</v>
      </c>
      <c r="D3730" t="s">
        <v>739</v>
      </c>
      <c r="E3730" s="2">
        <v>41.52</v>
      </c>
    </row>
    <row r="3731" spans="1:5" x14ac:dyDescent="0.25">
      <c r="A3731" s="32" t="s">
        <v>767</v>
      </c>
      <c r="B3731" s="7">
        <v>2022</v>
      </c>
      <c r="C3731" s="51" t="s">
        <v>710</v>
      </c>
      <c r="D3731" t="s">
        <v>739</v>
      </c>
      <c r="E3731" s="2">
        <v>40.604999999999997</v>
      </c>
    </row>
    <row r="3732" spans="1:5" x14ac:dyDescent="0.25">
      <c r="A3732" s="32" t="s">
        <v>767</v>
      </c>
      <c r="B3732" s="7">
        <v>2022</v>
      </c>
      <c r="C3732" s="51" t="s">
        <v>702</v>
      </c>
      <c r="D3732" t="s">
        <v>739</v>
      </c>
      <c r="E3732" s="2">
        <v>39.057000000000002</v>
      </c>
    </row>
    <row r="3733" spans="1:5" x14ac:dyDescent="0.25">
      <c r="A3733" s="32" t="s">
        <v>767</v>
      </c>
      <c r="B3733" s="7">
        <v>2022</v>
      </c>
      <c r="C3733" s="51" t="s">
        <v>703</v>
      </c>
      <c r="D3733" t="s">
        <v>739</v>
      </c>
      <c r="E3733" s="2">
        <v>36.607999999999997</v>
      </c>
    </row>
    <row r="3734" spans="1:5" x14ac:dyDescent="0.25">
      <c r="A3734" s="32" t="s">
        <v>767</v>
      </c>
      <c r="B3734" s="7">
        <v>2022</v>
      </c>
      <c r="C3734" s="51" t="s">
        <v>704</v>
      </c>
      <c r="D3734" t="s">
        <v>739</v>
      </c>
      <c r="E3734" s="2">
        <v>39.899000000000001</v>
      </c>
    </row>
    <row r="3735" spans="1:5" x14ac:dyDescent="0.25">
      <c r="A3735" s="32" t="s">
        <v>767</v>
      </c>
      <c r="B3735" s="7">
        <v>2022</v>
      </c>
      <c r="C3735" s="51" t="s">
        <v>705</v>
      </c>
      <c r="D3735" t="s">
        <v>739</v>
      </c>
      <c r="E3735" s="2">
        <v>37.695999999999998</v>
      </c>
    </row>
    <row r="3736" spans="1:5" x14ac:dyDescent="0.25">
      <c r="A3736" s="32" t="s">
        <v>767</v>
      </c>
      <c r="B3736" s="7">
        <v>2022</v>
      </c>
      <c r="C3736" s="51" t="s">
        <v>706</v>
      </c>
      <c r="D3736" t="s">
        <v>739</v>
      </c>
      <c r="E3736" s="2">
        <v>39.707999999999998</v>
      </c>
    </row>
    <row r="3737" spans="1:5" x14ac:dyDescent="0.25">
      <c r="A3737" s="32" t="s">
        <v>767</v>
      </c>
      <c r="B3737" s="7">
        <v>2023</v>
      </c>
      <c r="C3737" s="51" t="s">
        <v>713</v>
      </c>
      <c r="D3737" t="s">
        <v>739</v>
      </c>
      <c r="E3737" s="2">
        <v>37.448999999999998</v>
      </c>
    </row>
    <row r="3738" spans="1:5" x14ac:dyDescent="0.25">
      <c r="A3738" s="32" t="s">
        <v>767</v>
      </c>
      <c r="B3738" s="7">
        <v>2023</v>
      </c>
      <c r="C3738" s="51" t="s">
        <v>707</v>
      </c>
      <c r="D3738" t="s">
        <v>739</v>
      </c>
      <c r="E3738" s="2">
        <v>33.712000000000003</v>
      </c>
    </row>
    <row r="3739" spans="1:5" x14ac:dyDescent="0.25">
      <c r="A3739" s="32" t="s">
        <v>767</v>
      </c>
      <c r="B3739" s="7">
        <v>2023</v>
      </c>
      <c r="C3739" s="51" t="s">
        <v>708</v>
      </c>
      <c r="D3739" t="s">
        <v>739</v>
      </c>
      <c r="E3739" s="2">
        <v>37.645000000000003</v>
      </c>
    </row>
    <row r="3740" spans="1:5" x14ac:dyDescent="0.25">
      <c r="A3740" s="32" t="s">
        <v>767</v>
      </c>
      <c r="B3740" s="7">
        <v>2023</v>
      </c>
      <c r="C3740" s="51" t="s">
        <v>699</v>
      </c>
      <c r="D3740" t="s">
        <v>739</v>
      </c>
      <c r="E3740" s="2">
        <v>36.719000000000001</v>
      </c>
    </row>
    <row r="3741" spans="1:5" x14ac:dyDescent="0.25">
      <c r="A3741" s="32" t="s">
        <v>767</v>
      </c>
      <c r="B3741" s="7">
        <v>2023</v>
      </c>
      <c r="C3741" s="51" t="s">
        <v>709</v>
      </c>
      <c r="D3741" t="s">
        <v>739</v>
      </c>
      <c r="E3741" s="2">
        <v>38.170999999999999</v>
      </c>
    </row>
    <row r="3742" spans="1:5" x14ac:dyDescent="0.25">
      <c r="A3742" s="32" t="s">
        <v>767</v>
      </c>
      <c r="B3742" s="7">
        <v>2023</v>
      </c>
      <c r="C3742" s="51" t="s">
        <v>712</v>
      </c>
      <c r="D3742" t="s">
        <v>739</v>
      </c>
      <c r="E3742" s="2">
        <v>37.756999999999998</v>
      </c>
    </row>
    <row r="3743" spans="1:5" x14ac:dyDescent="0.25">
      <c r="A3743" s="32" t="s">
        <v>767</v>
      </c>
      <c r="B3743" s="7">
        <v>2023</v>
      </c>
      <c r="C3743" s="51" t="s">
        <v>710</v>
      </c>
      <c r="D3743" t="s">
        <v>739</v>
      </c>
      <c r="E3743" s="2">
        <v>38.768000000000001</v>
      </c>
    </row>
    <row r="3744" spans="1:5" x14ac:dyDescent="0.25">
      <c r="A3744" s="32" t="s">
        <v>767</v>
      </c>
      <c r="B3744" s="7">
        <v>2023</v>
      </c>
      <c r="C3744" s="51" t="s">
        <v>702</v>
      </c>
      <c r="D3744" t="s">
        <v>739</v>
      </c>
      <c r="E3744" s="2">
        <v>39.17</v>
      </c>
    </row>
    <row r="3745" spans="1:5" x14ac:dyDescent="0.25">
      <c r="A3745" s="32" t="s">
        <v>767</v>
      </c>
      <c r="B3745" s="7">
        <v>2023</v>
      </c>
      <c r="C3745" s="51" t="s">
        <v>703</v>
      </c>
      <c r="D3745" t="s">
        <v>739</v>
      </c>
      <c r="E3745" s="2">
        <v>39.476999999999997</v>
      </c>
    </row>
    <row r="3746" spans="1:5" x14ac:dyDescent="0.25">
      <c r="A3746" s="32" t="s">
        <v>767</v>
      </c>
      <c r="B3746" s="7">
        <v>1997</v>
      </c>
      <c r="C3746" s="51" t="s">
        <v>704</v>
      </c>
      <c r="D3746" t="s">
        <v>720</v>
      </c>
      <c r="E3746" s="2">
        <v>2.8290000000000002</v>
      </c>
    </row>
    <row r="3747" spans="1:5" x14ac:dyDescent="0.25">
      <c r="A3747" s="32" t="s">
        <v>767</v>
      </c>
      <c r="B3747" s="7">
        <v>1997</v>
      </c>
      <c r="C3747" s="51" t="s">
        <v>705</v>
      </c>
      <c r="D3747" t="s">
        <v>720</v>
      </c>
      <c r="E3747" s="2">
        <v>2.5830000000000002</v>
      </c>
    </row>
    <row r="3748" spans="1:5" x14ac:dyDescent="0.25">
      <c r="A3748" s="32" t="s">
        <v>767</v>
      </c>
      <c r="B3748" s="7">
        <v>1997</v>
      </c>
      <c r="C3748" s="51" t="s">
        <v>706</v>
      </c>
      <c r="D3748" t="s">
        <v>720</v>
      </c>
      <c r="E3748" s="2">
        <v>2.8039999999999998</v>
      </c>
    </row>
    <row r="3749" spans="1:5" x14ac:dyDescent="0.25">
      <c r="A3749" s="32" t="s">
        <v>767</v>
      </c>
      <c r="B3749" s="7">
        <v>1998</v>
      </c>
      <c r="C3749" s="51" t="s">
        <v>713</v>
      </c>
      <c r="D3749" t="s">
        <v>720</v>
      </c>
      <c r="E3749" s="2">
        <v>3.01</v>
      </c>
    </row>
    <row r="3750" spans="1:5" x14ac:dyDescent="0.25">
      <c r="A3750" s="32" t="s">
        <v>767</v>
      </c>
      <c r="B3750" s="7">
        <v>1998</v>
      </c>
      <c r="C3750" s="51" t="s">
        <v>707</v>
      </c>
      <c r="D3750" t="s">
        <v>720</v>
      </c>
      <c r="E3750" s="2">
        <v>2.645</v>
      </c>
    </row>
    <row r="3751" spans="1:5" x14ac:dyDescent="0.25">
      <c r="A3751" s="32" t="s">
        <v>767</v>
      </c>
      <c r="B3751" s="7">
        <v>1998</v>
      </c>
      <c r="C3751" s="51" t="s">
        <v>708</v>
      </c>
      <c r="D3751" t="s">
        <v>720</v>
      </c>
      <c r="E3751" s="2">
        <v>3.016</v>
      </c>
    </row>
    <row r="3752" spans="1:5" x14ac:dyDescent="0.25">
      <c r="A3752" s="32" t="s">
        <v>767</v>
      </c>
      <c r="B3752" s="7">
        <v>1998</v>
      </c>
      <c r="C3752" s="51" t="s">
        <v>699</v>
      </c>
      <c r="D3752" t="s">
        <v>720</v>
      </c>
      <c r="E3752" s="2">
        <v>2.786</v>
      </c>
    </row>
    <row r="3753" spans="1:5" x14ac:dyDescent="0.25">
      <c r="A3753" s="32" t="s">
        <v>767</v>
      </c>
      <c r="B3753" s="7">
        <v>1998</v>
      </c>
      <c r="C3753" s="51" t="s">
        <v>709</v>
      </c>
      <c r="D3753" t="s">
        <v>720</v>
      </c>
      <c r="E3753" s="2">
        <v>2.9889999999999999</v>
      </c>
    </row>
    <row r="3754" spans="1:5" x14ac:dyDescent="0.25">
      <c r="A3754" s="32" t="s">
        <v>767</v>
      </c>
      <c r="B3754" s="7">
        <v>1998</v>
      </c>
      <c r="C3754" s="51" t="s">
        <v>712</v>
      </c>
      <c r="D3754" t="s">
        <v>720</v>
      </c>
      <c r="E3754" s="2">
        <v>3.0110000000000001</v>
      </c>
    </row>
    <row r="3755" spans="1:5" x14ac:dyDescent="0.25">
      <c r="A3755" s="32" t="s">
        <v>767</v>
      </c>
      <c r="B3755" s="7">
        <v>1998</v>
      </c>
      <c r="C3755" s="51" t="s">
        <v>710</v>
      </c>
      <c r="D3755" t="s">
        <v>720</v>
      </c>
      <c r="E3755" s="2">
        <v>2.5990000000000002</v>
      </c>
    </row>
    <row r="3756" spans="1:5" x14ac:dyDescent="0.25">
      <c r="A3756" s="32" t="s">
        <v>767</v>
      </c>
      <c r="B3756" s="7">
        <v>1998</v>
      </c>
      <c r="C3756" s="51" t="s">
        <v>702</v>
      </c>
      <c r="D3756" t="s">
        <v>720</v>
      </c>
      <c r="E3756" s="2">
        <v>2.597</v>
      </c>
    </row>
    <row r="3757" spans="1:5" x14ac:dyDescent="0.25">
      <c r="A3757" s="32" t="s">
        <v>767</v>
      </c>
      <c r="B3757" s="7">
        <v>1998</v>
      </c>
      <c r="C3757" s="51" t="s">
        <v>703</v>
      </c>
      <c r="D3757" t="s">
        <v>720</v>
      </c>
      <c r="E3757" s="2">
        <v>2.4239999999999999</v>
      </c>
    </row>
    <row r="3758" spans="1:5" x14ac:dyDescent="0.25">
      <c r="A3758" s="32" t="s">
        <v>767</v>
      </c>
      <c r="B3758" s="7">
        <v>1998</v>
      </c>
      <c r="C3758" s="51" t="s">
        <v>704</v>
      </c>
      <c r="D3758" t="s">
        <v>720</v>
      </c>
      <c r="E3758" s="2">
        <v>2.6589999999999998</v>
      </c>
    </row>
    <row r="3759" spans="1:5" x14ac:dyDescent="0.25">
      <c r="A3759" s="32" t="s">
        <v>767</v>
      </c>
      <c r="B3759" s="7">
        <v>1998</v>
      </c>
      <c r="C3759" s="51" t="s">
        <v>705</v>
      </c>
      <c r="D3759" t="s">
        <v>720</v>
      </c>
      <c r="E3759" s="2">
        <v>2.5870000000000002</v>
      </c>
    </row>
    <row r="3760" spans="1:5" x14ac:dyDescent="0.25">
      <c r="A3760" s="32" t="s">
        <v>767</v>
      </c>
      <c r="B3760" s="7">
        <v>1998</v>
      </c>
      <c r="C3760" s="51" t="s">
        <v>706</v>
      </c>
      <c r="D3760" t="s">
        <v>720</v>
      </c>
      <c r="E3760" s="2">
        <v>2.58</v>
      </c>
    </row>
    <row r="3761" spans="1:5" x14ac:dyDescent="0.25">
      <c r="A3761" s="32" t="s">
        <v>767</v>
      </c>
      <c r="B3761" s="7">
        <v>1999</v>
      </c>
      <c r="C3761" s="51" t="s">
        <v>713</v>
      </c>
      <c r="D3761" t="s">
        <v>720</v>
      </c>
      <c r="E3761" s="2">
        <v>2.2959999999999998</v>
      </c>
    </row>
    <row r="3762" spans="1:5" x14ac:dyDescent="0.25">
      <c r="A3762" s="32" t="s">
        <v>767</v>
      </c>
      <c r="B3762" s="7">
        <v>1999</v>
      </c>
      <c r="C3762" s="51" t="s">
        <v>707</v>
      </c>
      <c r="D3762" t="s">
        <v>720</v>
      </c>
      <c r="E3762" s="2">
        <v>1.992</v>
      </c>
    </row>
    <row r="3763" spans="1:5" x14ac:dyDescent="0.25">
      <c r="A3763" s="32" t="s">
        <v>767</v>
      </c>
      <c r="B3763" s="7">
        <v>1999</v>
      </c>
      <c r="C3763" s="51" t="s">
        <v>708</v>
      </c>
      <c r="D3763" t="s">
        <v>720</v>
      </c>
      <c r="E3763" s="2">
        <v>2.2989999999999999</v>
      </c>
    </row>
    <row r="3764" spans="1:5" x14ac:dyDescent="0.25">
      <c r="A3764" s="32" t="s">
        <v>767</v>
      </c>
      <c r="B3764" s="7">
        <v>1999</v>
      </c>
      <c r="C3764" s="51" t="s">
        <v>699</v>
      </c>
      <c r="D3764" t="s">
        <v>720</v>
      </c>
      <c r="E3764" s="2">
        <v>2.472</v>
      </c>
    </row>
    <row r="3765" spans="1:5" x14ac:dyDescent="0.25">
      <c r="A3765" s="32" t="s">
        <v>767</v>
      </c>
      <c r="B3765" s="7">
        <v>1999</v>
      </c>
      <c r="C3765" s="51" t="s">
        <v>709</v>
      </c>
      <c r="D3765" t="s">
        <v>720</v>
      </c>
      <c r="E3765" s="2">
        <v>2.9460000000000002</v>
      </c>
    </row>
    <row r="3766" spans="1:5" x14ac:dyDescent="0.25">
      <c r="A3766" s="32" t="s">
        <v>767</v>
      </c>
      <c r="B3766" s="7">
        <v>1999</v>
      </c>
      <c r="C3766" s="51" t="s">
        <v>712</v>
      </c>
      <c r="D3766" t="s">
        <v>720</v>
      </c>
      <c r="E3766" s="2">
        <v>2.7589999999999999</v>
      </c>
    </row>
    <row r="3767" spans="1:5" x14ac:dyDescent="0.25">
      <c r="A3767" s="32" t="s">
        <v>767</v>
      </c>
      <c r="B3767" s="7">
        <v>1999</v>
      </c>
      <c r="C3767" s="51" t="s">
        <v>710</v>
      </c>
      <c r="D3767" t="s">
        <v>720</v>
      </c>
      <c r="E3767" s="2">
        <v>3.0670000000000002</v>
      </c>
    </row>
    <row r="3768" spans="1:5" x14ac:dyDescent="0.25">
      <c r="A3768" s="32" t="s">
        <v>767</v>
      </c>
      <c r="B3768" s="7">
        <v>1999</v>
      </c>
      <c r="C3768" s="51" t="s">
        <v>702</v>
      </c>
      <c r="D3768" t="s">
        <v>720</v>
      </c>
      <c r="E3768" s="2">
        <v>2.8380000000000001</v>
      </c>
    </row>
    <row r="3769" spans="1:5" x14ac:dyDescent="0.25">
      <c r="A3769" s="32" t="s">
        <v>767</v>
      </c>
      <c r="B3769" s="7">
        <v>1999</v>
      </c>
      <c r="C3769" s="51" t="s">
        <v>703</v>
      </c>
      <c r="D3769" t="s">
        <v>720</v>
      </c>
      <c r="E3769" s="2">
        <v>3.032</v>
      </c>
    </row>
    <row r="3770" spans="1:5" x14ac:dyDescent="0.25">
      <c r="A3770" s="32" t="s">
        <v>767</v>
      </c>
      <c r="B3770" s="7">
        <v>1999</v>
      </c>
      <c r="C3770" s="51" t="s">
        <v>704</v>
      </c>
      <c r="D3770" t="s">
        <v>720</v>
      </c>
      <c r="E3770" s="2">
        <v>3.04</v>
      </c>
    </row>
    <row r="3771" spans="1:5" x14ac:dyDescent="0.25">
      <c r="A3771" s="32" t="s">
        <v>767</v>
      </c>
      <c r="B3771" s="7">
        <v>1999</v>
      </c>
      <c r="C3771" s="51" t="s">
        <v>705</v>
      </c>
      <c r="D3771" t="s">
        <v>720</v>
      </c>
      <c r="E3771" s="2">
        <v>2.6059999999999999</v>
      </c>
    </row>
    <row r="3772" spans="1:5" x14ac:dyDescent="0.25">
      <c r="A3772" s="32" t="s">
        <v>767</v>
      </c>
      <c r="B3772" s="7">
        <v>1999</v>
      </c>
      <c r="C3772" s="51" t="s">
        <v>706</v>
      </c>
      <c r="D3772" t="s">
        <v>720</v>
      </c>
      <c r="E3772" s="2">
        <v>2.8210000000000002</v>
      </c>
    </row>
    <row r="3773" spans="1:5" x14ac:dyDescent="0.25">
      <c r="A3773" s="32" t="s">
        <v>767</v>
      </c>
      <c r="B3773" s="7">
        <v>2000</v>
      </c>
      <c r="C3773" s="51" t="s">
        <v>713</v>
      </c>
      <c r="D3773" t="s">
        <v>720</v>
      </c>
      <c r="E3773" s="2">
        <v>2.5960000000000001</v>
      </c>
    </row>
    <row r="3774" spans="1:5" x14ac:dyDescent="0.25">
      <c r="A3774" s="32" t="s">
        <v>767</v>
      </c>
      <c r="B3774" s="7">
        <v>2000</v>
      </c>
      <c r="C3774" s="51" t="s">
        <v>707</v>
      </c>
      <c r="D3774" t="s">
        <v>720</v>
      </c>
      <c r="E3774" s="2">
        <v>2.9689999999999999</v>
      </c>
    </row>
    <row r="3775" spans="1:5" x14ac:dyDescent="0.25">
      <c r="A3775" s="32" t="s">
        <v>767</v>
      </c>
      <c r="B3775" s="7">
        <v>2000</v>
      </c>
      <c r="C3775" s="51" t="s">
        <v>708</v>
      </c>
      <c r="D3775" t="s">
        <v>720</v>
      </c>
      <c r="E3775" s="2">
        <v>3.101</v>
      </c>
    </row>
    <row r="3776" spans="1:5" x14ac:dyDescent="0.25">
      <c r="A3776" s="32" t="s">
        <v>767</v>
      </c>
      <c r="B3776" s="7">
        <v>2000</v>
      </c>
      <c r="C3776" s="51" t="s">
        <v>699</v>
      </c>
      <c r="D3776" t="s">
        <v>720</v>
      </c>
      <c r="E3776" s="2">
        <v>2.891</v>
      </c>
    </row>
    <row r="3777" spans="1:5" x14ac:dyDescent="0.25">
      <c r="A3777" s="32" t="s">
        <v>767</v>
      </c>
      <c r="B3777" s="7">
        <v>2000</v>
      </c>
      <c r="C3777" s="51" t="s">
        <v>709</v>
      </c>
      <c r="D3777" t="s">
        <v>720</v>
      </c>
      <c r="E3777" s="2">
        <v>3.0579999999999998</v>
      </c>
    </row>
    <row r="3778" spans="1:5" x14ac:dyDescent="0.25">
      <c r="A3778" s="32" t="s">
        <v>767</v>
      </c>
      <c r="B3778" s="7">
        <v>2000</v>
      </c>
      <c r="C3778" s="51" t="s">
        <v>712</v>
      </c>
      <c r="D3778" t="s">
        <v>720</v>
      </c>
      <c r="E3778" s="2">
        <v>3.331</v>
      </c>
    </row>
    <row r="3779" spans="1:5" x14ac:dyDescent="0.25">
      <c r="A3779" s="32" t="s">
        <v>767</v>
      </c>
      <c r="B3779" s="7">
        <v>2000</v>
      </c>
      <c r="C3779" s="51" t="s">
        <v>710</v>
      </c>
      <c r="D3779" t="s">
        <v>720</v>
      </c>
      <c r="E3779" s="2">
        <v>3.4580000000000002</v>
      </c>
    </row>
    <row r="3780" spans="1:5" x14ac:dyDescent="0.25">
      <c r="A3780" s="32" t="s">
        <v>767</v>
      </c>
      <c r="B3780" s="7">
        <v>2000</v>
      </c>
      <c r="C3780" s="51" t="s">
        <v>702</v>
      </c>
      <c r="D3780" t="s">
        <v>720</v>
      </c>
      <c r="E3780" s="2">
        <v>3.3860000000000001</v>
      </c>
    </row>
    <row r="3781" spans="1:5" x14ac:dyDescent="0.25">
      <c r="A3781" s="32" t="s">
        <v>767</v>
      </c>
      <c r="B3781" s="7">
        <v>2000</v>
      </c>
      <c r="C3781" s="51" t="s">
        <v>703</v>
      </c>
      <c r="D3781" t="s">
        <v>720</v>
      </c>
      <c r="E3781" s="2">
        <v>3.2109999999999999</v>
      </c>
    </row>
    <row r="3782" spans="1:5" x14ac:dyDescent="0.25">
      <c r="A3782" s="32" t="s">
        <v>767</v>
      </c>
      <c r="B3782" s="7">
        <v>2000</v>
      </c>
      <c r="C3782" s="51" t="s">
        <v>704</v>
      </c>
      <c r="D3782" t="s">
        <v>720</v>
      </c>
      <c r="E3782" s="2">
        <v>3.2069999999999999</v>
      </c>
    </row>
    <row r="3783" spans="1:5" x14ac:dyDescent="0.25">
      <c r="A3783" s="32" t="s">
        <v>767</v>
      </c>
      <c r="B3783" s="7">
        <v>2000</v>
      </c>
      <c r="C3783" s="51" t="s">
        <v>705</v>
      </c>
      <c r="D3783" t="s">
        <v>720</v>
      </c>
      <c r="E3783" s="2">
        <v>3.3130000000000002</v>
      </c>
    </row>
    <row r="3784" spans="1:5" x14ac:dyDescent="0.25">
      <c r="A3784" s="32" t="s">
        <v>767</v>
      </c>
      <c r="B3784" s="7">
        <v>2000</v>
      </c>
      <c r="C3784" s="51" t="s">
        <v>706</v>
      </c>
      <c r="D3784" t="s">
        <v>720</v>
      </c>
      <c r="E3784" s="2">
        <v>4.7450000000000001</v>
      </c>
    </row>
    <row r="3785" spans="1:5" x14ac:dyDescent="0.25">
      <c r="A3785" s="32" t="s">
        <v>767</v>
      </c>
      <c r="B3785" s="7">
        <v>2001</v>
      </c>
      <c r="C3785" s="51" t="s">
        <v>713</v>
      </c>
      <c r="D3785" t="s">
        <v>720</v>
      </c>
      <c r="E3785" s="2">
        <v>5.0359999999999996</v>
      </c>
    </row>
    <row r="3786" spans="1:5" x14ac:dyDescent="0.25">
      <c r="A3786" s="32" t="s">
        <v>767</v>
      </c>
      <c r="B3786" s="7">
        <v>2001</v>
      </c>
      <c r="C3786" s="51" t="s">
        <v>707</v>
      </c>
      <c r="D3786" t="s">
        <v>720</v>
      </c>
      <c r="E3786" s="2">
        <v>3.504</v>
      </c>
    </row>
    <row r="3787" spans="1:5" x14ac:dyDescent="0.25">
      <c r="A3787" s="32" t="s">
        <v>767</v>
      </c>
      <c r="B3787" s="7">
        <v>2001</v>
      </c>
      <c r="C3787" s="51" t="s">
        <v>708</v>
      </c>
      <c r="D3787" t="s">
        <v>720</v>
      </c>
      <c r="E3787" s="2">
        <v>3.5489999999999999</v>
      </c>
    </row>
    <row r="3788" spans="1:5" x14ac:dyDescent="0.25">
      <c r="A3788" s="32" t="s">
        <v>767</v>
      </c>
      <c r="B3788" s="7">
        <v>2001</v>
      </c>
      <c r="C3788" s="51" t="s">
        <v>699</v>
      </c>
      <c r="D3788" t="s">
        <v>720</v>
      </c>
      <c r="E3788" s="2">
        <v>2.9830000000000001</v>
      </c>
    </row>
    <row r="3789" spans="1:5" x14ac:dyDescent="0.25">
      <c r="A3789" s="32" t="s">
        <v>767</v>
      </c>
      <c r="B3789" s="7">
        <v>2001</v>
      </c>
      <c r="C3789" s="51" t="s">
        <v>709</v>
      </c>
      <c r="D3789" t="s">
        <v>720</v>
      </c>
      <c r="E3789" s="2">
        <v>3.0739999999999998</v>
      </c>
    </row>
    <row r="3790" spans="1:5" x14ac:dyDescent="0.25">
      <c r="A3790" s="32" t="s">
        <v>767</v>
      </c>
      <c r="B3790" s="7">
        <v>2001</v>
      </c>
      <c r="C3790" s="51" t="s">
        <v>712</v>
      </c>
      <c r="D3790" t="s">
        <v>720</v>
      </c>
      <c r="E3790" s="2">
        <v>2.0990000000000002</v>
      </c>
    </row>
    <row r="3791" spans="1:5" x14ac:dyDescent="0.25">
      <c r="A3791" s="32" t="s">
        <v>767</v>
      </c>
      <c r="B3791" s="7">
        <v>2001</v>
      </c>
      <c r="C3791" s="51" t="s">
        <v>710</v>
      </c>
      <c r="D3791" t="s">
        <v>720</v>
      </c>
      <c r="E3791" s="2">
        <v>3</v>
      </c>
    </row>
    <row r="3792" spans="1:5" x14ac:dyDescent="0.25">
      <c r="A3792" s="32" t="s">
        <v>767</v>
      </c>
      <c r="B3792" s="7">
        <v>2001</v>
      </c>
      <c r="C3792" s="51" t="s">
        <v>702</v>
      </c>
      <c r="D3792" t="s">
        <v>720</v>
      </c>
      <c r="E3792" s="2">
        <v>3.2229999999999999</v>
      </c>
    </row>
    <row r="3793" spans="1:5" x14ac:dyDescent="0.25">
      <c r="A3793" s="32" t="s">
        <v>767</v>
      </c>
      <c r="B3793" s="7">
        <v>2001</v>
      </c>
      <c r="C3793" s="51" t="s">
        <v>703</v>
      </c>
      <c r="D3793" t="s">
        <v>720</v>
      </c>
      <c r="E3793" s="2">
        <v>3.1629999999999998</v>
      </c>
    </row>
    <row r="3794" spans="1:5" x14ac:dyDescent="0.25">
      <c r="A3794" s="32" t="s">
        <v>767</v>
      </c>
      <c r="B3794" s="7">
        <v>2001</v>
      </c>
      <c r="C3794" s="51" t="s">
        <v>704</v>
      </c>
      <c r="D3794" t="s">
        <v>720</v>
      </c>
      <c r="E3794" s="2">
        <v>3.2149999999999999</v>
      </c>
    </row>
    <row r="3795" spans="1:5" x14ac:dyDescent="0.25">
      <c r="A3795" s="32" t="s">
        <v>767</v>
      </c>
      <c r="B3795" s="7">
        <v>2001</v>
      </c>
      <c r="C3795" s="51" t="s">
        <v>705</v>
      </c>
      <c r="D3795" t="s">
        <v>720</v>
      </c>
      <c r="E3795" s="2">
        <v>2.706</v>
      </c>
    </row>
    <row r="3796" spans="1:5" x14ac:dyDescent="0.25">
      <c r="A3796" s="32" t="s">
        <v>767</v>
      </c>
      <c r="B3796" s="7">
        <v>2001</v>
      </c>
      <c r="C3796" s="51" t="s">
        <v>706</v>
      </c>
      <c r="D3796" t="s">
        <v>720</v>
      </c>
      <c r="E3796" s="2">
        <v>2.8969999999999998</v>
      </c>
    </row>
    <row r="3797" spans="1:5" x14ac:dyDescent="0.25">
      <c r="A3797" s="32" t="s">
        <v>767</v>
      </c>
      <c r="B3797" s="7">
        <v>2002</v>
      </c>
      <c r="C3797" s="51" t="s">
        <v>713</v>
      </c>
      <c r="D3797" t="s">
        <v>720</v>
      </c>
      <c r="E3797" s="2">
        <v>2.9390000000000001</v>
      </c>
    </row>
    <row r="3798" spans="1:5" x14ac:dyDescent="0.25">
      <c r="A3798" s="32" t="s">
        <v>767</v>
      </c>
      <c r="B3798" s="7">
        <v>2002</v>
      </c>
      <c r="C3798" s="51" t="s">
        <v>707</v>
      </c>
      <c r="D3798" t="s">
        <v>720</v>
      </c>
      <c r="E3798" s="2">
        <v>2.6110000000000002</v>
      </c>
    </row>
    <row r="3799" spans="1:5" x14ac:dyDescent="0.25">
      <c r="A3799" s="32" t="s">
        <v>767</v>
      </c>
      <c r="B3799" s="7">
        <v>2002</v>
      </c>
      <c r="C3799" s="51" t="s">
        <v>708</v>
      </c>
      <c r="D3799" t="s">
        <v>720</v>
      </c>
      <c r="E3799" s="2">
        <v>2.8210000000000002</v>
      </c>
    </row>
    <row r="3800" spans="1:5" x14ac:dyDescent="0.25">
      <c r="A3800" s="32" t="s">
        <v>767</v>
      </c>
      <c r="B3800" s="7">
        <v>2002</v>
      </c>
      <c r="C3800" s="51" t="s">
        <v>699</v>
      </c>
      <c r="D3800" t="s">
        <v>720</v>
      </c>
      <c r="E3800" s="2">
        <v>3.3559999999999999</v>
      </c>
    </row>
    <row r="3801" spans="1:5" x14ac:dyDescent="0.25">
      <c r="A3801" s="32" t="s">
        <v>767</v>
      </c>
      <c r="B3801" s="7">
        <v>2002</v>
      </c>
      <c r="C3801" s="51" t="s">
        <v>709</v>
      </c>
      <c r="D3801" t="s">
        <v>720</v>
      </c>
      <c r="E3801" s="2">
        <v>3.4710000000000001</v>
      </c>
    </row>
    <row r="3802" spans="1:5" x14ac:dyDescent="0.25">
      <c r="A3802" s="32" t="s">
        <v>767</v>
      </c>
      <c r="B3802" s="7">
        <v>2002</v>
      </c>
      <c r="C3802" s="51" t="s">
        <v>712</v>
      </c>
      <c r="D3802" t="s">
        <v>720</v>
      </c>
      <c r="E3802" s="2">
        <v>3.0089999999999999</v>
      </c>
    </row>
    <row r="3803" spans="1:5" x14ac:dyDescent="0.25">
      <c r="A3803" s="32" t="s">
        <v>767</v>
      </c>
      <c r="B3803" s="7">
        <v>2002</v>
      </c>
      <c r="C3803" s="51" t="s">
        <v>710</v>
      </c>
      <c r="D3803" t="s">
        <v>720</v>
      </c>
      <c r="E3803" s="2">
        <v>3.4460000000000002</v>
      </c>
    </row>
    <row r="3804" spans="1:5" x14ac:dyDescent="0.25">
      <c r="A3804" s="32" t="s">
        <v>767</v>
      </c>
      <c r="B3804" s="7">
        <v>2002</v>
      </c>
      <c r="C3804" s="51" t="s">
        <v>702</v>
      </c>
      <c r="D3804" t="s">
        <v>720</v>
      </c>
      <c r="E3804" s="2">
        <v>3.5739999999999998</v>
      </c>
    </row>
    <row r="3805" spans="1:5" x14ac:dyDescent="0.25">
      <c r="A3805" s="32" t="s">
        <v>767</v>
      </c>
      <c r="B3805" s="7">
        <v>2002</v>
      </c>
      <c r="C3805" s="51" t="s">
        <v>703</v>
      </c>
      <c r="D3805" t="s">
        <v>720</v>
      </c>
      <c r="E3805" s="2">
        <v>3.5059999999999998</v>
      </c>
    </row>
    <row r="3806" spans="1:5" x14ac:dyDescent="0.25">
      <c r="A3806" s="32" t="s">
        <v>767</v>
      </c>
      <c r="B3806" s="7">
        <v>2002</v>
      </c>
      <c r="C3806" s="51" t="s">
        <v>704</v>
      </c>
      <c r="D3806" t="s">
        <v>720</v>
      </c>
      <c r="E3806" s="2">
        <v>3.6389999999999998</v>
      </c>
    </row>
    <row r="3807" spans="1:5" x14ac:dyDescent="0.25">
      <c r="A3807" s="32" t="s">
        <v>767</v>
      </c>
      <c r="B3807" s="7">
        <v>2002</v>
      </c>
      <c r="C3807" s="51" t="s">
        <v>705</v>
      </c>
      <c r="D3807" t="s">
        <v>720</v>
      </c>
      <c r="E3807" s="2">
        <v>3.3959999999999999</v>
      </c>
    </row>
    <row r="3808" spans="1:5" x14ac:dyDescent="0.25">
      <c r="A3808" s="32" t="s">
        <v>767</v>
      </c>
      <c r="B3808" s="7">
        <v>2002</v>
      </c>
      <c r="C3808" s="51" t="s">
        <v>706</v>
      </c>
      <c r="D3808" t="s">
        <v>720</v>
      </c>
      <c r="E3808" s="2">
        <v>3.7029999999999998</v>
      </c>
    </row>
    <row r="3809" spans="1:5" x14ac:dyDescent="0.25">
      <c r="A3809" s="32" t="s">
        <v>767</v>
      </c>
      <c r="B3809" s="7">
        <v>2003</v>
      </c>
      <c r="C3809" s="51" t="s">
        <v>713</v>
      </c>
      <c r="D3809" t="s">
        <v>720</v>
      </c>
      <c r="E3809" s="2">
        <v>3.4950000000000001</v>
      </c>
    </row>
    <row r="3810" spans="1:5" x14ac:dyDescent="0.25">
      <c r="A3810" s="32" t="s">
        <v>767</v>
      </c>
      <c r="B3810" s="7">
        <v>2003</v>
      </c>
      <c r="C3810" s="51" t="s">
        <v>707</v>
      </c>
      <c r="D3810" t="s">
        <v>720</v>
      </c>
      <c r="E3810" s="2">
        <v>2.6779999999999999</v>
      </c>
    </row>
    <row r="3811" spans="1:5" x14ac:dyDescent="0.25">
      <c r="A3811" s="32" t="s">
        <v>767</v>
      </c>
      <c r="B3811" s="7">
        <v>2003</v>
      </c>
      <c r="C3811" s="51" t="s">
        <v>708</v>
      </c>
      <c r="D3811" t="s">
        <v>720</v>
      </c>
      <c r="E3811" s="2">
        <v>2.7290000000000001</v>
      </c>
    </row>
    <row r="3812" spans="1:5" x14ac:dyDescent="0.25">
      <c r="A3812" s="32" t="s">
        <v>767</v>
      </c>
      <c r="B3812" s="7">
        <v>2003</v>
      </c>
      <c r="C3812" s="51" t="s">
        <v>699</v>
      </c>
      <c r="D3812" t="s">
        <v>720</v>
      </c>
      <c r="E3812" s="2">
        <v>2.746</v>
      </c>
    </row>
    <row r="3813" spans="1:5" x14ac:dyDescent="0.25">
      <c r="A3813" s="32" t="s">
        <v>767</v>
      </c>
      <c r="B3813" s="7">
        <v>2003</v>
      </c>
      <c r="C3813" s="51" t="s">
        <v>709</v>
      </c>
      <c r="D3813" t="s">
        <v>720</v>
      </c>
      <c r="E3813" s="2">
        <v>3.012</v>
      </c>
    </row>
    <row r="3814" spans="1:5" x14ac:dyDescent="0.25">
      <c r="A3814" s="32" t="s">
        <v>767</v>
      </c>
      <c r="B3814" s="7">
        <v>2003</v>
      </c>
      <c r="C3814" s="51" t="s">
        <v>712</v>
      </c>
      <c r="D3814" t="s">
        <v>720</v>
      </c>
      <c r="E3814" s="2">
        <v>2.99</v>
      </c>
    </row>
    <row r="3815" spans="1:5" x14ac:dyDescent="0.25">
      <c r="A3815" s="32" t="s">
        <v>767</v>
      </c>
      <c r="B3815" s="7">
        <v>2003</v>
      </c>
      <c r="C3815" s="51" t="s">
        <v>710</v>
      </c>
      <c r="D3815" t="s">
        <v>720</v>
      </c>
      <c r="E3815" s="2">
        <v>3.0870000000000002</v>
      </c>
    </row>
    <row r="3816" spans="1:5" x14ac:dyDescent="0.25">
      <c r="A3816" s="32" t="s">
        <v>767</v>
      </c>
      <c r="B3816" s="7">
        <v>2003</v>
      </c>
      <c r="C3816" s="51" t="s">
        <v>702</v>
      </c>
      <c r="D3816" t="s">
        <v>720</v>
      </c>
      <c r="E3816" s="2">
        <v>3.2090000000000001</v>
      </c>
    </row>
    <row r="3817" spans="1:5" x14ac:dyDescent="0.25">
      <c r="A3817" s="32" t="s">
        <v>767</v>
      </c>
      <c r="B3817" s="7">
        <v>2003</v>
      </c>
      <c r="C3817" s="51" t="s">
        <v>703</v>
      </c>
      <c r="D3817" t="s">
        <v>720</v>
      </c>
      <c r="E3817" s="2">
        <v>3.2759999999999998</v>
      </c>
    </row>
    <row r="3818" spans="1:5" x14ac:dyDescent="0.25">
      <c r="A3818" s="32" t="s">
        <v>767</v>
      </c>
      <c r="B3818" s="7">
        <v>2003</v>
      </c>
      <c r="C3818" s="51" t="s">
        <v>704</v>
      </c>
      <c r="D3818" t="s">
        <v>720</v>
      </c>
      <c r="E3818" s="2">
        <v>3.113</v>
      </c>
    </row>
    <row r="3819" spans="1:5" x14ac:dyDescent="0.25">
      <c r="A3819" s="32" t="s">
        <v>767</v>
      </c>
      <c r="B3819" s="7">
        <v>2003</v>
      </c>
      <c r="C3819" s="51" t="s">
        <v>705</v>
      </c>
      <c r="D3819" t="s">
        <v>720</v>
      </c>
      <c r="E3819" s="2">
        <v>2.9470000000000001</v>
      </c>
    </row>
    <row r="3820" spans="1:5" x14ac:dyDescent="0.25">
      <c r="A3820" s="32" t="s">
        <v>767</v>
      </c>
      <c r="B3820" s="7">
        <v>2003</v>
      </c>
      <c r="C3820" s="51" t="s">
        <v>706</v>
      </c>
      <c r="D3820" t="s">
        <v>720</v>
      </c>
      <c r="E3820" s="2">
        <v>2.9660000000000002</v>
      </c>
    </row>
    <row r="3821" spans="1:5" x14ac:dyDescent="0.25">
      <c r="A3821" s="32" t="s">
        <v>767</v>
      </c>
      <c r="B3821" s="7">
        <v>2004</v>
      </c>
      <c r="C3821" s="51" t="s">
        <v>713</v>
      </c>
      <c r="D3821" t="s">
        <v>720</v>
      </c>
      <c r="E3821" s="2">
        <v>2.74</v>
      </c>
    </row>
    <row r="3822" spans="1:5" x14ac:dyDescent="0.25">
      <c r="A3822" s="32" t="s">
        <v>767</v>
      </c>
      <c r="B3822" s="7">
        <v>2004</v>
      </c>
      <c r="C3822" s="51" t="s">
        <v>707</v>
      </c>
      <c r="D3822" t="s">
        <v>720</v>
      </c>
      <c r="E3822" s="2">
        <v>2.4409999999999998</v>
      </c>
    </row>
    <row r="3823" spans="1:5" x14ac:dyDescent="0.25">
      <c r="A3823" s="32" t="s">
        <v>767</v>
      </c>
      <c r="B3823" s="7">
        <v>2004</v>
      </c>
      <c r="C3823" s="51" t="s">
        <v>708</v>
      </c>
      <c r="D3823" t="s">
        <v>720</v>
      </c>
      <c r="E3823" s="2">
        <v>2.9260000000000002</v>
      </c>
    </row>
    <row r="3824" spans="1:5" x14ac:dyDescent="0.25">
      <c r="A3824" s="32" t="s">
        <v>767</v>
      </c>
      <c r="B3824" s="7">
        <v>2004</v>
      </c>
      <c r="C3824" s="51" t="s">
        <v>699</v>
      </c>
      <c r="D3824" t="s">
        <v>720</v>
      </c>
      <c r="E3824" s="2">
        <v>2.6739999999999999</v>
      </c>
    </row>
    <row r="3825" spans="1:5" x14ac:dyDescent="0.25">
      <c r="A3825" s="32" t="s">
        <v>767</v>
      </c>
      <c r="B3825" s="7">
        <v>2004</v>
      </c>
      <c r="C3825" s="51" t="s">
        <v>709</v>
      </c>
      <c r="D3825" t="s">
        <v>720</v>
      </c>
      <c r="E3825" s="2">
        <v>2.9609999999999999</v>
      </c>
    </row>
    <row r="3826" spans="1:5" x14ac:dyDescent="0.25">
      <c r="A3826" s="32" t="s">
        <v>767</v>
      </c>
      <c r="B3826" s="7">
        <v>2004</v>
      </c>
      <c r="C3826" s="51" t="s">
        <v>712</v>
      </c>
      <c r="D3826" t="s">
        <v>720</v>
      </c>
      <c r="E3826" s="2">
        <v>2.75</v>
      </c>
    </row>
    <row r="3827" spans="1:5" x14ac:dyDescent="0.25">
      <c r="A3827" s="32" t="s">
        <v>767</v>
      </c>
      <c r="B3827" s="7">
        <v>2004</v>
      </c>
      <c r="C3827" s="51" t="s">
        <v>710</v>
      </c>
      <c r="D3827" t="s">
        <v>720</v>
      </c>
      <c r="E3827" s="2">
        <v>2.7709999999999999</v>
      </c>
    </row>
    <row r="3828" spans="1:5" x14ac:dyDescent="0.25">
      <c r="A3828" s="32" t="s">
        <v>767</v>
      </c>
      <c r="B3828" s="7">
        <v>2004</v>
      </c>
      <c r="C3828" s="51" t="s">
        <v>702</v>
      </c>
      <c r="D3828" t="s">
        <v>720</v>
      </c>
      <c r="E3828" s="2">
        <v>2.8450000000000002</v>
      </c>
    </row>
    <row r="3829" spans="1:5" x14ac:dyDescent="0.25">
      <c r="A3829" s="32" t="s">
        <v>767</v>
      </c>
      <c r="B3829" s="7">
        <v>2004</v>
      </c>
      <c r="C3829" s="51" t="s">
        <v>703</v>
      </c>
      <c r="D3829" t="s">
        <v>720</v>
      </c>
      <c r="E3829" s="2">
        <v>2.89</v>
      </c>
    </row>
    <row r="3830" spans="1:5" x14ac:dyDescent="0.25">
      <c r="A3830" s="32" t="s">
        <v>767</v>
      </c>
      <c r="B3830" s="7">
        <v>2004</v>
      </c>
      <c r="C3830" s="51" t="s">
        <v>704</v>
      </c>
      <c r="D3830" t="s">
        <v>720</v>
      </c>
      <c r="E3830" s="2">
        <v>2.8540000000000001</v>
      </c>
    </row>
    <row r="3831" spans="1:5" x14ac:dyDescent="0.25">
      <c r="A3831" s="32" t="s">
        <v>767</v>
      </c>
      <c r="B3831" s="7">
        <v>2004</v>
      </c>
      <c r="C3831" s="51" t="s">
        <v>705</v>
      </c>
      <c r="D3831" t="s">
        <v>720</v>
      </c>
      <c r="E3831" s="2">
        <v>2.8159999999999998</v>
      </c>
    </row>
    <row r="3832" spans="1:5" x14ac:dyDescent="0.25">
      <c r="A3832" s="32" t="s">
        <v>767</v>
      </c>
      <c r="B3832" s="7">
        <v>2004</v>
      </c>
      <c r="C3832" s="51" t="s">
        <v>706</v>
      </c>
      <c r="D3832" t="s">
        <v>720</v>
      </c>
      <c r="E3832" s="2">
        <v>2.863</v>
      </c>
    </row>
    <row r="3833" spans="1:5" x14ac:dyDescent="0.25">
      <c r="A3833" s="32" t="s">
        <v>767</v>
      </c>
      <c r="B3833" s="7">
        <v>2005</v>
      </c>
      <c r="C3833" s="51" t="s">
        <v>713</v>
      </c>
      <c r="D3833" t="s">
        <v>720</v>
      </c>
      <c r="E3833" s="2">
        <v>2.9249999999999998</v>
      </c>
    </row>
    <row r="3834" spans="1:5" x14ac:dyDescent="0.25">
      <c r="A3834" s="32" t="s">
        <v>767</v>
      </c>
      <c r="B3834" s="7">
        <v>2005</v>
      </c>
      <c r="C3834" s="51" t="s">
        <v>707</v>
      </c>
      <c r="D3834" t="s">
        <v>720</v>
      </c>
      <c r="E3834" s="2">
        <v>2.5990000000000002</v>
      </c>
    </row>
    <row r="3835" spans="1:5" x14ac:dyDescent="0.25">
      <c r="A3835" s="32" t="s">
        <v>767</v>
      </c>
      <c r="B3835" s="7">
        <v>2005</v>
      </c>
      <c r="C3835" s="51" t="s">
        <v>708</v>
      </c>
      <c r="D3835" t="s">
        <v>720</v>
      </c>
      <c r="E3835" s="2">
        <v>2.8170000000000002</v>
      </c>
    </row>
    <row r="3836" spans="1:5" x14ac:dyDescent="0.25">
      <c r="A3836" s="32" t="s">
        <v>767</v>
      </c>
      <c r="B3836" s="7">
        <v>2005</v>
      </c>
      <c r="C3836" s="51" t="s">
        <v>699</v>
      </c>
      <c r="D3836" t="s">
        <v>720</v>
      </c>
      <c r="E3836" s="2">
        <v>2.0510000000000002</v>
      </c>
    </row>
    <row r="3837" spans="1:5" x14ac:dyDescent="0.25">
      <c r="A3837" s="32" t="s">
        <v>767</v>
      </c>
      <c r="B3837" s="7">
        <v>2005</v>
      </c>
      <c r="C3837" s="51" t="s">
        <v>709</v>
      </c>
      <c r="D3837" t="s">
        <v>720</v>
      </c>
      <c r="E3837" s="2">
        <v>2.6160000000000001</v>
      </c>
    </row>
    <row r="3838" spans="1:5" x14ac:dyDescent="0.25">
      <c r="A3838" s="32" t="s">
        <v>767</v>
      </c>
      <c r="B3838" s="7">
        <v>2005</v>
      </c>
      <c r="C3838" s="51" t="s">
        <v>712</v>
      </c>
      <c r="D3838" t="s">
        <v>720</v>
      </c>
      <c r="E3838" s="2">
        <v>2.3290000000000002</v>
      </c>
    </row>
    <row r="3839" spans="1:5" x14ac:dyDescent="0.25">
      <c r="A3839" s="32" t="s">
        <v>767</v>
      </c>
      <c r="B3839" s="7">
        <v>2005</v>
      </c>
      <c r="C3839" s="51" t="s">
        <v>710</v>
      </c>
      <c r="D3839" t="s">
        <v>720</v>
      </c>
      <c r="E3839" s="2">
        <v>2.3519999999999999</v>
      </c>
    </row>
    <row r="3840" spans="1:5" x14ac:dyDescent="0.25">
      <c r="A3840" s="32" t="s">
        <v>767</v>
      </c>
      <c r="B3840" s="7">
        <v>2005</v>
      </c>
      <c r="C3840" s="51" t="s">
        <v>702</v>
      </c>
      <c r="D3840" t="s">
        <v>720</v>
      </c>
      <c r="E3840" s="2">
        <v>2.6219999999999999</v>
      </c>
    </row>
    <row r="3841" spans="1:5" x14ac:dyDescent="0.25">
      <c r="A3841" s="32" t="s">
        <v>767</v>
      </c>
      <c r="B3841" s="7">
        <v>2005</v>
      </c>
      <c r="C3841" s="51" t="s">
        <v>703</v>
      </c>
      <c r="D3841" t="s">
        <v>720</v>
      </c>
      <c r="E3841" s="2">
        <v>2.835</v>
      </c>
    </row>
    <row r="3842" spans="1:5" x14ac:dyDescent="0.25">
      <c r="A3842" s="32" t="s">
        <v>767</v>
      </c>
      <c r="B3842" s="7">
        <v>2005</v>
      </c>
      <c r="C3842" s="51" t="s">
        <v>704</v>
      </c>
      <c r="D3842" t="s">
        <v>720</v>
      </c>
      <c r="E3842" s="2">
        <v>3.077</v>
      </c>
    </row>
    <row r="3843" spans="1:5" x14ac:dyDescent="0.25">
      <c r="A3843" s="32" t="s">
        <v>767</v>
      </c>
      <c r="B3843" s="7">
        <v>2005</v>
      </c>
      <c r="C3843" s="51" t="s">
        <v>705</v>
      </c>
      <c r="D3843" t="s">
        <v>720</v>
      </c>
      <c r="E3843" s="2">
        <v>2.7240000000000002</v>
      </c>
    </row>
    <row r="3844" spans="1:5" x14ac:dyDescent="0.25">
      <c r="A3844" s="32" t="s">
        <v>767</v>
      </c>
      <c r="B3844" s="7">
        <v>2005</v>
      </c>
      <c r="C3844" s="51" t="s">
        <v>706</v>
      </c>
      <c r="D3844" t="s">
        <v>720</v>
      </c>
      <c r="E3844" s="2">
        <v>2.911</v>
      </c>
    </row>
    <row r="3845" spans="1:5" x14ac:dyDescent="0.25">
      <c r="A3845" s="32" t="s">
        <v>767</v>
      </c>
      <c r="B3845" s="7">
        <v>2006</v>
      </c>
      <c r="C3845" s="51" t="s">
        <v>713</v>
      </c>
      <c r="D3845" t="s">
        <v>720</v>
      </c>
      <c r="E3845" s="2">
        <v>2.8079999999999998</v>
      </c>
    </row>
    <row r="3846" spans="1:5" x14ac:dyDescent="0.25">
      <c r="A3846" s="32" t="s">
        <v>767</v>
      </c>
      <c r="B3846" s="7">
        <v>2006</v>
      </c>
      <c r="C3846" s="51" t="s">
        <v>707</v>
      </c>
      <c r="D3846" t="s">
        <v>720</v>
      </c>
      <c r="E3846" s="2">
        <v>2.3580000000000001</v>
      </c>
    </row>
    <row r="3847" spans="1:5" x14ac:dyDescent="0.25">
      <c r="A3847" s="32" t="s">
        <v>767</v>
      </c>
      <c r="B3847" s="7">
        <v>2006</v>
      </c>
      <c r="C3847" s="51" t="s">
        <v>708</v>
      </c>
      <c r="D3847" t="s">
        <v>720</v>
      </c>
      <c r="E3847" s="2">
        <v>2.7949999999999999</v>
      </c>
    </row>
    <row r="3848" spans="1:5" x14ac:dyDescent="0.25">
      <c r="A3848" s="32" t="s">
        <v>767</v>
      </c>
      <c r="B3848" s="7">
        <v>2006</v>
      </c>
      <c r="C3848" s="51" t="s">
        <v>699</v>
      </c>
      <c r="D3848" t="s">
        <v>720</v>
      </c>
      <c r="E3848" s="2">
        <v>2.6640000000000001</v>
      </c>
    </row>
    <row r="3849" spans="1:5" x14ac:dyDescent="0.25">
      <c r="A3849" s="32" t="s">
        <v>767</v>
      </c>
      <c r="B3849" s="7">
        <v>2006</v>
      </c>
      <c r="C3849" s="51" t="s">
        <v>709</v>
      </c>
      <c r="D3849" t="s">
        <v>720</v>
      </c>
      <c r="E3849" s="2">
        <v>2.5990000000000002</v>
      </c>
    </row>
    <row r="3850" spans="1:5" x14ac:dyDescent="0.25">
      <c r="A3850" s="32" t="s">
        <v>767</v>
      </c>
      <c r="B3850" s="7">
        <v>2006</v>
      </c>
      <c r="C3850" s="51" t="s">
        <v>712</v>
      </c>
      <c r="D3850" t="s">
        <v>720</v>
      </c>
      <c r="E3850" s="2">
        <v>2.9380000000000002</v>
      </c>
    </row>
    <row r="3851" spans="1:5" x14ac:dyDescent="0.25">
      <c r="A3851" s="32" t="s">
        <v>767</v>
      </c>
      <c r="B3851" s="7">
        <v>2006</v>
      </c>
      <c r="C3851" s="51" t="s">
        <v>710</v>
      </c>
      <c r="D3851" t="s">
        <v>720</v>
      </c>
      <c r="E3851" s="2">
        <v>3.0859999999999999</v>
      </c>
    </row>
    <row r="3852" spans="1:5" x14ac:dyDescent="0.25">
      <c r="A3852" s="32" t="s">
        <v>767</v>
      </c>
      <c r="B3852" s="7">
        <v>2006</v>
      </c>
      <c r="C3852" s="51" t="s">
        <v>702</v>
      </c>
      <c r="D3852" t="s">
        <v>720</v>
      </c>
      <c r="E3852" s="2">
        <v>2.4409999999999998</v>
      </c>
    </row>
    <row r="3853" spans="1:5" x14ac:dyDescent="0.25">
      <c r="A3853" s="32" t="s">
        <v>767</v>
      </c>
      <c r="B3853" s="7">
        <v>2006</v>
      </c>
      <c r="C3853" s="51" t="s">
        <v>703</v>
      </c>
      <c r="D3853" t="s">
        <v>720</v>
      </c>
      <c r="E3853" s="2">
        <v>2.7389999999999999</v>
      </c>
    </row>
    <row r="3854" spans="1:5" x14ac:dyDescent="0.25">
      <c r="A3854" s="32" t="s">
        <v>767</v>
      </c>
      <c r="B3854" s="7">
        <v>2006</v>
      </c>
      <c r="C3854" s="51" t="s">
        <v>704</v>
      </c>
      <c r="D3854" t="s">
        <v>720</v>
      </c>
      <c r="E3854" s="2">
        <v>2.8149999999999999</v>
      </c>
    </row>
    <row r="3855" spans="1:5" x14ac:dyDescent="0.25">
      <c r="A3855" s="32" t="s">
        <v>767</v>
      </c>
      <c r="B3855" s="7">
        <v>2006</v>
      </c>
      <c r="C3855" s="51" t="s">
        <v>705</v>
      </c>
      <c r="D3855" t="s">
        <v>720</v>
      </c>
      <c r="E3855" s="2">
        <v>2.7530000000000001</v>
      </c>
    </row>
    <row r="3856" spans="1:5" x14ac:dyDescent="0.25">
      <c r="A3856" s="32" t="s">
        <v>767</v>
      </c>
      <c r="B3856" s="7">
        <v>2006</v>
      </c>
      <c r="C3856" s="51" t="s">
        <v>706</v>
      </c>
      <c r="D3856" t="s">
        <v>720</v>
      </c>
      <c r="E3856" s="2">
        <v>2.48</v>
      </c>
    </row>
    <row r="3857" spans="1:5" x14ac:dyDescent="0.25">
      <c r="A3857" s="32" t="s">
        <v>767</v>
      </c>
      <c r="B3857" s="7">
        <v>2007</v>
      </c>
      <c r="C3857" s="51" t="s">
        <v>713</v>
      </c>
      <c r="D3857" t="s">
        <v>720</v>
      </c>
      <c r="E3857" s="2">
        <v>2.6680000000000001</v>
      </c>
    </row>
    <row r="3858" spans="1:5" x14ac:dyDescent="0.25">
      <c r="A3858" s="32" t="s">
        <v>767</v>
      </c>
      <c r="B3858" s="7">
        <v>2007</v>
      </c>
      <c r="C3858" s="51" t="s">
        <v>707</v>
      </c>
      <c r="D3858" t="s">
        <v>720</v>
      </c>
      <c r="E3858" s="2">
        <v>2.6739999999999999</v>
      </c>
    </row>
    <row r="3859" spans="1:5" x14ac:dyDescent="0.25">
      <c r="A3859" s="32" t="s">
        <v>767</v>
      </c>
      <c r="B3859" s="7">
        <v>2007</v>
      </c>
      <c r="C3859" s="51" t="s">
        <v>708</v>
      </c>
      <c r="D3859" t="s">
        <v>720</v>
      </c>
      <c r="E3859" s="2">
        <v>2.8439999999999999</v>
      </c>
    </row>
    <row r="3860" spans="1:5" x14ac:dyDescent="0.25">
      <c r="A3860" s="32" t="s">
        <v>767</v>
      </c>
      <c r="B3860" s="7">
        <v>2007</v>
      </c>
      <c r="C3860" s="51" t="s">
        <v>699</v>
      </c>
      <c r="D3860" t="s">
        <v>720</v>
      </c>
      <c r="E3860" s="2">
        <v>2.6339999999999999</v>
      </c>
    </row>
    <row r="3861" spans="1:5" x14ac:dyDescent="0.25">
      <c r="A3861" s="32" t="s">
        <v>767</v>
      </c>
      <c r="B3861" s="7">
        <v>2007</v>
      </c>
      <c r="C3861" s="51" t="s">
        <v>709</v>
      </c>
      <c r="D3861" t="s">
        <v>720</v>
      </c>
      <c r="E3861" s="2">
        <v>2.8170000000000002</v>
      </c>
    </row>
    <row r="3862" spans="1:5" x14ac:dyDescent="0.25">
      <c r="A3862" s="32" t="s">
        <v>767</v>
      </c>
      <c r="B3862" s="7">
        <v>2007</v>
      </c>
      <c r="C3862" s="51" t="s">
        <v>712</v>
      </c>
      <c r="D3862" t="s">
        <v>720</v>
      </c>
      <c r="E3862" s="2">
        <v>2.9350000000000001</v>
      </c>
    </row>
    <row r="3863" spans="1:5" x14ac:dyDescent="0.25">
      <c r="A3863" s="32" t="s">
        <v>767</v>
      </c>
      <c r="B3863" s="7">
        <v>2007</v>
      </c>
      <c r="C3863" s="51" t="s">
        <v>710</v>
      </c>
      <c r="D3863" t="s">
        <v>720</v>
      </c>
      <c r="E3863" s="2">
        <v>2.879</v>
      </c>
    </row>
    <row r="3864" spans="1:5" x14ac:dyDescent="0.25">
      <c r="A3864" s="32" t="s">
        <v>767</v>
      </c>
      <c r="B3864" s="7">
        <v>2007</v>
      </c>
      <c r="C3864" s="51" t="s">
        <v>702</v>
      </c>
      <c r="D3864" t="s">
        <v>720</v>
      </c>
      <c r="E3864" s="2">
        <v>2.9769999999999999</v>
      </c>
    </row>
    <row r="3865" spans="1:5" x14ac:dyDescent="0.25">
      <c r="A3865" s="32" t="s">
        <v>767</v>
      </c>
      <c r="B3865" s="7">
        <v>2007</v>
      </c>
      <c r="C3865" s="51" t="s">
        <v>703</v>
      </c>
      <c r="D3865" t="s">
        <v>720</v>
      </c>
      <c r="E3865" s="2">
        <v>2.8940000000000001</v>
      </c>
    </row>
    <row r="3866" spans="1:5" x14ac:dyDescent="0.25">
      <c r="A3866" s="32" t="s">
        <v>767</v>
      </c>
      <c r="B3866" s="7">
        <v>2007</v>
      </c>
      <c r="C3866" s="51" t="s">
        <v>704</v>
      </c>
      <c r="D3866" t="s">
        <v>720</v>
      </c>
      <c r="E3866" s="2">
        <v>2.8559999999999999</v>
      </c>
    </row>
    <row r="3867" spans="1:5" x14ac:dyDescent="0.25">
      <c r="A3867" s="32" t="s">
        <v>767</v>
      </c>
      <c r="B3867" s="7">
        <v>2007</v>
      </c>
      <c r="C3867" s="51" t="s">
        <v>705</v>
      </c>
      <c r="D3867" t="s">
        <v>720</v>
      </c>
      <c r="E3867" s="2">
        <v>2.5019999999999998</v>
      </c>
    </row>
    <row r="3868" spans="1:5" x14ac:dyDescent="0.25">
      <c r="A3868" s="32" t="s">
        <v>767</v>
      </c>
      <c r="B3868" s="7">
        <v>2007</v>
      </c>
      <c r="C3868" s="51" t="s">
        <v>706</v>
      </c>
      <c r="D3868" t="s">
        <v>720</v>
      </c>
      <c r="E3868" s="2">
        <v>2.4729999999999999</v>
      </c>
    </row>
    <row r="3869" spans="1:5" x14ac:dyDescent="0.25">
      <c r="A3869" s="32" t="s">
        <v>767</v>
      </c>
      <c r="B3869" s="7">
        <v>2008</v>
      </c>
      <c r="C3869" s="51" t="s">
        <v>713</v>
      </c>
      <c r="D3869" t="s">
        <v>720</v>
      </c>
      <c r="E3869" s="2">
        <v>2.5150000000000001</v>
      </c>
    </row>
    <row r="3870" spans="1:5" x14ac:dyDescent="0.25">
      <c r="A3870" s="32" t="s">
        <v>767</v>
      </c>
      <c r="B3870" s="7">
        <v>2008</v>
      </c>
      <c r="C3870" s="51" t="s">
        <v>707</v>
      </c>
      <c r="D3870" t="s">
        <v>720</v>
      </c>
      <c r="E3870" s="2">
        <v>2.6080000000000001</v>
      </c>
    </row>
    <row r="3871" spans="1:5" x14ac:dyDescent="0.25">
      <c r="A3871" s="32" t="s">
        <v>767</v>
      </c>
      <c r="B3871" s="7">
        <v>2008</v>
      </c>
      <c r="C3871" s="51" t="s">
        <v>708</v>
      </c>
      <c r="D3871" t="s">
        <v>720</v>
      </c>
      <c r="E3871" s="2">
        <v>2.29</v>
      </c>
    </row>
    <row r="3872" spans="1:5" x14ac:dyDescent="0.25">
      <c r="A3872" s="32" t="s">
        <v>767</v>
      </c>
      <c r="B3872" s="7">
        <v>2008</v>
      </c>
      <c r="C3872" s="51" t="s">
        <v>699</v>
      </c>
      <c r="D3872" t="s">
        <v>720</v>
      </c>
      <c r="E3872" s="2">
        <v>2.2480000000000002</v>
      </c>
    </row>
    <row r="3873" spans="1:5" x14ac:dyDescent="0.25">
      <c r="A3873" s="32" t="s">
        <v>767</v>
      </c>
      <c r="B3873" s="7">
        <v>2008</v>
      </c>
      <c r="C3873" s="51" t="s">
        <v>709</v>
      </c>
      <c r="D3873" t="s">
        <v>720</v>
      </c>
      <c r="E3873" s="2">
        <v>2.887</v>
      </c>
    </row>
    <row r="3874" spans="1:5" x14ac:dyDescent="0.25">
      <c r="A3874" s="32" t="s">
        <v>767</v>
      </c>
      <c r="B3874" s="7">
        <v>2008</v>
      </c>
      <c r="C3874" s="51" t="s">
        <v>712</v>
      </c>
      <c r="D3874" t="s">
        <v>720</v>
      </c>
      <c r="E3874" s="2">
        <v>2.5720000000000001</v>
      </c>
    </row>
    <row r="3875" spans="1:5" x14ac:dyDescent="0.25">
      <c r="A3875" s="32" t="s">
        <v>767</v>
      </c>
      <c r="B3875" s="7">
        <v>2008</v>
      </c>
      <c r="C3875" s="51" t="s">
        <v>710</v>
      </c>
      <c r="D3875" t="s">
        <v>720</v>
      </c>
      <c r="E3875" s="2">
        <v>2.6629999999999998</v>
      </c>
    </row>
    <row r="3876" spans="1:5" x14ac:dyDescent="0.25">
      <c r="A3876" s="32" t="s">
        <v>767</v>
      </c>
      <c r="B3876" s="7">
        <v>2008</v>
      </c>
      <c r="C3876" s="51" t="s">
        <v>702</v>
      </c>
      <c r="D3876" t="s">
        <v>720</v>
      </c>
      <c r="E3876" s="2">
        <v>3.0409999999999999</v>
      </c>
    </row>
    <row r="3877" spans="1:5" x14ac:dyDescent="0.25">
      <c r="A3877" s="32" t="s">
        <v>767</v>
      </c>
      <c r="B3877" s="7">
        <v>2008</v>
      </c>
      <c r="C3877" s="51" t="s">
        <v>703</v>
      </c>
      <c r="D3877" t="s">
        <v>720</v>
      </c>
      <c r="E3877" s="2">
        <v>2.9820000000000002</v>
      </c>
    </row>
    <row r="3878" spans="1:5" x14ac:dyDescent="0.25">
      <c r="A3878" s="32" t="s">
        <v>767</v>
      </c>
      <c r="B3878" s="7">
        <v>2008</v>
      </c>
      <c r="C3878" s="51" t="s">
        <v>704</v>
      </c>
      <c r="D3878" t="s">
        <v>720</v>
      </c>
      <c r="E3878" s="2">
        <v>2.8450000000000002</v>
      </c>
    </row>
    <row r="3879" spans="1:5" x14ac:dyDescent="0.25">
      <c r="A3879" s="32" t="s">
        <v>767</v>
      </c>
      <c r="B3879" s="7">
        <v>2008</v>
      </c>
      <c r="C3879" s="51" t="s">
        <v>705</v>
      </c>
      <c r="D3879" t="s">
        <v>720</v>
      </c>
      <c r="E3879" s="2">
        <v>2.4630000000000001</v>
      </c>
    </row>
    <row r="3880" spans="1:5" x14ac:dyDescent="0.25">
      <c r="A3880" s="32" t="s">
        <v>767</v>
      </c>
      <c r="B3880" s="7">
        <v>2008</v>
      </c>
      <c r="C3880" s="51" t="s">
        <v>706</v>
      </c>
      <c r="D3880" t="s">
        <v>720</v>
      </c>
      <c r="E3880" s="2">
        <v>2.5459999999999998</v>
      </c>
    </row>
    <row r="3881" spans="1:5" x14ac:dyDescent="0.25">
      <c r="A3881" s="32" t="s">
        <v>767</v>
      </c>
      <c r="B3881" s="7">
        <v>2009</v>
      </c>
      <c r="C3881" s="51" t="s">
        <v>713</v>
      </c>
      <c r="D3881" t="s">
        <v>720</v>
      </c>
      <c r="E3881" s="2">
        <v>2.6560000000000001</v>
      </c>
    </row>
    <row r="3882" spans="1:5" x14ac:dyDescent="0.25">
      <c r="A3882" s="32" t="s">
        <v>767</v>
      </c>
      <c r="B3882" s="7">
        <v>2009</v>
      </c>
      <c r="C3882" s="51" t="s">
        <v>707</v>
      </c>
      <c r="D3882" t="s">
        <v>720</v>
      </c>
      <c r="E3882" s="2">
        <v>2.6080000000000001</v>
      </c>
    </row>
    <row r="3883" spans="1:5" x14ac:dyDescent="0.25">
      <c r="A3883" s="32" t="s">
        <v>767</v>
      </c>
      <c r="B3883" s="7">
        <v>2009</v>
      </c>
      <c r="C3883" s="51" t="s">
        <v>708</v>
      </c>
      <c r="D3883" t="s">
        <v>720</v>
      </c>
      <c r="E3883" s="2">
        <v>2.734</v>
      </c>
    </row>
    <row r="3884" spans="1:5" x14ac:dyDescent="0.25">
      <c r="A3884" s="32" t="s">
        <v>767</v>
      </c>
      <c r="B3884" s="7">
        <v>2009</v>
      </c>
      <c r="C3884" s="51" t="s">
        <v>699</v>
      </c>
      <c r="D3884" t="s">
        <v>720</v>
      </c>
      <c r="E3884" s="2">
        <v>2.7679999999999998</v>
      </c>
    </row>
    <row r="3885" spans="1:5" x14ac:dyDescent="0.25">
      <c r="A3885" s="32" t="s">
        <v>767</v>
      </c>
      <c r="B3885" s="7">
        <v>2009</v>
      </c>
      <c r="C3885" s="51" t="s">
        <v>709</v>
      </c>
      <c r="D3885" t="s">
        <v>720</v>
      </c>
      <c r="E3885" s="2">
        <v>2.9860000000000002</v>
      </c>
    </row>
    <row r="3886" spans="1:5" x14ac:dyDescent="0.25">
      <c r="A3886" s="32" t="s">
        <v>767</v>
      </c>
      <c r="B3886" s="7">
        <v>2009</v>
      </c>
      <c r="C3886" s="51" t="s">
        <v>712</v>
      </c>
      <c r="D3886" t="s">
        <v>720</v>
      </c>
      <c r="E3886" s="2">
        <v>3.1259999999999999</v>
      </c>
    </row>
    <row r="3887" spans="1:5" x14ac:dyDescent="0.25">
      <c r="A3887" s="32" t="s">
        <v>767</v>
      </c>
      <c r="B3887" s="7">
        <v>2009</v>
      </c>
      <c r="C3887" s="51" t="s">
        <v>710</v>
      </c>
      <c r="D3887" t="s">
        <v>720</v>
      </c>
      <c r="E3887" s="2">
        <v>3.1720000000000002</v>
      </c>
    </row>
    <row r="3888" spans="1:5" x14ac:dyDescent="0.25">
      <c r="A3888" s="32" t="s">
        <v>767</v>
      </c>
      <c r="B3888" s="7">
        <v>2009</v>
      </c>
      <c r="C3888" s="51" t="s">
        <v>702</v>
      </c>
      <c r="D3888" t="s">
        <v>720</v>
      </c>
      <c r="E3888" s="2">
        <v>3.04</v>
      </c>
    </row>
    <row r="3889" spans="1:5" x14ac:dyDescent="0.25">
      <c r="A3889" s="32" t="s">
        <v>767</v>
      </c>
      <c r="B3889" s="7">
        <v>2009</v>
      </c>
      <c r="C3889" s="51" t="s">
        <v>703</v>
      </c>
      <c r="D3889" t="s">
        <v>720</v>
      </c>
      <c r="E3889" s="2">
        <v>2.948</v>
      </c>
    </row>
    <row r="3890" spans="1:5" x14ac:dyDescent="0.25">
      <c r="A3890" s="32" t="s">
        <v>767</v>
      </c>
      <c r="B3890" s="7">
        <v>2009</v>
      </c>
      <c r="C3890" s="51" t="s">
        <v>704</v>
      </c>
      <c r="D3890" t="s">
        <v>720</v>
      </c>
      <c r="E3890" s="2">
        <v>2.9729999999999999</v>
      </c>
    </row>
    <row r="3891" spans="1:5" x14ac:dyDescent="0.25">
      <c r="A3891" s="32" t="s">
        <v>767</v>
      </c>
      <c r="B3891" s="7">
        <v>2009</v>
      </c>
      <c r="C3891" s="51" t="s">
        <v>705</v>
      </c>
      <c r="D3891" t="s">
        <v>720</v>
      </c>
      <c r="E3891" s="2">
        <v>2.5169999999999999</v>
      </c>
    </row>
    <row r="3892" spans="1:5" x14ac:dyDescent="0.25">
      <c r="A3892" s="32" t="s">
        <v>767</v>
      </c>
      <c r="B3892" s="7">
        <v>2009</v>
      </c>
      <c r="C3892" s="51" t="s">
        <v>706</v>
      </c>
      <c r="D3892" t="s">
        <v>720</v>
      </c>
      <c r="E3892" s="2">
        <v>3.2909999999999999</v>
      </c>
    </row>
    <row r="3893" spans="1:5" x14ac:dyDescent="0.25">
      <c r="A3893" s="32" t="s">
        <v>767</v>
      </c>
      <c r="B3893" s="7">
        <v>2010</v>
      </c>
      <c r="C3893" s="51" t="s">
        <v>713</v>
      </c>
      <c r="D3893" t="s">
        <v>720</v>
      </c>
      <c r="E3893" s="2">
        <v>2.4529999999999998</v>
      </c>
    </row>
    <row r="3894" spans="1:5" x14ac:dyDescent="0.25">
      <c r="A3894" s="32" t="s">
        <v>767</v>
      </c>
      <c r="B3894" s="7">
        <v>2010</v>
      </c>
      <c r="C3894" s="51" t="s">
        <v>707</v>
      </c>
      <c r="D3894" t="s">
        <v>720</v>
      </c>
      <c r="E3894" s="2">
        <v>2.4740000000000002</v>
      </c>
    </row>
    <row r="3895" spans="1:5" x14ac:dyDescent="0.25">
      <c r="A3895" s="32" t="s">
        <v>767</v>
      </c>
      <c r="B3895" s="7">
        <v>2010</v>
      </c>
      <c r="C3895" s="51" t="s">
        <v>708</v>
      </c>
      <c r="D3895" t="s">
        <v>720</v>
      </c>
      <c r="E3895" s="2">
        <v>2.5049999999999999</v>
      </c>
    </row>
    <row r="3896" spans="1:5" x14ac:dyDescent="0.25">
      <c r="A3896" s="32" t="s">
        <v>767</v>
      </c>
      <c r="B3896" s="7">
        <v>2010</v>
      </c>
      <c r="C3896" s="51" t="s">
        <v>699</v>
      </c>
      <c r="D3896" t="s">
        <v>720</v>
      </c>
      <c r="E3896" s="2">
        <v>2.7549999999999999</v>
      </c>
    </row>
    <row r="3897" spans="1:5" x14ac:dyDescent="0.25">
      <c r="A3897" s="32" t="s">
        <v>767</v>
      </c>
      <c r="B3897" s="7">
        <v>2010</v>
      </c>
      <c r="C3897" s="51" t="s">
        <v>709</v>
      </c>
      <c r="D3897" t="s">
        <v>720</v>
      </c>
      <c r="E3897" s="2">
        <v>2.5209999999999999</v>
      </c>
    </row>
    <row r="3898" spans="1:5" x14ac:dyDescent="0.25">
      <c r="A3898" s="32" t="s">
        <v>767</v>
      </c>
      <c r="B3898" s="7">
        <v>2010</v>
      </c>
      <c r="C3898" s="51" t="s">
        <v>712</v>
      </c>
      <c r="D3898" t="s">
        <v>720</v>
      </c>
      <c r="E3898" s="2">
        <v>2.8029999999999999</v>
      </c>
    </row>
    <row r="3899" spans="1:5" x14ac:dyDescent="0.25">
      <c r="A3899" s="32" t="s">
        <v>767</v>
      </c>
      <c r="B3899" s="7">
        <v>2010</v>
      </c>
      <c r="C3899" s="51" t="s">
        <v>710</v>
      </c>
      <c r="D3899" t="s">
        <v>720</v>
      </c>
      <c r="E3899" s="2">
        <v>2.66</v>
      </c>
    </row>
    <row r="3900" spans="1:5" x14ac:dyDescent="0.25">
      <c r="A3900" s="32" t="s">
        <v>767</v>
      </c>
      <c r="B3900" s="7">
        <v>2010</v>
      </c>
      <c r="C3900" s="51" t="s">
        <v>702</v>
      </c>
      <c r="D3900" t="s">
        <v>720</v>
      </c>
      <c r="E3900" s="2">
        <v>2.8479999999999999</v>
      </c>
    </row>
    <row r="3901" spans="1:5" x14ac:dyDescent="0.25">
      <c r="A3901" s="32" t="s">
        <v>767</v>
      </c>
      <c r="B3901" s="7">
        <v>2010</v>
      </c>
      <c r="C3901" s="51" t="s">
        <v>703</v>
      </c>
      <c r="D3901" t="s">
        <v>720</v>
      </c>
      <c r="E3901" s="2">
        <v>2.81</v>
      </c>
    </row>
    <row r="3902" spans="1:5" x14ac:dyDescent="0.25">
      <c r="A3902" s="32" t="s">
        <v>767</v>
      </c>
      <c r="B3902" s="7">
        <v>2010</v>
      </c>
      <c r="C3902" s="51" t="s">
        <v>704</v>
      </c>
      <c r="D3902" t="s">
        <v>720</v>
      </c>
      <c r="E3902" s="2">
        <v>2.823</v>
      </c>
    </row>
    <row r="3903" spans="1:5" x14ac:dyDescent="0.25">
      <c r="A3903" s="32" t="s">
        <v>767</v>
      </c>
      <c r="B3903" s="7">
        <v>2010</v>
      </c>
      <c r="C3903" s="51" t="s">
        <v>705</v>
      </c>
      <c r="D3903" t="s">
        <v>720</v>
      </c>
      <c r="E3903" s="2">
        <v>2.5009999999999999</v>
      </c>
    </row>
    <row r="3904" spans="1:5" x14ac:dyDescent="0.25">
      <c r="A3904" s="32" t="s">
        <v>767</v>
      </c>
      <c r="B3904" s="7">
        <v>2010</v>
      </c>
      <c r="C3904" s="51" t="s">
        <v>706</v>
      </c>
      <c r="D3904" t="s">
        <v>720</v>
      </c>
      <c r="E3904" s="2">
        <v>1.5660000000000001</v>
      </c>
    </row>
    <row r="3905" spans="1:5" x14ac:dyDescent="0.25">
      <c r="A3905" s="32" t="s">
        <v>767</v>
      </c>
      <c r="B3905" s="7">
        <v>2011</v>
      </c>
      <c r="C3905" s="51" t="s">
        <v>713</v>
      </c>
      <c r="D3905" t="s">
        <v>720</v>
      </c>
      <c r="E3905" s="2">
        <v>2.16</v>
      </c>
    </row>
    <row r="3906" spans="1:5" x14ac:dyDescent="0.25">
      <c r="A3906" s="32" t="s">
        <v>767</v>
      </c>
      <c r="B3906" s="7">
        <v>2011</v>
      </c>
      <c r="C3906" s="51" t="s">
        <v>707</v>
      </c>
      <c r="D3906" t="s">
        <v>720</v>
      </c>
      <c r="E3906" s="2">
        <v>1.867</v>
      </c>
    </row>
    <row r="3907" spans="1:5" x14ac:dyDescent="0.25">
      <c r="A3907" s="32" t="s">
        <v>767</v>
      </c>
      <c r="B3907" s="7">
        <v>2011</v>
      </c>
      <c r="C3907" s="51" t="s">
        <v>708</v>
      </c>
      <c r="D3907" t="s">
        <v>720</v>
      </c>
      <c r="E3907" s="2">
        <v>2.581</v>
      </c>
    </row>
    <row r="3908" spans="1:5" x14ac:dyDescent="0.25">
      <c r="A3908" s="32" t="s">
        <v>767</v>
      </c>
      <c r="B3908" s="7">
        <v>2011</v>
      </c>
      <c r="C3908" s="51" t="s">
        <v>699</v>
      </c>
      <c r="D3908" t="s">
        <v>720</v>
      </c>
      <c r="E3908" s="2">
        <v>2.2400000000000002</v>
      </c>
    </row>
    <row r="3909" spans="1:5" x14ac:dyDescent="0.25">
      <c r="A3909" s="32" t="s">
        <v>767</v>
      </c>
      <c r="B3909" s="7">
        <v>2011</v>
      </c>
      <c r="C3909" s="51" t="s">
        <v>709</v>
      </c>
      <c r="D3909" t="s">
        <v>720</v>
      </c>
      <c r="E3909" s="2">
        <v>2.996</v>
      </c>
    </row>
    <row r="3910" spans="1:5" x14ac:dyDescent="0.25">
      <c r="A3910" s="32" t="s">
        <v>767</v>
      </c>
      <c r="B3910" s="7">
        <v>2011</v>
      </c>
      <c r="C3910" s="51" t="s">
        <v>712</v>
      </c>
      <c r="D3910" t="s">
        <v>720</v>
      </c>
      <c r="E3910" s="2">
        <v>2.702</v>
      </c>
    </row>
    <row r="3911" spans="1:5" x14ac:dyDescent="0.25">
      <c r="A3911" s="32" t="s">
        <v>767</v>
      </c>
      <c r="B3911" s="7">
        <v>2011</v>
      </c>
      <c r="C3911" s="51" t="s">
        <v>710</v>
      </c>
      <c r="D3911" t="s">
        <v>720</v>
      </c>
      <c r="E3911" s="2">
        <v>2.5489999999999999</v>
      </c>
    </row>
    <row r="3912" spans="1:5" x14ac:dyDescent="0.25">
      <c r="A3912" s="32" t="s">
        <v>767</v>
      </c>
      <c r="B3912" s="7">
        <v>2011</v>
      </c>
      <c r="C3912" s="51" t="s">
        <v>702</v>
      </c>
      <c r="D3912" t="s">
        <v>720</v>
      </c>
      <c r="E3912" s="2">
        <v>2.4649999999999999</v>
      </c>
    </row>
    <row r="3913" spans="1:5" x14ac:dyDescent="0.25">
      <c r="A3913" s="32" t="s">
        <v>767</v>
      </c>
      <c r="B3913" s="7">
        <v>2011</v>
      </c>
      <c r="C3913" s="51" t="s">
        <v>703</v>
      </c>
      <c r="D3913" t="s">
        <v>720</v>
      </c>
      <c r="E3913" s="2">
        <v>2.6669999999999998</v>
      </c>
    </row>
    <row r="3914" spans="1:5" x14ac:dyDescent="0.25">
      <c r="A3914" s="32" t="s">
        <v>767</v>
      </c>
      <c r="B3914" s="7">
        <v>2011</v>
      </c>
      <c r="C3914" s="51" t="s">
        <v>704</v>
      </c>
      <c r="D3914" t="s">
        <v>720</v>
      </c>
      <c r="E3914" s="2">
        <v>2.7989999999999999</v>
      </c>
    </row>
    <row r="3915" spans="1:5" x14ac:dyDescent="0.25">
      <c r="A3915" s="32" t="s">
        <v>767</v>
      </c>
      <c r="B3915" s="7">
        <v>2011</v>
      </c>
      <c r="C3915" s="51" t="s">
        <v>705</v>
      </c>
      <c r="D3915" t="s">
        <v>720</v>
      </c>
      <c r="E3915" s="2">
        <v>2.27</v>
      </c>
    </row>
    <row r="3916" spans="1:5" x14ac:dyDescent="0.25">
      <c r="A3916" s="32" t="s">
        <v>767</v>
      </c>
      <c r="B3916" s="7">
        <v>2011</v>
      </c>
      <c r="C3916" s="51" t="s">
        <v>706</v>
      </c>
      <c r="D3916" t="s">
        <v>720</v>
      </c>
      <c r="E3916" s="2">
        <v>2.0169999999999999</v>
      </c>
    </row>
    <row r="3917" spans="1:5" x14ac:dyDescent="0.25">
      <c r="A3917" s="32" t="s">
        <v>767</v>
      </c>
      <c r="B3917" s="7">
        <v>2012</v>
      </c>
      <c r="C3917" s="51" t="s">
        <v>713</v>
      </c>
      <c r="D3917" t="s">
        <v>720</v>
      </c>
      <c r="E3917" s="2">
        <v>2.31</v>
      </c>
    </row>
    <row r="3918" spans="1:5" x14ac:dyDescent="0.25">
      <c r="A3918" s="32" t="s">
        <v>767</v>
      </c>
      <c r="B3918" s="7">
        <v>2012</v>
      </c>
      <c r="C3918" s="51" t="s">
        <v>707</v>
      </c>
      <c r="D3918" t="s">
        <v>720</v>
      </c>
      <c r="E3918" s="2">
        <v>1.8460000000000001</v>
      </c>
    </row>
    <row r="3919" spans="1:5" x14ac:dyDescent="0.25">
      <c r="A3919" s="32" t="s">
        <v>767</v>
      </c>
      <c r="B3919" s="7">
        <v>2012</v>
      </c>
      <c r="C3919" s="51" t="s">
        <v>708</v>
      </c>
      <c r="D3919" t="s">
        <v>720</v>
      </c>
      <c r="E3919" s="2">
        <v>1.764</v>
      </c>
    </row>
    <row r="3920" spans="1:5" x14ac:dyDescent="0.25">
      <c r="A3920" s="32" t="s">
        <v>767</v>
      </c>
      <c r="B3920" s="7">
        <v>2012</v>
      </c>
      <c r="C3920" s="51" t="s">
        <v>699</v>
      </c>
      <c r="D3920" t="s">
        <v>720</v>
      </c>
      <c r="E3920" s="2">
        <v>1.9630000000000001</v>
      </c>
    </row>
    <row r="3921" spans="1:5" x14ac:dyDescent="0.25">
      <c r="A3921" s="32" t="s">
        <v>767</v>
      </c>
      <c r="B3921" s="7">
        <v>2012</v>
      </c>
      <c r="C3921" s="51" t="s">
        <v>709</v>
      </c>
      <c r="D3921" t="s">
        <v>720</v>
      </c>
      <c r="E3921" s="2">
        <v>1.8440000000000001</v>
      </c>
    </row>
    <row r="3922" spans="1:5" x14ac:dyDescent="0.25">
      <c r="A3922" s="32" t="s">
        <v>767</v>
      </c>
      <c r="B3922" s="7">
        <v>2012</v>
      </c>
      <c r="C3922" s="51" t="s">
        <v>712</v>
      </c>
      <c r="D3922" t="s">
        <v>720</v>
      </c>
      <c r="E3922" s="2">
        <v>1.5780000000000001</v>
      </c>
    </row>
    <row r="3923" spans="1:5" x14ac:dyDescent="0.25">
      <c r="A3923" s="32" t="s">
        <v>767</v>
      </c>
      <c r="B3923" s="7">
        <v>2012</v>
      </c>
      <c r="C3923" s="51" t="s">
        <v>710</v>
      </c>
      <c r="D3923" t="s">
        <v>720</v>
      </c>
      <c r="E3923" s="2">
        <v>2.3180000000000001</v>
      </c>
    </row>
    <row r="3924" spans="1:5" x14ac:dyDescent="0.25">
      <c r="A3924" s="32" t="s">
        <v>767</v>
      </c>
      <c r="B3924" s="7">
        <v>2012</v>
      </c>
      <c r="C3924" s="51" t="s">
        <v>702</v>
      </c>
      <c r="D3924" t="s">
        <v>720</v>
      </c>
      <c r="E3924" s="2">
        <v>2.423</v>
      </c>
    </row>
    <row r="3925" spans="1:5" x14ac:dyDescent="0.25">
      <c r="A3925" s="32" t="s">
        <v>767</v>
      </c>
      <c r="B3925" s="7">
        <v>2012</v>
      </c>
      <c r="C3925" s="51" t="s">
        <v>703</v>
      </c>
      <c r="D3925" t="s">
        <v>720</v>
      </c>
      <c r="E3925" s="2">
        <v>2.5310000000000001</v>
      </c>
    </row>
    <row r="3926" spans="1:5" x14ac:dyDescent="0.25">
      <c r="A3926" s="32" t="s">
        <v>767</v>
      </c>
      <c r="B3926" s="7">
        <v>2012</v>
      </c>
      <c r="C3926" s="51" t="s">
        <v>704</v>
      </c>
      <c r="D3926" t="s">
        <v>720</v>
      </c>
      <c r="E3926" s="2">
        <v>3.04</v>
      </c>
    </row>
    <row r="3927" spans="1:5" x14ac:dyDescent="0.25">
      <c r="A3927" s="32" t="s">
        <v>767</v>
      </c>
      <c r="B3927" s="7">
        <v>2012</v>
      </c>
      <c r="C3927" s="51" t="s">
        <v>705</v>
      </c>
      <c r="D3927" t="s">
        <v>720</v>
      </c>
      <c r="E3927" s="2">
        <v>2.222</v>
      </c>
    </row>
    <row r="3928" spans="1:5" x14ac:dyDescent="0.25">
      <c r="A3928" s="32" t="s">
        <v>767</v>
      </c>
      <c r="B3928" s="7">
        <v>2012</v>
      </c>
      <c r="C3928" s="51" t="s">
        <v>706</v>
      </c>
      <c r="D3928" t="s">
        <v>720</v>
      </c>
      <c r="E3928" s="2">
        <v>2.1509999999999998</v>
      </c>
    </row>
    <row r="3929" spans="1:5" x14ac:dyDescent="0.25">
      <c r="A3929" s="32" t="s">
        <v>767</v>
      </c>
      <c r="B3929" s="7">
        <v>2013</v>
      </c>
      <c r="C3929" s="51" t="s">
        <v>713</v>
      </c>
      <c r="D3929" t="s">
        <v>720</v>
      </c>
      <c r="E3929" s="2">
        <v>2.5249999999999999</v>
      </c>
    </row>
    <row r="3930" spans="1:5" x14ac:dyDescent="0.25">
      <c r="A3930" s="32" t="s">
        <v>767</v>
      </c>
      <c r="B3930" s="7">
        <v>2013</v>
      </c>
      <c r="C3930" s="51" t="s">
        <v>707</v>
      </c>
      <c r="D3930" t="s">
        <v>720</v>
      </c>
      <c r="E3930" s="2">
        <v>1.839</v>
      </c>
    </row>
    <row r="3931" spans="1:5" x14ac:dyDescent="0.25">
      <c r="A3931" s="32" t="s">
        <v>767</v>
      </c>
      <c r="B3931" s="7">
        <v>2013</v>
      </c>
      <c r="C3931" s="51" t="s">
        <v>708</v>
      </c>
      <c r="D3931" t="s">
        <v>720</v>
      </c>
      <c r="E3931" s="2">
        <v>2.3820000000000001</v>
      </c>
    </row>
    <row r="3932" spans="1:5" x14ac:dyDescent="0.25">
      <c r="A3932" s="32" t="s">
        <v>767</v>
      </c>
      <c r="B3932" s="7">
        <v>2013</v>
      </c>
      <c r="C3932" s="51" t="s">
        <v>699</v>
      </c>
      <c r="D3932" t="s">
        <v>720</v>
      </c>
      <c r="E3932" s="2">
        <v>1.95</v>
      </c>
    </row>
    <row r="3933" spans="1:5" x14ac:dyDescent="0.25">
      <c r="A3933" s="32" t="s">
        <v>767</v>
      </c>
      <c r="B3933" s="7">
        <v>2013</v>
      </c>
      <c r="C3933" s="51" t="s">
        <v>709</v>
      </c>
      <c r="D3933" t="s">
        <v>720</v>
      </c>
      <c r="E3933" s="2">
        <v>2.4079999999999999</v>
      </c>
    </row>
    <row r="3934" spans="1:5" x14ac:dyDescent="0.25">
      <c r="A3934" s="32" t="s">
        <v>767</v>
      </c>
      <c r="B3934" s="7">
        <v>2013</v>
      </c>
      <c r="C3934" s="51" t="s">
        <v>712</v>
      </c>
      <c r="D3934" t="s">
        <v>720</v>
      </c>
      <c r="E3934" s="2">
        <v>2.5489999999999999</v>
      </c>
    </row>
    <row r="3935" spans="1:5" x14ac:dyDescent="0.25">
      <c r="A3935" s="32" t="s">
        <v>767</v>
      </c>
      <c r="B3935" s="7">
        <v>2013</v>
      </c>
      <c r="C3935" s="51" t="s">
        <v>710</v>
      </c>
      <c r="D3935" t="s">
        <v>720</v>
      </c>
      <c r="E3935" s="2">
        <v>2.1</v>
      </c>
    </row>
    <row r="3936" spans="1:5" x14ac:dyDescent="0.25">
      <c r="A3936" s="32" t="s">
        <v>767</v>
      </c>
      <c r="B3936" s="7">
        <v>2013</v>
      </c>
      <c r="C3936" s="51" t="s">
        <v>702</v>
      </c>
      <c r="D3936" t="s">
        <v>720</v>
      </c>
      <c r="E3936" s="2">
        <v>2.0270000000000001</v>
      </c>
    </row>
    <row r="3937" spans="1:5" x14ac:dyDescent="0.25">
      <c r="A3937" s="32" t="s">
        <v>767</v>
      </c>
      <c r="B3937" s="7">
        <v>2013</v>
      </c>
      <c r="C3937" s="51" t="s">
        <v>703</v>
      </c>
      <c r="D3937" t="s">
        <v>720</v>
      </c>
      <c r="E3937" s="2">
        <v>2.6349999999999998</v>
      </c>
    </row>
    <row r="3938" spans="1:5" x14ac:dyDescent="0.25">
      <c r="A3938" s="32" t="s">
        <v>767</v>
      </c>
      <c r="B3938" s="7">
        <v>2013</v>
      </c>
      <c r="C3938" s="51" t="s">
        <v>704</v>
      </c>
      <c r="D3938" t="s">
        <v>720</v>
      </c>
      <c r="E3938" s="2">
        <v>2.3519999999999999</v>
      </c>
    </row>
    <row r="3939" spans="1:5" x14ac:dyDescent="0.25">
      <c r="A3939" s="32" t="s">
        <v>767</v>
      </c>
      <c r="B3939" s="7">
        <v>2013</v>
      </c>
      <c r="C3939" s="51" t="s">
        <v>705</v>
      </c>
      <c r="D3939" t="s">
        <v>720</v>
      </c>
      <c r="E3939" s="2">
        <v>2.371</v>
      </c>
    </row>
    <row r="3940" spans="1:5" x14ac:dyDescent="0.25">
      <c r="A3940" s="32" t="s">
        <v>767</v>
      </c>
      <c r="B3940" s="7">
        <v>2013</v>
      </c>
      <c r="C3940" s="51" t="s">
        <v>706</v>
      </c>
      <c r="D3940" t="s">
        <v>720</v>
      </c>
      <c r="E3940" s="2">
        <v>2.2679999999999998</v>
      </c>
    </row>
    <row r="3941" spans="1:5" x14ac:dyDescent="0.25">
      <c r="A3941" s="32" t="s">
        <v>767</v>
      </c>
      <c r="B3941" s="7">
        <v>2014</v>
      </c>
      <c r="C3941" s="51" t="s">
        <v>713</v>
      </c>
      <c r="D3941" t="s">
        <v>720</v>
      </c>
      <c r="E3941" s="2">
        <v>2.5790000000000002</v>
      </c>
    </row>
    <row r="3942" spans="1:5" x14ac:dyDescent="0.25">
      <c r="A3942" s="32" t="s">
        <v>767</v>
      </c>
      <c r="B3942" s="7">
        <v>2014</v>
      </c>
      <c r="C3942" s="51" t="s">
        <v>707</v>
      </c>
      <c r="D3942" t="s">
        <v>720</v>
      </c>
      <c r="E3942" s="2">
        <v>1.9419999999999999</v>
      </c>
    </row>
    <row r="3943" spans="1:5" x14ac:dyDescent="0.25">
      <c r="A3943" s="32" t="s">
        <v>767</v>
      </c>
      <c r="B3943" s="7">
        <v>2014</v>
      </c>
      <c r="C3943" s="51" t="s">
        <v>708</v>
      </c>
      <c r="D3943" t="s">
        <v>720</v>
      </c>
      <c r="E3943" s="2">
        <v>2.173</v>
      </c>
    </row>
    <row r="3944" spans="1:5" x14ac:dyDescent="0.25">
      <c r="A3944" s="32" t="s">
        <v>767</v>
      </c>
      <c r="B3944" s="7">
        <v>2014</v>
      </c>
      <c r="C3944" s="51" t="s">
        <v>699</v>
      </c>
      <c r="D3944" t="s">
        <v>720</v>
      </c>
      <c r="E3944" s="2">
        <v>2.3540000000000001</v>
      </c>
    </row>
    <row r="3945" spans="1:5" x14ac:dyDescent="0.25">
      <c r="A3945" s="32" t="s">
        <v>767</v>
      </c>
      <c r="B3945" s="7">
        <v>2014</v>
      </c>
      <c r="C3945" s="51" t="s">
        <v>709</v>
      </c>
      <c r="D3945" t="s">
        <v>720</v>
      </c>
      <c r="E3945" s="2">
        <v>2.899</v>
      </c>
    </row>
    <row r="3946" spans="1:5" x14ac:dyDescent="0.25">
      <c r="A3946" s="32" t="s">
        <v>767</v>
      </c>
      <c r="B3946" s="7">
        <v>2014</v>
      </c>
      <c r="C3946" s="51" t="s">
        <v>712</v>
      </c>
      <c r="D3946" t="s">
        <v>720</v>
      </c>
      <c r="E3946" s="2">
        <v>1.998</v>
      </c>
    </row>
    <row r="3947" spans="1:5" x14ac:dyDescent="0.25">
      <c r="A3947" s="32" t="s">
        <v>767</v>
      </c>
      <c r="B3947" s="7">
        <v>2014</v>
      </c>
      <c r="C3947" s="51" t="s">
        <v>710</v>
      </c>
      <c r="D3947" t="s">
        <v>720</v>
      </c>
      <c r="E3947" s="2">
        <v>2.3540000000000001</v>
      </c>
    </row>
    <row r="3948" spans="1:5" x14ac:dyDescent="0.25">
      <c r="A3948" s="32" t="s">
        <v>767</v>
      </c>
      <c r="B3948" s="7">
        <v>2014</v>
      </c>
      <c r="C3948" s="51" t="s">
        <v>702</v>
      </c>
      <c r="D3948" t="s">
        <v>720</v>
      </c>
      <c r="E3948" s="2">
        <v>2.0409999999999999</v>
      </c>
    </row>
    <row r="3949" spans="1:5" x14ac:dyDescent="0.25">
      <c r="A3949" s="32" t="s">
        <v>767</v>
      </c>
      <c r="B3949" s="7">
        <v>2014</v>
      </c>
      <c r="C3949" s="51" t="s">
        <v>703</v>
      </c>
      <c r="D3949" t="s">
        <v>720</v>
      </c>
      <c r="E3949" s="2">
        <v>2.883</v>
      </c>
    </row>
    <row r="3950" spans="1:5" x14ac:dyDescent="0.25">
      <c r="A3950" s="32" t="s">
        <v>767</v>
      </c>
      <c r="B3950" s="7">
        <v>2014</v>
      </c>
      <c r="C3950" s="51" t="s">
        <v>704</v>
      </c>
      <c r="D3950" t="s">
        <v>720</v>
      </c>
      <c r="E3950" s="2">
        <v>2.3879999999999999</v>
      </c>
    </row>
    <row r="3951" spans="1:5" x14ac:dyDescent="0.25">
      <c r="A3951" s="32" t="s">
        <v>767</v>
      </c>
      <c r="B3951" s="7">
        <v>2014</v>
      </c>
      <c r="C3951" s="51" t="s">
        <v>705</v>
      </c>
      <c r="D3951" t="s">
        <v>720</v>
      </c>
      <c r="E3951" s="2">
        <v>2.6640000000000001</v>
      </c>
    </row>
    <row r="3952" spans="1:5" x14ac:dyDescent="0.25">
      <c r="A3952" s="32" t="s">
        <v>767</v>
      </c>
      <c r="B3952" s="7">
        <v>2014</v>
      </c>
      <c r="C3952" s="51" t="s">
        <v>706</v>
      </c>
      <c r="D3952" t="s">
        <v>720</v>
      </c>
      <c r="E3952" s="2">
        <v>2.0510000000000002</v>
      </c>
    </row>
    <row r="3953" spans="1:5" x14ac:dyDescent="0.25">
      <c r="A3953" s="32" t="s">
        <v>767</v>
      </c>
      <c r="B3953" s="7">
        <v>2015</v>
      </c>
      <c r="C3953" s="51" t="s">
        <v>713</v>
      </c>
      <c r="D3953" t="s">
        <v>720</v>
      </c>
      <c r="E3953" s="2">
        <v>1.7869999999999999</v>
      </c>
    </row>
    <row r="3954" spans="1:5" x14ac:dyDescent="0.25">
      <c r="A3954" s="32" t="s">
        <v>767</v>
      </c>
      <c r="B3954" s="7">
        <v>2015</v>
      </c>
      <c r="C3954" s="51" t="s">
        <v>707</v>
      </c>
      <c r="D3954" t="s">
        <v>720</v>
      </c>
      <c r="E3954" s="2">
        <v>1.8460000000000001</v>
      </c>
    </row>
    <row r="3955" spans="1:5" x14ac:dyDescent="0.25">
      <c r="A3955" s="32" t="s">
        <v>767</v>
      </c>
      <c r="B3955" s="7">
        <v>2015</v>
      </c>
      <c r="C3955" s="51" t="s">
        <v>708</v>
      </c>
      <c r="D3955" t="s">
        <v>720</v>
      </c>
      <c r="E3955" s="2">
        <v>2.4169999999999998</v>
      </c>
    </row>
    <row r="3956" spans="1:5" x14ac:dyDescent="0.25">
      <c r="A3956" s="32" t="s">
        <v>767</v>
      </c>
      <c r="B3956" s="7">
        <v>2015</v>
      </c>
      <c r="C3956" s="51" t="s">
        <v>699</v>
      </c>
      <c r="D3956" t="s">
        <v>720</v>
      </c>
      <c r="E3956" s="2">
        <v>2.387</v>
      </c>
    </row>
    <row r="3957" spans="1:5" x14ac:dyDescent="0.25">
      <c r="A3957" s="32" t="s">
        <v>767</v>
      </c>
      <c r="B3957" s="7">
        <v>2015</v>
      </c>
      <c r="C3957" s="51" t="s">
        <v>709</v>
      </c>
      <c r="D3957" t="s">
        <v>720</v>
      </c>
      <c r="E3957" s="2">
        <v>2.3069999999999999</v>
      </c>
    </row>
    <row r="3958" spans="1:5" x14ac:dyDescent="0.25">
      <c r="A3958" s="32" t="s">
        <v>767</v>
      </c>
      <c r="B3958" s="7">
        <v>2015</v>
      </c>
      <c r="C3958" s="51" t="s">
        <v>712</v>
      </c>
      <c r="D3958" t="s">
        <v>720</v>
      </c>
      <c r="E3958" s="2">
        <v>2.556</v>
      </c>
    </row>
    <row r="3959" spans="1:5" x14ac:dyDescent="0.25">
      <c r="A3959" s="32" t="s">
        <v>767</v>
      </c>
      <c r="B3959" s="7">
        <v>2015</v>
      </c>
      <c r="C3959" s="51" t="s">
        <v>710</v>
      </c>
      <c r="D3959" t="s">
        <v>720</v>
      </c>
      <c r="E3959" s="2">
        <v>2.532</v>
      </c>
    </row>
    <row r="3960" spans="1:5" x14ac:dyDescent="0.25">
      <c r="A3960" s="32" t="s">
        <v>767</v>
      </c>
      <c r="B3960" s="7">
        <v>2015</v>
      </c>
      <c r="C3960" s="51" t="s">
        <v>702</v>
      </c>
      <c r="D3960" t="s">
        <v>720</v>
      </c>
      <c r="E3960" s="2">
        <v>2.544</v>
      </c>
    </row>
    <row r="3961" spans="1:5" x14ac:dyDescent="0.25">
      <c r="A3961" s="32" t="s">
        <v>767</v>
      </c>
      <c r="B3961" s="7">
        <v>2015</v>
      </c>
      <c r="C3961" s="51" t="s">
        <v>703</v>
      </c>
      <c r="D3961" t="s">
        <v>720</v>
      </c>
      <c r="E3961" s="2">
        <v>2.4870000000000001</v>
      </c>
    </row>
    <row r="3962" spans="1:5" x14ac:dyDescent="0.25">
      <c r="A3962" s="32" t="s">
        <v>767</v>
      </c>
      <c r="B3962" s="7">
        <v>2015</v>
      </c>
      <c r="C3962" s="51" t="s">
        <v>704</v>
      </c>
      <c r="D3962" t="s">
        <v>720</v>
      </c>
      <c r="E3962" s="2">
        <v>2.4369999999999998</v>
      </c>
    </row>
    <row r="3963" spans="1:5" x14ac:dyDescent="0.25">
      <c r="A3963" s="32" t="s">
        <v>767</v>
      </c>
      <c r="B3963" s="7">
        <v>2015</v>
      </c>
      <c r="C3963" s="51" t="s">
        <v>705</v>
      </c>
      <c r="D3963" t="s">
        <v>720</v>
      </c>
      <c r="E3963" s="2">
        <v>2.1070000000000002</v>
      </c>
    </row>
    <row r="3964" spans="1:5" x14ac:dyDescent="0.25">
      <c r="A3964" s="32" t="s">
        <v>767</v>
      </c>
      <c r="B3964" s="7">
        <v>2015</v>
      </c>
      <c r="C3964" s="51" t="s">
        <v>706</v>
      </c>
      <c r="D3964" t="s">
        <v>720</v>
      </c>
      <c r="E3964" s="2">
        <v>2.0659999999999998</v>
      </c>
    </row>
    <row r="3965" spans="1:5" x14ac:dyDescent="0.25">
      <c r="A3965" s="32" t="s">
        <v>767</v>
      </c>
      <c r="B3965" s="7">
        <v>2016</v>
      </c>
      <c r="C3965" s="51" t="s">
        <v>713</v>
      </c>
      <c r="D3965" t="s">
        <v>720</v>
      </c>
      <c r="E3965" s="2">
        <v>1.9490000000000001</v>
      </c>
    </row>
    <row r="3966" spans="1:5" x14ac:dyDescent="0.25">
      <c r="A3966" s="32" t="s">
        <v>767</v>
      </c>
      <c r="B3966" s="7">
        <v>2016</v>
      </c>
      <c r="C3966" s="51" t="s">
        <v>707</v>
      </c>
      <c r="D3966" t="s">
        <v>720</v>
      </c>
      <c r="E3966" s="2">
        <v>2.3660000000000001</v>
      </c>
    </row>
    <row r="3967" spans="1:5" x14ac:dyDescent="0.25">
      <c r="A3967" s="32" t="s">
        <v>767</v>
      </c>
      <c r="B3967" s="7">
        <v>2016</v>
      </c>
      <c r="C3967" s="51" t="s">
        <v>708</v>
      </c>
      <c r="D3967" t="s">
        <v>720</v>
      </c>
      <c r="E3967" s="2">
        <v>2.1349999999999998</v>
      </c>
    </row>
    <row r="3968" spans="1:5" x14ac:dyDescent="0.25">
      <c r="A3968" s="32" t="s">
        <v>767</v>
      </c>
      <c r="B3968" s="7">
        <v>2016</v>
      </c>
      <c r="C3968" s="51" t="s">
        <v>699</v>
      </c>
      <c r="D3968" t="s">
        <v>720</v>
      </c>
      <c r="E3968" s="2">
        <v>2.641</v>
      </c>
    </row>
    <row r="3969" spans="1:5" x14ac:dyDescent="0.25">
      <c r="A3969" s="32" t="s">
        <v>767</v>
      </c>
      <c r="B3969" s="7">
        <v>2016</v>
      </c>
      <c r="C3969" s="51" t="s">
        <v>709</v>
      </c>
      <c r="D3969" t="s">
        <v>720</v>
      </c>
      <c r="E3969" s="2">
        <v>2.0209999999999999</v>
      </c>
    </row>
    <row r="3970" spans="1:5" x14ac:dyDescent="0.25">
      <c r="A3970" s="32" t="s">
        <v>767</v>
      </c>
      <c r="B3970" s="7">
        <v>2016</v>
      </c>
      <c r="C3970" s="51" t="s">
        <v>712</v>
      </c>
      <c r="D3970" t="s">
        <v>720</v>
      </c>
      <c r="E3970" s="2">
        <v>2.2879999999999998</v>
      </c>
    </row>
    <row r="3971" spans="1:5" x14ac:dyDescent="0.25">
      <c r="A3971" s="32" t="s">
        <v>767</v>
      </c>
      <c r="B3971" s="7">
        <v>2016</v>
      </c>
      <c r="C3971" s="51" t="s">
        <v>710</v>
      </c>
      <c r="D3971" t="s">
        <v>720</v>
      </c>
      <c r="E3971" s="2">
        <v>2.927</v>
      </c>
    </row>
    <row r="3972" spans="1:5" x14ac:dyDescent="0.25">
      <c r="A3972" s="32" t="s">
        <v>767</v>
      </c>
      <c r="B3972" s="7">
        <v>2016</v>
      </c>
      <c r="C3972" s="51" t="s">
        <v>702</v>
      </c>
      <c r="D3972" t="s">
        <v>720</v>
      </c>
      <c r="E3972" s="2">
        <v>2.5630000000000002</v>
      </c>
    </row>
    <row r="3973" spans="1:5" x14ac:dyDescent="0.25">
      <c r="A3973" s="32" t="s">
        <v>767</v>
      </c>
      <c r="B3973" s="7">
        <v>2016</v>
      </c>
      <c r="C3973" s="51" t="s">
        <v>703</v>
      </c>
      <c r="D3973" t="s">
        <v>720</v>
      </c>
      <c r="E3973" s="2">
        <v>2.1120000000000001</v>
      </c>
    </row>
    <row r="3974" spans="1:5" x14ac:dyDescent="0.25">
      <c r="A3974" s="32" t="s">
        <v>767</v>
      </c>
      <c r="B3974" s="7">
        <v>2016</v>
      </c>
      <c r="C3974" s="51" t="s">
        <v>704</v>
      </c>
      <c r="D3974" t="s">
        <v>720</v>
      </c>
      <c r="E3974" s="2">
        <v>1.883</v>
      </c>
    </row>
    <row r="3975" spans="1:5" x14ac:dyDescent="0.25">
      <c r="A3975" s="32" t="s">
        <v>767</v>
      </c>
      <c r="B3975" s="7">
        <v>2016</v>
      </c>
      <c r="C3975" s="51" t="s">
        <v>705</v>
      </c>
      <c r="D3975" t="s">
        <v>720</v>
      </c>
      <c r="E3975" s="2">
        <v>2.3220000000000001</v>
      </c>
    </row>
    <row r="3976" spans="1:5" x14ac:dyDescent="0.25">
      <c r="A3976" s="32" t="s">
        <v>767</v>
      </c>
      <c r="B3976" s="7">
        <v>2016</v>
      </c>
      <c r="C3976" s="51" t="s">
        <v>706</v>
      </c>
      <c r="D3976" t="s">
        <v>720</v>
      </c>
      <c r="E3976" s="2">
        <v>2.2069999999999999</v>
      </c>
    </row>
    <row r="3977" spans="1:5" x14ac:dyDescent="0.25">
      <c r="A3977" s="32" t="s">
        <v>767</v>
      </c>
      <c r="B3977" s="7">
        <v>2017</v>
      </c>
      <c r="C3977" s="51" t="s">
        <v>713</v>
      </c>
      <c r="D3977" t="s">
        <v>720</v>
      </c>
      <c r="E3977" s="2">
        <v>1.81</v>
      </c>
    </row>
    <row r="3978" spans="1:5" x14ac:dyDescent="0.25">
      <c r="A3978" s="32" t="s">
        <v>767</v>
      </c>
      <c r="B3978" s="7">
        <v>2017</v>
      </c>
      <c r="C3978" s="51" t="s">
        <v>707</v>
      </c>
      <c r="D3978" t="s">
        <v>720</v>
      </c>
      <c r="E3978" s="2">
        <v>1.76</v>
      </c>
    </row>
    <row r="3979" spans="1:5" x14ac:dyDescent="0.25">
      <c r="A3979" s="32" t="s">
        <v>767</v>
      </c>
      <c r="B3979" s="7">
        <v>2017</v>
      </c>
      <c r="C3979" s="51" t="s">
        <v>708</v>
      </c>
      <c r="D3979" t="s">
        <v>720</v>
      </c>
      <c r="E3979" s="2">
        <v>2.4940000000000002</v>
      </c>
    </row>
    <row r="3980" spans="1:5" x14ac:dyDescent="0.25">
      <c r="A3980" s="32" t="s">
        <v>767</v>
      </c>
      <c r="B3980" s="7">
        <v>2017</v>
      </c>
      <c r="C3980" s="51" t="s">
        <v>699</v>
      </c>
      <c r="D3980" t="s">
        <v>720</v>
      </c>
      <c r="E3980" s="2">
        <v>2.278</v>
      </c>
    </row>
    <row r="3981" spans="1:5" x14ac:dyDescent="0.25">
      <c r="A3981" s="32" t="s">
        <v>767</v>
      </c>
      <c r="B3981" s="7">
        <v>2017</v>
      </c>
      <c r="C3981" s="51" t="s">
        <v>709</v>
      </c>
      <c r="D3981" t="s">
        <v>720</v>
      </c>
      <c r="E3981" s="2">
        <v>3.0510000000000002</v>
      </c>
    </row>
    <row r="3982" spans="1:5" x14ac:dyDescent="0.25">
      <c r="A3982" s="32" t="s">
        <v>767</v>
      </c>
      <c r="B3982" s="7">
        <v>2017</v>
      </c>
      <c r="C3982" s="51" t="s">
        <v>712</v>
      </c>
      <c r="D3982" t="s">
        <v>720</v>
      </c>
      <c r="E3982" s="2">
        <v>2.5459999999999998</v>
      </c>
    </row>
    <row r="3983" spans="1:5" x14ac:dyDescent="0.25">
      <c r="A3983" s="32" t="s">
        <v>767</v>
      </c>
      <c r="B3983" s="7">
        <v>2017</v>
      </c>
      <c r="C3983" s="51" t="s">
        <v>710</v>
      </c>
      <c r="D3983" t="s">
        <v>720</v>
      </c>
      <c r="E3983" s="2">
        <v>3.34</v>
      </c>
    </row>
    <row r="3984" spans="1:5" x14ac:dyDescent="0.25">
      <c r="A3984" s="32" t="s">
        <v>767</v>
      </c>
      <c r="B3984" s="7">
        <v>2017</v>
      </c>
      <c r="C3984" s="51" t="s">
        <v>702</v>
      </c>
      <c r="D3984" t="s">
        <v>720</v>
      </c>
      <c r="E3984" s="2">
        <v>2.387</v>
      </c>
    </row>
    <row r="3985" spans="1:5" x14ac:dyDescent="0.25">
      <c r="A3985" s="32" t="s">
        <v>767</v>
      </c>
      <c r="B3985" s="7">
        <v>2017</v>
      </c>
      <c r="C3985" s="51" t="s">
        <v>703</v>
      </c>
      <c r="D3985" t="s">
        <v>720</v>
      </c>
      <c r="E3985" s="2">
        <v>2.2200000000000002</v>
      </c>
    </row>
    <row r="3986" spans="1:5" x14ac:dyDescent="0.25">
      <c r="A3986" s="32" t="s">
        <v>767</v>
      </c>
      <c r="B3986" s="7">
        <v>2017</v>
      </c>
      <c r="C3986" s="51" t="s">
        <v>704</v>
      </c>
      <c r="D3986" t="s">
        <v>720</v>
      </c>
      <c r="E3986" s="2">
        <v>3.169</v>
      </c>
    </row>
    <row r="3987" spans="1:5" x14ac:dyDescent="0.25">
      <c r="A3987" s="32" t="s">
        <v>767</v>
      </c>
      <c r="B3987" s="7">
        <v>2017</v>
      </c>
      <c r="C3987" s="51" t="s">
        <v>705</v>
      </c>
      <c r="D3987" t="s">
        <v>720</v>
      </c>
      <c r="E3987" s="2">
        <v>2.8220000000000001</v>
      </c>
    </row>
    <row r="3988" spans="1:5" x14ac:dyDescent="0.25">
      <c r="A3988" s="32" t="s">
        <v>767</v>
      </c>
      <c r="B3988" s="7">
        <v>2017</v>
      </c>
      <c r="C3988" s="51" t="s">
        <v>706</v>
      </c>
      <c r="D3988" t="s">
        <v>720</v>
      </c>
      <c r="E3988" s="2">
        <v>1.9950000000000001</v>
      </c>
    </row>
    <row r="3989" spans="1:5" x14ac:dyDescent="0.25">
      <c r="A3989" s="32" t="s">
        <v>767</v>
      </c>
      <c r="B3989" s="7">
        <v>2018</v>
      </c>
      <c r="C3989" s="51" t="s">
        <v>713</v>
      </c>
      <c r="D3989" t="s">
        <v>720</v>
      </c>
      <c r="E3989" s="2">
        <v>3.2519999999999998</v>
      </c>
    </row>
    <row r="3990" spans="1:5" x14ac:dyDescent="0.25">
      <c r="A3990" s="32" t="s">
        <v>767</v>
      </c>
      <c r="B3990" s="7">
        <v>2018</v>
      </c>
      <c r="C3990" s="51" t="s">
        <v>707</v>
      </c>
      <c r="D3990" t="s">
        <v>720</v>
      </c>
      <c r="E3990" s="2">
        <v>3.161</v>
      </c>
    </row>
    <row r="3991" spans="1:5" x14ac:dyDescent="0.25">
      <c r="A3991" s="32" t="s">
        <v>767</v>
      </c>
      <c r="B3991" s="7">
        <v>2018</v>
      </c>
      <c r="C3991" s="51" t="s">
        <v>708</v>
      </c>
      <c r="D3991" t="s">
        <v>720</v>
      </c>
      <c r="E3991" s="2">
        <v>2.089</v>
      </c>
    </row>
    <row r="3992" spans="1:5" x14ac:dyDescent="0.25">
      <c r="A3992" s="32" t="s">
        <v>767</v>
      </c>
      <c r="B3992" s="7">
        <v>2018</v>
      </c>
      <c r="C3992" s="51" t="s">
        <v>699</v>
      </c>
      <c r="D3992" t="s">
        <v>720</v>
      </c>
      <c r="E3992" s="2">
        <v>2.282</v>
      </c>
    </row>
    <row r="3993" spans="1:5" x14ac:dyDescent="0.25">
      <c r="A3993" s="32" t="s">
        <v>767</v>
      </c>
      <c r="B3993" s="7">
        <v>2018</v>
      </c>
      <c r="C3993" s="51" t="s">
        <v>709</v>
      </c>
      <c r="D3993" t="s">
        <v>720</v>
      </c>
      <c r="E3993" s="2">
        <v>2.141</v>
      </c>
    </row>
    <row r="3994" spans="1:5" x14ac:dyDescent="0.25">
      <c r="A3994" s="32" t="s">
        <v>767</v>
      </c>
      <c r="B3994" s="7">
        <v>2018</v>
      </c>
      <c r="C3994" s="51" t="s">
        <v>712</v>
      </c>
      <c r="D3994" t="s">
        <v>720</v>
      </c>
      <c r="E3994" s="2">
        <v>2.2799999999999998</v>
      </c>
    </row>
    <row r="3995" spans="1:5" x14ac:dyDescent="0.25">
      <c r="A3995" s="32" t="s">
        <v>767</v>
      </c>
      <c r="B3995" s="7">
        <v>2018</v>
      </c>
      <c r="C3995" s="51" t="s">
        <v>710</v>
      </c>
      <c r="D3995" t="s">
        <v>720</v>
      </c>
      <c r="E3995" s="2">
        <v>2.5590000000000002</v>
      </c>
    </row>
    <row r="3996" spans="1:5" x14ac:dyDescent="0.25">
      <c r="A3996" s="32" t="s">
        <v>767</v>
      </c>
      <c r="B3996" s="7">
        <v>2018</v>
      </c>
      <c r="C3996" s="51" t="s">
        <v>702</v>
      </c>
      <c r="D3996" t="s">
        <v>720</v>
      </c>
      <c r="E3996" s="2">
        <v>2.3410000000000002</v>
      </c>
    </row>
    <row r="3997" spans="1:5" x14ac:dyDescent="0.25">
      <c r="A3997" s="32" t="s">
        <v>767</v>
      </c>
      <c r="B3997" s="7">
        <v>2018</v>
      </c>
      <c r="C3997" s="51" t="s">
        <v>703</v>
      </c>
      <c r="D3997" t="s">
        <v>720</v>
      </c>
      <c r="E3997" s="2">
        <v>2.8660000000000001</v>
      </c>
    </row>
    <row r="3998" spans="1:5" x14ac:dyDescent="0.25">
      <c r="A3998" s="32" t="s">
        <v>767</v>
      </c>
      <c r="B3998" s="7">
        <v>2018</v>
      </c>
      <c r="C3998" s="51" t="s">
        <v>704</v>
      </c>
      <c r="D3998" t="s">
        <v>720</v>
      </c>
      <c r="E3998" s="2">
        <v>2.593</v>
      </c>
    </row>
    <row r="3999" spans="1:5" x14ac:dyDescent="0.25">
      <c r="A3999" s="32" t="s">
        <v>767</v>
      </c>
      <c r="B3999" s="7">
        <v>2018</v>
      </c>
      <c r="C3999" s="51" t="s">
        <v>705</v>
      </c>
      <c r="D3999" t="s">
        <v>720</v>
      </c>
      <c r="E3999" s="2">
        <v>2.6320000000000001</v>
      </c>
    </row>
    <row r="4000" spans="1:5" x14ac:dyDescent="0.25">
      <c r="A4000" s="32" t="s">
        <v>767</v>
      </c>
      <c r="B4000" s="7">
        <v>2018</v>
      </c>
      <c r="C4000" s="51" t="s">
        <v>706</v>
      </c>
      <c r="D4000" t="s">
        <v>720</v>
      </c>
      <c r="E4000" s="2">
        <v>2.7170000000000001</v>
      </c>
    </row>
    <row r="4001" spans="1:5" x14ac:dyDescent="0.25">
      <c r="A4001" s="32" t="s">
        <v>767</v>
      </c>
      <c r="B4001" s="7">
        <v>2019</v>
      </c>
      <c r="C4001" s="51" t="s">
        <v>713</v>
      </c>
      <c r="D4001" t="s">
        <v>720</v>
      </c>
      <c r="E4001" s="2">
        <v>2.4359999999999999</v>
      </c>
    </row>
    <row r="4002" spans="1:5" x14ac:dyDescent="0.25">
      <c r="A4002" s="32" t="s">
        <v>767</v>
      </c>
      <c r="B4002" s="7">
        <v>2019</v>
      </c>
      <c r="C4002" s="51" t="s">
        <v>707</v>
      </c>
      <c r="D4002" t="s">
        <v>720</v>
      </c>
      <c r="E4002" s="2">
        <v>1.7749999999999999</v>
      </c>
    </row>
    <row r="4003" spans="1:5" x14ac:dyDescent="0.25">
      <c r="A4003" s="32" t="s">
        <v>767</v>
      </c>
      <c r="B4003" s="7">
        <v>2019</v>
      </c>
      <c r="C4003" s="51" t="s">
        <v>708</v>
      </c>
      <c r="D4003" t="s">
        <v>720</v>
      </c>
      <c r="E4003" s="2">
        <v>2.492</v>
      </c>
    </row>
    <row r="4004" spans="1:5" x14ac:dyDescent="0.25">
      <c r="A4004" s="32" t="s">
        <v>767</v>
      </c>
      <c r="B4004" s="7">
        <v>2019</v>
      </c>
      <c r="C4004" s="51" t="s">
        <v>699</v>
      </c>
      <c r="D4004" t="s">
        <v>720</v>
      </c>
      <c r="E4004" s="2">
        <v>2.4870000000000001</v>
      </c>
    </row>
    <row r="4005" spans="1:5" x14ac:dyDescent="0.25">
      <c r="A4005" s="32" t="s">
        <v>767</v>
      </c>
      <c r="B4005" s="7">
        <v>2019</v>
      </c>
      <c r="C4005" s="51" t="s">
        <v>709</v>
      </c>
      <c r="D4005" t="s">
        <v>720</v>
      </c>
      <c r="E4005" s="2">
        <v>2.35</v>
      </c>
    </row>
    <row r="4006" spans="1:5" x14ac:dyDescent="0.25">
      <c r="A4006" s="32" t="s">
        <v>767</v>
      </c>
      <c r="B4006" s="7">
        <v>2019</v>
      </c>
      <c r="C4006" s="51" t="s">
        <v>712</v>
      </c>
      <c r="D4006" t="s">
        <v>720</v>
      </c>
      <c r="E4006" s="2">
        <v>2.3679999999999999</v>
      </c>
    </row>
    <row r="4007" spans="1:5" x14ac:dyDescent="0.25">
      <c r="A4007" s="32" t="s">
        <v>767</v>
      </c>
      <c r="B4007" s="7">
        <v>2019</v>
      </c>
      <c r="C4007" s="51" t="s">
        <v>710</v>
      </c>
      <c r="D4007" t="s">
        <v>720</v>
      </c>
      <c r="E4007" s="2">
        <v>2.84</v>
      </c>
    </row>
    <row r="4008" spans="1:5" x14ac:dyDescent="0.25">
      <c r="A4008" s="32" t="s">
        <v>767</v>
      </c>
      <c r="B4008" s="7">
        <v>2019</v>
      </c>
      <c r="C4008" s="51" t="s">
        <v>702</v>
      </c>
      <c r="D4008" t="s">
        <v>720</v>
      </c>
      <c r="E4008" s="2">
        <v>2.6629999999999998</v>
      </c>
    </row>
    <row r="4009" spans="1:5" x14ac:dyDescent="0.25">
      <c r="A4009" s="32" t="s">
        <v>767</v>
      </c>
      <c r="B4009" s="7">
        <v>2019</v>
      </c>
      <c r="C4009" s="51" t="s">
        <v>703</v>
      </c>
      <c r="D4009" t="s">
        <v>720</v>
      </c>
      <c r="E4009" s="2">
        <v>2.996</v>
      </c>
    </row>
    <row r="4010" spans="1:5" x14ac:dyDescent="0.25">
      <c r="A4010" s="32" t="s">
        <v>767</v>
      </c>
      <c r="B4010" s="7">
        <v>2019</v>
      </c>
      <c r="C4010" s="51" t="s">
        <v>704</v>
      </c>
      <c r="D4010" t="s">
        <v>720</v>
      </c>
      <c r="E4010" s="2">
        <v>2.754</v>
      </c>
    </row>
    <row r="4011" spans="1:5" x14ac:dyDescent="0.25">
      <c r="A4011" s="32" t="s">
        <v>767</v>
      </c>
      <c r="B4011" s="7">
        <v>2019</v>
      </c>
      <c r="C4011" s="51" t="s">
        <v>705</v>
      </c>
      <c r="D4011" t="s">
        <v>720</v>
      </c>
      <c r="E4011" s="2">
        <v>2.4900000000000002</v>
      </c>
    </row>
    <row r="4012" spans="1:5" x14ac:dyDescent="0.25">
      <c r="A4012" s="32" t="s">
        <v>767</v>
      </c>
      <c r="B4012" s="7">
        <v>2019</v>
      </c>
      <c r="C4012" s="51" t="s">
        <v>706</v>
      </c>
      <c r="D4012" t="s">
        <v>720</v>
      </c>
      <c r="E4012" s="2">
        <v>2.44</v>
      </c>
    </row>
    <row r="4013" spans="1:5" x14ac:dyDescent="0.25">
      <c r="A4013" s="32" t="s">
        <v>767</v>
      </c>
      <c r="B4013" s="7">
        <v>2020</v>
      </c>
      <c r="C4013" s="51" t="s">
        <v>713</v>
      </c>
      <c r="D4013" t="s">
        <v>720</v>
      </c>
      <c r="E4013" s="2">
        <v>2.74</v>
      </c>
    </row>
    <row r="4014" spans="1:5" x14ac:dyDescent="0.25">
      <c r="A4014" s="32" t="s">
        <v>767</v>
      </c>
      <c r="B4014" s="7">
        <v>2020</v>
      </c>
      <c r="C4014" s="51" t="s">
        <v>707</v>
      </c>
      <c r="D4014" t="s">
        <v>720</v>
      </c>
      <c r="E4014" s="2">
        <v>1.9750000000000001</v>
      </c>
    </row>
    <row r="4015" spans="1:5" x14ac:dyDescent="0.25">
      <c r="A4015" s="32" t="s">
        <v>767</v>
      </c>
      <c r="B4015" s="7">
        <v>2020</v>
      </c>
      <c r="C4015" s="51" t="s">
        <v>708</v>
      </c>
      <c r="D4015" t="s">
        <v>720</v>
      </c>
      <c r="E4015" s="2">
        <v>1.212</v>
      </c>
    </row>
    <row r="4016" spans="1:5" x14ac:dyDescent="0.25">
      <c r="A4016" s="32" t="s">
        <v>767</v>
      </c>
      <c r="B4016" s="7">
        <v>2020</v>
      </c>
      <c r="C4016" s="51" t="s">
        <v>699</v>
      </c>
      <c r="D4016" t="s">
        <v>720</v>
      </c>
      <c r="E4016" s="2">
        <v>2.8260000000000001</v>
      </c>
    </row>
    <row r="4017" spans="1:5" x14ac:dyDescent="0.25">
      <c r="A4017" s="32" t="s">
        <v>767</v>
      </c>
      <c r="B4017" s="7">
        <v>2020</v>
      </c>
      <c r="C4017" s="51" t="s">
        <v>709</v>
      </c>
      <c r="D4017" t="s">
        <v>720</v>
      </c>
      <c r="E4017" s="2">
        <v>2.625</v>
      </c>
    </row>
    <row r="4018" spans="1:5" x14ac:dyDescent="0.25">
      <c r="A4018" s="32" t="s">
        <v>767</v>
      </c>
      <c r="B4018" s="7">
        <v>2020</v>
      </c>
      <c r="C4018" s="51" t="s">
        <v>712</v>
      </c>
      <c r="D4018" t="s">
        <v>720</v>
      </c>
      <c r="E4018" s="2">
        <v>2.6280000000000001</v>
      </c>
    </row>
    <row r="4019" spans="1:5" x14ac:dyDescent="0.25">
      <c r="A4019" s="32" t="s">
        <v>767</v>
      </c>
      <c r="B4019" s="7">
        <v>2020</v>
      </c>
      <c r="C4019" s="51" t="s">
        <v>710</v>
      </c>
      <c r="D4019" t="s">
        <v>720</v>
      </c>
      <c r="E4019" s="2">
        <v>2.7509999999999999</v>
      </c>
    </row>
    <row r="4020" spans="1:5" x14ac:dyDescent="0.25">
      <c r="A4020" s="32" t="s">
        <v>767</v>
      </c>
      <c r="B4020" s="7">
        <v>2020</v>
      </c>
      <c r="C4020" s="51" t="s">
        <v>702</v>
      </c>
      <c r="D4020" t="s">
        <v>720</v>
      </c>
      <c r="E4020" s="2">
        <v>3.0169999999999999</v>
      </c>
    </row>
    <row r="4021" spans="1:5" x14ac:dyDescent="0.25">
      <c r="A4021" s="32" t="s">
        <v>767</v>
      </c>
      <c r="B4021" s="7">
        <v>2020</v>
      </c>
      <c r="C4021" s="51" t="s">
        <v>703</v>
      </c>
      <c r="D4021" t="s">
        <v>720</v>
      </c>
      <c r="E4021" s="2">
        <v>2.7509999999999999</v>
      </c>
    </row>
    <row r="4022" spans="1:5" x14ac:dyDescent="0.25">
      <c r="A4022" s="32" t="s">
        <v>767</v>
      </c>
      <c r="B4022" s="7">
        <v>2020</v>
      </c>
      <c r="C4022" s="51" t="s">
        <v>704</v>
      </c>
      <c r="D4022" t="s">
        <v>720</v>
      </c>
      <c r="E4022" s="2">
        <v>2.3730000000000002</v>
      </c>
    </row>
    <row r="4023" spans="1:5" x14ac:dyDescent="0.25">
      <c r="A4023" s="32" t="s">
        <v>767</v>
      </c>
      <c r="B4023" s="7">
        <v>2020</v>
      </c>
      <c r="C4023" s="51" t="s">
        <v>705</v>
      </c>
      <c r="D4023" t="s">
        <v>720</v>
      </c>
      <c r="E4023" s="2">
        <v>2.097</v>
      </c>
    </row>
    <row r="4024" spans="1:5" x14ac:dyDescent="0.25">
      <c r="A4024" s="32" t="s">
        <v>767</v>
      </c>
      <c r="B4024" s="7">
        <v>2020</v>
      </c>
      <c r="C4024" s="51" t="s">
        <v>706</v>
      </c>
      <c r="D4024" t="s">
        <v>720</v>
      </c>
      <c r="E4024" s="2">
        <v>1.909</v>
      </c>
    </row>
    <row r="4025" spans="1:5" x14ac:dyDescent="0.25">
      <c r="A4025" s="32" t="s">
        <v>767</v>
      </c>
      <c r="B4025" s="7">
        <v>2021</v>
      </c>
      <c r="C4025" s="51" t="s">
        <v>713</v>
      </c>
      <c r="D4025" t="s">
        <v>720</v>
      </c>
      <c r="E4025" s="2">
        <v>1.8959999999999999</v>
      </c>
    </row>
    <row r="4026" spans="1:5" x14ac:dyDescent="0.25">
      <c r="A4026" s="32" t="s">
        <v>767</v>
      </c>
      <c r="B4026" s="7">
        <v>2021</v>
      </c>
      <c r="C4026" s="51" t="s">
        <v>707</v>
      </c>
      <c r="D4026" t="s">
        <v>720</v>
      </c>
      <c r="E4026" s="2">
        <v>1.8440000000000001</v>
      </c>
    </row>
    <row r="4027" spans="1:5" x14ac:dyDescent="0.25">
      <c r="A4027" s="32" t="s">
        <v>767</v>
      </c>
      <c r="B4027" s="7">
        <v>2021</v>
      </c>
      <c r="C4027" s="51" t="s">
        <v>708</v>
      </c>
      <c r="D4027" t="s">
        <v>720</v>
      </c>
      <c r="E4027" s="2">
        <v>1.597</v>
      </c>
    </row>
    <row r="4028" spans="1:5" x14ac:dyDescent="0.25">
      <c r="A4028" s="32" t="s">
        <v>767</v>
      </c>
      <c r="B4028" s="7">
        <v>2021</v>
      </c>
      <c r="C4028" s="51" t="s">
        <v>699</v>
      </c>
      <c r="D4028" t="s">
        <v>720</v>
      </c>
      <c r="E4028" s="2">
        <v>1.891</v>
      </c>
    </row>
    <row r="4029" spans="1:5" x14ac:dyDescent="0.25">
      <c r="A4029" s="32" t="s">
        <v>767</v>
      </c>
      <c r="B4029" s="7">
        <v>2021</v>
      </c>
      <c r="C4029" s="51" t="s">
        <v>709</v>
      </c>
      <c r="D4029" t="s">
        <v>720</v>
      </c>
      <c r="E4029" s="2">
        <v>2.2690000000000001</v>
      </c>
    </row>
    <row r="4030" spans="1:5" x14ac:dyDescent="0.25">
      <c r="A4030" s="32" t="s">
        <v>767</v>
      </c>
      <c r="B4030" s="7">
        <v>2021</v>
      </c>
      <c r="C4030" s="51" t="s">
        <v>712</v>
      </c>
      <c r="D4030" t="s">
        <v>720</v>
      </c>
      <c r="E4030" s="2">
        <v>2.206</v>
      </c>
    </row>
    <row r="4031" spans="1:5" x14ac:dyDescent="0.25">
      <c r="A4031" s="32" t="s">
        <v>767</v>
      </c>
      <c r="B4031" s="7">
        <v>2021</v>
      </c>
      <c r="C4031" s="51" t="s">
        <v>710</v>
      </c>
      <c r="D4031" t="s">
        <v>720</v>
      </c>
      <c r="E4031" s="2">
        <v>1.9159999999999999</v>
      </c>
    </row>
    <row r="4032" spans="1:5" x14ac:dyDescent="0.25">
      <c r="A4032" s="32" t="s">
        <v>767</v>
      </c>
      <c r="B4032" s="7">
        <v>2021</v>
      </c>
      <c r="C4032" s="51" t="s">
        <v>702</v>
      </c>
      <c r="D4032" t="s">
        <v>720</v>
      </c>
      <c r="E4032" s="2">
        <v>2.1259999999999999</v>
      </c>
    </row>
    <row r="4033" spans="1:5" x14ac:dyDescent="0.25">
      <c r="A4033" s="32" t="s">
        <v>767</v>
      </c>
      <c r="B4033" s="7">
        <v>2021</v>
      </c>
      <c r="C4033" s="51" t="s">
        <v>703</v>
      </c>
      <c r="D4033" t="s">
        <v>720</v>
      </c>
      <c r="E4033" s="2">
        <v>2.218</v>
      </c>
    </row>
    <row r="4034" spans="1:5" x14ac:dyDescent="0.25">
      <c r="A4034" s="32" t="s">
        <v>767</v>
      </c>
      <c r="B4034" s="7">
        <v>2021</v>
      </c>
      <c r="C4034" s="51" t="s">
        <v>704</v>
      </c>
      <c r="D4034" t="s">
        <v>720</v>
      </c>
      <c r="E4034" s="2">
        <v>3.169</v>
      </c>
    </row>
    <row r="4035" spans="1:5" x14ac:dyDescent="0.25">
      <c r="A4035" s="32" t="s">
        <v>767</v>
      </c>
      <c r="B4035" s="7">
        <v>2021</v>
      </c>
      <c r="C4035" s="51" t="s">
        <v>705</v>
      </c>
      <c r="D4035" t="s">
        <v>720</v>
      </c>
      <c r="E4035" s="2">
        <v>2.2490000000000001</v>
      </c>
    </row>
    <row r="4036" spans="1:5" x14ac:dyDescent="0.25">
      <c r="A4036" s="32" t="s">
        <v>767</v>
      </c>
      <c r="B4036" s="7">
        <v>2021</v>
      </c>
      <c r="C4036" s="51" t="s">
        <v>706</v>
      </c>
      <c r="D4036" t="s">
        <v>720</v>
      </c>
      <c r="E4036" s="2">
        <v>2.6120000000000001</v>
      </c>
    </row>
    <row r="4037" spans="1:5" x14ac:dyDescent="0.25">
      <c r="A4037" s="32" t="s">
        <v>767</v>
      </c>
      <c r="B4037" s="7">
        <v>2022</v>
      </c>
      <c r="C4037" s="51" t="s">
        <v>713</v>
      </c>
      <c r="D4037" t="s">
        <v>720</v>
      </c>
      <c r="E4037" s="2">
        <v>1.929</v>
      </c>
    </row>
    <row r="4038" spans="1:5" x14ac:dyDescent="0.25">
      <c r="A4038" s="32" t="s">
        <v>767</v>
      </c>
      <c r="B4038" s="7">
        <v>2022</v>
      </c>
      <c r="C4038" s="51" t="s">
        <v>707</v>
      </c>
      <c r="D4038" t="s">
        <v>720</v>
      </c>
      <c r="E4038" s="2">
        <v>1.6839999999999999</v>
      </c>
    </row>
    <row r="4039" spans="1:5" x14ac:dyDescent="0.25">
      <c r="A4039" s="32" t="s">
        <v>767</v>
      </c>
      <c r="B4039" s="7">
        <v>2022</v>
      </c>
      <c r="C4039" s="51" t="s">
        <v>708</v>
      </c>
      <c r="D4039" t="s">
        <v>720</v>
      </c>
      <c r="E4039" s="2">
        <v>1.879</v>
      </c>
    </row>
    <row r="4040" spans="1:5" x14ac:dyDescent="0.25">
      <c r="A4040" s="32" t="s">
        <v>767</v>
      </c>
      <c r="B4040" s="7">
        <v>2022</v>
      </c>
      <c r="C4040" s="51" t="s">
        <v>699</v>
      </c>
      <c r="D4040" t="s">
        <v>720</v>
      </c>
      <c r="E4040" s="2">
        <v>1.9239999999999999</v>
      </c>
    </row>
    <row r="4041" spans="1:5" x14ac:dyDescent="0.25">
      <c r="A4041" s="32" t="s">
        <v>767</v>
      </c>
      <c r="B4041" s="7">
        <v>2022</v>
      </c>
      <c r="C4041" s="51" t="s">
        <v>709</v>
      </c>
      <c r="D4041" t="s">
        <v>720</v>
      </c>
      <c r="E4041" s="2">
        <v>2.0489999999999999</v>
      </c>
    </row>
    <row r="4042" spans="1:5" x14ac:dyDescent="0.25">
      <c r="A4042" s="32" t="s">
        <v>767</v>
      </c>
      <c r="B4042" s="7">
        <v>2022</v>
      </c>
      <c r="C4042" s="51" t="s">
        <v>712</v>
      </c>
      <c r="D4042" t="s">
        <v>720</v>
      </c>
      <c r="E4042" s="2">
        <v>2.1080000000000001</v>
      </c>
    </row>
    <row r="4043" spans="1:5" x14ac:dyDescent="0.25">
      <c r="A4043" s="32" t="s">
        <v>767</v>
      </c>
      <c r="B4043" s="7">
        <v>2022</v>
      </c>
      <c r="C4043" s="51" t="s">
        <v>710</v>
      </c>
      <c r="D4043" t="s">
        <v>720</v>
      </c>
      <c r="E4043" s="2">
        <v>2.1970000000000001</v>
      </c>
    </row>
    <row r="4044" spans="1:5" x14ac:dyDescent="0.25">
      <c r="A4044" s="32" t="s">
        <v>767</v>
      </c>
      <c r="B4044" s="7">
        <v>2022</v>
      </c>
      <c r="C4044" s="51" t="s">
        <v>702</v>
      </c>
      <c r="D4044" t="s">
        <v>720</v>
      </c>
      <c r="E4044" s="2">
        <v>2.4209999999999998</v>
      </c>
    </row>
    <row r="4045" spans="1:5" x14ac:dyDescent="0.25">
      <c r="A4045" s="32" t="s">
        <v>767</v>
      </c>
      <c r="B4045" s="7">
        <v>2022</v>
      </c>
      <c r="C4045" s="51" t="s">
        <v>703</v>
      </c>
      <c r="D4045" t="s">
        <v>720</v>
      </c>
      <c r="E4045" s="2">
        <v>1.9810000000000001</v>
      </c>
    </row>
    <row r="4046" spans="1:5" x14ac:dyDescent="0.25">
      <c r="A4046" s="32" t="s">
        <v>767</v>
      </c>
      <c r="B4046" s="7">
        <v>2022</v>
      </c>
      <c r="C4046" s="51" t="s">
        <v>704</v>
      </c>
      <c r="D4046" t="s">
        <v>720</v>
      </c>
      <c r="E4046" s="2">
        <v>2.9860000000000002</v>
      </c>
    </row>
    <row r="4047" spans="1:5" x14ac:dyDescent="0.25">
      <c r="A4047" s="32" t="s">
        <v>767</v>
      </c>
      <c r="B4047" s="7">
        <v>2022</v>
      </c>
      <c r="C4047" s="51" t="s">
        <v>705</v>
      </c>
      <c r="D4047" t="s">
        <v>720</v>
      </c>
      <c r="E4047" s="2">
        <v>3.488</v>
      </c>
    </row>
    <row r="4048" spans="1:5" x14ac:dyDescent="0.25">
      <c r="A4048" s="32" t="s">
        <v>767</v>
      </c>
      <c r="B4048" s="7">
        <v>2022</v>
      </c>
      <c r="C4048" s="51" t="s">
        <v>706</v>
      </c>
      <c r="D4048" t="s">
        <v>720</v>
      </c>
      <c r="E4048" s="2">
        <v>3.8740000000000001</v>
      </c>
    </row>
    <row r="4049" spans="1:5" x14ac:dyDescent="0.25">
      <c r="A4049" s="32" t="s">
        <v>767</v>
      </c>
      <c r="B4049" s="7">
        <v>2023</v>
      </c>
      <c r="C4049" s="51" t="s">
        <v>713</v>
      </c>
      <c r="D4049" t="s">
        <v>720</v>
      </c>
      <c r="E4049" s="2">
        <v>3.8069999999999999</v>
      </c>
    </row>
    <row r="4050" spans="1:5" x14ac:dyDescent="0.25">
      <c r="A4050" s="32" t="s">
        <v>767</v>
      </c>
      <c r="B4050" s="7">
        <v>2023</v>
      </c>
      <c r="C4050" s="51" t="s">
        <v>707</v>
      </c>
      <c r="D4050" t="s">
        <v>720</v>
      </c>
      <c r="E4050" s="2">
        <v>2.8730000000000002</v>
      </c>
    </row>
    <row r="4051" spans="1:5" x14ac:dyDescent="0.25">
      <c r="A4051" s="32" t="s">
        <v>767</v>
      </c>
      <c r="B4051" s="7">
        <v>2023</v>
      </c>
      <c r="C4051" s="51" t="s">
        <v>708</v>
      </c>
      <c r="D4051" t="s">
        <v>720</v>
      </c>
      <c r="E4051" s="2">
        <v>2.7010000000000001</v>
      </c>
    </row>
    <row r="4052" spans="1:5" x14ac:dyDescent="0.25">
      <c r="A4052" s="32" t="s">
        <v>767</v>
      </c>
      <c r="B4052" s="7">
        <v>2023</v>
      </c>
      <c r="C4052" s="51" t="s">
        <v>699</v>
      </c>
      <c r="D4052" t="s">
        <v>720</v>
      </c>
      <c r="E4052" s="2">
        <v>2.3410000000000002</v>
      </c>
    </row>
    <row r="4053" spans="1:5" x14ac:dyDescent="0.25">
      <c r="A4053" s="32" t="s">
        <v>767</v>
      </c>
      <c r="B4053" s="7">
        <v>2023</v>
      </c>
      <c r="C4053" s="51" t="s">
        <v>709</v>
      </c>
      <c r="D4053" t="s">
        <v>720</v>
      </c>
      <c r="E4053" s="2">
        <v>2.4020000000000001</v>
      </c>
    </row>
    <row r="4054" spans="1:5" x14ac:dyDescent="0.25">
      <c r="A4054" s="32" t="s">
        <v>767</v>
      </c>
      <c r="B4054" s="7">
        <v>2023</v>
      </c>
      <c r="C4054" s="51" t="s">
        <v>712</v>
      </c>
      <c r="D4054" t="s">
        <v>720</v>
      </c>
      <c r="E4054" s="2">
        <v>2.8769999999999998</v>
      </c>
    </row>
    <row r="4055" spans="1:5" x14ac:dyDescent="0.25">
      <c r="A4055" s="32" t="s">
        <v>767</v>
      </c>
      <c r="B4055" s="7">
        <v>2023</v>
      </c>
      <c r="C4055" s="51" t="s">
        <v>710</v>
      </c>
      <c r="D4055" t="s">
        <v>720</v>
      </c>
      <c r="E4055" s="2">
        <v>2.6739999999999999</v>
      </c>
    </row>
    <row r="4056" spans="1:5" x14ac:dyDescent="0.25">
      <c r="A4056" s="32" t="s">
        <v>767</v>
      </c>
      <c r="B4056" s="7">
        <v>2023</v>
      </c>
      <c r="C4056" s="51" t="s">
        <v>702</v>
      </c>
      <c r="D4056" t="s">
        <v>720</v>
      </c>
      <c r="E4056" s="2">
        <v>2.4319999999999999</v>
      </c>
    </row>
    <row r="4057" spans="1:5" x14ac:dyDescent="0.25">
      <c r="A4057" s="32" t="s">
        <v>767</v>
      </c>
      <c r="B4057" s="7">
        <v>2023</v>
      </c>
      <c r="C4057" s="51" t="s">
        <v>703</v>
      </c>
      <c r="D4057" t="s">
        <v>720</v>
      </c>
      <c r="E4057" s="2">
        <v>2.645</v>
      </c>
    </row>
    <row r="4058" spans="1:5" x14ac:dyDescent="0.25">
      <c r="A4058" s="32" t="s">
        <v>767</v>
      </c>
      <c r="B4058" s="7">
        <v>1997</v>
      </c>
      <c r="C4058" s="51" t="s">
        <v>704</v>
      </c>
      <c r="D4058" t="s">
        <v>740</v>
      </c>
      <c r="E4058" s="2">
        <v>6.1349999999999998</v>
      </c>
    </row>
    <row r="4059" spans="1:5" x14ac:dyDescent="0.25">
      <c r="A4059" s="32" t="s">
        <v>767</v>
      </c>
      <c r="B4059" s="7">
        <v>1997</v>
      </c>
      <c r="C4059" s="51" t="s">
        <v>705</v>
      </c>
      <c r="D4059" t="s">
        <v>740</v>
      </c>
      <c r="E4059" s="2">
        <v>7.39</v>
      </c>
    </row>
    <row r="4060" spans="1:5" x14ac:dyDescent="0.25">
      <c r="A4060" s="32" t="s">
        <v>767</v>
      </c>
      <c r="B4060" s="7">
        <v>1997</v>
      </c>
      <c r="C4060" s="51" t="s">
        <v>706</v>
      </c>
      <c r="D4060" t="s">
        <v>740</v>
      </c>
      <c r="E4060" s="2">
        <v>6.3929999999999998</v>
      </c>
    </row>
    <row r="4061" spans="1:5" x14ac:dyDescent="0.25">
      <c r="A4061" s="32" t="s">
        <v>767</v>
      </c>
      <c r="B4061" s="7">
        <v>1998</v>
      </c>
      <c r="C4061" s="51" t="s">
        <v>713</v>
      </c>
      <c r="D4061" t="s">
        <v>740</v>
      </c>
      <c r="E4061" s="2">
        <v>7.6479999999999997</v>
      </c>
    </row>
    <row r="4062" spans="1:5" x14ac:dyDescent="0.25">
      <c r="A4062" s="32" t="s">
        <v>767</v>
      </c>
      <c r="B4062" s="7">
        <v>1998</v>
      </c>
      <c r="C4062" s="51" t="s">
        <v>707</v>
      </c>
      <c r="D4062" t="s">
        <v>740</v>
      </c>
      <c r="E4062" s="2">
        <v>7.28</v>
      </c>
    </row>
    <row r="4063" spans="1:5" x14ac:dyDescent="0.25">
      <c r="A4063" s="32" t="s">
        <v>767</v>
      </c>
      <c r="B4063" s="7">
        <v>1998</v>
      </c>
      <c r="C4063" s="51" t="s">
        <v>708</v>
      </c>
      <c r="D4063" t="s">
        <v>740</v>
      </c>
      <c r="E4063" s="2">
        <v>7.7190000000000003</v>
      </c>
    </row>
    <row r="4064" spans="1:5" x14ac:dyDescent="0.25">
      <c r="A4064" s="32" t="s">
        <v>767</v>
      </c>
      <c r="B4064" s="7">
        <v>1998</v>
      </c>
      <c r="C4064" s="51" t="s">
        <v>699</v>
      </c>
      <c r="D4064" t="s">
        <v>740</v>
      </c>
      <c r="E4064" s="2">
        <v>6.4050000000000002</v>
      </c>
    </row>
    <row r="4065" spans="1:5" x14ac:dyDescent="0.25">
      <c r="A4065" s="32" t="s">
        <v>767</v>
      </c>
      <c r="B4065" s="7">
        <v>1998</v>
      </c>
      <c r="C4065" s="51" t="s">
        <v>709</v>
      </c>
      <c r="D4065" t="s">
        <v>740</v>
      </c>
      <c r="E4065" s="2">
        <v>6.7359999999999998</v>
      </c>
    </row>
    <row r="4066" spans="1:5" x14ac:dyDescent="0.25">
      <c r="A4066" s="32" t="s">
        <v>767</v>
      </c>
      <c r="B4066" s="7">
        <v>1998</v>
      </c>
      <c r="C4066" s="51" t="s">
        <v>712</v>
      </c>
      <c r="D4066" t="s">
        <v>740</v>
      </c>
      <c r="E4066" s="2">
        <v>6.0380000000000003</v>
      </c>
    </row>
    <row r="4067" spans="1:5" x14ac:dyDescent="0.25">
      <c r="A4067" s="32" t="s">
        <v>767</v>
      </c>
      <c r="B4067" s="7">
        <v>1998</v>
      </c>
      <c r="C4067" s="51" t="s">
        <v>710</v>
      </c>
      <c r="D4067" t="s">
        <v>740</v>
      </c>
      <c r="E4067" s="2">
        <v>6.0209999999999999</v>
      </c>
    </row>
    <row r="4068" spans="1:5" x14ac:dyDescent="0.25">
      <c r="A4068" s="32" t="s">
        <v>767</v>
      </c>
      <c r="B4068" s="7">
        <v>1998</v>
      </c>
      <c r="C4068" s="51" t="s">
        <v>702</v>
      </c>
      <c r="D4068" t="s">
        <v>740</v>
      </c>
      <c r="E4068" s="2">
        <v>6.21</v>
      </c>
    </row>
    <row r="4069" spans="1:5" x14ac:dyDescent="0.25">
      <c r="A4069" s="32" t="s">
        <v>767</v>
      </c>
      <c r="B4069" s="7">
        <v>1998</v>
      </c>
      <c r="C4069" s="51" t="s">
        <v>703</v>
      </c>
      <c r="D4069" t="s">
        <v>740</v>
      </c>
      <c r="E4069" s="2">
        <v>6.54</v>
      </c>
    </row>
    <row r="4070" spans="1:5" x14ac:dyDescent="0.25">
      <c r="A4070" s="32" t="s">
        <v>767</v>
      </c>
      <c r="B4070" s="7">
        <v>1998</v>
      </c>
      <c r="C4070" s="51" t="s">
        <v>704</v>
      </c>
      <c r="D4070" t="s">
        <v>740</v>
      </c>
      <c r="E4070" s="2">
        <v>6.556</v>
      </c>
    </row>
    <row r="4071" spans="1:5" x14ac:dyDescent="0.25">
      <c r="A4071" s="32" t="s">
        <v>767</v>
      </c>
      <c r="B4071" s="7">
        <v>1998</v>
      </c>
      <c r="C4071" s="51" t="s">
        <v>705</v>
      </c>
      <c r="D4071" t="s">
        <v>740</v>
      </c>
      <c r="E4071" s="2">
        <v>6.3330000000000002</v>
      </c>
    </row>
    <row r="4072" spans="1:5" x14ac:dyDescent="0.25">
      <c r="A4072" s="32" t="s">
        <v>767</v>
      </c>
      <c r="B4072" s="7">
        <v>1998</v>
      </c>
      <c r="C4072" s="51" t="s">
        <v>706</v>
      </c>
      <c r="D4072" t="s">
        <v>740</v>
      </c>
      <c r="E4072" s="2">
        <v>6.2389999999999999</v>
      </c>
    </row>
    <row r="4073" spans="1:5" x14ac:dyDescent="0.25">
      <c r="A4073" s="32" t="s">
        <v>767</v>
      </c>
      <c r="B4073" s="7">
        <v>1999</v>
      </c>
      <c r="C4073" s="51" t="s">
        <v>713</v>
      </c>
      <c r="D4073" t="s">
        <v>740</v>
      </c>
      <c r="E4073" s="2">
        <v>7.6120000000000001</v>
      </c>
    </row>
    <row r="4074" spans="1:5" x14ac:dyDescent="0.25">
      <c r="A4074" s="32" t="s">
        <v>767</v>
      </c>
      <c r="B4074" s="7">
        <v>1999</v>
      </c>
      <c r="C4074" s="51" t="s">
        <v>707</v>
      </c>
      <c r="D4074" t="s">
        <v>740</v>
      </c>
      <c r="E4074" s="2">
        <v>5.9569999999999999</v>
      </c>
    </row>
    <row r="4075" spans="1:5" x14ac:dyDescent="0.25">
      <c r="A4075" s="32" t="s">
        <v>767</v>
      </c>
      <c r="B4075" s="7">
        <v>1999</v>
      </c>
      <c r="C4075" s="51" t="s">
        <v>708</v>
      </c>
      <c r="D4075" t="s">
        <v>740</v>
      </c>
      <c r="E4075" s="2">
        <v>7.8250000000000002</v>
      </c>
    </row>
    <row r="4076" spans="1:5" x14ac:dyDescent="0.25">
      <c r="A4076" s="32" t="s">
        <v>767</v>
      </c>
      <c r="B4076" s="7">
        <v>1999</v>
      </c>
      <c r="C4076" s="51" t="s">
        <v>699</v>
      </c>
      <c r="D4076" t="s">
        <v>740</v>
      </c>
      <c r="E4076" s="2">
        <v>6.2030000000000003</v>
      </c>
    </row>
    <row r="4077" spans="1:5" x14ac:dyDescent="0.25">
      <c r="A4077" s="32" t="s">
        <v>767</v>
      </c>
      <c r="B4077" s="7">
        <v>1999</v>
      </c>
      <c r="C4077" s="51" t="s">
        <v>709</v>
      </c>
      <c r="D4077" t="s">
        <v>740</v>
      </c>
      <c r="E4077" s="2">
        <v>6.2149999999999999</v>
      </c>
    </row>
    <row r="4078" spans="1:5" x14ac:dyDescent="0.25">
      <c r="A4078" s="32" t="s">
        <v>767</v>
      </c>
      <c r="B4078" s="7">
        <v>1999</v>
      </c>
      <c r="C4078" s="51" t="s">
        <v>712</v>
      </c>
      <c r="D4078" t="s">
        <v>740</v>
      </c>
      <c r="E4078" s="2">
        <v>6.1390000000000002</v>
      </c>
    </row>
    <row r="4079" spans="1:5" x14ac:dyDescent="0.25">
      <c r="A4079" s="32" t="s">
        <v>767</v>
      </c>
      <c r="B4079" s="7">
        <v>1999</v>
      </c>
      <c r="C4079" s="51" t="s">
        <v>710</v>
      </c>
      <c r="D4079" t="s">
        <v>740</v>
      </c>
      <c r="E4079" s="2">
        <v>6.1260000000000003</v>
      </c>
    </row>
    <row r="4080" spans="1:5" x14ac:dyDescent="0.25">
      <c r="A4080" s="32" t="s">
        <v>767</v>
      </c>
      <c r="B4080" s="7">
        <v>1999</v>
      </c>
      <c r="C4080" s="51" t="s">
        <v>702</v>
      </c>
      <c r="D4080" t="s">
        <v>740</v>
      </c>
      <c r="E4080" s="2">
        <v>6.3840000000000003</v>
      </c>
    </row>
    <row r="4081" spans="1:5" x14ac:dyDescent="0.25">
      <c r="A4081" s="32" t="s">
        <v>767</v>
      </c>
      <c r="B4081" s="7">
        <v>1999</v>
      </c>
      <c r="C4081" s="51" t="s">
        <v>703</v>
      </c>
      <c r="D4081" t="s">
        <v>740</v>
      </c>
      <c r="E4081" s="2">
        <v>7.4619999999999997</v>
      </c>
    </row>
    <row r="4082" spans="1:5" x14ac:dyDescent="0.25">
      <c r="A4082" s="32" t="s">
        <v>767</v>
      </c>
      <c r="B4082" s="7">
        <v>1999</v>
      </c>
      <c r="C4082" s="51" t="s">
        <v>704</v>
      </c>
      <c r="D4082" t="s">
        <v>740</v>
      </c>
      <c r="E4082" s="2">
        <v>6.984</v>
      </c>
    </row>
    <row r="4083" spans="1:5" x14ac:dyDescent="0.25">
      <c r="A4083" s="32" t="s">
        <v>767</v>
      </c>
      <c r="B4083" s="7">
        <v>1999</v>
      </c>
      <c r="C4083" s="51" t="s">
        <v>705</v>
      </c>
      <c r="D4083" t="s">
        <v>740</v>
      </c>
      <c r="E4083" s="2">
        <v>5.875</v>
      </c>
    </row>
    <row r="4084" spans="1:5" x14ac:dyDescent="0.25">
      <c r="A4084" s="32" t="s">
        <v>767</v>
      </c>
      <c r="B4084" s="7">
        <v>1999</v>
      </c>
      <c r="C4084" s="51" t="s">
        <v>706</v>
      </c>
      <c r="D4084" t="s">
        <v>740</v>
      </c>
      <c r="E4084" s="2">
        <v>5.9980000000000002</v>
      </c>
    </row>
    <row r="4085" spans="1:5" x14ac:dyDescent="0.25">
      <c r="A4085" s="32" t="s">
        <v>767</v>
      </c>
      <c r="B4085" s="7">
        <v>2000</v>
      </c>
      <c r="C4085" s="51" t="s">
        <v>713</v>
      </c>
      <c r="D4085" t="s">
        <v>740</v>
      </c>
      <c r="E4085" s="2">
        <v>5.9359999999999999</v>
      </c>
    </row>
    <row r="4086" spans="1:5" x14ac:dyDescent="0.25">
      <c r="A4086" s="32" t="s">
        <v>767</v>
      </c>
      <c r="B4086" s="7">
        <v>2000</v>
      </c>
      <c r="C4086" s="51" t="s">
        <v>707</v>
      </c>
      <c r="D4086" t="s">
        <v>740</v>
      </c>
      <c r="E4086" s="2">
        <v>8.4550000000000001</v>
      </c>
    </row>
    <row r="4087" spans="1:5" x14ac:dyDescent="0.25">
      <c r="A4087" s="32" t="s">
        <v>767</v>
      </c>
      <c r="B4087" s="7">
        <v>2000</v>
      </c>
      <c r="C4087" s="51" t="s">
        <v>708</v>
      </c>
      <c r="D4087" t="s">
        <v>740</v>
      </c>
      <c r="E4087" s="2">
        <v>8.2889999999999997</v>
      </c>
    </row>
    <row r="4088" spans="1:5" x14ac:dyDescent="0.25">
      <c r="A4088" s="32" t="s">
        <v>767</v>
      </c>
      <c r="B4088" s="7">
        <v>2000</v>
      </c>
      <c r="C4088" s="51" t="s">
        <v>699</v>
      </c>
      <c r="D4088" t="s">
        <v>740</v>
      </c>
      <c r="E4088" s="2">
        <v>7.8689999999999998</v>
      </c>
    </row>
    <row r="4089" spans="1:5" x14ac:dyDescent="0.25">
      <c r="A4089" s="32" t="s">
        <v>767</v>
      </c>
      <c r="B4089" s="7">
        <v>2000</v>
      </c>
      <c r="C4089" s="51" t="s">
        <v>709</v>
      </c>
      <c r="D4089" t="s">
        <v>740</v>
      </c>
      <c r="E4089" s="2">
        <v>6.8769999999999998</v>
      </c>
    </row>
    <row r="4090" spans="1:5" x14ac:dyDescent="0.25">
      <c r="A4090" s="32" t="s">
        <v>767</v>
      </c>
      <c r="B4090" s="7">
        <v>2000</v>
      </c>
      <c r="C4090" s="51" t="s">
        <v>712</v>
      </c>
      <c r="D4090" t="s">
        <v>740</v>
      </c>
      <c r="E4090" s="2">
        <v>7.1669999999999998</v>
      </c>
    </row>
    <row r="4091" spans="1:5" x14ac:dyDescent="0.25">
      <c r="A4091" s="32" t="s">
        <v>767</v>
      </c>
      <c r="B4091" s="7">
        <v>2000</v>
      </c>
      <c r="C4091" s="51" t="s">
        <v>710</v>
      </c>
      <c r="D4091" t="s">
        <v>740</v>
      </c>
      <c r="E4091" s="2">
        <v>7.0739999999999998</v>
      </c>
    </row>
    <row r="4092" spans="1:5" x14ac:dyDescent="0.25">
      <c r="A4092" s="32" t="s">
        <v>767</v>
      </c>
      <c r="B4092" s="7">
        <v>2000</v>
      </c>
      <c r="C4092" s="51" t="s">
        <v>702</v>
      </c>
      <c r="D4092" t="s">
        <v>740</v>
      </c>
      <c r="E4092" s="2">
        <v>7.3109999999999999</v>
      </c>
    </row>
    <row r="4093" spans="1:5" x14ac:dyDescent="0.25">
      <c r="A4093" s="32" t="s">
        <v>767</v>
      </c>
      <c r="B4093" s="7">
        <v>2000</v>
      </c>
      <c r="C4093" s="51" t="s">
        <v>703</v>
      </c>
      <c r="D4093" t="s">
        <v>740</v>
      </c>
      <c r="E4093" s="2">
        <v>6.7009999999999996</v>
      </c>
    </row>
    <row r="4094" spans="1:5" x14ac:dyDescent="0.25">
      <c r="A4094" s="32" t="s">
        <v>767</v>
      </c>
      <c r="B4094" s="7">
        <v>2000</v>
      </c>
      <c r="C4094" s="51" t="s">
        <v>704</v>
      </c>
      <c r="D4094" t="s">
        <v>740</v>
      </c>
      <c r="E4094" s="2">
        <v>6.4130000000000003</v>
      </c>
    </row>
    <row r="4095" spans="1:5" x14ac:dyDescent="0.25">
      <c r="A4095" s="32" t="s">
        <v>767</v>
      </c>
      <c r="B4095" s="7">
        <v>2000</v>
      </c>
      <c r="C4095" s="51" t="s">
        <v>705</v>
      </c>
      <c r="D4095" t="s">
        <v>740</v>
      </c>
      <c r="E4095" s="2">
        <v>6.2489999999999997</v>
      </c>
    </row>
    <row r="4096" spans="1:5" x14ac:dyDescent="0.25">
      <c r="A4096" s="32" t="s">
        <v>767</v>
      </c>
      <c r="B4096" s="7">
        <v>2000</v>
      </c>
      <c r="C4096" s="51" t="s">
        <v>706</v>
      </c>
      <c r="D4096" t="s">
        <v>740</v>
      </c>
      <c r="E4096" s="2">
        <v>6.8010000000000002</v>
      </c>
    </row>
    <row r="4097" spans="1:5" x14ac:dyDescent="0.25">
      <c r="A4097" s="32" t="s">
        <v>767</v>
      </c>
      <c r="B4097" s="7">
        <v>2001</v>
      </c>
      <c r="C4097" s="51" t="s">
        <v>713</v>
      </c>
      <c r="D4097" t="s">
        <v>740</v>
      </c>
      <c r="E4097" s="2">
        <v>7.681</v>
      </c>
    </row>
    <row r="4098" spans="1:5" x14ac:dyDescent="0.25">
      <c r="A4098" s="32" t="s">
        <v>767</v>
      </c>
      <c r="B4098" s="7">
        <v>2001</v>
      </c>
      <c r="C4098" s="51" t="s">
        <v>707</v>
      </c>
      <c r="D4098" t="s">
        <v>740</v>
      </c>
      <c r="E4098" s="2">
        <v>6.9210000000000003</v>
      </c>
    </row>
    <row r="4099" spans="1:5" x14ac:dyDescent="0.25">
      <c r="A4099" s="32" t="s">
        <v>767</v>
      </c>
      <c r="B4099" s="7">
        <v>2001</v>
      </c>
      <c r="C4099" s="51" t="s">
        <v>708</v>
      </c>
      <c r="D4099" t="s">
        <v>740</v>
      </c>
      <c r="E4099" s="2">
        <v>8.1709999999999994</v>
      </c>
    </row>
    <row r="4100" spans="1:5" x14ac:dyDescent="0.25">
      <c r="A4100" s="32" t="s">
        <v>767</v>
      </c>
      <c r="B4100" s="7">
        <v>2001</v>
      </c>
      <c r="C4100" s="51" t="s">
        <v>699</v>
      </c>
      <c r="D4100" t="s">
        <v>740</v>
      </c>
      <c r="E4100" s="2">
        <v>8.0190000000000001</v>
      </c>
    </row>
    <row r="4101" spans="1:5" x14ac:dyDescent="0.25">
      <c r="A4101" s="32" t="s">
        <v>767</v>
      </c>
      <c r="B4101" s="7">
        <v>2001</v>
      </c>
      <c r="C4101" s="51" t="s">
        <v>709</v>
      </c>
      <c r="D4101" t="s">
        <v>740</v>
      </c>
      <c r="E4101" s="2">
        <v>8.5210000000000008</v>
      </c>
    </row>
    <row r="4102" spans="1:5" x14ac:dyDescent="0.25">
      <c r="A4102" s="32" t="s">
        <v>767</v>
      </c>
      <c r="B4102" s="7">
        <v>2001</v>
      </c>
      <c r="C4102" s="51" t="s">
        <v>712</v>
      </c>
      <c r="D4102" t="s">
        <v>740</v>
      </c>
      <c r="E4102" s="2">
        <v>8.4210999999999991</v>
      </c>
    </row>
    <row r="4103" spans="1:5" x14ac:dyDescent="0.25">
      <c r="A4103" s="32" t="s">
        <v>767</v>
      </c>
      <c r="B4103" s="7">
        <v>2001</v>
      </c>
      <c r="C4103" s="51" t="s">
        <v>710</v>
      </c>
      <c r="D4103" t="s">
        <v>740</v>
      </c>
      <c r="E4103" s="2">
        <v>7.9850000000000003</v>
      </c>
    </row>
    <row r="4104" spans="1:5" x14ac:dyDescent="0.25">
      <c r="A4104" s="32" t="s">
        <v>767</v>
      </c>
      <c r="B4104" s="7">
        <v>2001</v>
      </c>
      <c r="C4104" s="51" t="s">
        <v>702</v>
      </c>
      <c r="D4104" t="s">
        <v>740</v>
      </c>
      <c r="E4104" s="2">
        <v>8.1639999999999997</v>
      </c>
    </row>
    <row r="4105" spans="1:5" x14ac:dyDescent="0.25">
      <c r="A4105" s="32" t="s">
        <v>767</v>
      </c>
      <c r="B4105" s="7">
        <v>2001</v>
      </c>
      <c r="C4105" s="51" t="s">
        <v>703</v>
      </c>
      <c r="D4105" t="s">
        <v>740</v>
      </c>
      <c r="E4105" s="2">
        <v>6.8319999999999999</v>
      </c>
    </row>
    <row r="4106" spans="1:5" x14ac:dyDescent="0.25">
      <c r="A4106" s="32" t="s">
        <v>767</v>
      </c>
      <c r="B4106" s="7">
        <v>2001</v>
      </c>
      <c r="C4106" s="51" t="s">
        <v>704</v>
      </c>
      <c r="D4106" t="s">
        <v>740</v>
      </c>
      <c r="E4106" s="2">
        <v>6.5590000000000002</v>
      </c>
    </row>
    <row r="4107" spans="1:5" x14ac:dyDescent="0.25">
      <c r="A4107" s="32" t="s">
        <v>767</v>
      </c>
      <c r="B4107" s="7">
        <v>2001</v>
      </c>
      <c r="C4107" s="51" t="s">
        <v>705</v>
      </c>
      <c r="D4107" t="s">
        <v>740</v>
      </c>
      <c r="E4107" s="2">
        <v>7.1859999999999999</v>
      </c>
    </row>
    <row r="4108" spans="1:5" x14ac:dyDescent="0.25">
      <c r="A4108" s="32" t="s">
        <v>767</v>
      </c>
      <c r="B4108" s="7">
        <v>2001</v>
      </c>
      <c r="C4108" s="51" t="s">
        <v>706</v>
      </c>
      <c r="D4108" t="s">
        <v>740</v>
      </c>
      <c r="E4108" s="2">
        <v>7.1920000000000002</v>
      </c>
    </row>
    <row r="4109" spans="1:5" x14ac:dyDescent="0.25">
      <c r="A4109" s="32" t="s">
        <v>767</v>
      </c>
      <c r="B4109" s="7">
        <v>2002</v>
      </c>
      <c r="C4109" s="51" t="s">
        <v>713</v>
      </c>
      <c r="D4109" t="s">
        <v>740</v>
      </c>
      <c r="E4109" s="2">
        <v>6.9420000000000002</v>
      </c>
    </row>
    <row r="4110" spans="1:5" x14ac:dyDescent="0.25">
      <c r="A4110" s="32" t="s">
        <v>767</v>
      </c>
      <c r="B4110" s="7">
        <v>2002</v>
      </c>
      <c r="C4110" s="51" t="s">
        <v>707</v>
      </c>
      <c r="D4110" t="s">
        <v>740</v>
      </c>
      <c r="E4110" s="2">
        <v>6.3010000000000002</v>
      </c>
    </row>
    <row r="4111" spans="1:5" x14ac:dyDescent="0.25">
      <c r="A4111" s="32" t="s">
        <v>767</v>
      </c>
      <c r="B4111" s="7">
        <v>2002</v>
      </c>
      <c r="C4111" s="51" t="s">
        <v>708</v>
      </c>
      <c r="D4111" t="s">
        <v>740</v>
      </c>
      <c r="E4111" s="2">
        <v>7.758</v>
      </c>
    </row>
    <row r="4112" spans="1:5" x14ac:dyDescent="0.25">
      <c r="A4112" s="32" t="s">
        <v>767</v>
      </c>
      <c r="B4112" s="7">
        <v>2002</v>
      </c>
      <c r="C4112" s="51" t="s">
        <v>699</v>
      </c>
      <c r="D4112" t="s">
        <v>740</v>
      </c>
      <c r="E4112" s="2">
        <v>8.25</v>
      </c>
    </row>
    <row r="4113" spans="1:5" x14ac:dyDescent="0.25">
      <c r="A4113" s="32" t="s">
        <v>767</v>
      </c>
      <c r="B4113" s="7">
        <v>2002</v>
      </c>
      <c r="C4113" s="51" t="s">
        <v>709</v>
      </c>
      <c r="D4113" t="s">
        <v>740</v>
      </c>
      <c r="E4113" s="2">
        <v>9.0609999999999999</v>
      </c>
    </row>
    <row r="4114" spans="1:5" x14ac:dyDescent="0.25">
      <c r="A4114" s="32" t="s">
        <v>767</v>
      </c>
      <c r="B4114" s="7">
        <v>2002</v>
      </c>
      <c r="C4114" s="51" t="s">
        <v>712</v>
      </c>
      <c r="D4114" t="s">
        <v>740</v>
      </c>
      <c r="E4114" s="2">
        <v>8.7189999999999994</v>
      </c>
    </row>
    <row r="4115" spans="1:5" x14ac:dyDescent="0.25">
      <c r="A4115" s="32" t="s">
        <v>767</v>
      </c>
      <c r="B4115" s="7">
        <v>2002</v>
      </c>
      <c r="C4115" s="51" t="s">
        <v>710</v>
      </c>
      <c r="D4115" t="s">
        <v>740</v>
      </c>
      <c r="E4115" s="2">
        <v>8.4779999999999998</v>
      </c>
    </row>
    <row r="4116" spans="1:5" x14ac:dyDescent="0.25">
      <c r="A4116" s="32" t="s">
        <v>767</v>
      </c>
      <c r="B4116" s="7">
        <v>2002</v>
      </c>
      <c r="C4116" s="51" t="s">
        <v>702</v>
      </c>
      <c r="D4116" t="s">
        <v>740</v>
      </c>
      <c r="E4116" s="2">
        <v>8.5020000000000007</v>
      </c>
    </row>
    <row r="4117" spans="1:5" x14ac:dyDescent="0.25">
      <c r="A4117" s="32" t="s">
        <v>767</v>
      </c>
      <c r="B4117" s="7">
        <v>2002</v>
      </c>
      <c r="C4117" s="51" t="s">
        <v>703</v>
      </c>
      <c r="D4117" t="s">
        <v>740</v>
      </c>
      <c r="E4117" s="2">
        <v>7.3819999999999997</v>
      </c>
    </row>
    <row r="4118" spans="1:5" x14ac:dyDescent="0.25">
      <c r="A4118" s="32" t="s">
        <v>767</v>
      </c>
      <c r="B4118" s="7">
        <v>2002</v>
      </c>
      <c r="C4118" s="51" t="s">
        <v>704</v>
      </c>
      <c r="D4118" t="s">
        <v>740</v>
      </c>
      <c r="E4118" s="2">
        <v>7.7249999999999996</v>
      </c>
    </row>
    <row r="4119" spans="1:5" x14ac:dyDescent="0.25">
      <c r="A4119" s="32" t="s">
        <v>767</v>
      </c>
      <c r="B4119" s="7">
        <v>2002</v>
      </c>
      <c r="C4119" s="51" t="s">
        <v>705</v>
      </c>
      <c r="D4119" t="s">
        <v>740</v>
      </c>
      <c r="E4119" s="2">
        <v>8.859</v>
      </c>
    </row>
    <row r="4120" spans="1:5" x14ac:dyDescent="0.25">
      <c r="A4120" s="32" t="s">
        <v>767</v>
      </c>
      <c r="B4120" s="7">
        <v>2002</v>
      </c>
      <c r="C4120" s="51" t="s">
        <v>706</v>
      </c>
      <c r="D4120" t="s">
        <v>740</v>
      </c>
      <c r="E4120" s="2">
        <v>9.0630000000000006</v>
      </c>
    </row>
    <row r="4121" spans="1:5" x14ac:dyDescent="0.25">
      <c r="A4121" s="32" t="s">
        <v>767</v>
      </c>
      <c r="B4121" s="7">
        <v>2003</v>
      </c>
      <c r="C4121" s="51" t="s">
        <v>713</v>
      </c>
      <c r="D4121" t="s">
        <v>740</v>
      </c>
      <c r="E4121" s="2">
        <v>8.5540000000000003</v>
      </c>
    </row>
    <row r="4122" spans="1:5" x14ac:dyDescent="0.25">
      <c r="A4122" s="32" t="s">
        <v>767</v>
      </c>
      <c r="B4122" s="7">
        <v>2003</v>
      </c>
      <c r="C4122" s="51" t="s">
        <v>707</v>
      </c>
      <c r="D4122" t="s">
        <v>740</v>
      </c>
      <c r="E4122" s="2">
        <v>8.5009999999999994</v>
      </c>
    </row>
    <row r="4123" spans="1:5" x14ac:dyDescent="0.25">
      <c r="A4123" s="32" t="s">
        <v>767</v>
      </c>
      <c r="B4123" s="7">
        <v>2003</v>
      </c>
      <c r="C4123" s="51" t="s">
        <v>708</v>
      </c>
      <c r="D4123" t="s">
        <v>740</v>
      </c>
      <c r="E4123" s="2">
        <v>9.8810000000000002</v>
      </c>
    </row>
    <row r="4124" spans="1:5" x14ac:dyDescent="0.25">
      <c r="A4124" s="32" t="s">
        <v>767</v>
      </c>
      <c r="B4124" s="7">
        <v>2003</v>
      </c>
      <c r="C4124" s="51" t="s">
        <v>699</v>
      </c>
      <c r="D4124" t="s">
        <v>740</v>
      </c>
      <c r="E4124" s="2">
        <v>7.9640000000000004</v>
      </c>
    </row>
    <row r="4125" spans="1:5" x14ac:dyDescent="0.25">
      <c r="A4125" s="32" t="s">
        <v>767</v>
      </c>
      <c r="B4125" s="7">
        <v>2003</v>
      </c>
      <c r="C4125" s="51" t="s">
        <v>709</v>
      </c>
      <c r="D4125" t="s">
        <v>740</v>
      </c>
      <c r="E4125" s="2">
        <v>9.6579999999999995</v>
      </c>
    </row>
    <row r="4126" spans="1:5" x14ac:dyDescent="0.25">
      <c r="A4126" s="32" t="s">
        <v>767</v>
      </c>
      <c r="B4126" s="7">
        <v>2003</v>
      </c>
      <c r="C4126" s="51" t="s">
        <v>712</v>
      </c>
      <c r="D4126" t="s">
        <v>740</v>
      </c>
      <c r="E4126" s="2">
        <v>10.507999999999999</v>
      </c>
    </row>
    <row r="4127" spans="1:5" x14ac:dyDescent="0.25">
      <c r="A4127" s="32" t="s">
        <v>767</v>
      </c>
      <c r="B4127" s="7">
        <v>2003</v>
      </c>
      <c r="C4127" s="51" t="s">
        <v>710</v>
      </c>
      <c r="D4127" t="s">
        <v>740</v>
      </c>
      <c r="E4127" s="2">
        <v>7.5730000000000004</v>
      </c>
    </row>
    <row r="4128" spans="1:5" x14ac:dyDescent="0.25">
      <c r="A4128" s="32" t="s">
        <v>767</v>
      </c>
      <c r="B4128" s="7">
        <v>2003</v>
      </c>
      <c r="C4128" s="51" t="s">
        <v>702</v>
      </c>
      <c r="D4128" t="s">
        <v>740</v>
      </c>
      <c r="E4128" s="2">
        <v>7.6970000000000001</v>
      </c>
    </row>
    <row r="4129" spans="1:5" x14ac:dyDescent="0.25">
      <c r="A4129" s="32" t="s">
        <v>767</v>
      </c>
      <c r="B4129" s="7">
        <v>2003</v>
      </c>
      <c r="C4129" s="51" t="s">
        <v>703</v>
      </c>
      <c r="D4129" t="s">
        <v>740</v>
      </c>
      <c r="E4129" s="2">
        <v>7.9059999999999997</v>
      </c>
    </row>
    <row r="4130" spans="1:5" x14ac:dyDescent="0.25">
      <c r="A4130" s="32" t="s">
        <v>767</v>
      </c>
      <c r="B4130" s="7">
        <v>2003</v>
      </c>
      <c r="C4130" s="51" t="s">
        <v>704</v>
      </c>
      <c r="D4130" t="s">
        <v>740</v>
      </c>
      <c r="E4130" s="2">
        <v>7.1</v>
      </c>
    </row>
    <row r="4131" spans="1:5" x14ac:dyDescent="0.25">
      <c r="A4131" s="32" t="s">
        <v>767</v>
      </c>
      <c r="B4131" s="7">
        <v>2003</v>
      </c>
      <c r="C4131" s="51" t="s">
        <v>705</v>
      </c>
      <c r="D4131" t="s">
        <v>740</v>
      </c>
      <c r="E4131" s="2">
        <v>8.2720000000000002</v>
      </c>
    </row>
    <row r="4132" spans="1:5" x14ac:dyDescent="0.25">
      <c r="A4132" s="32" t="s">
        <v>767</v>
      </c>
      <c r="B4132" s="7">
        <v>2003</v>
      </c>
      <c r="C4132" s="51" t="s">
        <v>706</v>
      </c>
      <c r="D4132" t="s">
        <v>740</v>
      </c>
      <c r="E4132" s="2">
        <v>8.3710000000000004</v>
      </c>
    </row>
    <row r="4133" spans="1:5" x14ac:dyDescent="0.25">
      <c r="A4133" s="32" t="s">
        <v>767</v>
      </c>
      <c r="B4133" s="7">
        <v>2004</v>
      </c>
      <c r="C4133" s="51" t="s">
        <v>713</v>
      </c>
      <c r="D4133" t="s">
        <v>740</v>
      </c>
      <c r="E4133" s="2">
        <v>6.9390000000000001</v>
      </c>
    </row>
    <row r="4134" spans="1:5" x14ac:dyDescent="0.25">
      <c r="A4134" s="32" t="s">
        <v>767</v>
      </c>
      <c r="B4134" s="7">
        <v>2004</v>
      </c>
      <c r="C4134" s="51" t="s">
        <v>707</v>
      </c>
      <c r="D4134" t="s">
        <v>740</v>
      </c>
      <c r="E4134" s="2">
        <v>7.6760000000000002</v>
      </c>
    </row>
    <row r="4135" spans="1:5" x14ac:dyDescent="0.25">
      <c r="A4135" s="32" t="s">
        <v>767</v>
      </c>
      <c r="B4135" s="7">
        <v>2004</v>
      </c>
      <c r="C4135" s="51" t="s">
        <v>708</v>
      </c>
      <c r="D4135" t="s">
        <v>740</v>
      </c>
      <c r="E4135" s="2">
        <v>8.1029999999999998</v>
      </c>
    </row>
    <row r="4136" spans="1:5" x14ac:dyDescent="0.25">
      <c r="A4136" s="32" t="s">
        <v>767</v>
      </c>
      <c r="B4136" s="7">
        <v>2004</v>
      </c>
      <c r="C4136" s="51" t="s">
        <v>699</v>
      </c>
      <c r="D4136" t="s">
        <v>740</v>
      </c>
      <c r="E4136" s="2">
        <v>9.2260000000000009</v>
      </c>
    </row>
    <row r="4137" spans="1:5" x14ac:dyDescent="0.25">
      <c r="A4137" s="32" t="s">
        <v>767</v>
      </c>
      <c r="B4137" s="7">
        <v>2004</v>
      </c>
      <c r="C4137" s="51" t="s">
        <v>709</v>
      </c>
      <c r="D4137" t="s">
        <v>740</v>
      </c>
      <c r="E4137" s="2">
        <v>9.3699999999999992</v>
      </c>
    </row>
    <row r="4138" spans="1:5" x14ac:dyDescent="0.25">
      <c r="A4138" s="32" t="s">
        <v>767</v>
      </c>
      <c r="B4138" s="7">
        <v>2004</v>
      </c>
      <c r="C4138" s="51" t="s">
        <v>712</v>
      </c>
      <c r="D4138" t="s">
        <v>740</v>
      </c>
      <c r="E4138" s="2">
        <v>7.9870000000000001</v>
      </c>
    </row>
    <row r="4139" spans="1:5" x14ac:dyDescent="0.25">
      <c r="A4139" s="32" t="s">
        <v>767</v>
      </c>
      <c r="B4139" s="7">
        <v>2004</v>
      </c>
      <c r="C4139" s="51" t="s">
        <v>710</v>
      </c>
      <c r="D4139" t="s">
        <v>740</v>
      </c>
      <c r="E4139" s="2">
        <v>7.5259999999999998</v>
      </c>
    </row>
    <row r="4140" spans="1:5" x14ac:dyDescent="0.25">
      <c r="A4140" s="32" t="s">
        <v>767</v>
      </c>
      <c r="B4140" s="7">
        <v>2004</v>
      </c>
      <c r="C4140" s="51" t="s">
        <v>702</v>
      </c>
      <c r="D4140" t="s">
        <v>740</v>
      </c>
      <c r="E4140" s="2">
        <v>7.6189999999999998</v>
      </c>
    </row>
    <row r="4141" spans="1:5" x14ac:dyDescent="0.25">
      <c r="A4141" s="32" t="s">
        <v>767</v>
      </c>
      <c r="B4141" s="7">
        <v>2004</v>
      </c>
      <c r="C4141" s="51" t="s">
        <v>703</v>
      </c>
      <c r="D4141" t="s">
        <v>740</v>
      </c>
      <c r="E4141" s="2">
        <v>7.8310000000000004</v>
      </c>
    </row>
    <row r="4142" spans="1:5" x14ac:dyDescent="0.25">
      <c r="A4142" s="32" t="s">
        <v>767</v>
      </c>
      <c r="B4142" s="7">
        <v>2004</v>
      </c>
      <c r="C4142" s="51" t="s">
        <v>704</v>
      </c>
      <c r="D4142" t="s">
        <v>740</v>
      </c>
      <c r="E4142" s="2">
        <v>7.8680000000000003</v>
      </c>
    </row>
    <row r="4143" spans="1:5" x14ac:dyDescent="0.25">
      <c r="A4143" s="32" t="s">
        <v>767</v>
      </c>
      <c r="B4143" s="7">
        <v>2004</v>
      </c>
      <c r="C4143" s="51" t="s">
        <v>705</v>
      </c>
      <c r="D4143" t="s">
        <v>740</v>
      </c>
      <c r="E4143" s="2">
        <v>7.9610000000000003</v>
      </c>
    </row>
    <row r="4144" spans="1:5" x14ac:dyDescent="0.25">
      <c r="A4144" s="32" t="s">
        <v>767</v>
      </c>
      <c r="B4144" s="7">
        <v>2004</v>
      </c>
      <c r="C4144" s="51" t="s">
        <v>706</v>
      </c>
      <c r="D4144" t="s">
        <v>740</v>
      </c>
      <c r="E4144" s="2">
        <v>7.657</v>
      </c>
    </row>
    <row r="4145" spans="1:5" x14ac:dyDescent="0.25">
      <c r="A4145" s="32" t="s">
        <v>767</v>
      </c>
      <c r="B4145" s="7">
        <v>2005</v>
      </c>
      <c r="C4145" s="51" t="s">
        <v>713</v>
      </c>
      <c r="D4145" t="s">
        <v>740</v>
      </c>
      <c r="E4145" s="2">
        <v>7.2220000000000004</v>
      </c>
    </row>
    <row r="4146" spans="1:5" x14ac:dyDescent="0.25">
      <c r="A4146" s="32" t="s">
        <v>767</v>
      </c>
      <c r="B4146" s="7">
        <v>2005</v>
      </c>
      <c r="C4146" s="51" t="s">
        <v>707</v>
      </c>
      <c r="D4146" t="s">
        <v>740</v>
      </c>
      <c r="E4146" s="2">
        <v>7.17</v>
      </c>
    </row>
    <row r="4147" spans="1:5" x14ac:dyDescent="0.25">
      <c r="A4147" s="32" t="s">
        <v>767</v>
      </c>
      <c r="B4147" s="7">
        <v>2005</v>
      </c>
      <c r="C4147" s="51" t="s">
        <v>708</v>
      </c>
      <c r="D4147" t="s">
        <v>740</v>
      </c>
      <c r="E4147" s="2">
        <v>8.4570000000000007</v>
      </c>
    </row>
    <row r="4148" spans="1:5" x14ac:dyDescent="0.25">
      <c r="A4148" s="32" t="s">
        <v>767</v>
      </c>
      <c r="B4148" s="7">
        <v>2005</v>
      </c>
      <c r="C4148" s="51" t="s">
        <v>699</v>
      </c>
      <c r="D4148" t="s">
        <v>740</v>
      </c>
      <c r="E4148" s="2">
        <v>8.1739999999999995</v>
      </c>
    </row>
    <row r="4149" spans="1:5" x14ac:dyDescent="0.25">
      <c r="A4149" s="32" t="s">
        <v>767</v>
      </c>
      <c r="B4149" s="7">
        <v>2005</v>
      </c>
      <c r="C4149" s="51" t="s">
        <v>709</v>
      </c>
      <c r="D4149" t="s">
        <v>740</v>
      </c>
      <c r="E4149" s="2">
        <v>8.1920000000000002</v>
      </c>
    </row>
    <row r="4150" spans="1:5" x14ac:dyDescent="0.25">
      <c r="A4150" s="32" t="s">
        <v>767</v>
      </c>
      <c r="B4150" s="7">
        <v>2005</v>
      </c>
      <c r="C4150" s="51" t="s">
        <v>712</v>
      </c>
      <c r="D4150" t="s">
        <v>740</v>
      </c>
      <c r="E4150" s="2">
        <v>7.4660000000000002</v>
      </c>
    </row>
    <row r="4151" spans="1:5" x14ac:dyDescent="0.25">
      <c r="A4151" s="32" t="s">
        <v>767</v>
      </c>
      <c r="B4151" s="7">
        <v>2005</v>
      </c>
      <c r="C4151" s="51" t="s">
        <v>710</v>
      </c>
      <c r="D4151" t="s">
        <v>740</v>
      </c>
      <c r="E4151" s="2">
        <v>7.8179999999999996</v>
      </c>
    </row>
    <row r="4152" spans="1:5" x14ac:dyDescent="0.25">
      <c r="A4152" s="32" t="s">
        <v>767</v>
      </c>
      <c r="B4152" s="7">
        <v>2005</v>
      </c>
      <c r="C4152" s="51" t="s">
        <v>702</v>
      </c>
      <c r="D4152" t="s">
        <v>740</v>
      </c>
      <c r="E4152" s="2">
        <v>7.2549999999999999</v>
      </c>
    </row>
    <row r="4153" spans="1:5" x14ac:dyDescent="0.25">
      <c r="A4153" s="32" t="s">
        <v>767</v>
      </c>
      <c r="B4153" s="7">
        <v>2005</v>
      </c>
      <c r="C4153" s="51" t="s">
        <v>703</v>
      </c>
      <c r="D4153" t="s">
        <v>740</v>
      </c>
      <c r="E4153" s="2">
        <v>6.6509999999999998</v>
      </c>
    </row>
    <row r="4154" spans="1:5" x14ac:dyDescent="0.25">
      <c r="A4154" s="32" t="s">
        <v>767</v>
      </c>
      <c r="B4154" s="7">
        <v>2005</v>
      </c>
      <c r="C4154" s="51" t="s">
        <v>704</v>
      </c>
      <c r="D4154" t="s">
        <v>740</v>
      </c>
      <c r="E4154" s="2">
        <v>7.9320000000000004</v>
      </c>
    </row>
    <row r="4155" spans="1:5" x14ac:dyDescent="0.25">
      <c r="A4155" s="32" t="s">
        <v>767</v>
      </c>
      <c r="B4155" s="7">
        <v>2005</v>
      </c>
      <c r="C4155" s="51" t="s">
        <v>705</v>
      </c>
      <c r="D4155" t="s">
        <v>740</v>
      </c>
      <c r="E4155" s="2">
        <v>7.0140000000000002</v>
      </c>
    </row>
    <row r="4156" spans="1:5" x14ac:dyDescent="0.25">
      <c r="A4156" s="32" t="s">
        <v>767</v>
      </c>
      <c r="B4156" s="7">
        <v>2005</v>
      </c>
      <c r="C4156" s="51" t="s">
        <v>706</v>
      </c>
      <c r="D4156" t="s">
        <v>740</v>
      </c>
      <c r="E4156" s="2">
        <v>8.8230000000000004</v>
      </c>
    </row>
    <row r="4157" spans="1:5" x14ac:dyDescent="0.25">
      <c r="A4157" s="32" t="s">
        <v>767</v>
      </c>
      <c r="B4157" s="7">
        <v>2006</v>
      </c>
      <c r="C4157" s="51" t="s">
        <v>713</v>
      </c>
      <c r="D4157" t="s">
        <v>740</v>
      </c>
      <c r="E4157" s="2">
        <v>8.2210000000000001</v>
      </c>
    </row>
    <row r="4158" spans="1:5" x14ac:dyDescent="0.25">
      <c r="A4158" s="32" t="s">
        <v>767</v>
      </c>
      <c r="B4158" s="7">
        <v>2006</v>
      </c>
      <c r="C4158" s="51" t="s">
        <v>707</v>
      </c>
      <c r="D4158" t="s">
        <v>740</v>
      </c>
      <c r="E4158" s="2">
        <v>6.843</v>
      </c>
    </row>
    <row r="4159" spans="1:5" x14ac:dyDescent="0.25">
      <c r="A4159" s="32" t="s">
        <v>767</v>
      </c>
      <c r="B4159" s="7">
        <v>2006</v>
      </c>
      <c r="C4159" s="51" t="s">
        <v>708</v>
      </c>
      <c r="D4159" t="s">
        <v>740</v>
      </c>
      <c r="E4159" s="2">
        <v>6.9610000000000003</v>
      </c>
    </row>
    <row r="4160" spans="1:5" x14ac:dyDescent="0.25">
      <c r="A4160" s="32" t="s">
        <v>767</v>
      </c>
      <c r="B4160" s="7">
        <v>2006</v>
      </c>
      <c r="C4160" s="51" t="s">
        <v>699</v>
      </c>
      <c r="D4160" t="s">
        <v>740</v>
      </c>
      <c r="E4160" s="2">
        <v>7.99</v>
      </c>
    </row>
    <row r="4161" spans="1:5" x14ac:dyDescent="0.25">
      <c r="A4161" s="32" t="s">
        <v>767</v>
      </c>
      <c r="B4161" s="7">
        <v>2006</v>
      </c>
      <c r="C4161" s="51" t="s">
        <v>709</v>
      </c>
      <c r="D4161" t="s">
        <v>740</v>
      </c>
      <c r="E4161" s="2">
        <v>8.532</v>
      </c>
    </row>
    <row r="4162" spans="1:5" x14ac:dyDescent="0.25">
      <c r="A4162" s="32" t="s">
        <v>767</v>
      </c>
      <c r="B4162" s="7">
        <v>2006</v>
      </c>
      <c r="C4162" s="51" t="s">
        <v>712</v>
      </c>
      <c r="D4162" t="s">
        <v>740</v>
      </c>
      <c r="E4162" s="2">
        <v>10.176</v>
      </c>
    </row>
    <row r="4163" spans="1:5" x14ac:dyDescent="0.25">
      <c r="A4163" s="32" t="s">
        <v>767</v>
      </c>
      <c r="B4163" s="7">
        <v>2006</v>
      </c>
      <c r="C4163" s="51" t="s">
        <v>710</v>
      </c>
      <c r="D4163" t="s">
        <v>740</v>
      </c>
      <c r="E4163" s="2">
        <v>9.3030000000000008</v>
      </c>
    </row>
    <row r="4164" spans="1:5" x14ac:dyDescent="0.25">
      <c r="A4164" s="32" t="s">
        <v>767</v>
      </c>
      <c r="B4164" s="7">
        <v>2006</v>
      </c>
      <c r="C4164" s="51" t="s">
        <v>702</v>
      </c>
      <c r="D4164" t="s">
        <v>740</v>
      </c>
      <c r="E4164" s="2">
        <v>9.5109999999999992</v>
      </c>
    </row>
    <row r="4165" spans="1:5" x14ac:dyDescent="0.25">
      <c r="A4165" s="32" t="s">
        <v>767</v>
      </c>
      <c r="B4165" s="7">
        <v>2006</v>
      </c>
      <c r="C4165" s="51" t="s">
        <v>703</v>
      </c>
      <c r="D4165" t="s">
        <v>740</v>
      </c>
      <c r="E4165" s="2">
        <v>9.4380000000000006</v>
      </c>
    </row>
    <row r="4166" spans="1:5" x14ac:dyDescent="0.25">
      <c r="A4166" s="32" t="s">
        <v>767</v>
      </c>
      <c r="B4166" s="7">
        <v>2006</v>
      </c>
      <c r="C4166" s="51" t="s">
        <v>704</v>
      </c>
      <c r="D4166" t="s">
        <v>740</v>
      </c>
      <c r="E4166" s="2">
        <v>9.1709999999999994</v>
      </c>
    </row>
    <row r="4167" spans="1:5" x14ac:dyDescent="0.25">
      <c r="A4167" s="32" t="s">
        <v>767</v>
      </c>
      <c r="B4167" s="7">
        <v>2006</v>
      </c>
      <c r="C4167" s="51" t="s">
        <v>705</v>
      </c>
      <c r="D4167" t="s">
        <v>740</v>
      </c>
      <c r="E4167" s="2">
        <v>8.8160000000000007</v>
      </c>
    </row>
    <row r="4168" spans="1:5" x14ac:dyDescent="0.25">
      <c r="A4168" s="32" t="s">
        <v>767</v>
      </c>
      <c r="B4168" s="7">
        <v>2006</v>
      </c>
      <c r="C4168" s="51" t="s">
        <v>706</v>
      </c>
      <c r="D4168" t="s">
        <v>740</v>
      </c>
      <c r="E4168" s="2">
        <v>7.6689999999999996</v>
      </c>
    </row>
    <row r="4169" spans="1:5" x14ac:dyDescent="0.25">
      <c r="A4169" s="32" t="s">
        <v>767</v>
      </c>
      <c r="B4169" s="7">
        <v>2007</v>
      </c>
      <c r="C4169" s="51" t="s">
        <v>713</v>
      </c>
      <c r="D4169" t="s">
        <v>740</v>
      </c>
      <c r="E4169" s="2">
        <v>7.6909999999999998</v>
      </c>
    </row>
    <row r="4170" spans="1:5" x14ac:dyDescent="0.25">
      <c r="A4170" s="32" t="s">
        <v>767</v>
      </c>
      <c r="B4170" s="7">
        <v>2007</v>
      </c>
      <c r="C4170" s="51" t="s">
        <v>707</v>
      </c>
      <c r="D4170" t="s">
        <v>740</v>
      </c>
      <c r="E4170" s="2">
        <v>6.3659999999999997</v>
      </c>
    </row>
    <row r="4171" spans="1:5" x14ac:dyDescent="0.25">
      <c r="A4171" s="32" t="s">
        <v>767</v>
      </c>
      <c r="B4171" s="7">
        <v>2007</v>
      </c>
      <c r="C4171" s="51" t="s">
        <v>708</v>
      </c>
      <c r="D4171" t="s">
        <v>740</v>
      </c>
      <c r="E4171" s="2">
        <v>8.4789999999999992</v>
      </c>
    </row>
    <row r="4172" spans="1:5" x14ac:dyDescent="0.25">
      <c r="A4172" s="32" t="s">
        <v>767</v>
      </c>
      <c r="B4172" s="7">
        <v>2007</v>
      </c>
      <c r="C4172" s="51" t="s">
        <v>699</v>
      </c>
      <c r="D4172" t="s">
        <v>740</v>
      </c>
      <c r="E4172" s="2">
        <v>8.2260000000000009</v>
      </c>
    </row>
    <row r="4173" spans="1:5" x14ac:dyDescent="0.25">
      <c r="A4173" s="32" t="s">
        <v>767</v>
      </c>
      <c r="B4173" s="7">
        <v>2007</v>
      </c>
      <c r="C4173" s="51" t="s">
        <v>709</v>
      </c>
      <c r="D4173" t="s">
        <v>740</v>
      </c>
      <c r="E4173" s="2">
        <v>8.5980000000000008</v>
      </c>
    </row>
    <row r="4174" spans="1:5" x14ac:dyDescent="0.25">
      <c r="A4174" s="32" t="s">
        <v>767</v>
      </c>
      <c r="B4174" s="7">
        <v>2007</v>
      </c>
      <c r="C4174" s="51" t="s">
        <v>712</v>
      </c>
      <c r="D4174" t="s">
        <v>740</v>
      </c>
      <c r="E4174" s="2">
        <v>9.2520000000000007</v>
      </c>
    </row>
    <row r="4175" spans="1:5" x14ac:dyDescent="0.25">
      <c r="A4175" s="32" t="s">
        <v>767</v>
      </c>
      <c r="B4175" s="7">
        <v>2007</v>
      </c>
      <c r="C4175" s="51" t="s">
        <v>710</v>
      </c>
      <c r="D4175" t="s">
        <v>740</v>
      </c>
      <c r="E4175" s="2">
        <v>8.6</v>
      </c>
    </row>
    <row r="4176" spans="1:5" x14ac:dyDescent="0.25">
      <c r="A4176" s="32" t="s">
        <v>767</v>
      </c>
      <c r="B4176" s="7">
        <v>2007</v>
      </c>
      <c r="C4176" s="51" t="s">
        <v>702</v>
      </c>
      <c r="D4176" t="s">
        <v>740</v>
      </c>
      <c r="E4176" s="2">
        <v>7.8639999999999999</v>
      </c>
    </row>
    <row r="4177" spans="1:5" x14ac:dyDescent="0.25">
      <c r="A4177" s="32" t="s">
        <v>767</v>
      </c>
      <c r="B4177" s="7">
        <v>2007</v>
      </c>
      <c r="C4177" s="51" t="s">
        <v>703</v>
      </c>
      <c r="D4177" t="s">
        <v>740</v>
      </c>
      <c r="E4177" s="2">
        <v>6.2670000000000003</v>
      </c>
    </row>
    <row r="4178" spans="1:5" x14ac:dyDescent="0.25">
      <c r="A4178" s="32" t="s">
        <v>767</v>
      </c>
      <c r="B4178" s="7">
        <v>2007</v>
      </c>
      <c r="C4178" s="51" t="s">
        <v>704</v>
      </c>
      <c r="D4178" t="s">
        <v>740</v>
      </c>
      <c r="E4178" s="2">
        <v>6.0709999999999997</v>
      </c>
    </row>
    <row r="4179" spans="1:5" x14ac:dyDescent="0.25">
      <c r="A4179" s="32" t="s">
        <v>767</v>
      </c>
      <c r="B4179" s="7">
        <v>2007</v>
      </c>
      <c r="C4179" s="51" t="s">
        <v>705</v>
      </c>
      <c r="D4179" t="s">
        <v>740</v>
      </c>
      <c r="E4179" s="2">
        <v>6.5</v>
      </c>
    </row>
    <row r="4180" spans="1:5" x14ac:dyDescent="0.25">
      <c r="A4180" s="32" t="s">
        <v>767</v>
      </c>
      <c r="B4180" s="7">
        <v>2007</v>
      </c>
      <c r="C4180" s="51" t="s">
        <v>706</v>
      </c>
      <c r="D4180" t="s">
        <v>740</v>
      </c>
      <c r="E4180" s="2">
        <v>7.2679999999999998</v>
      </c>
    </row>
    <row r="4181" spans="1:5" x14ac:dyDescent="0.25">
      <c r="A4181" s="32" t="s">
        <v>767</v>
      </c>
      <c r="B4181" s="7">
        <v>2008</v>
      </c>
      <c r="C4181" s="51" t="s">
        <v>713</v>
      </c>
      <c r="D4181" t="s">
        <v>740</v>
      </c>
      <c r="E4181" s="2">
        <v>6.6230000000000002</v>
      </c>
    </row>
    <row r="4182" spans="1:5" x14ac:dyDescent="0.25">
      <c r="A4182" s="32" t="s">
        <v>767</v>
      </c>
      <c r="B4182" s="7">
        <v>2008</v>
      </c>
      <c r="C4182" s="51" t="s">
        <v>707</v>
      </c>
      <c r="D4182" t="s">
        <v>740</v>
      </c>
      <c r="E4182" s="2">
        <v>8.5180000000000007</v>
      </c>
    </row>
    <row r="4183" spans="1:5" x14ac:dyDescent="0.25">
      <c r="A4183" s="32" t="s">
        <v>767</v>
      </c>
      <c r="B4183" s="7">
        <v>2008</v>
      </c>
      <c r="C4183" s="51" t="s">
        <v>708</v>
      </c>
      <c r="D4183" t="s">
        <v>740</v>
      </c>
      <c r="E4183" s="2">
        <v>7.5750000000000002</v>
      </c>
    </row>
    <row r="4184" spans="1:5" x14ac:dyDescent="0.25">
      <c r="A4184" s="32" t="s">
        <v>767</v>
      </c>
      <c r="B4184" s="7">
        <v>2008</v>
      </c>
      <c r="C4184" s="51" t="s">
        <v>699</v>
      </c>
      <c r="D4184" t="s">
        <v>740</v>
      </c>
      <c r="E4184" s="2">
        <v>8.4640000000000004</v>
      </c>
    </row>
    <row r="4185" spans="1:5" x14ac:dyDescent="0.25">
      <c r="A4185" s="32" t="s">
        <v>767</v>
      </c>
      <c r="B4185" s="7">
        <v>2008</v>
      </c>
      <c r="C4185" s="51" t="s">
        <v>709</v>
      </c>
      <c r="D4185" t="s">
        <v>740</v>
      </c>
      <c r="E4185" s="2">
        <v>10.119999999999999</v>
      </c>
    </row>
    <row r="4186" spans="1:5" x14ac:dyDescent="0.25">
      <c r="A4186" s="32" t="s">
        <v>767</v>
      </c>
      <c r="B4186" s="7">
        <v>2008</v>
      </c>
      <c r="C4186" s="51" t="s">
        <v>712</v>
      </c>
      <c r="D4186" t="s">
        <v>740</v>
      </c>
      <c r="E4186" s="2">
        <v>8.3179999999999996</v>
      </c>
    </row>
    <row r="4187" spans="1:5" x14ac:dyDescent="0.25">
      <c r="A4187" s="32" t="s">
        <v>767</v>
      </c>
      <c r="B4187" s="7">
        <v>2008</v>
      </c>
      <c r="C4187" s="51" t="s">
        <v>710</v>
      </c>
      <c r="D4187" t="s">
        <v>740</v>
      </c>
      <c r="E4187" s="2">
        <v>7.9450000000000003</v>
      </c>
    </row>
    <row r="4188" spans="1:5" x14ac:dyDescent="0.25">
      <c r="A4188" s="32" t="s">
        <v>767</v>
      </c>
      <c r="B4188" s="7">
        <v>2008</v>
      </c>
      <c r="C4188" s="51" t="s">
        <v>702</v>
      </c>
      <c r="D4188" t="s">
        <v>740</v>
      </c>
      <c r="E4188" s="2">
        <v>7.851</v>
      </c>
    </row>
    <row r="4189" spans="1:5" x14ac:dyDescent="0.25">
      <c r="A4189" s="32" t="s">
        <v>767</v>
      </c>
      <c r="B4189" s="7">
        <v>2008</v>
      </c>
      <c r="C4189" s="51" t="s">
        <v>703</v>
      </c>
      <c r="D4189" t="s">
        <v>740</v>
      </c>
      <c r="E4189" s="2">
        <v>6.9530000000000003</v>
      </c>
    </row>
    <row r="4190" spans="1:5" x14ac:dyDescent="0.25">
      <c r="A4190" s="32" t="s">
        <v>767</v>
      </c>
      <c r="B4190" s="7">
        <v>2008</v>
      </c>
      <c r="C4190" s="51" t="s">
        <v>704</v>
      </c>
      <c r="D4190" t="s">
        <v>740</v>
      </c>
      <c r="E4190" s="2">
        <v>6.8250000000000002</v>
      </c>
    </row>
    <row r="4191" spans="1:5" x14ac:dyDescent="0.25">
      <c r="A4191" s="32" t="s">
        <v>767</v>
      </c>
      <c r="B4191" s="7">
        <v>2008</v>
      </c>
      <c r="C4191" s="51" t="s">
        <v>705</v>
      </c>
      <c r="D4191" t="s">
        <v>740</v>
      </c>
      <c r="E4191" s="2">
        <v>5.758</v>
      </c>
    </row>
    <row r="4192" spans="1:5" x14ac:dyDescent="0.25">
      <c r="A4192" s="32" t="s">
        <v>767</v>
      </c>
      <c r="B4192" s="7">
        <v>2008</v>
      </c>
      <c r="C4192" s="51" t="s">
        <v>706</v>
      </c>
      <c r="D4192" t="s">
        <v>740</v>
      </c>
      <c r="E4192" s="2">
        <v>6.51</v>
      </c>
    </row>
    <row r="4193" spans="1:5" x14ac:dyDescent="0.25">
      <c r="A4193" s="32" t="s">
        <v>767</v>
      </c>
      <c r="B4193" s="7">
        <v>2009</v>
      </c>
      <c r="C4193" s="51" t="s">
        <v>713</v>
      </c>
      <c r="D4193" t="s">
        <v>740</v>
      </c>
      <c r="E4193" s="2">
        <v>8.0660000000000007</v>
      </c>
    </row>
    <row r="4194" spans="1:5" x14ac:dyDescent="0.25">
      <c r="A4194" s="32" t="s">
        <v>767</v>
      </c>
      <c r="B4194" s="7">
        <v>2009</v>
      </c>
      <c r="C4194" s="51" t="s">
        <v>707</v>
      </c>
      <c r="D4194" t="s">
        <v>740</v>
      </c>
      <c r="E4194" s="2">
        <v>6.9930000000000003</v>
      </c>
    </row>
    <row r="4195" spans="1:5" x14ac:dyDescent="0.25">
      <c r="A4195" s="32" t="s">
        <v>767</v>
      </c>
      <c r="B4195" s="7">
        <v>2009</v>
      </c>
      <c r="C4195" s="51" t="s">
        <v>708</v>
      </c>
      <c r="D4195" t="s">
        <v>740</v>
      </c>
      <c r="E4195" s="2">
        <v>8.5229999999999997</v>
      </c>
    </row>
    <row r="4196" spans="1:5" x14ac:dyDescent="0.25">
      <c r="A4196" s="32" t="s">
        <v>767</v>
      </c>
      <c r="B4196" s="7">
        <v>2009</v>
      </c>
      <c r="C4196" s="51" t="s">
        <v>699</v>
      </c>
      <c r="D4196" t="s">
        <v>740</v>
      </c>
      <c r="E4196" s="2">
        <v>8.0690000000000008</v>
      </c>
    </row>
    <row r="4197" spans="1:5" x14ac:dyDescent="0.25">
      <c r="A4197" s="32" t="s">
        <v>767</v>
      </c>
      <c r="B4197" s="7">
        <v>2009</v>
      </c>
      <c r="C4197" s="51" t="s">
        <v>709</v>
      </c>
      <c r="D4197" t="s">
        <v>740</v>
      </c>
      <c r="E4197" s="2">
        <v>11.869</v>
      </c>
    </row>
    <row r="4198" spans="1:5" x14ac:dyDescent="0.25">
      <c r="A4198" s="32" t="s">
        <v>767</v>
      </c>
      <c r="B4198" s="7">
        <v>2009</v>
      </c>
      <c r="C4198" s="51" t="s">
        <v>712</v>
      </c>
      <c r="D4198" t="s">
        <v>740</v>
      </c>
      <c r="E4198" s="2">
        <v>11.743</v>
      </c>
    </row>
    <row r="4199" spans="1:5" x14ac:dyDescent="0.25">
      <c r="A4199" s="32" t="s">
        <v>767</v>
      </c>
      <c r="B4199" s="7">
        <v>2009</v>
      </c>
      <c r="C4199" s="51" t="s">
        <v>710</v>
      </c>
      <c r="D4199" t="s">
        <v>740</v>
      </c>
      <c r="E4199" s="2">
        <v>9.98</v>
      </c>
    </row>
    <row r="4200" spans="1:5" x14ac:dyDescent="0.25">
      <c r="A4200" s="32" t="s">
        <v>767</v>
      </c>
      <c r="B4200" s="7">
        <v>2009</v>
      </c>
      <c r="C4200" s="51" t="s">
        <v>702</v>
      </c>
      <c r="D4200" t="s">
        <v>740</v>
      </c>
      <c r="E4200" s="2">
        <v>8.2889999999999997</v>
      </c>
    </row>
    <row r="4201" spans="1:5" x14ac:dyDescent="0.25">
      <c r="A4201" s="32" t="s">
        <v>767</v>
      </c>
      <c r="B4201" s="7">
        <v>2009</v>
      </c>
      <c r="C4201" s="51" t="s">
        <v>703</v>
      </c>
      <c r="D4201" t="s">
        <v>740</v>
      </c>
      <c r="E4201" s="2">
        <v>7.024</v>
      </c>
    </row>
    <row r="4202" spans="1:5" x14ac:dyDescent="0.25">
      <c r="A4202" s="32" t="s">
        <v>767</v>
      </c>
      <c r="B4202" s="7">
        <v>2009</v>
      </c>
      <c r="C4202" s="51" t="s">
        <v>704</v>
      </c>
      <c r="D4202" t="s">
        <v>740</v>
      </c>
      <c r="E4202" s="2">
        <v>9.3729999999999993</v>
      </c>
    </row>
    <row r="4203" spans="1:5" x14ac:dyDescent="0.25">
      <c r="A4203" s="32" t="s">
        <v>767</v>
      </c>
      <c r="B4203" s="7">
        <v>2009</v>
      </c>
      <c r="C4203" s="51" t="s">
        <v>705</v>
      </c>
      <c r="D4203" t="s">
        <v>740</v>
      </c>
      <c r="E4203" s="2">
        <v>7.9169999999999998</v>
      </c>
    </row>
    <row r="4204" spans="1:5" x14ac:dyDescent="0.25">
      <c r="A4204" s="32" t="s">
        <v>767</v>
      </c>
      <c r="B4204" s="7">
        <v>2009</v>
      </c>
      <c r="C4204" s="51" t="s">
        <v>706</v>
      </c>
      <c r="D4204" t="s">
        <v>740</v>
      </c>
      <c r="E4204" s="2">
        <v>10.518000000000001</v>
      </c>
    </row>
    <row r="4205" spans="1:5" x14ac:dyDescent="0.25">
      <c r="A4205" s="32" t="s">
        <v>767</v>
      </c>
      <c r="B4205" s="7">
        <v>2010</v>
      </c>
      <c r="C4205" s="51" t="s">
        <v>713</v>
      </c>
      <c r="D4205" t="s">
        <v>740</v>
      </c>
      <c r="E4205" s="2">
        <v>7.3049999999999997</v>
      </c>
    </row>
    <row r="4206" spans="1:5" x14ac:dyDescent="0.25">
      <c r="A4206" s="32" t="s">
        <v>767</v>
      </c>
      <c r="B4206" s="7">
        <v>2010</v>
      </c>
      <c r="C4206" s="51" t="s">
        <v>707</v>
      </c>
      <c r="D4206" t="s">
        <v>740</v>
      </c>
      <c r="E4206" s="2">
        <v>8.1</v>
      </c>
    </row>
    <row r="4207" spans="1:5" x14ac:dyDescent="0.25">
      <c r="A4207" s="32" t="s">
        <v>767</v>
      </c>
      <c r="B4207" s="7">
        <v>2010</v>
      </c>
      <c r="C4207" s="51" t="s">
        <v>708</v>
      </c>
      <c r="D4207" t="s">
        <v>740</v>
      </c>
      <c r="E4207" s="2">
        <v>9.4280000000000008</v>
      </c>
    </row>
    <row r="4208" spans="1:5" x14ac:dyDescent="0.25">
      <c r="A4208" s="32" t="s">
        <v>767</v>
      </c>
      <c r="B4208" s="7">
        <v>2010</v>
      </c>
      <c r="C4208" s="51" t="s">
        <v>699</v>
      </c>
      <c r="D4208" t="s">
        <v>740</v>
      </c>
      <c r="E4208" s="2">
        <v>8.8759999999999994</v>
      </c>
    </row>
    <row r="4209" spans="1:5" x14ac:dyDescent="0.25">
      <c r="A4209" s="32" t="s">
        <v>767</v>
      </c>
      <c r="B4209" s="7">
        <v>2010</v>
      </c>
      <c r="C4209" s="51" t="s">
        <v>709</v>
      </c>
      <c r="D4209" t="s">
        <v>740</v>
      </c>
      <c r="E4209" s="2">
        <v>7.0049999999999999</v>
      </c>
    </row>
    <row r="4210" spans="1:5" x14ac:dyDescent="0.25">
      <c r="A4210" s="32" t="s">
        <v>767</v>
      </c>
      <c r="B4210" s="7">
        <v>2010</v>
      </c>
      <c r="C4210" s="51" t="s">
        <v>712</v>
      </c>
      <c r="D4210" t="s">
        <v>740</v>
      </c>
      <c r="E4210" s="2">
        <v>6.1879999999999997</v>
      </c>
    </row>
    <row r="4211" spans="1:5" x14ac:dyDescent="0.25">
      <c r="A4211" s="32" t="s">
        <v>767</v>
      </c>
      <c r="B4211" s="7">
        <v>2010</v>
      </c>
      <c r="C4211" s="51" t="s">
        <v>710</v>
      </c>
      <c r="D4211" t="s">
        <v>740</v>
      </c>
      <c r="E4211" s="2">
        <v>6.4790000000000001</v>
      </c>
    </row>
    <row r="4212" spans="1:5" x14ac:dyDescent="0.25">
      <c r="A4212" s="32" t="s">
        <v>767</v>
      </c>
      <c r="B4212" s="7">
        <v>2010</v>
      </c>
      <c r="C4212" s="51" t="s">
        <v>702</v>
      </c>
      <c r="D4212" t="s">
        <v>740</v>
      </c>
      <c r="E4212" s="2">
        <v>7.3979999999999997</v>
      </c>
    </row>
    <row r="4213" spans="1:5" x14ac:dyDescent="0.25">
      <c r="A4213" s="32" t="s">
        <v>767</v>
      </c>
      <c r="B4213" s="7">
        <v>2010</v>
      </c>
      <c r="C4213" s="51" t="s">
        <v>703</v>
      </c>
      <c r="D4213" t="s">
        <v>740</v>
      </c>
      <c r="E4213" s="2">
        <v>7.1050000000000004</v>
      </c>
    </row>
    <row r="4214" spans="1:5" x14ac:dyDescent="0.25">
      <c r="A4214" s="32" t="s">
        <v>767</v>
      </c>
      <c r="B4214" s="7">
        <v>2010</v>
      </c>
      <c r="C4214" s="51" t="s">
        <v>704</v>
      </c>
      <c r="D4214" t="s">
        <v>740</v>
      </c>
      <c r="E4214" s="2">
        <v>7.17</v>
      </c>
    </row>
    <row r="4215" spans="1:5" x14ac:dyDescent="0.25">
      <c r="A4215" s="32" t="s">
        <v>767</v>
      </c>
      <c r="B4215" s="7">
        <v>2010</v>
      </c>
      <c r="C4215" s="51" t="s">
        <v>705</v>
      </c>
      <c r="D4215" t="s">
        <v>740</v>
      </c>
      <c r="E4215" s="2">
        <v>6.7329999999999997</v>
      </c>
    </row>
    <row r="4216" spans="1:5" x14ac:dyDescent="0.25">
      <c r="A4216" s="32" t="s">
        <v>767</v>
      </c>
      <c r="B4216" s="7">
        <v>2010</v>
      </c>
      <c r="C4216" s="51" t="s">
        <v>706</v>
      </c>
      <c r="D4216" t="s">
        <v>740</v>
      </c>
      <c r="E4216" s="2">
        <v>7.1760000000000002</v>
      </c>
    </row>
    <row r="4217" spans="1:5" x14ac:dyDescent="0.25">
      <c r="A4217" s="32" t="s">
        <v>767</v>
      </c>
      <c r="B4217" s="7">
        <v>2011</v>
      </c>
      <c r="C4217" s="51" t="s">
        <v>713</v>
      </c>
      <c r="D4217" t="s">
        <v>740</v>
      </c>
      <c r="E4217" s="2">
        <v>8.5419999999999998</v>
      </c>
    </row>
    <row r="4218" spans="1:5" x14ac:dyDescent="0.25">
      <c r="A4218" s="32" t="s">
        <v>767</v>
      </c>
      <c r="B4218" s="7">
        <v>2011</v>
      </c>
      <c r="C4218" s="51" t="s">
        <v>707</v>
      </c>
      <c r="D4218" t="s">
        <v>740</v>
      </c>
      <c r="E4218" s="2">
        <v>8.6329999999999991</v>
      </c>
    </row>
    <row r="4219" spans="1:5" x14ac:dyDescent="0.25">
      <c r="A4219" s="32" t="s">
        <v>767</v>
      </c>
      <c r="B4219" s="7">
        <v>2011</v>
      </c>
      <c r="C4219" s="51" t="s">
        <v>708</v>
      </c>
      <c r="D4219" t="s">
        <v>740</v>
      </c>
      <c r="E4219" s="2">
        <v>8.3789999999999996</v>
      </c>
    </row>
    <row r="4220" spans="1:5" x14ac:dyDescent="0.25">
      <c r="A4220" s="32" t="s">
        <v>767</v>
      </c>
      <c r="B4220" s="7">
        <v>2011</v>
      </c>
      <c r="C4220" s="51" t="s">
        <v>699</v>
      </c>
      <c r="D4220" t="s">
        <v>740</v>
      </c>
      <c r="E4220" s="2">
        <v>7.4039999999999999</v>
      </c>
    </row>
    <row r="4221" spans="1:5" x14ac:dyDescent="0.25">
      <c r="A4221" s="32" t="s">
        <v>767</v>
      </c>
      <c r="B4221" s="7">
        <v>2011</v>
      </c>
      <c r="C4221" s="51" t="s">
        <v>709</v>
      </c>
      <c r="D4221" t="s">
        <v>740</v>
      </c>
      <c r="E4221" s="2">
        <v>8.9160000000000004</v>
      </c>
    </row>
    <row r="4222" spans="1:5" x14ac:dyDescent="0.25">
      <c r="A4222" s="32" t="s">
        <v>767</v>
      </c>
      <c r="B4222" s="7">
        <v>2011</v>
      </c>
      <c r="C4222" s="51" t="s">
        <v>712</v>
      </c>
      <c r="D4222" t="s">
        <v>740</v>
      </c>
      <c r="E4222" s="2">
        <v>8.1999999999999993</v>
      </c>
    </row>
    <row r="4223" spans="1:5" x14ac:dyDescent="0.25">
      <c r="A4223" s="32" t="s">
        <v>767</v>
      </c>
      <c r="B4223" s="7">
        <v>2011</v>
      </c>
      <c r="C4223" s="51" t="s">
        <v>710</v>
      </c>
      <c r="D4223" t="s">
        <v>740</v>
      </c>
      <c r="E4223" s="2">
        <v>8.1560000000000006</v>
      </c>
    </row>
    <row r="4224" spans="1:5" x14ac:dyDescent="0.25">
      <c r="A4224" s="32" t="s">
        <v>767</v>
      </c>
      <c r="B4224" s="7">
        <v>2011</v>
      </c>
      <c r="C4224" s="51" t="s">
        <v>702</v>
      </c>
      <c r="D4224" t="s">
        <v>740</v>
      </c>
      <c r="E4224" s="2">
        <v>7.5609999999999999</v>
      </c>
    </row>
    <row r="4225" spans="1:5" x14ac:dyDescent="0.25">
      <c r="A4225" s="32" t="s">
        <v>767</v>
      </c>
      <c r="B4225" s="7">
        <v>2011</v>
      </c>
      <c r="C4225" s="51" t="s">
        <v>703</v>
      </c>
      <c r="D4225" t="s">
        <v>740</v>
      </c>
      <c r="E4225" s="2">
        <v>8.4730000000000008</v>
      </c>
    </row>
    <row r="4226" spans="1:5" x14ac:dyDescent="0.25">
      <c r="A4226" s="32" t="s">
        <v>767</v>
      </c>
      <c r="B4226" s="7">
        <v>2011</v>
      </c>
      <c r="C4226" s="51" t="s">
        <v>704</v>
      </c>
      <c r="D4226" t="s">
        <v>740</v>
      </c>
      <c r="E4226" s="2">
        <v>8.0690000000000008</v>
      </c>
    </row>
    <row r="4227" spans="1:5" x14ac:dyDescent="0.25">
      <c r="A4227" s="32" t="s">
        <v>767</v>
      </c>
      <c r="B4227" s="7">
        <v>2011</v>
      </c>
      <c r="C4227" s="51" t="s">
        <v>705</v>
      </c>
      <c r="D4227" t="s">
        <v>740</v>
      </c>
      <c r="E4227" s="2">
        <v>6.2050000000000001</v>
      </c>
    </row>
    <row r="4228" spans="1:5" x14ac:dyDescent="0.25">
      <c r="A4228" s="32" t="s">
        <v>767</v>
      </c>
      <c r="B4228" s="7">
        <v>2011</v>
      </c>
      <c r="C4228" s="51" t="s">
        <v>706</v>
      </c>
      <c r="D4228" t="s">
        <v>740</v>
      </c>
      <c r="E4228" s="2">
        <v>6.7140000000000004</v>
      </c>
    </row>
    <row r="4229" spans="1:5" x14ac:dyDescent="0.25">
      <c r="A4229" s="32" t="s">
        <v>767</v>
      </c>
      <c r="B4229" s="7">
        <v>2012</v>
      </c>
      <c r="C4229" s="51" t="s">
        <v>713</v>
      </c>
      <c r="D4229" t="s">
        <v>740</v>
      </c>
      <c r="E4229" s="2">
        <v>7.5979999999999999</v>
      </c>
    </row>
    <row r="4230" spans="1:5" x14ac:dyDescent="0.25">
      <c r="A4230" s="32" t="s">
        <v>767</v>
      </c>
      <c r="B4230" s="7">
        <v>2012</v>
      </c>
      <c r="C4230" s="51" t="s">
        <v>707</v>
      </c>
      <c r="D4230" t="s">
        <v>740</v>
      </c>
      <c r="E4230" s="2">
        <v>6.4790000000000001</v>
      </c>
    </row>
    <row r="4231" spans="1:5" x14ac:dyDescent="0.25">
      <c r="A4231" s="32" t="s">
        <v>767</v>
      </c>
      <c r="B4231" s="7">
        <v>2012</v>
      </c>
      <c r="C4231" s="51" t="s">
        <v>708</v>
      </c>
      <c r="D4231" t="s">
        <v>740</v>
      </c>
      <c r="E4231" s="2">
        <v>7.4279999999999999</v>
      </c>
    </row>
    <row r="4232" spans="1:5" x14ac:dyDescent="0.25">
      <c r="A4232" s="32" t="s">
        <v>767</v>
      </c>
      <c r="B4232" s="7">
        <v>2012</v>
      </c>
      <c r="C4232" s="51" t="s">
        <v>699</v>
      </c>
      <c r="D4232" t="s">
        <v>740</v>
      </c>
      <c r="E4232" s="2">
        <v>7.8789999999999996</v>
      </c>
    </row>
    <row r="4233" spans="1:5" x14ac:dyDescent="0.25">
      <c r="A4233" s="32" t="s">
        <v>767</v>
      </c>
      <c r="B4233" s="7">
        <v>2012</v>
      </c>
      <c r="C4233" s="51" t="s">
        <v>709</v>
      </c>
      <c r="D4233" t="s">
        <v>740</v>
      </c>
      <c r="E4233" s="2">
        <v>8.6519999999999992</v>
      </c>
    </row>
    <row r="4234" spans="1:5" x14ac:dyDescent="0.25">
      <c r="A4234" s="32" t="s">
        <v>767</v>
      </c>
      <c r="B4234" s="7">
        <v>2012</v>
      </c>
      <c r="C4234" s="51" t="s">
        <v>712</v>
      </c>
      <c r="D4234" t="s">
        <v>740</v>
      </c>
      <c r="E4234" s="2">
        <v>8.0980000000000008</v>
      </c>
    </row>
    <row r="4235" spans="1:5" x14ac:dyDescent="0.25">
      <c r="A4235" s="32" t="s">
        <v>767</v>
      </c>
      <c r="B4235" s="7">
        <v>2012</v>
      </c>
      <c r="C4235" s="51" t="s">
        <v>710</v>
      </c>
      <c r="D4235" t="s">
        <v>740</v>
      </c>
      <c r="E4235" s="2">
        <v>9.1980000000000004</v>
      </c>
    </row>
    <row r="4236" spans="1:5" x14ac:dyDescent="0.25">
      <c r="A4236" s="32" t="s">
        <v>767</v>
      </c>
      <c r="B4236" s="7">
        <v>2012</v>
      </c>
      <c r="C4236" s="51" t="s">
        <v>702</v>
      </c>
      <c r="D4236" t="s">
        <v>740</v>
      </c>
      <c r="E4236" s="2">
        <v>7.133</v>
      </c>
    </row>
    <row r="4237" spans="1:5" x14ac:dyDescent="0.25">
      <c r="A4237" s="32" t="s">
        <v>767</v>
      </c>
      <c r="B4237" s="7">
        <v>2012</v>
      </c>
      <c r="C4237" s="51" t="s">
        <v>703</v>
      </c>
      <c r="D4237" t="s">
        <v>740</v>
      </c>
      <c r="E4237" s="2">
        <v>7.1779999999999999</v>
      </c>
    </row>
    <row r="4238" spans="1:5" x14ac:dyDescent="0.25">
      <c r="A4238" s="32" t="s">
        <v>767</v>
      </c>
      <c r="B4238" s="7">
        <v>2012</v>
      </c>
      <c r="C4238" s="51" t="s">
        <v>704</v>
      </c>
      <c r="D4238" t="s">
        <v>740</v>
      </c>
      <c r="E4238" s="2">
        <v>7.48</v>
      </c>
    </row>
    <row r="4239" spans="1:5" x14ac:dyDescent="0.25">
      <c r="A4239" s="32" t="s">
        <v>767</v>
      </c>
      <c r="B4239" s="7">
        <v>2012</v>
      </c>
      <c r="C4239" s="51" t="s">
        <v>705</v>
      </c>
      <c r="D4239" t="s">
        <v>740</v>
      </c>
      <c r="E4239" s="2">
        <v>4.2869999999999999</v>
      </c>
    </row>
    <row r="4240" spans="1:5" x14ac:dyDescent="0.25">
      <c r="A4240" s="32" t="s">
        <v>767</v>
      </c>
      <c r="B4240" s="7">
        <v>2012</v>
      </c>
      <c r="C4240" s="51" t="s">
        <v>706</v>
      </c>
      <c r="D4240" t="s">
        <v>740</v>
      </c>
      <c r="E4240" s="2">
        <v>4.7</v>
      </c>
    </row>
    <row r="4241" spans="1:5" x14ac:dyDescent="0.25">
      <c r="A4241" s="32" t="s">
        <v>767</v>
      </c>
      <c r="B4241" s="7">
        <v>2013</v>
      </c>
      <c r="C4241" s="51" t="s">
        <v>713</v>
      </c>
      <c r="D4241" t="s">
        <v>740</v>
      </c>
      <c r="E4241" s="2">
        <v>6.1420000000000003</v>
      </c>
    </row>
    <row r="4242" spans="1:5" x14ac:dyDescent="0.25">
      <c r="A4242" s="32" t="s">
        <v>767</v>
      </c>
      <c r="B4242" s="7">
        <v>2013</v>
      </c>
      <c r="C4242" s="51" t="s">
        <v>707</v>
      </c>
      <c r="D4242" t="s">
        <v>740</v>
      </c>
      <c r="E4242" s="2">
        <v>4.8719999999999999</v>
      </c>
    </row>
    <row r="4243" spans="1:5" x14ac:dyDescent="0.25">
      <c r="A4243" s="32" t="s">
        <v>767</v>
      </c>
      <c r="B4243" s="7">
        <v>2013</v>
      </c>
      <c r="C4243" s="51" t="s">
        <v>708</v>
      </c>
      <c r="D4243" t="s">
        <v>740</v>
      </c>
      <c r="E4243" s="2">
        <v>6.39</v>
      </c>
    </row>
    <row r="4244" spans="1:5" x14ac:dyDescent="0.25">
      <c r="A4244" s="32" t="s">
        <v>767</v>
      </c>
      <c r="B4244" s="7">
        <v>2013</v>
      </c>
      <c r="C4244" s="51" t="s">
        <v>699</v>
      </c>
      <c r="D4244" t="s">
        <v>740</v>
      </c>
      <c r="E4244" s="2">
        <v>6.4619999999999997</v>
      </c>
    </row>
    <row r="4245" spans="1:5" x14ac:dyDescent="0.25">
      <c r="A4245" s="32" t="s">
        <v>767</v>
      </c>
      <c r="B4245" s="7">
        <v>2013</v>
      </c>
      <c r="C4245" s="51" t="s">
        <v>709</v>
      </c>
      <c r="D4245" t="s">
        <v>740</v>
      </c>
      <c r="E4245" s="2">
        <v>6.76</v>
      </c>
    </row>
    <row r="4246" spans="1:5" x14ac:dyDescent="0.25">
      <c r="A4246" s="32" t="s">
        <v>767</v>
      </c>
      <c r="B4246" s="7">
        <v>2013</v>
      </c>
      <c r="C4246" s="51" t="s">
        <v>712</v>
      </c>
      <c r="D4246" t="s">
        <v>740</v>
      </c>
      <c r="E4246" s="2">
        <v>6.9260000000000002</v>
      </c>
    </row>
    <row r="4247" spans="1:5" x14ac:dyDescent="0.25">
      <c r="A4247" s="32" t="s">
        <v>767</v>
      </c>
      <c r="B4247" s="7">
        <v>2013</v>
      </c>
      <c r="C4247" s="51" t="s">
        <v>710</v>
      </c>
      <c r="D4247" t="s">
        <v>740</v>
      </c>
      <c r="E4247" s="2">
        <v>6.1680000000000001</v>
      </c>
    </row>
    <row r="4248" spans="1:5" x14ac:dyDescent="0.25">
      <c r="A4248" s="32" t="s">
        <v>767</v>
      </c>
      <c r="B4248" s="7">
        <v>2013</v>
      </c>
      <c r="C4248" s="51" t="s">
        <v>702</v>
      </c>
      <c r="D4248" t="s">
        <v>740</v>
      </c>
      <c r="E4248" s="2">
        <v>5.3079999999999998</v>
      </c>
    </row>
    <row r="4249" spans="1:5" x14ac:dyDescent="0.25">
      <c r="A4249" s="32" t="s">
        <v>767</v>
      </c>
      <c r="B4249" s="7">
        <v>2013</v>
      </c>
      <c r="C4249" s="51" t="s">
        <v>703</v>
      </c>
      <c r="D4249" t="s">
        <v>740</v>
      </c>
      <c r="E4249" s="2">
        <v>5.8540000000000001</v>
      </c>
    </row>
    <row r="4250" spans="1:5" x14ac:dyDescent="0.25">
      <c r="A4250" s="32" t="s">
        <v>767</v>
      </c>
      <c r="B4250" s="7">
        <v>2013</v>
      </c>
      <c r="C4250" s="51" t="s">
        <v>704</v>
      </c>
      <c r="D4250" t="s">
        <v>740</v>
      </c>
      <c r="E4250" s="2">
        <v>6.2629999999999999</v>
      </c>
    </row>
    <row r="4251" spans="1:5" x14ac:dyDescent="0.25">
      <c r="A4251" s="32" t="s">
        <v>767</v>
      </c>
      <c r="B4251" s="7">
        <v>2013</v>
      </c>
      <c r="C4251" s="51" t="s">
        <v>705</v>
      </c>
      <c r="D4251" t="s">
        <v>740</v>
      </c>
      <c r="E4251" s="2">
        <v>6.0869999999999997</v>
      </c>
    </row>
    <row r="4252" spans="1:5" x14ac:dyDescent="0.25">
      <c r="A4252" s="32" t="s">
        <v>767</v>
      </c>
      <c r="B4252" s="7">
        <v>2013</v>
      </c>
      <c r="C4252" s="51" t="s">
        <v>706</v>
      </c>
      <c r="D4252" t="s">
        <v>740</v>
      </c>
      <c r="E4252" s="2">
        <v>7.3949999999999996</v>
      </c>
    </row>
    <row r="4253" spans="1:5" x14ac:dyDescent="0.25">
      <c r="A4253" s="32" t="s">
        <v>767</v>
      </c>
      <c r="B4253" s="7">
        <v>2014</v>
      </c>
      <c r="C4253" s="51" t="s">
        <v>713</v>
      </c>
      <c r="D4253" t="s">
        <v>740</v>
      </c>
      <c r="E4253" s="2">
        <v>6.9459999999999997</v>
      </c>
    </row>
    <row r="4254" spans="1:5" x14ac:dyDescent="0.25">
      <c r="A4254" s="32" t="s">
        <v>767</v>
      </c>
      <c r="B4254" s="7">
        <v>2014</v>
      </c>
      <c r="C4254" s="51" t="s">
        <v>707</v>
      </c>
      <c r="D4254" t="s">
        <v>740</v>
      </c>
      <c r="E4254" s="2">
        <v>6.8630000000000004</v>
      </c>
    </row>
    <row r="4255" spans="1:5" x14ac:dyDescent="0.25">
      <c r="A4255" s="32" t="s">
        <v>767</v>
      </c>
      <c r="B4255" s="7">
        <v>2014</v>
      </c>
      <c r="C4255" s="51" t="s">
        <v>708</v>
      </c>
      <c r="D4255" t="s">
        <v>740</v>
      </c>
      <c r="E4255" s="2">
        <v>7.9660000000000002</v>
      </c>
    </row>
    <row r="4256" spans="1:5" x14ac:dyDescent="0.25">
      <c r="A4256" s="32" t="s">
        <v>767</v>
      </c>
      <c r="B4256" s="7">
        <v>2014</v>
      </c>
      <c r="C4256" s="51" t="s">
        <v>699</v>
      </c>
      <c r="D4256" t="s">
        <v>740</v>
      </c>
      <c r="E4256" s="2">
        <v>7.2679999999999998</v>
      </c>
    </row>
    <row r="4257" spans="1:5" x14ac:dyDescent="0.25">
      <c r="A4257" s="32" t="s">
        <v>767</v>
      </c>
      <c r="B4257" s="7">
        <v>2014</v>
      </c>
      <c r="C4257" s="51" t="s">
        <v>709</v>
      </c>
      <c r="D4257" t="s">
        <v>740</v>
      </c>
      <c r="E4257" s="2">
        <v>10.474</v>
      </c>
    </row>
    <row r="4258" spans="1:5" x14ac:dyDescent="0.25">
      <c r="A4258" s="32" t="s">
        <v>767</v>
      </c>
      <c r="B4258" s="7">
        <v>2014</v>
      </c>
      <c r="C4258" s="51" t="s">
        <v>712</v>
      </c>
      <c r="D4258" t="s">
        <v>740</v>
      </c>
      <c r="E4258" s="2">
        <v>7.29</v>
      </c>
    </row>
    <row r="4259" spans="1:5" x14ac:dyDescent="0.25">
      <c r="A4259" s="32" t="s">
        <v>767</v>
      </c>
      <c r="B4259" s="7">
        <v>2014</v>
      </c>
      <c r="C4259" s="51" t="s">
        <v>710</v>
      </c>
      <c r="D4259" t="s">
        <v>740</v>
      </c>
      <c r="E4259" s="2">
        <v>7.1280000000000001</v>
      </c>
    </row>
    <row r="4260" spans="1:5" x14ac:dyDescent="0.25">
      <c r="A4260" s="32" t="s">
        <v>767</v>
      </c>
      <c r="B4260" s="7">
        <v>2014</v>
      </c>
      <c r="C4260" s="51" t="s">
        <v>702</v>
      </c>
      <c r="D4260" t="s">
        <v>740</v>
      </c>
      <c r="E4260" s="2">
        <v>7.2160000000000002</v>
      </c>
    </row>
    <row r="4261" spans="1:5" x14ac:dyDescent="0.25">
      <c r="A4261" s="32" t="s">
        <v>767</v>
      </c>
      <c r="B4261" s="7">
        <v>2014</v>
      </c>
      <c r="C4261" s="51" t="s">
        <v>703</v>
      </c>
      <c r="D4261" t="s">
        <v>740</v>
      </c>
      <c r="E4261" s="2">
        <v>7.4610000000000003</v>
      </c>
    </row>
    <row r="4262" spans="1:5" x14ac:dyDescent="0.25">
      <c r="A4262" s="32" t="s">
        <v>767</v>
      </c>
      <c r="B4262" s="7">
        <v>2014</v>
      </c>
      <c r="C4262" s="51" t="s">
        <v>704</v>
      </c>
      <c r="D4262" t="s">
        <v>740</v>
      </c>
      <c r="E4262" s="2">
        <v>7.9180000000000001</v>
      </c>
    </row>
    <row r="4263" spans="1:5" x14ac:dyDescent="0.25">
      <c r="A4263" s="32" t="s">
        <v>767</v>
      </c>
      <c r="B4263" s="7">
        <v>2014</v>
      </c>
      <c r="C4263" s="51" t="s">
        <v>705</v>
      </c>
      <c r="D4263" t="s">
        <v>740</v>
      </c>
      <c r="E4263" s="2">
        <v>7.9169999999999998</v>
      </c>
    </row>
    <row r="4264" spans="1:5" x14ac:dyDescent="0.25">
      <c r="A4264" s="32" t="s">
        <v>767</v>
      </c>
      <c r="B4264" s="7">
        <v>2014</v>
      </c>
      <c r="C4264" s="51" t="s">
        <v>706</v>
      </c>
      <c r="D4264" t="s">
        <v>740</v>
      </c>
      <c r="E4264" s="2">
        <v>7.2679999999999998</v>
      </c>
    </row>
    <row r="4265" spans="1:5" x14ac:dyDescent="0.25">
      <c r="A4265" s="32" t="s">
        <v>767</v>
      </c>
      <c r="B4265" s="7">
        <v>2015</v>
      </c>
      <c r="C4265" s="51" t="s">
        <v>713</v>
      </c>
      <c r="D4265" t="s">
        <v>740</v>
      </c>
      <c r="E4265" s="2">
        <v>7.649</v>
      </c>
    </row>
    <row r="4266" spans="1:5" x14ac:dyDescent="0.25">
      <c r="A4266" s="32" t="s">
        <v>767</v>
      </c>
      <c r="B4266" s="7">
        <v>2015</v>
      </c>
      <c r="C4266" s="51" t="s">
        <v>707</v>
      </c>
      <c r="D4266" t="s">
        <v>740</v>
      </c>
      <c r="E4266" s="2">
        <v>6.4080000000000004</v>
      </c>
    </row>
    <row r="4267" spans="1:5" x14ac:dyDescent="0.25">
      <c r="A4267" s="32" t="s">
        <v>767</v>
      </c>
      <c r="B4267" s="7">
        <v>2015</v>
      </c>
      <c r="C4267" s="51" t="s">
        <v>708</v>
      </c>
      <c r="D4267" t="s">
        <v>740</v>
      </c>
      <c r="E4267" s="2">
        <v>8.24</v>
      </c>
    </row>
    <row r="4268" spans="1:5" x14ac:dyDescent="0.25">
      <c r="A4268" s="32" t="s">
        <v>767</v>
      </c>
      <c r="B4268" s="7">
        <v>2015</v>
      </c>
      <c r="C4268" s="51" t="s">
        <v>699</v>
      </c>
      <c r="D4268" t="s">
        <v>740</v>
      </c>
      <c r="E4268" s="2">
        <v>8.7260000000000009</v>
      </c>
    </row>
    <row r="4269" spans="1:5" x14ac:dyDescent="0.25">
      <c r="A4269" s="32" t="s">
        <v>767</v>
      </c>
      <c r="B4269" s="7">
        <v>2015</v>
      </c>
      <c r="C4269" s="51" t="s">
        <v>709</v>
      </c>
      <c r="D4269" t="s">
        <v>740</v>
      </c>
      <c r="E4269" s="2">
        <v>9.2420000000000009</v>
      </c>
    </row>
    <row r="4270" spans="1:5" x14ac:dyDescent="0.25">
      <c r="A4270" s="32" t="s">
        <v>767</v>
      </c>
      <c r="B4270" s="7">
        <v>2015</v>
      </c>
      <c r="C4270" s="51" t="s">
        <v>712</v>
      </c>
      <c r="D4270" t="s">
        <v>740</v>
      </c>
      <c r="E4270" s="2">
        <v>9.7940000000000005</v>
      </c>
    </row>
    <row r="4271" spans="1:5" x14ac:dyDescent="0.25">
      <c r="A4271" s="32" t="s">
        <v>767</v>
      </c>
      <c r="B4271" s="7">
        <v>2015</v>
      </c>
      <c r="C4271" s="51" t="s">
        <v>710</v>
      </c>
      <c r="D4271" t="s">
        <v>740</v>
      </c>
      <c r="E4271" s="2">
        <v>6.8650000000000002</v>
      </c>
    </row>
    <row r="4272" spans="1:5" x14ac:dyDescent="0.25">
      <c r="A4272" s="32" t="s">
        <v>767</v>
      </c>
      <c r="B4272" s="7">
        <v>2015</v>
      </c>
      <c r="C4272" s="51" t="s">
        <v>702</v>
      </c>
      <c r="D4272" t="s">
        <v>740</v>
      </c>
      <c r="E4272" s="2">
        <v>7.0250000000000004</v>
      </c>
    </row>
    <row r="4273" spans="1:5" x14ac:dyDescent="0.25">
      <c r="A4273" s="32" t="s">
        <v>767</v>
      </c>
      <c r="B4273" s="7">
        <v>2015</v>
      </c>
      <c r="C4273" s="51" t="s">
        <v>703</v>
      </c>
      <c r="D4273" t="s">
        <v>740</v>
      </c>
      <c r="E4273" s="2">
        <v>6.508</v>
      </c>
    </row>
    <row r="4274" spans="1:5" x14ac:dyDescent="0.25">
      <c r="A4274" s="32" t="s">
        <v>767</v>
      </c>
      <c r="B4274" s="7">
        <v>2015</v>
      </c>
      <c r="C4274" s="51" t="s">
        <v>704</v>
      </c>
      <c r="D4274" t="s">
        <v>740</v>
      </c>
      <c r="E4274" s="2">
        <v>6.3639999999999999</v>
      </c>
    </row>
    <row r="4275" spans="1:5" x14ac:dyDescent="0.25">
      <c r="A4275" s="32" t="s">
        <v>767</v>
      </c>
      <c r="B4275" s="7">
        <v>2015</v>
      </c>
      <c r="C4275" s="51" t="s">
        <v>705</v>
      </c>
      <c r="D4275" t="s">
        <v>740</v>
      </c>
      <c r="E4275" s="2">
        <v>5.0259999999999998</v>
      </c>
    </row>
    <row r="4276" spans="1:5" x14ac:dyDescent="0.25">
      <c r="A4276" s="32" t="s">
        <v>767</v>
      </c>
      <c r="B4276" s="7">
        <v>2015</v>
      </c>
      <c r="C4276" s="51" t="s">
        <v>706</v>
      </c>
      <c r="D4276" t="s">
        <v>740</v>
      </c>
      <c r="E4276" s="2">
        <v>6.2880000000000003</v>
      </c>
    </row>
    <row r="4277" spans="1:5" x14ac:dyDescent="0.25">
      <c r="A4277" s="32" t="s">
        <v>767</v>
      </c>
      <c r="B4277" s="7">
        <v>2016</v>
      </c>
      <c r="C4277" s="51" t="s">
        <v>713</v>
      </c>
      <c r="D4277" t="s">
        <v>740</v>
      </c>
      <c r="E4277" s="2">
        <v>7.4009999999999998</v>
      </c>
    </row>
    <row r="4278" spans="1:5" x14ac:dyDescent="0.25">
      <c r="A4278" s="32" t="s">
        <v>767</v>
      </c>
      <c r="B4278" s="7">
        <v>2016</v>
      </c>
      <c r="C4278" s="51" t="s">
        <v>707</v>
      </c>
      <c r="D4278" t="s">
        <v>740</v>
      </c>
      <c r="E4278" s="2">
        <v>8.3290000000000006</v>
      </c>
    </row>
    <row r="4279" spans="1:5" x14ac:dyDescent="0.25">
      <c r="A4279" s="32" t="s">
        <v>767</v>
      </c>
      <c r="B4279" s="7">
        <v>2016</v>
      </c>
      <c r="C4279" s="51" t="s">
        <v>708</v>
      </c>
      <c r="D4279" t="s">
        <v>740</v>
      </c>
      <c r="E4279" s="2">
        <v>7.9809999999999999</v>
      </c>
    </row>
    <row r="4280" spans="1:5" x14ac:dyDescent="0.25">
      <c r="A4280" s="32" t="s">
        <v>767</v>
      </c>
      <c r="B4280" s="7">
        <v>2016</v>
      </c>
      <c r="C4280" s="51" t="s">
        <v>699</v>
      </c>
      <c r="D4280" t="s">
        <v>740</v>
      </c>
      <c r="E4280" s="2">
        <v>7.8360000000000003</v>
      </c>
    </row>
    <row r="4281" spans="1:5" x14ac:dyDescent="0.25">
      <c r="A4281" s="32" t="s">
        <v>767</v>
      </c>
      <c r="B4281" s="7">
        <v>2016</v>
      </c>
      <c r="C4281" s="51" t="s">
        <v>709</v>
      </c>
      <c r="D4281" t="s">
        <v>740</v>
      </c>
      <c r="E4281" s="2">
        <v>9.3469999999999995</v>
      </c>
    </row>
    <row r="4282" spans="1:5" x14ac:dyDescent="0.25">
      <c r="A4282" s="32" t="s">
        <v>767</v>
      </c>
      <c r="B4282" s="7">
        <v>2016</v>
      </c>
      <c r="C4282" s="51" t="s">
        <v>712</v>
      </c>
      <c r="D4282" t="s">
        <v>740</v>
      </c>
      <c r="E4282" s="2">
        <v>8.8190000000000008</v>
      </c>
    </row>
    <row r="4283" spans="1:5" x14ac:dyDescent="0.25">
      <c r="A4283" s="32" t="s">
        <v>767</v>
      </c>
      <c r="B4283" s="7">
        <v>2016</v>
      </c>
      <c r="C4283" s="51" t="s">
        <v>710</v>
      </c>
      <c r="D4283" t="s">
        <v>740</v>
      </c>
      <c r="E4283" s="2">
        <v>8.4030000000000005</v>
      </c>
    </row>
    <row r="4284" spans="1:5" x14ac:dyDescent="0.25">
      <c r="A4284" s="32" t="s">
        <v>767</v>
      </c>
      <c r="B4284" s="7">
        <v>2016</v>
      </c>
      <c r="C4284" s="51" t="s">
        <v>702</v>
      </c>
      <c r="D4284" t="s">
        <v>740</v>
      </c>
      <c r="E4284" s="2">
        <v>8.4260000000000002</v>
      </c>
    </row>
    <row r="4285" spans="1:5" x14ac:dyDescent="0.25">
      <c r="A4285" s="32" t="s">
        <v>767</v>
      </c>
      <c r="B4285" s="7">
        <v>2016</v>
      </c>
      <c r="C4285" s="51" t="s">
        <v>703</v>
      </c>
      <c r="D4285" t="s">
        <v>740</v>
      </c>
      <c r="E4285" s="2">
        <v>7.6079999999999997</v>
      </c>
    </row>
    <row r="4286" spans="1:5" x14ac:dyDescent="0.25">
      <c r="A4286" s="32" t="s">
        <v>767</v>
      </c>
      <c r="B4286" s="7">
        <v>2016</v>
      </c>
      <c r="C4286" s="51" t="s">
        <v>704</v>
      </c>
      <c r="D4286" t="s">
        <v>740</v>
      </c>
      <c r="E4286" s="2">
        <v>7.6260000000000003</v>
      </c>
    </row>
    <row r="4287" spans="1:5" x14ac:dyDescent="0.25">
      <c r="A4287" s="32" t="s">
        <v>767</v>
      </c>
      <c r="B4287" s="7">
        <v>2016</v>
      </c>
      <c r="C4287" s="51" t="s">
        <v>705</v>
      </c>
      <c r="D4287" t="s">
        <v>740</v>
      </c>
      <c r="E4287" s="2">
        <v>6.1890000000000001</v>
      </c>
    </row>
    <row r="4288" spans="1:5" x14ac:dyDescent="0.25">
      <c r="A4288" s="32" t="s">
        <v>767</v>
      </c>
      <c r="B4288" s="7">
        <v>2016</v>
      </c>
      <c r="C4288" s="51" t="s">
        <v>706</v>
      </c>
      <c r="D4288" t="s">
        <v>740</v>
      </c>
      <c r="E4288" s="2">
        <v>8.8339999999999996</v>
      </c>
    </row>
    <row r="4289" spans="1:5" x14ac:dyDescent="0.25">
      <c r="A4289" s="32" t="s">
        <v>767</v>
      </c>
      <c r="B4289" s="7">
        <v>2017</v>
      </c>
      <c r="C4289" s="51" t="s">
        <v>713</v>
      </c>
      <c r="D4289" t="s">
        <v>740</v>
      </c>
      <c r="E4289" s="2">
        <v>8.4550000000000001</v>
      </c>
    </row>
    <row r="4290" spans="1:5" x14ac:dyDescent="0.25">
      <c r="A4290" s="32" t="s">
        <v>767</v>
      </c>
      <c r="B4290" s="7">
        <v>2017</v>
      </c>
      <c r="C4290" s="51" t="s">
        <v>707</v>
      </c>
      <c r="D4290" t="s">
        <v>740</v>
      </c>
      <c r="E4290" s="2">
        <v>7.6210000000000004</v>
      </c>
    </row>
    <row r="4291" spans="1:5" x14ac:dyDescent="0.25">
      <c r="A4291" s="32" t="s">
        <v>767</v>
      </c>
      <c r="B4291" s="7">
        <v>2017</v>
      </c>
      <c r="C4291" s="51" t="s">
        <v>708</v>
      </c>
      <c r="D4291" t="s">
        <v>740</v>
      </c>
      <c r="E4291" s="2">
        <v>8.2829999999999995</v>
      </c>
    </row>
    <row r="4292" spans="1:5" x14ac:dyDescent="0.25">
      <c r="A4292" s="32" t="s">
        <v>767</v>
      </c>
      <c r="B4292" s="7">
        <v>2017</v>
      </c>
      <c r="C4292" s="51" t="s">
        <v>699</v>
      </c>
      <c r="D4292" t="s">
        <v>740</v>
      </c>
      <c r="E4292" s="2">
        <v>7.6479999999999997</v>
      </c>
    </row>
    <row r="4293" spans="1:5" x14ac:dyDescent="0.25">
      <c r="A4293" s="32" t="s">
        <v>767</v>
      </c>
      <c r="B4293" s="7">
        <v>2017</v>
      </c>
      <c r="C4293" s="51" t="s">
        <v>709</v>
      </c>
      <c r="D4293" t="s">
        <v>740</v>
      </c>
      <c r="E4293" s="2">
        <v>7.9260000000000002</v>
      </c>
    </row>
    <row r="4294" spans="1:5" x14ac:dyDescent="0.25">
      <c r="A4294" s="32" t="s">
        <v>767</v>
      </c>
      <c r="B4294" s="7">
        <v>2017</v>
      </c>
      <c r="C4294" s="51" t="s">
        <v>712</v>
      </c>
      <c r="D4294" t="s">
        <v>740</v>
      </c>
      <c r="E4294" s="2">
        <v>7.6449999999999996</v>
      </c>
    </row>
    <row r="4295" spans="1:5" x14ac:dyDescent="0.25">
      <c r="A4295" s="32" t="s">
        <v>767</v>
      </c>
      <c r="B4295" s="7">
        <v>2017</v>
      </c>
      <c r="C4295" s="51" t="s">
        <v>710</v>
      </c>
      <c r="D4295" t="s">
        <v>740</v>
      </c>
      <c r="E4295" s="2">
        <v>8.8859999999999992</v>
      </c>
    </row>
    <row r="4296" spans="1:5" x14ac:dyDescent="0.25">
      <c r="A4296" s="32" t="s">
        <v>767</v>
      </c>
      <c r="B4296" s="7">
        <v>2017</v>
      </c>
      <c r="C4296" s="51" t="s">
        <v>702</v>
      </c>
      <c r="D4296" t="s">
        <v>740</v>
      </c>
      <c r="E4296" s="2">
        <v>8.5790000000000006</v>
      </c>
    </row>
    <row r="4297" spans="1:5" x14ac:dyDescent="0.25">
      <c r="A4297" s="32" t="s">
        <v>767</v>
      </c>
      <c r="B4297" s="7">
        <v>2017</v>
      </c>
      <c r="C4297" s="51" t="s">
        <v>703</v>
      </c>
      <c r="D4297" t="s">
        <v>740</v>
      </c>
      <c r="E4297" s="2">
        <v>7.9359999999999999</v>
      </c>
    </row>
    <row r="4298" spans="1:5" x14ac:dyDescent="0.25">
      <c r="A4298" s="32" t="s">
        <v>767</v>
      </c>
      <c r="B4298" s="7">
        <v>2017</v>
      </c>
      <c r="C4298" s="51" t="s">
        <v>704</v>
      </c>
      <c r="D4298" t="s">
        <v>740</v>
      </c>
      <c r="E4298" s="2">
        <v>8.8059999999999992</v>
      </c>
    </row>
    <row r="4299" spans="1:5" x14ac:dyDescent="0.25">
      <c r="A4299" s="32" t="s">
        <v>767</v>
      </c>
      <c r="B4299" s="7">
        <v>2017</v>
      </c>
      <c r="C4299" s="51" t="s">
        <v>705</v>
      </c>
      <c r="D4299" t="s">
        <v>740</v>
      </c>
      <c r="E4299" s="2">
        <v>8.077</v>
      </c>
    </row>
    <row r="4300" spans="1:5" x14ac:dyDescent="0.25">
      <c r="A4300" s="32" t="s">
        <v>767</v>
      </c>
      <c r="B4300" s="7">
        <v>2017</v>
      </c>
      <c r="C4300" s="51" t="s">
        <v>706</v>
      </c>
      <c r="D4300" t="s">
        <v>740</v>
      </c>
      <c r="E4300" s="2">
        <v>8.5449999999999999</v>
      </c>
    </row>
    <row r="4301" spans="1:5" x14ac:dyDescent="0.25">
      <c r="A4301" s="32" t="s">
        <v>767</v>
      </c>
      <c r="B4301" s="7">
        <v>2018</v>
      </c>
      <c r="C4301" s="51" t="s">
        <v>713</v>
      </c>
      <c r="D4301" t="s">
        <v>740</v>
      </c>
      <c r="E4301" s="2">
        <v>6.8789999999999996</v>
      </c>
    </row>
    <row r="4302" spans="1:5" x14ac:dyDescent="0.25">
      <c r="A4302" s="32" t="s">
        <v>767</v>
      </c>
      <c r="B4302" s="7">
        <v>2018</v>
      </c>
      <c r="C4302" s="51" t="s">
        <v>707</v>
      </c>
      <c r="D4302" t="s">
        <v>740</v>
      </c>
      <c r="E4302" s="2">
        <v>7.3470000000000004</v>
      </c>
    </row>
    <row r="4303" spans="1:5" x14ac:dyDescent="0.25">
      <c r="A4303" s="32" t="s">
        <v>767</v>
      </c>
      <c r="B4303" s="7">
        <v>2018</v>
      </c>
      <c r="C4303" s="51" t="s">
        <v>708</v>
      </c>
      <c r="D4303" t="s">
        <v>740</v>
      </c>
      <c r="E4303" s="2">
        <v>7.641</v>
      </c>
    </row>
    <row r="4304" spans="1:5" x14ac:dyDescent="0.25">
      <c r="A4304" s="32" t="s">
        <v>767</v>
      </c>
      <c r="B4304" s="7">
        <v>2018</v>
      </c>
      <c r="C4304" s="51" t="s">
        <v>699</v>
      </c>
      <c r="D4304" t="s">
        <v>740</v>
      </c>
      <c r="E4304" s="2">
        <v>7.4080000000000004</v>
      </c>
    </row>
    <row r="4305" spans="1:5" x14ac:dyDescent="0.25">
      <c r="A4305" s="32" t="s">
        <v>767</v>
      </c>
      <c r="B4305" s="7">
        <v>2018</v>
      </c>
      <c r="C4305" s="51" t="s">
        <v>709</v>
      </c>
      <c r="D4305" t="s">
        <v>740</v>
      </c>
      <c r="E4305" s="2">
        <v>8.9879999999999995</v>
      </c>
    </row>
    <row r="4306" spans="1:5" x14ac:dyDescent="0.25">
      <c r="A4306" s="32" t="s">
        <v>767</v>
      </c>
      <c r="B4306" s="7">
        <v>2018</v>
      </c>
      <c r="C4306" s="51" t="s">
        <v>712</v>
      </c>
      <c r="D4306" t="s">
        <v>740</v>
      </c>
      <c r="E4306" s="2">
        <v>6.9260000000000002</v>
      </c>
    </row>
    <row r="4307" spans="1:5" x14ac:dyDescent="0.25">
      <c r="A4307" s="32" t="s">
        <v>767</v>
      </c>
      <c r="B4307" s="7">
        <v>2018</v>
      </c>
      <c r="C4307" s="51" t="s">
        <v>710</v>
      </c>
      <c r="D4307" t="s">
        <v>740</v>
      </c>
      <c r="E4307" s="2">
        <v>9.08</v>
      </c>
    </row>
    <row r="4308" spans="1:5" x14ac:dyDescent="0.25">
      <c r="A4308" s="32" t="s">
        <v>767</v>
      </c>
      <c r="B4308" s="7">
        <v>2018</v>
      </c>
      <c r="C4308" s="51" t="s">
        <v>702</v>
      </c>
      <c r="D4308" t="s">
        <v>740</v>
      </c>
      <c r="E4308" s="2">
        <v>8.5779999999999994</v>
      </c>
    </row>
    <row r="4309" spans="1:5" x14ac:dyDescent="0.25">
      <c r="A4309" s="32" t="s">
        <v>767</v>
      </c>
      <c r="B4309" s="7">
        <v>2018</v>
      </c>
      <c r="C4309" s="51" t="s">
        <v>703</v>
      </c>
      <c r="D4309" t="s">
        <v>740</v>
      </c>
      <c r="E4309" s="2">
        <v>8.5839999999999996</v>
      </c>
    </row>
    <row r="4310" spans="1:5" x14ac:dyDescent="0.25">
      <c r="A4310" s="32" t="s">
        <v>767</v>
      </c>
      <c r="B4310" s="7">
        <v>2018</v>
      </c>
      <c r="C4310" s="51" t="s">
        <v>704</v>
      </c>
      <c r="D4310" t="s">
        <v>740</v>
      </c>
      <c r="E4310" s="2">
        <v>7.59</v>
      </c>
    </row>
    <row r="4311" spans="1:5" x14ac:dyDescent="0.25">
      <c r="A4311" s="32" t="s">
        <v>767</v>
      </c>
      <c r="B4311" s="7">
        <v>2018</v>
      </c>
      <c r="C4311" s="51" t="s">
        <v>705</v>
      </c>
      <c r="D4311" t="s">
        <v>740</v>
      </c>
      <c r="E4311" s="2">
        <v>8.4390000000000001</v>
      </c>
    </row>
    <row r="4312" spans="1:5" x14ac:dyDescent="0.25">
      <c r="A4312" s="32" t="s">
        <v>767</v>
      </c>
      <c r="B4312" s="7">
        <v>2018</v>
      </c>
      <c r="C4312" s="51" t="s">
        <v>706</v>
      </c>
      <c r="D4312" t="s">
        <v>740</v>
      </c>
      <c r="E4312" s="2">
        <v>8.8149999999999995</v>
      </c>
    </row>
    <row r="4313" spans="1:5" x14ac:dyDescent="0.25">
      <c r="A4313" s="32" t="s">
        <v>767</v>
      </c>
      <c r="B4313" s="7">
        <v>2019</v>
      </c>
      <c r="C4313" s="51" t="s">
        <v>713</v>
      </c>
      <c r="D4313" t="s">
        <v>740</v>
      </c>
      <c r="E4313" s="2">
        <v>7.665</v>
      </c>
    </row>
    <row r="4314" spans="1:5" x14ac:dyDescent="0.25">
      <c r="A4314" s="32" t="s">
        <v>767</v>
      </c>
      <c r="B4314" s="7">
        <v>2019</v>
      </c>
      <c r="C4314" s="51" t="s">
        <v>707</v>
      </c>
      <c r="D4314" t="s">
        <v>740</v>
      </c>
      <c r="E4314" s="2">
        <v>7.101</v>
      </c>
    </row>
    <row r="4315" spans="1:5" x14ac:dyDescent="0.25">
      <c r="A4315" s="32" t="s">
        <v>767</v>
      </c>
      <c r="B4315" s="7">
        <v>2019</v>
      </c>
      <c r="C4315" s="51" t="s">
        <v>708</v>
      </c>
      <c r="D4315" t="s">
        <v>740</v>
      </c>
      <c r="E4315" s="2">
        <v>8.0289999999999999</v>
      </c>
    </row>
    <row r="4316" spans="1:5" x14ac:dyDescent="0.25">
      <c r="A4316" s="32" t="s">
        <v>767</v>
      </c>
      <c r="B4316" s="7">
        <v>2019</v>
      </c>
      <c r="C4316" s="51" t="s">
        <v>699</v>
      </c>
      <c r="D4316" t="s">
        <v>740</v>
      </c>
      <c r="E4316" s="2">
        <v>6.8769999999999998</v>
      </c>
    </row>
    <row r="4317" spans="1:5" x14ac:dyDescent="0.25">
      <c r="A4317" s="32" t="s">
        <v>767</v>
      </c>
      <c r="B4317" s="7">
        <v>2019</v>
      </c>
      <c r="C4317" s="51" t="s">
        <v>709</v>
      </c>
      <c r="D4317" t="s">
        <v>740</v>
      </c>
      <c r="E4317" s="2">
        <v>7.8209999999999997</v>
      </c>
    </row>
    <row r="4318" spans="1:5" x14ac:dyDescent="0.25">
      <c r="A4318" s="32" t="s">
        <v>767</v>
      </c>
      <c r="B4318" s="7">
        <v>2019</v>
      </c>
      <c r="C4318" s="51" t="s">
        <v>712</v>
      </c>
      <c r="D4318" t="s">
        <v>740</v>
      </c>
      <c r="E4318" s="2">
        <v>7.5430000000000001</v>
      </c>
    </row>
    <row r="4319" spans="1:5" x14ac:dyDescent="0.25">
      <c r="A4319" s="32" t="s">
        <v>767</v>
      </c>
      <c r="B4319" s="7">
        <v>2019</v>
      </c>
      <c r="C4319" s="51" t="s">
        <v>710</v>
      </c>
      <c r="D4319" t="s">
        <v>740</v>
      </c>
      <c r="E4319" s="2">
        <v>9.0250000000000004</v>
      </c>
    </row>
    <row r="4320" spans="1:5" x14ac:dyDescent="0.25">
      <c r="A4320" s="32" t="s">
        <v>767</v>
      </c>
      <c r="B4320" s="7">
        <v>2019</v>
      </c>
      <c r="C4320" s="51" t="s">
        <v>702</v>
      </c>
      <c r="D4320" t="s">
        <v>740</v>
      </c>
      <c r="E4320" s="2">
        <v>8.3049999999999997</v>
      </c>
    </row>
    <row r="4321" spans="1:5" x14ac:dyDescent="0.25">
      <c r="A4321" s="32" t="s">
        <v>767</v>
      </c>
      <c r="B4321" s="7">
        <v>2019</v>
      </c>
      <c r="C4321" s="51" t="s">
        <v>703</v>
      </c>
      <c r="D4321" t="s">
        <v>740</v>
      </c>
      <c r="E4321" s="2">
        <v>8.984</v>
      </c>
    </row>
    <row r="4322" spans="1:5" x14ac:dyDescent="0.25">
      <c r="A4322" s="32" t="s">
        <v>767</v>
      </c>
      <c r="B4322" s="7">
        <v>2019</v>
      </c>
      <c r="C4322" s="51" t="s">
        <v>704</v>
      </c>
      <c r="D4322" t="s">
        <v>740</v>
      </c>
      <c r="E4322" s="2">
        <v>9.0380000000000003</v>
      </c>
    </row>
    <row r="4323" spans="1:5" x14ac:dyDescent="0.25">
      <c r="A4323" s="32" t="s">
        <v>767</v>
      </c>
      <c r="B4323" s="7">
        <v>2019</v>
      </c>
      <c r="C4323" s="51" t="s">
        <v>705</v>
      </c>
      <c r="D4323" t="s">
        <v>740</v>
      </c>
      <c r="E4323" s="2">
        <v>8.516</v>
      </c>
    </row>
    <row r="4324" spans="1:5" x14ac:dyDescent="0.25">
      <c r="A4324" s="32" t="s">
        <v>767</v>
      </c>
      <c r="B4324" s="7">
        <v>2019</v>
      </c>
      <c r="C4324" s="51" t="s">
        <v>706</v>
      </c>
      <c r="D4324" t="s">
        <v>740</v>
      </c>
      <c r="E4324" s="2">
        <v>9.1219999999999999</v>
      </c>
    </row>
    <row r="4325" spans="1:5" x14ac:dyDescent="0.25">
      <c r="A4325" s="32" t="s">
        <v>767</v>
      </c>
      <c r="B4325" s="7">
        <v>2020</v>
      </c>
      <c r="C4325" s="51" t="s">
        <v>713</v>
      </c>
      <c r="D4325" t="s">
        <v>740</v>
      </c>
      <c r="E4325" s="2">
        <v>9.0220000000000002</v>
      </c>
    </row>
    <row r="4326" spans="1:5" x14ac:dyDescent="0.25">
      <c r="A4326" s="32" t="s">
        <v>767</v>
      </c>
      <c r="B4326" s="7">
        <v>2020</v>
      </c>
      <c r="C4326" s="51" t="s">
        <v>707</v>
      </c>
      <c r="D4326" t="s">
        <v>740</v>
      </c>
      <c r="E4326" s="2">
        <v>8.39</v>
      </c>
    </row>
    <row r="4327" spans="1:5" x14ac:dyDescent="0.25">
      <c r="A4327" s="32" t="s">
        <v>767</v>
      </c>
      <c r="B4327" s="7">
        <v>2020</v>
      </c>
      <c r="C4327" s="51" t="s">
        <v>708</v>
      </c>
      <c r="D4327" t="s">
        <v>740</v>
      </c>
      <c r="E4327" s="2">
        <v>6.9669999999999996</v>
      </c>
    </row>
    <row r="4328" spans="1:5" x14ac:dyDescent="0.25">
      <c r="A4328" s="32" t="s">
        <v>767</v>
      </c>
      <c r="B4328" s="7">
        <v>2020</v>
      </c>
      <c r="C4328" s="51" t="s">
        <v>699</v>
      </c>
      <c r="D4328" t="s">
        <v>740</v>
      </c>
      <c r="E4328" s="2">
        <v>6.8129999999999997</v>
      </c>
    </row>
    <row r="4329" spans="1:5" x14ac:dyDescent="0.25">
      <c r="A4329" s="32" t="s">
        <v>767</v>
      </c>
      <c r="B4329" s="7">
        <v>2020</v>
      </c>
      <c r="C4329" s="51" t="s">
        <v>709</v>
      </c>
      <c r="D4329" t="s">
        <v>740</v>
      </c>
      <c r="E4329" s="2">
        <v>7.1859999999999999</v>
      </c>
    </row>
    <row r="4330" spans="1:5" x14ac:dyDescent="0.25">
      <c r="A4330" s="32" t="s">
        <v>767</v>
      </c>
      <c r="B4330" s="7">
        <v>2020</v>
      </c>
      <c r="C4330" s="51" t="s">
        <v>712</v>
      </c>
      <c r="D4330" t="s">
        <v>740</v>
      </c>
      <c r="E4330" s="2">
        <v>10.034000000000001</v>
      </c>
    </row>
    <row r="4331" spans="1:5" x14ac:dyDescent="0.25">
      <c r="A4331" s="32" t="s">
        <v>767</v>
      </c>
      <c r="B4331" s="7">
        <v>2020</v>
      </c>
      <c r="C4331" s="51" t="s">
        <v>710</v>
      </c>
      <c r="D4331" t="s">
        <v>740</v>
      </c>
      <c r="E4331" s="2">
        <v>9.1</v>
      </c>
    </row>
    <row r="4332" spans="1:5" x14ac:dyDescent="0.25">
      <c r="A4332" s="32" t="s">
        <v>767</v>
      </c>
      <c r="B4332" s="7">
        <v>2020</v>
      </c>
      <c r="C4332" s="51" t="s">
        <v>702</v>
      </c>
      <c r="D4332" t="s">
        <v>740</v>
      </c>
      <c r="E4332" s="2">
        <v>9.5890000000000004</v>
      </c>
    </row>
    <row r="4333" spans="1:5" x14ac:dyDescent="0.25">
      <c r="A4333" s="32" t="s">
        <v>767</v>
      </c>
      <c r="B4333" s="7">
        <v>2020</v>
      </c>
      <c r="C4333" s="51" t="s">
        <v>703</v>
      </c>
      <c r="D4333" t="s">
        <v>740</v>
      </c>
      <c r="E4333" s="2">
        <v>8.375</v>
      </c>
    </row>
    <row r="4334" spans="1:5" x14ac:dyDescent="0.25">
      <c r="A4334" s="32" t="s">
        <v>767</v>
      </c>
      <c r="B4334" s="7">
        <v>2020</v>
      </c>
      <c r="C4334" s="51" t="s">
        <v>704</v>
      </c>
      <c r="D4334" t="s">
        <v>740</v>
      </c>
      <c r="E4334" s="2">
        <v>8.4209999999999994</v>
      </c>
    </row>
    <row r="4335" spans="1:5" x14ac:dyDescent="0.25">
      <c r="A4335" s="32" t="s">
        <v>767</v>
      </c>
      <c r="B4335" s="7">
        <v>2020</v>
      </c>
      <c r="C4335" s="51" t="s">
        <v>705</v>
      </c>
      <c r="D4335" t="s">
        <v>740</v>
      </c>
      <c r="E4335" s="2">
        <v>8.2159999999999993</v>
      </c>
    </row>
    <row r="4336" spans="1:5" x14ac:dyDescent="0.25">
      <c r="A4336" s="32" t="s">
        <v>767</v>
      </c>
      <c r="B4336" s="7">
        <v>2020</v>
      </c>
      <c r="C4336" s="51" t="s">
        <v>706</v>
      </c>
      <c r="D4336" t="s">
        <v>740</v>
      </c>
      <c r="E4336" s="2">
        <v>9.3439999999999994</v>
      </c>
    </row>
    <row r="4337" spans="1:5" x14ac:dyDescent="0.25">
      <c r="A4337" s="32" t="s">
        <v>767</v>
      </c>
      <c r="B4337" s="7">
        <v>2021</v>
      </c>
      <c r="C4337" s="51" t="s">
        <v>713</v>
      </c>
      <c r="D4337" t="s">
        <v>740</v>
      </c>
      <c r="E4337" s="2">
        <v>8.0549999999999997</v>
      </c>
    </row>
    <row r="4338" spans="1:5" x14ac:dyDescent="0.25">
      <c r="A4338" s="32" t="s">
        <v>767</v>
      </c>
      <c r="B4338" s="7">
        <v>2021</v>
      </c>
      <c r="C4338" s="51" t="s">
        <v>707</v>
      </c>
      <c r="D4338" t="s">
        <v>740</v>
      </c>
      <c r="E4338" s="2">
        <v>7.952</v>
      </c>
    </row>
    <row r="4339" spans="1:5" x14ac:dyDescent="0.25">
      <c r="A4339" s="32" t="s">
        <v>767</v>
      </c>
      <c r="B4339" s="7">
        <v>2021</v>
      </c>
      <c r="C4339" s="51" t="s">
        <v>708</v>
      </c>
      <c r="D4339" t="s">
        <v>740</v>
      </c>
      <c r="E4339" s="2">
        <v>8.3620000000000001</v>
      </c>
    </row>
    <row r="4340" spans="1:5" x14ac:dyDescent="0.25">
      <c r="A4340" s="32" t="s">
        <v>767</v>
      </c>
      <c r="B4340" s="7">
        <v>2021</v>
      </c>
      <c r="C4340" s="51" t="s">
        <v>699</v>
      </c>
      <c r="D4340" t="s">
        <v>740</v>
      </c>
      <c r="E4340" s="2">
        <v>7.9749999999999996</v>
      </c>
    </row>
    <row r="4341" spans="1:5" x14ac:dyDescent="0.25">
      <c r="A4341" s="32" t="s">
        <v>767</v>
      </c>
      <c r="B4341" s="7">
        <v>2021</v>
      </c>
      <c r="C4341" s="51" t="s">
        <v>709</v>
      </c>
      <c r="D4341" t="s">
        <v>740</v>
      </c>
      <c r="E4341" s="2">
        <v>7.7210000000000001</v>
      </c>
    </row>
    <row r="4342" spans="1:5" x14ac:dyDescent="0.25">
      <c r="A4342" s="32" t="s">
        <v>767</v>
      </c>
      <c r="B4342" s="7">
        <v>2021</v>
      </c>
      <c r="C4342" s="51" t="s">
        <v>712</v>
      </c>
      <c r="D4342" t="s">
        <v>740</v>
      </c>
      <c r="E4342" s="2">
        <v>8.1880000000000006</v>
      </c>
    </row>
    <row r="4343" spans="1:5" x14ac:dyDescent="0.25">
      <c r="A4343" s="32" t="s">
        <v>767</v>
      </c>
      <c r="B4343" s="7">
        <v>2021</v>
      </c>
      <c r="C4343" s="51" t="s">
        <v>710</v>
      </c>
      <c r="D4343" t="s">
        <v>740</v>
      </c>
      <c r="E4343" s="2">
        <v>9.0519999999999996</v>
      </c>
    </row>
    <row r="4344" spans="1:5" x14ac:dyDescent="0.25">
      <c r="A4344" s="32" t="s">
        <v>767</v>
      </c>
      <c r="B4344" s="7">
        <v>2021</v>
      </c>
      <c r="C4344" s="51" t="s">
        <v>702</v>
      </c>
      <c r="D4344" t="s">
        <v>740</v>
      </c>
      <c r="E4344" s="2">
        <v>10.233000000000001</v>
      </c>
    </row>
    <row r="4345" spans="1:5" x14ac:dyDescent="0.25">
      <c r="A4345" s="32" t="s">
        <v>767</v>
      </c>
      <c r="B4345" s="7">
        <v>2021</v>
      </c>
      <c r="C4345" s="51" t="s">
        <v>703</v>
      </c>
      <c r="D4345" t="s">
        <v>740</v>
      </c>
      <c r="E4345" s="2">
        <v>10.481</v>
      </c>
    </row>
    <row r="4346" spans="1:5" x14ac:dyDescent="0.25">
      <c r="A4346" s="32" t="s">
        <v>767</v>
      </c>
      <c r="B4346" s="7">
        <v>2021</v>
      </c>
      <c r="C4346" s="51" t="s">
        <v>704</v>
      </c>
      <c r="D4346" t="s">
        <v>740</v>
      </c>
      <c r="E4346" s="2">
        <v>8.26</v>
      </c>
    </row>
    <row r="4347" spans="1:5" x14ac:dyDescent="0.25">
      <c r="A4347" s="32" t="s">
        <v>767</v>
      </c>
      <c r="B4347" s="7">
        <v>2021</v>
      </c>
      <c r="C4347" s="51" t="s">
        <v>705</v>
      </c>
      <c r="D4347" t="s">
        <v>740</v>
      </c>
      <c r="E4347" s="2">
        <v>6.9939999999999998</v>
      </c>
    </row>
    <row r="4348" spans="1:5" x14ac:dyDescent="0.25">
      <c r="A4348" s="32" t="s">
        <v>767</v>
      </c>
      <c r="B4348" s="7">
        <v>2021</v>
      </c>
      <c r="C4348" s="51" t="s">
        <v>706</v>
      </c>
      <c r="D4348" t="s">
        <v>740</v>
      </c>
      <c r="E4348" s="2">
        <v>6.9509999999999996</v>
      </c>
    </row>
    <row r="4349" spans="1:5" x14ac:dyDescent="0.25">
      <c r="A4349" s="32" t="s">
        <v>767</v>
      </c>
      <c r="B4349" s="7">
        <v>2022</v>
      </c>
      <c r="C4349" s="51" t="s">
        <v>713</v>
      </c>
      <c r="D4349" t="s">
        <v>740</v>
      </c>
      <c r="E4349" s="2">
        <v>9.2590000000000003</v>
      </c>
    </row>
    <row r="4350" spans="1:5" x14ac:dyDescent="0.25">
      <c r="A4350" s="32" t="s">
        <v>767</v>
      </c>
      <c r="B4350" s="7">
        <v>2022</v>
      </c>
      <c r="C4350" s="51" t="s">
        <v>707</v>
      </c>
      <c r="D4350" t="s">
        <v>740</v>
      </c>
      <c r="E4350" s="2">
        <v>8.1980000000000004</v>
      </c>
    </row>
    <row r="4351" spans="1:5" x14ac:dyDescent="0.25">
      <c r="A4351" s="32" t="s">
        <v>767</v>
      </c>
      <c r="B4351" s="7">
        <v>2022</v>
      </c>
      <c r="C4351" s="51" t="s">
        <v>708</v>
      </c>
      <c r="D4351" t="s">
        <v>740</v>
      </c>
      <c r="E4351" s="2">
        <v>7.9539999999999997</v>
      </c>
    </row>
    <row r="4352" spans="1:5" x14ac:dyDescent="0.25">
      <c r="A4352" s="32" t="s">
        <v>767</v>
      </c>
      <c r="B4352" s="7">
        <v>2022</v>
      </c>
      <c r="C4352" s="51" t="s">
        <v>699</v>
      </c>
      <c r="D4352" t="s">
        <v>740</v>
      </c>
      <c r="E4352" s="2">
        <v>7.1440000000000001</v>
      </c>
    </row>
    <row r="4353" spans="1:5" x14ac:dyDescent="0.25">
      <c r="A4353" s="32" t="s">
        <v>767</v>
      </c>
      <c r="B4353" s="7">
        <v>2022</v>
      </c>
      <c r="C4353" s="51" t="s">
        <v>709</v>
      </c>
      <c r="D4353" t="s">
        <v>740</v>
      </c>
      <c r="E4353" s="2">
        <v>9.3330000000000002</v>
      </c>
    </row>
    <row r="4354" spans="1:5" x14ac:dyDescent="0.25">
      <c r="A4354" s="32" t="s">
        <v>767</v>
      </c>
      <c r="B4354" s="7">
        <v>2022</v>
      </c>
      <c r="C4354" s="51" t="s">
        <v>712</v>
      </c>
      <c r="D4354" t="s">
        <v>740</v>
      </c>
      <c r="E4354" s="2">
        <v>6.891</v>
      </c>
    </row>
    <row r="4355" spans="1:5" x14ac:dyDescent="0.25">
      <c r="A4355" s="32" t="s">
        <v>767</v>
      </c>
      <c r="B4355" s="7">
        <v>2022</v>
      </c>
      <c r="C4355" s="51" t="s">
        <v>710</v>
      </c>
      <c r="D4355" t="s">
        <v>740</v>
      </c>
      <c r="E4355" s="2">
        <v>6.5869999999999997</v>
      </c>
    </row>
    <row r="4356" spans="1:5" x14ac:dyDescent="0.25">
      <c r="A4356" s="32" t="s">
        <v>767</v>
      </c>
      <c r="B4356" s="7">
        <v>2022</v>
      </c>
      <c r="C4356" s="51" t="s">
        <v>702</v>
      </c>
      <c r="D4356" t="s">
        <v>740</v>
      </c>
      <c r="E4356" s="2">
        <v>6.5880000000000001</v>
      </c>
    </row>
    <row r="4357" spans="1:5" x14ac:dyDescent="0.25">
      <c r="A4357" s="32" t="s">
        <v>767</v>
      </c>
      <c r="B4357" s="7">
        <v>2022</v>
      </c>
      <c r="C4357" s="51" t="s">
        <v>703</v>
      </c>
      <c r="D4357" t="s">
        <v>740</v>
      </c>
      <c r="E4357" s="2">
        <v>6.6920000000000002</v>
      </c>
    </row>
    <row r="4358" spans="1:5" x14ac:dyDescent="0.25">
      <c r="A4358" s="32" t="s">
        <v>767</v>
      </c>
      <c r="B4358" s="7">
        <v>2022</v>
      </c>
      <c r="C4358" s="51" t="s">
        <v>704</v>
      </c>
      <c r="D4358" t="s">
        <v>740</v>
      </c>
      <c r="E4358" s="2">
        <v>7.3470000000000004</v>
      </c>
    </row>
    <row r="4359" spans="1:5" x14ac:dyDescent="0.25">
      <c r="A4359" s="32" t="s">
        <v>767</v>
      </c>
      <c r="B4359" s="7">
        <v>2022</v>
      </c>
      <c r="C4359" s="51" t="s">
        <v>705</v>
      </c>
      <c r="D4359" t="s">
        <v>740</v>
      </c>
      <c r="E4359" s="2">
        <v>7.4219999999999997</v>
      </c>
    </row>
    <row r="4360" spans="1:5" x14ac:dyDescent="0.25">
      <c r="A4360" s="32" t="s">
        <v>767</v>
      </c>
      <c r="B4360" s="7">
        <v>2022</v>
      </c>
      <c r="C4360" s="51" t="s">
        <v>706</v>
      </c>
      <c r="D4360" t="s">
        <v>740</v>
      </c>
      <c r="E4360" s="2">
        <v>7.9870000000000001</v>
      </c>
    </row>
    <row r="4361" spans="1:5" x14ac:dyDescent="0.25">
      <c r="A4361" s="32" t="s">
        <v>767</v>
      </c>
      <c r="B4361" s="7">
        <v>2023</v>
      </c>
      <c r="C4361" s="51" t="s">
        <v>713</v>
      </c>
      <c r="D4361" t="s">
        <v>740</v>
      </c>
      <c r="E4361" s="2">
        <v>7.0389999999999997</v>
      </c>
    </row>
    <row r="4362" spans="1:5" x14ac:dyDescent="0.25">
      <c r="A4362" s="32" t="s">
        <v>767</v>
      </c>
      <c r="B4362" s="7">
        <v>2023</v>
      </c>
      <c r="C4362" s="51" t="s">
        <v>707</v>
      </c>
      <c r="D4362" t="s">
        <v>740</v>
      </c>
      <c r="E4362" s="2">
        <v>6.7130000000000001</v>
      </c>
    </row>
    <row r="4363" spans="1:5" x14ac:dyDescent="0.25">
      <c r="A4363" s="32" t="s">
        <v>767</v>
      </c>
      <c r="B4363" s="7">
        <v>2023</v>
      </c>
      <c r="C4363" s="51" t="s">
        <v>708</v>
      </c>
      <c r="D4363" t="s">
        <v>740</v>
      </c>
      <c r="E4363" s="2">
        <v>7.2329999999999997</v>
      </c>
    </row>
    <row r="4364" spans="1:5" x14ac:dyDescent="0.25">
      <c r="A4364" s="32" t="s">
        <v>767</v>
      </c>
      <c r="B4364" s="7">
        <v>2023</v>
      </c>
      <c r="C4364" s="51" t="s">
        <v>699</v>
      </c>
      <c r="D4364" t="s">
        <v>740</v>
      </c>
      <c r="E4364" s="2">
        <v>6.7110000000000003</v>
      </c>
    </row>
    <row r="4365" spans="1:5" x14ac:dyDescent="0.25">
      <c r="A4365" s="32" t="s">
        <v>767</v>
      </c>
      <c r="B4365" s="7">
        <v>2023</v>
      </c>
      <c r="C4365" s="51" t="s">
        <v>709</v>
      </c>
      <c r="D4365" t="s">
        <v>740</v>
      </c>
      <c r="E4365" s="2">
        <v>6.8780000000000001</v>
      </c>
    </row>
    <row r="4366" spans="1:5" x14ac:dyDescent="0.25">
      <c r="A4366" s="32" t="s">
        <v>767</v>
      </c>
      <c r="B4366" s="7">
        <v>2023</v>
      </c>
      <c r="C4366" s="51" t="s">
        <v>712</v>
      </c>
      <c r="D4366" t="s">
        <v>740</v>
      </c>
      <c r="E4366" s="2">
        <v>6.649</v>
      </c>
    </row>
    <row r="4367" spans="1:5" x14ac:dyDescent="0.25">
      <c r="A4367" s="32" t="s">
        <v>767</v>
      </c>
      <c r="B4367" s="7">
        <v>2023</v>
      </c>
      <c r="C4367" s="51" t="s">
        <v>710</v>
      </c>
      <c r="D4367" t="s">
        <v>740</v>
      </c>
      <c r="E4367" s="2">
        <v>6.8259999999999996</v>
      </c>
    </row>
    <row r="4368" spans="1:5" x14ac:dyDescent="0.25">
      <c r="A4368" s="32" t="s">
        <v>767</v>
      </c>
      <c r="B4368" s="7">
        <v>2023</v>
      </c>
      <c r="C4368" s="51" t="s">
        <v>702</v>
      </c>
      <c r="D4368" t="s">
        <v>740</v>
      </c>
      <c r="E4368" s="2">
        <v>6.8310000000000004</v>
      </c>
    </row>
    <row r="4369" spans="1:5" x14ac:dyDescent="0.25">
      <c r="A4369" s="32" t="s">
        <v>767</v>
      </c>
      <c r="B4369" s="7">
        <v>2023</v>
      </c>
      <c r="C4369" s="51" t="s">
        <v>703</v>
      </c>
      <c r="D4369" t="s">
        <v>740</v>
      </c>
      <c r="E4369" s="2">
        <v>7.4059999999999997</v>
      </c>
    </row>
    <row r="4370" spans="1:5" x14ac:dyDescent="0.25">
      <c r="A4370" s="32" t="s">
        <v>767</v>
      </c>
      <c r="B4370" s="7">
        <v>1997</v>
      </c>
      <c r="C4370" s="51" t="s">
        <v>704</v>
      </c>
      <c r="D4370" t="s">
        <v>721</v>
      </c>
      <c r="E4370" s="2">
        <v>5.7510000000000003</v>
      </c>
    </row>
    <row r="4371" spans="1:5" x14ac:dyDescent="0.25">
      <c r="A4371" s="32" t="s">
        <v>767</v>
      </c>
      <c r="B4371" s="7">
        <v>1997</v>
      </c>
      <c r="C4371" s="51" t="s">
        <v>705</v>
      </c>
      <c r="D4371" t="s">
        <v>721</v>
      </c>
      <c r="E4371" s="2">
        <v>5.8769999999999998</v>
      </c>
    </row>
    <row r="4372" spans="1:5" x14ac:dyDescent="0.25">
      <c r="A4372" s="32" t="s">
        <v>767</v>
      </c>
      <c r="B4372" s="7">
        <v>1997</v>
      </c>
      <c r="C4372" s="51" t="s">
        <v>706</v>
      </c>
      <c r="D4372" t="s">
        <v>721</v>
      </c>
      <c r="E4372" s="2">
        <v>6.0220000000000002</v>
      </c>
    </row>
    <row r="4373" spans="1:5" x14ac:dyDescent="0.25">
      <c r="A4373" s="32" t="s">
        <v>767</v>
      </c>
      <c r="B4373" s="7">
        <v>1998</v>
      </c>
      <c r="C4373" s="51" t="s">
        <v>713</v>
      </c>
      <c r="D4373" t="s">
        <v>721</v>
      </c>
      <c r="E4373" s="2">
        <v>6.48</v>
      </c>
    </row>
    <row r="4374" spans="1:5" x14ac:dyDescent="0.25">
      <c r="A4374" s="32" t="s">
        <v>767</v>
      </c>
      <c r="B4374" s="7">
        <v>1998</v>
      </c>
      <c r="C4374" s="51" t="s">
        <v>707</v>
      </c>
      <c r="D4374" t="s">
        <v>721</v>
      </c>
      <c r="E4374" s="2">
        <v>6.1580000000000004</v>
      </c>
    </row>
    <row r="4375" spans="1:5" x14ac:dyDescent="0.25">
      <c r="A4375" s="32" t="s">
        <v>767</v>
      </c>
      <c r="B4375" s="7">
        <v>1998</v>
      </c>
      <c r="C4375" s="51" t="s">
        <v>708</v>
      </c>
      <c r="D4375" t="s">
        <v>721</v>
      </c>
      <c r="E4375" s="2">
        <v>6.6769999999999996</v>
      </c>
    </row>
    <row r="4376" spans="1:5" x14ac:dyDescent="0.25">
      <c r="A4376" s="32" t="s">
        <v>767</v>
      </c>
      <c r="B4376" s="7">
        <v>1998</v>
      </c>
      <c r="C4376" s="51" t="s">
        <v>699</v>
      </c>
      <c r="D4376" t="s">
        <v>721</v>
      </c>
      <c r="E4376" s="2">
        <v>6.016</v>
      </c>
    </row>
    <row r="4377" spans="1:5" x14ac:dyDescent="0.25">
      <c r="A4377" s="32" t="s">
        <v>767</v>
      </c>
      <c r="B4377" s="7">
        <v>1998</v>
      </c>
      <c r="C4377" s="51" t="s">
        <v>709</v>
      </c>
      <c r="D4377" t="s">
        <v>721</v>
      </c>
      <c r="E4377" s="2">
        <v>6.2789999999999999</v>
      </c>
    </row>
    <row r="4378" spans="1:5" x14ac:dyDescent="0.25">
      <c r="A4378" s="32" t="s">
        <v>767</v>
      </c>
      <c r="B4378" s="7">
        <v>1998</v>
      </c>
      <c r="C4378" s="51" t="s">
        <v>712</v>
      </c>
      <c r="D4378" t="s">
        <v>721</v>
      </c>
      <c r="E4378" s="2">
        <v>6.18</v>
      </c>
    </row>
    <row r="4379" spans="1:5" x14ac:dyDescent="0.25">
      <c r="A4379" s="32" t="s">
        <v>767</v>
      </c>
      <c r="B4379" s="7">
        <v>1998</v>
      </c>
      <c r="C4379" s="51" t="s">
        <v>710</v>
      </c>
      <c r="D4379" t="s">
        <v>721</v>
      </c>
      <c r="E4379" s="2">
        <v>5.9359999999999999</v>
      </c>
    </row>
    <row r="4380" spans="1:5" x14ac:dyDescent="0.25">
      <c r="A4380" s="32" t="s">
        <v>767</v>
      </c>
      <c r="B4380" s="7">
        <v>1998</v>
      </c>
      <c r="C4380" s="51" t="s">
        <v>702</v>
      </c>
      <c r="D4380" t="s">
        <v>721</v>
      </c>
      <c r="E4380" s="2">
        <v>6.0250000000000004</v>
      </c>
    </row>
    <row r="4381" spans="1:5" x14ac:dyDescent="0.25">
      <c r="A4381" s="32" t="s">
        <v>767</v>
      </c>
      <c r="B4381" s="7">
        <v>1998</v>
      </c>
      <c r="C4381" s="51" t="s">
        <v>703</v>
      </c>
      <c r="D4381" t="s">
        <v>721</v>
      </c>
      <c r="E4381" s="2">
        <v>6.3719999999999999</v>
      </c>
    </row>
    <row r="4382" spans="1:5" x14ac:dyDescent="0.25">
      <c r="A4382" s="32" t="s">
        <v>767</v>
      </c>
      <c r="B4382" s="7">
        <v>1998</v>
      </c>
      <c r="C4382" s="51" t="s">
        <v>704</v>
      </c>
      <c r="D4382" t="s">
        <v>721</v>
      </c>
      <c r="E4382" s="2">
        <v>6.54</v>
      </c>
    </row>
    <row r="4383" spans="1:5" x14ac:dyDescent="0.25">
      <c r="A4383" s="32" t="s">
        <v>767</v>
      </c>
      <c r="B4383" s="7">
        <v>1998</v>
      </c>
      <c r="C4383" s="51" t="s">
        <v>705</v>
      </c>
      <c r="D4383" t="s">
        <v>721</v>
      </c>
      <c r="E4383" s="2">
        <v>5.9619999999999997</v>
      </c>
    </row>
    <row r="4384" spans="1:5" x14ac:dyDescent="0.25">
      <c r="A4384" s="32" t="s">
        <v>767</v>
      </c>
      <c r="B4384" s="7">
        <v>1998</v>
      </c>
      <c r="C4384" s="51" t="s">
        <v>706</v>
      </c>
      <c r="D4384" t="s">
        <v>721</v>
      </c>
      <c r="E4384" s="2">
        <v>6.6829999999999998</v>
      </c>
    </row>
    <row r="4385" spans="1:5" x14ac:dyDescent="0.25">
      <c r="A4385" s="32" t="s">
        <v>767</v>
      </c>
      <c r="B4385" s="7">
        <v>1999</v>
      </c>
      <c r="C4385" s="51" t="s">
        <v>713</v>
      </c>
      <c r="D4385" t="s">
        <v>721</v>
      </c>
      <c r="E4385" s="2">
        <v>6.7439999999999998</v>
      </c>
    </row>
    <row r="4386" spans="1:5" x14ac:dyDescent="0.25">
      <c r="A4386" s="32" t="s">
        <v>767</v>
      </c>
      <c r="B4386" s="7">
        <v>1999</v>
      </c>
      <c r="C4386" s="51" t="s">
        <v>707</v>
      </c>
      <c r="D4386" t="s">
        <v>721</v>
      </c>
      <c r="E4386" s="2">
        <v>6.125</v>
      </c>
    </row>
    <row r="4387" spans="1:5" x14ac:dyDescent="0.25">
      <c r="A4387" s="32" t="s">
        <v>767</v>
      </c>
      <c r="B4387" s="7">
        <v>1999</v>
      </c>
      <c r="C4387" s="51" t="s">
        <v>708</v>
      </c>
      <c r="D4387" t="s">
        <v>721</v>
      </c>
      <c r="E4387" s="2">
        <v>7.2210000000000001</v>
      </c>
    </row>
    <row r="4388" spans="1:5" x14ac:dyDescent="0.25">
      <c r="A4388" s="32" t="s">
        <v>767</v>
      </c>
      <c r="B4388" s="7">
        <v>1999</v>
      </c>
      <c r="C4388" s="51" t="s">
        <v>699</v>
      </c>
      <c r="D4388" t="s">
        <v>721</v>
      </c>
      <c r="E4388" s="2">
        <v>6.6639999999999997</v>
      </c>
    </row>
    <row r="4389" spans="1:5" x14ac:dyDescent="0.25">
      <c r="A4389" s="32" t="s">
        <v>767</v>
      </c>
      <c r="B4389" s="7">
        <v>1999</v>
      </c>
      <c r="C4389" s="51" t="s">
        <v>709</v>
      </c>
      <c r="D4389" t="s">
        <v>721</v>
      </c>
      <c r="E4389" s="2">
        <v>6.7530000000000001</v>
      </c>
    </row>
    <row r="4390" spans="1:5" x14ac:dyDescent="0.25">
      <c r="A4390" s="32" t="s">
        <v>767</v>
      </c>
      <c r="B4390" s="7">
        <v>1999</v>
      </c>
      <c r="C4390" s="51" t="s">
        <v>712</v>
      </c>
      <c r="D4390" t="s">
        <v>721</v>
      </c>
      <c r="E4390" s="2">
        <v>6.0659999999999998</v>
      </c>
    </row>
    <row r="4391" spans="1:5" x14ac:dyDescent="0.25">
      <c r="A4391" s="32" t="s">
        <v>767</v>
      </c>
      <c r="B4391" s="7">
        <v>1999</v>
      </c>
      <c r="C4391" s="51" t="s">
        <v>710</v>
      </c>
      <c r="D4391" t="s">
        <v>721</v>
      </c>
      <c r="E4391" s="2">
        <v>6.57</v>
      </c>
    </row>
    <row r="4392" spans="1:5" x14ac:dyDescent="0.25">
      <c r="A4392" s="32" t="s">
        <v>767</v>
      </c>
      <c r="B4392" s="7">
        <v>1999</v>
      </c>
      <c r="C4392" s="51" t="s">
        <v>702</v>
      </c>
      <c r="D4392" t="s">
        <v>721</v>
      </c>
      <c r="E4392" s="2">
        <v>6.4809999999999999</v>
      </c>
    </row>
    <row r="4393" spans="1:5" x14ac:dyDescent="0.25">
      <c r="A4393" s="32" t="s">
        <v>767</v>
      </c>
      <c r="B4393" s="7">
        <v>1999</v>
      </c>
      <c r="C4393" s="51" t="s">
        <v>703</v>
      </c>
      <c r="D4393" t="s">
        <v>721</v>
      </c>
      <c r="E4393" s="2">
        <v>9.5579999999999998</v>
      </c>
    </row>
    <row r="4394" spans="1:5" x14ac:dyDescent="0.25">
      <c r="A4394" s="32" t="s">
        <v>767</v>
      </c>
      <c r="B4394" s="7">
        <v>1999</v>
      </c>
      <c r="C4394" s="51" t="s">
        <v>704</v>
      </c>
      <c r="D4394" t="s">
        <v>721</v>
      </c>
      <c r="E4394" s="2">
        <v>10.686</v>
      </c>
    </row>
    <row r="4395" spans="1:5" x14ac:dyDescent="0.25">
      <c r="A4395" s="32" t="s">
        <v>767</v>
      </c>
      <c r="B4395" s="7">
        <v>1999</v>
      </c>
      <c r="C4395" s="51" t="s">
        <v>705</v>
      </c>
      <c r="D4395" t="s">
        <v>721</v>
      </c>
      <c r="E4395" s="2">
        <v>10.208</v>
      </c>
    </row>
    <row r="4396" spans="1:5" x14ac:dyDescent="0.25">
      <c r="A4396" s="32" t="s">
        <v>767</v>
      </c>
      <c r="B4396" s="7">
        <v>1999</v>
      </c>
      <c r="C4396" s="51" t="s">
        <v>706</v>
      </c>
      <c r="D4396" t="s">
        <v>721</v>
      </c>
      <c r="E4396" s="2">
        <v>10.105</v>
      </c>
    </row>
    <row r="4397" spans="1:5" x14ac:dyDescent="0.25">
      <c r="A4397" s="32" t="s">
        <v>767</v>
      </c>
      <c r="B4397" s="7">
        <v>2000</v>
      </c>
      <c r="C4397" s="51" t="s">
        <v>713</v>
      </c>
      <c r="D4397" t="s">
        <v>721</v>
      </c>
      <c r="E4397" s="2">
        <v>10.156000000000001</v>
      </c>
    </row>
    <row r="4398" spans="1:5" x14ac:dyDescent="0.25">
      <c r="A4398" s="32" t="s">
        <v>767</v>
      </c>
      <c r="B4398" s="7">
        <v>2000</v>
      </c>
      <c r="C4398" s="51" t="s">
        <v>707</v>
      </c>
      <c r="D4398" t="s">
        <v>721</v>
      </c>
      <c r="E4398" s="2">
        <v>9.673</v>
      </c>
    </row>
    <row r="4399" spans="1:5" x14ac:dyDescent="0.25">
      <c r="A4399" s="32" t="s">
        <v>767</v>
      </c>
      <c r="B4399" s="7">
        <v>2000</v>
      </c>
      <c r="C4399" s="51" t="s">
        <v>708</v>
      </c>
      <c r="D4399" t="s">
        <v>721</v>
      </c>
      <c r="E4399" s="2">
        <v>9.6590000000000007</v>
      </c>
    </row>
    <row r="4400" spans="1:5" x14ac:dyDescent="0.25">
      <c r="A4400" s="32" t="s">
        <v>767</v>
      </c>
      <c r="B4400" s="7">
        <v>2000</v>
      </c>
      <c r="C4400" s="51" t="s">
        <v>699</v>
      </c>
      <c r="D4400" t="s">
        <v>721</v>
      </c>
      <c r="E4400" s="2">
        <v>9.8219999999999992</v>
      </c>
    </row>
    <row r="4401" spans="1:5" x14ac:dyDescent="0.25">
      <c r="A4401" s="32" t="s">
        <v>767</v>
      </c>
      <c r="B4401" s="7">
        <v>2000</v>
      </c>
      <c r="C4401" s="51" t="s">
        <v>709</v>
      </c>
      <c r="D4401" t="s">
        <v>721</v>
      </c>
      <c r="E4401" s="2">
        <v>9.61</v>
      </c>
    </row>
    <row r="4402" spans="1:5" x14ac:dyDescent="0.25">
      <c r="A4402" s="32" t="s">
        <v>767</v>
      </c>
      <c r="B4402" s="7">
        <v>2000</v>
      </c>
      <c r="C4402" s="51" t="s">
        <v>712</v>
      </c>
      <c r="D4402" t="s">
        <v>721</v>
      </c>
      <c r="E4402" s="2">
        <v>9.9329999999999998</v>
      </c>
    </row>
    <row r="4403" spans="1:5" x14ac:dyDescent="0.25">
      <c r="A4403" s="32" t="s">
        <v>767</v>
      </c>
      <c r="B4403" s="7">
        <v>2000</v>
      </c>
      <c r="C4403" s="51" t="s">
        <v>710</v>
      </c>
      <c r="D4403" t="s">
        <v>721</v>
      </c>
      <c r="E4403" s="2">
        <v>9.6129999999999995</v>
      </c>
    </row>
    <row r="4404" spans="1:5" x14ac:dyDescent="0.25">
      <c r="A4404" s="32" t="s">
        <v>767</v>
      </c>
      <c r="B4404" s="7">
        <v>2000</v>
      </c>
      <c r="C4404" s="51" t="s">
        <v>702</v>
      </c>
      <c r="D4404" t="s">
        <v>721</v>
      </c>
      <c r="E4404" s="2">
        <v>9.4209999999999994</v>
      </c>
    </row>
    <row r="4405" spans="1:5" x14ac:dyDescent="0.25">
      <c r="A4405" s="32" t="s">
        <v>767</v>
      </c>
      <c r="B4405" s="7">
        <v>2000</v>
      </c>
      <c r="C4405" s="51" t="s">
        <v>703</v>
      </c>
      <c r="D4405" t="s">
        <v>721</v>
      </c>
      <c r="E4405" s="2">
        <v>9.9550000000000001</v>
      </c>
    </row>
    <row r="4406" spans="1:5" x14ac:dyDescent="0.25">
      <c r="A4406" s="32" t="s">
        <v>767</v>
      </c>
      <c r="B4406" s="7">
        <v>2000</v>
      </c>
      <c r="C4406" s="51" t="s">
        <v>704</v>
      </c>
      <c r="D4406" t="s">
        <v>721</v>
      </c>
      <c r="E4406" s="2">
        <v>10.113</v>
      </c>
    </row>
    <row r="4407" spans="1:5" x14ac:dyDescent="0.25">
      <c r="A4407" s="32" t="s">
        <v>767</v>
      </c>
      <c r="B4407" s="7">
        <v>2000</v>
      </c>
      <c r="C4407" s="51" t="s">
        <v>705</v>
      </c>
      <c r="D4407" t="s">
        <v>721</v>
      </c>
      <c r="E4407" s="2">
        <v>9.9109999999999996</v>
      </c>
    </row>
    <row r="4408" spans="1:5" x14ac:dyDescent="0.25">
      <c r="A4408" s="32" t="s">
        <v>767</v>
      </c>
      <c r="B4408" s="7">
        <v>2000</v>
      </c>
      <c r="C4408" s="51" t="s">
        <v>706</v>
      </c>
      <c r="D4408" t="s">
        <v>721</v>
      </c>
      <c r="E4408" s="2">
        <v>10.808</v>
      </c>
    </row>
    <row r="4409" spans="1:5" x14ac:dyDescent="0.25">
      <c r="A4409" s="32" t="s">
        <v>767</v>
      </c>
      <c r="B4409" s="7">
        <v>2001</v>
      </c>
      <c r="C4409" s="51" t="s">
        <v>713</v>
      </c>
      <c r="D4409" t="s">
        <v>721</v>
      </c>
      <c r="E4409" s="2">
        <v>10.759</v>
      </c>
    </row>
    <row r="4410" spans="1:5" x14ac:dyDescent="0.25">
      <c r="A4410" s="32" t="s">
        <v>767</v>
      </c>
      <c r="B4410" s="7">
        <v>2001</v>
      </c>
      <c r="C4410" s="51" t="s">
        <v>707</v>
      </c>
      <c r="D4410" t="s">
        <v>721</v>
      </c>
      <c r="E4410" s="2">
        <v>9.3580000000000005</v>
      </c>
    </row>
    <row r="4411" spans="1:5" x14ac:dyDescent="0.25">
      <c r="A4411" s="32" t="s">
        <v>767</v>
      </c>
      <c r="B4411" s="7">
        <v>2001</v>
      </c>
      <c r="C4411" s="51" t="s">
        <v>708</v>
      </c>
      <c r="D4411" t="s">
        <v>721</v>
      </c>
      <c r="E4411" s="2">
        <v>10.427</v>
      </c>
    </row>
    <row r="4412" spans="1:5" x14ac:dyDescent="0.25">
      <c r="A4412" s="32" t="s">
        <v>767</v>
      </c>
      <c r="B4412" s="7">
        <v>2001</v>
      </c>
      <c r="C4412" s="51" t="s">
        <v>699</v>
      </c>
      <c r="D4412" t="s">
        <v>721</v>
      </c>
      <c r="E4412" s="2">
        <v>9.9719999999999995</v>
      </c>
    </row>
    <row r="4413" spans="1:5" x14ac:dyDescent="0.25">
      <c r="A4413" s="32" t="s">
        <v>767</v>
      </c>
      <c r="B4413" s="7">
        <v>2001</v>
      </c>
      <c r="C4413" s="51" t="s">
        <v>709</v>
      </c>
      <c r="D4413" t="s">
        <v>721</v>
      </c>
      <c r="E4413" s="2">
        <v>10.196999999999999</v>
      </c>
    </row>
    <row r="4414" spans="1:5" x14ac:dyDescent="0.25">
      <c r="A4414" s="32" t="s">
        <v>767</v>
      </c>
      <c r="B4414" s="7">
        <v>2001</v>
      </c>
      <c r="C4414" s="51" t="s">
        <v>712</v>
      </c>
      <c r="D4414" t="s">
        <v>721</v>
      </c>
      <c r="E4414" s="2">
        <v>9.4209999999999994</v>
      </c>
    </row>
    <row r="4415" spans="1:5" x14ac:dyDescent="0.25">
      <c r="A4415" s="32" t="s">
        <v>767</v>
      </c>
      <c r="B4415" s="7">
        <v>2001</v>
      </c>
      <c r="C4415" s="51" t="s">
        <v>710</v>
      </c>
      <c r="D4415" t="s">
        <v>721</v>
      </c>
      <c r="E4415" s="2">
        <v>9.6980000000000004</v>
      </c>
    </row>
    <row r="4416" spans="1:5" x14ac:dyDescent="0.25">
      <c r="A4416" s="32" t="s">
        <v>767</v>
      </c>
      <c r="B4416" s="7">
        <v>2001</v>
      </c>
      <c r="C4416" s="51" t="s">
        <v>702</v>
      </c>
      <c r="D4416" t="s">
        <v>721</v>
      </c>
      <c r="E4416" s="2">
        <v>9.5649999999999995</v>
      </c>
    </row>
    <row r="4417" spans="1:5" x14ac:dyDescent="0.25">
      <c r="A4417" s="32" t="s">
        <v>767</v>
      </c>
      <c r="B4417" s="7">
        <v>2001</v>
      </c>
      <c r="C4417" s="51" t="s">
        <v>703</v>
      </c>
      <c r="D4417" t="s">
        <v>721</v>
      </c>
      <c r="E4417" s="2">
        <v>9.8770000000000007</v>
      </c>
    </row>
    <row r="4418" spans="1:5" x14ac:dyDescent="0.25">
      <c r="A4418" s="32" t="s">
        <v>767</v>
      </c>
      <c r="B4418" s="7">
        <v>2001</v>
      </c>
      <c r="C4418" s="51" t="s">
        <v>704</v>
      </c>
      <c r="D4418" t="s">
        <v>721</v>
      </c>
      <c r="E4418" s="2">
        <v>10.067</v>
      </c>
    </row>
    <row r="4419" spans="1:5" x14ac:dyDescent="0.25">
      <c r="A4419" s="32" t="s">
        <v>767</v>
      </c>
      <c r="B4419" s="7">
        <v>2001</v>
      </c>
      <c r="C4419" s="51" t="s">
        <v>705</v>
      </c>
      <c r="D4419" t="s">
        <v>721</v>
      </c>
      <c r="E4419" s="2">
        <v>9.9179999999999993</v>
      </c>
    </row>
    <row r="4420" spans="1:5" x14ac:dyDescent="0.25">
      <c r="A4420" s="32" t="s">
        <v>767</v>
      </c>
      <c r="B4420" s="7">
        <v>2001</v>
      </c>
      <c r="C4420" s="51" t="s">
        <v>706</v>
      </c>
      <c r="D4420" t="s">
        <v>721</v>
      </c>
      <c r="E4420" s="2">
        <v>10.329000000000001</v>
      </c>
    </row>
    <row r="4421" spans="1:5" x14ac:dyDescent="0.25">
      <c r="A4421" s="32" t="s">
        <v>767</v>
      </c>
      <c r="B4421" s="7">
        <v>2002</v>
      </c>
      <c r="C4421" s="51" t="s">
        <v>713</v>
      </c>
      <c r="D4421" t="s">
        <v>721</v>
      </c>
      <c r="E4421" s="2">
        <v>10.715</v>
      </c>
    </row>
    <row r="4422" spans="1:5" x14ac:dyDescent="0.25">
      <c r="A4422" s="32" t="s">
        <v>767</v>
      </c>
      <c r="B4422" s="7">
        <v>2002</v>
      </c>
      <c r="C4422" s="51" t="s">
        <v>707</v>
      </c>
      <c r="D4422" t="s">
        <v>721</v>
      </c>
      <c r="E4422" s="2">
        <v>9.2970000000000006</v>
      </c>
    </row>
    <row r="4423" spans="1:5" x14ac:dyDescent="0.25">
      <c r="A4423" s="32" t="s">
        <v>767</v>
      </c>
      <c r="B4423" s="7">
        <v>2002</v>
      </c>
      <c r="C4423" s="51" t="s">
        <v>708</v>
      </c>
      <c r="D4423" t="s">
        <v>721</v>
      </c>
      <c r="E4423" s="2">
        <v>10.324999999999999</v>
      </c>
    </row>
    <row r="4424" spans="1:5" x14ac:dyDescent="0.25">
      <c r="A4424" s="32" t="s">
        <v>767</v>
      </c>
      <c r="B4424" s="7">
        <v>2002</v>
      </c>
      <c r="C4424" s="51" t="s">
        <v>699</v>
      </c>
      <c r="D4424" t="s">
        <v>721</v>
      </c>
      <c r="E4424" s="2">
        <v>10.098000000000001</v>
      </c>
    </row>
    <row r="4425" spans="1:5" x14ac:dyDescent="0.25">
      <c r="A4425" s="32" t="s">
        <v>767</v>
      </c>
      <c r="B4425" s="7">
        <v>2002</v>
      </c>
      <c r="C4425" s="51" t="s">
        <v>709</v>
      </c>
      <c r="D4425" t="s">
        <v>721</v>
      </c>
      <c r="E4425" s="2">
        <v>10.215</v>
      </c>
    </row>
    <row r="4426" spans="1:5" x14ac:dyDescent="0.25">
      <c r="A4426" s="32" t="s">
        <v>767</v>
      </c>
      <c r="B4426" s="7">
        <v>2002</v>
      </c>
      <c r="C4426" s="51" t="s">
        <v>712</v>
      </c>
      <c r="D4426" t="s">
        <v>721</v>
      </c>
      <c r="E4426" s="2">
        <v>9.5920000000000005</v>
      </c>
    </row>
    <row r="4427" spans="1:5" x14ac:dyDescent="0.25">
      <c r="A4427" s="32" t="s">
        <v>767</v>
      </c>
      <c r="B4427" s="7">
        <v>2002</v>
      </c>
      <c r="C4427" s="51" t="s">
        <v>710</v>
      </c>
      <c r="D4427" t="s">
        <v>721</v>
      </c>
      <c r="E4427" s="2">
        <v>9.3089999999999993</v>
      </c>
    </row>
    <row r="4428" spans="1:5" x14ac:dyDescent="0.25">
      <c r="A4428" s="32" t="s">
        <v>767</v>
      </c>
      <c r="B4428" s="7">
        <v>2002</v>
      </c>
      <c r="C4428" s="51" t="s">
        <v>702</v>
      </c>
      <c r="D4428" t="s">
        <v>721</v>
      </c>
      <c r="E4428" s="2">
        <v>9.7189999999999994</v>
      </c>
    </row>
    <row r="4429" spans="1:5" x14ac:dyDescent="0.25">
      <c r="A4429" s="32" t="s">
        <v>767</v>
      </c>
      <c r="B4429" s="7">
        <v>2002</v>
      </c>
      <c r="C4429" s="51" t="s">
        <v>703</v>
      </c>
      <c r="D4429" t="s">
        <v>721</v>
      </c>
      <c r="E4429" s="2">
        <v>9.9879999999999995</v>
      </c>
    </row>
    <row r="4430" spans="1:5" x14ac:dyDescent="0.25">
      <c r="A4430" s="32" t="s">
        <v>767</v>
      </c>
      <c r="B4430" s="7">
        <v>2002</v>
      </c>
      <c r="C4430" s="51" t="s">
        <v>704</v>
      </c>
      <c r="D4430" t="s">
        <v>721</v>
      </c>
      <c r="E4430" s="2">
        <v>11.345000000000001</v>
      </c>
    </row>
    <row r="4431" spans="1:5" x14ac:dyDescent="0.25">
      <c r="A4431" s="32" t="s">
        <v>767</v>
      </c>
      <c r="B4431" s="7">
        <v>2002</v>
      </c>
      <c r="C4431" s="51" t="s">
        <v>705</v>
      </c>
      <c r="D4431" t="s">
        <v>721</v>
      </c>
      <c r="E4431" s="2">
        <v>10.763</v>
      </c>
    </row>
    <row r="4432" spans="1:5" x14ac:dyDescent="0.25">
      <c r="A4432" s="32" t="s">
        <v>767</v>
      </c>
      <c r="B4432" s="7">
        <v>2002</v>
      </c>
      <c r="C4432" s="51" t="s">
        <v>706</v>
      </c>
      <c r="D4432" t="s">
        <v>721</v>
      </c>
      <c r="E4432" s="2">
        <v>10.898999999999999</v>
      </c>
    </row>
    <row r="4433" spans="1:5" x14ac:dyDescent="0.25">
      <c r="A4433" s="32" t="s">
        <v>767</v>
      </c>
      <c r="B4433" s="7">
        <v>2003</v>
      </c>
      <c r="C4433" s="51" t="s">
        <v>713</v>
      </c>
      <c r="D4433" t="s">
        <v>721</v>
      </c>
      <c r="E4433" s="2">
        <v>10.917999999999999</v>
      </c>
    </row>
    <row r="4434" spans="1:5" x14ac:dyDescent="0.25">
      <c r="A4434" s="32" t="s">
        <v>767</v>
      </c>
      <c r="B4434" s="7">
        <v>2003</v>
      </c>
      <c r="C4434" s="51" t="s">
        <v>707</v>
      </c>
      <c r="D4434" t="s">
        <v>721</v>
      </c>
      <c r="E4434" s="2">
        <v>10.491</v>
      </c>
    </row>
    <row r="4435" spans="1:5" x14ac:dyDescent="0.25">
      <c r="A4435" s="32" t="s">
        <v>767</v>
      </c>
      <c r="B4435" s="7">
        <v>2003</v>
      </c>
      <c r="C4435" s="51" t="s">
        <v>708</v>
      </c>
      <c r="D4435" t="s">
        <v>721</v>
      </c>
      <c r="E4435" s="2">
        <v>11.224</v>
      </c>
    </row>
    <row r="4436" spans="1:5" x14ac:dyDescent="0.25">
      <c r="A4436" s="32" t="s">
        <v>767</v>
      </c>
      <c r="B4436" s="7">
        <v>2003</v>
      </c>
      <c r="C4436" s="51" t="s">
        <v>699</v>
      </c>
      <c r="D4436" t="s">
        <v>721</v>
      </c>
      <c r="E4436" s="2">
        <v>9.8840000000000003</v>
      </c>
    </row>
    <row r="4437" spans="1:5" x14ac:dyDescent="0.25">
      <c r="A4437" s="32" t="s">
        <v>767</v>
      </c>
      <c r="B4437" s="7">
        <v>2003</v>
      </c>
      <c r="C4437" s="51" t="s">
        <v>709</v>
      </c>
      <c r="D4437" t="s">
        <v>721</v>
      </c>
      <c r="E4437" s="2">
        <v>10.86</v>
      </c>
    </row>
    <row r="4438" spans="1:5" x14ac:dyDescent="0.25">
      <c r="A4438" s="32" t="s">
        <v>767</v>
      </c>
      <c r="B4438" s="7">
        <v>2003</v>
      </c>
      <c r="C4438" s="51" t="s">
        <v>712</v>
      </c>
      <c r="D4438" t="s">
        <v>721</v>
      </c>
      <c r="E4438" s="2">
        <v>10.432</v>
      </c>
    </row>
    <row r="4439" spans="1:5" x14ac:dyDescent="0.25">
      <c r="A4439" s="32" t="s">
        <v>767</v>
      </c>
      <c r="B4439" s="7">
        <v>2003</v>
      </c>
      <c r="C4439" s="51" t="s">
        <v>710</v>
      </c>
      <c r="D4439" t="s">
        <v>721</v>
      </c>
      <c r="E4439" s="2">
        <v>9.7449999999999992</v>
      </c>
    </row>
    <row r="4440" spans="1:5" x14ac:dyDescent="0.25">
      <c r="A4440" s="32" t="s">
        <v>767</v>
      </c>
      <c r="B4440" s="7">
        <v>2003</v>
      </c>
      <c r="C4440" s="51" t="s">
        <v>702</v>
      </c>
      <c r="D4440" t="s">
        <v>721</v>
      </c>
      <c r="E4440" s="2">
        <v>10.01</v>
      </c>
    </row>
    <row r="4441" spans="1:5" x14ac:dyDescent="0.25">
      <c r="A4441" s="32" t="s">
        <v>767</v>
      </c>
      <c r="B4441" s="7">
        <v>2003</v>
      </c>
      <c r="C4441" s="51" t="s">
        <v>703</v>
      </c>
      <c r="D4441" t="s">
        <v>721</v>
      </c>
      <c r="E4441" s="2">
        <v>10.862</v>
      </c>
    </row>
    <row r="4442" spans="1:5" x14ac:dyDescent="0.25">
      <c r="A4442" s="32" t="s">
        <v>767</v>
      </c>
      <c r="B4442" s="7">
        <v>2003</v>
      </c>
      <c r="C4442" s="51" t="s">
        <v>704</v>
      </c>
      <c r="D4442" t="s">
        <v>721</v>
      </c>
      <c r="E4442" s="2">
        <v>10.507</v>
      </c>
    </row>
    <row r="4443" spans="1:5" x14ac:dyDescent="0.25">
      <c r="A4443" s="32" t="s">
        <v>767</v>
      </c>
      <c r="B4443" s="7">
        <v>2003</v>
      </c>
      <c r="C4443" s="51" t="s">
        <v>705</v>
      </c>
      <c r="D4443" t="s">
        <v>721</v>
      </c>
      <c r="E4443" s="2">
        <v>10.512</v>
      </c>
    </row>
    <row r="4444" spans="1:5" x14ac:dyDescent="0.25">
      <c r="A4444" s="32" t="s">
        <v>767</v>
      </c>
      <c r="B4444" s="7">
        <v>2003</v>
      </c>
      <c r="C4444" s="51" t="s">
        <v>706</v>
      </c>
      <c r="D4444" t="s">
        <v>721</v>
      </c>
      <c r="E4444" s="2">
        <v>11.115</v>
      </c>
    </row>
    <row r="4445" spans="1:5" x14ac:dyDescent="0.25">
      <c r="A4445" s="32" t="s">
        <v>767</v>
      </c>
      <c r="B4445" s="7">
        <v>2004</v>
      </c>
      <c r="C4445" s="51" t="s">
        <v>713</v>
      </c>
      <c r="D4445" t="s">
        <v>721</v>
      </c>
      <c r="E4445" s="2">
        <v>11.426</v>
      </c>
    </row>
    <row r="4446" spans="1:5" x14ac:dyDescent="0.25">
      <c r="A4446" s="32" t="s">
        <v>767</v>
      </c>
      <c r="B4446" s="7">
        <v>2004</v>
      </c>
      <c r="C4446" s="51" t="s">
        <v>707</v>
      </c>
      <c r="D4446" t="s">
        <v>721</v>
      </c>
      <c r="E4446" s="2">
        <v>10.712</v>
      </c>
    </row>
    <row r="4447" spans="1:5" x14ac:dyDescent="0.25">
      <c r="A4447" s="32" t="s">
        <v>767</v>
      </c>
      <c r="B4447" s="7">
        <v>2004</v>
      </c>
      <c r="C4447" s="51" t="s">
        <v>708</v>
      </c>
      <c r="D4447" t="s">
        <v>721</v>
      </c>
      <c r="E4447" s="2">
        <v>10.913</v>
      </c>
    </row>
    <row r="4448" spans="1:5" x14ac:dyDescent="0.25">
      <c r="A4448" s="32" t="s">
        <v>767</v>
      </c>
      <c r="B4448" s="7">
        <v>2004</v>
      </c>
      <c r="C4448" s="51" t="s">
        <v>699</v>
      </c>
      <c r="D4448" t="s">
        <v>721</v>
      </c>
      <c r="E4448" s="2">
        <v>10.486000000000001</v>
      </c>
    </row>
    <row r="4449" spans="1:5" x14ac:dyDescent="0.25">
      <c r="A4449" s="32" t="s">
        <v>767</v>
      </c>
      <c r="B4449" s="7">
        <v>2004</v>
      </c>
      <c r="C4449" s="51" t="s">
        <v>709</v>
      </c>
      <c r="D4449" t="s">
        <v>721</v>
      </c>
      <c r="E4449" s="2">
        <v>10.641999999999999</v>
      </c>
    </row>
    <row r="4450" spans="1:5" x14ac:dyDescent="0.25">
      <c r="A4450" s="32" t="s">
        <v>767</v>
      </c>
      <c r="B4450" s="7">
        <v>2004</v>
      </c>
      <c r="C4450" s="51" t="s">
        <v>712</v>
      </c>
      <c r="D4450" t="s">
        <v>721</v>
      </c>
      <c r="E4450" s="2">
        <v>10.003</v>
      </c>
    </row>
    <row r="4451" spans="1:5" x14ac:dyDescent="0.25">
      <c r="A4451" s="32" t="s">
        <v>767</v>
      </c>
      <c r="B4451" s="7">
        <v>2004</v>
      </c>
      <c r="C4451" s="51" t="s">
        <v>710</v>
      </c>
      <c r="D4451" t="s">
        <v>721</v>
      </c>
      <c r="E4451" s="2">
        <v>10.113</v>
      </c>
    </row>
    <row r="4452" spans="1:5" x14ac:dyDescent="0.25">
      <c r="A4452" s="32" t="s">
        <v>767</v>
      </c>
      <c r="B4452" s="7">
        <v>2004</v>
      </c>
      <c r="C4452" s="51" t="s">
        <v>702</v>
      </c>
      <c r="D4452" t="s">
        <v>721</v>
      </c>
      <c r="E4452" s="2">
        <v>10.224</v>
      </c>
    </row>
    <row r="4453" spans="1:5" x14ac:dyDescent="0.25">
      <c r="A4453" s="32" t="s">
        <v>767</v>
      </c>
      <c r="B4453" s="7">
        <v>2004</v>
      </c>
      <c r="C4453" s="51" t="s">
        <v>703</v>
      </c>
      <c r="D4453" t="s">
        <v>721</v>
      </c>
      <c r="E4453" s="2">
        <v>10.224</v>
      </c>
    </row>
    <row r="4454" spans="1:5" x14ac:dyDescent="0.25">
      <c r="A4454" s="32" t="s">
        <v>767</v>
      </c>
      <c r="B4454" s="7">
        <v>2004</v>
      </c>
      <c r="C4454" s="51" t="s">
        <v>704</v>
      </c>
      <c r="D4454" t="s">
        <v>721</v>
      </c>
      <c r="E4454" s="2">
        <v>9.5670000000000002</v>
      </c>
    </row>
    <row r="4455" spans="1:5" x14ac:dyDescent="0.25">
      <c r="A4455" s="32" t="s">
        <v>767</v>
      </c>
      <c r="B4455" s="7">
        <v>2004</v>
      </c>
      <c r="C4455" s="51" t="s">
        <v>705</v>
      </c>
      <c r="D4455" t="s">
        <v>721</v>
      </c>
      <c r="E4455" s="2">
        <v>9.4060000000000006</v>
      </c>
    </row>
    <row r="4456" spans="1:5" x14ac:dyDescent="0.25">
      <c r="A4456" s="32" t="s">
        <v>767</v>
      </c>
      <c r="B4456" s="7">
        <v>2004</v>
      </c>
      <c r="C4456" s="51" t="s">
        <v>706</v>
      </c>
      <c r="D4456" t="s">
        <v>721</v>
      </c>
      <c r="E4456" s="2">
        <v>10.275</v>
      </c>
    </row>
    <row r="4457" spans="1:5" x14ac:dyDescent="0.25">
      <c r="A4457" s="32" t="s">
        <v>767</v>
      </c>
      <c r="B4457" s="7">
        <v>2005</v>
      </c>
      <c r="C4457" s="51" t="s">
        <v>713</v>
      </c>
      <c r="D4457" t="s">
        <v>721</v>
      </c>
      <c r="E4457" s="2">
        <v>10.872999999999999</v>
      </c>
    </row>
    <row r="4458" spans="1:5" x14ac:dyDescent="0.25">
      <c r="A4458" s="32" t="s">
        <v>767</v>
      </c>
      <c r="B4458" s="7">
        <v>2005</v>
      </c>
      <c r="C4458" s="51" t="s">
        <v>707</v>
      </c>
      <c r="D4458" t="s">
        <v>721</v>
      </c>
      <c r="E4458" s="2">
        <v>9.7520000000000007</v>
      </c>
    </row>
    <row r="4459" spans="1:5" x14ac:dyDescent="0.25">
      <c r="A4459" s="32" t="s">
        <v>767</v>
      </c>
      <c r="B4459" s="7">
        <v>2005</v>
      </c>
      <c r="C4459" s="51" t="s">
        <v>708</v>
      </c>
      <c r="D4459" t="s">
        <v>721</v>
      </c>
      <c r="E4459" s="2">
        <v>9.8710000000000004</v>
      </c>
    </row>
    <row r="4460" spans="1:5" x14ac:dyDescent="0.25">
      <c r="A4460" s="32" t="s">
        <v>767</v>
      </c>
      <c r="B4460" s="7">
        <v>2005</v>
      </c>
      <c r="C4460" s="51" t="s">
        <v>699</v>
      </c>
      <c r="D4460" t="s">
        <v>721</v>
      </c>
      <c r="E4460" s="2">
        <v>9.5139999999999993</v>
      </c>
    </row>
    <row r="4461" spans="1:5" x14ac:dyDescent="0.25">
      <c r="A4461" s="32" t="s">
        <v>767</v>
      </c>
      <c r="B4461" s="7">
        <v>2005</v>
      </c>
      <c r="C4461" s="51" t="s">
        <v>709</v>
      </c>
      <c r="D4461" t="s">
        <v>721</v>
      </c>
      <c r="E4461" s="2">
        <v>9.3719999999999999</v>
      </c>
    </row>
    <row r="4462" spans="1:5" x14ac:dyDescent="0.25">
      <c r="A4462" s="32" t="s">
        <v>767</v>
      </c>
      <c r="B4462" s="7">
        <v>2005</v>
      </c>
      <c r="C4462" s="51" t="s">
        <v>712</v>
      </c>
      <c r="D4462" t="s">
        <v>721</v>
      </c>
      <c r="E4462" s="2">
        <v>8.4280000000000008</v>
      </c>
    </row>
    <row r="4463" spans="1:5" x14ac:dyDescent="0.25">
      <c r="A4463" s="32" t="s">
        <v>767</v>
      </c>
      <c r="B4463" s="7">
        <v>2005</v>
      </c>
      <c r="C4463" s="51" t="s">
        <v>710</v>
      </c>
      <c r="D4463" t="s">
        <v>721</v>
      </c>
      <c r="E4463" s="2">
        <v>8.6590000000000007</v>
      </c>
    </row>
    <row r="4464" spans="1:5" x14ac:dyDescent="0.25">
      <c r="A4464" s="32" t="s">
        <v>767</v>
      </c>
      <c r="B4464" s="7">
        <v>2005</v>
      </c>
      <c r="C4464" s="51" t="s">
        <v>702</v>
      </c>
      <c r="D4464" t="s">
        <v>721</v>
      </c>
      <c r="E4464" s="2">
        <v>8.6189999999999998</v>
      </c>
    </row>
    <row r="4465" spans="1:5" x14ac:dyDescent="0.25">
      <c r="A4465" s="32" t="s">
        <v>767</v>
      </c>
      <c r="B4465" s="7">
        <v>2005</v>
      </c>
      <c r="C4465" s="51" t="s">
        <v>703</v>
      </c>
      <c r="D4465" t="s">
        <v>721</v>
      </c>
      <c r="E4465" s="2">
        <v>8.6579999999999995</v>
      </c>
    </row>
    <row r="4466" spans="1:5" x14ac:dyDescent="0.25">
      <c r="A4466" s="32" t="s">
        <v>767</v>
      </c>
      <c r="B4466" s="7">
        <v>2005</v>
      </c>
      <c r="C4466" s="51" t="s">
        <v>704</v>
      </c>
      <c r="D4466" t="s">
        <v>721</v>
      </c>
      <c r="E4466" s="2">
        <v>9.7520000000000007</v>
      </c>
    </row>
    <row r="4467" spans="1:5" x14ac:dyDescent="0.25">
      <c r="A4467" s="32" t="s">
        <v>767</v>
      </c>
      <c r="B4467" s="7">
        <v>2005</v>
      </c>
      <c r="C4467" s="51" t="s">
        <v>705</v>
      </c>
      <c r="D4467" t="s">
        <v>721</v>
      </c>
      <c r="E4467" s="2">
        <v>8.782</v>
      </c>
    </row>
    <row r="4468" spans="1:5" x14ac:dyDescent="0.25">
      <c r="A4468" s="32" t="s">
        <v>767</v>
      </c>
      <c r="B4468" s="7">
        <v>2005</v>
      </c>
      <c r="C4468" s="51" t="s">
        <v>706</v>
      </c>
      <c r="D4468" t="s">
        <v>721</v>
      </c>
      <c r="E4468" s="2">
        <v>9.484</v>
      </c>
    </row>
    <row r="4469" spans="1:5" x14ac:dyDescent="0.25">
      <c r="A4469" s="32" t="s">
        <v>767</v>
      </c>
      <c r="B4469" s="7">
        <v>2006</v>
      </c>
      <c r="C4469" s="51" t="s">
        <v>713</v>
      </c>
      <c r="D4469" t="s">
        <v>721</v>
      </c>
      <c r="E4469" s="2">
        <v>11.298</v>
      </c>
    </row>
    <row r="4470" spans="1:5" x14ac:dyDescent="0.25">
      <c r="A4470" s="32" t="s">
        <v>767</v>
      </c>
      <c r="B4470" s="7">
        <v>2006</v>
      </c>
      <c r="C4470" s="51" t="s">
        <v>707</v>
      </c>
      <c r="D4470" t="s">
        <v>721</v>
      </c>
      <c r="E4470" s="2">
        <v>10.385</v>
      </c>
    </row>
    <row r="4471" spans="1:5" x14ac:dyDescent="0.25">
      <c r="A4471" s="32" t="s">
        <v>767</v>
      </c>
      <c r="B4471" s="7">
        <v>2006</v>
      </c>
      <c r="C4471" s="51" t="s">
        <v>708</v>
      </c>
      <c r="D4471" t="s">
        <v>721</v>
      </c>
      <c r="E4471" s="2">
        <v>11.154</v>
      </c>
    </row>
    <row r="4472" spans="1:5" x14ac:dyDescent="0.25">
      <c r="A4472" s="32" t="s">
        <v>767</v>
      </c>
      <c r="B4472" s="7">
        <v>2006</v>
      </c>
      <c r="C4472" s="51" t="s">
        <v>699</v>
      </c>
      <c r="D4472" t="s">
        <v>721</v>
      </c>
      <c r="E4472" s="2">
        <v>10.661</v>
      </c>
    </row>
    <row r="4473" spans="1:5" x14ac:dyDescent="0.25">
      <c r="A4473" s="32" t="s">
        <v>767</v>
      </c>
      <c r="B4473" s="7">
        <v>2006</v>
      </c>
      <c r="C4473" s="51" t="s">
        <v>709</v>
      </c>
      <c r="D4473" t="s">
        <v>721</v>
      </c>
      <c r="E4473" s="2">
        <v>10.97</v>
      </c>
    </row>
    <row r="4474" spans="1:5" x14ac:dyDescent="0.25">
      <c r="A4474" s="32" t="s">
        <v>767</v>
      </c>
      <c r="B4474" s="7">
        <v>2006</v>
      </c>
      <c r="C4474" s="51" t="s">
        <v>712</v>
      </c>
      <c r="D4474" t="s">
        <v>721</v>
      </c>
      <c r="E4474" s="2">
        <v>10.522</v>
      </c>
    </row>
    <row r="4475" spans="1:5" x14ac:dyDescent="0.25">
      <c r="A4475" s="32" t="s">
        <v>767</v>
      </c>
      <c r="B4475" s="7">
        <v>2006</v>
      </c>
      <c r="C4475" s="51" t="s">
        <v>710</v>
      </c>
      <c r="D4475" t="s">
        <v>721</v>
      </c>
      <c r="E4475" s="2">
        <v>9.4550000000000001</v>
      </c>
    </row>
    <row r="4476" spans="1:5" x14ac:dyDescent="0.25">
      <c r="A4476" s="32" t="s">
        <v>767</v>
      </c>
      <c r="B4476" s="7">
        <v>2006</v>
      </c>
      <c r="C4476" s="51" t="s">
        <v>702</v>
      </c>
      <c r="D4476" t="s">
        <v>721</v>
      </c>
      <c r="E4476" s="2">
        <v>9.5809999999999995</v>
      </c>
    </row>
    <row r="4477" spans="1:5" x14ac:dyDescent="0.25">
      <c r="A4477" s="32" t="s">
        <v>767</v>
      </c>
      <c r="B4477" s="7">
        <v>2006</v>
      </c>
      <c r="C4477" s="51" t="s">
        <v>703</v>
      </c>
      <c r="D4477" t="s">
        <v>721</v>
      </c>
      <c r="E4477" s="2">
        <v>9.9719999999999995</v>
      </c>
    </row>
    <row r="4478" spans="1:5" x14ac:dyDescent="0.25">
      <c r="A4478" s="32" t="s">
        <v>767</v>
      </c>
      <c r="B4478" s="7">
        <v>2006</v>
      </c>
      <c r="C4478" s="51" t="s">
        <v>704</v>
      </c>
      <c r="D4478" t="s">
        <v>721</v>
      </c>
      <c r="E4478" s="2">
        <v>10.398</v>
      </c>
    </row>
    <row r="4479" spans="1:5" x14ac:dyDescent="0.25">
      <c r="A4479" s="32" t="s">
        <v>767</v>
      </c>
      <c r="B4479" s="7">
        <v>2006</v>
      </c>
      <c r="C4479" s="51" t="s">
        <v>705</v>
      </c>
      <c r="D4479" t="s">
        <v>721</v>
      </c>
      <c r="E4479" s="2">
        <v>10.319000000000001</v>
      </c>
    </row>
    <row r="4480" spans="1:5" x14ac:dyDescent="0.25">
      <c r="A4480" s="32" t="s">
        <v>767</v>
      </c>
      <c r="B4480" s="7">
        <v>2006</v>
      </c>
      <c r="C4480" s="51" t="s">
        <v>706</v>
      </c>
      <c r="D4480" t="s">
        <v>721</v>
      </c>
      <c r="E4480" s="2">
        <v>10.362</v>
      </c>
    </row>
    <row r="4481" spans="1:5" x14ac:dyDescent="0.25">
      <c r="A4481" s="32" t="s">
        <v>767</v>
      </c>
      <c r="B4481" s="7">
        <v>2007</v>
      </c>
      <c r="C4481" s="51" t="s">
        <v>713</v>
      </c>
      <c r="D4481" t="s">
        <v>721</v>
      </c>
      <c r="E4481" s="2">
        <v>10.525</v>
      </c>
    </row>
    <row r="4482" spans="1:5" x14ac:dyDescent="0.25">
      <c r="A4482" s="32" t="s">
        <v>767</v>
      </c>
      <c r="B4482" s="7">
        <v>2007</v>
      </c>
      <c r="C4482" s="51" t="s">
        <v>707</v>
      </c>
      <c r="D4482" t="s">
        <v>721</v>
      </c>
      <c r="E4482" s="2">
        <v>9.3840000000000003</v>
      </c>
    </row>
    <row r="4483" spans="1:5" x14ac:dyDescent="0.25">
      <c r="A4483" s="32" t="s">
        <v>767</v>
      </c>
      <c r="B4483" s="7">
        <v>2007</v>
      </c>
      <c r="C4483" s="51" t="s">
        <v>708</v>
      </c>
      <c r="D4483" t="s">
        <v>721</v>
      </c>
      <c r="E4483" s="2">
        <v>10.257999999999999</v>
      </c>
    </row>
    <row r="4484" spans="1:5" x14ac:dyDescent="0.25">
      <c r="A4484" s="32" t="s">
        <v>767</v>
      </c>
      <c r="B4484" s="7">
        <v>2007</v>
      </c>
      <c r="C4484" s="51" t="s">
        <v>699</v>
      </c>
      <c r="D4484" t="s">
        <v>721</v>
      </c>
      <c r="E4484" s="2">
        <v>10.042999999999999</v>
      </c>
    </row>
    <row r="4485" spans="1:5" x14ac:dyDescent="0.25">
      <c r="A4485" s="32" t="s">
        <v>767</v>
      </c>
      <c r="B4485" s="7">
        <v>2007</v>
      </c>
      <c r="C4485" s="51" t="s">
        <v>709</v>
      </c>
      <c r="D4485" t="s">
        <v>721</v>
      </c>
      <c r="E4485" s="2">
        <v>10.254</v>
      </c>
    </row>
    <row r="4486" spans="1:5" x14ac:dyDescent="0.25">
      <c r="A4486" s="32" t="s">
        <v>767</v>
      </c>
      <c r="B4486" s="7">
        <v>2007</v>
      </c>
      <c r="C4486" s="51" t="s">
        <v>712</v>
      </c>
      <c r="D4486" t="s">
        <v>721</v>
      </c>
      <c r="E4486" s="2">
        <v>9.7100000000000009</v>
      </c>
    </row>
    <row r="4487" spans="1:5" x14ac:dyDescent="0.25">
      <c r="A4487" s="32" t="s">
        <v>767</v>
      </c>
      <c r="B4487" s="7">
        <v>2007</v>
      </c>
      <c r="C4487" s="51" t="s">
        <v>710</v>
      </c>
      <c r="D4487" t="s">
        <v>721</v>
      </c>
      <c r="E4487" s="2">
        <v>10.265000000000001</v>
      </c>
    </row>
    <row r="4488" spans="1:5" x14ac:dyDescent="0.25">
      <c r="A4488" s="32" t="s">
        <v>767</v>
      </c>
      <c r="B4488" s="7">
        <v>2007</v>
      </c>
      <c r="C4488" s="51" t="s">
        <v>702</v>
      </c>
      <c r="D4488" t="s">
        <v>721</v>
      </c>
      <c r="E4488" s="2">
        <v>11.302</v>
      </c>
    </row>
    <row r="4489" spans="1:5" x14ac:dyDescent="0.25">
      <c r="A4489" s="32" t="s">
        <v>767</v>
      </c>
      <c r="B4489" s="7">
        <v>2007</v>
      </c>
      <c r="C4489" s="51" t="s">
        <v>703</v>
      </c>
      <c r="D4489" t="s">
        <v>721</v>
      </c>
      <c r="E4489" s="2">
        <v>11.254</v>
      </c>
    </row>
    <row r="4490" spans="1:5" x14ac:dyDescent="0.25">
      <c r="A4490" s="32" t="s">
        <v>767</v>
      </c>
      <c r="B4490" s="7">
        <v>2007</v>
      </c>
      <c r="C4490" s="51" t="s">
        <v>704</v>
      </c>
      <c r="D4490" t="s">
        <v>721</v>
      </c>
      <c r="E4490" s="2">
        <v>11.379</v>
      </c>
    </row>
    <row r="4491" spans="1:5" x14ac:dyDescent="0.25">
      <c r="A4491" s="32" t="s">
        <v>767</v>
      </c>
      <c r="B4491" s="7">
        <v>2007</v>
      </c>
      <c r="C4491" s="51" t="s">
        <v>705</v>
      </c>
      <c r="D4491" t="s">
        <v>721</v>
      </c>
      <c r="E4491" s="2">
        <v>11.215</v>
      </c>
    </row>
    <row r="4492" spans="1:5" x14ac:dyDescent="0.25">
      <c r="A4492" s="32" t="s">
        <v>767</v>
      </c>
      <c r="B4492" s="7">
        <v>2007</v>
      </c>
      <c r="C4492" s="51" t="s">
        <v>706</v>
      </c>
      <c r="D4492" t="s">
        <v>721</v>
      </c>
      <c r="E4492" s="2">
        <v>11.78</v>
      </c>
    </row>
    <row r="4493" spans="1:5" x14ac:dyDescent="0.25">
      <c r="A4493" s="32" t="s">
        <v>767</v>
      </c>
      <c r="B4493" s="7">
        <v>2008</v>
      </c>
      <c r="C4493" s="51" t="s">
        <v>713</v>
      </c>
      <c r="D4493" t="s">
        <v>721</v>
      </c>
      <c r="E4493" s="2">
        <v>10.967000000000001</v>
      </c>
    </row>
    <row r="4494" spans="1:5" x14ac:dyDescent="0.25">
      <c r="A4494" s="32" t="s">
        <v>767</v>
      </c>
      <c r="B4494" s="7">
        <v>2008</v>
      </c>
      <c r="C4494" s="51" t="s">
        <v>707</v>
      </c>
      <c r="D4494" t="s">
        <v>721</v>
      </c>
      <c r="E4494" s="2">
        <v>11.583</v>
      </c>
    </row>
    <row r="4495" spans="1:5" x14ac:dyDescent="0.25">
      <c r="A4495" s="32" t="s">
        <v>767</v>
      </c>
      <c r="B4495" s="7">
        <v>2008</v>
      </c>
      <c r="C4495" s="51" t="s">
        <v>708</v>
      </c>
      <c r="D4495" t="s">
        <v>721</v>
      </c>
      <c r="E4495" s="2">
        <v>10.478999999999999</v>
      </c>
    </row>
    <row r="4496" spans="1:5" x14ac:dyDescent="0.25">
      <c r="A4496" s="32" t="s">
        <v>767</v>
      </c>
      <c r="B4496" s="7">
        <v>2008</v>
      </c>
      <c r="C4496" s="51" t="s">
        <v>699</v>
      </c>
      <c r="D4496" t="s">
        <v>721</v>
      </c>
      <c r="E4496" s="2">
        <v>11.382999999999999</v>
      </c>
    </row>
    <row r="4497" spans="1:5" x14ac:dyDescent="0.25">
      <c r="A4497" s="32" t="s">
        <v>767</v>
      </c>
      <c r="B4497" s="7">
        <v>2008</v>
      </c>
      <c r="C4497" s="51" t="s">
        <v>709</v>
      </c>
      <c r="D4497" t="s">
        <v>721</v>
      </c>
      <c r="E4497" s="2">
        <v>13.071999999999999</v>
      </c>
    </row>
    <row r="4498" spans="1:5" x14ac:dyDescent="0.25">
      <c r="A4498" s="32" t="s">
        <v>767</v>
      </c>
      <c r="B4498" s="7">
        <v>2008</v>
      </c>
      <c r="C4498" s="51" t="s">
        <v>712</v>
      </c>
      <c r="D4498" t="s">
        <v>721</v>
      </c>
      <c r="E4498" s="2">
        <v>10.292999999999999</v>
      </c>
    </row>
    <row r="4499" spans="1:5" x14ac:dyDescent="0.25">
      <c r="A4499" s="32" t="s">
        <v>767</v>
      </c>
      <c r="B4499" s="7">
        <v>2008</v>
      </c>
      <c r="C4499" s="51" t="s">
        <v>710</v>
      </c>
      <c r="D4499" t="s">
        <v>721</v>
      </c>
      <c r="E4499" s="2">
        <v>10.797000000000001</v>
      </c>
    </row>
    <row r="4500" spans="1:5" x14ac:dyDescent="0.25">
      <c r="A4500" s="32" t="s">
        <v>767</v>
      </c>
      <c r="B4500" s="7">
        <v>2008</v>
      </c>
      <c r="C4500" s="51" t="s">
        <v>702</v>
      </c>
      <c r="D4500" t="s">
        <v>721</v>
      </c>
      <c r="E4500" s="2">
        <v>11.324</v>
      </c>
    </row>
    <row r="4501" spans="1:5" x14ac:dyDescent="0.25">
      <c r="A4501" s="32" t="s">
        <v>767</v>
      </c>
      <c r="B4501" s="7">
        <v>2008</v>
      </c>
      <c r="C4501" s="51" t="s">
        <v>703</v>
      </c>
      <c r="D4501" t="s">
        <v>721</v>
      </c>
      <c r="E4501" s="2">
        <v>11.46</v>
      </c>
    </row>
    <row r="4502" spans="1:5" x14ac:dyDescent="0.25">
      <c r="A4502" s="32" t="s">
        <v>767</v>
      </c>
      <c r="B4502" s="7">
        <v>2008</v>
      </c>
      <c r="C4502" s="51" t="s">
        <v>704</v>
      </c>
      <c r="D4502" t="s">
        <v>721</v>
      </c>
      <c r="E4502" s="2">
        <v>12.308999999999999</v>
      </c>
    </row>
    <row r="4503" spans="1:5" x14ac:dyDescent="0.25">
      <c r="A4503" s="32" t="s">
        <v>767</v>
      </c>
      <c r="B4503" s="7">
        <v>2008</v>
      </c>
      <c r="C4503" s="51" t="s">
        <v>705</v>
      </c>
      <c r="D4503" t="s">
        <v>721</v>
      </c>
      <c r="E4503" s="2">
        <v>10.319000000000001</v>
      </c>
    </row>
    <row r="4504" spans="1:5" x14ac:dyDescent="0.25">
      <c r="A4504" s="32" t="s">
        <v>767</v>
      </c>
      <c r="B4504" s="7">
        <v>2008</v>
      </c>
      <c r="C4504" s="51" t="s">
        <v>706</v>
      </c>
      <c r="D4504" t="s">
        <v>721</v>
      </c>
      <c r="E4504" s="2">
        <v>10.991</v>
      </c>
    </row>
    <row r="4505" spans="1:5" x14ac:dyDescent="0.25">
      <c r="A4505" s="32" t="s">
        <v>767</v>
      </c>
      <c r="B4505" s="7">
        <v>2009</v>
      </c>
      <c r="C4505" s="51" t="s">
        <v>713</v>
      </c>
      <c r="D4505" t="s">
        <v>721</v>
      </c>
      <c r="E4505" s="2">
        <v>13.19</v>
      </c>
    </row>
    <row r="4506" spans="1:5" x14ac:dyDescent="0.25">
      <c r="A4506" s="32" t="s">
        <v>767</v>
      </c>
      <c r="B4506" s="7">
        <v>2009</v>
      </c>
      <c r="C4506" s="51" t="s">
        <v>707</v>
      </c>
      <c r="D4506" t="s">
        <v>721</v>
      </c>
      <c r="E4506" s="2">
        <v>11.568</v>
      </c>
    </row>
    <row r="4507" spans="1:5" x14ac:dyDescent="0.25">
      <c r="A4507" s="32" t="s">
        <v>767</v>
      </c>
      <c r="B4507" s="7">
        <v>2009</v>
      </c>
      <c r="C4507" s="51" t="s">
        <v>708</v>
      </c>
      <c r="D4507" t="s">
        <v>721</v>
      </c>
      <c r="E4507" s="2">
        <v>11.57</v>
      </c>
    </row>
    <row r="4508" spans="1:5" x14ac:dyDescent="0.25">
      <c r="A4508" s="32" t="s">
        <v>767</v>
      </c>
      <c r="B4508" s="7">
        <v>2009</v>
      </c>
      <c r="C4508" s="51" t="s">
        <v>699</v>
      </c>
      <c r="D4508" t="s">
        <v>721</v>
      </c>
      <c r="E4508" s="2">
        <v>11.441000000000001</v>
      </c>
    </row>
    <row r="4509" spans="1:5" x14ac:dyDescent="0.25">
      <c r="A4509" s="32" t="s">
        <v>767</v>
      </c>
      <c r="B4509" s="7">
        <v>2009</v>
      </c>
      <c r="C4509" s="51" t="s">
        <v>709</v>
      </c>
      <c r="D4509" t="s">
        <v>721</v>
      </c>
      <c r="E4509" s="2">
        <v>12.372999999999999</v>
      </c>
    </row>
    <row r="4510" spans="1:5" x14ac:dyDescent="0.25">
      <c r="A4510" s="32" t="s">
        <v>767</v>
      </c>
      <c r="B4510" s="7">
        <v>2009</v>
      </c>
      <c r="C4510" s="51" t="s">
        <v>712</v>
      </c>
      <c r="D4510" t="s">
        <v>721</v>
      </c>
      <c r="E4510" s="2">
        <v>11.548999999999999</v>
      </c>
    </row>
    <row r="4511" spans="1:5" x14ac:dyDescent="0.25">
      <c r="A4511" s="32" t="s">
        <v>767</v>
      </c>
      <c r="B4511" s="7">
        <v>2009</v>
      </c>
      <c r="C4511" s="51" t="s">
        <v>710</v>
      </c>
      <c r="D4511" t="s">
        <v>721</v>
      </c>
      <c r="E4511" s="2">
        <v>11.708</v>
      </c>
    </row>
    <row r="4512" spans="1:5" x14ac:dyDescent="0.25">
      <c r="A4512" s="32" t="s">
        <v>767</v>
      </c>
      <c r="B4512" s="7">
        <v>2009</v>
      </c>
      <c r="C4512" s="51" t="s">
        <v>702</v>
      </c>
      <c r="D4512" t="s">
        <v>721</v>
      </c>
      <c r="E4512" s="2">
        <v>10.443</v>
      </c>
    </row>
    <row r="4513" spans="1:5" x14ac:dyDescent="0.25">
      <c r="A4513" s="32" t="s">
        <v>767</v>
      </c>
      <c r="B4513" s="7">
        <v>2009</v>
      </c>
      <c r="C4513" s="51" t="s">
        <v>703</v>
      </c>
      <c r="D4513" t="s">
        <v>721</v>
      </c>
      <c r="E4513" s="2">
        <v>11.292</v>
      </c>
    </row>
    <row r="4514" spans="1:5" x14ac:dyDescent="0.25">
      <c r="A4514" s="32" t="s">
        <v>767</v>
      </c>
      <c r="B4514" s="7">
        <v>2009</v>
      </c>
      <c r="C4514" s="51" t="s">
        <v>704</v>
      </c>
      <c r="D4514" t="s">
        <v>721</v>
      </c>
      <c r="E4514" s="2">
        <v>12.391</v>
      </c>
    </row>
    <row r="4515" spans="1:5" x14ac:dyDescent="0.25">
      <c r="A4515" s="32" t="s">
        <v>767</v>
      </c>
      <c r="B4515" s="7">
        <v>2009</v>
      </c>
      <c r="C4515" s="51" t="s">
        <v>705</v>
      </c>
      <c r="D4515" t="s">
        <v>721</v>
      </c>
      <c r="E4515" s="2">
        <v>11.141</v>
      </c>
    </row>
    <row r="4516" spans="1:5" x14ac:dyDescent="0.25">
      <c r="A4516" s="32" t="s">
        <v>767</v>
      </c>
      <c r="B4516" s="7">
        <v>2009</v>
      </c>
      <c r="C4516" s="51" t="s">
        <v>706</v>
      </c>
      <c r="D4516" t="s">
        <v>721</v>
      </c>
      <c r="E4516" s="2">
        <v>13.476000000000001</v>
      </c>
    </row>
    <row r="4517" spans="1:5" x14ac:dyDescent="0.25">
      <c r="A4517" s="32" t="s">
        <v>767</v>
      </c>
      <c r="B4517" s="7">
        <v>2010</v>
      </c>
      <c r="C4517" s="51" t="s">
        <v>713</v>
      </c>
      <c r="D4517" t="s">
        <v>721</v>
      </c>
      <c r="E4517" s="2">
        <v>10.566000000000001</v>
      </c>
    </row>
    <row r="4518" spans="1:5" x14ac:dyDescent="0.25">
      <c r="A4518" s="32" t="s">
        <v>767</v>
      </c>
      <c r="B4518" s="7">
        <v>2010</v>
      </c>
      <c r="C4518" s="51" t="s">
        <v>707</v>
      </c>
      <c r="D4518" t="s">
        <v>721</v>
      </c>
      <c r="E4518" s="2">
        <v>9.9670000000000005</v>
      </c>
    </row>
    <row r="4519" spans="1:5" x14ac:dyDescent="0.25">
      <c r="A4519" s="32" t="s">
        <v>767</v>
      </c>
      <c r="B4519" s="7">
        <v>2010</v>
      </c>
      <c r="C4519" s="51" t="s">
        <v>708</v>
      </c>
      <c r="D4519" t="s">
        <v>721</v>
      </c>
      <c r="E4519" s="2">
        <v>11.837</v>
      </c>
    </row>
    <row r="4520" spans="1:5" x14ac:dyDescent="0.25">
      <c r="A4520" s="32" t="s">
        <v>767</v>
      </c>
      <c r="B4520" s="7">
        <v>2010</v>
      </c>
      <c r="C4520" s="51" t="s">
        <v>699</v>
      </c>
      <c r="D4520" t="s">
        <v>721</v>
      </c>
      <c r="E4520" s="2">
        <v>11.834</v>
      </c>
    </row>
    <row r="4521" spans="1:5" x14ac:dyDescent="0.25">
      <c r="A4521" s="32" t="s">
        <v>767</v>
      </c>
      <c r="B4521" s="7">
        <v>2010</v>
      </c>
      <c r="C4521" s="51" t="s">
        <v>709</v>
      </c>
      <c r="D4521" t="s">
        <v>721</v>
      </c>
      <c r="E4521" s="2">
        <v>10.612</v>
      </c>
    </row>
    <row r="4522" spans="1:5" x14ac:dyDescent="0.25">
      <c r="A4522" s="32" t="s">
        <v>767</v>
      </c>
      <c r="B4522" s="7">
        <v>2010</v>
      </c>
      <c r="C4522" s="51" t="s">
        <v>712</v>
      </c>
      <c r="D4522" t="s">
        <v>721</v>
      </c>
      <c r="E4522" s="2">
        <v>10.237</v>
      </c>
    </row>
    <row r="4523" spans="1:5" x14ac:dyDescent="0.25">
      <c r="A4523" s="32" t="s">
        <v>767</v>
      </c>
      <c r="B4523" s="7">
        <v>2010</v>
      </c>
      <c r="C4523" s="51" t="s">
        <v>710</v>
      </c>
      <c r="D4523" t="s">
        <v>721</v>
      </c>
      <c r="E4523" s="2">
        <v>9.0359999999999996</v>
      </c>
    </row>
    <row r="4524" spans="1:5" x14ac:dyDescent="0.25">
      <c r="A4524" s="32" t="s">
        <v>767</v>
      </c>
      <c r="B4524" s="7">
        <v>2010</v>
      </c>
      <c r="C4524" s="51" t="s">
        <v>702</v>
      </c>
      <c r="D4524" t="s">
        <v>721</v>
      </c>
      <c r="E4524" s="2">
        <v>10.565</v>
      </c>
    </row>
    <row r="4525" spans="1:5" x14ac:dyDescent="0.25">
      <c r="A4525" s="32" t="s">
        <v>767</v>
      </c>
      <c r="B4525" s="7">
        <v>2010</v>
      </c>
      <c r="C4525" s="51" t="s">
        <v>703</v>
      </c>
      <c r="D4525" t="s">
        <v>721</v>
      </c>
      <c r="E4525" s="2">
        <v>10.058999999999999</v>
      </c>
    </row>
    <row r="4526" spans="1:5" x14ac:dyDescent="0.25">
      <c r="A4526" s="32" t="s">
        <v>767</v>
      </c>
      <c r="B4526" s="7">
        <v>2010</v>
      </c>
      <c r="C4526" s="51" t="s">
        <v>704</v>
      </c>
      <c r="D4526" t="s">
        <v>721</v>
      </c>
      <c r="E4526" s="2">
        <v>10.773999999999999</v>
      </c>
    </row>
    <row r="4527" spans="1:5" x14ac:dyDescent="0.25">
      <c r="A4527" s="32" t="s">
        <v>767</v>
      </c>
      <c r="B4527" s="7">
        <v>2010</v>
      </c>
      <c r="C4527" s="51" t="s">
        <v>705</v>
      </c>
      <c r="D4527" t="s">
        <v>721</v>
      </c>
      <c r="E4527" s="2">
        <v>10.098000000000001</v>
      </c>
    </row>
    <row r="4528" spans="1:5" x14ac:dyDescent="0.25">
      <c r="A4528" s="32" t="s">
        <v>767</v>
      </c>
      <c r="B4528" s="7">
        <v>2010</v>
      </c>
      <c r="C4528" s="51" t="s">
        <v>706</v>
      </c>
      <c r="D4528" t="s">
        <v>721</v>
      </c>
      <c r="E4528" s="2">
        <v>9.98</v>
      </c>
    </row>
    <row r="4529" spans="1:5" x14ac:dyDescent="0.25">
      <c r="A4529" s="32" t="s">
        <v>767</v>
      </c>
      <c r="B4529" s="7">
        <v>2011</v>
      </c>
      <c r="C4529" s="51" t="s">
        <v>713</v>
      </c>
      <c r="D4529" t="s">
        <v>721</v>
      </c>
      <c r="E4529" s="2">
        <v>11.294</v>
      </c>
    </row>
    <row r="4530" spans="1:5" x14ac:dyDescent="0.25">
      <c r="A4530" s="32" t="s">
        <v>767</v>
      </c>
      <c r="B4530" s="7">
        <v>2011</v>
      </c>
      <c r="C4530" s="51" t="s">
        <v>707</v>
      </c>
      <c r="D4530" t="s">
        <v>721</v>
      </c>
      <c r="E4530" s="2">
        <v>9.5060000000000002</v>
      </c>
    </row>
    <row r="4531" spans="1:5" x14ac:dyDescent="0.25">
      <c r="A4531" s="32" t="s">
        <v>767</v>
      </c>
      <c r="B4531" s="7">
        <v>2011</v>
      </c>
      <c r="C4531" s="51" t="s">
        <v>708</v>
      </c>
      <c r="D4531" t="s">
        <v>721</v>
      </c>
      <c r="E4531" s="2">
        <v>10.746</v>
      </c>
    </row>
    <row r="4532" spans="1:5" x14ac:dyDescent="0.25">
      <c r="A4532" s="32" t="s">
        <v>767</v>
      </c>
      <c r="B4532" s="7">
        <v>2011</v>
      </c>
      <c r="C4532" s="51" t="s">
        <v>699</v>
      </c>
      <c r="D4532" t="s">
        <v>721</v>
      </c>
      <c r="E4532" s="2">
        <v>9.8889999999999993</v>
      </c>
    </row>
    <row r="4533" spans="1:5" x14ac:dyDescent="0.25">
      <c r="A4533" s="32" t="s">
        <v>767</v>
      </c>
      <c r="B4533" s="7">
        <v>2011</v>
      </c>
      <c r="C4533" s="51" t="s">
        <v>709</v>
      </c>
      <c r="D4533" t="s">
        <v>721</v>
      </c>
      <c r="E4533" s="2">
        <v>11.494999999999999</v>
      </c>
    </row>
    <row r="4534" spans="1:5" x14ac:dyDescent="0.25">
      <c r="A4534" s="32" t="s">
        <v>767</v>
      </c>
      <c r="B4534" s="7">
        <v>2011</v>
      </c>
      <c r="C4534" s="51" t="s">
        <v>712</v>
      </c>
      <c r="D4534" t="s">
        <v>721</v>
      </c>
      <c r="E4534" s="2">
        <v>10.029999999999999</v>
      </c>
    </row>
    <row r="4535" spans="1:5" x14ac:dyDescent="0.25">
      <c r="A4535" s="32" t="s">
        <v>767</v>
      </c>
      <c r="B4535" s="7">
        <v>2011</v>
      </c>
      <c r="C4535" s="51" t="s">
        <v>710</v>
      </c>
      <c r="D4535" t="s">
        <v>721</v>
      </c>
      <c r="E4535" s="2">
        <v>10.151999999999999</v>
      </c>
    </row>
    <row r="4536" spans="1:5" x14ac:dyDescent="0.25">
      <c r="A4536" s="32" t="s">
        <v>767</v>
      </c>
      <c r="B4536" s="7">
        <v>2011</v>
      </c>
      <c r="C4536" s="51" t="s">
        <v>702</v>
      </c>
      <c r="D4536" t="s">
        <v>721</v>
      </c>
      <c r="E4536" s="2">
        <v>10.106999999999999</v>
      </c>
    </row>
    <row r="4537" spans="1:5" x14ac:dyDescent="0.25">
      <c r="A4537" s="32" t="s">
        <v>767</v>
      </c>
      <c r="B4537" s="7">
        <v>2011</v>
      </c>
      <c r="C4537" s="51" t="s">
        <v>703</v>
      </c>
      <c r="D4537" t="s">
        <v>721</v>
      </c>
      <c r="E4537" s="2">
        <v>11.394</v>
      </c>
    </row>
    <row r="4538" spans="1:5" x14ac:dyDescent="0.25">
      <c r="A4538" s="32" t="s">
        <v>767</v>
      </c>
      <c r="B4538" s="7">
        <v>2011</v>
      </c>
      <c r="C4538" s="51" t="s">
        <v>704</v>
      </c>
      <c r="D4538" t="s">
        <v>721</v>
      </c>
      <c r="E4538" s="2">
        <v>11.317</v>
      </c>
    </row>
    <row r="4539" spans="1:5" x14ac:dyDescent="0.25">
      <c r="A4539" s="32" t="s">
        <v>767</v>
      </c>
      <c r="B4539" s="7">
        <v>2011</v>
      </c>
      <c r="C4539" s="51" t="s">
        <v>705</v>
      </c>
      <c r="D4539" t="s">
        <v>721</v>
      </c>
      <c r="E4539" s="2">
        <v>10.505000000000001</v>
      </c>
    </row>
    <row r="4540" spans="1:5" x14ac:dyDescent="0.25">
      <c r="A4540" s="32" t="s">
        <v>767</v>
      </c>
      <c r="B4540" s="7">
        <v>2011</v>
      </c>
      <c r="C4540" s="51" t="s">
        <v>706</v>
      </c>
      <c r="D4540" t="s">
        <v>721</v>
      </c>
      <c r="E4540" s="2">
        <v>10.619</v>
      </c>
    </row>
    <row r="4541" spans="1:5" x14ac:dyDescent="0.25">
      <c r="A4541" s="32" t="s">
        <v>767</v>
      </c>
      <c r="B4541" s="7">
        <v>2012</v>
      </c>
      <c r="C4541" s="51" t="s">
        <v>713</v>
      </c>
      <c r="D4541" t="s">
        <v>721</v>
      </c>
      <c r="E4541" s="2">
        <v>11.867000000000001</v>
      </c>
    </row>
    <row r="4542" spans="1:5" x14ac:dyDescent="0.25">
      <c r="A4542" s="32" t="s">
        <v>767</v>
      </c>
      <c r="B4542" s="7">
        <v>2012</v>
      </c>
      <c r="C4542" s="51" t="s">
        <v>707</v>
      </c>
      <c r="D4542" t="s">
        <v>721</v>
      </c>
      <c r="E4542" s="2">
        <v>10.244</v>
      </c>
    </row>
    <row r="4543" spans="1:5" x14ac:dyDescent="0.25">
      <c r="A4543" s="32" t="s">
        <v>767</v>
      </c>
      <c r="B4543" s="7">
        <v>2012</v>
      </c>
      <c r="C4543" s="51" t="s">
        <v>708</v>
      </c>
      <c r="D4543" t="s">
        <v>721</v>
      </c>
      <c r="E4543" s="2">
        <v>10.335000000000001</v>
      </c>
    </row>
    <row r="4544" spans="1:5" x14ac:dyDescent="0.25">
      <c r="A4544" s="32" t="s">
        <v>767</v>
      </c>
      <c r="B4544" s="7">
        <v>2012</v>
      </c>
      <c r="C4544" s="51" t="s">
        <v>699</v>
      </c>
      <c r="D4544" t="s">
        <v>721</v>
      </c>
      <c r="E4544" s="2">
        <v>11.176</v>
      </c>
    </row>
    <row r="4545" spans="1:5" x14ac:dyDescent="0.25">
      <c r="A4545" s="32" t="s">
        <v>767</v>
      </c>
      <c r="B4545" s="7">
        <v>2012</v>
      </c>
      <c r="C4545" s="51" t="s">
        <v>709</v>
      </c>
      <c r="D4545" t="s">
        <v>721</v>
      </c>
      <c r="E4545" s="2">
        <v>10.714</v>
      </c>
    </row>
    <row r="4546" spans="1:5" x14ac:dyDescent="0.25">
      <c r="A4546" s="32" t="s">
        <v>767</v>
      </c>
      <c r="B4546" s="7">
        <v>2012</v>
      </c>
      <c r="C4546" s="51" t="s">
        <v>712</v>
      </c>
      <c r="D4546" t="s">
        <v>721</v>
      </c>
      <c r="E4546" s="2">
        <v>9.3740000000000006</v>
      </c>
    </row>
    <row r="4547" spans="1:5" x14ac:dyDescent="0.25">
      <c r="A4547" s="32" t="s">
        <v>767</v>
      </c>
      <c r="B4547" s="7">
        <v>2012</v>
      </c>
      <c r="C4547" s="51" t="s">
        <v>710</v>
      </c>
      <c r="D4547" t="s">
        <v>721</v>
      </c>
      <c r="E4547" s="2">
        <v>10.686</v>
      </c>
    </row>
    <row r="4548" spans="1:5" x14ac:dyDescent="0.25">
      <c r="A4548" s="32" t="s">
        <v>767</v>
      </c>
      <c r="B4548" s="7">
        <v>2012</v>
      </c>
      <c r="C4548" s="51" t="s">
        <v>702</v>
      </c>
      <c r="D4548" t="s">
        <v>721</v>
      </c>
      <c r="E4548" s="2">
        <v>9.9190000000000005</v>
      </c>
    </row>
    <row r="4549" spans="1:5" x14ac:dyDescent="0.25">
      <c r="A4549" s="32" t="s">
        <v>767</v>
      </c>
      <c r="B4549" s="7">
        <v>2012</v>
      </c>
      <c r="C4549" s="51" t="s">
        <v>703</v>
      </c>
      <c r="D4549" t="s">
        <v>721</v>
      </c>
      <c r="E4549" s="2">
        <v>10.427</v>
      </c>
    </row>
    <row r="4550" spans="1:5" x14ac:dyDescent="0.25">
      <c r="A4550" s="32" t="s">
        <v>767</v>
      </c>
      <c r="B4550" s="7">
        <v>2012</v>
      </c>
      <c r="C4550" s="51" t="s">
        <v>704</v>
      </c>
      <c r="D4550" t="s">
        <v>721</v>
      </c>
      <c r="E4550" s="2">
        <v>11.252000000000001</v>
      </c>
    </row>
    <row r="4551" spans="1:5" x14ac:dyDescent="0.25">
      <c r="A4551" s="32" t="s">
        <v>767</v>
      </c>
      <c r="B4551" s="7">
        <v>2012</v>
      </c>
      <c r="C4551" s="51" t="s">
        <v>705</v>
      </c>
      <c r="D4551" t="s">
        <v>721</v>
      </c>
      <c r="E4551" s="2">
        <v>10.189</v>
      </c>
    </row>
    <row r="4552" spans="1:5" x14ac:dyDescent="0.25">
      <c r="A4552" s="32" t="s">
        <v>767</v>
      </c>
      <c r="B4552" s="7">
        <v>2012</v>
      </c>
      <c r="C4552" s="51" t="s">
        <v>706</v>
      </c>
      <c r="D4552" t="s">
        <v>721</v>
      </c>
      <c r="E4552" s="2">
        <v>9.7769999999999992</v>
      </c>
    </row>
    <row r="4553" spans="1:5" x14ac:dyDescent="0.25">
      <c r="A4553" s="32" t="s">
        <v>767</v>
      </c>
      <c r="B4553" s="7">
        <v>2013</v>
      </c>
      <c r="C4553" s="51" t="s">
        <v>713</v>
      </c>
      <c r="D4553" t="s">
        <v>721</v>
      </c>
      <c r="E4553" s="2">
        <v>12.691000000000001</v>
      </c>
    </row>
    <row r="4554" spans="1:5" x14ac:dyDescent="0.25">
      <c r="A4554" s="32" t="s">
        <v>767</v>
      </c>
      <c r="B4554" s="7">
        <v>2013</v>
      </c>
      <c r="C4554" s="51" t="s">
        <v>707</v>
      </c>
      <c r="D4554" t="s">
        <v>721</v>
      </c>
      <c r="E4554" s="2">
        <v>10.01</v>
      </c>
    </row>
    <row r="4555" spans="1:5" x14ac:dyDescent="0.25">
      <c r="A4555" s="32" t="s">
        <v>767</v>
      </c>
      <c r="B4555" s="7">
        <v>2013</v>
      </c>
      <c r="C4555" s="51" t="s">
        <v>708</v>
      </c>
      <c r="D4555" t="s">
        <v>721</v>
      </c>
      <c r="E4555" s="2">
        <v>11.055999999999999</v>
      </c>
    </row>
    <row r="4556" spans="1:5" x14ac:dyDescent="0.25">
      <c r="A4556" s="32" t="s">
        <v>767</v>
      </c>
      <c r="B4556" s="7">
        <v>2013</v>
      </c>
      <c r="C4556" s="51" t="s">
        <v>699</v>
      </c>
      <c r="D4556" t="s">
        <v>721</v>
      </c>
      <c r="E4556" s="2">
        <v>10.933999999999999</v>
      </c>
    </row>
    <row r="4557" spans="1:5" x14ac:dyDescent="0.25">
      <c r="A4557" s="32" t="s">
        <v>767</v>
      </c>
      <c r="B4557" s="7">
        <v>2013</v>
      </c>
      <c r="C4557" s="51" t="s">
        <v>709</v>
      </c>
      <c r="D4557" t="s">
        <v>721</v>
      </c>
      <c r="E4557" s="2">
        <v>10.814</v>
      </c>
    </row>
    <row r="4558" spans="1:5" x14ac:dyDescent="0.25">
      <c r="A4558" s="32" t="s">
        <v>767</v>
      </c>
      <c r="B4558" s="7">
        <v>2013</v>
      </c>
      <c r="C4558" s="51" t="s">
        <v>712</v>
      </c>
      <c r="D4558" t="s">
        <v>721</v>
      </c>
      <c r="E4558" s="2">
        <v>11.115</v>
      </c>
    </row>
    <row r="4559" spans="1:5" x14ac:dyDescent="0.25">
      <c r="A4559" s="32" t="s">
        <v>767</v>
      </c>
      <c r="B4559" s="7">
        <v>2013</v>
      </c>
      <c r="C4559" s="51" t="s">
        <v>710</v>
      </c>
      <c r="D4559" t="s">
        <v>721</v>
      </c>
      <c r="E4559" s="2">
        <v>10.289</v>
      </c>
    </row>
    <row r="4560" spans="1:5" x14ac:dyDescent="0.25">
      <c r="A4560" s="32" t="s">
        <v>767</v>
      </c>
      <c r="B4560" s="7">
        <v>2013</v>
      </c>
      <c r="C4560" s="51" t="s">
        <v>702</v>
      </c>
      <c r="D4560" t="s">
        <v>721</v>
      </c>
      <c r="E4560" s="2">
        <v>9.3949999999999996</v>
      </c>
    </row>
    <row r="4561" spans="1:5" x14ac:dyDescent="0.25">
      <c r="A4561" s="32" t="s">
        <v>767</v>
      </c>
      <c r="B4561" s="7">
        <v>2013</v>
      </c>
      <c r="C4561" s="51" t="s">
        <v>703</v>
      </c>
      <c r="D4561" t="s">
        <v>721</v>
      </c>
      <c r="E4561" s="2">
        <v>10.885</v>
      </c>
    </row>
    <row r="4562" spans="1:5" x14ac:dyDescent="0.25">
      <c r="A4562" s="32" t="s">
        <v>767</v>
      </c>
      <c r="B4562" s="7">
        <v>2013</v>
      </c>
      <c r="C4562" s="51" t="s">
        <v>704</v>
      </c>
      <c r="D4562" t="s">
        <v>721</v>
      </c>
      <c r="E4562" s="2">
        <v>13.481</v>
      </c>
    </row>
    <row r="4563" spans="1:5" x14ac:dyDescent="0.25">
      <c r="A4563" s="32" t="s">
        <v>767</v>
      </c>
      <c r="B4563" s="7">
        <v>2013</v>
      </c>
      <c r="C4563" s="51" t="s">
        <v>705</v>
      </c>
      <c r="D4563" t="s">
        <v>721</v>
      </c>
      <c r="E4563" s="2">
        <v>10.823</v>
      </c>
    </row>
    <row r="4564" spans="1:5" x14ac:dyDescent="0.25">
      <c r="A4564" s="32" t="s">
        <v>767</v>
      </c>
      <c r="B4564" s="7">
        <v>2013</v>
      </c>
      <c r="C4564" s="51" t="s">
        <v>706</v>
      </c>
      <c r="D4564" t="s">
        <v>721</v>
      </c>
      <c r="E4564" s="2">
        <v>10.576000000000001</v>
      </c>
    </row>
    <row r="4565" spans="1:5" x14ac:dyDescent="0.25">
      <c r="A4565" s="32" t="s">
        <v>767</v>
      </c>
      <c r="B4565" s="7">
        <v>2014</v>
      </c>
      <c r="C4565" s="51" t="s">
        <v>713</v>
      </c>
      <c r="D4565" t="s">
        <v>721</v>
      </c>
      <c r="E4565" s="2">
        <v>11.603</v>
      </c>
    </row>
    <row r="4566" spans="1:5" x14ac:dyDescent="0.25">
      <c r="A4566" s="32" t="s">
        <v>767</v>
      </c>
      <c r="B4566" s="7">
        <v>2014</v>
      </c>
      <c r="C4566" s="51" t="s">
        <v>707</v>
      </c>
      <c r="D4566" t="s">
        <v>721</v>
      </c>
      <c r="E4566" s="2">
        <v>10.433999999999999</v>
      </c>
    </row>
    <row r="4567" spans="1:5" x14ac:dyDescent="0.25">
      <c r="A4567" s="32" t="s">
        <v>767</v>
      </c>
      <c r="B4567" s="7">
        <v>2014</v>
      </c>
      <c r="C4567" s="51" t="s">
        <v>708</v>
      </c>
      <c r="D4567" t="s">
        <v>721</v>
      </c>
      <c r="E4567" s="2">
        <v>11.856999999999999</v>
      </c>
    </row>
    <row r="4568" spans="1:5" x14ac:dyDescent="0.25">
      <c r="A4568" s="32" t="s">
        <v>767</v>
      </c>
      <c r="B4568" s="7">
        <v>2014</v>
      </c>
      <c r="C4568" s="51" t="s">
        <v>699</v>
      </c>
      <c r="D4568" t="s">
        <v>721</v>
      </c>
      <c r="E4568" s="2">
        <v>10.46</v>
      </c>
    </row>
    <row r="4569" spans="1:5" x14ac:dyDescent="0.25">
      <c r="A4569" s="32" t="s">
        <v>767</v>
      </c>
      <c r="B4569" s="7">
        <v>2014</v>
      </c>
      <c r="C4569" s="51" t="s">
        <v>709</v>
      </c>
      <c r="D4569" t="s">
        <v>721</v>
      </c>
      <c r="E4569" s="2">
        <v>13.581</v>
      </c>
    </row>
    <row r="4570" spans="1:5" x14ac:dyDescent="0.25">
      <c r="A4570" s="32" t="s">
        <v>767</v>
      </c>
      <c r="B4570" s="7">
        <v>2014</v>
      </c>
      <c r="C4570" s="51" t="s">
        <v>712</v>
      </c>
      <c r="D4570" t="s">
        <v>721</v>
      </c>
      <c r="E4570" s="2">
        <v>10.071999999999999</v>
      </c>
    </row>
    <row r="4571" spans="1:5" x14ac:dyDescent="0.25">
      <c r="A4571" s="32" t="s">
        <v>767</v>
      </c>
      <c r="B4571" s="7">
        <v>2014</v>
      </c>
      <c r="C4571" s="51" t="s">
        <v>710</v>
      </c>
      <c r="D4571" t="s">
        <v>721</v>
      </c>
      <c r="E4571" s="2">
        <v>10.5</v>
      </c>
    </row>
    <row r="4572" spans="1:5" x14ac:dyDescent="0.25">
      <c r="A4572" s="32" t="s">
        <v>767</v>
      </c>
      <c r="B4572" s="7">
        <v>2014</v>
      </c>
      <c r="C4572" s="51" t="s">
        <v>702</v>
      </c>
      <c r="D4572" t="s">
        <v>721</v>
      </c>
      <c r="E4572" s="2">
        <v>10.339</v>
      </c>
    </row>
    <row r="4573" spans="1:5" x14ac:dyDescent="0.25">
      <c r="A4573" s="32" t="s">
        <v>767</v>
      </c>
      <c r="B4573" s="7">
        <v>2014</v>
      </c>
      <c r="C4573" s="51" t="s">
        <v>703</v>
      </c>
      <c r="D4573" t="s">
        <v>721</v>
      </c>
      <c r="E4573" s="2">
        <v>9.4700000000000006</v>
      </c>
    </row>
    <row r="4574" spans="1:5" x14ac:dyDescent="0.25">
      <c r="A4574" s="32" t="s">
        <v>767</v>
      </c>
      <c r="B4574" s="7">
        <v>2014</v>
      </c>
      <c r="C4574" s="51" t="s">
        <v>704</v>
      </c>
      <c r="D4574" t="s">
        <v>721</v>
      </c>
      <c r="E4574" s="2">
        <v>10.012</v>
      </c>
    </row>
    <row r="4575" spans="1:5" x14ac:dyDescent="0.25">
      <c r="A4575" s="32" t="s">
        <v>767</v>
      </c>
      <c r="B4575" s="7">
        <v>2014</v>
      </c>
      <c r="C4575" s="51" t="s">
        <v>705</v>
      </c>
      <c r="D4575" t="s">
        <v>721</v>
      </c>
      <c r="E4575" s="2">
        <v>10.368</v>
      </c>
    </row>
    <row r="4576" spans="1:5" x14ac:dyDescent="0.25">
      <c r="A4576" s="32" t="s">
        <v>767</v>
      </c>
      <c r="B4576" s="7">
        <v>2014</v>
      </c>
      <c r="C4576" s="51" t="s">
        <v>706</v>
      </c>
      <c r="D4576" t="s">
        <v>721</v>
      </c>
      <c r="E4576" s="2">
        <v>10.43</v>
      </c>
    </row>
    <row r="4577" spans="1:5" x14ac:dyDescent="0.25">
      <c r="A4577" s="32" t="s">
        <v>767</v>
      </c>
      <c r="B4577" s="7">
        <v>2015</v>
      </c>
      <c r="C4577" s="51" t="s">
        <v>713</v>
      </c>
      <c r="D4577" t="s">
        <v>721</v>
      </c>
      <c r="E4577" s="2">
        <v>11.788</v>
      </c>
    </row>
    <row r="4578" spans="1:5" x14ac:dyDescent="0.25">
      <c r="A4578" s="32" t="s">
        <v>767</v>
      </c>
      <c r="B4578" s="7">
        <v>2015</v>
      </c>
      <c r="C4578" s="51" t="s">
        <v>707</v>
      </c>
      <c r="D4578" t="s">
        <v>721</v>
      </c>
      <c r="E4578" s="2">
        <v>9.7520000000000007</v>
      </c>
    </row>
    <row r="4579" spans="1:5" x14ac:dyDescent="0.25">
      <c r="A4579" s="32" t="s">
        <v>767</v>
      </c>
      <c r="B4579" s="7">
        <v>2015</v>
      </c>
      <c r="C4579" s="51" t="s">
        <v>708</v>
      </c>
      <c r="D4579" t="s">
        <v>721</v>
      </c>
      <c r="E4579" s="2">
        <v>10.949</v>
      </c>
    </row>
    <row r="4580" spans="1:5" x14ac:dyDescent="0.25">
      <c r="A4580" s="32" t="s">
        <v>767</v>
      </c>
      <c r="B4580" s="7">
        <v>2015</v>
      </c>
      <c r="C4580" s="51" t="s">
        <v>699</v>
      </c>
      <c r="D4580" t="s">
        <v>721</v>
      </c>
      <c r="E4580" s="2">
        <v>10.795999999999999</v>
      </c>
    </row>
    <row r="4581" spans="1:5" x14ac:dyDescent="0.25">
      <c r="A4581" s="32" t="s">
        <v>767</v>
      </c>
      <c r="B4581" s="7">
        <v>2015</v>
      </c>
      <c r="C4581" s="51" t="s">
        <v>709</v>
      </c>
      <c r="D4581" t="s">
        <v>721</v>
      </c>
      <c r="E4581" s="2">
        <v>10.625</v>
      </c>
    </row>
    <row r="4582" spans="1:5" x14ac:dyDescent="0.25">
      <c r="A4582" s="32" t="s">
        <v>767</v>
      </c>
      <c r="B4582" s="7">
        <v>2015</v>
      </c>
      <c r="C4582" s="51" t="s">
        <v>712</v>
      </c>
      <c r="D4582" t="s">
        <v>721</v>
      </c>
      <c r="E4582" s="2">
        <v>10.333</v>
      </c>
    </row>
    <row r="4583" spans="1:5" x14ac:dyDescent="0.25">
      <c r="A4583" s="32" t="s">
        <v>767</v>
      </c>
      <c r="B4583" s="7">
        <v>2015</v>
      </c>
      <c r="C4583" s="51" t="s">
        <v>710</v>
      </c>
      <c r="D4583" t="s">
        <v>721</v>
      </c>
      <c r="E4583" s="2">
        <v>9.5690000000000008</v>
      </c>
    </row>
    <row r="4584" spans="1:5" x14ac:dyDescent="0.25">
      <c r="A4584" s="32" t="s">
        <v>767</v>
      </c>
      <c r="B4584" s="7">
        <v>2015</v>
      </c>
      <c r="C4584" s="51" t="s">
        <v>702</v>
      </c>
      <c r="D4584" t="s">
        <v>721</v>
      </c>
      <c r="E4584" s="2">
        <v>10.050000000000001</v>
      </c>
    </row>
    <row r="4585" spans="1:5" x14ac:dyDescent="0.25">
      <c r="A4585" s="32" t="s">
        <v>767</v>
      </c>
      <c r="B4585" s="7">
        <v>2015</v>
      </c>
      <c r="C4585" s="51" t="s">
        <v>703</v>
      </c>
      <c r="D4585" t="s">
        <v>721</v>
      </c>
      <c r="E4585" s="2">
        <v>9.5050000000000008</v>
      </c>
    </row>
    <row r="4586" spans="1:5" x14ac:dyDescent="0.25">
      <c r="A4586" s="32" t="s">
        <v>767</v>
      </c>
      <c r="B4586" s="7">
        <v>2015</v>
      </c>
      <c r="C4586" s="51" t="s">
        <v>704</v>
      </c>
      <c r="D4586" t="s">
        <v>721</v>
      </c>
      <c r="E4586" s="2">
        <v>11.348000000000001</v>
      </c>
    </row>
    <row r="4587" spans="1:5" x14ac:dyDescent="0.25">
      <c r="A4587" s="32" t="s">
        <v>767</v>
      </c>
      <c r="B4587" s="7">
        <v>2015</v>
      </c>
      <c r="C4587" s="51" t="s">
        <v>705</v>
      </c>
      <c r="D4587" t="s">
        <v>721</v>
      </c>
      <c r="E4587" s="2">
        <v>10.493</v>
      </c>
    </row>
    <row r="4588" spans="1:5" x14ac:dyDescent="0.25">
      <c r="A4588" s="32" t="s">
        <v>767</v>
      </c>
      <c r="B4588" s="7">
        <v>2015</v>
      </c>
      <c r="C4588" s="51" t="s">
        <v>706</v>
      </c>
      <c r="D4588" t="s">
        <v>721</v>
      </c>
      <c r="E4588" s="2">
        <v>10.798</v>
      </c>
    </row>
    <row r="4589" spans="1:5" x14ac:dyDescent="0.25">
      <c r="A4589" s="32" t="s">
        <v>767</v>
      </c>
      <c r="B4589" s="7">
        <v>2016</v>
      </c>
      <c r="C4589" s="51" t="s">
        <v>713</v>
      </c>
      <c r="D4589" t="s">
        <v>721</v>
      </c>
      <c r="E4589" s="2">
        <v>12.193</v>
      </c>
    </row>
    <row r="4590" spans="1:5" x14ac:dyDescent="0.25">
      <c r="A4590" s="32" t="s">
        <v>767</v>
      </c>
      <c r="B4590" s="7">
        <v>2016</v>
      </c>
      <c r="C4590" s="51" t="s">
        <v>707</v>
      </c>
      <c r="D4590" t="s">
        <v>721</v>
      </c>
      <c r="E4590" s="2">
        <v>11.500999999999999</v>
      </c>
    </row>
    <row r="4591" spans="1:5" x14ac:dyDescent="0.25">
      <c r="A4591" s="32" t="s">
        <v>767</v>
      </c>
      <c r="B4591" s="7">
        <v>2016</v>
      </c>
      <c r="C4591" s="51" t="s">
        <v>708</v>
      </c>
      <c r="D4591" t="s">
        <v>721</v>
      </c>
      <c r="E4591" s="2">
        <v>10.762</v>
      </c>
    </row>
    <row r="4592" spans="1:5" x14ac:dyDescent="0.25">
      <c r="A4592" s="32" t="s">
        <v>767</v>
      </c>
      <c r="B4592" s="7">
        <v>2016</v>
      </c>
      <c r="C4592" s="51" t="s">
        <v>699</v>
      </c>
      <c r="D4592" t="s">
        <v>721</v>
      </c>
      <c r="E4592" s="2">
        <v>10.952</v>
      </c>
    </row>
    <row r="4593" spans="1:5" x14ac:dyDescent="0.25">
      <c r="A4593" s="32" t="s">
        <v>767</v>
      </c>
      <c r="B4593" s="7">
        <v>2016</v>
      </c>
      <c r="C4593" s="51" t="s">
        <v>709</v>
      </c>
      <c r="D4593" t="s">
        <v>721</v>
      </c>
      <c r="E4593" s="2">
        <v>13.119</v>
      </c>
    </row>
    <row r="4594" spans="1:5" x14ac:dyDescent="0.25">
      <c r="A4594" s="32" t="s">
        <v>767</v>
      </c>
      <c r="B4594" s="7">
        <v>2016</v>
      </c>
      <c r="C4594" s="51" t="s">
        <v>712</v>
      </c>
      <c r="D4594" t="s">
        <v>721</v>
      </c>
      <c r="E4594" s="2">
        <v>12.086</v>
      </c>
    </row>
    <row r="4595" spans="1:5" x14ac:dyDescent="0.25">
      <c r="A4595" s="32" t="s">
        <v>767</v>
      </c>
      <c r="B4595" s="7">
        <v>2016</v>
      </c>
      <c r="C4595" s="51" t="s">
        <v>710</v>
      </c>
      <c r="D4595" t="s">
        <v>721</v>
      </c>
      <c r="E4595" s="2">
        <v>11.843999999999999</v>
      </c>
    </row>
    <row r="4596" spans="1:5" x14ac:dyDescent="0.25">
      <c r="A4596" s="32" t="s">
        <v>767</v>
      </c>
      <c r="B4596" s="7">
        <v>2016</v>
      </c>
      <c r="C4596" s="51" t="s">
        <v>702</v>
      </c>
      <c r="D4596" t="s">
        <v>721</v>
      </c>
      <c r="E4596" s="2">
        <v>11.84</v>
      </c>
    </row>
    <row r="4597" spans="1:5" x14ac:dyDescent="0.25">
      <c r="A4597" s="32" t="s">
        <v>767</v>
      </c>
      <c r="B4597" s="7">
        <v>2016</v>
      </c>
      <c r="C4597" s="51" t="s">
        <v>703</v>
      </c>
      <c r="D4597" t="s">
        <v>721</v>
      </c>
      <c r="E4597" s="2">
        <v>11.375999999999999</v>
      </c>
    </row>
    <row r="4598" spans="1:5" x14ac:dyDescent="0.25">
      <c r="A4598" s="32" t="s">
        <v>767</v>
      </c>
      <c r="B4598" s="7">
        <v>2016</v>
      </c>
      <c r="C4598" s="51" t="s">
        <v>704</v>
      </c>
      <c r="D4598" t="s">
        <v>721</v>
      </c>
      <c r="E4598" s="2">
        <v>11.832000000000001</v>
      </c>
    </row>
    <row r="4599" spans="1:5" x14ac:dyDescent="0.25">
      <c r="A4599" s="32" t="s">
        <v>767</v>
      </c>
      <c r="B4599" s="7">
        <v>2016</v>
      </c>
      <c r="C4599" s="51" t="s">
        <v>705</v>
      </c>
      <c r="D4599" t="s">
        <v>721</v>
      </c>
      <c r="E4599" s="2">
        <v>9.984</v>
      </c>
    </row>
    <row r="4600" spans="1:5" x14ac:dyDescent="0.25">
      <c r="A4600" s="32" t="s">
        <v>767</v>
      </c>
      <c r="B4600" s="7">
        <v>2016</v>
      </c>
      <c r="C4600" s="51" t="s">
        <v>706</v>
      </c>
      <c r="D4600" t="s">
        <v>721</v>
      </c>
      <c r="E4600" s="2">
        <v>11.207000000000001</v>
      </c>
    </row>
    <row r="4601" spans="1:5" x14ac:dyDescent="0.25">
      <c r="A4601" s="32" t="s">
        <v>767</v>
      </c>
      <c r="B4601" s="7">
        <v>2017</v>
      </c>
      <c r="C4601" s="51" t="s">
        <v>713</v>
      </c>
      <c r="D4601" t="s">
        <v>721</v>
      </c>
      <c r="E4601" s="2">
        <v>10.111000000000001</v>
      </c>
    </row>
    <row r="4602" spans="1:5" x14ac:dyDescent="0.25">
      <c r="A4602" s="32" t="s">
        <v>767</v>
      </c>
      <c r="B4602" s="7">
        <v>2017</v>
      </c>
      <c r="C4602" s="51" t="s">
        <v>707</v>
      </c>
      <c r="D4602" t="s">
        <v>721</v>
      </c>
      <c r="E4602" s="2">
        <v>10.144</v>
      </c>
    </row>
    <row r="4603" spans="1:5" x14ac:dyDescent="0.25">
      <c r="A4603" s="32" t="s">
        <v>767</v>
      </c>
      <c r="B4603" s="7">
        <v>2017</v>
      </c>
      <c r="C4603" s="51" t="s">
        <v>708</v>
      </c>
      <c r="D4603" t="s">
        <v>721</v>
      </c>
      <c r="E4603" s="2">
        <v>9.6029999999999998</v>
      </c>
    </row>
    <row r="4604" spans="1:5" x14ac:dyDescent="0.25">
      <c r="A4604" s="32" t="s">
        <v>767</v>
      </c>
      <c r="B4604" s="7">
        <v>2017</v>
      </c>
      <c r="C4604" s="51" t="s">
        <v>699</v>
      </c>
      <c r="D4604" t="s">
        <v>721</v>
      </c>
      <c r="E4604" s="2">
        <v>8.8569999999999993</v>
      </c>
    </row>
    <row r="4605" spans="1:5" x14ac:dyDescent="0.25">
      <c r="A4605" s="32" t="s">
        <v>767</v>
      </c>
      <c r="B4605" s="7">
        <v>2017</v>
      </c>
      <c r="C4605" s="51" t="s">
        <v>709</v>
      </c>
      <c r="D4605" t="s">
        <v>721</v>
      </c>
      <c r="E4605" s="2">
        <v>12.878</v>
      </c>
    </row>
    <row r="4606" spans="1:5" x14ac:dyDescent="0.25">
      <c r="A4606" s="32" t="s">
        <v>767</v>
      </c>
      <c r="B4606" s="7">
        <v>2017</v>
      </c>
      <c r="C4606" s="51" t="s">
        <v>712</v>
      </c>
      <c r="D4606" t="s">
        <v>721</v>
      </c>
      <c r="E4606" s="2">
        <v>10.99</v>
      </c>
    </row>
    <row r="4607" spans="1:5" x14ac:dyDescent="0.25">
      <c r="A4607" s="32" t="s">
        <v>767</v>
      </c>
      <c r="B4607" s="7">
        <v>2017</v>
      </c>
      <c r="C4607" s="51" t="s">
        <v>710</v>
      </c>
      <c r="D4607" t="s">
        <v>721</v>
      </c>
      <c r="E4607" s="2">
        <v>11.055999999999999</v>
      </c>
    </row>
    <row r="4608" spans="1:5" x14ac:dyDescent="0.25">
      <c r="A4608" s="32" t="s">
        <v>767</v>
      </c>
      <c r="B4608" s="7">
        <v>2017</v>
      </c>
      <c r="C4608" s="51" t="s">
        <v>702</v>
      </c>
      <c r="D4608" t="s">
        <v>721</v>
      </c>
      <c r="E4608" s="2">
        <v>10.406000000000001</v>
      </c>
    </row>
    <row r="4609" spans="1:5" x14ac:dyDescent="0.25">
      <c r="A4609" s="32" t="s">
        <v>767</v>
      </c>
      <c r="B4609" s="7">
        <v>2017</v>
      </c>
      <c r="C4609" s="51" t="s">
        <v>703</v>
      </c>
      <c r="D4609" t="s">
        <v>721</v>
      </c>
      <c r="E4609" s="2">
        <v>9.7780000000000005</v>
      </c>
    </row>
    <row r="4610" spans="1:5" x14ac:dyDescent="0.25">
      <c r="A4610" s="32" t="s">
        <v>767</v>
      </c>
      <c r="B4610" s="7">
        <v>2017</v>
      </c>
      <c r="C4610" s="51" t="s">
        <v>704</v>
      </c>
      <c r="D4610" t="s">
        <v>721</v>
      </c>
      <c r="E4610" s="2">
        <v>11.412000000000001</v>
      </c>
    </row>
    <row r="4611" spans="1:5" x14ac:dyDescent="0.25">
      <c r="A4611" s="32" t="s">
        <v>767</v>
      </c>
      <c r="B4611" s="7">
        <v>2017</v>
      </c>
      <c r="C4611" s="51" t="s">
        <v>705</v>
      </c>
      <c r="D4611" t="s">
        <v>721</v>
      </c>
      <c r="E4611" s="2">
        <v>11.125</v>
      </c>
    </row>
    <row r="4612" spans="1:5" x14ac:dyDescent="0.25">
      <c r="A4612" s="32" t="s">
        <v>767</v>
      </c>
      <c r="B4612" s="7">
        <v>2017</v>
      </c>
      <c r="C4612" s="51" t="s">
        <v>706</v>
      </c>
      <c r="D4612" t="s">
        <v>721</v>
      </c>
      <c r="E4612" s="2">
        <v>11.653</v>
      </c>
    </row>
    <row r="4613" spans="1:5" x14ac:dyDescent="0.25">
      <c r="A4613" s="32" t="s">
        <v>767</v>
      </c>
      <c r="B4613" s="7">
        <v>2018</v>
      </c>
      <c r="C4613" s="51" t="s">
        <v>713</v>
      </c>
      <c r="D4613" t="s">
        <v>721</v>
      </c>
      <c r="E4613" s="2">
        <v>10.438000000000001</v>
      </c>
    </row>
    <row r="4614" spans="1:5" x14ac:dyDescent="0.25">
      <c r="A4614" s="32" t="s">
        <v>767</v>
      </c>
      <c r="B4614" s="7">
        <v>2018</v>
      </c>
      <c r="C4614" s="51" t="s">
        <v>707</v>
      </c>
      <c r="D4614" t="s">
        <v>721</v>
      </c>
      <c r="E4614" s="2">
        <v>10.548</v>
      </c>
    </row>
    <row r="4615" spans="1:5" x14ac:dyDescent="0.25">
      <c r="A4615" s="32" t="s">
        <v>767</v>
      </c>
      <c r="B4615" s="7">
        <v>2018</v>
      </c>
      <c r="C4615" s="51" t="s">
        <v>708</v>
      </c>
      <c r="D4615" t="s">
        <v>721</v>
      </c>
      <c r="E4615" s="2">
        <v>10.217000000000001</v>
      </c>
    </row>
    <row r="4616" spans="1:5" x14ac:dyDescent="0.25">
      <c r="A4616" s="32" t="s">
        <v>767</v>
      </c>
      <c r="B4616" s="7">
        <v>2018</v>
      </c>
      <c r="C4616" s="51" t="s">
        <v>699</v>
      </c>
      <c r="D4616" t="s">
        <v>721</v>
      </c>
      <c r="E4616" s="2">
        <v>10.606</v>
      </c>
    </row>
    <row r="4617" spans="1:5" x14ac:dyDescent="0.25">
      <c r="A4617" s="32" t="s">
        <v>767</v>
      </c>
      <c r="B4617" s="7">
        <v>2018</v>
      </c>
      <c r="C4617" s="51" t="s">
        <v>709</v>
      </c>
      <c r="D4617" t="s">
        <v>721</v>
      </c>
      <c r="E4617" s="2">
        <v>11.275</v>
      </c>
    </row>
    <row r="4618" spans="1:5" x14ac:dyDescent="0.25">
      <c r="A4618" s="32" t="s">
        <v>767</v>
      </c>
      <c r="B4618" s="7">
        <v>2018</v>
      </c>
      <c r="C4618" s="51" t="s">
        <v>712</v>
      </c>
      <c r="D4618" t="s">
        <v>721</v>
      </c>
      <c r="E4618" s="2">
        <v>9.6690000000000005</v>
      </c>
    </row>
    <row r="4619" spans="1:5" x14ac:dyDescent="0.25">
      <c r="A4619" s="32" t="s">
        <v>767</v>
      </c>
      <c r="B4619" s="7">
        <v>2018</v>
      </c>
      <c r="C4619" s="51" t="s">
        <v>710</v>
      </c>
      <c r="D4619" t="s">
        <v>721</v>
      </c>
      <c r="E4619" s="2">
        <v>11.327</v>
      </c>
    </row>
    <row r="4620" spans="1:5" x14ac:dyDescent="0.25">
      <c r="A4620" s="32" t="s">
        <v>767</v>
      </c>
      <c r="B4620" s="7">
        <v>2018</v>
      </c>
      <c r="C4620" s="51" t="s">
        <v>702</v>
      </c>
      <c r="D4620" t="s">
        <v>721</v>
      </c>
      <c r="E4620" s="2">
        <v>10.301</v>
      </c>
    </row>
    <row r="4621" spans="1:5" x14ac:dyDescent="0.25">
      <c r="A4621" s="32" t="s">
        <v>767</v>
      </c>
      <c r="B4621" s="7">
        <v>2018</v>
      </c>
      <c r="C4621" s="51" t="s">
        <v>703</v>
      </c>
      <c r="D4621" t="s">
        <v>721</v>
      </c>
      <c r="E4621" s="2">
        <v>11.8</v>
      </c>
    </row>
    <row r="4622" spans="1:5" x14ac:dyDescent="0.25">
      <c r="A4622" s="32" t="s">
        <v>767</v>
      </c>
      <c r="B4622" s="7">
        <v>2018</v>
      </c>
      <c r="C4622" s="51" t="s">
        <v>704</v>
      </c>
      <c r="D4622" t="s">
        <v>721</v>
      </c>
      <c r="E4622" s="2">
        <v>10.308999999999999</v>
      </c>
    </row>
    <row r="4623" spans="1:5" x14ac:dyDescent="0.25">
      <c r="A4623" s="32" t="s">
        <v>767</v>
      </c>
      <c r="B4623" s="7">
        <v>2018</v>
      </c>
      <c r="C4623" s="51" t="s">
        <v>705</v>
      </c>
      <c r="D4623" t="s">
        <v>721</v>
      </c>
      <c r="E4623" s="2">
        <v>10.246</v>
      </c>
    </row>
    <row r="4624" spans="1:5" x14ac:dyDescent="0.25">
      <c r="A4624" s="32" t="s">
        <v>767</v>
      </c>
      <c r="B4624" s="7">
        <v>2018</v>
      </c>
      <c r="C4624" s="51" t="s">
        <v>706</v>
      </c>
      <c r="D4624" t="s">
        <v>721</v>
      </c>
      <c r="E4624" s="2">
        <v>10.927</v>
      </c>
    </row>
    <row r="4625" spans="1:5" x14ac:dyDescent="0.25">
      <c r="A4625" s="32" t="s">
        <v>767</v>
      </c>
      <c r="B4625" s="7">
        <v>2019</v>
      </c>
      <c r="C4625" s="51" t="s">
        <v>713</v>
      </c>
      <c r="D4625" t="s">
        <v>721</v>
      </c>
      <c r="E4625" s="2">
        <v>9.8780000000000001</v>
      </c>
    </row>
    <row r="4626" spans="1:5" x14ac:dyDescent="0.25">
      <c r="A4626" s="32" t="s">
        <v>767</v>
      </c>
      <c r="B4626" s="7">
        <v>2019</v>
      </c>
      <c r="C4626" s="51" t="s">
        <v>707</v>
      </c>
      <c r="D4626" t="s">
        <v>721</v>
      </c>
      <c r="E4626" s="2">
        <v>9.1210000000000004</v>
      </c>
    </row>
    <row r="4627" spans="1:5" x14ac:dyDescent="0.25">
      <c r="A4627" s="32" t="s">
        <v>767</v>
      </c>
      <c r="B4627" s="7">
        <v>2019</v>
      </c>
      <c r="C4627" s="51" t="s">
        <v>708</v>
      </c>
      <c r="D4627" t="s">
        <v>721</v>
      </c>
      <c r="E4627" s="2">
        <v>11.763</v>
      </c>
    </row>
    <row r="4628" spans="1:5" x14ac:dyDescent="0.25">
      <c r="A4628" s="32" t="s">
        <v>767</v>
      </c>
      <c r="B4628" s="7">
        <v>2019</v>
      </c>
      <c r="C4628" s="51" t="s">
        <v>699</v>
      </c>
      <c r="D4628" t="s">
        <v>721</v>
      </c>
      <c r="E4628" s="2">
        <v>9.3059999999999992</v>
      </c>
    </row>
    <row r="4629" spans="1:5" x14ac:dyDescent="0.25">
      <c r="A4629" s="32" t="s">
        <v>767</v>
      </c>
      <c r="B4629" s="7">
        <v>2019</v>
      </c>
      <c r="C4629" s="51" t="s">
        <v>709</v>
      </c>
      <c r="D4629" t="s">
        <v>721</v>
      </c>
      <c r="E4629" s="2">
        <v>8.9420000000000002</v>
      </c>
    </row>
    <row r="4630" spans="1:5" x14ac:dyDescent="0.25">
      <c r="A4630" s="32" t="s">
        <v>767</v>
      </c>
      <c r="B4630" s="7">
        <v>2019</v>
      </c>
      <c r="C4630" s="51" t="s">
        <v>712</v>
      </c>
      <c r="D4630" t="s">
        <v>721</v>
      </c>
      <c r="E4630" s="2">
        <v>8.4480000000000004</v>
      </c>
    </row>
    <row r="4631" spans="1:5" x14ac:dyDescent="0.25">
      <c r="A4631" s="32" t="s">
        <v>767</v>
      </c>
      <c r="B4631" s="7">
        <v>2019</v>
      </c>
      <c r="C4631" s="51" t="s">
        <v>710</v>
      </c>
      <c r="D4631" t="s">
        <v>721</v>
      </c>
      <c r="E4631" s="2">
        <v>8.7189999999999994</v>
      </c>
    </row>
    <row r="4632" spans="1:5" x14ac:dyDescent="0.25">
      <c r="A4632" s="32" t="s">
        <v>767</v>
      </c>
      <c r="B4632" s="7">
        <v>2019</v>
      </c>
      <c r="C4632" s="51" t="s">
        <v>702</v>
      </c>
      <c r="D4632" t="s">
        <v>721</v>
      </c>
      <c r="E4632" s="2">
        <v>8.3130000000000006</v>
      </c>
    </row>
    <row r="4633" spans="1:5" x14ac:dyDescent="0.25">
      <c r="A4633" s="32" t="s">
        <v>767</v>
      </c>
      <c r="B4633" s="7">
        <v>2019</v>
      </c>
      <c r="C4633" s="51" t="s">
        <v>703</v>
      </c>
      <c r="D4633" t="s">
        <v>721</v>
      </c>
      <c r="E4633" s="2">
        <v>9.6620000000000008</v>
      </c>
    </row>
    <row r="4634" spans="1:5" x14ac:dyDescent="0.25">
      <c r="A4634" s="32" t="s">
        <v>767</v>
      </c>
      <c r="B4634" s="7">
        <v>2019</v>
      </c>
      <c r="C4634" s="51" t="s">
        <v>704</v>
      </c>
      <c r="D4634" t="s">
        <v>721</v>
      </c>
      <c r="E4634" s="2">
        <v>9.82</v>
      </c>
    </row>
    <row r="4635" spans="1:5" x14ac:dyDescent="0.25">
      <c r="A4635" s="32" t="s">
        <v>767</v>
      </c>
      <c r="B4635" s="7">
        <v>2019</v>
      </c>
      <c r="C4635" s="51" t="s">
        <v>705</v>
      </c>
      <c r="D4635" t="s">
        <v>721</v>
      </c>
      <c r="E4635" s="2">
        <v>11.003</v>
      </c>
    </row>
    <row r="4636" spans="1:5" x14ac:dyDescent="0.25">
      <c r="A4636" s="32" t="s">
        <v>767</v>
      </c>
      <c r="B4636" s="7">
        <v>2019</v>
      </c>
      <c r="C4636" s="51" t="s">
        <v>706</v>
      </c>
      <c r="D4636" t="s">
        <v>721</v>
      </c>
      <c r="E4636" s="2">
        <v>11.493</v>
      </c>
    </row>
    <row r="4637" spans="1:5" x14ac:dyDescent="0.25">
      <c r="A4637" s="32" t="s">
        <v>767</v>
      </c>
      <c r="B4637" s="7">
        <v>2020</v>
      </c>
      <c r="C4637" s="51" t="s">
        <v>713</v>
      </c>
      <c r="D4637" t="s">
        <v>721</v>
      </c>
      <c r="E4637" s="2">
        <v>10.587999999999999</v>
      </c>
    </row>
    <row r="4638" spans="1:5" x14ac:dyDescent="0.25">
      <c r="A4638" s="32" t="s">
        <v>767</v>
      </c>
      <c r="B4638" s="7">
        <v>2020</v>
      </c>
      <c r="C4638" s="51" t="s">
        <v>707</v>
      </c>
      <c r="D4638" t="s">
        <v>721</v>
      </c>
      <c r="E4638" s="2">
        <v>11.254</v>
      </c>
    </row>
    <row r="4639" spans="1:5" x14ac:dyDescent="0.25">
      <c r="A4639" s="32" t="s">
        <v>767</v>
      </c>
      <c r="B4639" s="7">
        <v>2020</v>
      </c>
      <c r="C4639" s="51" t="s">
        <v>708</v>
      </c>
      <c r="D4639" t="s">
        <v>721</v>
      </c>
      <c r="E4639" s="2">
        <v>11.486000000000001</v>
      </c>
    </row>
    <row r="4640" spans="1:5" x14ac:dyDescent="0.25">
      <c r="A4640" s="32" t="s">
        <v>767</v>
      </c>
      <c r="B4640" s="7">
        <v>2020</v>
      </c>
      <c r="C4640" s="51" t="s">
        <v>699</v>
      </c>
      <c r="D4640" t="s">
        <v>721</v>
      </c>
      <c r="E4640" s="2">
        <v>11.785</v>
      </c>
    </row>
    <row r="4641" spans="1:5" x14ac:dyDescent="0.25">
      <c r="A4641" s="32" t="s">
        <v>767</v>
      </c>
      <c r="B4641" s="7">
        <v>2020</v>
      </c>
      <c r="C4641" s="51" t="s">
        <v>709</v>
      </c>
      <c r="D4641" t="s">
        <v>721</v>
      </c>
      <c r="E4641" s="2">
        <v>11.984</v>
      </c>
    </row>
    <row r="4642" spans="1:5" x14ac:dyDescent="0.25">
      <c r="A4642" s="32" t="s">
        <v>767</v>
      </c>
      <c r="B4642" s="7">
        <v>2020</v>
      </c>
      <c r="C4642" s="51" t="s">
        <v>712</v>
      </c>
      <c r="D4642" t="s">
        <v>721</v>
      </c>
      <c r="E4642" s="2">
        <v>11.052</v>
      </c>
    </row>
    <row r="4643" spans="1:5" x14ac:dyDescent="0.25">
      <c r="A4643" s="32" t="s">
        <v>767</v>
      </c>
      <c r="B4643" s="7">
        <v>2020</v>
      </c>
      <c r="C4643" s="51" t="s">
        <v>710</v>
      </c>
      <c r="D4643" t="s">
        <v>721</v>
      </c>
      <c r="E4643" s="2">
        <v>11.068</v>
      </c>
    </row>
    <row r="4644" spans="1:5" x14ac:dyDescent="0.25">
      <c r="A4644" s="32" t="s">
        <v>767</v>
      </c>
      <c r="B4644" s="7">
        <v>2020</v>
      </c>
      <c r="C4644" s="51" t="s">
        <v>702</v>
      </c>
      <c r="D4644" t="s">
        <v>721</v>
      </c>
      <c r="E4644" s="2">
        <v>11.125999999999999</v>
      </c>
    </row>
    <row r="4645" spans="1:5" x14ac:dyDescent="0.25">
      <c r="A4645" s="32" t="s">
        <v>767</v>
      </c>
      <c r="B4645" s="7">
        <v>2020</v>
      </c>
      <c r="C4645" s="51" t="s">
        <v>703</v>
      </c>
      <c r="D4645" t="s">
        <v>721</v>
      </c>
      <c r="E4645" s="2">
        <v>8.8940000000000001</v>
      </c>
    </row>
    <row r="4646" spans="1:5" x14ac:dyDescent="0.25">
      <c r="A4646" s="32" t="s">
        <v>767</v>
      </c>
      <c r="B4646" s="7">
        <v>2020</v>
      </c>
      <c r="C4646" s="51" t="s">
        <v>704</v>
      </c>
      <c r="D4646" t="s">
        <v>721</v>
      </c>
      <c r="E4646" s="2">
        <v>9.782</v>
      </c>
    </row>
    <row r="4647" spans="1:5" x14ac:dyDescent="0.25">
      <c r="A4647" s="32" t="s">
        <v>767</v>
      </c>
      <c r="B4647" s="7">
        <v>2020</v>
      </c>
      <c r="C4647" s="51" t="s">
        <v>705</v>
      </c>
      <c r="D4647" t="s">
        <v>721</v>
      </c>
      <c r="E4647" s="2">
        <v>11.326000000000001</v>
      </c>
    </row>
    <row r="4648" spans="1:5" x14ac:dyDescent="0.25">
      <c r="A4648" s="32" t="s">
        <v>767</v>
      </c>
      <c r="B4648" s="7">
        <v>2020</v>
      </c>
      <c r="C4648" s="51" t="s">
        <v>706</v>
      </c>
      <c r="D4648" t="s">
        <v>721</v>
      </c>
      <c r="E4648" s="2">
        <v>11.573</v>
      </c>
    </row>
    <row r="4649" spans="1:5" x14ac:dyDescent="0.25">
      <c r="A4649" s="32" t="s">
        <v>767</v>
      </c>
      <c r="B4649" s="7">
        <v>2021</v>
      </c>
      <c r="C4649" s="51" t="s">
        <v>713</v>
      </c>
      <c r="D4649" t="s">
        <v>721</v>
      </c>
      <c r="E4649" s="2">
        <v>9.4510000000000005</v>
      </c>
    </row>
    <row r="4650" spans="1:5" x14ac:dyDescent="0.25">
      <c r="A4650" s="32" t="s">
        <v>767</v>
      </c>
      <c r="B4650" s="7">
        <v>2021</v>
      </c>
      <c r="C4650" s="51" t="s">
        <v>707</v>
      </c>
      <c r="D4650" t="s">
        <v>721</v>
      </c>
      <c r="E4650" s="2">
        <v>9.6159999999999997</v>
      </c>
    </row>
    <row r="4651" spans="1:5" x14ac:dyDescent="0.25">
      <c r="A4651" s="32" t="s">
        <v>767</v>
      </c>
      <c r="B4651" s="7">
        <v>2021</v>
      </c>
      <c r="C4651" s="51" t="s">
        <v>708</v>
      </c>
      <c r="D4651" t="s">
        <v>721</v>
      </c>
      <c r="E4651" s="2">
        <v>11.364000000000001</v>
      </c>
    </row>
    <row r="4652" spans="1:5" x14ac:dyDescent="0.25">
      <c r="A4652" s="32" t="s">
        <v>767</v>
      </c>
      <c r="B4652" s="7">
        <v>2021</v>
      </c>
      <c r="C4652" s="51" t="s">
        <v>699</v>
      </c>
      <c r="D4652" t="s">
        <v>721</v>
      </c>
      <c r="E4652" s="2">
        <v>10.106999999999999</v>
      </c>
    </row>
    <row r="4653" spans="1:5" x14ac:dyDescent="0.25">
      <c r="A4653" s="32" t="s">
        <v>767</v>
      </c>
      <c r="B4653" s="7">
        <v>2021</v>
      </c>
      <c r="C4653" s="51" t="s">
        <v>709</v>
      </c>
      <c r="D4653" t="s">
        <v>721</v>
      </c>
      <c r="E4653" s="2">
        <v>8.109</v>
      </c>
    </row>
    <row r="4654" spans="1:5" x14ac:dyDescent="0.25">
      <c r="A4654" s="32" t="s">
        <v>767</v>
      </c>
      <c r="B4654" s="7">
        <v>2021</v>
      </c>
      <c r="C4654" s="51" t="s">
        <v>712</v>
      </c>
      <c r="D4654" t="s">
        <v>721</v>
      </c>
      <c r="E4654" s="2">
        <v>8.6709999999999994</v>
      </c>
    </row>
    <row r="4655" spans="1:5" x14ac:dyDescent="0.25">
      <c r="A4655" s="32" t="s">
        <v>767</v>
      </c>
      <c r="B4655" s="7">
        <v>2021</v>
      </c>
      <c r="C4655" s="51" t="s">
        <v>710</v>
      </c>
      <c r="D4655" t="s">
        <v>721</v>
      </c>
      <c r="E4655" s="2">
        <v>8.6440000000000001</v>
      </c>
    </row>
    <row r="4656" spans="1:5" x14ac:dyDescent="0.25">
      <c r="A4656" s="32" t="s">
        <v>767</v>
      </c>
      <c r="B4656" s="7">
        <v>2021</v>
      </c>
      <c r="C4656" s="51" t="s">
        <v>702</v>
      </c>
      <c r="D4656" t="s">
        <v>721</v>
      </c>
      <c r="E4656" s="2">
        <v>9.0540000000000003</v>
      </c>
    </row>
    <row r="4657" spans="1:5" x14ac:dyDescent="0.25">
      <c r="A4657" s="32" t="s">
        <v>767</v>
      </c>
      <c r="B4657" s="7">
        <v>2021</v>
      </c>
      <c r="C4657" s="51" t="s">
        <v>703</v>
      </c>
      <c r="D4657" t="s">
        <v>721</v>
      </c>
      <c r="E4657" s="2">
        <v>9.0120000000000005</v>
      </c>
    </row>
    <row r="4658" spans="1:5" x14ac:dyDescent="0.25">
      <c r="A4658" s="32" t="s">
        <v>767</v>
      </c>
      <c r="B4658" s="7">
        <v>2021</v>
      </c>
      <c r="C4658" s="51" t="s">
        <v>704</v>
      </c>
      <c r="D4658" t="s">
        <v>721</v>
      </c>
      <c r="E4658" s="2">
        <v>9.8239999999999998</v>
      </c>
    </row>
    <row r="4659" spans="1:5" x14ac:dyDescent="0.25">
      <c r="A4659" s="32" t="s">
        <v>767</v>
      </c>
      <c r="B4659" s="7">
        <v>2021</v>
      </c>
      <c r="C4659" s="51" t="s">
        <v>705</v>
      </c>
      <c r="D4659" t="s">
        <v>721</v>
      </c>
      <c r="E4659" s="2">
        <v>10.093999999999999</v>
      </c>
    </row>
    <row r="4660" spans="1:5" x14ac:dyDescent="0.25">
      <c r="A4660" s="32" t="s">
        <v>767</v>
      </c>
      <c r="B4660" s="7">
        <v>2021</v>
      </c>
      <c r="C4660" s="51" t="s">
        <v>706</v>
      </c>
      <c r="D4660" t="s">
        <v>721</v>
      </c>
      <c r="E4660" s="2">
        <v>10.433</v>
      </c>
    </row>
    <row r="4661" spans="1:5" x14ac:dyDescent="0.25">
      <c r="A4661" s="32" t="s">
        <v>767</v>
      </c>
      <c r="B4661" s="7">
        <v>2022</v>
      </c>
      <c r="C4661" s="51" t="s">
        <v>713</v>
      </c>
      <c r="D4661" t="s">
        <v>721</v>
      </c>
      <c r="E4661" s="2">
        <v>11.266</v>
      </c>
    </row>
    <row r="4662" spans="1:5" x14ac:dyDescent="0.25">
      <c r="A4662" s="32" t="s">
        <v>767</v>
      </c>
      <c r="B4662" s="7">
        <v>2022</v>
      </c>
      <c r="C4662" s="51" t="s">
        <v>707</v>
      </c>
      <c r="D4662" t="s">
        <v>721</v>
      </c>
      <c r="E4662" s="2">
        <v>10.685</v>
      </c>
    </row>
    <row r="4663" spans="1:5" x14ac:dyDescent="0.25">
      <c r="A4663" s="32" t="s">
        <v>767</v>
      </c>
      <c r="B4663" s="7">
        <v>2022</v>
      </c>
      <c r="C4663" s="51" t="s">
        <v>708</v>
      </c>
      <c r="D4663" t="s">
        <v>721</v>
      </c>
      <c r="E4663" s="2">
        <v>11.367000000000001</v>
      </c>
    </row>
    <row r="4664" spans="1:5" x14ac:dyDescent="0.25">
      <c r="A4664" s="32" t="s">
        <v>767</v>
      </c>
      <c r="B4664" s="7">
        <v>2022</v>
      </c>
      <c r="C4664" s="51" t="s">
        <v>699</v>
      </c>
      <c r="D4664" t="s">
        <v>721</v>
      </c>
      <c r="E4664" s="2">
        <v>9.6720000000000006</v>
      </c>
    </row>
    <row r="4665" spans="1:5" x14ac:dyDescent="0.25">
      <c r="A4665" s="32" t="s">
        <v>767</v>
      </c>
      <c r="B4665" s="7">
        <v>2022</v>
      </c>
      <c r="C4665" s="51" t="s">
        <v>709</v>
      </c>
      <c r="D4665" t="s">
        <v>721</v>
      </c>
      <c r="E4665" s="2">
        <v>10.045</v>
      </c>
    </row>
    <row r="4666" spans="1:5" x14ac:dyDescent="0.25">
      <c r="A4666" s="32" t="s">
        <v>767</v>
      </c>
      <c r="B4666" s="7">
        <v>2022</v>
      </c>
      <c r="C4666" s="51" t="s">
        <v>712</v>
      </c>
      <c r="D4666" t="s">
        <v>721</v>
      </c>
      <c r="E4666" s="2">
        <v>8.5709999999999997</v>
      </c>
    </row>
    <row r="4667" spans="1:5" x14ac:dyDescent="0.25">
      <c r="A4667" s="32" t="s">
        <v>767</v>
      </c>
      <c r="B4667" s="7">
        <v>2022</v>
      </c>
      <c r="C4667" s="51" t="s">
        <v>710</v>
      </c>
      <c r="D4667" t="s">
        <v>721</v>
      </c>
      <c r="E4667" s="2">
        <v>8.6229999999999993</v>
      </c>
    </row>
    <row r="4668" spans="1:5" x14ac:dyDescent="0.25">
      <c r="A4668" s="32" t="s">
        <v>767</v>
      </c>
      <c r="B4668" s="7">
        <v>2022</v>
      </c>
      <c r="C4668" s="51" t="s">
        <v>702</v>
      </c>
      <c r="D4668" t="s">
        <v>721</v>
      </c>
      <c r="E4668" s="2">
        <v>9.0939999999999994</v>
      </c>
    </row>
    <row r="4669" spans="1:5" x14ac:dyDescent="0.25">
      <c r="A4669" s="32" t="s">
        <v>767</v>
      </c>
      <c r="B4669" s="7">
        <v>2022</v>
      </c>
      <c r="C4669" s="51" t="s">
        <v>703</v>
      </c>
      <c r="D4669" t="s">
        <v>721</v>
      </c>
      <c r="E4669" s="2">
        <v>9.5299999999999994</v>
      </c>
    </row>
    <row r="4670" spans="1:5" x14ac:dyDescent="0.25">
      <c r="A4670" s="32" t="s">
        <v>767</v>
      </c>
      <c r="B4670" s="7">
        <v>2022</v>
      </c>
      <c r="C4670" s="51" t="s">
        <v>704</v>
      </c>
      <c r="D4670" t="s">
        <v>721</v>
      </c>
      <c r="E4670" s="2">
        <v>9.9120000000000008</v>
      </c>
    </row>
    <row r="4671" spans="1:5" x14ac:dyDescent="0.25">
      <c r="A4671" s="32" t="s">
        <v>767</v>
      </c>
      <c r="B4671" s="7">
        <v>2022</v>
      </c>
      <c r="C4671" s="51" t="s">
        <v>705</v>
      </c>
      <c r="D4671" t="s">
        <v>721</v>
      </c>
      <c r="E4671" s="2">
        <v>9.9410000000000007</v>
      </c>
    </row>
    <row r="4672" spans="1:5" x14ac:dyDescent="0.25">
      <c r="A4672" s="32" t="s">
        <v>767</v>
      </c>
      <c r="B4672" s="7">
        <v>2022</v>
      </c>
      <c r="C4672" s="51" t="s">
        <v>706</v>
      </c>
      <c r="D4672" t="s">
        <v>721</v>
      </c>
      <c r="E4672" s="2">
        <v>10.426</v>
      </c>
    </row>
    <row r="4673" spans="1:5" x14ac:dyDescent="0.25">
      <c r="A4673" s="32" t="s">
        <v>767</v>
      </c>
      <c r="B4673" s="7">
        <v>2023</v>
      </c>
      <c r="C4673" s="51" t="s">
        <v>713</v>
      </c>
      <c r="D4673" t="s">
        <v>721</v>
      </c>
      <c r="E4673" s="2">
        <v>9.8379999999999992</v>
      </c>
    </row>
    <row r="4674" spans="1:5" x14ac:dyDescent="0.25">
      <c r="A4674" s="32" t="s">
        <v>767</v>
      </c>
      <c r="B4674" s="7">
        <v>2023</v>
      </c>
      <c r="C4674" s="51" t="s">
        <v>707</v>
      </c>
      <c r="D4674" t="s">
        <v>721</v>
      </c>
      <c r="E4674" s="2">
        <v>9.298</v>
      </c>
    </row>
    <row r="4675" spans="1:5" x14ac:dyDescent="0.25">
      <c r="A4675" s="32" t="s">
        <v>767</v>
      </c>
      <c r="B4675" s="7">
        <v>2023</v>
      </c>
      <c r="C4675" s="51" t="s">
        <v>708</v>
      </c>
      <c r="D4675" t="s">
        <v>721</v>
      </c>
      <c r="E4675" s="2">
        <v>10.151999999999999</v>
      </c>
    </row>
    <row r="4676" spans="1:5" x14ac:dyDescent="0.25">
      <c r="A4676" s="32" t="s">
        <v>767</v>
      </c>
      <c r="B4676" s="7">
        <v>2023</v>
      </c>
      <c r="C4676" s="51" t="s">
        <v>699</v>
      </c>
      <c r="D4676" t="s">
        <v>721</v>
      </c>
      <c r="E4676" s="2">
        <v>9.1199999999999992</v>
      </c>
    </row>
    <row r="4677" spans="1:5" x14ac:dyDescent="0.25">
      <c r="A4677" s="32" t="s">
        <v>767</v>
      </c>
      <c r="B4677" s="7">
        <v>2023</v>
      </c>
      <c r="C4677" s="51" t="s">
        <v>709</v>
      </c>
      <c r="D4677" t="s">
        <v>721</v>
      </c>
      <c r="E4677" s="2">
        <v>9.3719999999999999</v>
      </c>
    </row>
    <row r="4678" spans="1:5" x14ac:dyDescent="0.25">
      <c r="A4678" s="32" t="s">
        <v>767</v>
      </c>
      <c r="B4678" s="7">
        <v>2023</v>
      </c>
      <c r="C4678" s="51" t="s">
        <v>712</v>
      </c>
      <c r="D4678" t="s">
        <v>721</v>
      </c>
      <c r="E4678" s="2">
        <v>8.2910000000000004</v>
      </c>
    </row>
    <row r="4679" spans="1:5" x14ac:dyDescent="0.25">
      <c r="A4679" s="32" t="s">
        <v>767</v>
      </c>
      <c r="B4679" s="7">
        <v>2023</v>
      </c>
      <c r="C4679" s="51" t="s">
        <v>710</v>
      </c>
      <c r="D4679" t="s">
        <v>721</v>
      </c>
      <c r="E4679" s="2">
        <v>8.3559999999999999</v>
      </c>
    </row>
    <row r="4680" spans="1:5" x14ac:dyDescent="0.25">
      <c r="A4680" s="32" t="s">
        <v>767</v>
      </c>
      <c r="B4680" s="7">
        <v>2023</v>
      </c>
      <c r="C4680" s="51" t="s">
        <v>702</v>
      </c>
      <c r="D4680" t="s">
        <v>721</v>
      </c>
      <c r="E4680" s="2">
        <v>8.7390000000000008</v>
      </c>
    </row>
    <row r="4681" spans="1:5" x14ac:dyDescent="0.25">
      <c r="A4681" s="32" t="s">
        <v>767</v>
      </c>
      <c r="B4681" s="7">
        <v>2023</v>
      </c>
      <c r="C4681" s="51" t="s">
        <v>703</v>
      </c>
      <c r="D4681" t="s">
        <v>721</v>
      </c>
      <c r="E4681" s="2">
        <v>9.5869999999999997</v>
      </c>
    </row>
    <row r="4682" spans="1:5" x14ac:dyDescent="0.25">
      <c r="A4682" s="32" t="s">
        <v>767</v>
      </c>
      <c r="B4682" s="7">
        <v>1997</v>
      </c>
      <c r="C4682" s="51" t="s">
        <v>704</v>
      </c>
      <c r="D4682" t="s">
        <v>722</v>
      </c>
      <c r="E4682" s="2">
        <v>1.425</v>
      </c>
    </row>
    <row r="4683" spans="1:5" x14ac:dyDescent="0.25">
      <c r="A4683" s="32" t="s">
        <v>767</v>
      </c>
      <c r="B4683" s="7">
        <v>1997</v>
      </c>
      <c r="C4683" s="51" t="s">
        <v>705</v>
      </c>
      <c r="D4683" t="s">
        <v>722</v>
      </c>
      <c r="E4683" s="2">
        <v>0.59399999999999997</v>
      </c>
    </row>
    <row r="4684" spans="1:5" x14ac:dyDescent="0.25">
      <c r="A4684" s="32" t="s">
        <v>767</v>
      </c>
      <c r="B4684" s="7">
        <v>1997</v>
      </c>
      <c r="C4684" s="51" t="s">
        <v>706</v>
      </c>
      <c r="D4684" t="s">
        <v>722</v>
      </c>
      <c r="E4684" s="2">
        <v>0.59499999999999997</v>
      </c>
    </row>
    <row r="4685" spans="1:5" x14ac:dyDescent="0.25">
      <c r="A4685" s="32" t="s">
        <v>767</v>
      </c>
      <c r="B4685" s="7">
        <v>1998</v>
      </c>
      <c r="C4685" s="51" t="s">
        <v>713</v>
      </c>
      <c r="D4685" t="s">
        <v>722</v>
      </c>
      <c r="E4685" s="2">
        <v>0.92500000000000004</v>
      </c>
    </row>
    <row r="4686" spans="1:5" x14ac:dyDescent="0.25">
      <c r="A4686" s="32" t="s">
        <v>767</v>
      </c>
      <c r="B4686" s="7">
        <v>1998</v>
      </c>
      <c r="C4686" s="51" t="s">
        <v>707</v>
      </c>
      <c r="D4686" t="s">
        <v>722</v>
      </c>
      <c r="E4686" s="2">
        <v>0.96399999999999997</v>
      </c>
    </row>
    <row r="4687" spans="1:5" x14ac:dyDescent="0.25">
      <c r="A4687" s="32" t="s">
        <v>767</v>
      </c>
      <c r="B4687" s="7">
        <v>1998</v>
      </c>
      <c r="C4687" s="51" t="s">
        <v>708</v>
      </c>
      <c r="D4687" t="s">
        <v>722</v>
      </c>
      <c r="E4687" s="2">
        <v>1.0680000000000001</v>
      </c>
    </row>
    <row r="4688" spans="1:5" x14ac:dyDescent="0.25">
      <c r="A4688" s="32" t="s">
        <v>767</v>
      </c>
      <c r="B4688" s="7">
        <v>1998</v>
      </c>
      <c r="C4688" s="51" t="s">
        <v>699</v>
      </c>
      <c r="D4688" t="s">
        <v>722</v>
      </c>
      <c r="E4688" s="2">
        <v>1.04</v>
      </c>
    </row>
    <row r="4689" spans="1:5" x14ac:dyDescent="0.25">
      <c r="A4689" s="32" t="s">
        <v>767</v>
      </c>
      <c r="B4689" s="7">
        <v>1998</v>
      </c>
      <c r="C4689" s="51" t="s">
        <v>709</v>
      </c>
      <c r="D4689" t="s">
        <v>722</v>
      </c>
      <c r="E4689" s="2">
        <v>3.391</v>
      </c>
    </row>
    <row r="4690" spans="1:5" x14ac:dyDescent="0.25">
      <c r="A4690" s="32" t="s">
        <v>767</v>
      </c>
      <c r="B4690" s="7">
        <v>1998</v>
      </c>
      <c r="C4690" s="51" t="s">
        <v>712</v>
      </c>
      <c r="D4690" t="s">
        <v>722</v>
      </c>
      <c r="E4690" s="2">
        <v>1.0529999999999999</v>
      </c>
    </row>
    <row r="4691" spans="1:5" x14ac:dyDescent="0.25">
      <c r="A4691" s="32" t="s">
        <v>767</v>
      </c>
      <c r="B4691" s="7">
        <v>1998</v>
      </c>
      <c r="C4691" s="51" t="s">
        <v>710</v>
      </c>
      <c r="D4691" t="s">
        <v>722</v>
      </c>
      <c r="E4691" s="2">
        <v>1.141</v>
      </c>
    </row>
    <row r="4692" spans="1:5" x14ac:dyDescent="0.25">
      <c r="A4692" s="32" t="s">
        <v>767</v>
      </c>
      <c r="B4692" s="7">
        <v>1998</v>
      </c>
      <c r="C4692" s="51" t="s">
        <v>702</v>
      </c>
      <c r="D4692" t="s">
        <v>722</v>
      </c>
      <c r="E4692" s="2">
        <v>1.103</v>
      </c>
    </row>
    <row r="4693" spans="1:5" x14ac:dyDescent="0.25">
      <c r="A4693" s="32" t="s">
        <v>767</v>
      </c>
      <c r="B4693" s="7">
        <v>1998</v>
      </c>
      <c r="C4693" s="51" t="s">
        <v>703</v>
      </c>
      <c r="D4693" t="s">
        <v>722</v>
      </c>
      <c r="E4693" s="2">
        <v>1.2669999999999999</v>
      </c>
    </row>
    <row r="4694" spans="1:5" x14ac:dyDescent="0.25">
      <c r="A4694" s="32" t="s">
        <v>767</v>
      </c>
      <c r="B4694" s="7">
        <v>1998</v>
      </c>
      <c r="C4694" s="51" t="s">
        <v>704</v>
      </c>
      <c r="D4694" t="s">
        <v>722</v>
      </c>
      <c r="E4694" s="2">
        <v>1.321</v>
      </c>
    </row>
    <row r="4695" spans="1:5" x14ac:dyDescent="0.25">
      <c r="A4695" s="32" t="s">
        <v>767</v>
      </c>
      <c r="B4695" s="7">
        <v>1998</v>
      </c>
      <c r="C4695" s="51" t="s">
        <v>705</v>
      </c>
      <c r="D4695" t="s">
        <v>722</v>
      </c>
      <c r="E4695" s="2">
        <v>0.98299999999999998</v>
      </c>
    </row>
    <row r="4696" spans="1:5" x14ac:dyDescent="0.25">
      <c r="A4696" s="32" t="s">
        <v>767</v>
      </c>
      <c r="B4696" s="7">
        <v>1998</v>
      </c>
      <c r="C4696" s="51" t="s">
        <v>706</v>
      </c>
      <c r="D4696" t="s">
        <v>722</v>
      </c>
      <c r="E4696" s="2">
        <v>1.1990000000000001</v>
      </c>
    </row>
    <row r="4697" spans="1:5" x14ac:dyDescent="0.25">
      <c r="A4697" s="32" t="s">
        <v>767</v>
      </c>
      <c r="B4697" s="7">
        <v>1999</v>
      </c>
      <c r="C4697" s="51" t="s">
        <v>713</v>
      </c>
      <c r="D4697" t="s">
        <v>722</v>
      </c>
      <c r="E4697" s="2">
        <v>1.431</v>
      </c>
    </row>
    <row r="4698" spans="1:5" x14ac:dyDescent="0.25">
      <c r="A4698" s="32" t="s">
        <v>767</v>
      </c>
      <c r="B4698" s="7">
        <v>1999</v>
      </c>
      <c r="C4698" s="51" t="s">
        <v>707</v>
      </c>
      <c r="D4698" t="s">
        <v>722</v>
      </c>
      <c r="E4698" s="2">
        <v>1.165</v>
      </c>
    </row>
    <row r="4699" spans="1:5" x14ac:dyDescent="0.25">
      <c r="A4699" s="32" t="s">
        <v>767</v>
      </c>
      <c r="B4699" s="7">
        <v>1999</v>
      </c>
      <c r="C4699" s="51" t="s">
        <v>708</v>
      </c>
      <c r="D4699" t="s">
        <v>722</v>
      </c>
      <c r="E4699" s="2">
        <v>1.2649999999999999</v>
      </c>
    </row>
    <row r="4700" spans="1:5" x14ac:dyDescent="0.25">
      <c r="A4700" s="32" t="s">
        <v>767</v>
      </c>
      <c r="B4700" s="7">
        <v>1999</v>
      </c>
      <c r="C4700" s="51" t="s">
        <v>699</v>
      </c>
      <c r="D4700" t="s">
        <v>722</v>
      </c>
      <c r="E4700" s="2">
        <v>1.2569999999999999</v>
      </c>
    </row>
    <row r="4701" spans="1:5" x14ac:dyDescent="0.25">
      <c r="A4701" s="32" t="s">
        <v>767</v>
      </c>
      <c r="B4701" s="7">
        <v>1999</v>
      </c>
      <c r="C4701" s="51" t="s">
        <v>709</v>
      </c>
      <c r="D4701" t="s">
        <v>722</v>
      </c>
      <c r="E4701" s="2">
        <v>1.3420000000000001</v>
      </c>
    </row>
    <row r="4702" spans="1:5" x14ac:dyDescent="0.25">
      <c r="A4702" s="32" t="s">
        <v>767</v>
      </c>
      <c r="B4702" s="7">
        <v>1999</v>
      </c>
      <c r="C4702" s="51" t="s">
        <v>712</v>
      </c>
      <c r="D4702" t="s">
        <v>722</v>
      </c>
      <c r="E4702" s="2">
        <v>1.429</v>
      </c>
    </row>
    <row r="4703" spans="1:5" x14ac:dyDescent="0.25">
      <c r="A4703" s="32" t="s">
        <v>767</v>
      </c>
      <c r="B4703" s="7">
        <v>1999</v>
      </c>
      <c r="C4703" s="51" t="s">
        <v>710</v>
      </c>
      <c r="D4703" t="s">
        <v>722</v>
      </c>
      <c r="E4703" s="2">
        <v>1.2889999999999999</v>
      </c>
    </row>
    <row r="4704" spans="1:5" x14ac:dyDescent="0.25">
      <c r="A4704" s="32" t="s">
        <v>767</v>
      </c>
      <c r="B4704" s="7">
        <v>1999</v>
      </c>
      <c r="C4704" s="51" t="s">
        <v>702</v>
      </c>
      <c r="D4704" t="s">
        <v>722</v>
      </c>
      <c r="E4704" s="2">
        <v>2.4430000000000001</v>
      </c>
    </row>
    <row r="4705" spans="1:5" x14ac:dyDescent="0.25">
      <c r="A4705" s="32" t="s">
        <v>767</v>
      </c>
      <c r="B4705" s="7">
        <v>1999</v>
      </c>
      <c r="C4705" s="51" t="s">
        <v>703</v>
      </c>
      <c r="D4705" t="s">
        <v>722</v>
      </c>
      <c r="E4705" s="2">
        <v>1.4470000000000001</v>
      </c>
    </row>
    <row r="4706" spans="1:5" x14ac:dyDescent="0.25">
      <c r="A4706" s="32" t="s">
        <v>767</v>
      </c>
      <c r="B4706" s="7">
        <v>1999</v>
      </c>
      <c r="C4706" s="51" t="s">
        <v>704</v>
      </c>
      <c r="D4706" t="s">
        <v>722</v>
      </c>
      <c r="E4706" s="2">
        <v>1.427</v>
      </c>
    </row>
    <row r="4707" spans="1:5" x14ac:dyDescent="0.25">
      <c r="A4707" s="32" t="s">
        <v>767</v>
      </c>
      <c r="B4707" s="7">
        <v>1999</v>
      </c>
      <c r="C4707" s="51" t="s">
        <v>705</v>
      </c>
      <c r="D4707" t="s">
        <v>722</v>
      </c>
      <c r="E4707" s="2">
        <v>1.3460000000000001</v>
      </c>
    </row>
    <row r="4708" spans="1:5" x14ac:dyDescent="0.25">
      <c r="A4708" s="32" t="s">
        <v>767</v>
      </c>
      <c r="B4708" s="7">
        <v>1999</v>
      </c>
      <c r="C4708" s="51" t="s">
        <v>706</v>
      </c>
      <c r="D4708" t="s">
        <v>722</v>
      </c>
      <c r="E4708" s="2">
        <v>1.1779999999999999</v>
      </c>
    </row>
    <row r="4709" spans="1:5" x14ac:dyDescent="0.25">
      <c r="A4709" s="32" t="s">
        <v>767</v>
      </c>
      <c r="B4709" s="7">
        <v>2000</v>
      </c>
      <c r="C4709" s="51" t="s">
        <v>713</v>
      </c>
      <c r="D4709" t="s">
        <v>722</v>
      </c>
      <c r="E4709" s="2">
        <v>1.0269999999999999</v>
      </c>
    </row>
    <row r="4710" spans="1:5" x14ac:dyDescent="0.25">
      <c r="A4710" s="32" t="s">
        <v>767</v>
      </c>
      <c r="B4710" s="7">
        <v>2000</v>
      </c>
      <c r="C4710" s="51" t="s">
        <v>707</v>
      </c>
      <c r="D4710" t="s">
        <v>722</v>
      </c>
      <c r="E4710" s="2">
        <v>1.046</v>
      </c>
    </row>
    <row r="4711" spans="1:5" x14ac:dyDescent="0.25">
      <c r="A4711" s="32" t="s">
        <v>767</v>
      </c>
      <c r="B4711" s="7">
        <v>2000</v>
      </c>
      <c r="C4711" s="51" t="s">
        <v>708</v>
      </c>
      <c r="D4711" t="s">
        <v>722</v>
      </c>
      <c r="E4711" s="2">
        <v>1.0429999999999999</v>
      </c>
    </row>
    <row r="4712" spans="1:5" x14ac:dyDescent="0.25">
      <c r="A4712" s="32" t="s">
        <v>767</v>
      </c>
      <c r="B4712" s="7">
        <v>2000</v>
      </c>
      <c r="C4712" s="51" t="s">
        <v>699</v>
      </c>
      <c r="D4712" t="s">
        <v>722</v>
      </c>
      <c r="E4712" s="2">
        <v>0.82799999999999996</v>
      </c>
    </row>
    <row r="4713" spans="1:5" x14ac:dyDescent="0.25">
      <c r="A4713" s="32" t="s">
        <v>767</v>
      </c>
      <c r="B4713" s="7">
        <v>2000</v>
      </c>
      <c r="C4713" s="51" t="s">
        <v>709</v>
      </c>
      <c r="D4713" t="s">
        <v>722</v>
      </c>
      <c r="E4713" s="2">
        <v>1.399</v>
      </c>
    </row>
    <row r="4714" spans="1:5" x14ac:dyDescent="0.25">
      <c r="A4714" s="32" t="s">
        <v>767</v>
      </c>
      <c r="B4714" s="7">
        <v>2000</v>
      </c>
      <c r="C4714" s="51" t="s">
        <v>712</v>
      </c>
      <c r="D4714" t="s">
        <v>722</v>
      </c>
      <c r="E4714" s="2">
        <v>1.147</v>
      </c>
    </row>
    <row r="4715" spans="1:5" x14ac:dyDescent="0.25">
      <c r="A4715" s="32" t="s">
        <v>767</v>
      </c>
      <c r="B4715" s="7">
        <v>2000</v>
      </c>
      <c r="C4715" s="51" t="s">
        <v>710</v>
      </c>
      <c r="D4715" t="s">
        <v>722</v>
      </c>
      <c r="E4715" s="2">
        <v>0.78200000000000003</v>
      </c>
    </row>
    <row r="4716" spans="1:5" x14ac:dyDescent="0.25">
      <c r="A4716" s="32" t="s">
        <v>767</v>
      </c>
      <c r="B4716" s="7">
        <v>2000</v>
      </c>
      <c r="C4716" s="51" t="s">
        <v>702</v>
      </c>
      <c r="D4716" t="s">
        <v>722</v>
      </c>
      <c r="E4716" s="2">
        <v>1.4570000000000001</v>
      </c>
    </row>
    <row r="4717" spans="1:5" x14ac:dyDescent="0.25">
      <c r="A4717" s="32" t="s">
        <v>767</v>
      </c>
      <c r="B4717" s="7">
        <v>2000</v>
      </c>
      <c r="C4717" s="51" t="s">
        <v>703</v>
      </c>
      <c r="D4717" t="s">
        <v>722</v>
      </c>
      <c r="E4717" s="2">
        <v>0.94399999999999995</v>
      </c>
    </row>
    <row r="4718" spans="1:5" x14ac:dyDescent="0.25">
      <c r="A4718" s="32" t="s">
        <v>767</v>
      </c>
      <c r="B4718" s="7">
        <v>2000</v>
      </c>
      <c r="C4718" s="51" t="s">
        <v>704</v>
      </c>
      <c r="D4718" t="s">
        <v>722</v>
      </c>
      <c r="E4718" s="2">
        <v>0.85099999999999998</v>
      </c>
    </row>
    <row r="4719" spans="1:5" x14ac:dyDescent="0.25">
      <c r="A4719" s="32" t="s">
        <v>767</v>
      </c>
      <c r="B4719" s="7">
        <v>2000</v>
      </c>
      <c r="C4719" s="51" t="s">
        <v>705</v>
      </c>
      <c r="D4719" t="s">
        <v>722</v>
      </c>
      <c r="E4719" s="2">
        <v>0.80300000000000005</v>
      </c>
    </row>
    <row r="4720" spans="1:5" x14ac:dyDescent="0.25">
      <c r="A4720" s="32" t="s">
        <v>767</v>
      </c>
      <c r="B4720" s="7">
        <v>2000</v>
      </c>
      <c r="C4720" s="51" t="s">
        <v>706</v>
      </c>
      <c r="D4720" t="s">
        <v>722</v>
      </c>
      <c r="E4720" s="2">
        <v>0.93899999999999995</v>
      </c>
    </row>
    <row r="4721" spans="1:5" x14ac:dyDescent="0.25">
      <c r="A4721" s="32" t="s">
        <v>767</v>
      </c>
      <c r="B4721" s="7">
        <v>2001</v>
      </c>
      <c r="C4721" s="51" t="s">
        <v>713</v>
      </c>
      <c r="D4721" t="s">
        <v>722</v>
      </c>
      <c r="E4721" s="2">
        <v>1.0189999999999999</v>
      </c>
    </row>
    <row r="4722" spans="1:5" x14ac:dyDescent="0.25">
      <c r="A4722" s="32" t="s">
        <v>767</v>
      </c>
      <c r="B4722" s="7">
        <v>2001</v>
      </c>
      <c r="C4722" s="51" t="s">
        <v>707</v>
      </c>
      <c r="D4722" t="s">
        <v>722</v>
      </c>
      <c r="E4722" s="2">
        <v>0.93600000000000005</v>
      </c>
    </row>
    <row r="4723" spans="1:5" x14ac:dyDescent="0.25">
      <c r="A4723" s="32" t="s">
        <v>767</v>
      </c>
      <c r="B4723" s="7">
        <v>2001</v>
      </c>
      <c r="C4723" s="51" t="s">
        <v>708</v>
      </c>
      <c r="D4723" t="s">
        <v>722</v>
      </c>
      <c r="E4723" s="2">
        <v>1.0049999999999999</v>
      </c>
    </row>
    <row r="4724" spans="1:5" x14ac:dyDescent="0.25">
      <c r="A4724" s="32" t="s">
        <v>767</v>
      </c>
      <c r="B4724" s="7">
        <v>2001</v>
      </c>
      <c r="C4724" s="51" t="s">
        <v>699</v>
      </c>
      <c r="D4724" t="s">
        <v>722</v>
      </c>
      <c r="E4724" s="2">
        <v>0.86599999999999999</v>
      </c>
    </row>
    <row r="4725" spans="1:5" x14ac:dyDescent="0.25">
      <c r="A4725" s="32" t="s">
        <v>767</v>
      </c>
      <c r="B4725" s="7">
        <v>2001</v>
      </c>
      <c r="C4725" s="51" t="s">
        <v>709</v>
      </c>
      <c r="D4725" t="s">
        <v>722</v>
      </c>
      <c r="E4725" s="2">
        <v>1.125</v>
      </c>
    </row>
    <row r="4726" spans="1:5" x14ac:dyDescent="0.25">
      <c r="A4726" s="32" t="s">
        <v>767</v>
      </c>
      <c r="B4726" s="7">
        <v>2001</v>
      </c>
      <c r="C4726" s="51" t="s">
        <v>712</v>
      </c>
      <c r="D4726" t="s">
        <v>722</v>
      </c>
      <c r="E4726" s="2">
        <v>1.3069999999999999</v>
      </c>
    </row>
    <row r="4727" spans="1:5" x14ac:dyDescent="0.25">
      <c r="A4727" s="32" t="s">
        <v>767</v>
      </c>
      <c r="B4727" s="7">
        <v>2001</v>
      </c>
      <c r="C4727" s="51" t="s">
        <v>710</v>
      </c>
      <c r="D4727" t="s">
        <v>722</v>
      </c>
      <c r="E4727" s="2">
        <v>1.5049999999999999</v>
      </c>
    </row>
    <row r="4728" spans="1:5" x14ac:dyDescent="0.25">
      <c r="A4728" s="32" t="s">
        <v>767</v>
      </c>
      <c r="B4728" s="7">
        <v>2001</v>
      </c>
      <c r="C4728" s="51" t="s">
        <v>702</v>
      </c>
      <c r="D4728" t="s">
        <v>722</v>
      </c>
      <c r="E4728" s="2">
        <v>1.5580000000000001</v>
      </c>
    </row>
    <row r="4729" spans="1:5" x14ac:dyDescent="0.25">
      <c r="A4729" s="32" t="s">
        <v>767</v>
      </c>
      <c r="B4729" s="7">
        <v>2001</v>
      </c>
      <c r="C4729" s="51" t="s">
        <v>703</v>
      </c>
      <c r="D4729" t="s">
        <v>722</v>
      </c>
      <c r="E4729" s="2">
        <v>1.286</v>
      </c>
    </row>
    <row r="4730" spans="1:5" x14ac:dyDescent="0.25">
      <c r="A4730" s="32" t="s">
        <v>767</v>
      </c>
      <c r="B4730" s="7">
        <v>2001</v>
      </c>
      <c r="C4730" s="51" t="s">
        <v>704</v>
      </c>
      <c r="D4730" t="s">
        <v>722</v>
      </c>
      <c r="E4730" s="2">
        <v>1.5009999999999999</v>
      </c>
    </row>
    <row r="4731" spans="1:5" x14ac:dyDescent="0.25">
      <c r="A4731" s="32" t="s">
        <v>767</v>
      </c>
      <c r="B4731" s="7">
        <v>2001</v>
      </c>
      <c r="C4731" s="51" t="s">
        <v>705</v>
      </c>
      <c r="D4731" t="s">
        <v>722</v>
      </c>
      <c r="E4731" s="2">
        <v>1.3919999999999999</v>
      </c>
    </row>
    <row r="4732" spans="1:5" x14ac:dyDescent="0.25">
      <c r="A4732" s="32" t="s">
        <v>767</v>
      </c>
      <c r="B4732" s="7">
        <v>2001</v>
      </c>
      <c r="C4732" s="51" t="s">
        <v>706</v>
      </c>
      <c r="D4732" t="s">
        <v>722</v>
      </c>
      <c r="E4732" s="2">
        <v>1.3460000000000001</v>
      </c>
    </row>
    <row r="4733" spans="1:5" x14ac:dyDescent="0.25">
      <c r="A4733" s="32" t="s">
        <v>767</v>
      </c>
      <c r="B4733" s="7">
        <v>2002</v>
      </c>
      <c r="C4733" s="51" t="s">
        <v>713</v>
      </c>
      <c r="D4733" t="s">
        <v>722</v>
      </c>
      <c r="E4733" s="2">
        <v>1.08</v>
      </c>
    </row>
    <row r="4734" spans="1:5" x14ac:dyDescent="0.25">
      <c r="A4734" s="32" t="s">
        <v>767</v>
      </c>
      <c r="B4734" s="7">
        <v>2002</v>
      </c>
      <c r="C4734" s="51" t="s">
        <v>707</v>
      </c>
      <c r="D4734" t="s">
        <v>722</v>
      </c>
      <c r="E4734" s="2">
        <v>1.0580000000000001</v>
      </c>
    </row>
    <row r="4735" spans="1:5" x14ac:dyDescent="0.25">
      <c r="A4735" s="32" t="s">
        <v>767</v>
      </c>
      <c r="B4735" s="7">
        <v>2002</v>
      </c>
      <c r="C4735" s="51" t="s">
        <v>708</v>
      </c>
      <c r="D4735" t="s">
        <v>722</v>
      </c>
      <c r="E4735" s="2">
        <v>1.0580000000000001</v>
      </c>
    </row>
    <row r="4736" spans="1:5" x14ac:dyDescent="0.25">
      <c r="A4736" s="32" t="s">
        <v>767</v>
      </c>
      <c r="B4736" s="7">
        <v>2002</v>
      </c>
      <c r="C4736" s="51" t="s">
        <v>699</v>
      </c>
      <c r="D4736" t="s">
        <v>722</v>
      </c>
      <c r="E4736" s="2">
        <v>1.0489999999999999</v>
      </c>
    </row>
    <row r="4737" spans="1:5" x14ac:dyDescent="0.25">
      <c r="A4737" s="32" t="s">
        <v>767</v>
      </c>
      <c r="B4737" s="7">
        <v>2002</v>
      </c>
      <c r="C4737" s="51" t="s">
        <v>709</v>
      </c>
      <c r="D4737" t="s">
        <v>722</v>
      </c>
      <c r="E4737" s="2">
        <v>1.242</v>
      </c>
    </row>
    <row r="4738" spans="1:5" x14ac:dyDescent="0.25">
      <c r="A4738" s="32" t="s">
        <v>767</v>
      </c>
      <c r="B4738" s="7">
        <v>2002</v>
      </c>
      <c r="C4738" s="51" t="s">
        <v>712</v>
      </c>
      <c r="D4738" t="s">
        <v>722</v>
      </c>
      <c r="E4738" s="2">
        <v>1.4710000000000001</v>
      </c>
    </row>
    <row r="4739" spans="1:5" x14ac:dyDescent="0.25">
      <c r="A4739" s="32" t="s">
        <v>767</v>
      </c>
      <c r="B4739" s="7">
        <v>2002</v>
      </c>
      <c r="C4739" s="51" t="s">
        <v>710</v>
      </c>
      <c r="D4739" t="s">
        <v>722</v>
      </c>
      <c r="E4739" s="2">
        <v>1.25</v>
      </c>
    </row>
    <row r="4740" spans="1:5" x14ac:dyDescent="0.25">
      <c r="A4740" s="32" t="s">
        <v>767</v>
      </c>
      <c r="B4740" s="7">
        <v>2002</v>
      </c>
      <c r="C4740" s="51" t="s">
        <v>702</v>
      </c>
      <c r="D4740" t="s">
        <v>722</v>
      </c>
      <c r="E4740" s="2">
        <v>1.2190000000000001</v>
      </c>
    </row>
    <row r="4741" spans="1:5" x14ac:dyDescent="0.25">
      <c r="A4741" s="32" t="s">
        <v>767</v>
      </c>
      <c r="B4741" s="7">
        <v>2002</v>
      </c>
      <c r="C4741" s="51" t="s">
        <v>703</v>
      </c>
      <c r="D4741" t="s">
        <v>722</v>
      </c>
      <c r="E4741" s="2">
        <v>1.4119999999999999</v>
      </c>
    </row>
    <row r="4742" spans="1:5" x14ac:dyDescent="0.25">
      <c r="A4742" s="32" t="s">
        <v>767</v>
      </c>
      <c r="B4742" s="7">
        <v>2002</v>
      </c>
      <c r="C4742" s="51" t="s">
        <v>704</v>
      </c>
      <c r="D4742" t="s">
        <v>722</v>
      </c>
      <c r="E4742" s="2">
        <v>1.4810000000000001</v>
      </c>
    </row>
    <row r="4743" spans="1:5" x14ac:dyDescent="0.25">
      <c r="A4743" s="32" t="s">
        <v>767</v>
      </c>
      <c r="B4743" s="7">
        <v>2002</v>
      </c>
      <c r="C4743" s="51" t="s">
        <v>705</v>
      </c>
      <c r="D4743" t="s">
        <v>722</v>
      </c>
      <c r="E4743" s="2">
        <v>1.2030000000000001</v>
      </c>
    </row>
    <row r="4744" spans="1:5" x14ac:dyDescent="0.25">
      <c r="A4744" s="32" t="s">
        <v>767</v>
      </c>
      <c r="B4744" s="7">
        <v>2002</v>
      </c>
      <c r="C4744" s="51" t="s">
        <v>706</v>
      </c>
      <c r="D4744" t="s">
        <v>722</v>
      </c>
      <c r="E4744" s="2">
        <v>1.204</v>
      </c>
    </row>
    <row r="4745" spans="1:5" x14ac:dyDescent="0.25">
      <c r="A4745" s="32" t="s">
        <v>767</v>
      </c>
      <c r="B4745" s="7">
        <v>2003</v>
      </c>
      <c r="C4745" s="51" t="s">
        <v>713</v>
      </c>
      <c r="D4745" t="s">
        <v>722</v>
      </c>
      <c r="E4745" s="2">
        <v>1.62</v>
      </c>
    </row>
    <row r="4746" spans="1:5" x14ac:dyDescent="0.25">
      <c r="A4746" s="32" t="s">
        <v>767</v>
      </c>
      <c r="B4746" s="7">
        <v>2003</v>
      </c>
      <c r="C4746" s="51" t="s">
        <v>707</v>
      </c>
      <c r="D4746" t="s">
        <v>722</v>
      </c>
      <c r="E4746" s="2">
        <v>2.1469999999999998</v>
      </c>
    </row>
    <row r="4747" spans="1:5" x14ac:dyDescent="0.25">
      <c r="A4747" s="32" t="s">
        <v>767</v>
      </c>
      <c r="B4747" s="7">
        <v>2003</v>
      </c>
      <c r="C4747" s="51" t="s">
        <v>708</v>
      </c>
      <c r="D4747" t="s">
        <v>722</v>
      </c>
      <c r="E4747" s="2">
        <v>1.657</v>
      </c>
    </row>
    <row r="4748" spans="1:5" x14ac:dyDescent="0.25">
      <c r="A4748" s="32" t="s">
        <v>767</v>
      </c>
      <c r="B4748" s="7">
        <v>2003</v>
      </c>
      <c r="C4748" s="51" t="s">
        <v>699</v>
      </c>
      <c r="D4748" t="s">
        <v>722</v>
      </c>
      <c r="E4748" s="2">
        <v>1.9079999999999999</v>
      </c>
    </row>
    <row r="4749" spans="1:5" x14ac:dyDescent="0.25">
      <c r="A4749" s="32" t="s">
        <v>767</v>
      </c>
      <c r="B4749" s="7">
        <v>2003</v>
      </c>
      <c r="C4749" s="51" t="s">
        <v>709</v>
      </c>
      <c r="D4749" t="s">
        <v>722</v>
      </c>
      <c r="E4749" s="2">
        <v>1.593</v>
      </c>
    </row>
    <row r="4750" spans="1:5" x14ac:dyDescent="0.25">
      <c r="A4750" s="32" t="s">
        <v>767</v>
      </c>
      <c r="B4750" s="7">
        <v>2003</v>
      </c>
      <c r="C4750" s="51" t="s">
        <v>712</v>
      </c>
      <c r="D4750" t="s">
        <v>722</v>
      </c>
      <c r="E4750" s="2">
        <v>1.6819999999999999</v>
      </c>
    </row>
    <row r="4751" spans="1:5" x14ac:dyDescent="0.25">
      <c r="A4751" s="32" t="s">
        <v>767</v>
      </c>
      <c r="B4751" s="7">
        <v>2003</v>
      </c>
      <c r="C4751" s="51" t="s">
        <v>710</v>
      </c>
      <c r="D4751" t="s">
        <v>722</v>
      </c>
      <c r="E4751" s="2">
        <v>1.66</v>
      </c>
    </row>
    <row r="4752" spans="1:5" x14ac:dyDescent="0.25">
      <c r="A4752" s="32" t="s">
        <v>767</v>
      </c>
      <c r="B4752" s="7">
        <v>2003</v>
      </c>
      <c r="C4752" s="51" t="s">
        <v>702</v>
      </c>
      <c r="D4752" t="s">
        <v>722</v>
      </c>
      <c r="E4752" s="2">
        <v>2.2000000000000002</v>
      </c>
    </row>
    <row r="4753" spans="1:5" x14ac:dyDescent="0.25">
      <c r="A4753" s="32" t="s">
        <v>767</v>
      </c>
      <c r="B4753" s="7">
        <v>2003</v>
      </c>
      <c r="C4753" s="51" t="s">
        <v>703</v>
      </c>
      <c r="D4753" t="s">
        <v>722</v>
      </c>
      <c r="E4753" s="2">
        <v>1.621</v>
      </c>
    </row>
    <row r="4754" spans="1:5" x14ac:dyDescent="0.25">
      <c r="A4754" s="32" t="s">
        <v>767</v>
      </c>
      <c r="B4754" s="7">
        <v>2003</v>
      </c>
      <c r="C4754" s="51" t="s">
        <v>704</v>
      </c>
      <c r="D4754" t="s">
        <v>722</v>
      </c>
      <c r="E4754" s="2">
        <v>1.887</v>
      </c>
    </row>
    <row r="4755" spans="1:5" x14ac:dyDescent="0.25">
      <c r="A4755" s="32" t="s">
        <v>767</v>
      </c>
      <c r="B4755" s="7">
        <v>2003</v>
      </c>
      <c r="C4755" s="51" t="s">
        <v>705</v>
      </c>
      <c r="D4755" t="s">
        <v>722</v>
      </c>
      <c r="E4755" s="2">
        <v>1.6619999999999999</v>
      </c>
    </row>
    <row r="4756" spans="1:5" x14ac:dyDescent="0.25">
      <c r="A4756" s="32" t="s">
        <v>767</v>
      </c>
      <c r="B4756" s="7">
        <v>2003</v>
      </c>
      <c r="C4756" s="51" t="s">
        <v>706</v>
      </c>
      <c r="D4756" t="s">
        <v>722</v>
      </c>
      <c r="E4756" s="2">
        <v>1.6890000000000001</v>
      </c>
    </row>
    <row r="4757" spans="1:5" x14ac:dyDescent="0.25">
      <c r="A4757" s="32" t="s">
        <v>767</v>
      </c>
      <c r="B4757" s="7">
        <v>2004</v>
      </c>
      <c r="C4757" s="51" t="s">
        <v>713</v>
      </c>
      <c r="D4757" t="s">
        <v>722</v>
      </c>
      <c r="E4757" s="2">
        <v>1.8440000000000001</v>
      </c>
    </row>
    <row r="4758" spans="1:5" x14ac:dyDescent="0.25">
      <c r="A4758" s="32" t="s">
        <v>767</v>
      </c>
      <c r="B4758" s="7">
        <v>2004</v>
      </c>
      <c r="C4758" s="51" t="s">
        <v>707</v>
      </c>
      <c r="D4758" t="s">
        <v>722</v>
      </c>
      <c r="E4758" s="2">
        <v>1.762</v>
      </c>
    </row>
    <row r="4759" spans="1:5" x14ac:dyDescent="0.25">
      <c r="A4759" s="32" t="s">
        <v>767</v>
      </c>
      <c r="B4759" s="7">
        <v>2004</v>
      </c>
      <c r="C4759" s="51" t="s">
        <v>708</v>
      </c>
      <c r="D4759" t="s">
        <v>722</v>
      </c>
      <c r="E4759" s="2">
        <v>1.847</v>
      </c>
    </row>
    <row r="4760" spans="1:5" x14ac:dyDescent="0.25">
      <c r="A4760" s="32" t="s">
        <v>767</v>
      </c>
      <c r="B4760" s="7">
        <v>2004</v>
      </c>
      <c r="C4760" s="51" t="s">
        <v>699</v>
      </c>
      <c r="D4760" t="s">
        <v>722</v>
      </c>
      <c r="E4760" s="2">
        <v>1.716</v>
      </c>
    </row>
    <row r="4761" spans="1:5" x14ac:dyDescent="0.25">
      <c r="A4761" s="32" t="s">
        <v>767</v>
      </c>
      <c r="B4761" s="7">
        <v>2004</v>
      </c>
      <c r="C4761" s="51" t="s">
        <v>709</v>
      </c>
      <c r="D4761" t="s">
        <v>722</v>
      </c>
      <c r="E4761" s="2">
        <v>1.877</v>
      </c>
    </row>
    <row r="4762" spans="1:5" x14ac:dyDescent="0.25">
      <c r="A4762" s="32" t="s">
        <v>767</v>
      </c>
      <c r="B4762" s="7">
        <v>2004</v>
      </c>
      <c r="C4762" s="51" t="s">
        <v>712</v>
      </c>
      <c r="D4762" t="s">
        <v>722</v>
      </c>
      <c r="E4762" s="2">
        <v>2.6429999999999998</v>
      </c>
    </row>
    <row r="4763" spans="1:5" x14ac:dyDescent="0.25">
      <c r="A4763" s="32" t="s">
        <v>767</v>
      </c>
      <c r="B4763" s="7">
        <v>2004</v>
      </c>
      <c r="C4763" s="51" t="s">
        <v>710</v>
      </c>
      <c r="D4763" t="s">
        <v>722</v>
      </c>
      <c r="E4763" s="2">
        <v>2.1869999999999998</v>
      </c>
    </row>
    <row r="4764" spans="1:5" x14ac:dyDescent="0.25">
      <c r="A4764" s="32" t="s">
        <v>767</v>
      </c>
      <c r="B4764" s="7">
        <v>2004</v>
      </c>
      <c r="C4764" s="51" t="s">
        <v>702</v>
      </c>
      <c r="D4764" t="s">
        <v>722</v>
      </c>
      <c r="E4764" s="2">
        <v>1.855</v>
      </c>
    </row>
    <row r="4765" spans="1:5" x14ac:dyDescent="0.25">
      <c r="A4765" s="32" t="s">
        <v>767</v>
      </c>
      <c r="B4765" s="7">
        <v>2004</v>
      </c>
      <c r="C4765" s="51" t="s">
        <v>703</v>
      </c>
      <c r="D4765" t="s">
        <v>722</v>
      </c>
      <c r="E4765" s="2">
        <v>1.8759999999999999</v>
      </c>
    </row>
    <row r="4766" spans="1:5" x14ac:dyDescent="0.25">
      <c r="A4766" s="32" t="s">
        <v>767</v>
      </c>
      <c r="B4766" s="7">
        <v>2004</v>
      </c>
      <c r="C4766" s="51" t="s">
        <v>704</v>
      </c>
      <c r="D4766" t="s">
        <v>722</v>
      </c>
      <c r="E4766" s="2">
        <v>1.85</v>
      </c>
    </row>
    <row r="4767" spans="1:5" x14ac:dyDescent="0.25">
      <c r="A4767" s="32" t="s">
        <v>767</v>
      </c>
      <c r="B4767" s="7">
        <v>2004</v>
      </c>
      <c r="C4767" s="51" t="s">
        <v>705</v>
      </c>
      <c r="D4767" t="s">
        <v>722</v>
      </c>
      <c r="E4767" s="2">
        <v>1.7390000000000001</v>
      </c>
    </row>
    <row r="4768" spans="1:5" x14ac:dyDescent="0.25">
      <c r="A4768" s="32" t="s">
        <v>767</v>
      </c>
      <c r="B4768" s="7">
        <v>2004</v>
      </c>
      <c r="C4768" s="51" t="s">
        <v>706</v>
      </c>
      <c r="D4768" t="s">
        <v>722</v>
      </c>
      <c r="E4768" s="2">
        <v>1.5549999999999999</v>
      </c>
    </row>
    <row r="4769" spans="1:5" x14ac:dyDescent="0.25">
      <c r="A4769" s="32" t="s">
        <v>767</v>
      </c>
      <c r="B4769" s="7">
        <v>2005</v>
      </c>
      <c r="C4769" s="51" t="s">
        <v>713</v>
      </c>
      <c r="D4769" t="s">
        <v>722</v>
      </c>
      <c r="E4769" s="2">
        <v>1.4510000000000001</v>
      </c>
    </row>
    <row r="4770" spans="1:5" x14ac:dyDescent="0.25">
      <c r="A4770" s="32" t="s">
        <v>767</v>
      </c>
      <c r="B4770" s="7">
        <v>2005</v>
      </c>
      <c r="C4770" s="51" t="s">
        <v>707</v>
      </c>
      <c r="D4770" t="s">
        <v>722</v>
      </c>
      <c r="E4770" s="2">
        <v>1.371</v>
      </c>
    </row>
    <row r="4771" spans="1:5" x14ac:dyDescent="0.25">
      <c r="A4771" s="32" t="s">
        <v>767</v>
      </c>
      <c r="B4771" s="7">
        <v>2005</v>
      </c>
      <c r="C4771" s="51" t="s">
        <v>708</v>
      </c>
      <c r="D4771" t="s">
        <v>722</v>
      </c>
      <c r="E4771" s="2">
        <v>1.554</v>
      </c>
    </row>
    <row r="4772" spans="1:5" x14ac:dyDescent="0.25">
      <c r="A4772" s="32" t="s">
        <v>767</v>
      </c>
      <c r="B4772" s="7">
        <v>2005</v>
      </c>
      <c r="C4772" s="51" t="s">
        <v>699</v>
      </c>
      <c r="D4772" t="s">
        <v>722</v>
      </c>
      <c r="E4772" s="2">
        <v>1.4730000000000001</v>
      </c>
    </row>
    <row r="4773" spans="1:5" x14ac:dyDescent="0.25">
      <c r="A4773" s="32" t="s">
        <v>767</v>
      </c>
      <c r="B4773" s="7">
        <v>2005</v>
      </c>
      <c r="C4773" s="51" t="s">
        <v>709</v>
      </c>
      <c r="D4773" t="s">
        <v>722</v>
      </c>
      <c r="E4773" s="2">
        <v>1.4079999999999999</v>
      </c>
    </row>
    <row r="4774" spans="1:5" x14ac:dyDescent="0.25">
      <c r="A4774" s="32" t="s">
        <v>767</v>
      </c>
      <c r="B4774" s="7">
        <v>2005</v>
      </c>
      <c r="C4774" s="51" t="s">
        <v>712</v>
      </c>
      <c r="D4774" t="s">
        <v>722</v>
      </c>
      <c r="E4774" s="2">
        <v>1.5740000000000001</v>
      </c>
    </row>
    <row r="4775" spans="1:5" x14ac:dyDescent="0.25">
      <c r="A4775" s="32" t="s">
        <v>767</v>
      </c>
      <c r="B4775" s="7">
        <v>2005</v>
      </c>
      <c r="C4775" s="51" t="s">
        <v>710</v>
      </c>
      <c r="D4775" t="s">
        <v>722</v>
      </c>
      <c r="E4775" s="2">
        <v>2.2320000000000002</v>
      </c>
    </row>
    <row r="4776" spans="1:5" x14ac:dyDescent="0.25">
      <c r="A4776" s="32" t="s">
        <v>767</v>
      </c>
      <c r="B4776" s="7">
        <v>2005</v>
      </c>
      <c r="C4776" s="51" t="s">
        <v>702</v>
      </c>
      <c r="D4776" t="s">
        <v>722</v>
      </c>
      <c r="E4776" s="2">
        <v>2.3780000000000001</v>
      </c>
    </row>
    <row r="4777" spans="1:5" x14ac:dyDescent="0.25">
      <c r="A4777" s="32" t="s">
        <v>767</v>
      </c>
      <c r="B4777" s="7">
        <v>2005</v>
      </c>
      <c r="C4777" s="51" t="s">
        <v>703</v>
      </c>
      <c r="D4777" t="s">
        <v>722</v>
      </c>
      <c r="E4777" s="2">
        <v>1.4370000000000001</v>
      </c>
    </row>
    <row r="4778" spans="1:5" x14ac:dyDescent="0.25">
      <c r="A4778" s="32" t="s">
        <v>767</v>
      </c>
      <c r="B4778" s="7">
        <v>2005</v>
      </c>
      <c r="C4778" s="51" t="s">
        <v>704</v>
      </c>
      <c r="D4778" t="s">
        <v>722</v>
      </c>
      <c r="E4778" s="2">
        <v>1.629</v>
      </c>
    </row>
    <row r="4779" spans="1:5" x14ac:dyDescent="0.25">
      <c r="A4779" s="32" t="s">
        <v>767</v>
      </c>
      <c r="B4779" s="7">
        <v>2005</v>
      </c>
      <c r="C4779" s="51" t="s">
        <v>705</v>
      </c>
      <c r="D4779" t="s">
        <v>722</v>
      </c>
      <c r="E4779" s="2">
        <v>1.4830000000000001</v>
      </c>
    </row>
    <row r="4780" spans="1:5" x14ac:dyDescent="0.25">
      <c r="A4780" s="32" t="s">
        <v>767</v>
      </c>
      <c r="B4780" s="7">
        <v>2005</v>
      </c>
      <c r="C4780" s="51" t="s">
        <v>706</v>
      </c>
      <c r="D4780" t="s">
        <v>722</v>
      </c>
      <c r="E4780" s="2">
        <v>1.468</v>
      </c>
    </row>
    <row r="4781" spans="1:5" x14ac:dyDescent="0.25">
      <c r="A4781" s="32" t="s">
        <v>767</v>
      </c>
      <c r="B4781" s="7">
        <v>2006</v>
      </c>
      <c r="C4781" s="51" t="s">
        <v>713</v>
      </c>
      <c r="D4781" t="s">
        <v>722</v>
      </c>
      <c r="E4781" s="2">
        <v>1.419</v>
      </c>
    </row>
    <row r="4782" spans="1:5" x14ac:dyDescent="0.25">
      <c r="A4782" s="32" t="s">
        <v>767</v>
      </c>
      <c r="B4782" s="7">
        <v>2006</v>
      </c>
      <c r="C4782" s="51" t="s">
        <v>707</v>
      </c>
      <c r="D4782" t="s">
        <v>722</v>
      </c>
      <c r="E4782" s="2">
        <v>1.472</v>
      </c>
    </row>
    <row r="4783" spans="1:5" x14ac:dyDescent="0.25">
      <c r="A4783" s="32" t="s">
        <v>767</v>
      </c>
      <c r="B4783" s="7">
        <v>2006</v>
      </c>
      <c r="C4783" s="51" t="s">
        <v>708</v>
      </c>
      <c r="D4783" t="s">
        <v>722</v>
      </c>
      <c r="E4783" s="2">
        <v>1.718</v>
      </c>
    </row>
    <row r="4784" spans="1:5" x14ac:dyDescent="0.25">
      <c r="A4784" s="32" t="s">
        <v>767</v>
      </c>
      <c r="B4784" s="7">
        <v>2006</v>
      </c>
      <c r="C4784" s="51" t="s">
        <v>699</v>
      </c>
      <c r="D4784" t="s">
        <v>722</v>
      </c>
      <c r="E4784" s="2">
        <v>1.6579999999999999</v>
      </c>
    </row>
    <row r="4785" spans="1:5" x14ac:dyDescent="0.25">
      <c r="A4785" s="32" t="s">
        <v>767</v>
      </c>
      <c r="B4785" s="7">
        <v>2006</v>
      </c>
      <c r="C4785" s="51" t="s">
        <v>709</v>
      </c>
      <c r="D4785" t="s">
        <v>722</v>
      </c>
      <c r="E4785" s="2">
        <v>1.7849999999999999</v>
      </c>
    </row>
    <row r="4786" spans="1:5" x14ac:dyDescent="0.25">
      <c r="A4786" s="32" t="s">
        <v>767</v>
      </c>
      <c r="B4786" s="7">
        <v>2006</v>
      </c>
      <c r="C4786" s="51" t="s">
        <v>712</v>
      </c>
      <c r="D4786" t="s">
        <v>722</v>
      </c>
      <c r="E4786" s="2">
        <v>3.1549999999999998</v>
      </c>
    </row>
    <row r="4787" spans="1:5" x14ac:dyDescent="0.25">
      <c r="A4787" s="32" t="s">
        <v>767</v>
      </c>
      <c r="B4787" s="7">
        <v>2006</v>
      </c>
      <c r="C4787" s="51" t="s">
        <v>710</v>
      </c>
      <c r="D4787" t="s">
        <v>722</v>
      </c>
      <c r="E4787" s="2">
        <v>2.6880000000000002</v>
      </c>
    </row>
    <row r="4788" spans="1:5" x14ac:dyDescent="0.25">
      <c r="A4788" s="32" t="s">
        <v>767</v>
      </c>
      <c r="B4788" s="7">
        <v>2006</v>
      </c>
      <c r="C4788" s="51" t="s">
        <v>702</v>
      </c>
      <c r="D4788" t="s">
        <v>722</v>
      </c>
      <c r="E4788" s="2">
        <v>2.5750000000000002</v>
      </c>
    </row>
    <row r="4789" spans="1:5" x14ac:dyDescent="0.25">
      <c r="A4789" s="32" t="s">
        <v>767</v>
      </c>
      <c r="B4789" s="7">
        <v>2006</v>
      </c>
      <c r="C4789" s="51" t="s">
        <v>703</v>
      </c>
      <c r="D4789" t="s">
        <v>722</v>
      </c>
      <c r="E4789" s="2">
        <v>2.6179999999999999</v>
      </c>
    </row>
    <row r="4790" spans="1:5" x14ac:dyDescent="0.25">
      <c r="A4790" s="32" t="s">
        <v>767</v>
      </c>
      <c r="B4790" s="7">
        <v>2006</v>
      </c>
      <c r="C4790" s="51" t="s">
        <v>704</v>
      </c>
      <c r="D4790" t="s">
        <v>722</v>
      </c>
      <c r="E4790" s="2">
        <v>1.613</v>
      </c>
    </row>
    <row r="4791" spans="1:5" x14ac:dyDescent="0.25">
      <c r="A4791" s="32" t="s">
        <v>767</v>
      </c>
      <c r="B4791" s="7">
        <v>2006</v>
      </c>
      <c r="C4791" s="51" t="s">
        <v>705</v>
      </c>
      <c r="D4791" t="s">
        <v>722</v>
      </c>
      <c r="E4791" s="2">
        <v>1.38</v>
      </c>
    </row>
    <row r="4792" spans="1:5" x14ac:dyDescent="0.25">
      <c r="A4792" s="32" t="s">
        <v>767</v>
      </c>
      <c r="B4792" s="7">
        <v>2006</v>
      </c>
      <c r="C4792" s="51" t="s">
        <v>706</v>
      </c>
      <c r="D4792" t="s">
        <v>722</v>
      </c>
      <c r="E4792" s="2">
        <v>1.2190000000000001</v>
      </c>
    </row>
    <row r="4793" spans="1:5" x14ac:dyDescent="0.25">
      <c r="A4793" s="32" t="s">
        <v>767</v>
      </c>
      <c r="B4793" s="7">
        <v>2007</v>
      </c>
      <c r="C4793" s="51" t="s">
        <v>713</v>
      </c>
      <c r="D4793" t="s">
        <v>722</v>
      </c>
      <c r="E4793" s="2">
        <v>1.9019999999999999</v>
      </c>
    </row>
    <row r="4794" spans="1:5" x14ac:dyDescent="0.25">
      <c r="A4794" s="32" t="s">
        <v>767</v>
      </c>
      <c r="B4794" s="7">
        <v>2007</v>
      </c>
      <c r="C4794" s="51" t="s">
        <v>707</v>
      </c>
      <c r="D4794" t="s">
        <v>722</v>
      </c>
      <c r="E4794" s="2">
        <v>1.6439999999999999</v>
      </c>
    </row>
    <row r="4795" spans="1:5" x14ac:dyDescent="0.25">
      <c r="A4795" s="32" t="s">
        <v>767</v>
      </c>
      <c r="B4795" s="7">
        <v>2007</v>
      </c>
      <c r="C4795" s="51" t="s">
        <v>708</v>
      </c>
      <c r="D4795" t="s">
        <v>722</v>
      </c>
      <c r="E4795" s="2">
        <v>1.494</v>
      </c>
    </row>
    <row r="4796" spans="1:5" x14ac:dyDescent="0.25">
      <c r="A4796" s="32" t="s">
        <v>767</v>
      </c>
      <c r="B4796" s="7">
        <v>2007</v>
      </c>
      <c r="C4796" s="51" t="s">
        <v>699</v>
      </c>
      <c r="D4796" t="s">
        <v>722</v>
      </c>
      <c r="E4796" s="2">
        <v>1.6559999999999999</v>
      </c>
    </row>
    <row r="4797" spans="1:5" x14ac:dyDescent="0.25">
      <c r="A4797" s="32" t="s">
        <v>767</v>
      </c>
      <c r="B4797" s="7">
        <v>2007</v>
      </c>
      <c r="C4797" s="51" t="s">
        <v>709</v>
      </c>
      <c r="D4797" t="s">
        <v>722</v>
      </c>
      <c r="E4797" s="2">
        <v>1.2529999999999999</v>
      </c>
    </row>
    <row r="4798" spans="1:5" x14ac:dyDescent="0.25">
      <c r="A4798" s="32" t="s">
        <v>767</v>
      </c>
      <c r="B4798" s="7">
        <v>2007</v>
      </c>
      <c r="C4798" s="51" t="s">
        <v>712</v>
      </c>
      <c r="D4798" t="s">
        <v>722</v>
      </c>
      <c r="E4798" s="2">
        <v>1.6060000000000001</v>
      </c>
    </row>
    <row r="4799" spans="1:5" x14ac:dyDescent="0.25">
      <c r="A4799" s="32" t="s">
        <v>767</v>
      </c>
      <c r="B4799" s="7">
        <v>2007</v>
      </c>
      <c r="C4799" s="51" t="s">
        <v>710</v>
      </c>
      <c r="D4799" t="s">
        <v>722</v>
      </c>
      <c r="E4799" s="2">
        <v>1.851</v>
      </c>
    </row>
    <row r="4800" spans="1:5" x14ac:dyDescent="0.25">
      <c r="A4800" s="32" t="s">
        <v>767</v>
      </c>
      <c r="B4800" s="7">
        <v>2007</v>
      </c>
      <c r="C4800" s="51" t="s">
        <v>702</v>
      </c>
      <c r="D4800" t="s">
        <v>722</v>
      </c>
      <c r="E4800" s="2">
        <v>1.718</v>
      </c>
    </row>
    <row r="4801" spans="1:5" x14ac:dyDescent="0.25">
      <c r="A4801" s="32" t="s">
        <v>767</v>
      </c>
      <c r="B4801" s="7">
        <v>2007</v>
      </c>
      <c r="C4801" s="51" t="s">
        <v>703</v>
      </c>
      <c r="D4801" t="s">
        <v>722</v>
      </c>
      <c r="E4801" s="2">
        <v>1.224</v>
      </c>
    </row>
    <row r="4802" spans="1:5" x14ac:dyDescent="0.25">
      <c r="A4802" s="32" t="s">
        <v>767</v>
      </c>
      <c r="B4802" s="7">
        <v>2007</v>
      </c>
      <c r="C4802" s="51" t="s">
        <v>704</v>
      </c>
      <c r="D4802" t="s">
        <v>722</v>
      </c>
      <c r="E4802" s="2">
        <v>1.2350000000000001</v>
      </c>
    </row>
    <row r="4803" spans="1:5" x14ac:dyDescent="0.25">
      <c r="A4803" s="32" t="s">
        <v>767</v>
      </c>
      <c r="B4803" s="7">
        <v>2007</v>
      </c>
      <c r="C4803" s="51" t="s">
        <v>705</v>
      </c>
      <c r="D4803" t="s">
        <v>722</v>
      </c>
      <c r="E4803" s="2">
        <v>1.8080000000000001</v>
      </c>
    </row>
    <row r="4804" spans="1:5" x14ac:dyDescent="0.25">
      <c r="A4804" s="32" t="s">
        <v>767</v>
      </c>
      <c r="B4804" s="7">
        <v>2007</v>
      </c>
      <c r="C4804" s="51" t="s">
        <v>706</v>
      </c>
      <c r="D4804" t="s">
        <v>722</v>
      </c>
      <c r="E4804" s="2">
        <v>1.9830000000000001</v>
      </c>
    </row>
    <row r="4805" spans="1:5" x14ac:dyDescent="0.25">
      <c r="A4805" s="32" t="s">
        <v>767</v>
      </c>
      <c r="B4805" s="7">
        <v>2008</v>
      </c>
      <c r="C4805" s="51" t="s">
        <v>713</v>
      </c>
      <c r="D4805" t="s">
        <v>722</v>
      </c>
      <c r="E4805" s="2">
        <v>1.9530000000000001</v>
      </c>
    </row>
    <row r="4806" spans="1:5" x14ac:dyDescent="0.25">
      <c r="A4806" s="32" t="s">
        <v>767</v>
      </c>
      <c r="B4806" s="7">
        <v>2008</v>
      </c>
      <c r="C4806" s="51" t="s">
        <v>707</v>
      </c>
      <c r="D4806" t="s">
        <v>722</v>
      </c>
      <c r="E4806" s="2">
        <v>1.9750000000000001</v>
      </c>
    </row>
    <row r="4807" spans="1:5" x14ac:dyDescent="0.25">
      <c r="A4807" s="32" t="s">
        <v>767</v>
      </c>
      <c r="B4807" s="7">
        <v>2008</v>
      </c>
      <c r="C4807" s="51" t="s">
        <v>708</v>
      </c>
      <c r="D4807" t="s">
        <v>722</v>
      </c>
      <c r="E4807" s="2">
        <v>1.851</v>
      </c>
    </row>
    <row r="4808" spans="1:5" x14ac:dyDescent="0.25">
      <c r="A4808" s="32" t="s">
        <v>767</v>
      </c>
      <c r="B4808" s="7">
        <v>2008</v>
      </c>
      <c r="C4808" s="51" t="s">
        <v>699</v>
      </c>
      <c r="D4808" t="s">
        <v>722</v>
      </c>
      <c r="E4808" s="2">
        <v>1.54</v>
      </c>
    </row>
    <row r="4809" spans="1:5" x14ac:dyDescent="0.25">
      <c r="A4809" s="32" t="s">
        <v>767</v>
      </c>
      <c r="B4809" s="7">
        <v>2008</v>
      </c>
      <c r="C4809" s="51" t="s">
        <v>709</v>
      </c>
      <c r="D4809" t="s">
        <v>722</v>
      </c>
      <c r="E4809" s="2">
        <v>1.968</v>
      </c>
    </row>
    <row r="4810" spans="1:5" x14ac:dyDescent="0.25">
      <c r="A4810" s="32" t="s">
        <v>767</v>
      </c>
      <c r="B4810" s="7">
        <v>2008</v>
      </c>
      <c r="C4810" s="51" t="s">
        <v>712</v>
      </c>
      <c r="D4810" t="s">
        <v>722</v>
      </c>
      <c r="E4810" s="2">
        <v>1.6579999999999999</v>
      </c>
    </row>
    <row r="4811" spans="1:5" x14ac:dyDescent="0.25">
      <c r="A4811" s="32" t="s">
        <v>767</v>
      </c>
      <c r="B4811" s="7">
        <v>2008</v>
      </c>
      <c r="C4811" s="51" t="s">
        <v>710</v>
      </c>
      <c r="D4811" t="s">
        <v>722</v>
      </c>
      <c r="E4811" s="2">
        <v>1.6579999999999999</v>
      </c>
    </row>
    <row r="4812" spans="1:5" x14ac:dyDescent="0.25">
      <c r="A4812" s="32" t="s">
        <v>767</v>
      </c>
      <c r="B4812" s="7">
        <v>2008</v>
      </c>
      <c r="C4812" s="51" t="s">
        <v>702</v>
      </c>
      <c r="D4812" t="s">
        <v>722</v>
      </c>
      <c r="E4812" s="2">
        <v>1.621</v>
      </c>
    </row>
    <row r="4813" spans="1:5" x14ac:dyDescent="0.25">
      <c r="A4813" s="32" t="s">
        <v>767</v>
      </c>
      <c r="B4813" s="7">
        <v>2008</v>
      </c>
      <c r="C4813" s="51" t="s">
        <v>703</v>
      </c>
      <c r="D4813" t="s">
        <v>722</v>
      </c>
      <c r="E4813" s="2">
        <v>1.6439999999999999</v>
      </c>
    </row>
    <row r="4814" spans="1:5" x14ac:dyDescent="0.25">
      <c r="A4814" s="32" t="s">
        <v>767</v>
      </c>
      <c r="B4814" s="7">
        <v>2008</v>
      </c>
      <c r="C4814" s="51" t="s">
        <v>704</v>
      </c>
      <c r="D4814" t="s">
        <v>722</v>
      </c>
      <c r="E4814" s="2">
        <v>1.79</v>
      </c>
    </row>
    <row r="4815" spans="1:5" x14ac:dyDescent="0.25">
      <c r="A4815" s="32" t="s">
        <v>767</v>
      </c>
      <c r="B4815" s="7">
        <v>2008</v>
      </c>
      <c r="C4815" s="51" t="s">
        <v>705</v>
      </c>
      <c r="D4815" t="s">
        <v>722</v>
      </c>
      <c r="E4815" s="2">
        <v>1.3919999999999999</v>
      </c>
    </row>
    <row r="4816" spans="1:5" x14ac:dyDescent="0.25">
      <c r="A4816" s="32" t="s">
        <v>767</v>
      </c>
      <c r="B4816" s="7">
        <v>2008</v>
      </c>
      <c r="C4816" s="51" t="s">
        <v>706</v>
      </c>
      <c r="D4816" t="s">
        <v>722</v>
      </c>
      <c r="E4816" s="2">
        <v>1.7629999999999999</v>
      </c>
    </row>
    <row r="4817" spans="1:5" x14ac:dyDescent="0.25">
      <c r="A4817" s="32" t="s">
        <v>767</v>
      </c>
      <c r="B4817" s="7">
        <v>2009</v>
      </c>
      <c r="C4817" s="51" t="s">
        <v>713</v>
      </c>
      <c r="D4817" t="s">
        <v>722</v>
      </c>
      <c r="E4817" s="2">
        <v>2.681</v>
      </c>
    </row>
    <row r="4818" spans="1:5" x14ac:dyDescent="0.25">
      <c r="A4818" s="32" t="s">
        <v>767</v>
      </c>
      <c r="B4818" s="7">
        <v>2009</v>
      </c>
      <c r="C4818" s="51" t="s">
        <v>707</v>
      </c>
      <c r="D4818" t="s">
        <v>722</v>
      </c>
      <c r="E4818" s="2">
        <v>2.3719999999999999</v>
      </c>
    </row>
    <row r="4819" spans="1:5" x14ac:dyDescent="0.25">
      <c r="A4819" s="32" t="s">
        <v>767</v>
      </c>
      <c r="B4819" s="7">
        <v>2009</v>
      </c>
      <c r="C4819" s="51" t="s">
        <v>708</v>
      </c>
      <c r="D4819" t="s">
        <v>722</v>
      </c>
      <c r="E4819" s="2">
        <v>2.165</v>
      </c>
    </row>
    <row r="4820" spans="1:5" x14ac:dyDescent="0.25">
      <c r="A4820" s="32" t="s">
        <v>767</v>
      </c>
      <c r="B4820" s="7">
        <v>2009</v>
      </c>
      <c r="C4820" s="51" t="s">
        <v>699</v>
      </c>
      <c r="D4820" t="s">
        <v>722</v>
      </c>
      <c r="E4820" s="2">
        <v>2.2050000000000001</v>
      </c>
    </row>
    <row r="4821" spans="1:5" x14ac:dyDescent="0.25">
      <c r="A4821" s="32" t="s">
        <v>767</v>
      </c>
      <c r="B4821" s="7">
        <v>2009</v>
      </c>
      <c r="C4821" s="51" t="s">
        <v>709</v>
      </c>
      <c r="D4821" t="s">
        <v>722</v>
      </c>
      <c r="E4821" s="2">
        <v>2.3109999999999999</v>
      </c>
    </row>
    <row r="4822" spans="1:5" x14ac:dyDescent="0.25">
      <c r="A4822" s="32" t="s">
        <v>767</v>
      </c>
      <c r="B4822" s="7">
        <v>2009</v>
      </c>
      <c r="C4822" s="51" t="s">
        <v>712</v>
      </c>
      <c r="D4822" t="s">
        <v>722</v>
      </c>
      <c r="E4822" s="2">
        <v>2.4569999999999999</v>
      </c>
    </row>
    <row r="4823" spans="1:5" x14ac:dyDescent="0.25">
      <c r="A4823" s="32" t="s">
        <v>767</v>
      </c>
      <c r="B4823" s="7">
        <v>2009</v>
      </c>
      <c r="C4823" s="51" t="s">
        <v>710</v>
      </c>
      <c r="D4823" t="s">
        <v>722</v>
      </c>
      <c r="E4823" s="2">
        <v>2.5640000000000001</v>
      </c>
    </row>
    <row r="4824" spans="1:5" x14ac:dyDescent="0.25">
      <c r="A4824" s="32" t="s">
        <v>767</v>
      </c>
      <c r="B4824" s="7">
        <v>2009</v>
      </c>
      <c r="C4824" s="51" t="s">
        <v>702</v>
      </c>
      <c r="D4824" t="s">
        <v>722</v>
      </c>
      <c r="E4824" s="2">
        <v>2.3130000000000002</v>
      </c>
    </row>
    <row r="4825" spans="1:5" x14ac:dyDescent="0.25">
      <c r="A4825" s="32" t="s">
        <v>767</v>
      </c>
      <c r="B4825" s="7">
        <v>2009</v>
      </c>
      <c r="C4825" s="51" t="s">
        <v>703</v>
      </c>
      <c r="D4825" t="s">
        <v>722</v>
      </c>
      <c r="E4825" s="2">
        <v>2.2050000000000001</v>
      </c>
    </row>
    <row r="4826" spans="1:5" x14ac:dyDescent="0.25">
      <c r="A4826" s="32" t="s">
        <v>767</v>
      </c>
      <c r="B4826" s="7">
        <v>2009</v>
      </c>
      <c r="C4826" s="51" t="s">
        <v>704</v>
      </c>
      <c r="D4826" t="s">
        <v>722</v>
      </c>
      <c r="E4826" s="2">
        <v>2.2589999999999999</v>
      </c>
    </row>
    <row r="4827" spans="1:5" x14ac:dyDescent="0.25">
      <c r="A4827" s="32" t="s">
        <v>767</v>
      </c>
      <c r="B4827" s="7">
        <v>2009</v>
      </c>
      <c r="C4827" s="51" t="s">
        <v>705</v>
      </c>
      <c r="D4827" t="s">
        <v>722</v>
      </c>
      <c r="E4827" s="2">
        <v>2.0569999999999999</v>
      </c>
    </row>
    <row r="4828" spans="1:5" x14ac:dyDescent="0.25">
      <c r="A4828" s="32" t="s">
        <v>767</v>
      </c>
      <c r="B4828" s="7">
        <v>2009</v>
      </c>
      <c r="C4828" s="51" t="s">
        <v>706</v>
      </c>
      <c r="D4828" t="s">
        <v>722</v>
      </c>
      <c r="E4828" s="2">
        <v>2.3290000000000002</v>
      </c>
    </row>
    <row r="4829" spans="1:5" x14ac:dyDescent="0.25">
      <c r="A4829" s="32" t="s">
        <v>767</v>
      </c>
      <c r="B4829" s="7">
        <v>2010</v>
      </c>
      <c r="C4829" s="51" t="s">
        <v>713</v>
      </c>
      <c r="D4829" t="s">
        <v>722</v>
      </c>
      <c r="E4829" s="2">
        <v>2.113</v>
      </c>
    </row>
    <row r="4830" spans="1:5" x14ac:dyDescent="0.25">
      <c r="A4830" s="32" t="s">
        <v>767</v>
      </c>
      <c r="B4830" s="7">
        <v>2010</v>
      </c>
      <c r="C4830" s="51" t="s">
        <v>707</v>
      </c>
      <c r="D4830" t="s">
        <v>722</v>
      </c>
      <c r="E4830" s="2">
        <v>2.0179999999999998</v>
      </c>
    </row>
    <row r="4831" spans="1:5" x14ac:dyDescent="0.25">
      <c r="A4831" s="32" t="s">
        <v>767</v>
      </c>
      <c r="B4831" s="7">
        <v>2010</v>
      </c>
      <c r="C4831" s="51" t="s">
        <v>708</v>
      </c>
      <c r="D4831" t="s">
        <v>722</v>
      </c>
      <c r="E4831" s="2">
        <v>2.5169999999999999</v>
      </c>
    </row>
    <row r="4832" spans="1:5" x14ac:dyDescent="0.25">
      <c r="A4832" s="32" t="s">
        <v>767</v>
      </c>
      <c r="B4832" s="7">
        <v>2010</v>
      </c>
      <c r="C4832" s="51" t="s">
        <v>699</v>
      </c>
      <c r="D4832" t="s">
        <v>722</v>
      </c>
      <c r="E4832" s="2">
        <v>2.4689999999999999</v>
      </c>
    </row>
    <row r="4833" spans="1:5" x14ac:dyDescent="0.25">
      <c r="A4833" s="32" t="s">
        <v>767</v>
      </c>
      <c r="B4833" s="7">
        <v>2010</v>
      </c>
      <c r="C4833" s="51" t="s">
        <v>709</v>
      </c>
      <c r="D4833" t="s">
        <v>722</v>
      </c>
      <c r="E4833" s="2">
        <v>2.4500000000000002</v>
      </c>
    </row>
    <row r="4834" spans="1:5" x14ac:dyDescent="0.25">
      <c r="A4834" s="32" t="s">
        <v>767</v>
      </c>
      <c r="B4834" s="7">
        <v>2010</v>
      </c>
      <c r="C4834" s="51" t="s">
        <v>712</v>
      </c>
      <c r="D4834" t="s">
        <v>722</v>
      </c>
      <c r="E4834" s="2">
        <v>2.6429999999999998</v>
      </c>
    </row>
    <row r="4835" spans="1:5" x14ac:dyDescent="0.25">
      <c r="A4835" s="32" t="s">
        <v>767</v>
      </c>
      <c r="B4835" s="7">
        <v>2010</v>
      </c>
      <c r="C4835" s="51" t="s">
        <v>710</v>
      </c>
      <c r="D4835" t="s">
        <v>722</v>
      </c>
      <c r="E4835" s="2">
        <v>2.6419999999999999</v>
      </c>
    </row>
    <row r="4836" spans="1:5" x14ac:dyDescent="0.25">
      <c r="A4836" s="32" t="s">
        <v>767</v>
      </c>
      <c r="B4836" s="7">
        <v>2010</v>
      </c>
      <c r="C4836" s="51" t="s">
        <v>702</v>
      </c>
      <c r="D4836" t="s">
        <v>722</v>
      </c>
      <c r="E4836" s="2">
        <v>2.8820000000000001</v>
      </c>
    </row>
    <row r="4837" spans="1:5" x14ac:dyDescent="0.25">
      <c r="A4837" s="32" t="s">
        <v>767</v>
      </c>
      <c r="B4837" s="7">
        <v>2010</v>
      </c>
      <c r="C4837" s="51" t="s">
        <v>703</v>
      </c>
      <c r="D4837" t="s">
        <v>722</v>
      </c>
      <c r="E4837" s="2">
        <v>2.4870000000000001</v>
      </c>
    </row>
    <row r="4838" spans="1:5" x14ac:dyDescent="0.25">
      <c r="A4838" s="32" t="s">
        <v>767</v>
      </c>
      <c r="B4838" s="7">
        <v>2010</v>
      </c>
      <c r="C4838" s="51" t="s">
        <v>704</v>
      </c>
      <c r="D4838" t="s">
        <v>722</v>
      </c>
      <c r="E4838" s="2">
        <v>2.3290000000000002</v>
      </c>
    </row>
    <row r="4839" spans="1:5" x14ac:dyDescent="0.25">
      <c r="A4839" s="32" t="s">
        <v>767</v>
      </c>
      <c r="B4839" s="7">
        <v>2010</v>
      </c>
      <c r="C4839" s="51" t="s">
        <v>705</v>
      </c>
      <c r="D4839" t="s">
        <v>722</v>
      </c>
      <c r="E4839" s="2">
        <v>2.2400000000000002</v>
      </c>
    </row>
    <row r="4840" spans="1:5" x14ac:dyDescent="0.25">
      <c r="A4840" s="32" t="s">
        <v>767</v>
      </c>
      <c r="B4840" s="7">
        <v>2010</v>
      </c>
      <c r="C4840" s="51" t="s">
        <v>706</v>
      </c>
      <c r="D4840" t="s">
        <v>722</v>
      </c>
      <c r="E4840" s="2">
        <v>2.0990000000000002</v>
      </c>
    </row>
    <row r="4841" spans="1:5" x14ac:dyDescent="0.25">
      <c r="A4841" s="32" t="s">
        <v>767</v>
      </c>
      <c r="B4841" s="7">
        <v>2011</v>
      </c>
      <c r="C4841" s="51" t="s">
        <v>713</v>
      </c>
      <c r="D4841" t="s">
        <v>722</v>
      </c>
      <c r="E4841" s="2">
        <v>2.3639999999999999</v>
      </c>
    </row>
    <row r="4842" spans="1:5" x14ac:dyDescent="0.25">
      <c r="A4842" s="32" t="s">
        <v>767</v>
      </c>
      <c r="B4842" s="7">
        <v>2011</v>
      </c>
      <c r="C4842" s="51" t="s">
        <v>707</v>
      </c>
      <c r="D4842" t="s">
        <v>722</v>
      </c>
      <c r="E4842" s="2">
        <v>2.274</v>
      </c>
    </row>
    <row r="4843" spans="1:5" x14ac:dyDescent="0.25">
      <c r="A4843" s="32" t="s">
        <v>767</v>
      </c>
      <c r="B4843" s="7">
        <v>2011</v>
      </c>
      <c r="C4843" s="51" t="s">
        <v>708</v>
      </c>
      <c r="D4843" t="s">
        <v>722</v>
      </c>
      <c r="E4843" s="2">
        <v>2.5569999999999999</v>
      </c>
    </row>
    <row r="4844" spans="1:5" x14ac:dyDescent="0.25">
      <c r="A4844" s="32" t="s">
        <v>767</v>
      </c>
      <c r="B4844" s="7">
        <v>2011</v>
      </c>
      <c r="C4844" s="51" t="s">
        <v>699</v>
      </c>
      <c r="D4844" t="s">
        <v>722</v>
      </c>
      <c r="E4844" s="2">
        <v>2.2290000000000001</v>
      </c>
    </row>
    <row r="4845" spans="1:5" x14ac:dyDescent="0.25">
      <c r="A4845" s="32" t="s">
        <v>767</v>
      </c>
      <c r="B4845" s="7">
        <v>2011</v>
      </c>
      <c r="C4845" s="51" t="s">
        <v>709</v>
      </c>
      <c r="D4845" t="s">
        <v>722</v>
      </c>
      <c r="E4845" s="2">
        <v>2.891</v>
      </c>
    </row>
    <row r="4846" spans="1:5" x14ac:dyDescent="0.25">
      <c r="A4846" s="32" t="s">
        <v>767</v>
      </c>
      <c r="B4846" s="7">
        <v>2011</v>
      </c>
      <c r="C4846" s="51" t="s">
        <v>712</v>
      </c>
      <c r="D4846" t="s">
        <v>722</v>
      </c>
      <c r="E4846" s="2">
        <v>2.68</v>
      </c>
    </row>
    <row r="4847" spans="1:5" x14ac:dyDescent="0.25">
      <c r="A4847" s="32" t="s">
        <v>767</v>
      </c>
      <c r="B4847" s="7">
        <v>2011</v>
      </c>
      <c r="C4847" s="51" t="s">
        <v>710</v>
      </c>
      <c r="D4847" t="s">
        <v>722</v>
      </c>
      <c r="E4847" s="2">
        <v>2.68</v>
      </c>
    </row>
    <row r="4848" spans="1:5" x14ac:dyDescent="0.25">
      <c r="A4848" s="32" t="s">
        <v>767</v>
      </c>
      <c r="B4848" s="7">
        <v>2011</v>
      </c>
      <c r="C4848" s="51" t="s">
        <v>702</v>
      </c>
      <c r="D4848" t="s">
        <v>722</v>
      </c>
      <c r="E4848" s="2">
        <v>2.601</v>
      </c>
    </row>
    <row r="4849" spans="1:5" x14ac:dyDescent="0.25">
      <c r="A4849" s="32" t="s">
        <v>767</v>
      </c>
      <c r="B4849" s="7">
        <v>2011</v>
      </c>
      <c r="C4849" s="51" t="s">
        <v>703</v>
      </c>
      <c r="D4849" t="s">
        <v>722</v>
      </c>
      <c r="E4849" s="2">
        <v>2.5739999999999998</v>
      </c>
    </row>
    <row r="4850" spans="1:5" x14ac:dyDescent="0.25">
      <c r="A4850" s="32" t="s">
        <v>767</v>
      </c>
      <c r="B4850" s="7">
        <v>2011</v>
      </c>
      <c r="C4850" s="51" t="s">
        <v>704</v>
      </c>
      <c r="D4850" t="s">
        <v>722</v>
      </c>
      <c r="E4850" s="2">
        <v>2.452</v>
      </c>
    </row>
    <row r="4851" spans="1:5" x14ac:dyDescent="0.25">
      <c r="A4851" s="32" t="s">
        <v>767</v>
      </c>
      <c r="B4851" s="7">
        <v>2011</v>
      </c>
      <c r="C4851" s="51" t="s">
        <v>705</v>
      </c>
      <c r="D4851" t="s">
        <v>722</v>
      </c>
      <c r="E4851" s="2">
        <v>2.2160000000000002</v>
      </c>
    </row>
    <row r="4852" spans="1:5" x14ac:dyDescent="0.25">
      <c r="A4852" s="32" t="s">
        <v>767</v>
      </c>
      <c r="B4852" s="7">
        <v>2011</v>
      </c>
      <c r="C4852" s="51" t="s">
        <v>706</v>
      </c>
      <c r="D4852" t="s">
        <v>722</v>
      </c>
      <c r="E4852" s="2">
        <v>2.0870000000000002</v>
      </c>
    </row>
    <row r="4853" spans="1:5" x14ac:dyDescent="0.25">
      <c r="A4853" s="32" t="s">
        <v>767</v>
      </c>
      <c r="B4853" s="7">
        <v>2012</v>
      </c>
      <c r="C4853" s="51" t="s">
        <v>713</v>
      </c>
      <c r="D4853" t="s">
        <v>722</v>
      </c>
      <c r="E4853" s="2">
        <v>2.5289999999999999</v>
      </c>
    </row>
    <row r="4854" spans="1:5" x14ac:dyDescent="0.25">
      <c r="A4854" s="32" t="s">
        <v>767</v>
      </c>
      <c r="B4854" s="7">
        <v>2012</v>
      </c>
      <c r="C4854" s="51" t="s">
        <v>707</v>
      </c>
      <c r="D4854" t="s">
        <v>722</v>
      </c>
      <c r="E4854" s="2">
        <v>2.512</v>
      </c>
    </row>
    <row r="4855" spans="1:5" x14ac:dyDescent="0.25">
      <c r="A4855" s="32" t="s">
        <v>767</v>
      </c>
      <c r="B4855" s="7">
        <v>2012</v>
      </c>
      <c r="C4855" s="51" t="s">
        <v>708</v>
      </c>
      <c r="D4855" t="s">
        <v>722</v>
      </c>
      <c r="E4855" s="2">
        <v>2.7440000000000002</v>
      </c>
    </row>
    <row r="4856" spans="1:5" x14ac:dyDescent="0.25">
      <c r="A4856" s="32" t="s">
        <v>767</v>
      </c>
      <c r="B4856" s="7">
        <v>2012</v>
      </c>
      <c r="C4856" s="51" t="s">
        <v>699</v>
      </c>
      <c r="D4856" t="s">
        <v>722</v>
      </c>
      <c r="E4856" s="2">
        <v>2.7669999999999999</v>
      </c>
    </row>
    <row r="4857" spans="1:5" x14ac:dyDescent="0.25">
      <c r="A4857" s="32" t="s">
        <v>767</v>
      </c>
      <c r="B4857" s="7">
        <v>2012</v>
      </c>
      <c r="C4857" s="51" t="s">
        <v>709</v>
      </c>
      <c r="D4857" t="s">
        <v>722</v>
      </c>
      <c r="E4857" s="2">
        <v>3.3519999999999999</v>
      </c>
    </row>
    <row r="4858" spans="1:5" x14ac:dyDescent="0.25">
      <c r="A4858" s="32" t="s">
        <v>767</v>
      </c>
      <c r="B4858" s="7">
        <v>2012</v>
      </c>
      <c r="C4858" s="51" t="s">
        <v>712</v>
      </c>
      <c r="D4858" t="s">
        <v>722</v>
      </c>
      <c r="E4858" s="2">
        <v>3.2480000000000002</v>
      </c>
    </row>
    <row r="4859" spans="1:5" x14ac:dyDescent="0.25">
      <c r="A4859" s="32" t="s">
        <v>767</v>
      </c>
      <c r="B4859" s="7">
        <v>2012</v>
      </c>
      <c r="C4859" s="51" t="s">
        <v>710</v>
      </c>
      <c r="D4859" t="s">
        <v>722</v>
      </c>
      <c r="E4859" s="2">
        <v>3.7250000000000001</v>
      </c>
    </row>
    <row r="4860" spans="1:5" x14ac:dyDescent="0.25">
      <c r="A4860" s="32" t="s">
        <v>767</v>
      </c>
      <c r="B4860" s="7">
        <v>2012</v>
      </c>
      <c r="C4860" s="51" t="s">
        <v>702</v>
      </c>
      <c r="D4860" t="s">
        <v>722</v>
      </c>
      <c r="E4860" s="2">
        <v>3.1560000000000001</v>
      </c>
    </row>
    <row r="4861" spans="1:5" x14ac:dyDescent="0.25">
      <c r="A4861" s="32" t="s">
        <v>767</v>
      </c>
      <c r="B4861" s="7">
        <v>2012</v>
      </c>
      <c r="C4861" s="51" t="s">
        <v>703</v>
      </c>
      <c r="D4861" t="s">
        <v>722</v>
      </c>
      <c r="E4861" s="2">
        <v>2.863</v>
      </c>
    </row>
    <row r="4862" spans="1:5" x14ac:dyDescent="0.25">
      <c r="A4862" s="32" t="s">
        <v>767</v>
      </c>
      <c r="B4862" s="7">
        <v>2012</v>
      </c>
      <c r="C4862" s="51" t="s">
        <v>704</v>
      </c>
      <c r="D4862" t="s">
        <v>722</v>
      </c>
      <c r="E4862" s="2">
        <v>3.1589999999999998</v>
      </c>
    </row>
    <row r="4863" spans="1:5" x14ac:dyDescent="0.25">
      <c r="A4863" s="32" t="s">
        <v>767</v>
      </c>
      <c r="B4863" s="7">
        <v>2012</v>
      </c>
      <c r="C4863" s="51" t="s">
        <v>705</v>
      </c>
      <c r="D4863" t="s">
        <v>722</v>
      </c>
      <c r="E4863" s="2">
        <v>2.5049999999999999</v>
      </c>
    </row>
    <row r="4864" spans="1:5" x14ac:dyDescent="0.25">
      <c r="A4864" s="32" t="s">
        <v>767</v>
      </c>
      <c r="B4864" s="7">
        <v>2012</v>
      </c>
      <c r="C4864" s="51" t="s">
        <v>706</v>
      </c>
      <c r="D4864" t="s">
        <v>722</v>
      </c>
      <c r="E4864" s="2">
        <v>2.1890000000000001</v>
      </c>
    </row>
    <row r="4865" spans="1:5" x14ac:dyDescent="0.25">
      <c r="A4865" s="32" t="s">
        <v>767</v>
      </c>
      <c r="B4865" s="7">
        <v>2013</v>
      </c>
      <c r="C4865" s="51" t="s">
        <v>713</v>
      </c>
      <c r="D4865" t="s">
        <v>722</v>
      </c>
      <c r="E4865" s="2">
        <v>3.1589999999999998</v>
      </c>
    </row>
    <row r="4866" spans="1:5" x14ac:dyDescent="0.25">
      <c r="A4866" s="32" t="s">
        <v>767</v>
      </c>
      <c r="B4866" s="7">
        <v>2013</v>
      </c>
      <c r="C4866" s="51" t="s">
        <v>707</v>
      </c>
      <c r="D4866" t="s">
        <v>722</v>
      </c>
      <c r="E4866" s="2">
        <v>2.5819999999999999</v>
      </c>
    </row>
    <row r="4867" spans="1:5" x14ac:dyDescent="0.25">
      <c r="A4867" s="32" t="s">
        <v>767</v>
      </c>
      <c r="B4867" s="7">
        <v>2013</v>
      </c>
      <c r="C4867" s="51" t="s">
        <v>708</v>
      </c>
      <c r="D4867" t="s">
        <v>722</v>
      </c>
      <c r="E4867" s="2">
        <v>2.8050000000000002</v>
      </c>
    </row>
    <row r="4868" spans="1:5" x14ac:dyDescent="0.25">
      <c r="A4868" s="32" t="s">
        <v>767</v>
      </c>
      <c r="B4868" s="7">
        <v>2013</v>
      </c>
      <c r="C4868" s="51" t="s">
        <v>699</v>
      </c>
      <c r="D4868" t="s">
        <v>722</v>
      </c>
      <c r="E4868" s="2">
        <v>2.8130000000000002</v>
      </c>
    </row>
    <row r="4869" spans="1:5" x14ac:dyDescent="0.25">
      <c r="A4869" s="32" t="s">
        <v>767</v>
      </c>
      <c r="B4869" s="7">
        <v>2013</v>
      </c>
      <c r="C4869" s="51" t="s">
        <v>709</v>
      </c>
      <c r="D4869" t="s">
        <v>722</v>
      </c>
      <c r="E4869" s="2">
        <v>2.9409999999999998</v>
      </c>
    </row>
    <row r="4870" spans="1:5" x14ac:dyDescent="0.25">
      <c r="A4870" s="32" t="s">
        <v>767</v>
      </c>
      <c r="B4870" s="7">
        <v>2013</v>
      </c>
      <c r="C4870" s="51" t="s">
        <v>712</v>
      </c>
      <c r="D4870" t="s">
        <v>722</v>
      </c>
      <c r="E4870" s="2">
        <v>3.1080000000000001</v>
      </c>
    </row>
    <row r="4871" spans="1:5" x14ac:dyDescent="0.25">
      <c r="A4871" s="32" t="s">
        <v>767</v>
      </c>
      <c r="B4871" s="7">
        <v>2013</v>
      </c>
      <c r="C4871" s="51" t="s">
        <v>710</v>
      </c>
      <c r="D4871" t="s">
        <v>722</v>
      </c>
      <c r="E4871" s="2">
        <v>3.117</v>
      </c>
    </row>
    <row r="4872" spans="1:5" x14ac:dyDescent="0.25">
      <c r="A4872" s="32" t="s">
        <v>767</v>
      </c>
      <c r="B4872" s="7">
        <v>2013</v>
      </c>
      <c r="C4872" s="51" t="s">
        <v>702</v>
      </c>
      <c r="D4872" t="s">
        <v>722</v>
      </c>
      <c r="E4872" s="2">
        <v>3.1219999999999999</v>
      </c>
    </row>
    <row r="4873" spans="1:5" x14ac:dyDescent="0.25">
      <c r="A4873" s="32" t="s">
        <v>767</v>
      </c>
      <c r="B4873" s="7">
        <v>2013</v>
      </c>
      <c r="C4873" s="51" t="s">
        <v>703</v>
      </c>
      <c r="D4873" t="s">
        <v>722</v>
      </c>
      <c r="E4873" s="2">
        <v>3.0819999999999999</v>
      </c>
    </row>
    <row r="4874" spans="1:5" x14ac:dyDescent="0.25">
      <c r="A4874" s="32" t="s">
        <v>767</v>
      </c>
      <c r="B4874" s="7">
        <v>2013</v>
      </c>
      <c r="C4874" s="51" t="s">
        <v>704</v>
      </c>
      <c r="D4874" t="s">
        <v>722</v>
      </c>
      <c r="E4874" s="2">
        <v>2.5270000000000001</v>
      </c>
    </row>
    <row r="4875" spans="1:5" x14ac:dyDescent="0.25">
      <c r="A4875" s="32" t="s">
        <v>767</v>
      </c>
      <c r="B4875" s="7">
        <v>2013</v>
      </c>
      <c r="C4875" s="51" t="s">
        <v>705</v>
      </c>
      <c r="D4875" t="s">
        <v>722</v>
      </c>
      <c r="E4875" s="2">
        <v>2.5030000000000001</v>
      </c>
    </row>
    <row r="4876" spans="1:5" x14ac:dyDescent="0.25">
      <c r="A4876" s="32" t="s">
        <v>767</v>
      </c>
      <c r="B4876" s="7">
        <v>2013</v>
      </c>
      <c r="C4876" s="51" t="s">
        <v>706</v>
      </c>
      <c r="D4876" t="s">
        <v>722</v>
      </c>
      <c r="E4876" s="2">
        <v>2.3079999999999998</v>
      </c>
    </row>
    <row r="4877" spans="1:5" x14ac:dyDescent="0.25">
      <c r="A4877" s="32" t="s">
        <v>767</v>
      </c>
      <c r="B4877" s="7">
        <v>2014</v>
      </c>
      <c r="C4877" s="51" t="s">
        <v>713</v>
      </c>
      <c r="D4877" t="s">
        <v>722</v>
      </c>
      <c r="E4877" s="2">
        <v>2.7120000000000002</v>
      </c>
    </row>
    <row r="4878" spans="1:5" x14ac:dyDescent="0.25">
      <c r="A4878" s="32" t="s">
        <v>767</v>
      </c>
      <c r="B4878" s="7">
        <v>2014</v>
      </c>
      <c r="C4878" s="51" t="s">
        <v>707</v>
      </c>
      <c r="D4878" t="s">
        <v>722</v>
      </c>
      <c r="E4878" s="2">
        <v>2.2549999999999999</v>
      </c>
    </row>
    <row r="4879" spans="1:5" x14ac:dyDescent="0.25">
      <c r="A4879" s="32" t="s">
        <v>767</v>
      </c>
      <c r="B4879" s="7">
        <v>2014</v>
      </c>
      <c r="C4879" s="51" t="s">
        <v>708</v>
      </c>
      <c r="D4879" t="s">
        <v>722</v>
      </c>
      <c r="E4879" s="2">
        <v>2.556</v>
      </c>
    </row>
    <row r="4880" spans="1:5" x14ac:dyDescent="0.25">
      <c r="A4880" s="32" t="s">
        <v>767</v>
      </c>
      <c r="B4880" s="7">
        <v>2014</v>
      </c>
      <c r="C4880" s="51" t="s">
        <v>699</v>
      </c>
      <c r="D4880" t="s">
        <v>722</v>
      </c>
      <c r="E4880" s="2">
        <v>2.25</v>
      </c>
    </row>
    <row r="4881" spans="1:5" x14ac:dyDescent="0.25">
      <c r="A4881" s="32" t="s">
        <v>767</v>
      </c>
      <c r="B4881" s="7">
        <v>2014</v>
      </c>
      <c r="C4881" s="51" t="s">
        <v>709</v>
      </c>
      <c r="D4881" t="s">
        <v>722</v>
      </c>
      <c r="E4881" s="2">
        <v>2.8740000000000001</v>
      </c>
    </row>
    <row r="4882" spans="1:5" x14ac:dyDescent="0.25">
      <c r="A4882" s="32" t="s">
        <v>767</v>
      </c>
      <c r="B4882" s="7">
        <v>2014</v>
      </c>
      <c r="C4882" s="51" t="s">
        <v>712</v>
      </c>
      <c r="D4882" t="s">
        <v>722</v>
      </c>
      <c r="E4882" s="2">
        <v>2.8239999999999998</v>
      </c>
    </row>
    <row r="4883" spans="1:5" x14ac:dyDescent="0.25">
      <c r="A4883" s="32" t="s">
        <v>767</v>
      </c>
      <c r="B4883" s="7">
        <v>2014</v>
      </c>
      <c r="C4883" s="51" t="s">
        <v>710</v>
      </c>
      <c r="D4883" t="s">
        <v>722</v>
      </c>
      <c r="E4883" s="2">
        <v>3.1160000000000001</v>
      </c>
    </row>
    <row r="4884" spans="1:5" x14ac:dyDescent="0.25">
      <c r="A4884" s="32" t="s">
        <v>767</v>
      </c>
      <c r="B4884" s="7">
        <v>2014</v>
      </c>
      <c r="C4884" s="51" t="s">
        <v>702</v>
      </c>
      <c r="D4884" t="s">
        <v>722</v>
      </c>
      <c r="E4884" s="2">
        <v>2.8639999999999999</v>
      </c>
    </row>
    <row r="4885" spans="1:5" x14ac:dyDescent="0.25">
      <c r="A4885" s="32" t="s">
        <v>767</v>
      </c>
      <c r="B4885" s="7">
        <v>2014</v>
      </c>
      <c r="C4885" s="51" t="s">
        <v>703</v>
      </c>
      <c r="D4885" t="s">
        <v>722</v>
      </c>
      <c r="E4885" s="2">
        <v>2.3149999999999999</v>
      </c>
    </row>
    <row r="4886" spans="1:5" x14ac:dyDescent="0.25">
      <c r="A4886" s="32" t="s">
        <v>767</v>
      </c>
      <c r="B4886" s="7">
        <v>2014</v>
      </c>
      <c r="C4886" s="51" t="s">
        <v>704</v>
      </c>
      <c r="D4886" t="s">
        <v>722</v>
      </c>
      <c r="E4886" s="2">
        <v>2.1219999999999999</v>
      </c>
    </row>
    <row r="4887" spans="1:5" x14ac:dyDescent="0.25">
      <c r="A4887" s="32" t="s">
        <v>767</v>
      </c>
      <c r="B4887" s="7">
        <v>2014</v>
      </c>
      <c r="C4887" s="51" t="s">
        <v>705</v>
      </c>
      <c r="D4887" t="s">
        <v>722</v>
      </c>
      <c r="E4887" s="2">
        <v>2.1680000000000001</v>
      </c>
    </row>
    <row r="4888" spans="1:5" x14ac:dyDescent="0.25">
      <c r="A4888" s="32" t="s">
        <v>767</v>
      </c>
      <c r="B4888" s="7">
        <v>2014</v>
      </c>
      <c r="C4888" s="51" t="s">
        <v>706</v>
      </c>
      <c r="D4888" t="s">
        <v>722</v>
      </c>
      <c r="E4888" s="2">
        <v>2.1</v>
      </c>
    </row>
    <row r="4889" spans="1:5" x14ac:dyDescent="0.25">
      <c r="A4889" s="32" t="s">
        <v>767</v>
      </c>
      <c r="B4889" s="7">
        <v>2015</v>
      </c>
      <c r="C4889" s="51" t="s">
        <v>713</v>
      </c>
      <c r="D4889" t="s">
        <v>722</v>
      </c>
      <c r="E4889" s="2">
        <v>2.2400000000000002</v>
      </c>
    </row>
    <row r="4890" spans="1:5" x14ac:dyDescent="0.25">
      <c r="A4890" s="32" t="s">
        <v>767</v>
      </c>
      <c r="B4890" s="7">
        <v>2015</v>
      </c>
      <c r="C4890" s="51" t="s">
        <v>707</v>
      </c>
      <c r="D4890" t="s">
        <v>722</v>
      </c>
      <c r="E4890" s="2">
        <v>2.09</v>
      </c>
    </row>
    <row r="4891" spans="1:5" x14ac:dyDescent="0.25">
      <c r="A4891" s="32" t="s">
        <v>767</v>
      </c>
      <c r="B4891" s="7">
        <v>2015</v>
      </c>
      <c r="C4891" s="51" t="s">
        <v>708</v>
      </c>
      <c r="D4891" t="s">
        <v>722</v>
      </c>
      <c r="E4891" s="2">
        <v>2.2240000000000002</v>
      </c>
    </row>
    <row r="4892" spans="1:5" x14ac:dyDescent="0.25">
      <c r="A4892" s="32" t="s">
        <v>767</v>
      </c>
      <c r="B4892" s="7">
        <v>2015</v>
      </c>
      <c r="C4892" s="51" t="s">
        <v>699</v>
      </c>
      <c r="D4892" t="s">
        <v>722</v>
      </c>
      <c r="E4892" s="2">
        <v>2.1509999999999998</v>
      </c>
    </row>
    <row r="4893" spans="1:5" x14ac:dyDescent="0.25">
      <c r="A4893" s="32" t="s">
        <v>767</v>
      </c>
      <c r="B4893" s="7">
        <v>2015</v>
      </c>
      <c r="C4893" s="51" t="s">
        <v>709</v>
      </c>
      <c r="D4893" t="s">
        <v>722</v>
      </c>
      <c r="E4893" s="2">
        <v>2.41</v>
      </c>
    </row>
    <row r="4894" spans="1:5" x14ac:dyDescent="0.25">
      <c r="A4894" s="32" t="s">
        <v>767</v>
      </c>
      <c r="B4894" s="7">
        <v>2015</v>
      </c>
      <c r="C4894" s="51" t="s">
        <v>712</v>
      </c>
      <c r="D4894" t="s">
        <v>722</v>
      </c>
      <c r="E4894" s="2">
        <v>2.476</v>
      </c>
    </row>
    <row r="4895" spans="1:5" x14ac:dyDescent="0.25">
      <c r="A4895" s="32" t="s">
        <v>767</v>
      </c>
      <c r="B4895" s="7">
        <v>2015</v>
      </c>
      <c r="C4895" s="51" t="s">
        <v>710</v>
      </c>
      <c r="D4895" t="s">
        <v>722</v>
      </c>
      <c r="E4895" s="2">
        <v>2.41</v>
      </c>
    </row>
    <row r="4896" spans="1:5" x14ac:dyDescent="0.25">
      <c r="A4896" s="32" t="s">
        <v>767</v>
      </c>
      <c r="B4896" s="7">
        <v>2015</v>
      </c>
      <c r="C4896" s="51" t="s">
        <v>702</v>
      </c>
      <c r="D4896" t="s">
        <v>722</v>
      </c>
      <c r="E4896" s="2">
        <v>2.3140000000000001</v>
      </c>
    </row>
    <row r="4897" spans="1:5" x14ac:dyDescent="0.25">
      <c r="A4897" s="32" t="s">
        <v>767</v>
      </c>
      <c r="B4897" s="7">
        <v>2015</v>
      </c>
      <c r="C4897" s="51" t="s">
        <v>703</v>
      </c>
      <c r="D4897" t="s">
        <v>722</v>
      </c>
      <c r="E4897" s="2">
        <v>2.419</v>
      </c>
    </row>
    <row r="4898" spans="1:5" x14ac:dyDescent="0.25">
      <c r="A4898" s="32" t="s">
        <v>767</v>
      </c>
      <c r="B4898" s="7">
        <v>2015</v>
      </c>
      <c r="C4898" s="51" t="s">
        <v>704</v>
      </c>
      <c r="D4898" t="s">
        <v>722</v>
      </c>
      <c r="E4898" s="2">
        <v>2.2269999999999999</v>
      </c>
    </row>
    <row r="4899" spans="1:5" x14ac:dyDescent="0.25">
      <c r="A4899" s="32" t="s">
        <v>767</v>
      </c>
      <c r="B4899" s="7">
        <v>2015</v>
      </c>
      <c r="C4899" s="51" t="s">
        <v>705</v>
      </c>
      <c r="D4899" t="s">
        <v>722</v>
      </c>
      <c r="E4899" s="2">
        <v>2.0910000000000002</v>
      </c>
    </row>
    <row r="4900" spans="1:5" x14ac:dyDescent="0.25">
      <c r="A4900" s="32" t="s">
        <v>767</v>
      </c>
      <c r="B4900" s="7">
        <v>2015</v>
      </c>
      <c r="C4900" s="51" t="s">
        <v>706</v>
      </c>
      <c r="D4900" t="s">
        <v>722</v>
      </c>
      <c r="E4900" s="2">
        <v>1.9359999999999999</v>
      </c>
    </row>
    <row r="4901" spans="1:5" x14ac:dyDescent="0.25">
      <c r="A4901" s="32" t="s">
        <v>767</v>
      </c>
      <c r="B4901" s="7">
        <v>2016</v>
      </c>
      <c r="C4901" s="51" t="s">
        <v>713</v>
      </c>
      <c r="D4901" t="s">
        <v>722</v>
      </c>
      <c r="E4901" s="2">
        <v>2.0979999999999999</v>
      </c>
    </row>
    <row r="4902" spans="1:5" x14ac:dyDescent="0.25">
      <c r="A4902" s="32" t="s">
        <v>767</v>
      </c>
      <c r="B4902" s="7">
        <v>2016</v>
      </c>
      <c r="C4902" s="51" t="s">
        <v>707</v>
      </c>
      <c r="D4902" t="s">
        <v>722</v>
      </c>
      <c r="E4902" s="2">
        <v>2.1360000000000001</v>
      </c>
    </row>
    <row r="4903" spans="1:5" x14ac:dyDescent="0.25">
      <c r="A4903" s="32" t="s">
        <v>767</v>
      </c>
      <c r="B4903" s="7">
        <v>2016</v>
      </c>
      <c r="C4903" s="51" t="s">
        <v>708</v>
      </c>
      <c r="D4903" t="s">
        <v>722</v>
      </c>
      <c r="E4903" s="2">
        <v>2.2360000000000002</v>
      </c>
    </row>
    <row r="4904" spans="1:5" x14ac:dyDescent="0.25">
      <c r="A4904" s="32" t="s">
        <v>767</v>
      </c>
      <c r="B4904" s="7">
        <v>2016</v>
      </c>
      <c r="C4904" s="51" t="s">
        <v>699</v>
      </c>
      <c r="D4904" t="s">
        <v>722</v>
      </c>
      <c r="E4904" s="2">
        <v>2.2410000000000001</v>
      </c>
    </row>
    <row r="4905" spans="1:5" x14ac:dyDescent="0.25">
      <c r="A4905" s="32" t="s">
        <v>767</v>
      </c>
      <c r="B4905" s="7">
        <v>2016</v>
      </c>
      <c r="C4905" s="51" t="s">
        <v>709</v>
      </c>
      <c r="D4905" t="s">
        <v>722</v>
      </c>
      <c r="E4905" s="2">
        <v>2.5510000000000002</v>
      </c>
    </row>
    <row r="4906" spans="1:5" x14ac:dyDescent="0.25">
      <c r="A4906" s="32" t="s">
        <v>767</v>
      </c>
      <c r="B4906" s="7">
        <v>2016</v>
      </c>
      <c r="C4906" s="51" t="s">
        <v>712</v>
      </c>
      <c r="D4906" t="s">
        <v>722</v>
      </c>
      <c r="E4906" s="2">
        <v>2.79</v>
      </c>
    </row>
    <row r="4907" spans="1:5" x14ac:dyDescent="0.25">
      <c r="A4907" s="32" t="s">
        <v>767</v>
      </c>
      <c r="B4907" s="7">
        <v>2016</v>
      </c>
      <c r="C4907" s="51" t="s">
        <v>710</v>
      </c>
      <c r="D4907" t="s">
        <v>722</v>
      </c>
      <c r="E4907" s="2">
        <v>2.4</v>
      </c>
    </row>
    <row r="4908" spans="1:5" x14ac:dyDescent="0.25">
      <c r="A4908" s="32" t="s">
        <v>767</v>
      </c>
      <c r="B4908" s="7">
        <v>2016</v>
      </c>
      <c r="C4908" s="51" t="s">
        <v>702</v>
      </c>
      <c r="D4908" t="s">
        <v>722</v>
      </c>
      <c r="E4908" s="2">
        <v>2.4950000000000001</v>
      </c>
    </row>
    <row r="4909" spans="1:5" x14ac:dyDescent="0.25">
      <c r="A4909" s="32" t="s">
        <v>767</v>
      </c>
      <c r="B4909" s="7">
        <v>2016</v>
      </c>
      <c r="C4909" s="51" t="s">
        <v>703</v>
      </c>
      <c r="D4909" t="s">
        <v>722</v>
      </c>
      <c r="E4909" s="2">
        <v>2.5920000000000001</v>
      </c>
    </row>
    <row r="4910" spans="1:5" x14ac:dyDescent="0.25">
      <c r="A4910" s="32" t="s">
        <v>767</v>
      </c>
      <c r="B4910" s="7">
        <v>2016</v>
      </c>
      <c r="C4910" s="51" t="s">
        <v>704</v>
      </c>
      <c r="D4910" t="s">
        <v>722</v>
      </c>
      <c r="E4910" s="2">
        <v>2.7829999999999999</v>
      </c>
    </row>
    <row r="4911" spans="1:5" x14ac:dyDescent="0.25">
      <c r="A4911" s="32" t="s">
        <v>767</v>
      </c>
      <c r="B4911" s="7">
        <v>2016</v>
      </c>
      <c r="C4911" s="51" t="s">
        <v>705</v>
      </c>
      <c r="D4911" t="s">
        <v>722</v>
      </c>
      <c r="E4911" s="2">
        <v>2.5710000000000002</v>
      </c>
    </row>
    <row r="4912" spans="1:5" x14ac:dyDescent="0.25">
      <c r="A4912" s="32" t="s">
        <v>767</v>
      </c>
      <c r="B4912" s="7">
        <v>2016</v>
      </c>
      <c r="C4912" s="51" t="s">
        <v>706</v>
      </c>
      <c r="D4912" t="s">
        <v>722</v>
      </c>
      <c r="E4912" s="2">
        <v>2.97</v>
      </c>
    </row>
    <row r="4913" spans="1:5" x14ac:dyDescent="0.25">
      <c r="A4913" s="32" t="s">
        <v>767</v>
      </c>
      <c r="B4913" s="7">
        <v>2017</v>
      </c>
      <c r="C4913" s="51" t="s">
        <v>713</v>
      </c>
      <c r="D4913" t="s">
        <v>722</v>
      </c>
      <c r="E4913" s="2">
        <v>3.8109999999999999</v>
      </c>
    </row>
    <row r="4914" spans="1:5" x14ac:dyDescent="0.25">
      <c r="A4914" s="32" t="s">
        <v>767</v>
      </c>
      <c r="B4914" s="7">
        <v>2017</v>
      </c>
      <c r="C4914" s="51" t="s">
        <v>707</v>
      </c>
      <c r="D4914" t="s">
        <v>722</v>
      </c>
      <c r="E4914" s="2">
        <v>3.2919999999999998</v>
      </c>
    </row>
    <row r="4915" spans="1:5" x14ac:dyDescent="0.25">
      <c r="A4915" s="32" t="s">
        <v>767</v>
      </c>
      <c r="B4915" s="7">
        <v>2017</v>
      </c>
      <c r="C4915" s="51" t="s">
        <v>708</v>
      </c>
      <c r="D4915" t="s">
        <v>722</v>
      </c>
      <c r="E4915" s="2">
        <v>2.0009999999999999</v>
      </c>
    </row>
    <row r="4916" spans="1:5" x14ac:dyDescent="0.25">
      <c r="A4916" s="32" t="s">
        <v>767</v>
      </c>
      <c r="B4916" s="7">
        <v>2017</v>
      </c>
      <c r="C4916" s="51" t="s">
        <v>699</v>
      </c>
      <c r="D4916" t="s">
        <v>722</v>
      </c>
      <c r="E4916" s="2">
        <v>2.4529999999999998</v>
      </c>
    </row>
    <row r="4917" spans="1:5" x14ac:dyDescent="0.25">
      <c r="A4917" s="32" t="s">
        <v>767</v>
      </c>
      <c r="B4917" s="7">
        <v>2017</v>
      </c>
      <c r="C4917" s="51" t="s">
        <v>709</v>
      </c>
      <c r="D4917" t="s">
        <v>722</v>
      </c>
      <c r="E4917" s="2">
        <v>2.6509999999999998</v>
      </c>
    </row>
    <row r="4918" spans="1:5" x14ac:dyDescent="0.25">
      <c r="A4918" s="32" t="s">
        <v>767</v>
      </c>
      <c r="B4918" s="7">
        <v>2017</v>
      </c>
      <c r="C4918" s="51" t="s">
        <v>712</v>
      </c>
      <c r="D4918" t="s">
        <v>722</v>
      </c>
      <c r="E4918" s="2">
        <v>3.6110000000000002</v>
      </c>
    </row>
    <row r="4919" spans="1:5" x14ac:dyDescent="0.25">
      <c r="A4919" s="32" t="s">
        <v>767</v>
      </c>
      <c r="B4919" s="7">
        <v>2017</v>
      </c>
      <c r="C4919" s="51" t="s">
        <v>710</v>
      </c>
      <c r="D4919" t="s">
        <v>722</v>
      </c>
      <c r="E4919" s="2">
        <v>3.48</v>
      </c>
    </row>
    <row r="4920" spans="1:5" x14ac:dyDescent="0.25">
      <c r="A4920" s="32" t="s">
        <v>767</v>
      </c>
      <c r="B4920" s="7">
        <v>2017</v>
      </c>
      <c r="C4920" s="51" t="s">
        <v>702</v>
      </c>
      <c r="D4920" t="s">
        <v>722</v>
      </c>
      <c r="E4920" s="2">
        <v>2.6019999999999999</v>
      </c>
    </row>
    <row r="4921" spans="1:5" x14ac:dyDescent="0.25">
      <c r="A4921" s="32" t="s">
        <v>767</v>
      </c>
      <c r="B4921" s="7">
        <v>2017</v>
      </c>
      <c r="C4921" s="51" t="s">
        <v>703</v>
      </c>
      <c r="D4921" t="s">
        <v>722</v>
      </c>
      <c r="E4921" s="2">
        <v>2.5950000000000002</v>
      </c>
    </row>
    <row r="4922" spans="1:5" x14ac:dyDescent="0.25">
      <c r="A4922" s="32" t="s">
        <v>767</v>
      </c>
      <c r="B4922" s="7">
        <v>2017</v>
      </c>
      <c r="C4922" s="51" t="s">
        <v>704</v>
      </c>
      <c r="D4922" t="s">
        <v>722</v>
      </c>
      <c r="E4922" s="2">
        <v>2.532</v>
      </c>
    </row>
    <row r="4923" spans="1:5" x14ac:dyDescent="0.25">
      <c r="A4923" s="32" t="s">
        <v>767</v>
      </c>
      <c r="B4923" s="7">
        <v>2017</v>
      </c>
      <c r="C4923" s="51" t="s">
        <v>705</v>
      </c>
      <c r="D4923" t="s">
        <v>722</v>
      </c>
      <c r="E4923" s="2">
        <v>2.9550000000000001</v>
      </c>
    </row>
    <row r="4924" spans="1:5" x14ac:dyDescent="0.25">
      <c r="A4924" s="32" t="s">
        <v>767</v>
      </c>
      <c r="B4924" s="7">
        <v>2017</v>
      </c>
      <c r="C4924" s="51" t="s">
        <v>706</v>
      </c>
      <c r="D4924" t="s">
        <v>722</v>
      </c>
      <c r="E4924" s="2">
        <v>2.8650000000000002</v>
      </c>
    </row>
    <row r="4925" spans="1:5" x14ac:dyDescent="0.25">
      <c r="A4925" s="32" t="s">
        <v>767</v>
      </c>
      <c r="B4925" s="7">
        <v>2018</v>
      </c>
      <c r="C4925" s="51" t="s">
        <v>713</v>
      </c>
      <c r="D4925" t="s">
        <v>722</v>
      </c>
      <c r="E4925" s="2">
        <v>2.9649999999999999</v>
      </c>
    </row>
    <row r="4926" spans="1:5" x14ac:dyDescent="0.25">
      <c r="A4926" s="32" t="s">
        <v>767</v>
      </c>
      <c r="B4926" s="7">
        <v>2018</v>
      </c>
      <c r="C4926" s="51" t="s">
        <v>707</v>
      </c>
      <c r="D4926" t="s">
        <v>722</v>
      </c>
      <c r="E4926" s="2">
        <v>2.91</v>
      </c>
    </row>
    <row r="4927" spans="1:5" x14ac:dyDescent="0.25">
      <c r="A4927" s="32" t="s">
        <v>767</v>
      </c>
      <c r="B4927" s="7">
        <v>2018</v>
      </c>
      <c r="C4927" s="51" t="s">
        <v>708</v>
      </c>
      <c r="D4927" t="s">
        <v>722</v>
      </c>
      <c r="E4927" s="2">
        <v>3.222</v>
      </c>
    </row>
    <row r="4928" spans="1:5" x14ac:dyDescent="0.25">
      <c r="A4928" s="32" t="s">
        <v>767</v>
      </c>
      <c r="B4928" s="7">
        <v>2018</v>
      </c>
      <c r="C4928" s="51" t="s">
        <v>699</v>
      </c>
      <c r="D4928" t="s">
        <v>722</v>
      </c>
      <c r="E4928" s="2">
        <v>3.0619999999999998</v>
      </c>
    </row>
    <row r="4929" spans="1:5" x14ac:dyDescent="0.25">
      <c r="A4929" s="32" t="s">
        <v>767</v>
      </c>
      <c r="B4929" s="7">
        <v>2018</v>
      </c>
      <c r="C4929" s="51" t="s">
        <v>709</v>
      </c>
      <c r="D4929" t="s">
        <v>722</v>
      </c>
      <c r="E4929" s="2">
        <v>3.6949999999999998</v>
      </c>
    </row>
    <row r="4930" spans="1:5" x14ac:dyDescent="0.25">
      <c r="A4930" s="32" t="s">
        <v>767</v>
      </c>
      <c r="B4930" s="7">
        <v>2018</v>
      </c>
      <c r="C4930" s="51" t="s">
        <v>712</v>
      </c>
      <c r="D4930" t="s">
        <v>722</v>
      </c>
      <c r="E4930" s="2">
        <v>5.04</v>
      </c>
    </row>
    <row r="4931" spans="1:5" x14ac:dyDescent="0.25">
      <c r="A4931" s="32" t="s">
        <v>767</v>
      </c>
      <c r="B4931" s="7">
        <v>2018</v>
      </c>
      <c r="C4931" s="51" t="s">
        <v>710</v>
      </c>
      <c r="D4931" t="s">
        <v>722</v>
      </c>
      <c r="E4931" s="2">
        <v>4.806</v>
      </c>
    </row>
    <row r="4932" spans="1:5" x14ac:dyDescent="0.25">
      <c r="A4932" s="32" t="s">
        <v>767</v>
      </c>
      <c r="B4932" s="7">
        <v>2018</v>
      </c>
      <c r="C4932" s="51" t="s">
        <v>702</v>
      </c>
      <c r="D4932" t="s">
        <v>722</v>
      </c>
      <c r="E4932" s="2">
        <v>4.2690000000000001</v>
      </c>
    </row>
    <row r="4933" spans="1:5" x14ac:dyDescent="0.25">
      <c r="A4933" s="32" t="s">
        <v>767</v>
      </c>
      <c r="B4933" s="7">
        <v>2018</v>
      </c>
      <c r="C4933" s="51" t="s">
        <v>703</v>
      </c>
      <c r="D4933" t="s">
        <v>722</v>
      </c>
      <c r="E4933" s="2">
        <v>3.7210000000000001</v>
      </c>
    </row>
    <row r="4934" spans="1:5" x14ac:dyDescent="0.25">
      <c r="A4934" s="32" t="s">
        <v>767</v>
      </c>
      <c r="B4934" s="7">
        <v>2018</v>
      </c>
      <c r="C4934" s="51" t="s">
        <v>704</v>
      </c>
      <c r="D4934" t="s">
        <v>722</v>
      </c>
      <c r="E4934" s="2">
        <v>4.0250000000000004</v>
      </c>
    </row>
    <row r="4935" spans="1:5" x14ac:dyDescent="0.25">
      <c r="A4935" s="32" t="s">
        <v>767</v>
      </c>
      <c r="B4935" s="7">
        <v>2018</v>
      </c>
      <c r="C4935" s="51" t="s">
        <v>705</v>
      </c>
      <c r="D4935" t="s">
        <v>722</v>
      </c>
      <c r="E4935" s="2">
        <v>3.617</v>
      </c>
    </row>
    <row r="4936" spans="1:5" x14ac:dyDescent="0.25">
      <c r="A4936" s="32" t="s">
        <v>767</v>
      </c>
      <c r="B4936" s="7">
        <v>2018</v>
      </c>
      <c r="C4936" s="51" t="s">
        <v>706</v>
      </c>
      <c r="D4936" t="s">
        <v>722</v>
      </c>
      <c r="E4936" s="2">
        <v>3.9449999999999998</v>
      </c>
    </row>
    <row r="4937" spans="1:5" x14ac:dyDescent="0.25">
      <c r="A4937" s="32" t="s">
        <v>767</v>
      </c>
      <c r="B4937" s="7">
        <v>2019</v>
      </c>
      <c r="C4937" s="51" t="s">
        <v>713</v>
      </c>
      <c r="D4937" t="s">
        <v>722</v>
      </c>
      <c r="E4937" s="2">
        <v>3.6749999999999998</v>
      </c>
    </row>
    <row r="4938" spans="1:5" x14ac:dyDescent="0.25">
      <c r="A4938" s="32" t="s">
        <v>767</v>
      </c>
      <c r="B4938" s="7">
        <v>2019</v>
      </c>
      <c r="C4938" s="51" t="s">
        <v>707</v>
      </c>
      <c r="D4938" t="s">
        <v>722</v>
      </c>
      <c r="E4938" s="2">
        <v>3.16</v>
      </c>
    </row>
    <row r="4939" spans="1:5" x14ac:dyDescent="0.25">
      <c r="A4939" s="32" t="s">
        <v>767</v>
      </c>
      <c r="B4939" s="7">
        <v>2019</v>
      </c>
      <c r="C4939" s="51" t="s">
        <v>708</v>
      </c>
      <c r="D4939" t="s">
        <v>722</v>
      </c>
      <c r="E4939" s="2">
        <v>4.0720000000000001</v>
      </c>
    </row>
    <row r="4940" spans="1:5" x14ac:dyDescent="0.25">
      <c r="A4940" s="32" t="s">
        <v>767</v>
      </c>
      <c r="B4940" s="7">
        <v>2019</v>
      </c>
      <c r="C4940" s="51" t="s">
        <v>699</v>
      </c>
      <c r="D4940" t="s">
        <v>722</v>
      </c>
      <c r="E4940" s="2">
        <v>3.7080000000000002</v>
      </c>
    </row>
    <row r="4941" spans="1:5" x14ac:dyDescent="0.25">
      <c r="A4941" s="32" t="s">
        <v>767</v>
      </c>
      <c r="B4941" s="7">
        <v>2019</v>
      </c>
      <c r="C4941" s="51" t="s">
        <v>709</v>
      </c>
      <c r="D4941" t="s">
        <v>722</v>
      </c>
      <c r="E4941" s="2">
        <v>4.0949999999999998</v>
      </c>
    </row>
    <row r="4942" spans="1:5" x14ac:dyDescent="0.25">
      <c r="A4942" s="32" t="s">
        <v>767</v>
      </c>
      <c r="B4942" s="7">
        <v>2019</v>
      </c>
      <c r="C4942" s="51" t="s">
        <v>712</v>
      </c>
      <c r="D4942" t="s">
        <v>722</v>
      </c>
      <c r="E4942" s="2">
        <v>4.1639999999999997</v>
      </c>
    </row>
    <row r="4943" spans="1:5" x14ac:dyDescent="0.25">
      <c r="A4943" s="32" t="s">
        <v>767</v>
      </c>
      <c r="B4943" s="7">
        <v>2019</v>
      </c>
      <c r="C4943" s="51" t="s">
        <v>710</v>
      </c>
      <c r="D4943" t="s">
        <v>722</v>
      </c>
      <c r="E4943" s="2">
        <v>4.726</v>
      </c>
    </row>
    <row r="4944" spans="1:5" x14ac:dyDescent="0.25">
      <c r="A4944" s="32" t="s">
        <v>767</v>
      </c>
      <c r="B4944" s="7">
        <v>2019</v>
      </c>
      <c r="C4944" s="51" t="s">
        <v>702</v>
      </c>
      <c r="D4944" t="s">
        <v>722</v>
      </c>
      <c r="E4944" s="2">
        <v>3.9620000000000002</v>
      </c>
    </row>
    <row r="4945" spans="1:5" x14ac:dyDescent="0.25">
      <c r="A4945" s="32" t="s">
        <v>767</v>
      </c>
      <c r="B4945" s="7">
        <v>2019</v>
      </c>
      <c r="C4945" s="51" t="s">
        <v>703</v>
      </c>
      <c r="D4945" t="s">
        <v>722</v>
      </c>
      <c r="E4945" s="2">
        <v>4.0720000000000001</v>
      </c>
    </row>
    <row r="4946" spans="1:5" x14ac:dyDescent="0.25">
      <c r="A4946" s="32" t="s">
        <v>767</v>
      </c>
      <c r="B4946" s="7">
        <v>2019</v>
      </c>
      <c r="C4946" s="51" t="s">
        <v>704</v>
      </c>
      <c r="D4946" t="s">
        <v>722</v>
      </c>
      <c r="E4946" s="2">
        <v>4.6079999999999997</v>
      </c>
    </row>
    <row r="4947" spans="1:5" x14ac:dyDescent="0.25">
      <c r="A4947" s="32" t="s">
        <v>767</v>
      </c>
      <c r="B4947" s="7">
        <v>2019</v>
      </c>
      <c r="C4947" s="51" t="s">
        <v>705</v>
      </c>
      <c r="D4947" t="s">
        <v>722</v>
      </c>
      <c r="E4947" s="2">
        <v>3.73</v>
      </c>
    </row>
    <row r="4948" spans="1:5" x14ac:dyDescent="0.25">
      <c r="A4948" s="32" t="s">
        <v>767</v>
      </c>
      <c r="B4948" s="7">
        <v>2019</v>
      </c>
      <c r="C4948" s="51" t="s">
        <v>706</v>
      </c>
      <c r="D4948" t="s">
        <v>722</v>
      </c>
      <c r="E4948" s="2">
        <v>3.4830000000000001</v>
      </c>
    </row>
    <row r="4949" spans="1:5" x14ac:dyDescent="0.25">
      <c r="A4949" s="32" t="s">
        <v>767</v>
      </c>
      <c r="B4949" s="7">
        <v>2020</v>
      </c>
      <c r="C4949" s="51" t="s">
        <v>713</v>
      </c>
      <c r="D4949" t="s">
        <v>722</v>
      </c>
      <c r="E4949" s="2">
        <v>4.5250000000000004</v>
      </c>
    </row>
    <row r="4950" spans="1:5" x14ac:dyDescent="0.25">
      <c r="A4950" s="32" t="s">
        <v>767</v>
      </c>
      <c r="B4950" s="7">
        <v>2020</v>
      </c>
      <c r="C4950" s="51" t="s">
        <v>707</v>
      </c>
      <c r="D4950" t="s">
        <v>722</v>
      </c>
      <c r="E4950" s="2">
        <v>4.3529999999999998</v>
      </c>
    </row>
    <row r="4951" spans="1:5" x14ac:dyDescent="0.25">
      <c r="A4951" s="32" t="s">
        <v>767</v>
      </c>
      <c r="B4951" s="7">
        <v>2020</v>
      </c>
      <c r="C4951" s="51" t="s">
        <v>708</v>
      </c>
      <c r="D4951" t="s">
        <v>722</v>
      </c>
      <c r="E4951" s="2">
        <v>3.5710000000000002</v>
      </c>
    </row>
    <row r="4952" spans="1:5" x14ac:dyDescent="0.25">
      <c r="A4952" s="32" t="s">
        <v>767</v>
      </c>
      <c r="B4952" s="7">
        <v>2020</v>
      </c>
      <c r="C4952" s="51" t="s">
        <v>699</v>
      </c>
      <c r="D4952" t="s">
        <v>722</v>
      </c>
      <c r="E4952" s="2">
        <v>2.6230000000000002</v>
      </c>
    </row>
    <row r="4953" spans="1:5" x14ac:dyDescent="0.25">
      <c r="A4953" s="32" t="s">
        <v>767</v>
      </c>
      <c r="B4953" s="7">
        <v>2020</v>
      </c>
      <c r="C4953" s="51" t="s">
        <v>709</v>
      </c>
      <c r="D4953" t="s">
        <v>722</v>
      </c>
      <c r="E4953" s="2">
        <v>2.2360000000000002</v>
      </c>
    </row>
    <row r="4954" spans="1:5" x14ac:dyDescent="0.25">
      <c r="A4954" s="32" t="s">
        <v>767</v>
      </c>
      <c r="B4954" s="7">
        <v>2020</v>
      </c>
      <c r="C4954" s="51" t="s">
        <v>712</v>
      </c>
      <c r="D4954" t="s">
        <v>722</v>
      </c>
      <c r="E4954" s="2">
        <v>2.7570000000000001</v>
      </c>
    </row>
    <row r="4955" spans="1:5" x14ac:dyDescent="0.25">
      <c r="A4955" s="32" t="s">
        <v>767</v>
      </c>
      <c r="B4955" s="7">
        <v>2020</v>
      </c>
      <c r="C4955" s="51" t="s">
        <v>710</v>
      </c>
      <c r="D4955" t="s">
        <v>722</v>
      </c>
      <c r="E4955" s="2">
        <v>3.67</v>
      </c>
    </row>
    <row r="4956" spans="1:5" x14ac:dyDescent="0.25">
      <c r="A4956" s="32" t="s">
        <v>767</v>
      </c>
      <c r="B4956" s="7">
        <v>2020</v>
      </c>
      <c r="C4956" s="51" t="s">
        <v>702</v>
      </c>
      <c r="D4956" t="s">
        <v>722</v>
      </c>
      <c r="E4956" s="2">
        <v>3.5089999999999999</v>
      </c>
    </row>
    <row r="4957" spans="1:5" x14ac:dyDescent="0.25">
      <c r="A4957" s="32" t="s">
        <v>767</v>
      </c>
      <c r="B4957" s="7">
        <v>2020</v>
      </c>
      <c r="C4957" s="51" t="s">
        <v>703</v>
      </c>
      <c r="D4957" t="s">
        <v>722</v>
      </c>
      <c r="E4957" s="2">
        <v>2.4649999999999999</v>
      </c>
    </row>
    <row r="4958" spans="1:5" x14ac:dyDescent="0.25">
      <c r="A4958" s="32" t="s">
        <v>767</v>
      </c>
      <c r="B4958" s="7">
        <v>2020</v>
      </c>
      <c r="C4958" s="51" t="s">
        <v>704</v>
      </c>
      <c r="D4958" t="s">
        <v>722</v>
      </c>
      <c r="E4958" s="2">
        <v>2.996</v>
      </c>
    </row>
    <row r="4959" spans="1:5" x14ac:dyDescent="0.25">
      <c r="A4959" s="32" t="s">
        <v>767</v>
      </c>
      <c r="B4959" s="7">
        <v>2020</v>
      </c>
      <c r="C4959" s="51" t="s">
        <v>705</v>
      </c>
      <c r="D4959" t="s">
        <v>722</v>
      </c>
      <c r="E4959" s="2">
        <v>2.4769999999999999</v>
      </c>
    </row>
    <row r="4960" spans="1:5" x14ac:dyDescent="0.25">
      <c r="A4960" s="32" t="s">
        <v>767</v>
      </c>
      <c r="B4960" s="7">
        <v>2020</v>
      </c>
      <c r="C4960" s="51" t="s">
        <v>706</v>
      </c>
      <c r="D4960" t="s">
        <v>722</v>
      </c>
      <c r="E4960" s="2">
        <v>2.3740000000000001</v>
      </c>
    </row>
    <row r="4961" spans="1:5" x14ac:dyDescent="0.25">
      <c r="A4961" s="32" t="s">
        <v>767</v>
      </c>
      <c r="B4961" s="7">
        <v>2021</v>
      </c>
      <c r="C4961" s="51" t="s">
        <v>713</v>
      </c>
      <c r="D4961" t="s">
        <v>722</v>
      </c>
      <c r="E4961" s="2">
        <v>2.2080000000000002</v>
      </c>
    </row>
    <row r="4962" spans="1:5" x14ac:dyDescent="0.25">
      <c r="A4962" s="32" t="s">
        <v>767</v>
      </c>
      <c r="B4962" s="7">
        <v>2021</v>
      </c>
      <c r="C4962" s="51" t="s">
        <v>707</v>
      </c>
      <c r="D4962" t="s">
        <v>722</v>
      </c>
      <c r="E4962" s="2">
        <v>3.3610000000000002</v>
      </c>
    </row>
    <row r="4963" spans="1:5" x14ac:dyDescent="0.25">
      <c r="A4963" s="32" t="s">
        <v>767</v>
      </c>
      <c r="B4963" s="7">
        <v>2021</v>
      </c>
      <c r="C4963" s="51" t="s">
        <v>708</v>
      </c>
      <c r="D4963" t="s">
        <v>722</v>
      </c>
      <c r="E4963" s="2">
        <v>3.0539999999999998</v>
      </c>
    </row>
    <row r="4964" spans="1:5" x14ac:dyDescent="0.25">
      <c r="A4964" s="32" t="s">
        <v>767</v>
      </c>
      <c r="B4964" s="7">
        <v>2021</v>
      </c>
      <c r="C4964" s="51" t="s">
        <v>699</v>
      </c>
      <c r="D4964" t="s">
        <v>722</v>
      </c>
      <c r="E4964" s="2">
        <v>2.9969999999999999</v>
      </c>
    </row>
    <row r="4965" spans="1:5" x14ac:dyDescent="0.25">
      <c r="A4965" s="32" t="s">
        <v>767</v>
      </c>
      <c r="B4965" s="7">
        <v>2021</v>
      </c>
      <c r="C4965" s="51" t="s">
        <v>709</v>
      </c>
      <c r="D4965" t="s">
        <v>722</v>
      </c>
      <c r="E4965" s="2">
        <v>3.2389999999999999</v>
      </c>
    </row>
    <row r="4966" spans="1:5" x14ac:dyDescent="0.25">
      <c r="A4966" s="32" t="s">
        <v>767</v>
      </c>
      <c r="B4966" s="7">
        <v>2021</v>
      </c>
      <c r="C4966" s="51" t="s">
        <v>712</v>
      </c>
      <c r="D4966" t="s">
        <v>722</v>
      </c>
      <c r="E4966" s="2">
        <v>3.8730000000000002</v>
      </c>
    </row>
    <row r="4967" spans="1:5" x14ac:dyDescent="0.25">
      <c r="A4967" s="32" t="s">
        <v>767</v>
      </c>
      <c r="B4967" s="7">
        <v>2021</v>
      </c>
      <c r="C4967" s="51" t="s">
        <v>710</v>
      </c>
      <c r="D4967" t="s">
        <v>722</v>
      </c>
      <c r="E4967" s="2">
        <v>3.944</v>
      </c>
    </row>
    <row r="4968" spans="1:5" x14ac:dyDescent="0.25">
      <c r="A4968" s="32" t="s">
        <v>767</v>
      </c>
      <c r="B4968" s="7">
        <v>2021</v>
      </c>
      <c r="C4968" s="51" t="s">
        <v>702</v>
      </c>
      <c r="D4968" t="s">
        <v>722</v>
      </c>
      <c r="E4968" s="2">
        <v>4.3150000000000004</v>
      </c>
    </row>
    <row r="4969" spans="1:5" x14ac:dyDescent="0.25">
      <c r="A4969" s="32" t="s">
        <v>767</v>
      </c>
      <c r="B4969" s="7">
        <v>2021</v>
      </c>
      <c r="C4969" s="51" t="s">
        <v>703</v>
      </c>
      <c r="D4969" t="s">
        <v>722</v>
      </c>
      <c r="E4969" s="2">
        <v>3.82</v>
      </c>
    </row>
    <row r="4970" spans="1:5" x14ac:dyDescent="0.25">
      <c r="A4970" s="32" t="s">
        <v>767</v>
      </c>
      <c r="B4970" s="7">
        <v>2021</v>
      </c>
      <c r="C4970" s="51" t="s">
        <v>704</v>
      </c>
      <c r="D4970" t="s">
        <v>722</v>
      </c>
      <c r="E4970" s="2">
        <v>3.9159999999999999</v>
      </c>
    </row>
    <row r="4971" spans="1:5" x14ac:dyDescent="0.25">
      <c r="A4971" s="32" t="s">
        <v>767</v>
      </c>
      <c r="B4971" s="7">
        <v>2021</v>
      </c>
      <c r="C4971" s="51" t="s">
        <v>705</v>
      </c>
      <c r="D4971" t="s">
        <v>722</v>
      </c>
      <c r="E4971" s="2">
        <v>3.5070000000000001</v>
      </c>
    </row>
    <row r="4972" spans="1:5" x14ac:dyDescent="0.25">
      <c r="A4972" s="32" t="s">
        <v>767</v>
      </c>
      <c r="B4972" s="7">
        <v>2021</v>
      </c>
      <c r="C4972" s="51" t="s">
        <v>706</v>
      </c>
      <c r="D4972" t="s">
        <v>722</v>
      </c>
      <c r="E4972" s="2">
        <v>3.1120000000000001</v>
      </c>
    </row>
    <row r="4973" spans="1:5" x14ac:dyDescent="0.25">
      <c r="A4973" s="32" t="s">
        <v>767</v>
      </c>
      <c r="B4973" s="7">
        <v>2022</v>
      </c>
      <c r="C4973" s="51" t="s">
        <v>713</v>
      </c>
      <c r="D4973" t="s">
        <v>722</v>
      </c>
      <c r="E4973" s="2">
        <v>3.2789999999999999</v>
      </c>
    </row>
    <row r="4974" spans="1:5" x14ac:dyDescent="0.25">
      <c r="A4974" s="32" t="s">
        <v>767</v>
      </c>
      <c r="B4974" s="7">
        <v>2022</v>
      </c>
      <c r="C4974" s="51" t="s">
        <v>707</v>
      </c>
      <c r="D4974" t="s">
        <v>722</v>
      </c>
      <c r="E4974" s="2">
        <v>3.0640000000000001</v>
      </c>
    </row>
    <row r="4975" spans="1:5" x14ac:dyDescent="0.25">
      <c r="A4975" s="32" t="s">
        <v>767</v>
      </c>
      <c r="B4975" s="7">
        <v>2022</v>
      </c>
      <c r="C4975" s="51" t="s">
        <v>708</v>
      </c>
      <c r="D4975" t="s">
        <v>722</v>
      </c>
      <c r="E4975" s="2">
        <v>3.323</v>
      </c>
    </row>
    <row r="4976" spans="1:5" x14ac:dyDescent="0.25">
      <c r="A4976" s="32" t="s">
        <v>767</v>
      </c>
      <c r="B4976" s="7">
        <v>2022</v>
      </c>
      <c r="C4976" s="51" t="s">
        <v>699</v>
      </c>
      <c r="D4976" t="s">
        <v>722</v>
      </c>
      <c r="E4976" s="2">
        <v>3.3170000000000002</v>
      </c>
    </row>
    <row r="4977" spans="1:5" x14ac:dyDescent="0.25">
      <c r="A4977" s="32" t="s">
        <v>767</v>
      </c>
      <c r="B4977" s="7">
        <v>2022</v>
      </c>
      <c r="C4977" s="51" t="s">
        <v>709</v>
      </c>
      <c r="D4977" t="s">
        <v>722</v>
      </c>
      <c r="E4977" s="2">
        <v>3.9020000000000001</v>
      </c>
    </row>
    <row r="4978" spans="1:5" x14ac:dyDescent="0.25">
      <c r="A4978" s="32" t="s">
        <v>767</v>
      </c>
      <c r="B4978" s="7">
        <v>2022</v>
      </c>
      <c r="C4978" s="51" t="s">
        <v>712</v>
      </c>
      <c r="D4978" t="s">
        <v>722</v>
      </c>
      <c r="E4978" s="2">
        <v>4.3520000000000003</v>
      </c>
    </row>
    <row r="4979" spans="1:5" x14ac:dyDescent="0.25">
      <c r="A4979" s="32" t="s">
        <v>767</v>
      </c>
      <c r="B4979" s="7">
        <v>2022</v>
      </c>
      <c r="C4979" s="51" t="s">
        <v>710</v>
      </c>
      <c r="D4979" t="s">
        <v>722</v>
      </c>
      <c r="E4979" s="2">
        <v>4.4249999999999998</v>
      </c>
    </row>
    <row r="4980" spans="1:5" x14ac:dyDescent="0.25">
      <c r="A4980" s="32" t="s">
        <v>767</v>
      </c>
      <c r="B4980" s="7">
        <v>2022</v>
      </c>
      <c r="C4980" s="51" t="s">
        <v>702</v>
      </c>
      <c r="D4980" t="s">
        <v>722</v>
      </c>
      <c r="E4980" s="2">
        <v>5.298</v>
      </c>
    </row>
    <row r="4981" spans="1:5" x14ac:dyDescent="0.25">
      <c r="A4981" s="32" t="s">
        <v>767</v>
      </c>
      <c r="B4981" s="7">
        <v>2022</v>
      </c>
      <c r="C4981" s="51" t="s">
        <v>703</v>
      </c>
      <c r="D4981" t="s">
        <v>722</v>
      </c>
      <c r="E4981" s="2">
        <v>4.2309999999999999</v>
      </c>
    </row>
    <row r="4982" spans="1:5" x14ac:dyDescent="0.25">
      <c r="A4982" s="32" t="s">
        <v>767</v>
      </c>
      <c r="B4982" s="7">
        <v>2022</v>
      </c>
      <c r="C4982" s="51" t="s">
        <v>704</v>
      </c>
      <c r="D4982" t="s">
        <v>722</v>
      </c>
      <c r="E4982" s="2">
        <v>3.9550000000000001</v>
      </c>
    </row>
    <row r="4983" spans="1:5" x14ac:dyDescent="0.25">
      <c r="A4983" s="32" t="s">
        <v>767</v>
      </c>
      <c r="B4983" s="7">
        <v>2022</v>
      </c>
      <c r="C4983" s="51" t="s">
        <v>705</v>
      </c>
      <c r="D4983" t="s">
        <v>722</v>
      </c>
      <c r="E4983" s="2">
        <v>3.621</v>
      </c>
    </row>
    <row r="4984" spans="1:5" x14ac:dyDescent="0.25">
      <c r="A4984" s="32" t="s">
        <v>767</v>
      </c>
      <c r="B4984" s="7">
        <v>2022</v>
      </c>
      <c r="C4984" s="51" t="s">
        <v>706</v>
      </c>
      <c r="D4984" t="s">
        <v>722</v>
      </c>
      <c r="E4984" s="2">
        <v>3.6349999999999998</v>
      </c>
    </row>
    <row r="4985" spans="1:5" x14ac:dyDescent="0.25">
      <c r="A4985" s="32" t="s">
        <v>767</v>
      </c>
      <c r="B4985" s="7">
        <v>2023</v>
      </c>
      <c r="C4985" s="51" t="s">
        <v>713</v>
      </c>
      <c r="D4985" t="s">
        <v>722</v>
      </c>
      <c r="E4985" s="2">
        <v>3.4350000000000001</v>
      </c>
    </row>
    <row r="4986" spans="1:5" x14ac:dyDescent="0.25">
      <c r="A4986" s="32" t="s">
        <v>767</v>
      </c>
      <c r="B4986" s="7">
        <v>2023</v>
      </c>
      <c r="C4986" s="51" t="s">
        <v>707</v>
      </c>
      <c r="D4986" t="s">
        <v>722</v>
      </c>
      <c r="E4986" s="2">
        <v>3.117</v>
      </c>
    </row>
    <row r="4987" spans="1:5" x14ac:dyDescent="0.25">
      <c r="A4987" s="32" t="s">
        <v>767</v>
      </c>
      <c r="B4987" s="7">
        <v>2023</v>
      </c>
      <c r="C4987" s="51" t="s">
        <v>708</v>
      </c>
      <c r="D4987" t="s">
        <v>722</v>
      </c>
      <c r="E4987" s="2">
        <v>3.28</v>
      </c>
    </row>
    <row r="4988" spans="1:5" x14ac:dyDescent="0.25">
      <c r="A4988" s="32" t="s">
        <v>767</v>
      </c>
      <c r="B4988" s="7">
        <v>2023</v>
      </c>
      <c r="C4988" s="51" t="s">
        <v>699</v>
      </c>
      <c r="D4988" t="s">
        <v>722</v>
      </c>
      <c r="E4988" s="2">
        <v>3.3090000000000002</v>
      </c>
    </row>
    <row r="4989" spans="1:5" x14ac:dyDescent="0.25">
      <c r="A4989" s="32" t="s">
        <v>767</v>
      </c>
      <c r="B4989" s="7">
        <v>2023</v>
      </c>
      <c r="C4989" s="51" t="s">
        <v>709</v>
      </c>
      <c r="D4989" t="s">
        <v>722</v>
      </c>
      <c r="E4989" s="2">
        <v>3.274</v>
      </c>
    </row>
    <row r="4990" spans="1:5" x14ac:dyDescent="0.25">
      <c r="A4990" s="32" t="s">
        <v>767</v>
      </c>
      <c r="B4990" s="7">
        <v>2023</v>
      </c>
      <c r="C4990" s="51" t="s">
        <v>712</v>
      </c>
      <c r="D4990" t="s">
        <v>722</v>
      </c>
      <c r="E4990" s="2">
        <v>3.6150000000000002</v>
      </c>
    </row>
    <row r="4991" spans="1:5" x14ac:dyDescent="0.25">
      <c r="A4991" s="32" t="s">
        <v>767</v>
      </c>
      <c r="B4991" s="7">
        <v>2023</v>
      </c>
      <c r="C4991" s="51" t="s">
        <v>710</v>
      </c>
      <c r="D4991" t="s">
        <v>722</v>
      </c>
      <c r="E4991" s="2">
        <v>4.74</v>
      </c>
    </row>
    <row r="4992" spans="1:5" x14ac:dyDescent="0.25">
      <c r="A4992" s="32" t="s">
        <v>767</v>
      </c>
      <c r="B4992" s="7">
        <v>2023</v>
      </c>
      <c r="C4992" s="51" t="s">
        <v>702</v>
      </c>
      <c r="D4992" t="s">
        <v>722</v>
      </c>
      <c r="E4992" s="2">
        <v>4.7430000000000003</v>
      </c>
    </row>
    <row r="4993" spans="1:5" x14ac:dyDescent="0.25">
      <c r="A4993" s="32" t="s">
        <v>767</v>
      </c>
      <c r="B4993" s="7">
        <v>2023</v>
      </c>
      <c r="C4993" s="51" t="s">
        <v>703</v>
      </c>
      <c r="D4993" t="s">
        <v>722</v>
      </c>
      <c r="E4993" s="2">
        <v>4.6909999999999998</v>
      </c>
    </row>
    <row r="4994" spans="1:5" x14ac:dyDescent="0.25">
      <c r="A4994" s="32" t="s">
        <v>767</v>
      </c>
      <c r="B4994" s="7">
        <v>1997</v>
      </c>
      <c r="C4994" s="51" t="s">
        <v>704</v>
      </c>
      <c r="D4994" t="s">
        <v>723</v>
      </c>
      <c r="E4994" s="2">
        <v>0.74</v>
      </c>
    </row>
    <row r="4995" spans="1:5" x14ac:dyDescent="0.25">
      <c r="A4995" s="32" t="s">
        <v>767</v>
      </c>
      <c r="B4995" s="7">
        <v>1997</v>
      </c>
      <c r="C4995" s="51" t="s">
        <v>705</v>
      </c>
      <c r="D4995" t="s">
        <v>723</v>
      </c>
      <c r="E4995" s="2">
        <v>0.42799999999999999</v>
      </c>
    </row>
    <row r="4996" spans="1:5" x14ac:dyDescent="0.25">
      <c r="A4996" s="32" t="s">
        <v>767</v>
      </c>
      <c r="B4996" s="7">
        <v>1997</v>
      </c>
      <c r="C4996" s="51" t="s">
        <v>706</v>
      </c>
      <c r="D4996" t="s">
        <v>723</v>
      </c>
      <c r="E4996" s="2">
        <v>0.47199999999999998</v>
      </c>
    </row>
    <row r="4997" spans="1:5" x14ac:dyDescent="0.25">
      <c r="A4997" s="32" t="s">
        <v>767</v>
      </c>
      <c r="B4997" s="7">
        <v>1998</v>
      </c>
      <c r="C4997" s="51" t="s">
        <v>713</v>
      </c>
      <c r="D4997" t="s">
        <v>723</v>
      </c>
      <c r="E4997" s="2">
        <v>0.48899999999999999</v>
      </c>
    </row>
    <row r="4998" spans="1:5" x14ac:dyDescent="0.25">
      <c r="A4998" s="32" t="s">
        <v>767</v>
      </c>
      <c r="B4998" s="7">
        <v>1998</v>
      </c>
      <c r="C4998" s="51" t="s">
        <v>707</v>
      </c>
      <c r="D4998" t="s">
        <v>723</v>
      </c>
      <c r="E4998" s="2">
        <v>0.49099999999999999</v>
      </c>
    </row>
    <row r="4999" spans="1:5" x14ac:dyDescent="0.25">
      <c r="A4999" s="32" t="s">
        <v>767</v>
      </c>
      <c r="B4999" s="7">
        <v>1998</v>
      </c>
      <c r="C4999" s="51" t="s">
        <v>708</v>
      </c>
      <c r="D4999" t="s">
        <v>723</v>
      </c>
      <c r="E4999" s="2">
        <v>0.51400000000000001</v>
      </c>
    </row>
    <row r="5000" spans="1:5" x14ac:dyDescent="0.25">
      <c r="A5000" s="32" t="s">
        <v>767</v>
      </c>
      <c r="B5000" s="7">
        <v>1998</v>
      </c>
      <c r="C5000" s="51" t="s">
        <v>699</v>
      </c>
      <c r="D5000" t="s">
        <v>723</v>
      </c>
      <c r="E5000" s="2">
        <v>0.60199999999999998</v>
      </c>
    </row>
    <row r="5001" spans="1:5" x14ac:dyDescent="0.25">
      <c r="A5001" s="32" t="s">
        <v>767</v>
      </c>
      <c r="B5001" s="7">
        <v>1998</v>
      </c>
      <c r="C5001" s="51" t="s">
        <v>709</v>
      </c>
      <c r="D5001" t="s">
        <v>723</v>
      </c>
      <c r="E5001" s="2">
        <v>0.76700000000000002</v>
      </c>
    </row>
    <row r="5002" spans="1:5" x14ac:dyDescent="0.25">
      <c r="A5002" s="32" t="s">
        <v>767</v>
      </c>
      <c r="B5002" s="7">
        <v>1998</v>
      </c>
      <c r="C5002" s="51" t="s">
        <v>712</v>
      </c>
      <c r="D5002" t="s">
        <v>723</v>
      </c>
      <c r="E5002" s="2">
        <v>0.63100000000000001</v>
      </c>
    </row>
    <row r="5003" spans="1:5" x14ac:dyDescent="0.25">
      <c r="A5003" s="32" t="s">
        <v>767</v>
      </c>
      <c r="B5003" s="7">
        <v>1998</v>
      </c>
      <c r="C5003" s="51" t="s">
        <v>710</v>
      </c>
      <c r="D5003" t="s">
        <v>723</v>
      </c>
      <c r="E5003" s="2">
        <v>1.0429999999999999</v>
      </c>
    </row>
    <row r="5004" spans="1:5" x14ac:dyDescent="0.25">
      <c r="A5004" s="32" t="s">
        <v>767</v>
      </c>
      <c r="B5004" s="7">
        <v>1998</v>
      </c>
      <c r="C5004" s="51" t="s">
        <v>702</v>
      </c>
      <c r="D5004" t="s">
        <v>723</v>
      </c>
      <c r="E5004" s="2">
        <v>1.34</v>
      </c>
    </row>
    <row r="5005" spans="1:5" x14ac:dyDescent="0.25">
      <c r="A5005" s="32" t="s">
        <v>767</v>
      </c>
      <c r="B5005" s="7">
        <v>1998</v>
      </c>
      <c r="C5005" s="51" t="s">
        <v>703</v>
      </c>
      <c r="D5005" t="s">
        <v>723</v>
      </c>
      <c r="E5005" s="2">
        <v>1.151</v>
      </c>
    </row>
    <row r="5006" spans="1:5" x14ac:dyDescent="0.25">
      <c r="A5006" s="32" t="s">
        <v>767</v>
      </c>
      <c r="B5006" s="7">
        <v>1998</v>
      </c>
      <c r="C5006" s="51" t="s">
        <v>704</v>
      </c>
      <c r="D5006" t="s">
        <v>723</v>
      </c>
      <c r="E5006" s="2">
        <v>1.5680000000000001</v>
      </c>
    </row>
    <row r="5007" spans="1:5" x14ac:dyDescent="0.25">
      <c r="A5007" s="32" t="s">
        <v>767</v>
      </c>
      <c r="B5007" s="7">
        <v>1998</v>
      </c>
      <c r="C5007" s="51" t="s">
        <v>705</v>
      </c>
      <c r="D5007" t="s">
        <v>723</v>
      </c>
      <c r="E5007" s="2">
        <v>1.0249999999999999</v>
      </c>
    </row>
    <row r="5008" spans="1:5" x14ac:dyDescent="0.25">
      <c r="A5008" s="32" t="s">
        <v>767</v>
      </c>
      <c r="B5008" s="7">
        <v>1998</v>
      </c>
      <c r="C5008" s="51" t="s">
        <v>706</v>
      </c>
      <c r="D5008" t="s">
        <v>723</v>
      </c>
      <c r="E5008" s="2">
        <v>0.79700000000000004</v>
      </c>
    </row>
    <row r="5009" spans="1:5" x14ac:dyDescent="0.25">
      <c r="A5009" s="32" t="s">
        <v>767</v>
      </c>
      <c r="B5009" s="7">
        <v>1999</v>
      </c>
      <c r="C5009" s="51" t="s">
        <v>713</v>
      </c>
      <c r="D5009" t="s">
        <v>723</v>
      </c>
      <c r="E5009" s="2">
        <v>0.73399999999999999</v>
      </c>
    </row>
    <row r="5010" spans="1:5" x14ac:dyDescent="0.25">
      <c r="A5010" s="32" t="s">
        <v>767</v>
      </c>
      <c r="B5010" s="7">
        <v>1999</v>
      </c>
      <c r="C5010" s="51" t="s">
        <v>707</v>
      </c>
      <c r="D5010" t="s">
        <v>723</v>
      </c>
      <c r="E5010" s="2">
        <v>0.60299999999999998</v>
      </c>
    </row>
    <row r="5011" spans="1:5" x14ac:dyDescent="0.25">
      <c r="A5011" s="32" t="s">
        <v>767</v>
      </c>
      <c r="B5011" s="7">
        <v>1999</v>
      </c>
      <c r="C5011" s="51" t="s">
        <v>708</v>
      </c>
      <c r="D5011" t="s">
        <v>723</v>
      </c>
      <c r="E5011" s="2">
        <v>0.84199999999999997</v>
      </c>
    </row>
    <row r="5012" spans="1:5" x14ac:dyDescent="0.25">
      <c r="A5012" s="32" t="s">
        <v>767</v>
      </c>
      <c r="B5012" s="7">
        <v>1999</v>
      </c>
      <c r="C5012" s="51" t="s">
        <v>699</v>
      </c>
      <c r="D5012" t="s">
        <v>723</v>
      </c>
      <c r="E5012" s="2">
        <v>1.004</v>
      </c>
    </row>
    <row r="5013" spans="1:5" x14ac:dyDescent="0.25">
      <c r="A5013" s="32" t="s">
        <v>767</v>
      </c>
      <c r="B5013" s="7">
        <v>1999</v>
      </c>
      <c r="C5013" s="51" t="s">
        <v>709</v>
      </c>
      <c r="D5013" t="s">
        <v>723</v>
      </c>
      <c r="E5013" s="2">
        <v>1.224</v>
      </c>
    </row>
    <row r="5014" spans="1:5" x14ac:dyDescent="0.25">
      <c r="A5014" s="32" t="s">
        <v>767</v>
      </c>
      <c r="B5014" s="7">
        <v>1999</v>
      </c>
      <c r="C5014" s="51" t="s">
        <v>712</v>
      </c>
      <c r="D5014" t="s">
        <v>723</v>
      </c>
      <c r="E5014" s="2">
        <v>0.77100000000000002</v>
      </c>
    </row>
    <row r="5015" spans="1:5" x14ac:dyDescent="0.25">
      <c r="A5015" s="32" t="s">
        <v>767</v>
      </c>
      <c r="B5015" s="7">
        <v>1999</v>
      </c>
      <c r="C5015" s="51" t="s">
        <v>710</v>
      </c>
      <c r="D5015" t="s">
        <v>723</v>
      </c>
      <c r="E5015" s="2">
        <v>0.86599999999999999</v>
      </c>
    </row>
    <row r="5016" spans="1:5" x14ac:dyDescent="0.25">
      <c r="A5016" s="32" t="s">
        <v>767</v>
      </c>
      <c r="B5016" s="7">
        <v>1999</v>
      </c>
      <c r="C5016" s="51" t="s">
        <v>702</v>
      </c>
      <c r="D5016" t="s">
        <v>723</v>
      </c>
      <c r="E5016" s="2">
        <v>0.89400000000000002</v>
      </c>
    </row>
    <row r="5017" spans="1:5" x14ac:dyDescent="0.25">
      <c r="A5017" s="32" t="s">
        <v>767</v>
      </c>
      <c r="B5017" s="7">
        <v>1999</v>
      </c>
      <c r="C5017" s="51" t="s">
        <v>703</v>
      </c>
      <c r="D5017" t="s">
        <v>723</v>
      </c>
      <c r="E5017" s="2">
        <v>0.57999999999999996</v>
      </c>
    </row>
    <row r="5018" spans="1:5" x14ac:dyDescent="0.25">
      <c r="A5018" s="32" t="s">
        <v>767</v>
      </c>
      <c r="B5018" s="7">
        <v>1999</v>
      </c>
      <c r="C5018" s="51" t="s">
        <v>704</v>
      </c>
      <c r="D5018" t="s">
        <v>723</v>
      </c>
      <c r="E5018" s="2">
        <v>0.90800000000000003</v>
      </c>
    </row>
    <row r="5019" spans="1:5" x14ac:dyDescent="0.25">
      <c r="A5019" s="32" t="s">
        <v>767</v>
      </c>
      <c r="B5019" s="7">
        <v>1999</v>
      </c>
      <c r="C5019" s="51" t="s">
        <v>705</v>
      </c>
      <c r="D5019" t="s">
        <v>723</v>
      </c>
      <c r="E5019" s="2">
        <v>0.78900000000000003</v>
      </c>
    </row>
    <row r="5020" spans="1:5" x14ac:dyDescent="0.25">
      <c r="A5020" s="32" t="s">
        <v>767</v>
      </c>
      <c r="B5020" s="7">
        <v>1999</v>
      </c>
      <c r="C5020" s="51" t="s">
        <v>706</v>
      </c>
      <c r="D5020" t="s">
        <v>723</v>
      </c>
      <c r="E5020" s="2">
        <v>0.59899999999999998</v>
      </c>
    </row>
    <row r="5021" spans="1:5" x14ac:dyDescent="0.25">
      <c r="A5021" s="32" t="s">
        <v>767</v>
      </c>
      <c r="B5021" s="7">
        <v>2000</v>
      </c>
      <c r="C5021" s="51" t="s">
        <v>713</v>
      </c>
      <c r="D5021" t="s">
        <v>723</v>
      </c>
      <c r="E5021" s="2">
        <v>0.56100000000000005</v>
      </c>
    </row>
    <row r="5022" spans="1:5" x14ac:dyDescent="0.25">
      <c r="A5022" s="32" t="s">
        <v>767</v>
      </c>
      <c r="B5022" s="7">
        <v>2000</v>
      </c>
      <c r="C5022" s="51" t="s">
        <v>707</v>
      </c>
      <c r="D5022" t="s">
        <v>723</v>
      </c>
      <c r="E5022" s="2">
        <v>0.68899999999999995</v>
      </c>
    </row>
    <row r="5023" spans="1:5" x14ac:dyDescent="0.25">
      <c r="A5023" s="32" t="s">
        <v>767</v>
      </c>
      <c r="B5023" s="7">
        <v>2000</v>
      </c>
      <c r="C5023" s="51" t="s">
        <v>708</v>
      </c>
      <c r="D5023" t="s">
        <v>723</v>
      </c>
      <c r="E5023" s="2">
        <v>1.1950000000000001</v>
      </c>
    </row>
    <row r="5024" spans="1:5" x14ac:dyDescent="0.25">
      <c r="A5024" s="32" t="s">
        <v>767</v>
      </c>
      <c r="B5024" s="7">
        <v>2000</v>
      </c>
      <c r="C5024" s="51" t="s">
        <v>699</v>
      </c>
      <c r="D5024" t="s">
        <v>723</v>
      </c>
      <c r="E5024" s="2">
        <v>1.1240000000000001</v>
      </c>
    </row>
    <row r="5025" spans="1:5" x14ac:dyDescent="0.25">
      <c r="A5025" s="32" t="s">
        <v>767</v>
      </c>
      <c r="B5025" s="7">
        <v>2000</v>
      </c>
      <c r="C5025" s="51" t="s">
        <v>709</v>
      </c>
      <c r="D5025" t="s">
        <v>723</v>
      </c>
      <c r="E5025" s="2">
        <v>1.2130000000000001</v>
      </c>
    </row>
    <row r="5026" spans="1:5" x14ac:dyDescent="0.25">
      <c r="A5026" s="32" t="s">
        <v>767</v>
      </c>
      <c r="B5026" s="7">
        <v>2000</v>
      </c>
      <c r="C5026" s="51" t="s">
        <v>712</v>
      </c>
      <c r="D5026" t="s">
        <v>723</v>
      </c>
      <c r="E5026" s="2">
        <v>1.3580000000000001</v>
      </c>
    </row>
    <row r="5027" spans="1:5" x14ac:dyDescent="0.25">
      <c r="A5027" s="32" t="s">
        <v>767</v>
      </c>
      <c r="B5027" s="7">
        <v>2000</v>
      </c>
      <c r="C5027" s="51" t="s">
        <v>710</v>
      </c>
      <c r="D5027" t="s">
        <v>723</v>
      </c>
      <c r="E5027" s="2">
        <v>1.31</v>
      </c>
    </row>
    <row r="5028" spans="1:5" x14ac:dyDescent="0.25">
      <c r="A5028" s="32" t="s">
        <v>767</v>
      </c>
      <c r="B5028" s="7">
        <v>2000</v>
      </c>
      <c r="C5028" s="51" t="s">
        <v>702</v>
      </c>
      <c r="D5028" t="s">
        <v>723</v>
      </c>
      <c r="E5028" s="2">
        <v>1.282</v>
      </c>
    </row>
    <row r="5029" spans="1:5" x14ac:dyDescent="0.25">
      <c r="A5029" s="32" t="s">
        <v>767</v>
      </c>
      <c r="B5029" s="7">
        <v>2000</v>
      </c>
      <c r="C5029" s="51" t="s">
        <v>703</v>
      </c>
      <c r="D5029" t="s">
        <v>723</v>
      </c>
      <c r="E5029" s="2">
        <v>1.2</v>
      </c>
    </row>
    <row r="5030" spans="1:5" x14ac:dyDescent="0.25">
      <c r="A5030" s="32" t="s">
        <v>767</v>
      </c>
      <c r="B5030" s="7">
        <v>2000</v>
      </c>
      <c r="C5030" s="51" t="s">
        <v>704</v>
      </c>
      <c r="D5030" t="s">
        <v>723</v>
      </c>
      <c r="E5030" s="2">
        <v>1.492</v>
      </c>
    </row>
    <row r="5031" spans="1:5" x14ac:dyDescent="0.25">
      <c r="A5031" s="32" t="s">
        <v>767</v>
      </c>
      <c r="B5031" s="7">
        <v>2000</v>
      </c>
      <c r="C5031" s="51" t="s">
        <v>705</v>
      </c>
      <c r="D5031" t="s">
        <v>723</v>
      </c>
      <c r="E5031" s="2">
        <v>1.8759999999999999</v>
      </c>
    </row>
    <row r="5032" spans="1:5" x14ac:dyDescent="0.25">
      <c r="A5032" s="32" t="s">
        <v>767</v>
      </c>
      <c r="B5032" s="7">
        <v>2000</v>
      </c>
      <c r="C5032" s="51" t="s">
        <v>706</v>
      </c>
      <c r="D5032" t="s">
        <v>723</v>
      </c>
      <c r="E5032" s="2">
        <v>2.19</v>
      </c>
    </row>
    <row r="5033" spans="1:5" x14ac:dyDescent="0.25">
      <c r="A5033" s="32" t="s">
        <v>767</v>
      </c>
      <c r="B5033" s="7">
        <v>2001</v>
      </c>
      <c r="C5033" s="51" t="s">
        <v>713</v>
      </c>
      <c r="D5033" t="s">
        <v>723</v>
      </c>
      <c r="E5033" s="2">
        <v>2.056</v>
      </c>
    </row>
    <row r="5034" spans="1:5" x14ac:dyDescent="0.25">
      <c r="A5034" s="32" t="s">
        <v>767</v>
      </c>
      <c r="B5034" s="7">
        <v>2001</v>
      </c>
      <c r="C5034" s="51" t="s">
        <v>707</v>
      </c>
      <c r="D5034" t="s">
        <v>723</v>
      </c>
      <c r="E5034" s="2">
        <v>1.7609999999999999</v>
      </c>
    </row>
    <row r="5035" spans="1:5" x14ac:dyDescent="0.25">
      <c r="A5035" s="32" t="s">
        <v>767</v>
      </c>
      <c r="B5035" s="7">
        <v>2001</v>
      </c>
      <c r="C5035" s="51" t="s">
        <v>708</v>
      </c>
      <c r="D5035" t="s">
        <v>723</v>
      </c>
      <c r="E5035" s="2">
        <v>2.004</v>
      </c>
    </row>
    <row r="5036" spans="1:5" x14ac:dyDescent="0.25">
      <c r="A5036" s="32" t="s">
        <v>767</v>
      </c>
      <c r="B5036" s="7">
        <v>2001</v>
      </c>
      <c r="C5036" s="51" t="s">
        <v>699</v>
      </c>
      <c r="D5036" t="s">
        <v>723</v>
      </c>
      <c r="E5036" s="2">
        <v>1.8080000000000001</v>
      </c>
    </row>
    <row r="5037" spans="1:5" x14ac:dyDescent="0.25">
      <c r="A5037" s="32" t="s">
        <v>767</v>
      </c>
      <c r="B5037" s="7">
        <v>2001</v>
      </c>
      <c r="C5037" s="51" t="s">
        <v>709</v>
      </c>
      <c r="D5037" t="s">
        <v>723</v>
      </c>
      <c r="E5037" s="2">
        <v>2.016</v>
      </c>
    </row>
    <row r="5038" spans="1:5" x14ac:dyDescent="0.25">
      <c r="A5038" s="32" t="s">
        <v>767</v>
      </c>
      <c r="B5038" s="7">
        <v>2001</v>
      </c>
      <c r="C5038" s="51" t="s">
        <v>712</v>
      </c>
      <c r="D5038" t="s">
        <v>723</v>
      </c>
      <c r="E5038" s="2">
        <v>1.8680000000000001</v>
      </c>
    </row>
    <row r="5039" spans="1:5" x14ac:dyDescent="0.25">
      <c r="A5039" s="32" t="s">
        <v>767</v>
      </c>
      <c r="B5039" s="7">
        <v>2001</v>
      </c>
      <c r="C5039" s="51" t="s">
        <v>710</v>
      </c>
      <c r="D5039" t="s">
        <v>723</v>
      </c>
      <c r="E5039" s="2">
        <v>1.903</v>
      </c>
    </row>
    <row r="5040" spans="1:5" x14ac:dyDescent="0.25">
      <c r="A5040" s="32" t="s">
        <v>767</v>
      </c>
      <c r="B5040" s="7">
        <v>2001</v>
      </c>
      <c r="C5040" s="51" t="s">
        <v>702</v>
      </c>
      <c r="D5040" t="s">
        <v>723</v>
      </c>
      <c r="E5040" s="2">
        <v>1.93</v>
      </c>
    </row>
    <row r="5041" spans="1:5" x14ac:dyDescent="0.25">
      <c r="A5041" s="32" t="s">
        <v>767</v>
      </c>
      <c r="B5041" s="7">
        <v>2001</v>
      </c>
      <c r="C5041" s="51" t="s">
        <v>703</v>
      </c>
      <c r="D5041" t="s">
        <v>723</v>
      </c>
      <c r="E5041" s="2">
        <v>1.972</v>
      </c>
    </row>
    <row r="5042" spans="1:5" x14ac:dyDescent="0.25">
      <c r="A5042" s="32" t="s">
        <v>767</v>
      </c>
      <c r="B5042" s="7">
        <v>2001</v>
      </c>
      <c r="C5042" s="51" t="s">
        <v>704</v>
      </c>
      <c r="D5042" t="s">
        <v>723</v>
      </c>
      <c r="E5042" s="2">
        <v>2.0390000000000001</v>
      </c>
    </row>
    <row r="5043" spans="1:5" x14ac:dyDescent="0.25">
      <c r="A5043" s="32" t="s">
        <v>767</v>
      </c>
      <c r="B5043" s="7">
        <v>2001</v>
      </c>
      <c r="C5043" s="51" t="s">
        <v>705</v>
      </c>
      <c r="D5043" t="s">
        <v>723</v>
      </c>
      <c r="E5043" s="2">
        <v>2.105</v>
      </c>
    </row>
    <row r="5044" spans="1:5" x14ac:dyDescent="0.25">
      <c r="A5044" s="32" t="s">
        <v>767</v>
      </c>
      <c r="B5044" s="7">
        <v>2001</v>
      </c>
      <c r="C5044" s="51" t="s">
        <v>706</v>
      </c>
      <c r="D5044" t="s">
        <v>723</v>
      </c>
      <c r="E5044" s="2">
        <v>2.3610000000000002</v>
      </c>
    </row>
    <row r="5045" spans="1:5" x14ac:dyDescent="0.25">
      <c r="A5045" s="32" t="s">
        <v>767</v>
      </c>
      <c r="B5045" s="7">
        <v>2002</v>
      </c>
      <c r="C5045" s="51" t="s">
        <v>713</v>
      </c>
      <c r="D5045" t="s">
        <v>723</v>
      </c>
      <c r="E5045" s="2">
        <v>2.145</v>
      </c>
    </row>
    <row r="5046" spans="1:5" x14ac:dyDescent="0.25">
      <c r="A5046" s="32" t="s">
        <v>767</v>
      </c>
      <c r="B5046" s="7">
        <v>2002</v>
      </c>
      <c r="C5046" s="51" t="s">
        <v>707</v>
      </c>
      <c r="D5046" t="s">
        <v>723</v>
      </c>
      <c r="E5046" s="2">
        <v>1.905</v>
      </c>
    </row>
    <row r="5047" spans="1:5" x14ac:dyDescent="0.25">
      <c r="A5047" s="32" t="s">
        <v>767</v>
      </c>
      <c r="B5047" s="7">
        <v>2002</v>
      </c>
      <c r="C5047" s="51" t="s">
        <v>708</v>
      </c>
      <c r="D5047" t="s">
        <v>723</v>
      </c>
      <c r="E5047" s="2">
        <v>2.294</v>
      </c>
    </row>
    <row r="5048" spans="1:5" x14ac:dyDescent="0.25">
      <c r="A5048" s="32" t="s">
        <v>767</v>
      </c>
      <c r="B5048" s="7">
        <v>2002</v>
      </c>
      <c r="C5048" s="51" t="s">
        <v>699</v>
      </c>
      <c r="D5048" t="s">
        <v>723</v>
      </c>
      <c r="E5048" s="2">
        <v>2.12</v>
      </c>
    </row>
    <row r="5049" spans="1:5" x14ac:dyDescent="0.25">
      <c r="A5049" s="32" t="s">
        <v>767</v>
      </c>
      <c r="B5049" s="7">
        <v>2002</v>
      </c>
      <c r="C5049" s="51" t="s">
        <v>709</v>
      </c>
      <c r="D5049" t="s">
        <v>723</v>
      </c>
      <c r="E5049" s="2">
        <v>2.2970000000000002</v>
      </c>
    </row>
    <row r="5050" spans="1:5" x14ac:dyDescent="0.25">
      <c r="A5050" s="32" t="s">
        <v>767</v>
      </c>
      <c r="B5050" s="7">
        <v>2002</v>
      </c>
      <c r="C5050" s="51" t="s">
        <v>712</v>
      </c>
      <c r="D5050" t="s">
        <v>723</v>
      </c>
      <c r="E5050" s="2">
        <v>2.4140000000000001</v>
      </c>
    </row>
    <row r="5051" spans="1:5" x14ac:dyDescent="0.25">
      <c r="A5051" s="32" t="s">
        <v>767</v>
      </c>
      <c r="B5051" s="7">
        <v>2002</v>
      </c>
      <c r="C5051" s="51" t="s">
        <v>710</v>
      </c>
      <c r="D5051" t="s">
        <v>723</v>
      </c>
      <c r="E5051" s="2">
        <v>2.391</v>
      </c>
    </row>
    <row r="5052" spans="1:5" x14ac:dyDescent="0.25">
      <c r="A5052" s="32" t="s">
        <v>767</v>
      </c>
      <c r="B5052" s="7">
        <v>2002</v>
      </c>
      <c r="C5052" s="51" t="s">
        <v>702</v>
      </c>
      <c r="D5052" t="s">
        <v>723</v>
      </c>
      <c r="E5052" s="2">
        <v>2.06</v>
      </c>
    </row>
    <row r="5053" spans="1:5" x14ac:dyDescent="0.25">
      <c r="A5053" s="32" t="s">
        <v>767</v>
      </c>
      <c r="B5053" s="7">
        <v>2002</v>
      </c>
      <c r="C5053" s="51" t="s">
        <v>703</v>
      </c>
      <c r="D5053" t="s">
        <v>723</v>
      </c>
      <c r="E5053" s="2">
        <v>2.093</v>
      </c>
    </row>
    <row r="5054" spans="1:5" x14ac:dyDescent="0.25">
      <c r="A5054" s="32" t="s">
        <v>767</v>
      </c>
      <c r="B5054" s="7">
        <v>2002</v>
      </c>
      <c r="C5054" s="51" t="s">
        <v>704</v>
      </c>
      <c r="D5054" t="s">
        <v>723</v>
      </c>
      <c r="E5054" s="2">
        <v>2.1549999999999998</v>
      </c>
    </row>
    <row r="5055" spans="1:5" x14ac:dyDescent="0.25">
      <c r="A5055" s="32" t="s">
        <v>767</v>
      </c>
      <c r="B5055" s="7">
        <v>2002</v>
      </c>
      <c r="C5055" s="51" t="s">
        <v>705</v>
      </c>
      <c r="D5055" t="s">
        <v>723</v>
      </c>
      <c r="E5055" s="2">
        <v>1.9530000000000001</v>
      </c>
    </row>
    <row r="5056" spans="1:5" x14ac:dyDescent="0.25">
      <c r="A5056" s="32" t="s">
        <v>767</v>
      </c>
      <c r="B5056" s="7">
        <v>2002</v>
      </c>
      <c r="C5056" s="51" t="s">
        <v>706</v>
      </c>
      <c r="D5056" t="s">
        <v>723</v>
      </c>
      <c r="E5056" s="2">
        <v>2.085</v>
      </c>
    </row>
    <row r="5057" spans="1:5" x14ac:dyDescent="0.25">
      <c r="A5057" s="32" t="s">
        <v>767</v>
      </c>
      <c r="B5057" s="7">
        <v>2003</v>
      </c>
      <c r="C5057" s="51" t="s">
        <v>713</v>
      </c>
      <c r="D5057" t="s">
        <v>723</v>
      </c>
      <c r="E5057" s="2">
        <v>2.177</v>
      </c>
    </row>
    <row r="5058" spans="1:5" x14ac:dyDescent="0.25">
      <c r="A5058" s="32" t="s">
        <v>767</v>
      </c>
      <c r="B5058" s="7">
        <v>2003</v>
      </c>
      <c r="C5058" s="51" t="s">
        <v>707</v>
      </c>
      <c r="D5058" t="s">
        <v>723</v>
      </c>
      <c r="E5058" s="2">
        <v>2.512</v>
      </c>
    </row>
    <row r="5059" spans="1:5" x14ac:dyDescent="0.25">
      <c r="A5059" s="32" t="s">
        <v>767</v>
      </c>
      <c r="B5059" s="7">
        <v>2003</v>
      </c>
      <c r="C5059" s="51" t="s">
        <v>708</v>
      </c>
      <c r="D5059" t="s">
        <v>723</v>
      </c>
      <c r="E5059" s="2">
        <v>2.7</v>
      </c>
    </row>
    <row r="5060" spans="1:5" x14ac:dyDescent="0.25">
      <c r="A5060" s="32" t="s">
        <v>767</v>
      </c>
      <c r="B5060" s="7">
        <v>2003</v>
      </c>
      <c r="C5060" s="51" t="s">
        <v>699</v>
      </c>
      <c r="D5060" t="s">
        <v>723</v>
      </c>
      <c r="E5060" s="2">
        <v>2.5139999999999998</v>
      </c>
    </row>
    <row r="5061" spans="1:5" x14ac:dyDescent="0.25">
      <c r="A5061" s="32" t="s">
        <v>767</v>
      </c>
      <c r="B5061" s="7">
        <v>2003</v>
      </c>
      <c r="C5061" s="51" t="s">
        <v>709</v>
      </c>
      <c r="D5061" t="s">
        <v>723</v>
      </c>
      <c r="E5061" s="2">
        <v>2.7210000000000001</v>
      </c>
    </row>
    <row r="5062" spans="1:5" x14ac:dyDescent="0.25">
      <c r="A5062" s="32" t="s">
        <v>767</v>
      </c>
      <c r="B5062" s="7">
        <v>2003</v>
      </c>
      <c r="C5062" s="51" t="s">
        <v>712</v>
      </c>
      <c r="D5062" t="s">
        <v>723</v>
      </c>
      <c r="E5062" s="2">
        <v>2.8849999999999998</v>
      </c>
    </row>
    <row r="5063" spans="1:5" x14ac:dyDescent="0.25">
      <c r="A5063" s="32" t="s">
        <v>767</v>
      </c>
      <c r="B5063" s="7">
        <v>2003</v>
      </c>
      <c r="C5063" s="51" t="s">
        <v>710</v>
      </c>
      <c r="D5063" t="s">
        <v>723</v>
      </c>
      <c r="E5063" s="2">
        <v>2.8010000000000002</v>
      </c>
    </row>
    <row r="5064" spans="1:5" x14ac:dyDescent="0.25">
      <c r="A5064" s="32" t="s">
        <v>767</v>
      </c>
      <c r="B5064" s="7">
        <v>2003</v>
      </c>
      <c r="C5064" s="51" t="s">
        <v>702</v>
      </c>
      <c r="D5064" t="s">
        <v>723</v>
      </c>
      <c r="E5064" s="2">
        <v>2.9180000000000001</v>
      </c>
    </row>
    <row r="5065" spans="1:5" x14ac:dyDescent="0.25">
      <c r="A5065" s="32" t="s">
        <v>767</v>
      </c>
      <c r="B5065" s="7">
        <v>2003</v>
      </c>
      <c r="C5065" s="51" t="s">
        <v>703</v>
      </c>
      <c r="D5065" t="s">
        <v>723</v>
      </c>
      <c r="E5065" s="2">
        <v>3.0089999999999999</v>
      </c>
    </row>
    <row r="5066" spans="1:5" x14ac:dyDescent="0.25">
      <c r="A5066" s="32" t="s">
        <v>767</v>
      </c>
      <c r="B5066" s="7">
        <v>2003</v>
      </c>
      <c r="C5066" s="51" t="s">
        <v>704</v>
      </c>
      <c r="D5066" t="s">
        <v>723</v>
      </c>
      <c r="E5066" s="2">
        <v>3.0979999999999999</v>
      </c>
    </row>
    <row r="5067" spans="1:5" x14ac:dyDescent="0.25">
      <c r="A5067" s="32" t="s">
        <v>767</v>
      </c>
      <c r="B5067" s="7">
        <v>2003</v>
      </c>
      <c r="C5067" s="51" t="s">
        <v>705</v>
      </c>
      <c r="D5067" t="s">
        <v>723</v>
      </c>
      <c r="E5067" s="2">
        <v>3.08</v>
      </c>
    </row>
    <row r="5068" spans="1:5" x14ac:dyDescent="0.25">
      <c r="A5068" s="32" t="s">
        <v>767</v>
      </c>
      <c r="B5068" s="7">
        <v>2003</v>
      </c>
      <c r="C5068" s="51" t="s">
        <v>706</v>
      </c>
      <c r="D5068" t="s">
        <v>723</v>
      </c>
      <c r="E5068" s="2">
        <v>2.9929999999999999</v>
      </c>
    </row>
    <row r="5069" spans="1:5" x14ac:dyDescent="0.25">
      <c r="A5069" s="32" t="s">
        <v>767</v>
      </c>
      <c r="B5069" s="7">
        <v>2004</v>
      </c>
      <c r="C5069" s="51" t="s">
        <v>713</v>
      </c>
      <c r="D5069" t="s">
        <v>723</v>
      </c>
      <c r="E5069" s="2">
        <v>2.82</v>
      </c>
    </row>
    <row r="5070" spans="1:5" x14ac:dyDescent="0.25">
      <c r="A5070" s="32" t="s">
        <v>767</v>
      </c>
      <c r="B5070" s="7">
        <v>2004</v>
      </c>
      <c r="C5070" s="51" t="s">
        <v>707</v>
      </c>
      <c r="D5070" t="s">
        <v>723</v>
      </c>
      <c r="E5070" s="2">
        <v>2.6040000000000001</v>
      </c>
    </row>
    <row r="5071" spans="1:5" x14ac:dyDescent="0.25">
      <c r="A5071" s="32" t="s">
        <v>767</v>
      </c>
      <c r="B5071" s="7">
        <v>2004</v>
      </c>
      <c r="C5071" s="51" t="s">
        <v>708</v>
      </c>
      <c r="D5071" t="s">
        <v>723</v>
      </c>
      <c r="E5071" s="2">
        <v>2.649</v>
      </c>
    </row>
    <row r="5072" spans="1:5" x14ac:dyDescent="0.25">
      <c r="A5072" s="32" t="s">
        <v>767</v>
      </c>
      <c r="B5072" s="7">
        <v>2004</v>
      </c>
      <c r="C5072" s="51" t="s">
        <v>699</v>
      </c>
      <c r="D5072" t="s">
        <v>723</v>
      </c>
      <c r="E5072" s="2">
        <v>2.5819999999999999</v>
      </c>
    </row>
    <row r="5073" spans="1:5" x14ac:dyDescent="0.25">
      <c r="A5073" s="32" t="s">
        <v>767</v>
      </c>
      <c r="B5073" s="7">
        <v>2004</v>
      </c>
      <c r="C5073" s="51" t="s">
        <v>709</v>
      </c>
      <c r="D5073" t="s">
        <v>723</v>
      </c>
      <c r="E5073" s="2">
        <v>2.851</v>
      </c>
    </row>
    <row r="5074" spans="1:5" x14ac:dyDescent="0.25">
      <c r="A5074" s="32" t="s">
        <v>767</v>
      </c>
      <c r="B5074" s="7">
        <v>2004</v>
      </c>
      <c r="C5074" s="51" t="s">
        <v>712</v>
      </c>
      <c r="D5074" t="s">
        <v>723</v>
      </c>
      <c r="E5074" s="2">
        <v>2.3420000000000001</v>
      </c>
    </row>
    <row r="5075" spans="1:5" x14ac:dyDescent="0.25">
      <c r="A5075" s="32" t="s">
        <v>767</v>
      </c>
      <c r="B5075" s="7">
        <v>2004</v>
      </c>
      <c r="C5075" s="51" t="s">
        <v>710</v>
      </c>
      <c r="D5075" t="s">
        <v>723</v>
      </c>
      <c r="E5075" s="2">
        <v>1.9430000000000001</v>
      </c>
    </row>
    <row r="5076" spans="1:5" x14ac:dyDescent="0.25">
      <c r="A5076" s="32" t="s">
        <v>767</v>
      </c>
      <c r="B5076" s="7">
        <v>2004</v>
      </c>
      <c r="C5076" s="51" t="s">
        <v>702</v>
      </c>
      <c r="D5076" t="s">
        <v>723</v>
      </c>
      <c r="E5076" s="2">
        <v>1.7170000000000001</v>
      </c>
    </row>
    <row r="5077" spans="1:5" x14ac:dyDescent="0.25">
      <c r="A5077" s="32" t="s">
        <v>767</v>
      </c>
      <c r="B5077" s="7">
        <v>2004</v>
      </c>
      <c r="C5077" s="51" t="s">
        <v>703</v>
      </c>
      <c r="D5077" t="s">
        <v>723</v>
      </c>
      <c r="E5077" s="2">
        <v>1.7929999999999999</v>
      </c>
    </row>
    <row r="5078" spans="1:5" x14ac:dyDescent="0.25">
      <c r="A5078" s="32" t="s">
        <v>767</v>
      </c>
      <c r="B5078" s="7">
        <v>2004</v>
      </c>
      <c r="C5078" s="51" t="s">
        <v>704</v>
      </c>
      <c r="D5078" t="s">
        <v>723</v>
      </c>
      <c r="E5078" s="2">
        <v>1.8520000000000001</v>
      </c>
    </row>
    <row r="5079" spans="1:5" x14ac:dyDescent="0.25">
      <c r="A5079" s="32" t="s">
        <v>767</v>
      </c>
      <c r="B5079" s="7">
        <v>2004</v>
      </c>
      <c r="C5079" s="51" t="s">
        <v>705</v>
      </c>
      <c r="D5079" t="s">
        <v>723</v>
      </c>
      <c r="E5079" s="2">
        <v>1.679</v>
      </c>
    </row>
    <row r="5080" spans="1:5" x14ac:dyDescent="0.25">
      <c r="A5080" s="32" t="s">
        <v>767</v>
      </c>
      <c r="B5080" s="7">
        <v>2004</v>
      </c>
      <c r="C5080" s="51" t="s">
        <v>706</v>
      </c>
      <c r="D5080" t="s">
        <v>723</v>
      </c>
      <c r="E5080" s="2">
        <v>1.69</v>
      </c>
    </row>
    <row r="5081" spans="1:5" x14ac:dyDescent="0.25">
      <c r="A5081" s="32" t="s">
        <v>767</v>
      </c>
      <c r="B5081" s="7">
        <v>2005</v>
      </c>
      <c r="C5081" s="51" t="s">
        <v>713</v>
      </c>
      <c r="D5081" t="s">
        <v>723</v>
      </c>
      <c r="E5081" s="2">
        <v>1.661</v>
      </c>
    </row>
    <row r="5082" spans="1:5" x14ac:dyDescent="0.25">
      <c r="A5082" s="32" t="s">
        <v>767</v>
      </c>
      <c r="B5082" s="7">
        <v>2005</v>
      </c>
      <c r="C5082" s="51" t="s">
        <v>707</v>
      </c>
      <c r="D5082" t="s">
        <v>723</v>
      </c>
      <c r="E5082" s="2">
        <v>1.9039999999999999</v>
      </c>
    </row>
    <row r="5083" spans="1:5" x14ac:dyDescent="0.25">
      <c r="A5083" s="32" t="s">
        <v>767</v>
      </c>
      <c r="B5083" s="7">
        <v>2005</v>
      </c>
      <c r="C5083" s="51" t="s">
        <v>708</v>
      </c>
      <c r="D5083" t="s">
        <v>723</v>
      </c>
      <c r="E5083" s="2">
        <v>2.2810000000000001</v>
      </c>
    </row>
    <row r="5084" spans="1:5" x14ac:dyDescent="0.25">
      <c r="A5084" s="32" t="s">
        <v>767</v>
      </c>
      <c r="B5084" s="7">
        <v>2005</v>
      </c>
      <c r="C5084" s="51" t="s">
        <v>699</v>
      </c>
      <c r="D5084" t="s">
        <v>723</v>
      </c>
      <c r="E5084" s="2">
        <v>1.768</v>
      </c>
    </row>
    <row r="5085" spans="1:5" x14ac:dyDescent="0.25">
      <c r="A5085" s="32" t="s">
        <v>767</v>
      </c>
      <c r="B5085" s="7">
        <v>2005</v>
      </c>
      <c r="C5085" s="51" t="s">
        <v>709</v>
      </c>
      <c r="D5085" t="s">
        <v>723</v>
      </c>
      <c r="E5085" s="2">
        <v>2.2240000000000002</v>
      </c>
    </row>
    <row r="5086" spans="1:5" x14ac:dyDescent="0.25">
      <c r="A5086" s="32" t="s">
        <v>767</v>
      </c>
      <c r="B5086" s="7">
        <v>2005</v>
      </c>
      <c r="C5086" s="51" t="s">
        <v>712</v>
      </c>
      <c r="D5086" t="s">
        <v>723</v>
      </c>
      <c r="E5086" s="2">
        <v>2.6320000000000001</v>
      </c>
    </row>
    <row r="5087" spans="1:5" x14ac:dyDescent="0.25">
      <c r="A5087" s="32" t="s">
        <v>767</v>
      </c>
      <c r="B5087" s="7">
        <v>2005</v>
      </c>
      <c r="C5087" s="51" t="s">
        <v>710</v>
      </c>
      <c r="D5087" t="s">
        <v>723</v>
      </c>
      <c r="E5087" s="2">
        <v>3.044</v>
      </c>
    </row>
    <row r="5088" spans="1:5" x14ac:dyDescent="0.25">
      <c r="A5088" s="32" t="s">
        <v>767</v>
      </c>
      <c r="B5088" s="7">
        <v>2005</v>
      </c>
      <c r="C5088" s="51" t="s">
        <v>702</v>
      </c>
      <c r="D5088" t="s">
        <v>723</v>
      </c>
      <c r="E5088" s="2">
        <v>2.919</v>
      </c>
    </row>
    <row r="5089" spans="1:5" x14ac:dyDescent="0.25">
      <c r="A5089" s="32" t="s">
        <v>767</v>
      </c>
      <c r="B5089" s="7">
        <v>2005</v>
      </c>
      <c r="C5089" s="51" t="s">
        <v>703</v>
      </c>
      <c r="D5089" t="s">
        <v>723</v>
      </c>
      <c r="E5089" s="2">
        <v>1.966</v>
      </c>
    </row>
    <row r="5090" spans="1:5" x14ac:dyDescent="0.25">
      <c r="A5090" s="32" t="s">
        <v>767</v>
      </c>
      <c r="B5090" s="7">
        <v>2005</v>
      </c>
      <c r="C5090" s="51" t="s">
        <v>704</v>
      </c>
      <c r="D5090" t="s">
        <v>723</v>
      </c>
      <c r="E5090" s="2">
        <v>1.853</v>
      </c>
    </row>
    <row r="5091" spans="1:5" x14ac:dyDescent="0.25">
      <c r="A5091" s="32" t="s">
        <v>767</v>
      </c>
      <c r="B5091" s="7">
        <v>2005</v>
      </c>
      <c r="C5091" s="51" t="s">
        <v>705</v>
      </c>
      <c r="D5091" t="s">
        <v>723</v>
      </c>
      <c r="E5091" s="2">
        <v>2.1059999999999999</v>
      </c>
    </row>
    <row r="5092" spans="1:5" x14ac:dyDescent="0.25">
      <c r="A5092" s="32" t="s">
        <v>767</v>
      </c>
      <c r="B5092" s="7">
        <v>2005</v>
      </c>
      <c r="C5092" s="51" t="s">
        <v>706</v>
      </c>
      <c r="D5092" t="s">
        <v>723</v>
      </c>
      <c r="E5092" s="2">
        <v>2.1659999999999999</v>
      </c>
    </row>
    <row r="5093" spans="1:5" x14ac:dyDescent="0.25">
      <c r="A5093" s="32" t="s">
        <v>767</v>
      </c>
      <c r="B5093" s="7">
        <v>2006</v>
      </c>
      <c r="C5093" s="51" t="s">
        <v>713</v>
      </c>
      <c r="D5093" t="s">
        <v>723</v>
      </c>
      <c r="E5093" s="2">
        <v>2.0369999999999999</v>
      </c>
    </row>
    <row r="5094" spans="1:5" x14ac:dyDescent="0.25">
      <c r="A5094" s="32" t="s">
        <v>767</v>
      </c>
      <c r="B5094" s="7">
        <v>2006</v>
      </c>
      <c r="C5094" s="51" t="s">
        <v>707</v>
      </c>
      <c r="D5094" t="s">
        <v>723</v>
      </c>
      <c r="E5094" s="2">
        <v>1.7869999999999999</v>
      </c>
    </row>
    <row r="5095" spans="1:5" x14ac:dyDescent="0.25">
      <c r="A5095" s="32" t="s">
        <v>767</v>
      </c>
      <c r="B5095" s="7">
        <v>2006</v>
      </c>
      <c r="C5095" s="51" t="s">
        <v>708</v>
      </c>
      <c r="D5095" t="s">
        <v>723</v>
      </c>
      <c r="E5095" s="2">
        <v>1.915</v>
      </c>
    </row>
    <row r="5096" spans="1:5" x14ac:dyDescent="0.25">
      <c r="A5096" s="32" t="s">
        <v>767</v>
      </c>
      <c r="B5096" s="7">
        <v>2006</v>
      </c>
      <c r="C5096" s="51" t="s">
        <v>699</v>
      </c>
      <c r="D5096" t="s">
        <v>723</v>
      </c>
      <c r="E5096" s="2">
        <v>1.9450000000000001</v>
      </c>
    </row>
    <row r="5097" spans="1:5" x14ac:dyDescent="0.25">
      <c r="A5097" s="32" t="s">
        <v>767</v>
      </c>
      <c r="B5097" s="7">
        <v>2006</v>
      </c>
      <c r="C5097" s="51" t="s">
        <v>709</v>
      </c>
      <c r="D5097" t="s">
        <v>723</v>
      </c>
      <c r="E5097" s="2">
        <v>2.1429999999999998</v>
      </c>
    </row>
    <row r="5098" spans="1:5" x14ac:dyDescent="0.25">
      <c r="A5098" s="32" t="s">
        <v>767</v>
      </c>
      <c r="B5098" s="7">
        <v>2006</v>
      </c>
      <c r="C5098" s="51" t="s">
        <v>712</v>
      </c>
      <c r="D5098" t="s">
        <v>723</v>
      </c>
      <c r="E5098" s="2">
        <v>1.6850000000000001</v>
      </c>
    </row>
    <row r="5099" spans="1:5" x14ac:dyDescent="0.25">
      <c r="A5099" s="32" t="s">
        <v>767</v>
      </c>
      <c r="B5099" s="7">
        <v>2006</v>
      </c>
      <c r="C5099" s="51" t="s">
        <v>710</v>
      </c>
      <c r="D5099" t="s">
        <v>723</v>
      </c>
      <c r="E5099" s="2">
        <v>2.0209999999999999</v>
      </c>
    </row>
    <row r="5100" spans="1:5" x14ac:dyDescent="0.25">
      <c r="A5100" s="32" t="s">
        <v>767</v>
      </c>
      <c r="B5100" s="7">
        <v>2006</v>
      </c>
      <c r="C5100" s="51" t="s">
        <v>702</v>
      </c>
      <c r="D5100" t="s">
        <v>723</v>
      </c>
      <c r="E5100" s="2">
        <v>2.089</v>
      </c>
    </row>
    <row r="5101" spans="1:5" x14ac:dyDescent="0.25">
      <c r="A5101" s="32" t="s">
        <v>767</v>
      </c>
      <c r="B5101" s="7">
        <v>2006</v>
      </c>
      <c r="C5101" s="51" t="s">
        <v>703</v>
      </c>
      <c r="D5101" t="s">
        <v>723</v>
      </c>
      <c r="E5101" s="2">
        <v>2.262</v>
      </c>
    </row>
    <row r="5102" spans="1:5" x14ac:dyDescent="0.25">
      <c r="A5102" s="32" t="s">
        <v>767</v>
      </c>
      <c r="B5102" s="7">
        <v>2006</v>
      </c>
      <c r="C5102" s="51" t="s">
        <v>704</v>
      </c>
      <c r="D5102" t="s">
        <v>723</v>
      </c>
      <c r="E5102" s="2">
        <v>2.4700000000000002</v>
      </c>
    </row>
    <row r="5103" spans="1:5" x14ac:dyDescent="0.25">
      <c r="A5103" s="32" t="s">
        <v>767</v>
      </c>
      <c r="B5103" s="7">
        <v>2006</v>
      </c>
      <c r="C5103" s="51" t="s">
        <v>705</v>
      </c>
      <c r="D5103" t="s">
        <v>723</v>
      </c>
      <c r="E5103" s="2">
        <v>2.4279999999999999</v>
      </c>
    </row>
    <row r="5104" spans="1:5" x14ac:dyDescent="0.25">
      <c r="A5104" s="32" t="s">
        <v>767</v>
      </c>
      <c r="B5104" s="7">
        <v>2006</v>
      </c>
      <c r="C5104" s="51" t="s">
        <v>706</v>
      </c>
      <c r="D5104" t="s">
        <v>723</v>
      </c>
      <c r="E5104" s="2">
        <v>2.641</v>
      </c>
    </row>
    <row r="5105" spans="1:5" x14ac:dyDescent="0.25">
      <c r="A5105" s="32" t="s">
        <v>767</v>
      </c>
      <c r="B5105" s="7">
        <v>2007</v>
      </c>
      <c r="C5105" s="51" t="s">
        <v>713</v>
      </c>
      <c r="D5105" t="s">
        <v>723</v>
      </c>
      <c r="E5105" s="2">
        <v>2.59</v>
      </c>
    </row>
    <row r="5106" spans="1:5" x14ac:dyDescent="0.25">
      <c r="A5106" s="32" t="s">
        <v>767</v>
      </c>
      <c r="B5106" s="7">
        <v>2007</v>
      </c>
      <c r="C5106" s="51" t="s">
        <v>707</v>
      </c>
      <c r="D5106" t="s">
        <v>723</v>
      </c>
      <c r="E5106" s="2">
        <v>2.012</v>
      </c>
    </row>
    <row r="5107" spans="1:5" x14ac:dyDescent="0.25">
      <c r="A5107" s="32" t="s">
        <v>767</v>
      </c>
      <c r="B5107" s="7">
        <v>2007</v>
      </c>
      <c r="C5107" s="51" t="s">
        <v>708</v>
      </c>
      <c r="D5107" t="s">
        <v>723</v>
      </c>
      <c r="E5107" s="2">
        <v>2.7170000000000001</v>
      </c>
    </row>
    <row r="5108" spans="1:5" x14ac:dyDescent="0.25">
      <c r="A5108" s="32" t="s">
        <v>767</v>
      </c>
      <c r="B5108" s="7">
        <v>2007</v>
      </c>
      <c r="C5108" s="51" t="s">
        <v>699</v>
      </c>
      <c r="D5108" t="s">
        <v>723</v>
      </c>
      <c r="E5108" s="2">
        <v>3.6890000000000001</v>
      </c>
    </row>
    <row r="5109" spans="1:5" x14ac:dyDescent="0.25">
      <c r="A5109" s="32" t="s">
        <v>767</v>
      </c>
      <c r="B5109" s="7">
        <v>2007</v>
      </c>
      <c r="C5109" s="51" t="s">
        <v>709</v>
      </c>
      <c r="D5109" t="s">
        <v>723</v>
      </c>
      <c r="E5109" s="2">
        <v>2.5</v>
      </c>
    </row>
    <row r="5110" spans="1:5" x14ac:dyDescent="0.25">
      <c r="A5110" s="32" t="s">
        <v>767</v>
      </c>
      <c r="B5110" s="7">
        <v>2007</v>
      </c>
      <c r="C5110" s="51" t="s">
        <v>712</v>
      </c>
      <c r="D5110" t="s">
        <v>723</v>
      </c>
      <c r="E5110" s="2">
        <v>2.399</v>
      </c>
    </row>
    <row r="5111" spans="1:5" x14ac:dyDescent="0.25">
      <c r="A5111" s="32" t="s">
        <v>767</v>
      </c>
      <c r="B5111" s="7">
        <v>2007</v>
      </c>
      <c r="C5111" s="51" t="s">
        <v>710</v>
      </c>
      <c r="D5111" t="s">
        <v>723</v>
      </c>
      <c r="E5111" s="2">
        <v>2.4420000000000002</v>
      </c>
    </row>
    <row r="5112" spans="1:5" x14ac:dyDescent="0.25">
      <c r="A5112" s="32" t="s">
        <v>767</v>
      </c>
      <c r="B5112" s="7">
        <v>2007</v>
      </c>
      <c r="C5112" s="51" t="s">
        <v>702</v>
      </c>
      <c r="D5112" t="s">
        <v>723</v>
      </c>
      <c r="E5112" s="2">
        <v>2.4929999999999999</v>
      </c>
    </row>
    <row r="5113" spans="1:5" x14ac:dyDescent="0.25">
      <c r="A5113" s="32" t="s">
        <v>767</v>
      </c>
      <c r="B5113" s="7">
        <v>2007</v>
      </c>
      <c r="C5113" s="51" t="s">
        <v>703</v>
      </c>
      <c r="D5113" t="s">
        <v>723</v>
      </c>
      <c r="E5113" s="2">
        <v>2.5110000000000001</v>
      </c>
    </row>
    <row r="5114" spans="1:5" x14ac:dyDescent="0.25">
      <c r="A5114" s="32" t="s">
        <v>767</v>
      </c>
      <c r="B5114" s="7">
        <v>2007</v>
      </c>
      <c r="C5114" s="51" t="s">
        <v>704</v>
      </c>
      <c r="D5114" t="s">
        <v>723</v>
      </c>
      <c r="E5114" s="2">
        <v>2.46</v>
      </c>
    </row>
    <row r="5115" spans="1:5" x14ac:dyDescent="0.25">
      <c r="A5115" s="32" t="s">
        <v>767</v>
      </c>
      <c r="B5115" s="7">
        <v>2007</v>
      </c>
      <c r="C5115" s="51" t="s">
        <v>705</v>
      </c>
      <c r="D5115" t="s">
        <v>723</v>
      </c>
      <c r="E5115" s="2">
        <v>2.036</v>
      </c>
    </row>
    <row r="5116" spans="1:5" x14ac:dyDescent="0.25">
      <c r="A5116" s="32" t="s">
        <v>767</v>
      </c>
      <c r="B5116" s="7">
        <v>2007</v>
      </c>
      <c r="C5116" s="51" t="s">
        <v>706</v>
      </c>
      <c r="D5116" t="s">
        <v>723</v>
      </c>
      <c r="E5116" s="2">
        <v>1.968</v>
      </c>
    </row>
    <row r="5117" spans="1:5" x14ac:dyDescent="0.25">
      <c r="A5117" s="32" t="s">
        <v>767</v>
      </c>
      <c r="B5117" s="7">
        <v>2008</v>
      </c>
      <c r="C5117" s="51" t="s">
        <v>713</v>
      </c>
      <c r="D5117" t="s">
        <v>723</v>
      </c>
      <c r="E5117" s="2">
        <v>2.0219999999999998</v>
      </c>
    </row>
    <row r="5118" spans="1:5" x14ac:dyDescent="0.25">
      <c r="A5118" s="32" t="s">
        <v>767</v>
      </c>
      <c r="B5118" s="7">
        <v>2008</v>
      </c>
      <c r="C5118" s="51" t="s">
        <v>707</v>
      </c>
      <c r="D5118" t="s">
        <v>723</v>
      </c>
      <c r="E5118" s="2">
        <v>2.8119999999999998</v>
      </c>
    </row>
    <row r="5119" spans="1:5" x14ac:dyDescent="0.25">
      <c r="A5119" s="32" t="s">
        <v>767</v>
      </c>
      <c r="B5119" s="7">
        <v>2008</v>
      </c>
      <c r="C5119" s="51" t="s">
        <v>708</v>
      </c>
      <c r="D5119" t="s">
        <v>723</v>
      </c>
      <c r="E5119" s="2">
        <v>2.4089999999999998</v>
      </c>
    </row>
    <row r="5120" spans="1:5" x14ac:dyDescent="0.25">
      <c r="A5120" s="32" t="s">
        <v>767</v>
      </c>
      <c r="B5120" s="7">
        <v>2008</v>
      </c>
      <c r="C5120" s="51" t="s">
        <v>699</v>
      </c>
      <c r="D5120" t="s">
        <v>723</v>
      </c>
      <c r="E5120" s="2">
        <v>2.79</v>
      </c>
    </row>
    <row r="5121" spans="1:5" x14ac:dyDescent="0.25">
      <c r="A5121" s="32" t="s">
        <v>767</v>
      </c>
      <c r="B5121" s="7">
        <v>2008</v>
      </c>
      <c r="C5121" s="51" t="s">
        <v>709</v>
      </c>
      <c r="D5121" t="s">
        <v>723</v>
      </c>
      <c r="E5121" s="2">
        <v>3.6890000000000001</v>
      </c>
    </row>
    <row r="5122" spans="1:5" x14ac:dyDescent="0.25">
      <c r="A5122" s="32" t="s">
        <v>767</v>
      </c>
      <c r="B5122" s="7">
        <v>2008</v>
      </c>
      <c r="C5122" s="51" t="s">
        <v>712</v>
      </c>
      <c r="D5122" t="s">
        <v>723</v>
      </c>
      <c r="E5122" s="2">
        <v>3.1760000000000002</v>
      </c>
    </row>
    <row r="5123" spans="1:5" x14ac:dyDescent="0.25">
      <c r="A5123" s="32" t="s">
        <v>767</v>
      </c>
      <c r="B5123" s="7">
        <v>2008</v>
      </c>
      <c r="C5123" s="51" t="s">
        <v>710</v>
      </c>
      <c r="D5123" t="s">
        <v>723</v>
      </c>
      <c r="E5123" s="2">
        <v>3.4729999999999999</v>
      </c>
    </row>
    <row r="5124" spans="1:5" x14ac:dyDescent="0.25">
      <c r="A5124" s="32" t="s">
        <v>767</v>
      </c>
      <c r="B5124" s="7">
        <v>2008</v>
      </c>
      <c r="C5124" s="51" t="s">
        <v>702</v>
      </c>
      <c r="D5124" t="s">
        <v>723</v>
      </c>
      <c r="E5124" s="2">
        <v>2.879</v>
      </c>
    </row>
    <row r="5125" spans="1:5" x14ac:dyDescent="0.25">
      <c r="A5125" s="32" t="s">
        <v>767</v>
      </c>
      <c r="B5125" s="7">
        <v>2008</v>
      </c>
      <c r="C5125" s="51" t="s">
        <v>703</v>
      </c>
      <c r="D5125" t="s">
        <v>723</v>
      </c>
      <c r="E5125" s="2">
        <v>2.5720000000000001</v>
      </c>
    </row>
    <row r="5126" spans="1:5" x14ac:dyDescent="0.25">
      <c r="A5126" s="32" t="s">
        <v>767</v>
      </c>
      <c r="B5126" s="7">
        <v>2008</v>
      </c>
      <c r="C5126" s="51" t="s">
        <v>704</v>
      </c>
      <c r="D5126" t="s">
        <v>723</v>
      </c>
      <c r="E5126" s="2">
        <v>2.4489999999999998</v>
      </c>
    </row>
    <row r="5127" spans="1:5" x14ac:dyDescent="0.25">
      <c r="A5127" s="32" t="s">
        <v>767</v>
      </c>
      <c r="B5127" s="7">
        <v>2008</v>
      </c>
      <c r="C5127" s="51" t="s">
        <v>705</v>
      </c>
      <c r="D5127" t="s">
        <v>723</v>
      </c>
      <c r="E5127" s="2">
        <v>1.768</v>
      </c>
    </row>
    <row r="5128" spans="1:5" x14ac:dyDescent="0.25">
      <c r="A5128" s="32" t="s">
        <v>767</v>
      </c>
      <c r="B5128" s="7">
        <v>2008</v>
      </c>
      <c r="C5128" s="51" t="s">
        <v>706</v>
      </c>
      <c r="D5128" t="s">
        <v>723</v>
      </c>
      <c r="E5128" s="2">
        <v>2.0179999999999998</v>
      </c>
    </row>
    <row r="5129" spans="1:5" x14ac:dyDescent="0.25">
      <c r="A5129" s="32" t="s">
        <v>767</v>
      </c>
      <c r="B5129" s="7">
        <v>2009</v>
      </c>
      <c r="C5129" s="51" t="s">
        <v>713</v>
      </c>
      <c r="D5129" t="s">
        <v>723</v>
      </c>
      <c r="E5129" s="2">
        <v>2.9340000000000002</v>
      </c>
    </row>
    <row r="5130" spans="1:5" x14ac:dyDescent="0.25">
      <c r="A5130" s="32" t="s">
        <v>767</v>
      </c>
      <c r="B5130" s="7">
        <v>2009</v>
      </c>
      <c r="C5130" s="51" t="s">
        <v>707</v>
      </c>
      <c r="D5130" t="s">
        <v>723</v>
      </c>
      <c r="E5130" s="2">
        <v>2.6259999999999999</v>
      </c>
    </row>
    <row r="5131" spans="1:5" x14ac:dyDescent="0.25">
      <c r="A5131" s="32" t="s">
        <v>767</v>
      </c>
      <c r="B5131" s="7">
        <v>2009</v>
      </c>
      <c r="C5131" s="51" t="s">
        <v>708</v>
      </c>
      <c r="D5131" t="s">
        <v>723</v>
      </c>
      <c r="E5131" s="2">
        <v>1.839</v>
      </c>
    </row>
    <row r="5132" spans="1:5" x14ac:dyDescent="0.25">
      <c r="A5132" s="32" t="s">
        <v>767</v>
      </c>
      <c r="B5132" s="7">
        <v>2009</v>
      </c>
      <c r="C5132" s="51" t="s">
        <v>699</v>
      </c>
      <c r="D5132" t="s">
        <v>723</v>
      </c>
      <c r="E5132" s="2">
        <v>1.837</v>
      </c>
    </row>
    <row r="5133" spans="1:5" x14ac:dyDescent="0.25">
      <c r="A5133" s="32" t="s">
        <v>767</v>
      </c>
      <c r="B5133" s="7">
        <v>2009</v>
      </c>
      <c r="C5133" s="51" t="s">
        <v>709</v>
      </c>
      <c r="D5133" t="s">
        <v>723</v>
      </c>
      <c r="E5133" s="2">
        <v>2.7559999999999998</v>
      </c>
    </row>
    <row r="5134" spans="1:5" x14ac:dyDescent="0.25">
      <c r="A5134" s="32" t="s">
        <v>767</v>
      </c>
      <c r="B5134" s="7">
        <v>2009</v>
      </c>
      <c r="C5134" s="51" t="s">
        <v>712</v>
      </c>
      <c r="D5134" t="s">
        <v>723</v>
      </c>
      <c r="E5134" s="2">
        <v>2.8730000000000002</v>
      </c>
    </row>
    <row r="5135" spans="1:5" x14ac:dyDescent="0.25">
      <c r="A5135" s="32" t="s">
        <v>767</v>
      </c>
      <c r="B5135" s="7">
        <v>2009</v>
      </c>
      <c r="C5135" s="51" t="s">
        <v>710</v>
      </c>
      <c r="D5135" t="s">
        <v>723</v>
      </c>
      <c r="E5135" s="2">
        <v>3.2040000000000002</v>
      </c>
    </row>
    <row r="5136" spans="1:5" x14ac:dyDescent="0.25">
      <c r="A5136" s="32" t="s">
        <v>767</v>
      </c>
      <c r="B5136" s="7">
        <v>2009</v>
      </c>
      <c r="C5136" s="51" t="s">
        <v>702</v>
      </c>
      <c r="D5136" t="s">
        <v>723</v>
      </c>
      <c r="E5136" s="2">
        <v>2.9780000000000002</v>
      </c>
    </row>
    <row r="5137" spans="1:5" x14ac:dyDescent="0.25">
      <c r="A5137" s="32" t="s">
        <v>767</v>
      </c>
      <c r="B5137" s="7">
        <v>2009</v>
      </c>
      <c r="C5137" s="51" t="s">
        <v>703</v>
      </c>
      <c r="D5137" t="s">
        <v>723</v>
      </c>
      <c r="E5137" s="2">
        <v>2.9780000000000002</v>
      </c>
    </row>
    <row r="5138" spans="1:5" x14ac:dyDescent="0.25">
      <c r="A5138" s="32" t="s">
        <v>767</v>
      </c>
      <c r="B5138" s="7">
        <v>2009</v>
      </c>
      <c r="C5138" s="51" t="s">
        <v>704</v>
      </c>
      <c r="D5138" t="s">
        <v>723</v>
      </c>
      <c r="E5138" s="2">
        <v>2.9929999999999999</v>
      </c>
    </row>
    <row r="5139" spans="1:5" x14ac:dyDescent="0.25">
      <c r="A5139" s="32" t="s">
        <v>767</v>
      </c>
      <c r="B5139" s="7">
        <v>2009</v>
      </c>
      <c r="C5139" s="51" t="s">
        <v>705</v>
      </c>
      <c r="D5139" t="s">
        <v>723</v>
      </c>
      <c r="E5139" s="2">
        <v>2.3719999999999999</v>
      </c>
    </row>
    <row r="5140" spans="1:5" x14ac:dyDescent="0.25">
      <c r="A5140" s="32" t="s">
        <v>767</v>
      </c>
      <c r="B5140" s="7">
        <v>2009</v>
      </c>
      <c r="C5140" s="51" t="s">
        <v>706</v>
      </c>
      <c r="D5140" t="s">
        <v>723</v>
      </c>
      <c r="E5140" s="2">
        <v>2.3969999999999998</v>
      </c>
    </row>
    <row r="5141" spans="1:5" x14ac:dyDescent="0.25">
      <c r="A5141" s="32" t="s">
        <v>767</v>
      </c>
      <c r="B5141" s="7">
        <v>2010</v>
      </c>
      <c r="C5141" s="51" t="s">
        <v>713</v>
      </c>
      <c r="D5141" t="s">
        <v>723</v>
      </c>
      <c r="E5141" s="2">
        <v>1.496</v>
      </c>
    </row>
    <row r="5142" spans="1:5" x14ac:dyDescent="0.25">
      <c r="A5142" s="32" t="s">
        <v>767</v>
      </c>
      <c r="B5142" s="7">
        <v>2010</v>
      </c>
      <c r="C5142" s="51" t="s">
        <v>707</v>
      </c>
      <c r="D5142" t="s">
        <v>723</v>
      </c>
      <c r="E5142" s="2">
        <v>1.631</v>
      </c>
    </row>
    <row r="5143" spans="1:5" x14ac:dyDescent="0.25">
      <c r="A5143" s="32" t="s">
        <v>767</v>
      </c>
      <c r="B5143" s="7">
        <v>2010</v>
      </c>
      <c r="C5143" s="51" t="s">
        <v>708</v>
      </c>
      <c r="D5143" t="s">
        <v>723</v>
      </c>
      <c r="E5143" s="2">
        <v>1.9550000000000001</v>
      </c>
    </row>
    <row r="5144" spans="1:5" x14ac:dyDescent="0.25">
      <c r="A5144" s="32" t="s">
        <v>767</v>
      </c>
      <c r="B5144" s="7">
        <v>2010</v>
      </c>
      <c r="C5144" s="51" t="s">
        <v>699</v>
      </c>
      <c r="D5144" t="s">
        <v>723</v>
      </c>
      <c r="E5144" s="2">
        <v>2.3479999999999999</v>
      </c>
    </row>
    <row r="5145" spans="1:5" x14ac:dyDescent="0.25">
      <c r="A5145" s="32" t="s">
        <v>767</v>
      </c>
      <c r="B5145" s="7">
        <v>2010</v>
      </c>
      <c r="C5145" s="51" t="s">
        <v>709</v>
      </c>
      <c r="D5145" t="s">
        <v>723</v>
      </c>
      <c r="E5145" s="2">
        <v>2.6549999999999998</v>
      </c>
    </row>
    <row r="5146" spans="1:5" x14ac:dyDescent="0.25">
      <c r="A5146" s="32" t="s">
        <v>767</v>
      </c>
      <c r="B5146" s="7">
        <v>2010</v>
      </c>
      <c r="C5146" s="51" t="s">
        <v>712</v>
      </c>
      <c r="D5146" t="s">
        <v>723</v>
      </c>
      <c r="E5146" s="2">
        <v>2.8450000000000002</v>
      </c>
    </row>
    <row r="5147" spans="1:5" x14ac:dyDescent="0.25">
      <c r="A5147" s="32" t="s">
        <v>767</v>
      </c>
      <c r="B5147" s="7">
        <v>2010</v>
      </c>
      <c r="C5147" s="51" t="s">
        <v>710</v>
      </c>
      <c r="D5147" t="s">
        <v>723</v>
      </c>
      <c r="E5147" s="2">
        <v>2.9660000000000002</v>
      </c>
    </row>
    <row r="5148" spans="1:5" x14ac:dyDescent="0.25">
      <c r="A5148" s="32" t="s">
        <v>767</v>
      </c>
      <c r="B5148" s="7">
        <v>2010</v>
      </c>
      <c r="C5148" s="51" t="s">
        <v>702</v>
      </c>
      <c r="D5148" t="s">
        <v>723</v>
      </c>
      <c r="E5148" s="2">
        <v>3.2080000000000002</v>
      </c>
    </row>
    <row r="5149" spans="1:5" x14ac:dyDescent="0.25">
      <c r="A5149" s="32" t="s">
        <v>767</v>
      </c>
      <c r="B5149" s="7">
        <v>2010</v>
      </c>
      <c r="C5149" s="51" t="s">
        <v>703</v>
      </c>
      <c r="D5149" t="s">
        <v>723</v>
      </c>
      <c r="E5149" s="2">
        <v>2.887</v>
      </c>
    </row>
    <row r="5150" spans="1:5" x14ac:dyDescent="0.25">
      <c r="A5150" s="32" t="s">
        <v>767</v>
      </c>
      <c r="B5150" s="7">
        <v>2010</v>
      </c>
      <c r="C5150" s="51" t="s">
        <v>704</v>
      </c>
      <c r="D5150" t="s">
        <v>723</v>
      </c>
      <c r="E5150" s="2">
        <v>2.8940000000000001</v>
      </c>
    </row>
    <row r="5151" spans="1:5" x14ac:dyDescent="0.25">
      <c r="A5151" s="32" t="s">
        <v>767</v>
      </c>
      <c r="B5151" s="7">
        <v>2010</v>
      </c>
      <c r="C5151" s="51" t="s">
        <v>705</v>
      </c>
      <c r="D5151" t="s">
        <v>723</v>
      </c>
      <c r="E5151" s="2">
        <v>2.9220000000000002</v>
      </c>
    </row>
    <row r="5152" spans="1:5" x14ac:dyDescent="0.25">
      <c r="A5152" s="32" t="s">
        <v>767</v>
      </c>
      <c r="B5152" s="7">
        <v>2010</v>
      </c>
      <c r="C5152" s="51" t="s">
        <v>706</v>
      </c>
      <c r="D5152" t="s">
        <v>723</v>
      </c>
      <c r="E5152" s="2">
        <v>3.0089999999999999</v>
      </c>
    </row>
    <row r="5153" spans="1:5" x14ac:dyDescent="0.25">
      <c r="A5153" s="32" t="s">
        <v>767</v>
      </c>
      <c r="B5153" s="7">
        <v>2011</v>
      </c>
      <c r="C5153" s="51" t="s">
        <v>713</v>
      </c>
      <c r="D5153" t="s">
        <v>723</v>
      </c>
      <c r="E5153" s="2">
        <v>3.3220000000000001</v>
      </c>
    </row>
    <row r="5154" spans="1:5" x14ac:dyDescent="0.25">
      <c r="A5154" s="32" t="s">
        <v>767</v>
      </c>
      <c r="B5154" s="7">
        <v>2011</v>
      </c>
      <c r="C5154" s="51" t="s">
        <v>707</v>
      </c>
      <c r="D5154" t="s">
        <v>723</v>
      </c>
      <c r="E5154" s="2">
        <v>2.7160000000000002</v>
      </c>
    </row>
    <row r="5155" spans="1:5" x14ac:dyDescent="0.25">
      <c r="A5155" s="32" t="s">
        <v>767</v>
      </c>
      <c r="B5155" s="7">
        <v>2011</v>
      </c>
      <c r="C5155" s="51" t="s">
        <v>708</v>
      </c>
      <c r="D5155" t="s">
        <v>723</v>
      </c>
      <c r="E5155" s="2">
        <v>2.4460000000000002</v>
      </c>
    </row>
    <row r="5156" spans="1:5" x14ac:dyDescent="0.25">
      <c r="A5156" s="32" t="s">
        <v>767</v>
      </c>
      <c r="B5156" s="7">
        <v>2011</v>
      </c>
      <c r="C5156" s="51" t="s">
        <v>699</v>
      </c>
      <c r="D5156" t="s">
        <v>723</v>
      </c>
      <c r="E5156" s="2">
        <v>2.343</v>
      </c>
    </row>
    <row r="5157" spans="1:5" x14ac:dyDescent="0.25">
      <c r="A5157" s="32" t="s">
        <v>767</v>
      </c>
      <c r="B5157" s="7">
        <v>2011</v>
      </c>
      <c r="C5157" s="51" t="s">
        <v>709</v>
      </c>
      <c r="D5157" t="s">
        <v>723</v>
      </c>
      <c r="E5157" s="2">
        <v>3.3530000000000002</v>
      </c>
    </row>
    <row r="5158" spans="1:5" x14ac:dyDescent="0.25">
      <c r="A5158" s="32" t="s">
        <v>767</v>
      </c>
      <c r="B5158" s="7">
        <v>2011</v>
      </c>
      <c r="C5158" s="51" t="s">
        <v>712</v>
      </c>
      <c r="D5158" t="s">
        <v>723</v>
      </c>
      <c r="E5158" s="2">
        <v>3.488</v>
      </c>
    </row>
    <row r="5159" spans="1:5" x14ac:dyDescent="0.25">
      <c r="A5159" s="32" t="s">
        <v>767</v>
      </c>
      <c r="B5159" s="7">
        <v>2011</v>
      </c>
      <c r="C5159" s="51" t="s">
        <v>710</v>
      </c>
      <c r="D5159" t="s">
        <v>723</v>
      </c>
      <c r="E5159" s="2">
        <v>3.7349999999999999</v>
      </c>
    </row>
    <row r="5160" spans="1:5" x14ac:dyDescent="0.25">
      <c r="A5160" s="32" t="s">
        <v>767</v>
      </c>
      <c r="B5160" s="7">
        <v>2011</v>
      </c>
      <c r="C5160" s="51" t="s">
        <v>702</v>
      </c>
      <c r="D5160" t="s">
        <v>723</v>
      </c>
      <c r="E5160" s="2">
        <v>3.177</v>
      </c>
    </row>
    <row r="5161" spans="1:5" x14ac:dyDescent="0.25">
      <c r="A5161" s="32" t="s">
        <v>767</v>
      </c>
      <c r="B5161" s="7">
        <v>2011</v>
      </c>
      <c r="C5161" s="51" t="s">
        <v>703</v>
      </c>
      <c r="D5161" t="s">
        <v>723</v>
      </c>
      <c r="E5161" s="2">
        <v>2.8260000000000001</v>
      </c>
    </row>
    <row r="5162" spans="1:5" x14ac:dyDescent="0.25">
      <c r="A5162" s="32" t="s">
        <v>767</v>
      </c>
      <c r="B5162" s="7">
        <v>2011</v>
      </c>
      <c r="C5162" s="51" t="s">
        <v>704</v>
      </c>
      <c r="D5162" t="s">
        <v>723</v>
      </c>
      <c r="E5162" s="2">
        <v>2.944</v>
      </c>
    </row>
    <row r="5163" spans="1:5" x14ac:dyDescent="0.25">
      <c r="A5163" s="32" t="s">
        <v>767</v>
      </c>
      <c r="B5163" s="7">
        <v>2011</v>
      </c>
      <c r="C5163" s="51" t="s">
        <v>705</v>
      </c>
      <c r="D5163" t="s">
        <v>723</v>
      </c>
      <c r="E5163" s="2">
        <v>2.7189999999999999</v>
      </c>
    </row>
    <row r="5164" spans="1:5" x14ac:dyDescent="0.25">
      <c r="A5164" s="32" t="s">
        <v>767</v>
      </c>
      <c r="B5164" s="7">
        <v>2011</v>
      </c>
      <c r="C5164" s="51" t="s">
        <v>706</v>
      </c>
      <c r="D5164" t="s">
        <v>723</v>
      </c>
      <c r="E5164" s="2">
        <v>2.633</v>
      </c>
    </row>
    <row r="5165" spans="1:5" x14ac:dyDescent="0.25">
      <c r="A5165" s="32" t="s">
        <v>767</v>
      </c>
      <c r="B5165" s="7">
        <v>2012</v>
      </c>
      <c r="C5165" s="51" t="s">
        <v>713</v>
      </c>
      <c r="D5165" t="s">
        <v>723</v>
      </c>
      <c r="E5165" s="2">
        <v>2.7090000000000001</v>
      </c>
    </row>
    <row r="5166" spans="1:5" x14ac:dyDescent="0.25">
      <c r="A5166" s="32" t="s">
        <v>767</v>
      </c>
      <c r="B5166" s="7">
        <v>2012</v>
      </c>
      <c r="C5166" s="51" t="s">
        <v>707</v>
      </c>
      <c r="D5166" t="s">
        <v>723</v>
      </c>
      <c r="E5166" s="2">
        <v>2.4359999999999999</v>
      </c>
    </row>
    <row r="5167" spans="1:5" x14ac:dyDescent="0.25">
      <c r="A5167" s="32" t="s">
        <v>767</v>
      </c>
      <c r="B5167" s="7">
        <v>2012</v>
      </c>
      <c r="C5167" s="51" t="s">
        <v>708</v>
      </c>
      <c r="D5167" t="s">
        <v>723</v>
      </c>
      <c r="E5167" s="2">
        <v>2.38</v>
      </c>
    </row>
    <row r="5168" spans="1:5" x14ac:dyDescent="0.25">
      <c r="A5168" s="32" t="s">
        <v>767</v>
      </c>
      <c r="B5168" s="7">
        <v>2012</v>
      </c>
      <c r="C5168" s="51" t="s">
        <v>699</v>
      </c>
      <c r="D5168" t="s">
        <v>723</v>
      </c>
      <c r="E5168" s="2">
        <v>2.7229999999999999</v>
      </c>
    </row>
    <row r="5169" spans="1:5" x14ac:dyDescent="0.25">
      <c r="A5169" s="32" t="s">
        <v>767</v>
      </c>
      <c r="B5169" s="7">
        <v>2012</v>
      </c>
      <c r="C5169" s="51" t="s">
        <v>709</v>
      </c>
      <c r="D5169" t="s">
        <v>723</v>
      </c>
      <c r="E5169" s="2">
        <v>2.8740000000000001</v>
      </c>
    </row>
    <row r="5170" spans="1:5" x14ac:dyDescent="0.25">
      <c r="A5170" s="32" t="s">
        <v>767</v>
      </c>
      <c r="B5170" s="7">
        <v>2012</v>
      </c>
      <c r="C5170" s="51" t="s">
        <v>712</v>
      </c>
      <c r="D5170" t="s">
        <v>723</v>
      </c>
      <c r="E5170" s="2">
        <v>2.706</v>
      </c>
    </row>
    <row r="5171" spans="1:5" x14ac:dyDescent="0.25">
      <c r="A5171" s="32" t="s">
        <v>767</v>
      </c>
      <c r="B5171" s="7">
        <v>2012</v>
      </c>
      <c r="C5171" s="51" t="s">
        <v>710</v>
      </c>
      <c r="D5171" t="s">
        <v>723</v>
      </c>
      <c r="E5171" s="2">
        <v>3.0720000000000001</v>
      </c>
    </row>
    <row r="5172" spans="1:5" x14ac:dyDescent="0.25">
      <c r="A5172" s="32" t="s">
        <v>767</v>
      </c>
      <c r="B5172" s="7">
        <v>2012</v>
      </c>
      <c r="C5172" s="51" t="s">
        <v>702</v>
      </c>
      <c r="D5172" t="s">
        <v>723</v>
      </c>
      <c r="E5172" s="2">
        <v>2.859</v>
      </c>
    </row>
    <row r="5173" spans="1:5" x14ac:dyDescent="0.25">
      <c r="A5173" s="32" t="s">
        <v>767</v>
      </c>
      <c r="B5173" s="7">
        <v>2012</v>
      </c>
      <c r="C5173" s="51" t="s">
        <v>703</v>
      </c>
      <c r="D5173" t="s">
        <v>723</v>
      </c>
      <c r="E5173" s="2">
        <v>2.8490000000000002</v>
      </c>
    </row>
    <row r="5174" spans="1:5" x14ac:dyDescent="0.25">
      <c r="A5174" s="32" t="s">
        <v>767</v>
      </c>
      <c r="B5174" s="7">
        <v>2012</v>
      </c>
      <c r="C5174" s="51" t="s">
        <v>704</v>
      </c>
      <c r="D5174" t="s">
        <v>723</v>
      </c>
      <c r="E5174" s="2">
        <v>2.8439999999999999</v>
      </c>
    </row>
    <row r="5175" spans="1:5" x14ac:dyDescent="0.25">
      <c r="A5175" s="32" t="s">
        <v>767</v>
      </c>
      <c r="B5175" s="7">
        <v>2012</v>
      </c>
      <c r="C5175" s="51" t="s">
        <v>705</v>
      </c>
      <c r="D5175" t="s">
        <v>723</v>
      </c>
      <c r="E5175" s="2">
        <v>2.6859999999999999</v>
      </c>
    </row>
    <row r="5176" spans="1:5" x14ac:dyDescent="0.25">
      <c r="A5176" s="32" t="s">
        <v>767</v>
      </c>
      <c r="B5176" s="7">
        <v>2012</v>
      </c>
      <c r="C5176" s="51" t="s">
        <v>706</v>
      </c>
      <c r="D5176" t="s">
        <v>723</v>
      </c>
      <c r="E5176" s="2">
        <v>2.8130000000000002</v>
      </c>
    </row>
    <row r="5177" spans="1:5" x14ac:dyDescent="0.25">
      <c r="A5177" s="32" t="s">
        <v>767</v>
      </c>
      <c r="B5177" s="7">
        <v>2013</v>
      </c>
      <c r="C5177" s="51" t="s">
        <v>713</v>
      </c>
      <c r="D5177" t="s">
        <v>723</v>
      </c>
      <c r="E5177" s="2">
        <v>3.5390000000000001</v>
      </c>
    </row>
    <row r="5178" spans="1:5" x14ac:dyDescent="0.25">
      <c r="A5178" s="32" t="s">
        <v>767</v>
      </c>
      <c r="B5178" s="7">
        <v>2013</v>
      </c>
      <c r="C5178" s="51" t="s">
        <v>707</v>
      </c>
      <c r="D5178" t="s">
        <v>723</v>
      </c>
      <c r="E5178" s="2">
        <v>2.6440000000000001</v>
      </c>
    </row>
    <row r="5179" spans="1:5" x14ac:dyDescent="0.25">
      <c r="A5179" s="32" t="s">
        <v>767</v>
      </c>
      <c r="B5179" s="7">
        <v>2013</v>
      </c>
      <c r="C5179" s="51" t="s">
        <v>708</v>
      </c>
      <c r="D5179" t="s">
        <v>723</v>
      </c>
      <c r="E5179" s="2">
        <v>2.9060000000000001</v>
      </c>
    </row>
    <row r="5180" spans="1:5" x14ac:dyDescent="0.25">
      <c r="A5180" s="32" t="s">
        <v>767</v>
      </c>
      <c r="B5180" s="7">
        <v>2013</v>
      </c>
      <c r="C5180" s="51" t="s">
        <v>699</v>
      </c>
      <c r="D5180" t="s">
        <v>723</v>
      </c>
      <c r="E5180" s="2">
        <v>2.7410000000000001</v>
      </c>
    </row>
    <row r="5181" spans="1:5" x14ac:dyDescent="0.25">
      <c r="A5181" s="32" t="s">
        <v>767</v>
      </c>
      <c r="B5181" s="7">
        <v>2013</v>
      </c>
      <c r="C5181" s="51" t="s">
        <v>709</v>
      </c>
      <c r="D5181" t="s">
        <v>723</v>
      </c>
      <c r="E5181" s="2">
        <v>2.7469999999999999</v>
      </c>
    </row>
    <row r="5182" spans="1:5" x14ac:dyDescent="0.25">
      <c r="A5182" s="32" t="s">
        <v>767</v>
      </c>
      <c r="B5182" s="7">
        <v>2013</v>
      </c>
      <c r="C5182" s="51" t="s">
        <v>712</v>
      </c>
      <c r="D5182" t="s">
        <v>723</v>
      </c>
      <c r="E5182" s="2">
        <v>3.012</v>
      </c>
    </row>
    <row r="5183" spans="1:5" x14ac:dyDescent="0.25">
      <c r="A5183" s="32" t="s">
        <v>767</v>
      </c>
      <c r="B5183" s="7">
        <v>2013</v>
      </c>
      <c r="C5183" s="51" t="s">
        <v>710</v>
      </c>
      <c r="D5183" t="s">
        <v>723</v>
      </c>
      <c r="E5183" s="2">
        <v>2.9580000000000002</v>
      </c>
    </row>
    <row r="5184" spans="1:5" x14ac:dyDescent="0.25">
      <c r="A5184" s="32" t="s">
        <v>767</v>
      </c>
      <c r="B5184" s="7">
        <v>2013</v>
      </c>
      <c r="C5184" s="51" t="s">
        <v>702</v>
      </c>
      <c r="D5184" t="s">
        <v>723</v>
      </c>
      <c r="E5184" s="2">
        <v>1.9830000000000001</v>
      </c>
    </row>
    <row r="5185" spans="1:5" x14ac:dyDescent="0.25">
      <c r="A5185" s="32" t="s">
        <v>767</v>
      </c>
      <c r="B5185" s="7">
        <v>2013</v>
      </c>
      <c r="C5185" s="51" t="s">
        <v>703</v>
      </c>
      <c r="D5185" t="s">
        <v>723</v>
      </c>
      <c r="E5185" s="2">
        <v>2.9489999999999998</v>
      </c>
    </row>
    <row r="5186" spans="1:5" x14ac:dyDescent="0.25">
      <c r="A5186" s="32" t="s">
        <v>767</v>
      </c>
      <c r="B5186" s="7">
        <v>2013</v>
      </c>
      <c r="C5186" s="51" t="s">
        <v>704</v>
      </c>
      <c r="D5186" t="s">
        <v>723</v>
      </c>
      <c r="E5186" s="2">
        <v>3.3820000000000001</v>
      </c>
    </row>
    <row r="5187" spans="1:5" x14ac:dyDescent="0.25">
      <c r="A5187" s="32" t="s">
        <v>767</v>
      </c>
      <c r="B5187" s="7">
        <v>2013</v>
      </c>
      <c r="C5187" s="51" t="s">
        <v>705</v>
      </c>
      <c r="D5187" t="s">
        <v>723</v>
      </c>
      <c r="E5187" s="2">
        <v>2.66</v>
      </c>
    </row>
    <row r="5188" spans="1:5" x14ac:dyDescent="0.25">
      <c r="A5188" s="32" t="s">
        <v>767</v>
      </c>
      <c r="B5188" s="7">
        <v>2013</v>
      </c>
      <c r="C5188" s="51" t="s">
        <v>706</v>
      </c>
      <c r="D5188" t="s">
        <v>723</v>
      </c>
      <c r="E5188" s="2">
        <v>2.6320000000000001</v>
      </c>
    </row>
    <row r="5189" spans="1:5" x14ac:dyDescent="0.25">
      <c r="A5189" s="32" t="s">
        <v>767</v>
      </c>
      <c r="B5189" s="7">
        <v>2014</v>
      </c>
      <c r="C5189" s="51" t="s">
        <v>713</v>
      </c>
      <c r="D5189" t="s">
        <v>723</v>
      </c>
      <c r="E5189" s="2">
        <v>2.742</v>
      </c>
    </row>
    <row r="5190" spans="1:5" x14ac:dyDescent="0.25">
      <c r="A5190" s="32" t="s">
        <v>767</v>
      </c>
      <c r="B5190" s="7">
        <v>2014</v>
      </c>
      <c r="C5190" s="51" t="s">
        <v>707</v>
      </c>
      <c r="D5190" t="s">
        <v>723</v>
      </c>
      <c r="E5190" s="2">
        <v>5.218</v>
      </c>
    </row>
    <row r="5191" spans="1:5" x14ac:dyDescent="0.25">
      <c r="A5191" s="32" t="s">
        <v>767</v>
      </c>
      <c r="B5191" s="7">
        <v>2014</v>
      </c>
      <c r="C5191" s="51" t="s">
        <v>708</v>
      </c>
      <c r="D5191" t="s">
        <v>723</v>
      </c>
      <c r="E5191" s="2">
        <v>2.87</v>
      </c>
    </row>
    <row r="5192" spans="1:5" x14ac:dyDescent="0.25">
      <c r="A5192" s="32" t="s">
        <v>767</v>
      </c>
      <c r="B5192" s="7">
        <v>2014</v>
      </c>
      <c r="C5192" s="51" t="s">
        <v>699</v>
      </c>
      <c r="D5192" t="s">
        <v>723</v>
      </c>
      <c r="E5192" s="2">
        <v>2.4289999999999998</v>
      </c>
    </row>
    <row r="5193" spans="1:5" x14ac:dyDescent="0.25">
      <c r="A5193" s="32" t="s">
        <v>767</v>
      </c>
      <c r="B5193" s="7">
        <v>2014</v>
      </c>
      <c r="C5193" s="51" t="s">
        <v>709</v>
      </c>
      <c r="D5193" t="s">
        <v>723</v>
      </c>
      <c r="E5193" s="2">
        <v>3.5630000000000002</v>
      </c>
    </row>
    <row r="5194" spans="1:5" x14ac:dyDescent="0.25">
      <c r="A5194" s="32" t="s">
        <v>767</v>
      </c>
      <c r="B5194" s="7">
        <v>2014</v>
      </c>
      <c r="C5194" s="51" t="s">
        <v>712</v>
      </c>
      <c r="D5194" t="s">
        <v>723</v>
      </c>
      <c r="E5194" s="2">
        <v>2.6040000000000001</v>
      </c>
    </row>
    <row r="5195" spans="1:5" x14ac:dyDescent="0.25">
      <c r="A5195" s="32" t="s">
        <v>767</v>
      </c>
      <c r="B5195" s="7">
        <v>2014</v>
      </c>
      <c r="C5195" s="51" t="s">
        <v>710</v>
      </c>
      <c r="D5195" t="s">
        <v>723</v>
      </c>
      <c r="E5195" s="2">
        <v>2.657</v>
      </c>
    </row>
    <row r="5196" spans="1:5" x14ac:dyDescent="0.25">
      <c r="A5196" s="32" t="s">
        <v>767</v>
      </c>
      <c r="B5196" s="7">
        <v>2014</v>
      </c>
      <c r="C5196" s="51" t="s">
        <v>702</v>
      </c>
      <c r="D5196" t="s">
        <v>723</v>
      </c>
      <c r="E5196" s="2">
        <v>2.63</v>
      </c>
    </row>
    <row r="5197" spans="1:5" x14ac:dyDescent="0.25">
      <c r="A5197" s="32" t="s">
        <v>767</v>
      </c>
      <c r="B5197" s="7">
        <v>2014</v>
      </c>
      <c r="C5197" s="51" t="s">
        <v>703</v>
      </c>
      <c r="D5197" t="s">
        <v>723</v>
      </c>
      <c r="E5197" s="2">
        <v>2.37</v>
      </c>
    </row>
    <row r="5198" spans="1:5" x14ac:dyDescent="0.25">
      <c r="A5198" s="32" t="s">
        <v>767</v>
      </c>
      <c r="B5198" s="7">
        <v>2014</v>
      </c>
      <c r="C5198" s="51" t="s">
        <v>704</v>
      </c>
      <c r="D5198" t="s">
        <v>723</v>
      </c>
      <c r="E5198" s="2">
        <v>2.456</v>
      </c>
    </row>
    <row r="5199" spans="1:5" x14ac:dyDescent="0.25">
      <c r="A5199" s="32" t="s">
        <v>767</v>
      </c>
      <c r="B5199" s="7">
        <v>2014</v>
      </c>
      <c r="C5199" s="51" t="s">
        <v>705</v>
      </c>
      <c r="D5199" t="s">
        <v>723</v>
      </c>
      <c r="E5199" s="2">
        <v>2.5649999999999999</v>
      </c>
    </row>
    <row r="5200" spans="1:5" x14ac:dyDescent="0.25">
      <c r="A5200" s="32" t="s">
        <v>767</v>
      </c>
      <c r="B5200" s="7">
        <v>2014</v>
      </c>
      <c r="C5200" s="51" t="s">
        <v>706</v>
      </c>
      <c r="D5200" t="s">
        <v>723</v>
      </c>
      <c r="E5200" s="2">
        <v>2.4159999999999999</v>
      </c>
    </row>
    <row r="5201" spans="1:5" x14ac:dyDescent="0.25">
      <c r="A5201" s="32" t="s">
        <v>767</v>
      </c>
      <c r="B5201" s="7">
        <v>2015</v>
      </c>
      <c r="C5201" s="51" t="s">
        <v>713</v>
      </c>
      <c r="D5201" t="s">
        <v>723</v>
      </c>
      <c r="E5201" s="2">
        <v>2.577</v>
      </c>
    </row>
    <row r="5202" spans="1:5" x14ac:dyDescent="0.25">
      <c r="A5202" s="32" t="s">
        <v>767</v>
      </c>
      <c r="B5202" s="7">
        <v>2015</v>
      </c>
      <c r="C5202" s="51" t="s">
        <v>707</v>
      </c>
      <c r="D5202" t="s">
        <v>723</v>
      </c>
      <c r="E5202" s="2">
        <v>2.4359999999999999</v>
      </c>
    </row>
    <row r="5203" spans="1:5" x14ac:dyDescent="0.25">
      <c r="A5203" s="32" t="s">
        <v>767</v>
      </c>
      <c r="B5203" s="7">
        <v>2015</v>
      </c>
      <c r="C5203" s="51" t="s">
        <v>708</v>
      </c>
      <c r="D5203" t="s">
        <v>723</v>
      </c>
      <c r="E5203" s="2">
        <v>2.4449999999999998</v>
      </c>
    </row>
    <row r="5204" spans="1:5" x14ac:dyDescent="0.25">
      <c r="A5204" s="32" t="s">
        <v>767</v>
      </c>
      <c r="B5204" s="7">
        <v>2015</v>
      </c>
      <c r="C5204" s="51" t="s">
        <v>699</v>
      </c>
      <c r="D5204" t="s">
        <v>723</v>
      </c>
      <c r="E5204" s="2">
        <v>2.4289999999999998</v>
      </c>
    </row>
    <row r="5205" spans="1:5" x14ac:dyDescent="0.25">
      <c r="A5205" s="32" t="s">
        <v>767</v>
      </c>
      <c r="B5205" s="7">
        <v>2015</v>
      </c>
      <c r="C5205" s="51" t="s">
        <v>709</v>
      </c>
      <c r="D5205" t="s">
        <v>723</v>
      </c>
      <c r="E5205" s="2">
        <v>2.6539999999999999</v>
      </c>
    </row>
    <row r="5206" spans="1:5" x14ac:dyDescent="0.25">
      <c r="A5206" s="32" t="s">
        <v>767</v>
      </c>
      <c r="B5206" s="7">
        <v>2015</v>
      </c>
      <c r="C5206" s="51" t="s">
        <v>712</v>
      </c>
      <c r="D5206" t="s">
        <v>723</v>
      </c>
      <c r="E5206" s="2">
        <v>2.4990000000000001</v>
      </c>
    </row>
    <row r="5207" spans="1:5" x14ac:dyDescent="0.25">
      <c r="A5207" s="32" t="s">
        <v>767</v>
      </c>
      <c r="B5207" s="7">
        <v>2015</v>
      </c>
      <c r="C5207" s="51" t="s">
        <v>710</v>
      </c>
      <c r="D5207" t="s">
        <v>723</v>
      </c>
      <c r="E5207" s="2">
        <v>2.4940000000000002</v>
      </c>
    </row>
    <row r="5208" spans="1:5" x14ac:dyDescent="0.25">
      <c r="A5208" s="32" t="s">
        <v>767</v>
      </c>
      <c r="B5208" s="7">
        <v>2015</v>
      </c>
      <c r="C5208" s="51" t="s">
        <v>702</v>
      </c>
      <c r="D5208" t="s">
        <v>723</v>
      </c>
      <c r="E5208" s="2">
        <v>2.7250000000000001</v>
      </c>
    </row>
    <row r="5209" spans="1:5" x14ac:dyDescent="0.25">
      <c r="A5209" s="32" t="s">
        <v>767</v>
      </c>
      <c r="B5209" s="7">
        <v>2015</v>
      </c>
      <c r="C5209" s="51" t="s">
        <v>703</v>
      </c>
      <c r="D5209" t="s">
        <v>723</v>
      </c>
      <c r="E5209" s="2">
        <v>2.4369999999999998</v>
      </c>
    </row>
    <row r="5210" spans="1:5" x14ac:dyDescent="0.25">
      <c r="A5210" s="32" t="s">
        <v>767</v>
      </c>
      <c r="B5210" s="7">
        <v>2015</v>
      </c>
      <c r="C5210" s="51" t="s">
        <v>704</v>
      </c>
      <c r="D5210" t="s">
        <v>723</v>
      </c>
      <c r="E5210" s="2">
        <v>2.6640000000000001</v>
      </c>
    </row>
    <row r="5211" spans="1:5" x14ac:dyDescent="0.25">
      <c r="A5211" s="32" t="s">
        <v>767</v>
      </c>
      <c r="B5211" s="7">
        <v>2015</v>
      </c>
      <c r="C5211" s="51" t="s">
        <v>705</v>
      </c>
      <c r="D5211" t="s">
        <v>723</v>
      </c>
      <c r="E5211" s="2">
        <v>2.4649999999999999</v>
      </c>
    </row>
    <row r="5212" spans="1:5" x14ac:dyDescent="0.25">
      <c r="A5212" s="32" t="s">
        <v>767</v>
      </c>
      <c r="B5212" s="7">
        <v>2015</v>
      </c>
      <c r="C5212" s="51" t="s">
        <v>706</v>
      </c>
      <c r="D5212" t="s">
        <v>723</v>
      </c>
      <c r="E5212" s="2">
        <v>2.589</v>
      </c>
    </row>
    <row r="5213" spans="1:5" x14ac:dyDescent="0.25">
      <c r="A5213" s="32" t="s">
        <v>767</v>
      </c>
      <c r="B5213" s="7">
        <v>2016</v>
      </c>
      <c r="C5213" s="51" t="s">
        <v>713</v>
      </c>
      <c r="D5213" t="s">
        <v>723</v>
      </c>
      <c r="E5213" s="2">
        <v>2.762</v>
      </c>
    </row>
    <row r="5214" spans="1:5" x14ac:dyDescent="0.25">
      <c r="A5214" s="32" t="s">
        <v>767</v>
      </c>
      <c r="B5214" s="7">
        <v>2016</v>
      </c>
      <c r="C5214" s="51" t="s">
        <v>707</v>
      </c>
      <c r="D5214" t="s">
        <v>723</v>
      </c>
      <c r="E5214" s="2">
        <v>2.5419999999999998</v>
      </c>
    </row>
    <row r="5215" spans="1:5" x14ac:dyDescent="0.25">
      <c r="A5215" s="32" t="s">
        <v>767</v>
      </c>
      <c r="B5215" s="7">
        <v>2016</v>
      </c>
      <c r="C5215" s="51" t="s">
        <v>708</v>
      </c>
      <c r="D5215" t="s">
        <v>723</v>
      </c>
      <c r="E5215" s="2">
        <v>2.395</v>
      </c>
    </row>
    <row r="5216" spans="1:5" x14ac:dyDescent="0.25">
      <c r="A5216" s="32" t="s">
        <v>767</v>
      </c>
      <c r="B5216" s="7">
        <v>2016</v>
      </c>
      <c r="C5216" s="51" t="s">
        <v>699</v>
      </c>
      <c r="D5216" t="s">
        <v>723</v>
      </c>
      <c r="E5216" s="2">
        <v>2.4249999999999998</v>
      </c>
    </row>
    <row r="5217" spans="1:5" x14ac:dyDescent="0.25">
      <c r="A5217" s="32" t="s">
        <v>767</v>
      </c>
      <c r="B5217" s="7">
        <v>2016</v>
      </c>
      <c r="C5217" s="51" t="s">
        <v>709</v>
      </c>
      <c r="D5217" t="s">
        <v>723</v>
      </c>
      <c r="E5217" s="2">
        <v>2.4780000000000002</v>
      </c>
    </row>
    <row r="5218" spans="1:5" x14ac:dyDescent="0.25">
      <c r="A5218" s="32" t="s">
        <v>767</v>
      </c>
      <c r="B5218" s="7">
        <v>2016</v>
      </c>
      <c r="C5218" s="51" t="s">
        <v>712</v>
      </c>
      <c r="D5218" t="s">
        <v>723</v>
      </c>
      <c r="E5218" s="2">
        <v>2.5339999999999998</v>
      </c>
    </row>
    <row r="5219" spans="1:5" x14ac:dyDescent="0.25">
      <c r="A5219" s="32" t="s">
        <v>767</v>
      </c>
      <c r="B5219" s="7">
        <v>2016</v>
      </c>
      <c r="C5219" s="51" t="s">
        <v>710</v>
      </c>
      <c r="D5219" t="s">
        <v>723</v>
      </c>
      <c r="E5219" s="2">
        <v>2.41</v>
      </c>
    </row>
    <row r="5220" spans="1:5" x14ac:dyDescent="0.25">
      <c r="A5220" s="32" t="s">
        <v>767</v>
      </c>
      <c r="B5220" s="7">
        <v>2016</v>
      </c>
      <c r="C5220" s="51" t="s">
        <v>702</v>
      </c>
      <c r="D5220" t="s">
        <v>723</v>
      </c>
      <c r="E5220" s="2">
        <v>2.415</v>
      </c>
    </row>
    <row r="5221" spans="1:5" x14ac:dyDescent="0.25">
      <c r="A5221" s="32" t="s">
        <v>767</v>
      </c>
      <c r="B5221" s="7">
        <v>2016</v>
      </c>
      <c r="C5221" s="51" t="s">
        <v>703</v>
      </c>
      <c r="D5221" t="s">
        <v>723</v>
      </c>
      <c r="E5221" s="2">
        <v>2.27</v>
      </c>
    </row>
    <row r="5222" spans="1:5" x14ac:dyDescent="0.25">
      <c r="A5222" s="32" t="s">
        <v>767</v>
      </c>
      <c r="B5222" s="7">
        <v>2016</v>
      </c>
      <c r="C5222" s="51" t="s">
        <v>704</v>
      </c>
      <c r="D5222" t="s">
        <v>723</v>
      </c>
      <c r="E5222" s="2">
        <v>2.5049999999999999</v>
      </c>
    </row>
    <row r="5223" spans="1:5" x14ac:dyDescent="0.25">
      <c r="A5223" s="32" t="s">
        <v>767</v>
      </c>
      <c r="B5223" s="7">
        <v>2016</v>
      </c>
      <c r="C5223" s="51" t="s">
        <v>705</v>
      </c>
      <c r="D5223" t="s">
        <v>723</v>
      </c>
      <c r="E5223" s="2">
        <v>2.3479999999999999</v>
      </c>
    </row>
    <row r="5224" spans="1:5" x14ac:dyDescent="0.25">
      <c r="A5224" s="32" t="s">
        <v>767</v>
      </c>
      <c r="B5224" s="7">
        <v>2016</v>
      </c>
      <c r="C5224" s="51" t="s">
        <v>706</v>
      </c>
      <c r="D5224" t="s">
        <v>723</v>
      </c>
      <c r="E5224" s="2">
        <v>2.5630000000000002</v>
      </c>
    </row>
    <row r="5225" spans="1:5" x14ac:dyDescent="0.25">
      <c r="A5225" s="32" t="s">
        <v>767</v>
      </c>
      <c r="B5225" s="7">
        <v>2017</v>
      </c>
      <c r="C5225" s="51" t="s">
        <v>713</v>
      </c>
      <c r="D5225" t="s">
        <v>723</v>
      </c>
      <c r="E5225" s="2">
        <v>2.0910000000000002</v>
      </c>
    </row>
    <row r="5226" spans="1:5" x14ac:dyDescent="0.25">
      <c r="A5226" s="32" t="s">
        <v>767</v>
      </c>
      <c r="B5226" s="7">
        <v>2017</v>
      </c>
      <c r="C5226" s="51" t="s">
        <v>707</v>
      </c>
      <c r="D5226" t="s">
        <v>723</v>
      </c>
      <c r="E5226" s="2">
        <v>2.2440000000000002</v>
      </c>
    </row>
    <row r="5227" spans="1:5" x14ac:dyDescent="0.25">
      <c r="A5227" s="32" t="s">
        <v>767</v>
      </c>
      <c r="B5227" s="7">
        <v>2017</v>
      </c>
      <c r="C5227" s="51" t="s">
        <v>708</v>
      </c>
      <c r="D5227" t="s">
        <v>723</v>
      </c>
      <c r="E5227" s="2">
        <v>2.4900000000000002</v>
      </c>
    </row>
    <row r="5228" spans="1:5" x14ac:dyDescent="0.25">
      <c r="A5228" s="32" t="s">
        <v>767</v>
      </c>
      <c r="B5228" s="7">
        <v>2017</v>
      </c>
      <c r="C5228" s="51" t="s">
        <v>699</v>
      </c>
      <c r="D5228" t="s">
        <v>723</v>
      </c>
      <c r="E5228" s="2">
        <v>1.794</v>
      </c>
    </row>
    <row r="5229" spans="1:5" x14ac:dyDescent="0.25">
      <c r="A5229" s="32" t="s">
        <v>767</v>
      </c>
      <c r="B5229" s="7">
        <v>2017</v>
      </c>
      <c r="C5229" s="51" t="s">
        <v>709</v>
      </c>
      <c r="D5229" t="s">
        <v>723</v>
      </c>
      <c r="E5229" s="2">
        <v>2.4900000000000002</v>
      </c>
    </row>
    <row r="5230" spans="1:5" x14ac:dyDescent="0.25">
      <c r="A5230" s="32" t="s">
        <v>767</v>
      </c>
      <c r="B5230" s="7">
        <v>2017</v>
      </c>
      <c r="C5230" s="51" t="s">
        <v>712</v>
      </c>
      <c r="D5230" t="s">
        <v>723</v>
      </c>
      <c r="E5230" s="2">
        <v>2.4900000000000002</v>
      </c>
    </row>
    <row r="5231" spans="1:5" x14ac:dyDescent="0.25">
      <c r="A5231" s="32" t="s">
        <v>767</v>
      </c>
      <c r="B5231" s="7">
        <v>2017</v>
      </c>
      <c r="C5231" s="51" t="s">
        <v>710</v>
      </c>
      <c r="D5231" t="s">
        <v>723</v>
      </c>
      <c r="E5231" s="2">
        <v>2.5720000000000001</v>
      </c>
    </row>
    <row r="5232" spans="1:5" x14ac:dyDescent="0.25">
      <c r="A5232" s="32" t="s">
        <v>767</v>
      </c>
      <c r="B5232" s="7">
        <v>2017</v>
      </c>
      <c r="C5232" s="51" t="s">
        <v>702</v>
      </c>
      <c r="D5232" t="s">
        <v>723</v>
      </c>
      <c r="E5232" s="2">
        <v>3.1080000000000001</v>
      </c>
    </row>
    <row r="5233" spans="1:5" x14ac:dyDescent="0.25">
      <c r="A5233" s="32" t="s">
        <v>767</v>
      </c>
      <c r="B5233" s="7">
        <v>2017</v>
      </c>
      <c r="C5233" s="51" t="s">
        <v>703</v>
      </c>
      <c r="D5233" t="s">
        <v>723</v>
      </c>
      <c r="E5233" s="2">
        <v>2.8220000000000001</v>
      </c>
    </row>
    <row r="5234" spans="1:5" x14ac:dyDescent="0.25">
      <c r="A5234" s="32" t="s">
        <v>767</v>
      </c>
      <c r="B5234" s="7">
        <v>2017</v>
      </c>
      <c r="C5234" s="51" t="s">
        <v>704</v>
      </c>
      <c r="D5234" t="s">
        <v>723</v>
      </c>
      <c r="E5234" s="2">
        <v>3.6259999999999999</v>
      </c>
    </row>
    <row r="5235" spans="1:5" x14ac:dyDescent="0.25">
      <c r="A5235" s="32" t="s">
        <v>767</v>
      </c>
      <c r="B5235" s="7">
        <v>2017</v>
      </c>
      <c r="C5235" s="51" t="s">
        <v>705</v>
      </c>
      <c r="D5235" t="s">
        <v>723</v>
      </c>
      <c r="E5235" s="2">
        <v>4.952</v>
      </c>
    </row>
    <row r="5236" spans="1:5" x14ac:dyDescent="0.25">
      <c r="A5236" s="32" t="s">
        <v>767</v>
      </c>
      <c r="B5236" s="7">
        <v>2017</v>
      </c>
      <c r="C5236" s="51" t="s">
        <v>706</v>
      </c>
      <c r="D5236" t="s">
        <v>723</v>
      </c>
      <c r="E5236" s="2">
        <v>5.4640000000000004</v>
      </c>
    </row>
    <row r="5237" spans="1:5" x14ac:dyDescent="0.25">
      <c r="A5237" s="32" t="s">
        <v>767</v>
      </c>
      <c r="B5237" s="7">
        <v>2018</v>
      </c>
      <c r="C5237" s="51" t="s">
        <v>713</v>
      </c>
      <c r="D5237" t="s">
        <v>723</v>
      </c>
      <c r="E5237" s="2">
        <v>4.59</v>
      </c>
    </row>
    <row r="5238" spans="1:5" x14ac:dyDescent="0.25">
      <c r="A5238" s="32" t="s">
        <v>767</v>
      </c>
      <c r="B5238" s="7">
        <v>2018</v>
      </c>
      <c r="C5238" s="51" t="s">
        <v>707</v>
      </c>
      <c r="D5238" t="s">
        <v>723</v>
      </c>
      <c r="E5238" s="2">
        <v>4.0469999999999997</v>
      </c>
    </row>
    <row r="5239" spans="1:5" x14ac:dyDescent="0.25">
      <c r="A5239" s="32" t="s">
        <v>767</v>
      </c>
      <c r="B5239" s="7">
        <v>2018</v>
      </c>
      <c r="C5239" s="51" t="s">
        <v>708</v>
      </c>
      <c r="D5239" t="s">
        <v>723</v>
      </c>
      <c r="E5239" s="2">
        <v>3.968</v>
      </c>
    </row>
    <row r="5240" spans="1:5" x14ac:dyDescent="0.25">
      <c r="A5240" s="32" t="s">
        <v>767</v>
      </c>
      <c r="B5240" s="7">
        <v>2018</v>
      </c>
      <c r="C5240" s="51" t="s">
        <v>699</v>
      </c>
      <c r="D5240" t="s">
        <v>723</v>
      </c>
      <c r="E5240" s="2">
        <v>3.714</v>
      </c>
    </row>
    <row r="5241" spans="1:5" x14ac:dyDescent="0.25">
      <c r="A5241" s="32" t="s">
        <v>767</v>
      </c>
      <c r="B5241" s="7">
        <v>2018</v>
      </c>
      <c r="C5241" s="51" t="s">
        <v>709</v>
      </c>
      <c r="D5241" t="s">
        <v>723</v>
      </c>
      <c r="E5241" s="2">
        <v>4.3609999999999998</v>
      </c>
    </row>
    <row r="5242" spans="1:5" x14ac:dyDescent="0.25">
      <c r="A5242" s="32" t="s">
        <v>767</v>
      </c>
      <c r="B5242" s="7">
        <v>2018</v>
      </c>
      <c r="C5242" s="51" t="s">
        <v>712</v>
      </c>
      <c r="D5242" t="s">
        <v>723</v>
      </c>
      <c r="E5242" s="2">
        <v>3.9729999999999999</v>
      </c>
    </row>
    <row r="5243" spans="1:5" x14ac:dyDescent="0.25">
      <c r="A5243" s="32" t="s">
        <v>767</v>
      </c>
      <c r="B5243" s="7">
        <v>2018</v>
      </c>
      <c r="C5243" s="51" t="s">
        <v>710</v>
      </c>
      <c r="D5243" t="s">
        <v>723</v>
      </c>
      <c r="E5243" s="2">
        <v>4.0170000000000003</v>
      </c>
    </row>
    <row r="5244" spans="1:5" x14ac:dyDescent="0.25">
      <c r="A5244" s="32" t="s">
        <v>767</v>
      </c>
      <c r="B5244" s="7">
        <v>2018</v>
      </c>
      <c r="C5244" s="51" t="s">
        <v>702</v>
      </c>
      <c r="D5244" t="s">
        <v>723</v>
      </c>
      <c r="E5244" s="2">
        <v>3.742</v>
      </c>
    </row>
    <row r="5245" spans="1:5" x14ac:dyDescent="0.25">
      <c r="A5245" s="32" t="s">
        <v>767</v>
      </c>
      <c r="B5245" s="7">
        <v>2018</v>
      </c>
      <c r="C5245" s="51" t="s">
        <v>703</v>
      </c>
      <c r="D5245" t="s">
        <v>723</v>
      </c>
      <c r="E5245" s="2">
        <v>3.8580000000000001</v>
      </c>
    </row>
    <row r="5246" spans="1:5" x14ac:dyDescent="0.25">
      <c r="A5246" s="32" t="s">
        <v>767</v>
      </c>
      <c r="B5246" s="7">
        <v>2018</v>
      </c>
      <c r="C5246" s="51" t="s">
        <v>704</v>
      </c>
      <c r="D5246" t="s">
        <v>723</v>
      </c>
      <c r="E5246" s="2">
        <v>3.8780000000000001</v>
      </c>
    </row>
    <row r="5247" spans="1:5" x14ac:dyDescent="0.25">
      <c r="A5247" s="32" t="s">
        <v>767</v>
      </c>
      <c r="B5247" s="7">
        <v>2018</v>
      </c>
      <c r="C5247" s="51" t="s">
        <v>705</v>
      </c>
      <c r="D5247" t="s">
        <v>723</v>
      </c>
      <c r="E5247" s="2">
        <v>3.8580000000000001</v>
      </c>
    </row>
    <row r="5248" spans="1:5" x14ac:dyDescent="0.25">
      <c r="A5248" s="32" t="s">
        <v>767</v>
      </c>
      <c r="B5248" s="7">
        <v>2018</v>
      </c>
      <c r="C5248" s="51" t="s">
        <v>706</v>
      </c>
      <c r="D5248" t="s">
        <v>723</v>
      </c>
      <c r="E5248" s="2">
        <v>4.4000000000000004</v>
      </c>
    </row>
    <row r="5249" spans="1:5" x14ac:dyDescent="0.25">
      <c r="A5249" s="32" t="s">
        <v>767</v>
      </c>
      <c r="B5249" s="7">
        <v>2019</v>
      </c>
      <c r="C5249" s="51" t="s">
        <v>713</v>
      </c>
      <c r="D5249" t="s">
        <v>723</v>
      </c>
      <c r="E5249" s="2">
        <v>3.7360000000000002</v>
      </c>
    </row>
    <row r="5250" spans="1:5" x14ac:dyDescent="0.25">
      <c r="A5250" s="32" t="s">
        <v>767</v>
      </c>
      <c r="B5250" s="7">
        <v>2019</v>
      </c>
      <c r="C5250" s="51" t="s">
        <v>707</v>
      </c>
      <c r="D5250" t="s">
        <v>723</v>
      </c>
      <c r="E5250" s="2">
        <v>3.4550000000000001</v>
      </c>
    </row>
    <row r="5251" spans="1:5" x14ac:dyDescent="0.25">
      <c r="A5251" s="32" t="s">
        <v>767</v>
      </c>
      <c r="B5251" s="7">
        <v>2019</v>
      </c>
      <c r="C5251" s="51" t="s">
        <v>708</v>
      </c>
      <c r="D5251" t="s">
        <v>723</v>
      </c>
      <c r="E5251" s="2">
        <v>3.919</v>
      </c>
    </row>
    <row r="5252" spans="1:5" x14ac:dyDescent="0.25">
      <c r="A5252" s="32" t="s">
        <v>767</v>
      </c>
      <c r="B5252" s="7">
        <v>2019</v>
      </c>
      <c r="C5252" s="51" t="s">
        <v>699</v>
      </c>
      <c r="D5252" t="s">
        <v>723</v>
      </c>
      <c r="E5252" s="2">
        <v>3.6720000000000002</v>
      </c>
    </row>
    <row r="5253" spans="1:5" x14ac:dyDescent="0.25">
      <c r="A5253" s="32" t="s">
        <v>767</v>
      </c>
      <c r="B5253" s="7">
        <v>2019</v>
      </c>
      <c r="C5253" s="51" t="s">
        <v>709</v>
      </c>
      <c r="D5253" t="s">
        <v>723</v>
      </c>
      <c r="E5253" s="2">
        <v>4.2169999999999996</v>
      </c>
    </row>
    <row r="5254" spans="1:5" x14ac:dyDescent="0.25">
      <c r="A5254" s="32" t="s">
        <v>767</v>
      </c>
      <c r="B5254" s="7">
        <v>2019</v>
      </c>
      <c r="C5254" s="51" t="s">
        <v>712</v>
      </c>
      <c r="D5254" t="s">
        <v>723</v>
      </c>
      <c r="E5254" s="2">
        <v>4.0309999999999997</v>
      </c>
    </row>
    <row r="5255" spans="1:5" x14ac:dyDescent="0.25">
      <c r="A5255" s="32" t="s">
        <v>767</v>
      </c>
      <c r="B5255" s="7">
        <v>2019</v>
      </c>
      <c r="C5255" s="51" t="s">
        <v>710</v>
      </c>
      <c r="D5255" t="s">
        <v>723</v>
      </c>
      <c r="E5255" s="2">
        <v>4.1050000000000004</v>
      </c>
    </row>
    <row r="5256" spans="1:5" x14ac:dyDescent="0.25">
      <c r="A5256" s="32" t="s">
        <v>767</v>
      </c>
      <c r="B5256" s="7">
        <v>2019</v>
      </c>
      <c r="C5256" s="51" t="s">
        <v>702</v>
      </c>
      <c r="D5256" t="s">
        <v>723</v>
      </c>
      <c r="E5256" s="2">
        <v>3.9710000000000001</v>
      </c>
    </row>
    <row r="5257" spans="1:5" x14ac:dyDescent="0.25">
      <c r="A5257" s="32" t="s">
        <v>767</v>
      </c>
      <c r="B5257" s="7">
        <v>2019</v>
      </c>
      <c r="C5257" s="51" t="s">
        <v>703</v>
      </c>
      <c r="D5257" t="s">
        <v>723</v>
      </c>
      <c r="E5257" s="2">
        <v>4.2530000000000001</v>
      </c>
    </row>
    <row r="5258" spans="1:5" x14ac:dyDescent="0.25">
      <c r="A5258" s="32" t="s">
        <v>767</v>
      </c>
      <c r="B5258" s="7">
        <v>2019</v>
      </c>
      <c r="C5258" s="51" t="s">
        <v>704</v>
      </c>
      <c r="D5258" t="s">
        <v>723</v>
      </c>
      <c r="E5258" s="2">
        <v>3.9020000000000001</v>
      </c>
    </row>
    <row r="5259" spans="1:5" x14ac:dyDescent="0.25">
      <c r="A5259" s="32" t="s">
        <v>767</v>
      </c>
      <c r="B5259" s="7">
        <v>2019</v>
      </c>
      <c r="C5259" s="51" t="s">
        <v>705</v>
      </c>
      <c r="D5259" t="s">
        <v>723</v>
      </c>
      <c r="E5259" s="2">
        <v>3.7930000000000001</v>
      </c>
    </row>
    <row r="5260" spans="1:5" x14ac:dyDescent="0.25">
      <c r="A5260" s="32" t="s">
        <v>767</v>
      </c>
      <c r="B5260" s="7">
        <v>2019</v>
      </c>
      <c r="C5260" s="51" t="s">
        <v>706</v>
      </c>
      <c r="D5260" t="s">
        <v>723</v>
      </c>
      <c r="E5260" s="2">
        <v>3.9590000000000001</v>
      </c>
    </row>
    <row r="5261" spans="1:5" x14ac:dyDescent="0.25">
      <c r="A5261" s="32" t="s">
        <v>767</v>
      </c>
      <c r="B5261" s="7">
        <v>2020</v>
      </c>
      <c r="C5261" s="51" t="s">
        <v>713</v>
      </c>
      <c r="D5261" t="s">
        <v>723</v>
      </c>
      <c r="E5261" s="2">
        <v>3.7570000000000001</v>
      </c>
    </row>
    <row r="5262" spans="1:5" x14ac:dyDescent="0.25">
      <c r="A5262" s="32" t="s">
        <v>767</v>
      </c>
      <c r="B5262" s="7">
        <v>2020</v>
      </c>
      <c r="C5262" s="51" t="s">
        <v>707</v>
      </c>
      <c r="D5262" t="s">
        <v>723</v>
      </c>
      <c r="E5262" s="2">
        <v>3.6040000000000001</v>
      </c>
    </row>
    <row r="5263" spans="1:5" x14ac:dyDescent="0.25">
      <c r="A5263" s="32" t="s">
        <v>767</v>
      </c>
      <c r="B5263" s="7">
        <v>2020</v>
      </c>
      <c r="C5263" s="51" t="s">
        <v>708</v>
      </c>
      <c r="D5263" t="s">
        <v>723</v>
      </c>
      <c r="E5263" s="2">
        <v>4.2140000000000004</v>
      </c>
    </row>
    <row r="5264" spans="1:5" x14ac:dyDescent="0.25">
      <c r="A5264" s="32" t="s">
        <v>767</v>
      </c>
      <c r="B5264" s="7">
        <v>2020</v>
      </c>
      <c r="C5264" s="51" t="s">
        <v>699</v>
      </c>
      <c r="D5264" t="s">
        <v>723</v>
      </c>
      <c r="E5264" s="2">
        <v>4.26</v>
      </c>
    </row>
    <row r="5265" spans="1:5" x14ac:dyDescent="0.25">
      <c r="A5265" s="32" t="s">
        <v>767</v>
      </c>
      <c r="B5265" s="7">
        <v>2020</v>
      </c>
      <c r="C5265" s="51" t="s">
        <v>709</v>
      </c>
      <c r="D5265" t="s">
        <v>723</v>
      </c>
      <c r="E5265" s="2">
        <v>4.3380000000000001</v>
      </c>
    </row>
    <row r="5266" spans="1:5" x14ac:dyDescent="0.25">
      <c r="A5266" s="32" t="s">
        <v>767</v>
      </c>
      <c r="B5266" s="7">
        <v>2020</v>
      </c>
      <c r="C5266" s="51" t="s">
        <v>712</v>
      </c>
      <c r="D5266" t="s">
        <v>723</v>
      </c>
      <c r="E5266" s="2">
        <v>3.9460000000000002</v>
      </c>
    </row>
    <row r="5267" spans="1:5" x14ac:dyDescent="0.25">
      <c r="A5267" s="32" t="s">
        <v>767</v>
      </c>
      <c r="B5267" s="7">
        <v>2020</v>
      </c>
      <c r="C5267" s="51" t="s">
        <v>710</v>
      </c>
      <c r="D5267" t="s">
        <v>723</v>
      </c>
      <c r="E5267" s="2">
        <v>4.2469999999999999</v>
      </c>
    </row>
    <row r="5268" spans="1:5" x14ac:dyDescent="0.25">
      <c r="A5268" s="32" t="s">
        <v>767</v>
      </c>
      <c r="B5268" s="7">
        <v>2020</v>
      </c>
      <c r="C5268" s="51" t="s">
        <v>702</v>
      </c>
      <c r="D5268" t="s">
        <v>723</v>
      </c>
      <c r="E5268" s="2">
        <v>4.1840000000000002</v>
      </c>
    </row>
    <row r="5269" spans="1:5" x14ac:dyDescent="0.25">
      <c r="A5269" s="32" t="s">
        <v>767</v>
      </c>
      <c r="B5269" s="7">
        <v>2020</v>
      </c>
      <c r="C5269" s="51" t="s">
        <v>703</v>
      </c>
      <c r="D5269" t="s">
        <v>723</v>
      </c>
      <c r="E5269" s="2">
        <v>3.93</v>
      </c>
    </row>
    <row r="5270" spans="1:5" x14ac:dyDescent="0.25">
      <c r="A5270" s="32" t="s">
        <v>767</v>
      </c>
      <c r="B5270" s="7">
        <v>2020</v>
      </c>
      <c r="C5270" s="51" t="s">
        <v>704</v>
      </c>
      <c r="D5270" t="s">
        <v>723</v>
      </c>
      <c r="E5270" s="2">
        <v>2.79</v>
      </c>
    </row>
    <row r="5271" spans="1:5" x14ac:dyDescent="0.25">
      <c r="A5271" s="32" t="s">
        <v>767</v>
      </c>
      <c r="B5271" s="7">
        <v>2020</v>
      </c>
      <c r="C5271" s="51" t="s">
        <v>705</v>
      </c>
      <c r="D5271" t="s">
        <v>723</v>
      </c>
      <c r="E5271" s="2">
        <v>2.4910000000000001</v>
      </c>
    </row>
    <row r="5272" spans="1:5" x14ac:dyDescent="0.25">
      <c r="A5272" s="32" t="s">
        <v>767</v>
      </c>
      <c r="B5272" s="7">
        <v>2020</v>
      </c>
      <c r="C5272" s="51" t="s">
        <v>706</v>
      </c>
      <c r="D5272" t="s">
        <v>723</v>
      </c>
      <c r="E5272" s="2">
        <v>2.6989999999999998</v>
      </c>
    </row>
    <row r="5273" spans="1:5" x14ac:dyDescent="0.25">
      <c r="A5273" s="32" t="s">
        <v>767</v>
      </c>
      <c r="B5273" s="7">
        <v>2021</v>
      </c>
      <c r="C5273" s="51" t="s">
        <v>713</v>
      </c>
      <c r="D5273" t="s">
        <v>723</v>
      </c>
      <c r="E5273" s="2">
        <v>2.4159999999999999</v>
      </c>
    </row>
    <row r="5274" spans="1:5" x14ac:dyDescent="0.25">
      <c r="A5274" s="32" t="s">
        <v>767</v>
      </c>
      <c r="B5274" s="7">
        <v>2021</v>
      </c>
      <c r="C5274" s="51" t="s">
        <v>707</v>
      </c>
      <c r="D5274" t="s">
        <v>723</v>
      </c>
      <c r="E5274" s="2">
        <v>2.21</v>
      </c>
    </row>
    <row r="5275" spans="1:5" x14ac:dyDescent="0.25">
      <c r="A5275" s="32" t="s">
        <v>767</v>
      </c>
      <c r="B5275" s="7">
        <v>2021</v>
      </c>
      <c r="C5275" s="51" t="s">
        <v>708</v>
      </c>
      <c r="D5275" t="s">
        <v>723</v>
      </c>
      <c r="E5275" s="2">
        <v>2.415</v>
      </c>
    </row>
    <row r="5276" spans="1:5" x14ac:dyDescent="0.25">
      <c r="A5276" s="32" t="s">
        <v>767</v>
      </c>
      <c r="B5276" s="7">
        <v>2021</v>
      </c>
      <c r="C5276" s="51" t="s">
        <v>699</v>
      </c>
      <c r="D5276" t="s">
        <v>723</v>
      </c>
      <c r="E5276" s="2">
        <v>2.4380000000000002</v>
      </c>
    </row>
    <row r="5277" spans="1:5" x14ac:dyDescent="0.25">
      <c r="A5277" s="32" t="s">
        <v>767</v>
      </c>
      <c r="B5277" s="7">
        <v>2021</v>
      </c>
      <c r="C5277" s="51" t="s">
        <v>709</v>
      </c>
      <c r="D5277" t="s">
        <v>723</v>
      </c>
      <c r="E5277" s="2">
        <v>2.4929999999999999</v>
      </c>
    </row>
    <row r="5278" spans="1:5" x14ac:dyDescent="0.25">
      <c r="A5278" s="32" t="s">
        <v>767</v>
      </c>
      <c r="B5278" s="7">
        <v>2021</v>
      </c>
      <c r="C5278" s="51" t="s">
        <v>712</v>
      </c>
      <c r="D5278" t="s">
        <v>723</v>
      </c>
      <c r="E5278" s="2">
        <v>2.496</v>
      </c>
    </row>
    <row r="5279" spans="1:5" x14ac:dyDescent="0.25">
      <c r="A5279" s="32" t="s">
        <v>767</v>
      </c>
      <c r="B5279" s="7">
        <v>2021</v>
      </c>
      <c r="C5279" s="51" t="s">
        <v>710</v>
      </c>
      <c r="D5279" t="s">
        <v>723</v>
      </c>
      <c r="E5279" s="2">
        <v>2.5049999999999999</v>
      </c>
    </row>
    <row r="5280" spans="1:5" x14ac:dyDescent="0.25">
      <c r="A5280" s="32" t="s">
        <v>767</v>
      </c>
      <c r="B5280" s="7">
        <v>2021</v>
      </c>
      <c r="C5280" s="51" t="s">
        <v>702</v>
      </c>
      <c r="D5280" t="s">
        <v>723</v>
      </c>
      <c r="E5280" s="2">
        <v>2.621</v>
      </c>
    </row>
    <row r="5281" spans="1:5" x14ac:dyDescent="0.25">
      <c r="A5281" s="32" t="s">
        <v>767</v>
      </c>
      <c r="B5281" s="7">
        <v>2021</v>
      </c>
      <c r="C5281" s="51" t="s">
        <v>703</v>
      </c>
      <c r="D5281" t="s">
        <v>723</v>
      </c>
      <c r="E5281" s="2">
        <v>2.4630000000000001</v>
      </c>
    </row>
    <row r="5282" spans="1:5" x14ac:dyDescent="0.25">
      <c r="A5282" s="32" t="s">
        <v>767</v>
      </c>
      <c r="B5282" s="7">
        <v>2021</v>
      </c>
      <c r="C5282" s="51" t="s">
        <v>704</v>
      </c>
      <c r="D5282" t="s">
        <v>723</v>
      </c>
      <c r="E5282" s="2">
        <v>2.5760000000000001</v>
      </c>
    </row>
    <row r="5283" spans="1:5" x14ac:dyDescent="0.25">
      <c r="A5283" s="32" t="s">
        <v>767</v>
      </c>
      <c r="B5283" s="7">
        <v>2021</v>
      </c>
      <c r="C5283" s="51" t="s">
        <v>705</v>
      </c>
      <c r="D5283" t="s">
        <v>723</v>
      </c>
      <c r="E5283" s="2">
        <v>2.4990000000000001</v>
      </c>
    </row>
    <row r="5284" spans="1:5" x14ac:dyDescent="0.25">
      <c r="A5284" s="32" t="s">
        <v>767</v>
      </c>
      <c r="B5284" s="7">
        <v>2021</v>
      </c>
      <c r="C5284" s="51" t="s">
        <v>706</v>
      </c>
      <c r="D5284" t="s">
        <v>723</v>
      </c>
      <c r="E5284" s="2">
        <v>2.6230000000000002</v>
      </c>
    </row>
    <row r="5285" spans="1:5" x14ac:dyDescent="0.25">
      <c r="A5285" s="32" t="s">
        <v>767</v>
      </c>
      <c r="B5285" s="7">
        <v>2022</v>
      </c>
      <c r="C5285" s="51" t="s">
        <v>713</v>
      </c>
      <c r="D5285" t="s">
        <v>723</v>
      </c>
      <c r="E5285" s="2">
        <v>2.573</v>
      </c>
    </row>
    <row r="5286" spans="1:5" x14ac:dyDescent="0.25">
      <c r="A5286" s="32" t="s">
        <v>767</v>
      </c>
      <c r="B5286" s="7">
        <v>2022</v>
      </c>
      <c r="C5286" s="51" t="s">
        <v>707</v>
      </c>
      <c r="D5286" t="s">
        <v>723</v>
      </c>
      <c r="E5286" s="2">
        <v>2.2309999999999999</v>
      </c>
    </row>
    <row r="5287" spans="1:5" x14ac:dyDescent="0.25">
      <c r="A5287" s="32" t="s">
        <v>767</v>
      </c>
      <c r="B5287" s="7">
        <v>2022</v>
      </c>
      <c r="C5287" s="51" t="s">
        <v>708</v>
      </c>
      <c r="D5287" t="s">
        <v>723</v>
      </c>
      <c r="E5287" s="2">
        <v>2.351</v>
      </c>
    </row>
    <row r="5288" spans="1:5" x14ac:dyDescent="0.25">
      <c r="A5288" s="32" t="s">
        <v>767</v>
      </c>
      <c r="B5288" s="7">
        <v>2022</v>
      </c>
      <c r="C5288" s="51" t="s">
        <v>699</v>
      </c>
      <c r="D5288" t="s">
        <v>723</v>
      </c>
      <c r="E5288" s="2">
        <v>2.2330000000000001</v>
      </c>
    </row>
    <row r="5289" spans="1:5" x14ac:dyDescent="0.25">
      <c r="A5289" s="32" t="s">
        <v>767</v>
      </c>
      <c r="B5289" s="7">
        <v>2022</v>
      </c>
      <c r="C5289" s="51" t="s">
        <v>709</v>
      </c>
      <c r="D5289" t="s">
        <v>723</v>
      </c>
      <c r="E5289" s="2">
        <v>2.6059999999999999</v>
      </c>
    </row>
    <row r="5290" spans="1:5" x14ac:dyDescent="0.25">
      <c r="A5290" s="32" t="s">
        <v>767</v>
      </c>
      <c r="B5290" s="7">
        <v>2022</v>
      </c>
      <c r="C5290" s="51" t="s">
        <v>712</v>
      </c>
      <c r="D5290" t="s">
        <v>723</v>
      </c>
      <c r="E5290" s="2">
        <v>2.444</v>
      </c>
    </row>
    <row r="5291" spans="1:5" x14ac:dyDescent="0.25">
      <c r="A5291" s="32" t="s">
        <v>767</v>
      </c>
      <c r="B5291" s="7">
        <v>2022</v>
      </c>
      <c r="C5291" s="51" t="s">
        <v>710</v>
      </c>
      <c r="D5291" t="s">
        <v>723</v>
      </c>
      <c r="E5291" s="2">
        <v>2.395</v>
      </c>
    </row>
    <row r="5292" spans="1:5" x14ac:dyDescent="0.25">
      <c r="A5292" s="32" t="s">
        <v>767</v>
      </c>
      <c r="B5292" s="7">
        <v>2022</v>
      </c>
      <c r="C5292" s="51" t="s">
        <v>702</v>
      </c>
      <c r="D5292" t="s">
        <v>723</v>
      </c>
      <c r="E5292" s="2">
        <v>2.4550000000000001</v>
      </c>
    </row>
    <row r="5293" spans="1:5" x14ac:dyDescent="0.25">
      <c r="A5293" s="32" t="s">
        <v>767</v>
      </c>
      <c r="B5293" s="7">
        <v>2022</v>
      </c>
      <c r="C5293" s="51" t="s">
        <v>703</v>
      </c>
      <c r="D5293" t="s">
        <v>723</v>
      </c>
      <c r="E5293" s="2">
        <v>2.29</v>
      </c>
    </row>
    <row r="5294" spans="1:5" x14ac:dyDescent="0.25">
      <c r="A5294" s="32" t="s">
        <v>767</v>
      </c>
      <c r="B5294" s="7">
        <v>2022</v>
      </c>
      <c r="C5294" s="51" t="s">
        <v>704</v>
      </c>
      <c r="D5294" t="s">
        <v>723</v>
      </c>
      <c r="E5294" s="2">
        <v>2.331</v>
      </c>
    </row>
    <row r="5295" spans="1:5" x14ac:dyDescent="0.25">
      <c r="A5295" s="32" t="s">
        <v>767</v>
      </c>
      <c r="B5295" s="7">
        <v>2022</v>
      </c>
      <c r="C5295" s="51" t="s">
        <v>705</v>
      </c>
      <c r="D5295" t="s">
        <v>723</v>
      </c>
      <c r="E5295" s="2">
        <v>2.456</v>
      </c>
    </row>
    <row r="5296" spans="1:5" x14ac:dyDescent="0.25">
      <c r="A5296" s="32" t="s">
        <v>767</v>
      </c>
      <c r="B5296" s="7">
        <v>2022</v>
      </c>
      <c r="C5296" s="51" t="s">
        <v>706</v>
      </c>
      <c r="D5296" t="s">
        <v>723</v>
      </c>
      <c r="E5296" s="2">
        <v>2.42</v>
      </c>
    </row>
    <row r="5297" spans="1:5" x14ac:dyDescent="0.25">
      <c r="A5297" s="32" t="s">
        <v>767</v>
      </c>
      <c r="B5297" s="7">
        <v>2023</v>
      </c>
      <c r="C5297" s="51" t="s">
        <v>713</v>
      </c>
      <c r="D5297" t="s">
        <v>723</v>
      </c>
      <c r="E5297" s="2">
        <v>2.242</v>
      </c>
    </row>
    <row r="5298" spans="1:5" x14ac:dyDescent="0.25">
      <c r="A5298" s="32" t="s">
        <v>767</v>
      </c>
      <c r="B5298" s="7">
        <v>2023</v>
      </c>
      <c r="C5298" s="51" t="s">
        <v>707</v>
      </c>
      <c r="D5298" t="s">
        <v>723</v>
      </c>
      <c r="E5298" s="2">
        <v>2.0099999999999998</v>
      </c>
    </row>
    <row r="5299" spans="1:5" x14ac:dyDescent="0.25">
      <c r="A5299" s="32" t="s">
        <v>767</v>
      </c>
      <c r="B5299" s="7">
        <v>2023</v>
      </c>
      <c r="C5299" s="51" t="s">
        <v>708</v>
      </c>
      <c r="D5299" t="s">
        <v>723</v>
      </c>
      <c r="E5299" s="2">
        <v>2.306</v>
      </c>
    </row>
    <row r="5300" spans="1:5" x14ac:dyDescent="0.25">
      <c r="A5300" s="32" t="s">
        <v>767</v>
      </c>
      <c r="B5300" s="7">
        <v>2023</v>
      </c>
      <c r="C5300" s="51" t="s">
        <v>699</v>
      </c>
      <c r="D5300" t="s">
        <v>723</v>
      </c>
      <c r="E5300" s="2">
        <v>2.25</v>
      </c>
    </row>
    <row r="5301" spans="1:5" x14ac:dyDescent="0.25">
      <c r="A5301" s="32" t="s">
        <v>767</v>
      </c>
      <c r="B5301" s="7">
        <v>2023</v>
      </c>
      <c r="C5301" s="51" t="s">
        <v>709</v>
      </c>
      <c r="D5301" t="s">
        <v>723</v>
      </c>
      <c r="E5301" s="2">
        <v>2.39</v>
      </c>
    </row>
    <row r="5302" spans="1:5" x14ac:dyDescent="0.25">
      <c r="A5302" s="32" t="s">
        <v>767</v>
      </c>
      <c r="B5302" s="7">
        <v>2023</v>
      </c>
      <c r="C5302" s="51" t="s">
        <v>712</v>
      </c>
      <c r="D5302" t="s">
        <v>723</v>
      </c>
      <c r="E5302" s="2">
        <v>2.367</v>
      </c>
    </row>
    <row r="5303" spans="1:5" x14ac:dyDescent="0.25">
      <c r="A5303" s="32" t="s">
        <v>767</v>
      </c>
      <c r="B5303" s="7">
        <v>2023</v>
      </c>
      <c r="C5303" s="51" t="s">
        <v>710</v>
      </c>
      <c r="D5303" t="s">
        <v>723</v>
      </c>
      <c r="E5303" s="2">
        <v>2.3130000000000002</v>
      </c>
    </row>
    <row r="5304" spans="1:5" x14ac:dyDescent="0.25">
      <c r="A5304" s="32" t="s">
        <v>767</v>
      </c>
      <c r="B5304" s="7">
        <v>2023</v>
      </c>
      <c r="C5304" s="51" t="s">
        <v>702</v>
      </c>
      <c r="D5304" t="s">
        <v>723</v>
      </c>
      <c r="E5304" s="2">
        <v>2.3090000000000002</v>
      </c>
    </row>
    <row r="5305" spans="1:5" x14ac:dyDescent="0.25">
      <c r="A5305" s="32" t="s">
        <v>767</v>
      </c>
      <c r="B5305" s="7">
        <v>2023</v>
      </c>
      <c r="C5305" s="51" t="s">
        <v>703</v>
      </c>
      <c r="D5305" t="s">
        <v>723</v>
      </c>
      <c r="E5305" s="2">
        <v>2.2709999999999999</v>
      </c>
    </row>
    <row r="5306" spans="1:5" x14ac:dyDescent="0.25">
      <c r="A5306" s="32" t="s">
        <v>767</v>
      </c>
      <c r="B5306" s="7">
        <v>1997</v>
      </c>
      <c r="C5306" s="51" t="s">
        <v>704</v>
      </c>
      <c r="D5306" t="s">
        <v>724</v>
      </c>
      <c r="E5306" s="2">
        <v>0.307</v>
      </c>
    </row>
    <row r="5307" spans="1:5" x14ac:dyDescent="0.25">
      <c r="A5307" s="32" t="s">
        <v>767</v>
      </c>
      <c r="B5307" s="7">
        <v>1997</v>
      </c>
      <c r="C5307" s="51" t="s">
        <v>705</v>
      </c>
      <c r="D5307" t="s">
        <v>724</v>
      </c>
      <c r="E5307" s="2">
        <v>0.22800000000000001</v>
      </c>
    </row>
    <row r="5308" spans="1:5" x14ac:dyDescent="0.25">
      <c r="A5308" s="32" t="s">
        <v>767</v>
      </c>
      <c r="B5308" s="7">
        <v>1997</v>
      </c>
      <c r="C5308" s="51" t="s">
        <v>706</v>
      </c>
      <c r="D5308" t="s">
        <v>724</v>
      </c>
      <c r="E5308" s="2">
        <v>0.60099999999999998</v>
      </c>
    </row>
    <row r="5309" spans="1:5" x14ac:dyDescent="0.25">
      <c r="A5309" s="32" t="s">
        <v>767</v>
      </c>
      <c r="B5309" s="7">
        <v>1998</v>
      </c>
      <c r="C5309" s="51" t="s">
        <v>713</v>
      </c>
      <c r="D5309" t="s">
        <v>724</v>
      </c>
      <c r="E5309" s="2">
        <v>0.57799999999999996</v>
      </c>
    </row>
    <row r="5310" spans="1:5" x14ac:dyDescent="0.25">
      <c r="A5310" s="32" t="s">
        <v>767</v>
      </c>
      <c r="B5310" s="7">
        <v>1998</v>
      </c>
      <c r="C5310" s="51" t="s">
        <v>707</v>
      </c>
      <c r="D5310" t="s">
        <v>724</v>
      </c>
      <c r="E5310" s="2">
        <v>0.47099999999999997</v>
      </c>
    </row>
    <row r="5311" spans="1:5" x14ac:dyDescent="0.25">
      <c r="A5311" s="32" t="s">
        <v>767</v>
      </c>
      <c r="B5311" s="7">
        <v>1998</v>
      </c>
      <c r="C5311" s="51" t="s">
        <v>708</v>
      </c>
      <c r="D5311" t="s">
        <v>724</v>
      </c>
      <c r="E5311" s="2">
        <v>0.53</v>
      </c>
    </row>
    <row r="5312" spans="1:5" x14ac:dyDescent="0.25">
      <c r="A5312" s="32" t="s">
        <v>767</v>
      </c>
      <c r="B5312" s="7">
        <v>1998</v>
      </c>
      <c r="C5312" s="51" t="s">
        <v>699</v>
      </c>
      <c r="D5312" t="s">
        <v>724</v>
      </c>
      <c r="E5312" s="2">
        <v>0.79</v>
      </c>
    </row>
    <row r="5313" spans="1:5" x14ac:dyDescent="0.25">
      <c r="A5313" s="32" t="s">
        <v>767</v>
      </c>
      <c r="B5313" s="7">
        <v>1998</v>
      </c>
      <c r="C5313" s="51" t="s">
        <v>709</v>
      </c>
      <c r="D5313" t="s">
        <v>724</v>
      </c>
      <c r="E5313" s="2">
        <v>1.024</v>
      </c>
    </row>
    <row r="5314" spans="1:5" x14ac:dyDescent="0.25">
      <c r="A5314" s="32" t="s">
        <v>767</v>
      </c>
      <c r="B5314" s="7">
        <v>1998</v>
      </c>
      <c r="C5314" s="51" t="s">
        <v>712</v>
      </c>
      <c r="D5314" t="s">
        <v>724</v>
      </c>
      <c r="E5314" s="2">
        <v>0.74</v>
      </c>
    </row>
    <row r="5315" spans="1:5" x14ac:dyDescent="0.25">
      <c r="A5315" s="32" t="s">
        <v>767</v>
      </c>
      <c r="B5315" s="7">
        <v>1998</v>
      </c>
      <c r="C5315" s="51" t="s">
        <v>710</v>
      </c>
      <c r="D5315" t="s">
        <v>724</v>
      </c>
      <c r="E5315" s="2">
        <v>0.89300000000000002</v>
      </c>
    </row>
    <row r="5316" spans="1:5" x14ac:dyDescent="0.25">
      <c r="A5316" s="32" t="s">
        <v>767</v>
      </c>
      <c r="B5316" s="7">
        <v>1998</v>
      </c>
      <c r="C5316" s="51" t="s">
        <v>702</v>
      </c>
      <c r="D5316" t="s">
        <v>724</v>
      </c>
      <c r="E5316" s="2">
        <v>0.85399999999999998</v>
      </c>
    </row>
    <row r="5317" spans="1:5" x14ac:dyDescent="0.25">
      <c r="A5317" s="32" t="s">
        <v>767</v>
      </c>
      <c r="B5317" s="7">
        <v>1998</v>
      </c>
      <c r="C5317" s="51" t="s">
        <v>703</v>
      </c>
      <c r="D5317" t="s">
        <v>724</v>
      </c>
      <c r="E5317" s="2">
        <v>0.84</v>
      </c>
    </row>
    <row r="5318" spans="1:5" x14ac:dyDescent="0.25">
      <c r="A5318" s="32" t="s">
        <v>767</v>
      </c>
      <c r="B5318" s="7">
        <v>1998</v>
      </c>
      <c r="C5318" s="51" t="s">
        <v>704</v>
      </c>
      <c r="D5318" t="s">
        <v>724</v>
      </c>
      <c r="E5318" s="2">
        <v>0.74099999999999999</v>
      </c>
    </row>
    <row r="5319" spans="1:5" x14ac:dyDescent="0.25">
      <c r="A5319" s="32" t="s">
        <v>767</v>
      </c>
      <c r="B5319" s="7">
        <v>1998</v>
      </c>
      <c r="C5319" s="51" t="s">
        <v>705</v>
      </c>
      <c r="D5319" t="s">
        <v>724</v>
      </c>
      <c r="E5319" s="2">
        <v>0.503</v>
      </c>
    </row>
    <row r="5320" spans="1:5" x14ac:dyDescent="0.25">
      <c r="A5320" s="32" t="s">
        <v>767</v>
      </c>
      <c r="B5320" s="7">
        <v>1998</v>
      </c>
      <c r="C5320" s="51" t="s">
        <v>706</v>
      </c>
      <c r="D5320" t="s">
        <v>724</v>
      </c>
      <c r="E5320" s="2">
        <v>0.36299999999999999</v>
      </c>
    </row>
    <row r="5321" spans="1:5" x14ac:dyDescent="0.25">
      <c r="A5321" s="32" t="s">
        <v>767</v>
      </c>
      <c r="B5321" s="7">
        <v>1999</v>
      </c>
      <c r="C5321" s="51" t="s">
        <v>713</v>
      </c>
      <c r="D5321" t="s">
        <v>724</v>
      </c>
      <c r="E5321" s="2">
        <v>1.7130000000000001</v>
      </c>
    </row>
    <row r="5322" spans="1:5" x14ac:dyDescent="0.25">
      <c r="A5322" s="32" t="s">
        <v>767</v>
      </c>
      <c r="B5322" s="7">
        <v>1999</v>
      </c>
      <c r="C5322" s="51" t="s">
        <v>707</v>
      </c>
      <c r="D5322" t="s">
        <v>724</v>
      </c>
      <c r="E5322" s="2">
        <v>1.0569999999999999</v>
      </c>
    </row>
    <row r="5323" spans="1:5" x14ac:dyDescent="0.25">
      <c r="A5323" s="32" t="s">
        <v>767</v>
      </c>
      <c r="B5323" s="7">
        <v>1999</v>
      </c>
      <c r="C5323" s="51" t="s">
        <v>708</v>
      </c>
      <c r="D5323" t="s">
        <v>724</v>
      </c>
      <c r="E5323" s="2">
        <v>1.0389999999999999</v>
      </c>
    </row>
    <row r="5324" spans="1:5" x14ac:dyDescent="0.25">
      <c r="A5324" s="32" t="s">
        <v>767</v>
      </c>
      <c r="B5324" s="7">
        <v>1999</v>
      </c>
      <c r="C5324" s="51" t="s">
        <v>699</v>
      </c>
      <c r="D5324" t="s">
        <v>724</v>
      </c>
      <c r="E5324" s="2">
        <v>1.42</v>
      </c>
    </row>
    <row r="5325" spans="1:5" x14ac:dyDescent="0.25">
      <c r="A5325" s="32" t="s">
        <v>767</v>
      </c>
      <c r="B5325" s="7">
        <v>1999</v>
      </c>
      <c r="C5325" s="51" t="s">
        <v>709</v>
      </c>
      <c r="D5325" t="s">
        <v>724</v>
      </c>
      <c r="E5325" s="2">
        <v>0.92900000000000005</v>
      </c>
    </row>
    <row r="5326" spans="1:5" x14ac:dyDescent="0.25">
      <c r="A5326" s="32" t="s">
        <v>767</v>
      </c>
      <c r="B5326" s="7">
        <v>1999</v>
      </c>
      <c r="C5326" s="51" t="s">
        <v>712</v>
      </c>
      <c r="D5326" t="s">
        <v>724</v>
      </c>
      <c r="E5326" s="2">
        <v>1.1240000000000001</v>
      </c>
    </row>
    <row r="5327" spans="1:5" x14ac:dyDescent="0.25">
      <c r="A5327" s="32" t="s">
        <v>767</v>
      </c>
      <c r="B5327" s="7">
        <v>1999</v>
      </c>
      <c r="C5327" s="51" t="s">
        <v>710</v>
      </c>
      <c r="D5327" t="s">
        <v>724</v>
      </c>
      <c r="E5327" s="2">
        <v>1.01</v>
      </c>
    </row>
    <row r="5328" spans="1:5" x14ac:dyDescent="0.25">
      <c r="A5328" s="32" t="s">
        <v>767</v>
      </c>
      <c r="B5328" s="7">
        <v>1999</v>
      </c>
      <c r="C5328" s="51" t="s">
        <v>702</v>
      </c>
      <c r="D5328" t="s">
        <v>724</v>
      </c>
      <c r="E5328" s="2">
        <v>1.069</v>
      </c>
    </row>
    <row r="5329" spans="1:5" x14ac:dyDescent="0.25">
      <c r="A5329" s="32" t="s">
        <v>767</v>
      </c>
      <c r="B5329" s="7">
        <v>1999</v>
      </c>
      <c r="C5329" s="51" t="s">
        <v>703</v>
      </c>
      <c r="D5329" t="s">
        <v>724</v>
      </c>
      <c r="E5329" s="2">
        <v>0.95399999999999996</v>
      </c>
    </row>
    <row r="5330" spans="1:5" x14ac:dyDescent="0.25">
      <c r="A5330" s="32" t="s">
        <v>767</v>
      </c>
      <c r="B5330" s="7">
        <v>1999</v>
      </c>
      <c r="C5330" s="51" t="s">
        <v>704</v>
      </c>
      <c r="D5330" t="s">
        <v>724</v>
      </c>
      <c r="E5330" s="2">
        <v>0.75600000000000001</v>
      </c>
    </row>
    <row r="5331" spans="1:5" x14ac:dyDescent="0.25">
      <c r="A5331" s="32" t="s">
        <v>767</v>
      </c>
      <c r="B5331" s="7">
        <v>1999</v>
      </c>
      <c r="C5331" s="51" t="s">
        <v>705</v>
      </c>
      <c r="D5331" t="s">
        <v>724</v>
      </c>
      <c r="E5331" s="2">
        <v>0.69899999999999995</v>
      </c>
    </row>
    <row r="5332" spans="1:5" x14ac:dyDescent="0.25">
      <c r="A5332" s="32" t="s">
        <v>767</v>
      </c>
      <c r="B5332" s="7">
        <v>1999</v>
      </c>
      <c r="C5332" s="51" t="s">
        <v>706</v>
      </c>
      <c r="D5332" t="s">
        <v>724</v>
      </c>
      <c r="E5332" s="2">
        <v>0.85199999999999998</v>
      </c>
    </row>
    <row r="5333" spans="1:5" x14ac:dyDescent="0.25">
      <c r="A5333" s="32" t="s">
        <v>767</v>
      </c>
      <c r="B5333" s="7">
        <v>2000</v>
      </c>
      <c r="C5333" s="51" t="s">
        <v>713</v>
      </c>
      <c r="D5333" t="s">
        <v>724</v>
      </c>
      <c r="E5333" s="2">
        <v>0.42199999999999999</v>
      </c>
    </row>
    <row r="5334" spans="1:5" x14ac:dyDescent="0.25">
      <c r="A5334" s="32" t="s">
        <v>767</v>
      </c>
      <c r="B5334" s="7">
        <v>2000</v>
      </c>
      <c r="C5334" s="51" t="s">
        <v>707</v>
      </c>
      <c r="D5334" t="s">
        <v>724</v>
      </c>
      <c r="E5334" s="2">
        <v>0.77500000000000002</v>
      </c>
    </row>
    <row r="5335" spans="1:5" x14ac:dyDescent="0.25">
      <c r="A5335" s="32" t="s">
        <v>767</v>
      </c>
      <c r="B5335" s="7">
        <v>2000</v>
      </c>
      <c r="C5335" s="51" t="s">
        <v>708</v>
      </c>
      <c r="D5335" t="s">
        <v>724</v>
      </c>
      <c r="E5335" s="2">
        <v>1.0660000000000001</v>
      </c>
    </row>
    <row r="5336" spans="1:5" x14ac:dyDescent="0.25">
      <c r="A5336" s="32" t="s">
        <v>767</v>
      </c>
      <c r="B5336" s="7">
        <v>2000</v>
      </c>
      <c r="C5336" s="51" t="s">
        <v>699</v>
      </c>
      <c r="D5336" t="s">
        <v>724</v>
      </c>
      <c r="E5336" s="2">
        <v>0.873</v>
      </c>
    </row>
    <row r="5337" spans="1:5" x14ac:dyDescent="0.25">
      <c r="A5337" s="32" t="s">
        <v>767</v>
      </c>
      <c r="B5337" s="7">
        <v>2000</v>
      </c>
      <c r="C5337" s="51" t="s">
        <v>709</v>
      </c>
      <c r="D5337" t="s">
        <v>724</v>
      </c>
      <c r="E5337" s="2">
        <v>0.749</v>
      </c>
    </row>
    <row r="5338" spans="1:5" x14ac:dyDescent="0.25">
      <c r="A5338" s="32" t="s">
        <v>767</v>
      </c>
      <c r="B5338" s="7">
        <v>2000</v>
      </c>
      <c r="C5338" s="51" t="s">
        <v>712</v>
      </c>
      <c r="D5338" t="s">
        <v>724</v>
      </c>
      <c r="E5338" s="2">
        <v>0.58899999999999997</v>
      </c>
    </row>
    <row r="5339" spans="1:5" x14ac:dyDescent="0.25">
      <c r="A5339" s="32" t="s">
        <v>767</v>
      </c>
      <c r="B5339" s="7">
        <v>2000</v>
      </c>
      <c r="C5339" s="51" t="s">
        <v>710</v>
      </c>
      <c r="D5339" t="s">
        <v>724</v>
      </c>
      <c r="E5339" s="2">
        <v>0.625</v>
      </c>
    </row>
    <row r="5340" spans="1:5" x14ac:dyDescent="0.25">
      <c r="A5340" s="32" t="s">
        <v>767</v>
      </c>
      <c r="B5340" s="7">
        <v>2000</v>
      </c>
      <c r="C5340" s="51" t="s">
        <v>702</v>
      </c>
      <c r="D5340" t="s">
        <v>724</v>
      </c>
      <c r="E5340" s="2">
        <v>0.63200000000000001</v>
      </c>
    </row>
    <row r="5341" spans="1:5" x14ac:dyDescent="0.25">
      <c r="A5341" s="32" t="s">
        <v>767</v>
      </c>
      <c r="B5341" s="7">
        <v>2000</v>
      </c>
      <c r="C5341" s="51" t="s">
        <v>703</v>
      </c>
      <c r="D5341" t="s">
        <v>724</v>
      </c>
      <c r="E5341" s="2">
        <v>0.64400000000000002</v>
      </c>
    </row>
    <row r="5342" spans="1:5" x14ac:dyDescent="0.25">
      <c r="A5342" s="32" t="s">
        <v>767</v>
      </c>
      <c r="B5342" s="7">
        <v>2000</v>
      </c>
      <c r="C5342" s="51" t="s">
        <v>704</v>
      </c>
      <c r="D5342" t="s">
        <v>724</v>
      </c>
      <c r="E5342" s="2">
        <v>0.74299999999999999</v>
      </c>
    </row>
    <row r="5343" spans="1:5" x14ac:dyDescent="0.25">
      <c r="A5343" s="32" t="s">
        <v>767</v>
      </c>
      <c r="B5343" s="7">
        <v>2000</v>
      </c>
      <c r="C5343" s="51" t="s">
        <v>705</v>
      </c>
      <c r="D5343" t="s">
        <v>724</v>
      </c>
      <c r="E5343" s="2">
        <v>0.84</v>
      </c>
    </row>
    <row r="5344" spans="1:5" x14ac:dyDescent="0.25">
      <c r="A5344" s="32" t="s">
        <v>767</v>
      </c>
      <c r="B5344" s="7">
        <v>2000</v>
      </c>
      <c r="C5344" s="51" t="s">
        <v>706</v>
      </c>
      <c r="D5344" t="s">
        <v>724</v>
      </c>
      <c r="E5344" s="2">
        <v>0.95199999999999996</v>
      </c>
    </row>
    <row r="5345" spans="1:5" x14ac:dyDescent="0.25">
      <c r="A5345" s="32" t="s">
        <v>767</v>
      </c>
      <c r="B5345" s="7">
        <v>2001</v>
      </c>
      <c r="C5345" s="51" t="s">
        <v>713</v>
      </c>
      <c r="D5345" t="s">
        <v>724</v>
      </c>
      <c r="E5345" s="2">
        <v>1.0149999999999999</v>
      </c>
    </row>
    <row r="5346" spans="1:5" x14ac:dyDescent="0.25">
      <c r="A5346" s="32" t="s">
        <v>767</v>
      </c>
      <c r="B5346" s="7">
        <v>2001</v>
      </c>
      <c r="C5346" s="51" t="s">
        <v>707</v>
      </c>
      <c r="D5346" t="s">
        <v>724</v>
      </c>
      <c r="E5346" s="2">
        <v>0.876</v>
      </c>
    </row>
    <row r="5347" spans="1:5" x14ac:dyDescent="0.25">
      <c r="A5347" s="32" t="s">
        <v>767</v>
      </c>
      <c r="B5347" s="7">
        <v>2001</v>
      </c>
      <c r="C5347" s="51" t="s">
        <v>708</v>
      </c>
      <c r="D5347" t="s">
        <v>724</v>
      </c>
      <c r="E5347" s="2">
        <v>1.008</v>
      </c>
    </row>
    <row r="5348" spans="1:5" x14ac:dyDescent="0.25">
      <c r="A5348" s="32" t="s">
        <v>767</v>
      </c>
      <c r="B5348" s="7">
        <v>2001</v>
      </c>
      <c r="C5348" s="51" t="s">
        <v>699</v>
      </c>
      <c r="D5348" t="s">
        <v>724</v>
      </c>
      <c r="E5348" s="2">
        <v>0.90800000000000003</v>
      </c>
    </row>
    <row r="5349" spans="1:5" x14ac:dyDescent="0.25">
      <c r="A5349" s="32" t="s">
        <v>767</v>
      </c>
      <c r="B5349" s="7">
        <v>2001</v>
      </c>
      <c r="C5349" s="51" t="s">
        <v>709</v>
      </c>
      <c r="D5349" t="s">
        <v>724</v>
      </c>
      <c r="E5349" s="2">
        <v>0.68899999999999995</v>
      </c>
    </row>
    <row r="5350" spans="1:5" x14ac:dyDescent="0.25">
      <c r="A5350" s="32" t="s">
        <v>767</v>
      </c>
      <c r="B5350" s="7">
        <v>2001</v>
      </c>
      <c r="C5350" s="51" t="s">
        <v>712</v>
      </c>
      <c r="D5350" t="s">
        <v>724</v>
      </c>
      <c r="E5350" s="2">
        <v>0.72199999999999998</v>
      </c>
    </row>
    <row r="5351" spans="1:5" x14ac:dyDescent="0.25">
      <c r="A5351" s="32" t="s">
        <v>767</v>
      </c>
      <c r="B5351" s="7">
        <v>2001</v>
      </c>
      <c r="C5351" s="51" t="s">
        <v>710</v>
      </c>
      <c r="D5351" t="s">
        <v>724</v>
      </c>
      <c r="E5351" s="2">
        <v>0.72099999999999997</v>
      </c>
    </row>
    <row r="5352" spans="1:5" x14ac:dyDescent="0.25">
      <c r="A5352" s="32" t="s">
        <v>767</v>
      </c>
      <c r="B5352" s="7">
        <v>2001</v>
      </c>
      <c r="C5352" s="51" t="s">
        <v>702</v>
      </c>
      <c r="D5352" t="s">
        <v>724</v>
      </c>
      <c r="E5352" s="2">
        <v>0.65200000000000002</v>
      </c>
    </row>
    <row r="5353" spans="1:5" x14ac:dyDescent="0.25">
      <c r="A5353" s="32" t="s">
        <v>767</v>
      </c>
      <c r="B5353" s="7">
        <v>2001</v>
      </c>
      <c r="C5353" s="51" t="s">
        <v>703</v>
      </c>
      <c r="D5353" t="s">
        <v>724</v>
      </c>
      <c r="E5353" s="2">
        <v>0.61799999999999999</v>
      </c>
    </row>
    <row r="5354" spans="1:5" x14ac:dyDescent="0.25">
      <c r="A5354" s="32" t="s">
        <v>767</v>
      </c>
      <c r="B5354" s="7">
        <v>2001</v>
      </c>
      <c r="C5354" s="51" t="s">
        <v>704</v>
      </c>
      <c r="D5354" t="s">
        <v>724</v>
      </c>
      <c r="E5354" s="2">
        <v>0.67500000000000004</v>
      </c>
    </row>
    <row r="5355" spans="1:5" x14ac:dyDescent="0.25">
      <c r="A5355" s="32" t="s">
        <v>767</v>
      </c>
      <c r="B5355" s="7">
        <v>2001</v>
      </c>
      <c r="C5355" s="51" t="s">
        <v>705</v>
      </c>
      <c r="D5355" t="s">
        <v>724</v>
      </c>
      <c r="E5355" s="2">
        <v>0.503</v>
      </c>
    </row>
    <row r="5356" spans="1:5" x14ac:dyDescent="0.25">
      <c r="A5356" s="32" t="s">
        <v>767</v>
      </c>
      <c r="B5356" s="7">
        <v>2001</v>
      </c>
      <c r="C5356" s="51" t="s">
        <v>706</v>
      </c>
      <c r="D5356" t="s">
        <v>724</v>
      </c>
      <c r="E5356" s="2">
        <v>0.47199999999999998</v>
      </c>
    </row>
    <row r="5357" spans="1:5" x14ac:dyDescent="0.25">
      <c r="A5357" s="32" t="s">
        <v>767</v>
      </c>
      <c r="B5357" s="7">
        <v>2002</v>
      </c>
      <c r="C5357" s="51" t="s">
        <v>713</v>
      </c>
      <c r="D5357" t="s">
        <v>724</v>
      </c>
      <c r="E5357" s="2">
        <v>0.57499999999999996</v>
      </c>
    </row>
    <row r="5358" spans="1:5" x14ac:dyDescent="0.25">
      <c r="A5358" s="32" t="s">
        <v>767</v>
      </c>
      <c r="B5358" s="7">
        <v>2002</v>
      </c>
      <c r="C5358" s="51" t="s">
        <v>707</v>
      </c>
      <c r="D5358" t="s">
        <v>724</v>
      </c>
      <c r="E5358" s="2">
        <v>0.50900000000000001</v>
      </c>
    </row>
    <row r="5359" spans="1:5" x14ac:dyDescent="0.25">
      <c r="A5359" s="32" t="s">
        <v>767</v>
      </c>
      <c r="B5359" s="7">
        <v>2002</v>
      </c>
      <c r="C5359" s="51" t="s">
        <v>708</v>
      </c>
      <c r="D5359" t="s">
        <v>724</v>
      </c>
      <c r="E5359" s="2">
        <v>0.56599999999999995</v>
      </c>
    </row>
    <row r="5360" spans="1:5" x14ac:dyDescent="0.25">
      <c r="A5360" s="32" t="s">
        <v>767</v>
      </c>
      <c r="B5360" s="7">
        <v>2002</v>
      </c>
      <c r="C5360" s="51" t="s">
        <v>699</v>
      </c>
      <c r="D5360" t="s">
        <v>724</v>
      </c>
      <c r="E5360" s="2">
        <v>0.51200000000000001</v>
      </c>
    </row>
    <row r="5361" spans="1:5" x14ac:dyDescent="0.25">
      <c r="A5361" s="32" t="s">
        <v>767</v>
      </c>
      <c r="B5361" s="7">
        <v>2002</v>
      </c>
      <c r="C5361" s="51" t="s">
        <v>709</v>
      </c>
      <c r="D5361" t="s">
        <v>724</v>
      </c>
      <c r="E5361" s="2">
        <v>0.45</v>
      </c>
    </row>
    <row r="5362" spans="1:5" x14ac:dyDescent="0.25">
      <c r="A5362" s="32" t="s">
        <v>767</v>
      </c>
      <c r="B5362" s="7">
        <v>2002</v>
      </c>
      <c r="C5362" s="51" t="s">
        <v>712</v>
      </c>
      <c r="D5362" t="s">
        <v>724</v>
      </c>
      <c r="E5362" s="2">
        <v>0.38900000000000001</v>
      </c>
    </row>
    <row r="5363" spans="1:5" x14ac:dyDescent="0.25">
      <c r="A5363" s="32" t="s">
        <v>767</v>
      </c>
      <c r="B5363" s="7">
        <v>2002</v>
      </c>
      <c r="C5363" s="51" t="s">
        <v>710</v>
      </c>
      <c r="D5363" t="s">
        <v>724</v>
      </c>
      <c r="E5363" s="2">
        <v>0.44700000000000001</v>
      </c>
    </row>
    <row r="5364" spans="1:5" x14ac:dyDescent="0.25">
      <c r="A5364" s="32" t="s">
        <v>767</v>
      </c>
      <c r="B5364" s="7">
        <v>2002</v>
      </c>
      <c r="C5364" s="51" t="s">
        <v>702</v>
      </c>
      <c r="D5364" t="s">
        <v>724</v>
      </c>
      <c r="E5364" s="2">
        <v>0.504</v>
      </c>
    </row>
    <row r="5365" spans="1:5" x14ac:dyDescent="0.25">
      <c r="A5365" s="32" t="s">
        <v>767</v>
      </c>
      <c r="B5365" s="7">
        <v>2002</v>
      </c>
      <c r="C5365" s="51" t="s">
        <v>703</v>
      </c>
      <c r="D5365" t="s">
        <v>724</v>
      </c>
      <c r="E5365" s="2">
        <v>0.57599999999999996</v>
      </c>
    </row>
    <row r="5366" spans="1:5" x14ac:dyDescent="0.25">
      <c r="A5366" s="32" t="s">
        <v>767</v>
      </c>
      <c r="B5366" s="7">
        <v>2002</v>
      </c>
      <c r="C5366" s="51" t="s">
        <v>704</v>
      </c>
      <c r="D5366" t="s">
        <v>724</v>
      </c>
      <c r="E5366" s="2">
        <v>0.64200000000000002</v>
      </c>
    </row>
    <row r="5367" spans="1:5" x14ac:dyDescent="0.25">
      <c r="A5367" s="32" t="s">
        <v>767</v>
      </c>
      <c r="B5367" s="7">
        <v>2002</v>
      </c>
      <c r="C5367" s="51" t="s">
        <v>705</v>
      </c>
      <c r="D5367" t="s">
        <v>724</v>
      </c>
      <c r="E5367" s="2">
        <v>0.60499999999999998</v>
      </c>
    </row>
    <row r="5368" spans="1:5" x14ac:dyDescent="0.25">
      <c r="A5368" s="32" t="s">
        <v>767</v>
      </c>
      <c r="B5368" s="7">
        <v>2002</v>
      </c>
      <c r="C5368" s="51" t="s">
        <v>706</v>
      </c>
      <c r="D5368" t="s">
        <v>724</v>
      </c>
      <c r="E5368" s="2">
        <v>0.61099999999999999</v>
      </c>
    </row>
    <row r="5369" spans="1:5" x14ac:dyDescent="0.25">
      <c r="A5369" s="32" t="s">
        <v>767</v>
      </c>
      <c r="B5369" s="7">
        <v>2003</v>
      </c>
      <c r="C5369" s="51" t="s">
        <v>713</v>
      </c>
      <c r="D5369" t="s">
        <v>724</v>
      </c>
      <c r="E5369" s="2">
        <v>0.69399999999999995</v>
      </c>
    </row>
    <row r="5370" spans="1:5" x14ac:dyDescent="0.25">
      <c r="A5370" s="32" t="s">
        <v>767</v>
      </c>
      <c r="B5370" s="7">
        <v>2003</v>
      </c>
      <c r="C5370" s="51" t="s">
        <v>707</v>
      </c>
      <c r="D5370" t="s">
        <v>724</v>
      </c>
      <c r="E5370" s="2">
        <v>0.67600000000000005</v>
      </c>
    </row>
    <row r="5371" spans="1:5" x14ac:dyDescent="0.25">
      <c r="A5371" s="32" t="s">
        <v>767</v>
      </c>
      <c r="B5371" s="7">
        <v>2003</v>
      </c>
      <c r="C5371" s="51" t="s">
        <v>708</v>
      </c>
      <c r="D5371" t="s">
        <v>724</v>
      </c>
      <c r="E5371" s="2">
        <v>0.91200000000000003</v>
      </c>
    </row>
    <row r="5372" spans="1:5" x14ac:dyDescent="0.25">
      <c r="A5372" s="32" t="s">
        <v>767</v>
      </c>
      <c r="B5372" s="7">
        <v>2003</v>
      </c>
      <c r="C5372" s="51" t="s">
        <v>699</v>
      </c>
      <c r="D5372" t="s">
        <v>724</v>
      </c>
      <c r="E5372" s="2">
        <v>0.65600000000000003</v>
      </c>
    </row>
    <row r="5373" spans="1:5" x14ac:dyDescent="0.25">
      <c r="A5373" s="32" t="s">
        <v>767</v>
      </c>
      <c r="B5373" s="7">
        <v>2003</v>
      </c>
      <c r="C5373" s="51" t="s">
        <v>709</v>
      </c>
      <c r="D5373" t="s">
        <v>724</v>
      </c>
      <c r="E5373" s="2">
        <v>0.68899999999999995</v>
      </c>
    </row>
    <row r="5374" spans="1:5" x14ac:dyDescent="0.25">
      <c r="A5374" s="32" t="s">
        <v>767</v>
      </c>
      <c r="B5374" s="7">
        <v>2003</v>
      </c>
      <c r="C5374" s="51" t="s">
        <v>712</v>
      </c>
      <c r="D5374" t="s">
        <v>724</v>
      </c>
      <c r="E5374" s="2">
        <v>0.61</v>
      </c>
    </row>
    <row r="5375" spans="1:5" x14ac:dyDescent="0.25">
      <c r="A5375" s="32" t="s">
        <v>767</v>
      </c>
      <c r="B5375" s="7">
        <v>2003</v>
      </c>
      <c r="C5375" s="51" t="s">
        <v>710</v>
      </c>
      <c r="D5375" t="s">
        <v>724</v>
      </c>
      <c r="E5375" s="2">
        <v>0.49099999999999999</v>
      </c>
    </row>
    <row r="5376" spans="1:5" x14ac:dyDescent="0.25">
      <c r="A5376" s="32" t="s">
        <v>767</v>
      </c>
      <c r="B5376" s="7">
        <v>2003</v>
      </c>
      <c r="C5376" s="51" t="s">
        <v>702</v>
      </c>
      <c r="D5376" t="s">
        <v>724</v>
      </c>
      <c r="E5376" s="2">
        <v>0.47099999999999997</v>
      </c>
    </row>
    <row r="5377" spans="1:5" x14ac:dyDescent="0.25">
      <c r="A5377" s="32" t="s">
        <v>767</v>
      </c>
      <c r="B5377" s="7">
        <v>2003</v>
      </c>
      <c r="C5377" s="51" t="s">
        <v>703</v>
      </c>
      <c r="D5377" t="s">
        <v>724</v>
      </c>
      <c r="E5377" s="2">
        <v>0.57699999999999996</v>
      </c>
    </row>
    <row r="5378" spans="1:5" x14ac:dyDescent="0.25">
      <c r="A5378" s="32" t="s">
        <v>767</v>
      </c>
      <c r="B5378" s="7">
        <v>2003</v>
      </c>
      <c r="C5378" s="51" t="s">
        <v>704</v>
      </c>
      <c r="D5378" t="s">
        <v>724</v>
      </c>
      <c r="E5378" s="2">
        <v>0.65500000000000003</v>
      </c>
    </row>
    <row r="5379" spans="1:5" x14ac:dyDescent="0.25">
      <c r="A5379" s="32" t="s">
        <v>767</v>
      </c>
      <c r="B5379" s="7">
        <v>2003</v>
      </c>
      <c r="C5379" s="51" t="s">
        <v>705</v>
      </c>
      <c r="D5379" t="s">
        <v>724</v>
      </c>
      <c r="E5379" s="2">
        <v>0.70099999999999996</v>
      </c>
    </row>
    <row r="5380" spans="1:5" x14ac:dyDescent="0.25">
      <c r="A5380" s="32" t="s">
        <v>767</v>
      </c>
      <c r="B5380" s="7">
        <v>2003</v>
      </c>
      <c r="C5380" s="51" t="s">
        <v>706</v>
      </c>
      <c r="D5380" t="s">
        <v>724</v>
      </c>
      <c r="E5380" s="2">
        <v>0.81499999999999995</v>
      </c>
    </row>
    <row r="5381" spans="1:5" x14ac:dyDescent="0.25">
      <c r="A5381" s="32" t="s">
        <v>767</v>
      </c>
      <c r="B5381" s="7">
        <v>2004</v>
      </c>
      <c r="C5381" s="51" t="s">
        <v>713</v>
      </c>
      <c r="D5381" t="s">
        <v>724</v>
      </c>
      <c r="E5381" s="2">
        <v>0.70699999999999996</v>
      </c>
    </row>
    <row r="5382" spans="1:5" x14ac:dyDescent="0.25">
      <c r="A5382" s="32" t="s">
        <v>767</v>
      </c>
      <c r="B5382" s="7">
        <v>2004</v>
      </c>
      <c r="C5382" s="51" t="s">
        <v>707</v>
      </c>
      <c r="D5382" t="s">
        <v>724</v>
      </c>
      <c r="E5382" s="2">
        <v>0.84599999999999997</v>
      </c>
    </row>
    <row r="5383" spans="1:5" x14ac:dyDescent="0.25">
      <c r="A5383" s="32" t="s">
        <v>767</v>
      </c>
      <c r="B5383" s="7">
        <v>2004</v>
      </c>
      <c r="C5383" s="51" t="s">
        <v>708</v>
      </c>
      <c r="D5383" t="s">
        <v>724</v>
      </c>
      <c r="E5383" s="2">
        <v>0.79900000000000004</v>
      </c>
    </row>
    <row r="5384" spans="1:5" x14ac:dyDescent="0.25">
      <c r="A5384" s="32" t="s">
        <v>767</v>
      </c>
      <c r="B5384" s="7">
        <v>2004</v>
      </c>
      <c r="C5384" s="51" t="s">
        <v>699</v>
      </c>
      <c r="D5384" t="s">
        <v>724</v>
      </c>
      <c r="E5384" s="2">
        <v>0.77200000000000002</v>
      </c>
    </row>
    <row r="5385" spans="1:5" x14ac:dyDescent="0.25">
      <c r="A5385" s="32" t="s">
        <v>767</v>
      </c>
      <c r="B5385" s="7">
        <v>2004</v>
      </c>
      <c r="C5385" s="51" t="s">
        <v>709</v>
      </c>
      <c r="D5385" t="s">
        <v>724</v>
      </c>
      <c r="E5385" s="2">
        <v>0.53400000000000003</v>
      </c>
    </row>
    <row r="5386" spans="1:5" x14ac:dyDescent="0.25">
      <c r="A5386" s="32" t="s">
        <v>767</v>
      </c>
      <c r="B5386" s="7">
        <v>2004</v>
      </c>
      <c r="C5386" s="51" t="s">
        <v>712</v>
      </c>
      <c r="D5386" t="s">
        <v>724</v>
      </c>
      <c r="E5386" s="2">
        <v>0.629</v>
      </c>
    </row>
    <row r="5387" spans="1:5" x14ac:dyDescent="0.25">
      <c r="A5387" s="32" t="s">
        <v>767</v>
      </c>
      <c r="B5387" s="7">
        <v>2004</v>
      </c>
      <c r="C5387" s="51" t="s">
        <v>710</v>
      </c>
      <c r="D5387" t="s">
        <v>724</v>
      </c>
      <c r="E5387" s="2">
        <v>0.78700000000000003</v>
      </c>
    </row>
    <row r="5388" spans="1:5" x14ac:dyDescent="0.25">
      <c r="A5388" s="32" t="s">
        <v>767</v>
      </c>
      <c r="B5388" s="7">
        <v>2004</v>
      </c>
      <c r="C5388" s="51" t="s">
        <v>702</v>
      </c>
      <c r="D5388" t="s">
        <v>724</v>
      </c>
      <c r="E5388" s="2">
        <v>0.84299999999999997</v>
      </c>
    </row>
    <row r="5389" spans="1:5" x14ac:dyDescent="0.25">
      <c r="A5389" s="32" t="s">
        <v>767</v>
      </c>
      <c r="B5389" s="7">
        <v>2004</v>
      </c>
      <c r="C5389" s="51" t="s">
        <v>703</v>
      </c>
      <c r="D5389" t="s">
        <v>724</v>
      </c>
      <c r="E5389" s="2">
        <v>0.72899999999999998</v>
      </c>
    </row>
    <row r="5390" spans="1:5" x14ac:dyDescent="0.25">
      <c r="A5390" s="32" t="s">
        <v>767</v>
      </c>
      <c r="B5390" s="7">
        <v>2004</v>
      </c>
      <c r="C5390" s="51" t="s">
        <v>704</v>
      </c>
      <c r="D5390" t="s">
        <v>724</v>
      </c>
      <c r="E5390" s="2">
        <v>0.76500000000000001</v>
      </c>
    </row>
    <row r="5391" spans="1:5" x14ac:dyDescent="0.25">
      <c r="A5391" s="32" t="s">
        <v>767</v>
      </c>
      <c r="B5391" s="7">
        <v>2004</v>
      </c>
      <c r="C5391" s="51" t="s">
        <v>705</v>
      </c>
      <c r="D5391" t="s">
        <v>724</v>
      </c>
      <c r="E5391" s="2">
        <v>0.70799999999999996</v>
      </c>
    </row>
    <row r="5392" spans="1:5" x14ac:dyDescent="0.25">
      <c r="A5392" s="32" t="s">
        <v>767</v>
      </c>
      <c r="B5392" s="7">
        <v>2004</v>
      </c>
      <c r="C5392" s="51" t="s">
        <v>706</v>
      </c>
      <c r="D5392" t="s">
        <v>724</v>
      </c>
      <c r="E5392" s="2">
        <v>0.68500000000000005</v>
      </c>
    </row>
    <row r="5393" spans="1:5" x14ac:dyDescent="0.25">
      <c r="A5393" s="32" t="s">
        <v>767</v>
      </c>
      <c r="B5393" s="7">
        <v>2005</v>
      </c>
      <c r="C5393" s="51" t="s">
        <v>713</v>
      </c>
      <c r="D5393" t="s">
        <v>724</v>
      </c>
      <c r="E5393" s="2">
        <v>0.69199999999999995</v>
      </c>
    </row>
    <row r="5394" spans="1:5" x14ac:dyDescent="0.25">
      <c r="A5394" s="32" t="s">
        <v>767</v>
      </c>
      <c r="B5394" s="7">
        <v>2005</v>
      </c>
      <c r="C5394" s="51" t="s">
        <v>707</v>
      </c>
      <c r="D5394" t="s">
        <v>724</v>
      </c>
      <c r="E5394" s="2">
        <v>0.61899999999999999</v>
      </c>
    </row>
    <row r="5395" spans="1:5" x14ac:dyDescent="0.25">
      <c r="A5395" s="32" t="s">
        <v>767</v>
      </c>
      <c r="B5395" s="7">
        <v>2005</v>
      </c>
      <c r="C5395" s="51" t="s">
        <v>708</v>
      </c>
      <c r="D5395" t="s">
        <v>724</v>
      </c>
      <c r="E5395" s="2">
        <v>1.0129999999999999</v>
      </c>
    </row>
    <row r="5396" spans="1:5" x14ac:dyDescent="0.25">
      <c r="A5396" s="32" t="s">
        <v>767</v>
      </c>
      <c r="B5396" s="7">
        <v>2005</v>
      </c>
      <c r="C5396" s="51" t="s">
        <v>699</v>
      </c>
      <c r="D5396" t="s">
        <v>724</v>
      </c>
      <c r="E5396" s="2">
        <v>0.72499999999999998</v>
      </c>
    </row>
    <row r="5397" spans="1:5" x14ac:dyDescent="0.25">
      <c r="A5397" s="32" t="s">
        <v>767</v>
      </c>
      <c r="B5397" s="7">
        <v>2005</v>
      </c>
      <c r="C5397" s="51" t="s">
        <v>709</v>
      </c>
      <c r="D5397" t="s">
        <v>724</v>
      </c>
      <c r="E5397" s="2">
        <v>0.74299999999999999</v>
      </c>
    </row>
    <row r="5398" spans="1:5" x14ac:dyDescent="0.25">
      <c r="A5398" s="32" t="s">
        <v>767</v>
      </c>
      <c r="B5398" s="7">
        <v>2005</v>
      </c>
      <c r="C5398" s="51" t="s">
        <v>712</v>
      </c>
      <c r="D5398" t="s">
        <v>724</v>
      </c>
      <c r="E5398" s="2">
        <v>0.74199999999999999</v>
      </c>
    </row>
    <row r="5399" spans="1:5" x14ac:dyDescent="0.25">
      <c r="A5399" s="32" t="s">
        <v>767</v>
      </c>
      <c r="B5399" s="7">
        <v>2005</v>
      </c>
      <c r="C5399" s="51" t="s">
        <v>710</v>
      </c>
      <c r="D5399" t="s">
        <v>724</v>
      </c>
      <c r="E5399" s="2">
        <v>0.93899999999999995</v>
      </c>
    </row>
    <row r="5400" spans="1:5" x14ac:dyDescent="0.25">
      <c r="A5400" s="32" t="s">
        <v>767</v>
      </c>
      <c r="B5400" s="7">
        <v>2005</v>
      </c>
      <c r="C5400" s="51" t="s">
        <v>702</v>
      </c>
      <c r="D5400" t="s">
        <v>724</v>
      </c>
      <c r="E5400" s="2">
        <v>0.94799999999999995</v>
      </c>
    </row>
    <row r="5401" spans="1:5" x14ac:dyDescent="0.25">
      <c r="A5401" s="32" t="s">
        <v>767</v>
      </c>
      <c r="B5401" s="7">
        <v>2005</v>
      </c>
      <c r="C5401" s="51" t="s">
        <v>703</v>
      </c>
      <c r="D5401" t="s">
        <v>724</v>
      </c>
      <c r="E5401" s="2">
        <v>0.92900000000000005</v>
      </c>
    </row>
    <row r="5402" spans="1:5" x14ac:dyDescent="0.25">
      <c r="A5402" s="32" t="s">
        <v>767</v>
      </c>
      <c r="B5402" s="7">
        <v>2005</v>
      </c>
      <c r="C5402" s="51" t="s">
        <v>704</v>
      </c>
      <c r="D5402" t="s">
        <v>724</v>
      </c>
      <c r="E5402" s="2">
        <v>1.052</v>
      </c>
    </row>
    <row r="5403" spans="1:5" x14ac:dyDescent="0.25">
      <c r="A5403" s="32" t="s">
        <v>767</v>
      </c>
      <c r="B5403" s="7">
        <v>2005</v>
      </c>
      <c r="C5403" s="51" t="s">
        <v>705</v>
      </c>
      <c r="D5403" t="s">
        <v>724</v>
      </c>
      <c r="E5403" s="2">
        <v>0.95799999999999996</v>
      </c>
    </row>
    <row r="5404" spans="1:5" x14ac:dyDescent="0.25">
      <c r="A5404" s="32" t="s">
        <v>767</v>
      </c>
      <c r="B5404" s="7">
        <v>2005</v>
      </c>
      <c r="C5404" s="51" t="s">
        <v>706</v>
      </c>
      <c r="D5404" t="s">
        <v>724</v>
      </c>
      <c r="E5404" s="2">
        <v>0.91</v>
      </c>
    </row>
    <row r="5405" spans="1:5" x14ac:dyDescent="0.25">
      <c r="A5405" s="32" t="s">
        <v>767</v>
      </c>
      <c r="B5405" s="7">
        <v>2006</v>
      </c>
      <c r="C5405" s="51" t="s">
        <v>713</v>
      </c>
      <c r="D5405" t="s">
        <v>724</v>
      </c>
      <c r="E5405" s="2">
        <v>0.91200000000000003</v>
      </c>
    </row>
    <row r="5406" spans="1:5" x14ac:dyDescent="0.25">
      <c r="A5406" s="32" t="s">
        <v>767</v>
      </c>
      <c r="B5406" s="7">
        <v>2006</v>
      </c>
      <c r="C5406" s="51" t="s">
        <v>707</v>
      </c>
      <c r="D5406" t="s">
        <v>724</v>
      </c>
      <c r="E5406" s="2">
        <v>1.028</v>
      </c>
    </row>
    <row r="5407" spans="1:5" x14ac:dyDescent="0.25">
      <c r="A5407" s="32" t="s">
        <v>767</v>
      </c>
      <c r="B5407" s="7">
        <v>2006</v>
      </c>
      <c r="C5407" s="51" t="s">
        <v>708</v>
      </c>
      <c r="D5407" t="s">
        <v>724</v>
      </c>
      <c r="E5407" s="2">
        <v>1.1080000000000001</v>
      </c>
    </row>
    <row r="5408" spans="1:5" x14ac:dyDescent="0.25">
      <c r="A5408" s="32" t="s">
        <v>767</v>
      </c>
      <c r="B5408" s="7">
        <v>2006</v>
      </c>
      <c r="C5408" s="51" t="s">
        <v>699</v>
      </c>
      <c r="D5408" t="s">
        <v>724</v>
      </c>
      <c r="E5408" s="2">
        <v>0.98599999999999999</v>
      </c>
    </row>
    <row r="5409" spans="1:5" x14ac:dyDescent="0.25">
      <c r="A5409" s="32" t="s">
        <v>767</v>
      </c>
      <c r="B5409" s="7">
        <v>2006</v>
      </c>
      <c r="C5409" s="51" t="s">
        <v>709</v>
      </c>
      <c r="D5409" t="s">
        <v>724</v>
      </c>
      <c r="E5409" s="2">
        <v>1.113</v>
      </c>
    </row>
    <row r="5410" spans="1:5" x14ac:dyDescent="0.25">
      <c r="A5410" s="32" t="s">
        <v>767</v>
      </c>
      <c r="B5410" s="7">
        <v>2006</v>
      </c>
      <c r="C5410" s="51" t="s">
        <v>712</v>
      </c>
      <c r="D5410" t="s">
        <v>724</v>
      </c>
      <c r="E5410" s="2">
        <v>1.367</v>
      </c>
    </row>
    <row r="5411" spans="1:5" x14ac:dyDescent="0.25">
      <c r="A5411" s="32" t="s">
        <v>767</v>
      </c>
      <c r="B5411" s="7">
        <v>2006</v>
      </c>
      <c r="C5411" s="51" t="s">
        <v>710</v>
      </c>
      <c r="D5411" t="s">
        <v>724</v>
      </c>
      <c r="E5411" s="2">
        <v>1.2310000000000001</v>
      </c>
    </row>
    <row r="5412" spans="1:5" x14ac:dyDescent="0.25">
      <c r="A5412" s="32" t="s">
        <v>767</v>
      </c>
      <c r="B5412" s="7">
        <v>2006</v>
      </c>
      <c r="C5412" s="51" t="s">
        <v>702</v>
      </c>
      <c r="D5412" t="s">
        <v>724</v>
      </c>
      <c r="E5412" s="2">
        <v>1.4670000000000001</v>
      </c>
    </row>
    <row r="5413" spans="1:5" x14ac:dyDescent="0.25">
      <c r="A5413" s="32" t="s">
        <v>767</v>
      </c>
      <c r="B5413" s="7">
        <v>2006</v>
      </c>
      <c r="C5413" s="51" t="s">
        <v>703</v>
      </c>
      <c r="D5413" t="s">
        <v>724</v>
      </c>
      <c r="E5413" s="2">
        <v>1.2070000000000001</v>
      </c>
    </row>
    <row r="5414" spans="1:5" x14ac:dyDescent="0.25">
      <c r="A5414" s="32" t="s">
        <v>767</v>
      </c>
      <c r="B5414" s="7">
        <v>2006</v>
      </c>
      <c r="C5414" s="51" t="s">
        <v>704</v>
      </c>
      <c r="D5414" t="s">
        <v>724</v>
      </c>
      <c r="E5414" s="2">
        <v>1.105</v>
      </c>
    </row>
    <row r="5415" spans="1:5" x14ac:dyDescent="0.25">
      <c r="A5415" s="32" t="s">
        <v>767</v>
      </c>
      <c r="B5415" s="7">
        <v>2006</v>
      </c>
      <c r="C5415" s="51" t="s">
        <v>705</v>
      </c>
      <c r="D5415" t="s">
        <v>724</v>
      </c>
      <c r="E5415" s="2">
        <v>1.196</v>
      </c>
    </row>
    <row r="5416" spans="1:5" x14ac:dyDescent="0.25">
      <c r="A5416" s="32" t="s">
        <v>767</v>
      </c>
      <c r="B5416" s="7">
        <v>2006</v>
      </c>
      <c r="C5416" s="51" t="s">
        <v>706</v>
      </c>
      <c r="D5416" t="s">
        <v>724</v>
      </c>
      <c r="E5416" s="2">
        <v>1.1000000000000001</v>
      </c>
    </row>
    <row r="5417" spans="1:5" x14ac:dyDescent="0.25">
      <c r="A5417" s="32" t="s">
        <v>767</v>
      </c>
      <c r="B5417" s="7">
        <v>2007</v>
      </c>
      <c r="C5417" s="51" t="s">
        <v>713</v>
      </c>
      <c r="D5417" t="s">
        <v>724</v>
      </c>
      <c r="E5417" s="2">
        <v>0.438</v>
      </c>
    </row>
    <row r="5418" spans="1:5" x14ac:dyDescent="0.25">
      <c r="A5418" s="32" t="s">
        <v>767</v>
      </c>
      <c r="B5418" s="7">
        <v>2007</v>
      </c>
      <c r="C5418" s="51" t="s">
        <v>707</v>
      </c>
      <c r="D5418" t="s">
        <v>724</v>
      </c>
      <c r="E5418" s="2">
        <v>0.45100000000000001</v>
      </c>
    </row>
    <row r="5419" spans="1:5" x14ac:dyDescent="0.25">
      <c r="A5419" s="32" t="s">
        <v>767</v>
      </c>
      <c r="B5419" s="7">
        <v>2007</v>
      </c>
      <c r="C5419" s="51" t="s">
        <v>708</v>
      </c>
      <c r="D5419" t="s">
        <v>724</v>
      </c>
      <c r="E5419" s="2">
        <v>0.52500000000000002</v>
      </c>
    </row>
    <row r="5420" spans="1:5" x14ac:dyDescent="0.25">
      <c r="A5420" s="32" t="s">
        <v>767</v>
      </c>
      <c r="B5420" s="7">
        <v>2007</v>
      </c>
      <c r="C5420" s="51" t="s">
        <v>699</v>
      </c>
      <c r="D5420" t="s">
        <v>724</v>
      </c>
      <c r="E5420" s="2">
        <v>0.4</v>
      </c>
    </row>
    <row r="5421" spans="1:5" x14ac:dyDescent="0.25">
      <c r="A5421" s="32" t="s">
        <v>767</v>
      </c>
      <c r="B5421" s="7">
        <v>2007</v>
      </c>
      <c r="C5421" s="51" t="s">
        <v>709</v>
      </c>
      <c r="D5421" t="s">
        <v>724</v>
      </c>
      <c r="E5421" s="2">
        <v>1.31</v>
      </c>
    </row>
    <row r="5422" spans="1:5" x14ac:dyDescent="0.25">
      <c r="A5422" s="32" t="s">
        <v>767</v>
      </c>
      <c r="B5422" s="7">
        <v>2007</v>
      </c>
      <c r="C5422" s="51" t="s">
        <v>712</v>
      </c>
      <c r="D5422" t="s">
        <v>724</v>
      </c>
      <c r="E5422" s="2">
        <v>1.18</v>
      </c>
    </row>
    <row r="5423" spans="1:5" x14ac:dyDescent="0.25">
      <c r="A5423" s="32" t="s">
        <v>767</v>
      </c>
      <c r="B5423" s="7">
        <v>2007</v>
      </c>
      <c r="C5423" s="51" t="s">
        <v>710</v>
      </c>
      <c r="D5423" t="s">
        <v>724</v>
      </c>
      <c r="E5423" s="2">
        <v>1.246</v>
      </c>
    </row>
    <row r="5424" spans="1:5" x14ac:dyDescent="0.25">
      <c r="A5424" s="32" t="s">
        <v>767</v>
      </c>
      <c r="B5424" s="7">
        <v>2007</v>
      </c>
      <c r="C5424" s="51" t="s">
        <v>702</v>
      </c>
      <c r="D5424" t="s">
        <v>724</v>
      </c>
      <c r="E5424" s="2">
        <v>1.1319999999999999</v>
      </c>
    </row>
    <row r="5425" spans="1:5" x14ac:dyDescent="0.25">
      <c r="A5425" s="32" t="s">
        <v>767</v>
      </c>
      <c r="B5425" s="7">
        <v>2007</v>
      </c>
      <c r="C5425" s="51" t="s">
        <v>703</v>
      </c>
      <c r="D5425" t="s">
        <v>724</v>
      </c>
      <c r="E5425" s="2">
        <v>1.1200000000000001</v>
      </c>
    </row>
    <row r="5426" spans="1:5" x14ac:dyDescent="0.25">
      <c r="A5426" s="32" t="s">
        <v>767</v>
      </c>
      <c r="B5426" s="7">
        <v>2007</v>
      </c>
      <c r="C5426" s="51" t="s">
        <v>704</v>
      </c>
      <c r="D5426" t="s">
        <v>724</v>
      </c>
      <c r="E5426" s="2">
        <v>1.3109999999999999</v>
      </c>
    </row>
    <row r="5427" spans="1:5" x14ac:dyDescent="0.25">
      <c r="A5427" s="32" t="s">
        <v>767</v>
      </c>
      <c r="B5427" s="7">
        <v>2007</v>
      </c>
      <c r="C5427" s="51" t="s">
        <v>705</v>
      </c>
      <c r="D5427" t="s">
        <v>724</v>
      </c>
      <c r="E5427" s="2">
        <v>1.0429999999999999</v>
      </c>
    </row>
    <row r="5428" spans="1:5" x14ac:dyDescent="0.25">
      <c r="A5428" s="32" t="s">
        <v>767</v>
      </c>
      <c r="B5428" s="7">
        <v>2007</v>
      </c>
      <c r="C5428" s="51" t="s">
        <v>706</v>
      </c>
      <c r="D5428" t="s">
        <v>724</v>
      </c>
      <c r="E5428" s="2">
        <v>0.97</v>
      </c>
    </row>
    <row r="5429" spans="1:5" x14ac:dyDescent="0.25">
      <c r="A5429" s="32" t="s">
        <v>767</v>
      </c>
      <c r="B5429" s="7">
        <v>2008</v>
      </c>
      <c r="C5429" s="51" t="s">
        <v>713</v>
      </c>
      <c r="D5429" t="s">
        <v>724</v>
      </c>
      <c r="E5429" s="2">
        <v>0.98599999999999999</v>
      </c>
    </row>
    <row r="5430" spans="1:5" x14ac:dyDescent="0.25">
      <c r="A5430" s="32" t="s">
        <v>767</v>
      </c>
      <c r="B5430" s="7">
        <v>2008</v>
      </c>
      <c r="C5430" s="51" t="s">
        <v>707</v>
      </c>
      <c r="D5430" t="s">
        <v>724</v>
      </c>
      <c r="E5430" s="2">
        <v>1.012</v>
      </c>
    </row>
    <row r="5431" spans="1:5" x14ac:dyDescent="0.25">
      <c r="A5431" s="32" t="s">
        <v>767</v>
      </c>
      <c r="B5431" s="7">
        <v>2008</v>
      </c>
      <c r="C5431" s="51" t="s">
        <v>708</v>
      </c>
      <c r="D5431" t="s">
        <v>724</v>
      </c>
      <c r="E5431" s="2">
        <v>0.96</v>
      </c>
    </row>
    <row r="5432" spans="1:5" x14ac:dyDescent="0.25">
      <c r="A5432" s="32" t="s">
        <v>767</v>
      </c>
      <c r="B5432" s="7">
        <v>2008</v>
      </c>
      <c r="C5432" s="51" t="s">
        <v>699</v>
      </c>
      <c r="D5432" t="s">
        <v>724</v>
      </c>
      <c r="E5432" s="2">
        <v>1.153</v>
      </c>
    </row>
    <row r="5433" spans="1:5" x14ac:dyDescent="0.25">
      <c r="A5433" s="32" t="s">
        <v>767</v>
      </c>
      <c r="B5433" s="7">
        <v>2008</v>
      </c>
      <c r="C5433" s="51" t="s">
        <v>709</v>
      </c>
      <c r="D5433" t="s">
        <v>724</v>
      </c>
      <c r="E5433" s="2">
        <v>1.0900000000000001</v>
      </c>
    </row>
    <row r="5434" spans="1:5" x14ac:dyDescent="0.25">
      <c r="A5434" s="32" t="s">
        <v>767</v>
      </c>
      <c r="B5434" s="7">
        <v>2008</v>
      </c>
      <c r="C5434" s="51" t="s">
        <v>712</v>
      </c>
      <c r="D5434" t="s">
        <v>724</v>
      </c>
      <c r="E5434" s="2">
        <v>1.0109999999999999</v>
      </c>
    </row>
    <row r="5435" spans="1:5" x14ac:dyDescent="0.25">
      <c r="A5435" s="32" t="s">
        <v>767</v>
      </c>
      <c r="B5435" s="7">
        <v>2008</v>
      </c>
      <c r="C5435" s="51" t="s">
        <v>710</v>
      </c>
      <c r="D5435" t="s">
        <v>724</v>
      </c>
      <c r="E5435" s="2">
        <v>1.141</v>
      </c>
    </row>
    <row r="5436" spans="1:5" x14ac:dyDescent="0.25">
      <c r="A5436" s="32" t="s">
        <v>767</v>
      </c>
      <c r="B5436" s="7">
        <v>2008</v>
      </c>
      <c r="C5436" s="51" t="s">
        <v>702</v>
      </c>
      <c r="D5436" t="s">
        <v>724</v>
      </c>
      <c r="E5436" s="2">
        <v>1.222</v>
      </c>
    </row>
    <row r="5437" spans="1:5" x14ac:dyDescent="0.25">
      <c r="A5437" s="32" t="s">
        <v>767</v>
      </c>
      <c r="B5437" s="7">
        <v>2008</v>
      </c>
      <c r="C5437" s="51" t="s">
        <v>703</v>
      </c>
      <c r="D5437" t="s">
        <v>724</v>
      </c>
      <c r="E5437" s="2">
        <v>1.167</v>
      </c>
    </row>
    <row r="5438" spans="1:5" x14ac:dyDescent="0.25">
      <c r="A5438" s="32" t="s">
        <v>767</v>
      </c>
      <c r="B5438" s="7">
        <v>2008</v>
      </c>
      <c r="C5438" s="51" t="s">
        <v>704</v>
      </c>
      <c r="D5438" t="s">
        <v>724</v>
      </c>
      <c r="E5438" s="2">
        <v>1.425</v>
      </c>
    </row>
    <row r="5439" spans="1:5" x14ac:dyDescent="0.25">
      <c r="A5439" s="32" t="s">
        <v>767</v>
      </c>
      <c r="B5439" s="7">
        <v>2008</v>
      </c>
      <c r="C5439" s="51" t="s">
        <v>705</v>
      </c>
      <c r="D5439" t="s">
        <v>724</v>
      </c>
      <c r="E5439" s="2">
        <v>1.0780000000000001</v>
      </c>
    </row>
    <row r="5440" spans="1:5" x14ac:dyDescent="0.25">
      <c r="A5440" s="32" t="s">
        <v>767</v>
      </c>
      <c r="B5440" s="7">
        <v>2008</v>
      </c>
      <c r="C5440" s="51" t="s">
        <v>706</v>
      </c>
      <c r="D5440" t="s">
        <v>724</v>
      </c>
      <c r="E5440" s="2">
        <v>1.069</v>
      </c>
    </row>
    <row r="5441" spans="1:5" x14ac:dyDescent="0.25">
      <c r="A5441" s="32" t="s">
        <v>767</v>
      </c>
      <c r="B5441" s="7">
        <v>2009</v>
      </c>
      <c r="C5441" s="51" t="s">
        <v>713</v>
      </c>
      <c r="D5441" t="s">
        <v>724</v>
      </c>
      <c r="E5441" s="2">
        <v>1.1639999999999999</v>
      </c>
    </row>
    <row r="5442" spans="1:5" x14ac:dyDescent="0.25">
      <c r="A5442" s="32" t="s">
        <v>767</v>
      </c>
      <c r="B5442" s="7">
        <v>2009</v>
      </c>
      <c r="C5442" s="51" t="s">
        <v>707</v>
      </c>
      <c r="D5442" t="s">
        <v>724</v>
      </c>
      <c r="E5442" s="2">
        <v>1.1180000000000001</v>
      </c>
    </row>
    <row r="5443" spans="1:5" x14ac:dyDescent="0.25">
      <c r="A5443" s="32" t="s">
        <v>767</v>
      </c>
      <c r="B5443" s="7">
        <v>2009</v>
      </c>
      <c r="C5443" s="51" t="s">
        <v>708</v>
      </c>
      <c r="D5443" t="s">
        <v>724</v>
      </c>
      <c r="E5443" s="2">
        <v>1.2869999999999999</v>
      </c>
    </row>
    <row r="5444" spans="1:5" x14ac:dyDescent="0.25">
      <c r="A5444" s="32" t="s">
        <v>767</v>
      </c>
      <c r="B5444" s="7">
        <v>2009</v>
      </c>
      <c r="C5444" s="51" t="s">
        <v>699</v>
      </c>
      <c r="D5444" t="s">
        <v>724</v>
      </c>
      <c r="E5444" s="2">
        <v>1.2729999999999999</v>
      </c>
    </row>
    <row r="5445" spans="1:5" x14ac:dyDescent="0.25">
      <c r="A5445" s="32" t="s">
        <v>767</v>
      </c>
      <c r="B5445" s="7">
        <v>2009</v>
      </c>
      <c r="C5445" s="51" t="s">
        <v>709</v>
      </c>
      <c r="D5445" t="s">
        <v>724</v>
      </c>
      <c r="E5445" s="2">
        <v>1.1120000000000001</v>
      </c>
    </row>
    <row r="5446" spans="1:5" x14ac:dyDescent="0.25">
      <c r="A5446" s="32" t="s">
        <v>767</v>
      </c>
      <c r="B5446" s="7">
        <v>2009</v>
      </c>
      <c r="C5446" s="51" t="s">
        <v>712</v>
      </c>
      <c r="D5446" t="s">
        <v>724</v>
      </c>
      <c r="E5446" s="2">
        <v>1.8129999999999999</v>
      </c>
    </row>
    <row r="5447" spans="1:5" x14ac:dyDescent="0.25">
      <c r="A5447" s="32" t="s">
        <v>767</v>
      </c>
      <c r="B5447" s="7">
        <v>2009</v>
      </c>
      <c r="C5447" s="51" t="s">
        <v>710</v>
      </c>
      <c r="D5447" t="s">
        <v>724</v>
      </c>
      <c r="E5447" s="2">
        <v>0.90300000000000002</v>
      </c>
    </row>
    <row r="5448" spans="1:5" x14ac:dyDescent="0.25">
      <c r="A5448" s="32" t="s">
        <v>767</v>
      </c>
      <c r="B5448" s="7">
        <v>2009</v>
      </c>
      <c r="C5448" s="51" t="s">
        <v>702</v>
      </c>
      <c r="D5448" t="s">
        <v>724</v>
      </c>
      <c r="E5448" s="2">
        <v>1.992</v>
      </c>
    </row>
    <row r="5449" spans="1:5" x14ac:dyDescent="0.25">
      <c r="A5449" s="32" t="s">
        <v>767</v>
      </c>
      <c r="B5449" s="7">
        <v>2009</v>
      </c>
      <c r="C5449" s="51" t="s">
        <v>703</v>
      </c>
      <c r="D5449" t="s">
        <v>724</v>
      </c>
      <c r="E5449" s="2">
        <v>1.5309999999999999</v>
      </c>
    </row>
    <row r="5450" spans="1:5" x14ac:dyDescent="0.25">
      <c r="A5450" s="32" t="s">
        <v>767</v>
      </c>
      <c r="B5450" s="7">
        <v>2009</v>
      </c>
      <c r="C5450" s="51" t="s">
        <v>704</v>
      </c>
      <c r="D5450" t="s">
        <v>724</v>
      </c>
      <c r="E5450" s="2">
        <v>2.387</v>
      </c>
    </row>
    <row r="5451" spans="1:5" x14ac:dyDescent="0.25">
      <c r="A5451" s="32" t="s">
        <v>767</v>
      </c>
      <c r="B5451" s="7">
        <v>2009</v>
      </c>
      <c r="C5451" s="51" t="s">
        <v>705</v>
      </c>
      <c r="D5451" t="s">
        <v>724</v>
      </c>
      <c r="E5451" s="2">
        <v>2</v>
      </c>
    </row>
    <row r="5452" spans="1:5" x14ac:dyDescent="0.25">
      <c r="A5452" s="32" t="s">
        <v>767</v>
      </c>
      <c r="B5452" s="7">
        <v>2009</v>
      </c>
      <c r="C5452" s="51" t="s">
        <v>706</v>
      </c>
      <c r="D5452" t="s">
        <v>724</v>
      </c>
      <c r="E5452" s="2">
        <v>1.9259999999999999</v>
      </c>
    </row>
    <row r="5453" spans="1:5" x14ac:dyDescent="0.25">
      <c r="A5453" s="32" t="s">
        <v>767</v>
      </c>
      <c r="B5453" s="7">
        <v>2010</v>
      </c>
      <c r="C5453" s="51" t="s">
        <v>713</v>
      </c>
      <c r="D5453" t="s">
        <v>724</v>
      </c>
      <c r="E5453" s="2">
        <v>1.512</v>
      </c>
    </row>
    <row r="5454" spans="1:5" x14ac:dyDescent="0.25">
      <c r="A5454" s="32" t="s">
        <v>767</v>
      </c>
      <c r="B5454" s="7">
        <v>2010</v>
      </c>
      <c r="C5454" s="51" t="s">
        <v>707</v>
      </c>
      <c r="D5454" t="s">
        <v>724</v>
      </c>
      <c r="E5454" s="2">
        <v>1.9330000000000001</v>
      </c>
    </row>
    <row r="5455" spans="1:5" x14ac:dyDescent="0.25">
      <c r="A5455" s="32" t="s">
        <v>767</v>
      </c>
      <c r="B5455" s="7">
        <v>2010</v>
      </c>
      <c r="C5455" s="51" t="s">
        <v>708</v>
      </c>
      <c r="D5455" t="s">
        <v>724</v>
      </c>
      <c r="E5455" s="2">
        <v>2.0760000000000001</v>
      </c>
    </row>
    <row r="5456" spans="1:5" x14ac:dyDescent="0.25">
      <c r="A5456" s="32" t="s">
        <v>767</v>
      </c>
      <c r="B5456" s="7">
        <v>2010</v>
      </c>
      <c r="C5456" s="51" t="s">
        <v>699</v>
      </c>
      <c r="D5456" t="s">
        <v>724</v>
      </c>
      <c r="E5456" s="2">
        <v>1.9930000000000001</v>
      </c>
    </row>
    <row r="5457" spans="1:5" x14ac:dyDescent="0.25">
      <c r="A5457" s="32" t="s">
        <v>767</v>
      </c>
      <c r="B5457" s="7">
        <v>2010</v>
      </c>
      <c r="C5457" s="51" t="s">
        <v>709</v>
      </c>
      <c r="D5457" t="s">
        <v>724</v>
      </c>
      <c r="E5457" s="2">
        <v>2.4159999999999999</v>
      </c>
    </row>
    <row r="5458" spans="1:5" x14ac:dyDescent="0.25">
      <c r="A5458" s="32" t="s">
        <v>767</v>
      </c>
      <c r="B5458" s="7">
        <v>2010</v>
      </c>
      <c r="C5458" s="51" t="s">
        <v>712</v>
      </c>
      <c r="D5458" t="s">
        <v>724</v>
      </c>
      <c r="E5458" s="2">
        <v>2.9980000000000002</v>
      </c>
    </row>
    <row r="5459" spans="1:5" x14ac:dyDescent="0.25">
      <c r="A5459" s="32" t="s">
        <v>767</v>
      </c>
      <c r="B5459" s="7">
        <v>2010</v>
      </c>
      <c r="C5459" s="51" t="s">
        <v>710</v>
      </c>
      <c r="D5459" t="s">
        <v>724</v>
      </c>
      <c r="E5459" s="2">
        <v>2.9489999999999998</v>
      </c>
    </row>
    <row r="5460" spans="1:5" x14ac:dyDescent="0.25">
      <c r="A5460" s="32" t="s">
        <v>767</v>
      </c>
      <c r="B5460" s="7">
        <v>2010</v>
      </c>
      <c r="C5460" s="51" t="s">
        <v>702</v>
      </c>
      <c r="D5460" t="s">
        <v>724</v>
      </c>
      <c r="E5460" s="2">
        <v>3.202</v>
      </c>
    </row>
    <row r="5461" spans="1:5" x14ac:dyDescent="0.25">
      <c r="A5461" s="32" t="s">
        <v>767</v>
      </c>
      <c r="B5461" s="7">
        <v>2010</v>
      </c>
      <c r="C5461" s="51" t="s">
        <v>703</v>
      </c>
      <c r="D5461" t="s">
        <v>724</v>
      </c>
      <c r="E5461" s="2">
        <v>2.9750000000000001</v>
      </c>
    </row>
    <row r="5462" spans="1:5" x14ac:dyDescent="0.25">
      <c r="A5462" s="32" t="s">
        <v>767</v>
      </c>
      <c r="B5462" s="7">
        <v>2010</v>
      </c>
      <c r="C5462" s="51" t="s">
        <v>704</v>
      </c>
      <c r="D5462" t="s">
        <v>724</v>
      </c>
      <c r="E5462" s="2">
        <v>2.633</v>
      </c>
    </row>
    <row r="5463" spans="1:5" x14ac:dyDescent="0.25">
      <c r="A5463" s="32" t="s">
        <v>767</v>
      </c>
      <c r="B5463" s="7">
        <v>2010</v>
      </c>
      <c r="C5463" s="51" t="s">
        <v>705</v>
      </c>
      <c r="D5463" t="s">
        <v>724</v>
      </c>
      <c r="E5463" s="2">
        <v>2.395</v>
      </c>
    </row>
    <row r="5464" spans="1:5" x14ac:dyDescent="0.25">
      <c r="A5464" s="32" t="s">
        <v>767</v>
      </c>
      <c r="B5464" s="7">
        <v>2010</v>
      </c>
      <c r="C5464" s="51" t="s">
        <v>706</v>
      </c>
      <c r="D5464" t="s">
        <v>724</v>
      </c>
      <c r="E5464" s="2">
        <v>2.0880000000000001</v>
      </c>
    </row>
    <row r="5465" spans="1:5" x14ac:dyDescent="0.25">
      <c r="A5465" s="32" t="s">
        <v>767</v>
      </c>
      <c r="B5465" s="7">
        <v>2011</v>
      </c>
      <c r="C5465" s="51" t="s">
        <v>713</v>
      </c>
      <c r="D5465" t="s">
        <v>724</v>
      </c>
      <c r="E5465" s="2">
        <v>2.1989999999999998</v>
      </c>
    </row>
    <row r="5466" spans="1:5" x14ac:dyDescent="0.25">
      <c r="A5466" s="32" t="s">
        <v>767</v>
      </c>
      <c r="B5466" s="7">
        <v>2011</v>
      </c>
      <c r="C5466" s="51" t="s">
        <v>707</v>
      </c>
      <c r="D5466" t="s">
        <v>724</v>
      </c>
      <c r="E5466" s="2">
        <v>2.0720000000000001</v>
      </c>
    </row>
    <row r="5467" spans="1:5" x14ac:dyDescent="0.25">
      <c r="A5467" s="32" t="s">
        <v>767</v>
      </c>
      <c r="B5467" s="7">
        <v>2011</v>
      </c>
      <c r="C5467" s="51" t="s">
        <v>708</v>
      </c>
      <c r="D5467" t="s">
        <v>724</v>
      </c>
      <c r="E5467" s="2">
        <v>2.105</v>
      </c>
    </row>
    <row r="5468" spans="1:5" x14ac:dyDescent="0.25">
      <c r="A5468" s="32" t="s">
        <v>767</v>
      </c>
      <c r="B5468" s="7">
        <v>2011</v>
      </c>
      <c r="C5468" s="51" t="s">
        <v>699</v>
      </c>
      <c r="D5468" t="s">
        <v>724</v>
      </c>
      <c r="E5468" s="2">
        <v>1.978</v>
      </c>
    </row>
    <row r="5469" spans="1:5" x14ac:dyDescent="0.25">
      <c r="A5469" s="32" t="s">
        <v>767</v>
      </c>
      <c r="B5469" s="7">
        <v>2011</v>
      </c>
      <c r="C5469" s="51" t="s">
        <v>709</v>
      </c>
      <c r="D5469" t="s">
        <v>724</v>
      </c>
      <c r="E5469" s="2">
        <v>2.2690000000000001</v>
      </c>
    </row>
    <row r="5470" spans="1:5" x14ac:dyDescent="0.25">
      <c r="A5470" s="32" t="s">
        <v>767</v>
      </c>
      <c r="B5470" s="7">
        <v>2011</v>
      </c>
      <c r="C5470" s="51" t="s">
        <v>712</v>
      </c>
      <c r="D5470" t="s">
        <v>724</v>
      </c>
      <c r="E5470" s="2">
        <v>2.5369999999999999</v>
      </c>
    </row>
    <row r="5471" spans="1:5" x14ac:dyDescent="0.25">
      <c r="A5471" s="32" t="s">
        <v>767</v>
      </c>
      <c r="B5471" s="7">
        <v>2011</v>
      </c>
      <c r="C5471" s="51" t="s">
        <v>710</v>
      </c>
      <c r="D5471" t="s">
        <v>724</v>
      </c>
      <c r="E5471" s="2">
        <v>2.8479999999999999</v>
      </c>
    </row>
    <row r="5472" spans="1:5" x14ac:dyDescent="0.25">
      <c r="A5472" s="32" t="s">
        <v>767</v>
      </c>
      <c r="B5472" s="7">
        <v>2011</v>
      </c>
      <c r="C5472" s="51" t="s">
        <v>702</v>
      </c>
      <c r="D5472" t="s">
        <v>724</v>
      </c>
      <c r="E5472" s="2">
        <v>2.7360000000000002</v>
      </c>
    </row>
    <row r="5473" spans="1:5" x14ac:dyDescent="0.25">
      <c r="A5473" s="32" t="s">
        <v>767</v>
      </c>
      <c r="B5473" s="7">
        <v>2011</v>
      </c>
      <c r="C5473" s="51" t="s">
        <v>703</v>
      </c>
      <c r="D5473" t="s">
        <v>724</v>
      </c>
      <c r="E5473" s="2">
        <v>2.9449999999999998</v>
      </c>
    </row>
    <row r="5474" spans="1:5" x14ac:dyDescent="0.25">
      <c r="A5474" s="32" t="s">
        <v>767</v>
      </c>
      <c r="B5474" s="7">
        <v>2011</v>
      </c>
      <c r="C5474" s="51" t="s">
        <v>704</v>
      </c>
      <c r="D5474" t="s">
        <v>724</v>
      </c>
      <c r="E5474" s="2">
        <v>2.3879999999999999</v>
      </c>
    </row>
    <row r="5475" spans="1:5" x14ac:dyDescent="0.25">
      <c r="A5475" s="32" t="s">
        <v>767</v>
      </c>
      <c r="B5475" s="7">
        <v>2011</v>
      </c>
      <c r="C5475" s="51" t="s">
        <v>705</v>
      </c>
      <c r="D5475" t="s">
        <v>724</v>
      </c>
      <c r="E5475" s="2">
        <v>1.98</v>
      </c>
    </row>
    <row r="5476" spans="1:5" x14ac:dyDescent="0.25">
      <c r="A5476" s="32" t="s">
        <v>767</v>
      </c>
      <c r="B5476" s="7">
        <v>2011</v>
      </c>
      <c r="C5476" s="51" t="s">
        <v>706</v>
      </c>
      <c r="D5476" t="s">
        <v>724</v>
      </c>
      <c r="E5476" s="2">
        <v>1.623</v>
      </c>
    </row>
    <row r="5477" spans="1:5" x14ac:dyDescent="0.25">
      <c r="A5477" s="32" t="s">
        <v>767</v>
      </c>
      <c r="B5477" s="7">
        <v>2012</v>
      </c>
      <c r="C5477" s="51" t="s">
        <v>713</v>
      </c>
      <c r="D5477" t="s">
        <v>724</v>
      </c>
      <c r="E5477" s="2">
        <v>1.5649999999999999</v>
      </c>
    </row>
    <row r="5478" spans="1:5" x14ac:dyDescent="0.25">
      <c r="A5478" s="32" t="s">
        <v>767</v>
      </c>
      <c r="B5478" s="7">
        <v>2012</v>
      </c>
      <c r="C5478" s="51" t="s">
        <v>707</v>
      </c>
      <c r="D5478" t="s">
        <v>724</v>
      </c>
      <c r="E5478" s="2">
        <v>1.49</v>
      </c>
    </row>
    <row r="5479" spans="1:5" x14ac:dyDescent="0.25">
      <c r="A5479" s="32" t="s">
        <v>767</v>
      </c>
      <c r="B5479" s="7">
        <v>2012</v>
      </c>
      <c r="C5479" s="51" t="s">
        <v>708</v>
      </c>
      <c r="D5479" t="s">
        <v>724</v>
      </c>
      <c r="E5479" s="2">
        <v>1.4950000000000001</v>
      </c>
    </row>
    <row r="5480" spans="1:5" x14ac:dyDescent="0.25">
      <c r="A5480" s="32" t="s">
        <v>767</v>
      </c>
      <c r="B5480" s="7">
        <v>2012</v>
      </c>
      <c r="C5480" s="51" t="s">
        <v>699</v>
      </c>
      <c r="D5480" t="s">
        <v>724</v>
      </c>
      <c r="E5480" s="2">
        <v>1.798</v>
      </c>
    </row>
    <row r="5481" spans="1:5" x14ac:dyDescent="0.25">
      <c r="A5481" s="32" t="s">
        <v>767</v>
      </c>
      <c r="B5481" s="7">
        <v>2012</v>
      </c>
      <c r="C5481" s="51" t="s">
        <v>709</v>
      </c>
      <c r="D5481" t="s">
        <v>724</v>
      </c>
      <c r="E5481" s="2">
        <v>1.8160000000000001</v>
      </c>
    </row>
    <row r="5482" spans="1:5" x14ac:dyDescent="0.25">
      <c r="A5482" s="32" t="s">
        <v>767</v>
      </c>
      <c r="B5482" s="7">
        <v>2012</v>
      </c>
      <c r="C5482" s="51" t="s">
        <v>712</v>
      </c>
      <c r="D5482" t="s">
        <v>724</v>
      </c>
      <c r="E5482" s="2">
        <v>1.7190000000000001</v>
      </c>
    </row>
    <row r="5483" spans="1:5" x14ac:dyDescent="0.25">
      <c r="A5483" s="32" t="s">
        <v>767</v>
      </c>
      <c r="B5483" s="7">
        <v>2012</v>
      </c>
      <c r="C5483" s="51" t="s">
        <v>710</v>
      </c>
      <c r="D5483" t="s">
        <v>724</v>
      </c>
      <c r="E5483" s="2">
        <v>1.8979999999999999</v>
      </c>
    </row>
    <row r="5484" spans="1:5" x14ac:dyDescent="0.25">
      <c r="A5484" s="32" t="s">
        <v>767</v>
      </c>
      <c r="B5484" s="7">
        <v>2012</v>
      </c>
      <c r="C5484" s="51" t="s">
        <v>702</v>
      </c>
      <c r="D5484" t="s">
        <v>724</v>
      </c>
      <c r="E5484" s="2">
        <v>0.748</v>
      </c>
    </row>
    <row r="5485" spans="1:5" x14ac:dyDescent="0.25">
      <c r="A5485" s="32" t="s">
        <v>767</v>
      </c>
      <c r="B5485" s="7">
        <v>2012</v>
      </c>
      <c r="C5485" s="51" t="s">
        <v>703</v>
      </c>
      <c r="D5485" t="s">
        <v>724</v>
      </c>
      <c r="E5485" s="2">
        <v>0.58799999999999997</v>
      </c>
    </row>
    <row r="5486" spans="1:5" x14ac:dyDescent="0.25">
      <c r="A5486" s="32" t="s">
        <v>767</v>
      </c>
      <c r="B5486" s="7">
        <v>2012</v>
      </c>
      <c r="C5486" s="51" t="s">
        <v>704</v>
      </c>
      <c r="D5486" t="s">
        <v>724</v>
      </c>
      <c r="E5486" s="2">
        <v>0.89400000000000002</v>
      </c>
    </row>
    <row r="5487" spans="1:5" x14ac:dyDescent="0.25">
      <c r="A5487" s="32" t="s">
        <v>767</v>
      </c>
      <c r="B5487" s="7">
        <v>2012</v>
      </c>
      <c r="C5487" s="51" t="s">
        <v>705</v>
      </c>
      <c r="D5487" t="s">
        <v>724</v>
      </c>
      <c r="E5487" s="2">
        <v>0.67700000000000005</v>
      </c>
    </row>
    <row r="5488" spans="1:5" x14ac:dyDescent="0.25">
      <c r="A5488" s="32" t="s">
        <v>767</v>
      </c>
      <c r="B5488" s="7">
        <v>2012</v>
      </c>
      <c r="C5488" s="51" t="s">
        <v>706</v>
      </c>
      <c r="D5488" t="s">
        <v>724</v>
      </c>
      <c r="E5488" s="2">
        <v>1.454</v>
      </c>
    </row>
    <row r="5489" spans="1:5" x14ac:dyDescent="0.25">
      <c r="A5489" s="32" t="s">
        <v>767</v>
      </c>
      <c r="B5489" s="7">
        <v>2013</v>
      </c>
      <c r="C5489" s="51" t="s">
        <v>713</v>
      </c>
      <c r="D5489" t="s">
        <v>724</v>
      </c>
      <c r="E5489" s="2">
        <v>2.746</v>
      </c>
    </row>
    <row r="5490" spans="1:5" x14ac:dyDescent="0.25">
      <c r="A5490" s="32" t="s">
        <v>767</v>
      </c>
      <c r="B5490" s="7">
        <v>2013</v>
      </c>
      <c r="C5490" s="51" t="s">
        <v>707</v>
      </c>
      <c r="D5490" t="s">
        <v>724</v>
      </c>
      <c r="E5490" s="2">
        <v>2.2120000000000002</v>
      </c>
    </row>
    <row r="5491" spans="1:5" x14ac:dyDescent="0.25">
      <c r="A5491" s="32" t="s">
        <v>767</v>
      </c>
      <c r="B5491" s="7">
        <v>2013</v>
      </c>
      <c r="C5491" s="51" t="s">
        <v>708</v>
      </c>
      <c r="D5491" t="s">
        <v>724</v>
      </c>
      <c r="E5491" s="2">
        <v>2.6320000000000001</v>
      </c>
    </row>
    <row r="5492" spans="1:5" x14ac:dyDescent="0.25">
      <c r="A5492" s="32" t="s">
        <v>767</v>
      </c>
      <c r="B5492" s="7">
        <v>2013</v>
      </c>
      <c r="C5492" s="51" t="s">
        <v>699</v>
      </c>
      <c r="D5492" t="s">
        <v>724</v>
      </c>
      <c r="E5492" s="2">
        <v>2.165</v>
      </c>
    </row>
    <row r="5493" spans="1:5" x14ac:dyDescent="0.25">
      <c r="A5493" s="32" t="s">
        <v>767</v>
      </c>
      <c r="B5493" s="7">
        <v>2013</v>
      </c>
      <c r="C5493" s="51" t="s">
        <v>709</v>
      </c>
      <c r="D5493" t="s">
        <v>724</v>
      </c>
      <c r="E5493" s="2">
        <v>0.81699999999999995</v>
      </c>
    </row>
    <row r="5494" spans="1:5" x14ac:dyDescent="0.25">
      <c r="A5494" s="32" t="s">
        <v>767</v>
      </c>
      <c r="B5494" s="7">
        <v>2013</v>
      </c>
      <c r="C5494" s="51" t="s">
        <v>712</v>
      </c>
      <c r="D5494" t="s">
        <v>724</v>
      </c>
      <c r="E5494" s="2">
        <v>2.14</v>
      </c>
    </row>
    <row r="5495" spans="1:5" x14ac:dyDescent="0.25">
      <c r="A5495" s="32" t="s">
        <v>767</v>
      </c>
      <c r="B5495" s="7">
        <v>2013</v>
      </c>
      <c r="C5495" s="51" t="s">
        <v>710</v>
      </c>
      <c r="D5495" t="s">
        <v>724</v>
      </c>
      <c r="E5495" s="2">
        <v>2.4470000000000001</v>
      </c>
    </row>
    <row r="5496" spans="1:5" x14ac:dyDescent="0.25">
      <c r="A5496" s="32" t="s">
        <v>767</v>
      </c>
      <c r="B5496" s="7">
        <v>2013</v>
      </c>
      <c r="C5496" s="51" t="s">
        <v>702</v>
      </c>
      <c r="D5496" t="s">
        <v>724</v>
      </c>
      <c r="E5496" s="2">
        <v>2.169</v>
      </c>
    </row>
    <row r="5497" spans="1:5" x14ac:dyDescent="0.25">
      <c r="A5497" s="32" t="s">
        <v>767</v>
      </c>
      <c r="B5497" s="7">
        <v>2013</v>
      </c>
      <c r="C5497" s="51" t="s">
        <v>703</v>
      </c>
      <c r="D5497" t="s">
        <v>724</v>
      </c>
      <c r="E5497" s="2">
        <v>3</v>
      </c>
    </row>
    <row r="5498" spans="1:5" x14ac:dyDescent="0.25">
      <c r="A5498" s="32" t="s">
        <v>767</v>
      </c>
      <c r="B5498" s="7">
        <v>2013</v>
      </c>
      <c r="C5498" s="51" t="s">
        <v>704</v>
      </c>
      <c r="D5498" t="s">
        <v>724</v>
      </c>
      <c r="E5498" s="2">
        <v>2.5649999999999999</v>
      </c>
    </row>
    <row r="5499" spans="1:5" x14ac:dyDescent="0.25">
      <c r="A5499" s="32" t="s">
        <v>767</v>
      </c>
      <c r="B5499" s="7">
        <v>2013</v>
      </c>
      <c r="C5499" s="51" t="s">
        <v>705</v>
      </c>
      <c r="D5499" t="s">
        <v>724</v>
      </c>
      <c r="E5499" s="2">
        <v>2.298</v>
      </c>
    </row>
    <row r="5500" spans="1:5" x14ac:dyDescent="0.25">
      <c r="A5500" s="32" t="s">
        <v>767</v>
      </c>
      <c r="B5500" s="7">
        <v>2013</v>
      </c>
      <c r="C5500" s="51" t="s">
        <v>706</v>
      </c>
      <c r="D5500" t="s">
        <v>724</v>
      </c>
      <c r="E5500" s="2">
        <v>2.4769999999999999</v>
      </c>
    </row>
    <row r="5501" spans="1:5" x14ac:dyDescent="0.25">
      <c r="A5501" s="32" t="s">
        <v>767</v>
      </c>
      <c r="B5501" s="7">
        <v>2014</v>
      </c>
      <c r="C5501" s="51" t="s">
        <v>713</v>
      </c>
      <c r="D5501" t="s">
        <v>724</v>
      </c>
      <c r="E5501" s="2">
        <v>1.92</v>
      </c>
    </row>
    <row r="5502" spans="1:5" x14ac:dyDescent="0.25">
      <c r="A5502" s="32" t="s">
        <v>767</v>
      </c>
      <c r="B5502" s="7">
        <v>2014</v>
      </c>
      <c r="C5502" s="51" t="s">
        <v>707</v>
      </c>
      <c r="D5502" t="s">
        <v>724</v>
      </c>
      <c r="E5502" s="2">
        <v>1.796</v>
      </c>
    </row>
    <row r="5503" spans="1:5" x14ac:dyDescent="0.25">
      <c r="A5503" s="32" t="s">
        <v>767</v>
      </c>
      <c r="B5503" s="7">
        <v>2014</v>
      </c>
      <c r="C5503" s="51" t="s">
        <v>708</v>
      </c>
      <c r="D5503" t="s">
        <v>724</v>
      </c>
      <c r="E5503" s="2">
        <v>2.165</v>
      </c>
    </row>
    <row r="5504" spans="1:5" x14ac:dyDescent="0.25">
      <c r="A5504" s="32" t="s">
        <v>767</v>
      </c>
      <c r="B5504" s="7">
        <v>2014</v>
      </c>
      <c r="C5504" s="51" t="s">
        <v>699</v>
      </c>
      <c r="D5504" t="s">
        <v>724</v>
      </c>
      <c r="E5504" s="2">
        <v>2.403</v>
      </c>
    </row>
    <row r="5505" spans="1:5" x14ac:dyDescent="0.25">
      <c r="A5505" s="32" t="s">
        <v>767</v>
      </c>
      <c r="B5505" s="7">
        <v>2014</v>
      </c>
      <c r="C5505" s="51" t="s">
        <v>709</v>
      </c>
      <c r="D5505" t="s">
        <v>724</v>
      </c>
      <c r="E5505" s="2">
        <v>2.7719999999999998</v>
      </c>
    </row>
    <row r="5506" spans="1:5" x14ac:dyDescent="0.25">
      <c r="A5506" s="32" t="s">
        <v>767</v>
      </c>
      <c r="B5506" s="7">
        <v>2014</v>
      </c>
      <c r="C5506" s="51" t="s">
        <v>712</v>
      </c>
      <c r="D5506" t="s">
        <v>724</v>
      </c>
      <c r="E5506" s="2">
        <v>2.5779999999999998</v>
      </c>
    </row>
    <row r="5507" spans="1:5" x14ac:dyDescent="0.25">
      <c r="A5507" s="32" t="s">
        <v>767</v>
      </c>
      <c r="B5507" s="7">
        <v>2014</v>
      </c>
      <c r="C5507" s="51" t="s">
        <v>710</v>
      </c>
      <c r="D5507" t="s">
        <v>724</v>
      </c>
      <c r="E5507" s="2">
        <v>2.95</v>
      </c>
    </row>
    <row r="5508" spans="1:5" x14ac:dyDescent="0.25">
      <c r="A5508" s="32" t="s">
        <v>767</v>
      </c>
      <c r="B5508" s="7">
        <v>2014</v>
      </c>
      <c r="C5508" s="51" t="s">
        <v>702</v>
      </c>
      <c r="D5508" t="s">
        <v>724</v>
      </c>
      <c r="E5508" s="2">
        <v>3.7850000000000001</v>
      </c>
    </row>
    <row r="5509" spans="1:5" x14ac:dyDescent="0.25">
      <c r="A5509" s="32" t="s">
        <v>767</v>
      </c>
      <c r="B5509" s="7">
        <v>2014</v>
      </c>
      <c r="C5509" s="51" t="s">
        <v>703</v>
      </c>
      <c r="D5509" t="s">
        <v>724</v>
      </c>
      <c r="E5509" s="2">
        <v>1.601</v>
      </c>
    </row>
    <row r="5510" spans="1:5" x14ac:dyDescent="0.25">
      <c r="A5510" s="32" t="s">
        <v>767</v>
      </c>
      <c r="B5510" s="7">
        <v>2014</v>
      </c>
      <c r="C5510" s="51" t="s">
        <v>704</v>
      </c>
      <c r="D5510" t="s">
        <v>724</v>
      </c>
      <c r="E5510" s="2">
        <v>1.6759999999999999</v>
      </c>
    </row>
    <row r="5511" spans="1:5" x14ac:dyDescent="0.25">
      <c r="A5511" s="32" t="s">
        <v>767</v>
      </c>
      <c r="B5511" s="7">
        <v>2014</v>
      </c>
      <c r="C5511" s="51" t="s">
        <v>705</v>
      </c>
      <c r="D5511" t="s">
        <v>724</v>
      </c>
      <c r="E5511" s="2">
        <v>1.9219999999999999</v>
      </c>
    </row>
    <row r="5512" spans="1:5" x14ac:dyDescent="0.25">
      <c r="A5512" s="32" t="s">
        <v>767</v>
      </c>
      <c r="B5512" s="7">
        <v>2014</v>
      </c>
      <c r="C5512" s="51" t="s">
        <v>706</v>
      </c>
      <c r="D5512" t="s">
        <v>724</v>
      </c>
      <c r="E5512" s="2">
        <v>1.417</v>
      </c>
    </row>
    <row r="5513" spans="1:5" x14ac:dyDescent="0.25">
      <c r="A5513" s="32" t="s">
        <v>767</v>
      </c>
      <c r="B5513" s="7">
        <v>2015</v>
      </c>
      <c r="C5513" s="51" t="s">
        <v>713</v>
      </c>
      <c r="D5513" t="s">
        <v>724</v>
      </c>
      <c r="E5513" s="2">
        <v>1.5109999999999999</v>
      </c>
    </row>
    <row r="5514" spans="1:5" x14ac:dyDescent="0.25">
      <c r="A5514" s="32" t="s">
        <v>767</v>
      </c>
      <c r="B5514" s="7">
        <v>2015</v>
      </c>
      <c r="C5514" s="51" t="s">
        <v>707</v>
      </c>
      <c r="D5514" t="s">
        <v>724</v>
      </c>
      <c r="E5514" s="2">
        <v>1.2190000000000001</v>
      </c>
    </row>
    <row r="5515" spans="1:5" x14ac:dyDescent="0.25">
      <c r="A5515" s="32" t="s">
        <v>767</v>
      </c>
      <c r="B5515" s="7">
        <v>2015</v>
      </c>
      <c r="C5515" s="51" t="s">
        <v>708</v>
      </c>
      <c r="D5515" t="s">
        <v>724</v>
      </c>
      <c r="E5515" s="2">
        <v>1.4470000000000001</v>
      </c>
    </row>
    <row r="5516" spans="1:5" x14ac:dyDescent="0.25">
      <c r="A5516" s="32" t="s">
        <v>767</v>
      </c>
      <c r="B5516" s="7">
        <v>2015</v>
      </c>
      <c r="C5516" s="51" t="s">
        <v>699</v>
      </c>
      <c r="D5516" t="s">
        <v>724</v>
      </c>
      <c r="E5516" s="2">
        <v>1.419</v>
      </c>
    </row>
    <row r="5517" spans="1:5" x14ac:dyDescent="0.25">
      <c r="A5517" s="32" t="s">
        <v>767</v>
      </c>
      <c r="B5517" s="7">
        <v>2015</v>
      </c>
      <c r="C5517" s="51" t="s">
        <v>709</v>
      </c>
      <c r="D5517" t="s">
        <v>724</v>
      </c>
      <c r="E5517" s="2">
        <v>1.405</v>
      </c>
    </row>
    <row r="5518" spans="1:5" x14ac:dyDescent="0.25">
      <c r="A5518" s="32" t="s">
        <v>767</v>
      </c>
      <c r="B5518" s="7">
        <v>2015</v>
      </c>
      <c r="C5518" s="51" t="s">
        <v>712</v>
      </c>
      <c r="D5518" t="s">
        <v>724</v>
      </c>
      <c r="E5518" s="2">
        <v>1.742</v>
      </c>
    </row>
    <row r="5519" spans="1:5" x14ac:dyDescent="0.25">
      <c r="A5519" s="32" t="s">
        <v>767</v>
      </c>
      <c r="B5519" s="7">
        <v>2015</v>
      </c>
      <c r="C5519" s="51" t="s">
        <v>710</v>
      </c>
      <c r="D5519" t="s">
        <v>724</v>
      </c>
      <c r="E5519" s="2">
        <v>1.806</v>
      </c>
    </row>
    <row r="5520" spans="1:5" x14ac:dyDescent="0.25">
      <c r="A5520" s="32" t="s">
        <v>767</v>
      </c>
      <c r="B5520" s="7">
        <v>2015</v>
      </c>
      <c r="C5520" s="51" t="s">
        <v>702</v>
      </c>
      <c r="D5520" t="s">
        <v>724</v>
      </c>
      <c r="E5520" s="2">
        <v>3.1909999999999998</v>
      </c>
    </row>
    <row r="5521" spans="1:5" x14ac:dyDescent="0.25">
      <c r="A5521" s="32" t="s">
        <v>767</v>
      </c>
      <c r="B5521" s="7">
        <v>2015</v>
      </c>
      <c r="C5521" s="51" t="s">
        <v>703</v>
      </c>
      <c r="D5521" t="s">
        <v>724</v>
      </c>
      <c r="E5521" s="2">
        <v>2.6920000000000002</v>
      </c>
    </row>
    <row r="5522" spans="1:5" x14ac:dyDescent="0.25">
      <c r="A5522" s="32" t="s">
        <v>767</v>
      </c>
      <c r="B5522" s="7">
        <v>2015</v>
      </c>
      <c r="C5522" s="51" t="s">
        <v>704</v>
      </c>
      <c r="D5522" t="s">
        <v>724</v>
      </c>
      <c r="E5522" s="2">
        <v>2.1150000000000002</v>
      </c>
    </row>
    <row r="5523" spans="1:5" x14ac:dyDescent="0.25">
      <c r="A5523" s="32" t="s">
        <v>767</v>
      </c>
      <c r="B5523" s="7">
        <v>2015</v>
      </c>
      <c r="C5523" s="51" t="s">
        <v>705</v>
      </c>
      <c r="D5523" t="s">
        <v>724</v>
      </c>
      <c r="E5523" s="2">
        <v>1.996</v>
      </c>
    </row>
    <row r="5524" spans="1:5" x14ac:dyDescent="0.25">
      <c r="A5524" s="32" t="s">
        <v>767</v>
      </c>
      <c r="B5524" s="7">
        <v>2015</v>
      </c>
      <c r="C5524" s="51" t="s">
        <v>706</v>
      </c>
      <c r="D5524" t="s">
        <v>724</v>
      </c>
      <c r="E5524" s="2">
        <v>1.9330000000000001</v>
      </c>
    </row>
    <row r="5525" spans="1:5" x14ac:dyDescent="0.25">
      <c r="A5525" s="32" t="s">
        <v>767</v>
      </c>
      <c r="B5525" s="7">
        <v>2016</v>
      </c>
      <c r="C5525" s="51" t="s">
        <v>713</v>
      </c>
      <c r="D5525" t="s">
        <v>724</v>
      </c>
      <c r="E5525" s="2">
        <v>1.66</v>
      </c>
    </row>
    <row r="5526" spans="1:5" x14ac:dyDescent="0.25">
      <c r="A5526" s="32" t="s">
        <v>767</v>
      </c>
      <c r="B5526" s="7">
        <v>2016</v>
      </c>
      <c r="C5526" s="51" t="s">
        <v>707</v>
      </c>
      <c r="D5526" t="s">
        <v>724</v>
      </c>
      <c r="E5526" s="2">
        <v>2.0099999999999998</v>
      </c>
    </row>
    <row r="5527" spans="1:5" x14ac:dyDescent="0.25">
      <c r="A5527" s="32" t="s">
        <v>767</v>
      </c>
      <c r="B5527" s="7">
        <v>2016</v>
      </c>
      <c r="C5527" s="51" t="s">
        <v>708</v>
      </c>
      <c r="D5527" t="s">
        <v>724</v>
      </c>
      <c r="E5527" s="2">
        <v>1.99</v>
      </c>
    </row>
    <row r="5528" spans="1:5" x14ac:dyDescent="0.25">
      <c r="A5528" s="32" t="s">
        <v>767</v>
      </c>
      <c r="B5528" s="7">
        <v>2016</v>
      </c>
      <c r="C5528" s="51" t="s">
        <v>699</v>
      </c>
      <c r="D5528" t="s">
        <v>724</v>
      </c>
      <c r="E5528" s="2">
        <v>1.8149999999999999</v>
      </c>
    </row>
    <row r="5529" spans="1:5" x14ac:dyDescent="0.25">
      <c r="A5529" s="32" t="s">
        <v>767</v>
      </c>
      <c r="B5529" s="7">
        <v>2016</v>
      </c>
      <c r="C5529" s="51" t="s">
        <v>709</v>
      </c>
      <c r="D5529" t="s">
        <v>724</v>
      </c>
      <c r="E5529" s="2">
        <v>1.79</v>
      </c>
    </row>
    <row r="5530" spans="1:5" x14ac:dyDescent="0.25">
      <c r="A5530" s="32" t="s">
        <v>767</v>
      </c>
      <c r="B5530" s="7">
        <v>2016</v>
      </c>
      <c r="C5530" s="51" t="s">
        <v>712</v>
      </c>
      <c r="D5530" t="s">
        <v>724</v>
      </c>
      <c r="E5530" s="2">
        <v>2.0750000000000002</v>
      </c>
    </row>
    <row r="5531" spans="1:5" x14ac:dyDescent="0.25">
      <c r="A5531" s="32" t="s">
        <v>767</v>
      </c>
      <c r="B5531" s="7">
        <v>2016</v>
      </c>
      <c r="C5531" s="51" t="s">
        <v>710</v>
      </c>
      <c r="D5531" t="s">
        <v>724</v>
      </c>
      <c r="E5531" s="2">
        <v>2.847</v>
      </c>
    </row>
    <row r="5532" spans="1:5" x14ac:dyDescent="0.25">
      <c r="A5532" s="32" t="s">
        <v>767</v>
      </c>
      <c r="B5532" s="7">
        <v>2016</v>
      </c>
      <c r="C5532" s="51" t="s">
        <v>702</v>
      </c>
      <c r="D5532" t="s">
        <v>724</v>
      </c>
      <c r="E5532" s="2">
        <v>2.9020000000000001</v>
      </c>
    </row>
    <row r="5533" spans="1:5" x14ac:dyDescent="0.25">
      <c r="A5533" s="32" t="s">
        <v>767</v>
      </c>
      <c r="B5533" s="7">
        <v>2016</v>
      </c>
      <c r="C5533" s="51" t="s">
        <v>703</v>
      </c>
      <c r="D5533" t="s">
        <v>724</v>
      </c>
      <c r="E5533" s="2">
        <v>2.6139999999999999</v>
      </c>
    </row>
    <row r="5534" spans="1:5" x14ac:dyDescent="0.25">
      <c r="A5534" s="32" t="s">
        <v>767</v>
      </c>
      <c r="B5534" s="7">
        <v>2016</v>
      </c>
      <c r="C5534" s="51" t="s">
        <v>704</v>
      </c>
      <c r="D5534" t="s">
        <v>724</v>
      </c>
      <c r="E5534" s="2">
        <v>2.016</v>
      </c>
    </row>
    <row r="5535" spans="1:5" x14ac:dyDescent="0.25">
      <c r="A5535" s="32" t="s">
        <v>767</v>
      </c>
      <c r="B5535" s="7">
        <v>2016</v>
      </c>
      <c r="C5535" s="51" t="s">
        <v>705</v>
      </c>
      <c r="D5535" t="s">
        <v>724</v>
      </c>
      <c r="E5535" s="2">
        <v>1.671</v>
      </c>
    </row>
    <row r="5536" spans="1:5" x14ac:dyDescent="0.25">
      <c r="A5536" s="32" t="s">
        <v>767</v>
      </c>
      <c r="B5536" s="7">
        <v>2016</v>
      </c>
      <c r="C5536" s="51" t="s">
        <v>706</v>
      </c>
      <c r="D5536" t="s">
        <v>724</v>
      </c>
      <c r="E5536" s="2">
        <v>1.67</v>
      </c>
    </row>
    <row r="5537" spans="1:5" x14ac:dyDescent="0.25">
      <c r="A5537" s="32" t="s">
        <v>767</v>
      </c>
      <c r="B5537" s="7">
        <v>2017</v>
      </c>
      <c r="C5537" s="51" t="s">
        <v>713</v>
      </c>
      <c r="D5537" t="s">
        <v>724</v>
      </c>
      <c r="E5537" s="2">
        <v>1.4830000000000001</v>
      </c>
    </row>
    <row r="5538" spans="1:5" x14ac:dyDescent="0.25">
      <c r="A5538" s="32" t="s">
        <v>767</v>
      </c>
      <c r="B5538" s="7">
        <v>2017</v>
      </c>
      <c r="C5538" s="51" t="s">
        <v>707</v>
      </c>
      <c r="D5538" t="s">
        <v>724</v>
      </c>
      <c r="E5538" s="2">
        <v>2.016</v>
      </c>
    </row>
    <row r="5539" spans="1:5" x14ac:dyDescent="0.25">
      <c r="A5539" s="32" t="s">
        <v>767</v>
      </c>
      <c r="B5539" s="7">
        <v>2017</v>
      </c>
      <c r="C5539" s="51" t="s">
        <v>708</v>
      </c>
      <c r="D5539" t="s">
        <v>724</v>
      </c>
      <c r="E5539" s="2">
        <v>4.2430000000000003</v>
      </c>
    </row>
    <row r="5540" spans="1:5" x14ac:dyDescent="0.25">
      <c r="A5540" s="32" t="s">
        <v>767</v>
      </c>
      <c r="B5540" s="7">
        <v>2017</v>
      </c>
      <c r="C5540" s="51" t="s">
        <v>699</v>
      </c>
      <c r="D5540" t="s">
        <v>724</v>
      </c>
      <c r="E5540" s="2">
        <v>4.37</v>
      </c>
    </row>
    <row r="5541" spans="1:5" x14ac:dyDescent="0.25">
      <c r="A5541" s="32" t="s">
        <v>767</v>
      </c>
      <c r="B5541" s="7">
        <v>2017</v>
      </c>
      <c r="C5541" s="51" t="s">
        <v>709</v>
      </c>
      <c r="D5541" t="s">
        <v>724</v>
      </c>
      <c r="E5541" s="2">
        <v>3.9340000000000002</v>
      </c>
    </row>
    <row r="5542" spans="1:5" x14ac:dyDescent="0.25">
      <c r="A5542" s="32" t="s">
        <v>767</v>
      </c>
      <c r="B5542" s="7">
        <v>2017</v>
      </c>
      <c r="C5542" s="51" t="s">
        <v>712</v>
      </c>
      <c r="D5542" t="s">
        <v>724</v>
      </c>
      <c r="E5542" s="2">
        <v>4.3529999999999998</v>
      </c>
    </row>
    <row r="5543" spans="1:5" x14ac:dyDescent="0.25">
      <c r="A5543" s="32" t="s">
        <v>767</v>
      </c>
      <c r="B5543" s="7">
        <v>2017</v>
      </c>
      <c r="C5543" s="51" t="s">
        <v>710</v>
      </c>
      <c r="D5543" t="s">
        <v>724</v>
      </c>
      <c r="E5543" s="2">
        <v>5.3170000000000002</v>
      </c>
    </row>
    <row r="5544" spans="1:5" x14ac:dyDescent="0.25">
      <c r="A5544" s="32" t="s">
        <v>767</v>
      </c>
      <c r="B5544" s="7">
        <v>2017</v>
      </c>
      <c r="C5544" s="51" t="s">
        <v>702</v>
      </c>
      <c r="D5544" t="s">
        <v>724</v>
      </c>
      <c r="E5544" s="2">
        <v>5.415</v>
      </c>
    </row>
    <row r="5545" spans="1:5" x14ac:dyDescent="0.25">
      <c r="A5545" s="32" t="s">
        <v>767</v>
      </c>
      <c r="B5545" s="7">
        <v>2017</v>
      </c>
      <c r="C5545" s="51" t="s">
        <v>703</v>
      </c>
      <c r="D5545" t="s">
        <v>724</v>
      </c>
      <c r="E5545" s="2">
        <v>5.3460000000000001</v>
      </c>
    </row>
    <row r="5546" spans="1:5" x14ac:dyDescent="0.25">
      <c r="A5546" s="32" t="s">
        <v>767</v>
      </c>
      <c r="B5546" s="7">
        <v>2017</v>
      </c>
      <c r="C5546" s="51" t="s">
        <v>704</v>
      </c>
      <c r="D5546" t="s">
        <v>724</v>
      </c>
      <c r="E5546" s="2">
        <v>6.1059999999999999</v>
      </c>
    </row>
    <row r="5547" spans="1:5" x14ac:dyDescent="0.25">
      <c r="A5547" s="32" t="s">
        <v>767</v>
      </c>
      <c r="B5547" s="7">
        <v>2017</v>
      </c>
      <c r="C5547" s="51" t="s">
        <v>705</v>
      </c>
      <c r="D5547" t="s">
        <v>724</v>
      </c>
      <c r="E5547" s="2">
        <v>4.7949999999999999</v>
      </c>
    </row>
    <row r="5548" spans="1:5" x14ac:dyDescent="0.25">
      <c r="A5548" s="32" t="s">
        <v>767</v>
      </c>
      <c r="B5548" s="7">
        <v>2017</v>
      </c>
      <c r="C5548" s="51" t="s">
        <v>706</v>
      </c>
      <c r="D5548" t="s">
        <v>724</v>
      </c>
      <c r="E5548" s="2">
        <v>3.92</v>
      </c>
    </row>
    <row r="5549" spans="1:5" x14ac:dyDescent="0.25">
      <c r="A5549" s="32" t="s">
        <v>767</v>
      </c>
      <c r="B5549" s="7">
        <v>2018</v>
      </c>
      <c r="C5549" s="51" t="s">
        <v>713</v>
      </c>
      <c r="D5549" t="s">
        <v>724</v>
      </c>
      <c r="E5549" s="2">
        <v>3.6680000000000001</v>
      </c>
    </row>
    <row r="5550" spans="1:5" x14ac:dyDescent="0.25">
      <c r="A5550" s="32" t="s">
        <v>767</v>
      </c>
      <c r="B5550" s="7">
        <v>2018</v>
      </c>
      <c r="C5550" s="51" t="s">
        <v>707</v>
      </c>
      <c r="D5550" t="s">
        <v>724</v>
      </c>
      <c r="E5550" s="2">
        <v>3.73</v>
      </c>
    </row>
    <row r="5551" spans="1:5" x14ac:dyDescent="0.25">
      <c r="A5551" s="32" t="s">
        <v>767</v>
      </c>
      <c r="B5551" s="7">
        <v>2018</v>
      </c>
      <c r="C5551" s="51" t="s">
        <v>708</v>
      </c>
      <c r="D5551" t="s">
        <v>724</v>
      </c>
      <c r="E5551" s="2">
        <v>3.649</v>
      </c>
    </row>
    <row r="5552" spans="1:5" x14ac:dyDescent="0.25">
      <c r="A5552" s="32" t="s">
        <v>767</v>
      </c>
      <c r="B5552" s="7">
        <v>2018</v>
      </c>
      <c r="C5552" s="51" t="s">
        <v>699</v>
      </c>
      <c r="D5552" t="s">
        <v>724</v>
      </c>
      <c r="E5552" s="2">
        <v>3.8239999999999998</v>
      </c>
    </row>
    <row r="5553" spans="1:5" x14ac:dyDescent="0.25">
      <c r="A5553" s="32" t="s">
        <v>767</v>
      </c>
      <c r="B5553" s="7">
        <v>2018</v>
      </c>
      <c r="C5553" s="51" t="s">
        <v>709</v>
      </c>
      <c r="D5553" t="s">
        <v>724</v>
      </c>
      <c r="E5553" s="2">
        <v>4.8159999999999998</v>
      </c>
    </row>
    <row r="5554" spans="1:5" x14ac:dyDescent="0.25">
      <c r="A5554" s="32" t="s">
        <v>767</v>
      </c>
      <c r="B5554" s="7">
        <v>2018</v>
      </c>
      <c r="C5554" s="51" t="s">
        <v>712</v>
      </c>
      <c r="D5554" t="s">
        <v>724</v>
      </c>
      <c r="E5554" s="2">
        <v>4.5579999999999998</v>
      </c>
    </row>
    <row r="5555" spans="1:5" x14ac:dyDescent="0.25">
      <c r="A5555" s="32" t="s">
        <v>767</v>
      </c>
      <c r="B5555" s="7">
        <v>2018</v>
      </c>
      <c r="C5555" s="51" t="s">
        <v>710</v>
      </c>
      <c r="D5555" t="s">
        <v>724</v>
      </c>
      <c r="E5555" s="2">
        <v>6.3250000000000002</v>
      </c>
    </row>
    <row r="5556" spans="1:5" x14ac:dyDescent="0.25">
      <c r="A5556" s="32" t="s">
        <v>767</v>
      </c>
      <c r="B5556" s="7">
        <v>2018</v>
      </c>
      <c r="C5556" s="51" t="s">
        <v>702</v>
      </c>
      <c r="D5556" t="s">
        <v>724</v>
      </c>
      <c r="E5556" s="2">
        <v>5.2249999999999996</v>
      </c>
    </row>
    <row r="5557" spans="1:5" x14ac:dyDescent="0.25">
      <c r="A5557" s="32" t="s">
        <v>767</v>
      </c>
      <c r="B5557" s="7">
        <v>2018</v>
      </c>
      <c r="C5557" s="51" t="s">
        <v>703</v>
      </c>
      <c r="D5557" t="s">
        <v>724</v>
      </c>
      <c r="E5557" s="2">
        <v>5.649</v>
      </c>
    </row>
    <row r="5558" spans="1:5" x14ac:dyDescent="0.25">
      <c r="A5558" s="32" t="s">
        <v>767</v>
      </c>
      <c r="B5558" s="7">
        <v>2018</v>
      </c>
      <c r="C5558" s="51" t="s">
        <v>704</v>
      </c>
      <c r="D5558" t="s">
        <v>724</v>
      </c>
      <c r="E5558" s="2">
        <v>3.5059999999999998</v>
      </c>
    </row>
    <row r="5559" spans="1:5" x14ac:dyDescent="0.25">
      <c r="A5559" s="32" t="s">
        <v>767</v>
      </c>
      <c r="B5559" s="7">
        <v>2018</v>
      </c>
      <c r="C5559" s="51" t="s">
        <v>705</v>
      </c>
      <c r="D5559" t="s">
        <v>724</v>
      </c>
      <c r="E5559" s="2">
        <v>3.1230000000000002</v>
      </c>
    </row>
    <row r="5560" spans="1:5" x14ac:dyDescent="0.25">
      <c r="A5560" s="32" t="s">
        <v>767</v>
      </c>
      <c r="B5560" s="7">
        <v>2018</v>
      </c>
      <c r="C5560" s="51" t="s">
        <v>706</v>
      </c>
      <c r="D5560" t="s">
        <v>724</v>
      </c>
      <c r="E5560" s="2">
        <v>2.9830000000000001</v>
      </c>
    </row>
    <row r="5561" spans="1:5" x14ac:dyDescent="0.25">
      <c r="A5561" s="32" t="s">
        <v>767</v>
      </c>
      <c r="B5561" s="7">
        <v>2019</v>
      </c>
      <c r="C5561" s="51" t="s">
        <v>713</v>
      </c>
      <c r="D5561" t="s">
        <v>724</v>
      </c>
      <c r="E5561" s="2">
        <v>3.0019999999999998</v>
      </c>
    </row>
    <row r="5562" spans="1:5" x14ac:dyDescent="0.25">
      <c r="A5562" s="32" t="s">
        <v>767</v>
      </c>
      <c r="B5562" s="7">
        <v>2019</v>
      </c>
      <c r="C5562" s="51" t="s">
        <v>707</v>
      </c>
      <c r="D5562" t="s">
        <v>724</v>
      </c>
      <c r="E5562" s="2">
        <v>3.988</v>
      </c>
    </row>
    <row r="5563" spans="1:5" x14ac:dyDescent="0.25">
      <c r="A5563" s="32" t="s">
        <v>767</v>
      </c>
      <c r="B5563" s="7">
        <v>2019</v>
      </c>
      <c r="C5563" s="51" t="s">
        <v>708</v>
      </c>
      <c r="D5563" t="s">
        <v>724</v>
      </c>
      <c r="E5563" s="2">
        <v>4.2</v>
      </c>
    </row>
    <row r="5564" spans="1:5" x14ac:dyDescent="0.25">
      <c r="A5564" s="32" t="s">
        <v>767</v>
      </c>
      <c r="B5564" s="7">
        <v>2019</v>
      </c>
      <c r="C5564" s="51" t="s">
        <v>699</v>
      </c>
      <c r="D5564" t="s">
        <v>724</v>
      </c>
      <c r="E5564" s="2">
        <v>6.1970000000000001</v>
      </c>
    </row>
    <row r="5565" spans="1:5" x14ac:dyDescent="0.25">
      <c r="A5565" s="32" t="s">
        <v>767</v>
      </c>
      <c r="B5565" s="7">
        <v>2019</v>
      </c>
      <c r="C5565" s="51" t="s">
        <v>709</v>
      </c>
      <c r="D5565" t="s">
        <v>724</v>
      </c>
      <c r="E5565" s="2">
        <v>6.5110000000000001</v>
      </c>
    </row>
    <row r="5566" spans="1:5" x14ac:dyDescent="0.25">
      <c r="A5566" s="32" t="s">
        <v>767</v>
      </c>
      <c r="B5566" s="7">
        <v>2019</v>
      </c>
      <c r="C5566" s="51" t="s">
        <v>712</v>
      </c>
      <c r="D5566" t="s">
        <v>724</v>
      </c>
      <c r="E5566" s="2">
        <v>8.9979999999999993</v>
      </c>
    </row>
    <row r="5567" spans="1:5" x14ac:dyDescent="0.25">
      <c r="A5567" s="32" t="s">
        <v>767</v>
      </c>
      <c r="B5567" s="7">
        <v>2019</v>
      </c>
      <c r="C5567" s="51" t="s">
        <v>710</v>
      </c>
      <c r="D5567" t="s">
        <v>724</v>
      </c>
      <c r="E5567" s="2">
        <v>9.7249999999999996</v>
      </c>
    </row>
    <row r="5568" spans="1:5" x14ac:dyDescent="0.25">
      <c r="A5568" s="32" t="s">
        <v>767</v>
      </c>
      <c r="B5568" s="7">
        <v>2019</v>
      </c>
      <c r="C5568" s="51" t="s">
        <v>702</v>
      </c>
      <c r="D5568" t="s">
        <v>724</v>
      </c>
      <c r="E5568" s="2">
        <v>7.6239999999999997</v>
      </c>
    </row>
    <row r="5569" spans="1:5" x14ac:dyDescent="0.25">
      <c r="A5569" s="32" t="s">
        <v>767</v>
      </c>
      <c r="B5569" s="7">
        <v>2019</v>
      </c>
      <c r="C5569" s="51" t="s">
        <v>703</v>
      </c>
      <c r="D5569" t="s">
        <v>724</v>
      </c>
      <c r="E5569" s="2">
        <v>8.5939999999999994</v>
      </c>
    </row>
    <row r="5570" spans="1:5" x14ac:dyDescent="0.25">
      <c r="A5570" s="32" t="s">
        <v>767</v>
      </c>
      <c r="B5570" s="7">
        <v>2019</v>
      </c>
      <c r="C5570" s="51" t="s">
        <v>704</v>
      </c>
      <c r="D5570" t="s">
        <v>724</v>
      </c>
      <c r="E5570" s="2">
        <v>7.6589999999999998</v>
      </c>
    </row>
    <row r="5571" spans="1:5" x14ac:dyDescent="0.25">
      <c r="A5571" s="32" t="s">
        <v>767</v>
      </c>
      <c r="B5571" s="7">
        <v>2019</v>
      </c>
      <c r="C5571" s="51" t="s">
        <v>705</v>
      </c>
      <c r="D5571" t="s">
        <v>724</v>
      </c>
      <c r="E5571" s="2">
        <v>7.1669999999999998</v>
      </c>
    </row>
    <row r="5572" spans="1:5" x14ac:dyDescent="0.25">
      <c r="A5572" s="32" t="s">
        <v>767</v>
      </c>
      <c r="B5572" s="7">
        <v>2019</v>
      </c>
      <c r="C5572" s="51" t="s">
        <v>706</v>
      </c>
      <c r="D5572" t="s">
        <v>724</v>
      </c>
      <c r="E5572" s="2">
        <v>6.4870000000000001</v>
      </c>
    </row>
    <row r="5573" spans="1:5" x14ac:dyDescent="0.25">
      <c r="A5573" s="32" t="s">
        <v>767</v>
      </c>
      <c r="B5573" s="7">
        <v>2020</v>
      </c>
      <c r="C5573" s="51" t="s">
        <v>713</v>
      </c>
      <c r="D5573" t="s">
        <v>724</v>
      </c>
      <c r="E5573" s="2">
        <v>6.76</v>
      </c>
    </row>
    <row r="5574" spans="1:5" x14ac:dyDescent="0.25">
      <c r="A5574" s="32" t="s">
        <v>767</v>
      </c>
      <c r="B5574" s="7">
        <v>2020</v>
      </c>
      <c r="C5574" s="51" t="s">
        <v>707</v>
      </c>
      <c r="D5574" t="s">
        <v>724</v>
      </c>
      <c r="E5574" s="2">
        <v>5.6020000000000003</v>
      </c>
    </row>
    <row r="5575" spans="1:5" x14ac:dyDescent="0.25">
      <c r="A5575" s="32" t="s">
        <v>767</v>
      </c>
      <c r="B5575" s="7">
        <v>2020</v>
      </c>
      <c r="C5575" s="51" t="s">
        <v>708</v>
      </c>
      <c r="D5575" t="s">
        <v>724</v>
      </c>
      <c r="E5575" s="2">
        <v>5.9630000000000001</v>
      </c>
    </row>
    <row r="5576" spans="1:5" x14ac:dyDescent="0.25">
      <c r="A5576" s="32" t="s">
        <v>767</v>
      </c>
      <c r="B5576" s="7">
        <v>2020</v>
      </c>
      <c r="C5576" s="51" t="s">
        <v>699</v>
      </c>
      <c r="D5576" t="s">
        <v>724</v>
      </c>
      <c r="E5576" s="2">
        <v>5.61</v>
      </c>
    </row>
    <row r="5577" spans="1:5" x14ac:dyDescent="0.25">
      <c r="A5577" s="32" t="s">
        <v>767</v>
      </c>
      <c r="B5577" s="7">
        <v>2020</v>
      </c>
      <c r="C5577" s="51" t="s">
        <v>709</v>
      </c>
      <c r="D5577" t="s">
        <v>724</v>
      </c>
      <c r="E5577" s="2">
        <v>6.3959999999999999</v>
      </c>
    </row>
    <row r="5578" spans="1:5" x14ac:dyDescent="0.25">
      <c r="A5578" s="32" t="s">
        <v>767</v>
      </c>
      <c r="B5578" s="7">
        <v>2020</v>
      </c>
      <c r="C5578" s="51" t="s">
        <v>712</v>
      </c>
      <c r="D5578" t="s">
        <v>724</v>
      </c>
      <c r="E5578" s="2">
        <v>6.8339999999999996</v>
      </c>
    </row>
    <row r="5579" spans="1:5" x14ac:dyDescent="0.25">
      <c r="A5579" s="32" t="s">
        <v>767</v>
      </c>
      <c r="B5579" s="7">
        <v>2020</v>
      </c>
      <c r="C5579" s="51" t="s">
        <v>710</v>
      </c>
      <c r="D5579" t="s">
        <v>724</v>
      </c>
      <c r="E5579" s="2">
        <v>5.03</v>
      </c>
    </row>
    <row r="5580" spans="1:5" x14ac:dyDescent="0.25">
      <c r="A5580" s="32" t="s">
        <v>767</v>
      </c>
      <c r="B5580" s="7">
        <v>2020</v>
      </c>
      <c r="C5580" s="51" t="s">
        <v>702</v>
      </c>
      <c r="D5580" t="s">
        <v>724</v>
      </c>
      <c r="E5580" s="2">
        <v>6.1130000000000004</v>
      </c>
    </row>
    <row r="5581" spans="1:5" x14ac:dyDescent="0.25">
      <c r="A5581" s="32" t="s">
        <v>767</v>
      </c>
      <c r="B5581" s="7">
        <v>2020</v>
      </c>
      <c r="C5581" s="51" t="s">
        <v>703</v>
      </c>
      <c r="D5581" t="s">
        <v>724</v>
      </c>
      <c r="E5581" s="2">
        <v>5.8280000000000003</v>
      </c>
    </row>
    <row r="5582" spans="1:5" x14ac:dyDescent="0.25">
      <c r="A5582" s="32" t="s">
        <v>767</v>
      </c>
      <c r="B5582" s="7">
        <v>2020</v>
      </c>
      <c r="C5582" s="51" t="s">
        <v>704</v>
      </c>
      <c r="D5582" t="s">
        <v>724</v>
      </c>
      <c r="E5582" s="2">
        <v>6.4359999999999999</v>
      </c>
    </row>
    <row r="5583" spans="1:5" x14ac:dyDescent="0.25">
      <c r="A5583" s="32" t="s">
        <v>767</v>
      </c>
      <c r="B5583" s="7">
        <v>2020</v>
      </c>
      <c r="C5583" s="51" t="s">
        <v>705</v>
      </c>
      <c r="D5583" t="s">
        <v>724</v>
      </c>
      <c r="E5583" s="2">
        <v>5.5910000000000002</v>
      </c>
    </row>
    <row r="5584" spans="1:5" x14ac:dyDescent="0.25">
      <c r="A5584" s="32" t="s">
        <v>767</v>
      </c>
      <c r="B5584" s="7">
        <v>2020</v>
      </c>
      <c r="C5584" s="51" t="s">
        <v>706</v>
      </c>
      <c r="D5584" t="s">
        <v>724</v>
      </c>
      <c r="E5584" s="2">
        <v>5.1470000000000002</v>
      </c>
    </row>
    <row r="5585" spans="1:5" x14ac:dyDescent="0.25">
      <c r="A5585" s="32" t="s">
        <v>767</v>
      </c>
      <c r="B5585" s="7">
        <v>2021</v>
      </c>
      <c r="C5585" s="51" t="s">
        <v>713</v>
      </c>
      <c r="D5585" t="s">
        <v>724</v>
      </c>
      <c r="E5585" s="2">
        <v>4.1509999999999998</v>
      </c>
    </row>
    <row r="5586" spans="1:5" x14ac:dyDescent="0.25">
      <c r="A5586" s="32" t="s">
        <v>767</v>
      </c>
      <c r="B5586" s="7">
        <v>2021</v>
      </c>
      <c r="C5586" s="51" t="s">
        <v>707</v>
      </c>
      <c r="D5586" t="s">
        <v>724</v>
      </c>
      <c r="E5586" s="2">
        <v>4.4509999999999996</v>
      </c>
    </row>
    <row r="5587" spans="1:5" x14ac:dyDescent="0.25">
      <c r="A5587" s="32" t="s">
        <v>767</v>
      </c>
      <c r="B5587" s="7">
        <v>2021</v>
      </c>
      <c r="C5587" s="51" t="s">
        <v>708</v>
      </c>
      <c r="D5587" t="s">
        <v>724</v>
      </c>
      <c r="E5587" s="2">
        <v>4.4160000000000004</v>
      </c>
    </row>
    <row r="5588" spans="1:5" x14ac:dyDescent="0.25">
      <c r="A5588" s="32" t="s">
        <v>767</v>
      </c>
      <c r="B5588" s="7">
        <v>2021</v>
      </c>
      <c r="C5588" s="51" t="s">
        <v>699</v>
      </c>
      <c r="D5588" t="s">
        <v>724</v>
      </c>
      <c r="E5588" s="2">
        <v>5.056</v>
      </c>
    </row>
    <row r="5589" spans="1:5" x14ac:dyDescent="0.25">
      <c r="A5589" s="32" t="s">
        <v>767</v>
      </c>
      <c r="B5589" s="7">
        <v>2021</v>
      </c>
      <c r="C5589" s="51" t="s">
        <v>709</v>
      </c>
      <c r="D5589" t="s">
        <v>724</v>
      </c>
      <c r="E5589" s="2">
        <v>5.1719999999999997</v>
      </c>
    </row>
    <row r="5590" spans="1:5" x14ac:dyDescent="0.25">
      <c r="A5590" s="32" t="s">
        <v>767</v>
      </c>
      <c r="B5590" s="7">
        <v>2021</v>
      </c>
      <c r="C5590" s="51" t="s">
        <v>712</v>
      </c>
      <c r="D5590" t="s">
        <v>724</v>
      </c>
      <c r="E5590" s="2">
        <v>5.758</v>
      </c>
    </row>
    <row r="5591" spans="1:5" x14ac:dyDescent="0.25">
      <c r="A5591" s="32" t="s">
        <v>767</v>
      </c>
      <c r="B5591" s="7">
        <v>2021</v>
      </c>
      <c r="C5591" s="51" t="s">
        <v>710</v>
      </c>
      <c r="D5591" t="s">
        <v>724</v>
      </c>
      <c r="E5591" s="2">
        <v>5.5590000000000002</v>
      </c>
    </row>
    <row r="5592" spans="1:5" x14ac:dyDescent="0.25">
      <c r="A5592" s="32" t="s">
        <v>767</v>
      </c>
      <c r="B5592" s="7">
        <v>2021</v>
      </c>
      <c r="C5592" s="51" t="s">
        <v>702</v>
      </c>
      <c r="D5592" t="s">
        <v>724</v>
      </c>
      <c r="E5592" s="2">
        <v>6.2510000000000003</v>
      </c>
    </row>
    <row r="5593" spans="1:5" x14ac:dyDescent="0.25">
      <c r="A5593" s="32" t="s">
        <v>767</v>
      </c>
      <c r="B5593" s="7">
        <v>2021</v>
      </c>
      <c r="C5593" s="51" t="s">
        <v>703</v>
      </c>
      <c r="D5593" t="s">
        <v>724</v>
      </c>
      <c r="E5593" s="2">
        <v>5.1429999999999998</v>
      </c>
    </row>
    <row r="5594" spans="1:5" x14ac:dyDescent="0.25">
      <c r="A5594" s="32" t="s">
        <v>767</v>
      </c>
      <c r="B5594" s="7">
        <v>2021</v>
      </c>
      <c r="C5594" s="51" t="s">
        <v>704</v>
      </c>
      <c r="D5594" t="s">
        <v>724</v>
      </c>
      <c r="E5594" s="2">
        <v>4.7610000000000001</v>
      </c>
    </row>
    <row r="5595" spans="1:5" x14ac:dyDescent="0.25">
      <c r="A5595" s="32" t="s">
        <v>767</v>
      </c>
      <c r="B5595" s="7">
        <v>2021</v>
      </c>
      <c r="C5595" s="51" t="s">
        <v>705</v>
      </c>
      <c r="D5595" t="s">
        <v>724</v>
      </c>
      <c r="E5595" s="2">
        <v>3.0939999999999999</v>
      </c>
    </row>
    <row r="5596" spans="1:5" x14ac:dyDescent="0.25">
      <c r="A5596" s="32" t="s">
        <v>767</v>
      </c>
      <c r="B5596" s="7">
        <v>2021</v>
      </c>
      <c r="C5596" s="51" t="s">
        <v>706</v>
      </c>
      <c r="D5596" t="s">
        <v>724</v>
      </c>
      <c r="E5596" s="2">
        <v>4.5830000000000002</v>
      </c>
    </row>
    <row r="5597" spans="1:5" x14ac:dyDescent="0.25">
      <c r="A5597" s="32" t="s">
        <v>767</v>
      </c>
      <c r="B5597" s="7">
        <v>2022</v>
      </c>
      <c r="C5597" s="51" t="s">
        <v>713</v>
      </c>
      <c r="D5597" t="s">
        <v>724</v>
      </c>
      <c r="E5597" s="2">
        <v>6.5960000000000001</v>
      </c>
    </row>
    <row r="5598" spans="1:5" x14ac:dyDescent="0.25">
      <c r="A5598" s="32" t="s">
        <v>767</v>
      </c>
      <c r="B5598" s="7">
        <v>2022</v>
      </c>
      <c r="C5598" s="51" t="s">
        <v>707</v>
      </c>
      <c r="D5598" t="s">
        <v>724</v>
      </c>
      <c r="E5598" s="2">
        <v>7.375</v>
      </c>
    </row>
    <row r="5599" spans="1:5" x14ac:dyDescent="0.25">
      <c r="A5599" s="32" t="s">
        <v>767</v>
      </c>
      <c r="B5599" s="7">
        <v>2022</v>
      </c>
      <c r="C5599" s="51" t="s">
        <v>708</v>
      </c>
      <c r="D5599" t="s">
        <v>724</v>
      </c>
      <c r="E5599" s="2">
        <v>6.2</v>
      </c>
    </row>
    <row r="5600" spans="1:5" x14ac:dyDescent="0.25">
      <c r="A5600" s="32" t="s">
        <v>767</v>
      </c>
      <c r="B5600" s="7">
        <v>2022</v>
      </c>
      <c r="C5600" s="51" t="s">
        <v>699</v>
      </c>
      <c r="D5600" t="s">
        <v>724</v>
      </c>
      <c r="E5600" s="2">
        <v>5.97</v>
      </c>
    </row>
    <row r="5601" spans="1:5" x14ac:dyDescent="0.25">
      <c r="A5601" s="32" t="s">
        <v>767</v>
      </c>
      <c r="B5601" s="7">
        <v>2022</v>
      </c>
      <c r="C5601" s="51" t="s">
        <v>709</v>
      </c>
      <c r="D5601" t="s">
        <v>724</v>
      </c>
      <c r="E5601" s="2">
        <v>7.92</v>
      </c>
    </row>
    <row r="5602" spans="1:5" x14ac:dyDescent="0.25">
      <c r="A5602" s="32" t="s">
        <v>767</v>
      </c>
      <c r="B5602" s="7">
        <v>2022</v>
      </c>
      <c r="C5602" s="51" t="s">
        <v>712</v>
      </c>
      <c r="D5602" t="s">
        <v>724</v>
      </c>
      <c r="E5602" s="2">
        <v>10.319000000000001</v>
      </c>
    </row>
    <row r="5603" spans="1:5" x14ac:dyDescent="0.25">
      <c r="A5603" s="32" t="s">
        <v>767</v>
      </c>
      <c r="B5603" s="7">
        <v>2022</v>
      </c>
      <c r="C5603" s="51" t="s">
        <v>710</v>
      </c>
      <c r="D5603" t="s">
        <v>724</v>
      </c>
      <c r="E5603" s="2">
        <v>11.125999999999999</v>
      </c>
    </row>
    <row r="5604" spans="1:5" x14ac:dyDescent="0.25">
      <c r="A5604" s="32" t="s">
        <v>767</v>
      </c>
      <c r="B5604" s="7">
        <v>2022</v>
      </c>
      <c r="C5604" s="51" t="s">
        <v>702</v>
      </c>
      <c r="D5604" t="s">
        <v>724</v>
      </c>
      <c r="E5604" s="2">
        <v>8.6839999999999993</v>
      </c>
    </row>
    <row r="5605" spans="1:5" x14ac:dyDescent="0.25">
      <c r="A5605" s="32" t="s">
        <v>767</v>
      </c>
      <c r="B5605" s="7">
        <v>2022</v>
      </c>
      <c r="C5605" s="51" t="s">
        <v>703</v>
      </c>
      <c r="D5605" t="s">
        <v>724</v>
      </c>
      <c r="E5605" s="2">
        <v>7.9139999999999997</v>
      </c>
    </row>
    <row r="5606" spans="1:5" x14ac:dyDescent="0.25">
      <c r="A5606" s="32" t="s">
        <v>767</v>
      </c>
      <c r="B5606" s="7">
        <v>2022</v>
      </c>
      <c r="C5606" s="51" t="s">
        <v>704</v>
      </c>
      <c r="D5606" t="s">
        <v>724</v>
      </c>
      <c r="E5606" s="2">
        <v>7.218</v>
      </c>
    </row>
    <row r="5607" spans="1:5" x14ac:dyDescent="0.25">
      <c r="A5607" s="32" t="s">
        <v>767</v>
      </c>
      <c r="B5607" s="7">
        <v>2022</v>
      </c>
      <c r="C5607" s="51" t="s">
        <v>705</v>
      </c>
      <c r="D5607" t="s">
        <v>724</v>
      </c>
      <c r="E5607" s="2">
        <v>7.3220000000000001</v>
      </c>
    </row>
    <row r="5608" spans="1:5" x14ac:dyDescent="0.25">
      <c r="A5608" s="32" t="s">
        <v>767</v>
      </c>
      <c r="B5608" s="7">
        <v>2022</v>
      </c>
      <c r="C5608" s="51" t="s">
        <v>706</v>
      </c>
      <c r="D5608" t="s">
        <v>724</v>
      </c>
      <c r="E5608" s="2">
        <v>7.7519999999999998</v>
      </c>
    </row>
    <row r="5609" spans="1:5" x14ac:dyDescent="0.25">
      <c r="A5609" s="32" t="s">
        <v>767</v>
      </c>
      <c r="B5609" s="7">
        <v>2023</v>
      </c>
      <c r="C5609" s="51" t="s">
        <v>713</v>
      </c>
      <c r="D5609" t="s">
        <v>724</v>
      </c>
      <c r="E5609" s="2">
        <v>7.8289999999999997</v>
      </c>
    </row>
    <row r="5610" spans="1:5" x14ac:dyDescent="0.25">
      <c r="A5610" s="32" t="s">
        <v>767</v>
      </c>
      <c r="B5610" s="7">
        <v>2023</v>
      </c>
      <c r="C5610" s="51" t="s">
        <v>707</v>
      </c>
      <c r="D5610" t="s">
        <v>724</v>
      </c>
      <c r="E5610" s="2">
        <v>7.9290000000000003</v>
      </c>
    </row>
    <row r="5611" spans="1:5" x14ac:dyDescent="0.25">
      <c r="A5611" s="32" t="s">
        <v>767</v>
      </c>
      <c r="B5611" s="7">
        <v>2023</v>
      </c>
      <c r="C5611" s="51" t="s">
        <v>708</v>
      </c>
      <c r="D5611" t="s">
        <v>724</v>
      </c>
      <c r="E5611" s="2">
        <v>5.7080000000000002</v>
      </c>
    </row>
    <row r="5612" spans="1:5" x14ac:dyDescent="0.25">
      <c r="A5612" s="32" t="s">
        <v>767</v>
      </c>
      <c r="B5612" s="7">
        <v>2023</v>
      </c>
      <c r="C5612" s="51" t="s">
        <v>699</v>
      </c>
      <c r="D5612" t="s">
        <v>724</v>
      </c>
      <c r="E5612" s="2">
        <v>5.4729999999999999</v>
      </c>
    </row>
    <row r="5613" spans="1:5" x14ac:dyDescent="0.25">
      <c r="A5613" s="32" t="s">
        <v>767</v>
      </c>
      <c r="B5613" s="7">
        <v>2023</v>
      </c>
      <c r="C5613" s="51" t="s">
        <v>709</v>
      </c>
      <c r="D5613" t="s">
        <v>724</v>
      </c>
      <c r="E5613" s="2">
        <v>5.0540000000000003</v>
      </c>
    </row>
    <row r="5614" spans="1:5" x14ac:dyDescent="0.25">
      <c r="A5614" s="32" t="s">
        <v>767</v>
      </c>
      <c r="B5614" s="7">
        <v>2023</v>
      </c>
      <c r="C5614" s="51" t="s">
        <v>712</v>
      </c>
      <c r="D5614" t="s">
        <v>724</v>
      </c>
      <c r="E5614" s="2">
        <v>5.2160000000000002</v>
      </c>
    </row>
    <row r="5615" spans="1:5" x14ac:dyDescent="0.25">
      <c r="A5615" s="32" t="s">
        <v>767</v>
      </c>
      <c r="B5615" s="7">
        <v>2023</v>
      </c>
      <c r="C5615" s="51" t="s">
        <v>710</v>
      </c>
      <c r="D5615" t="s">
        <v>724</v>
      </c>
      <c r="E5615" s="2">
        <v>5.39</v>
      </c>
    </row>
    <row r="5616" spans="1:5" x14ac:dyDescent="0.25">
      <c r="A5616" s="32" t="s">
        <v>767</v>
      </c>
      <c r="B5616" s="7">
        <v>2023</v>
      </c>
      <c r="C5616" s="51" t="s">
        <v>702</v>
      </c>
      <c r="D5616" t="s">
        <v>724</v>
      </c>
      <c r="E5616" s="2">
        <v>6.7549999999999999</v>
      </c>
    </row>
    <row r="5617" spans="1:5" x14ac:dyDescent="0.25">
      <c r="A5617" s="32" t="s">
        <v>767</v>
      </c>
      <c r="B5617" s="7">
        <v>2023</v>
      </c>
      <c r="C5617" s="51" t="s">
        <v>703</v>
      </c>
      <c r="D5617" t="s">
        <v>724</v>
      </c>
      <c r="E5617" s="2">
        <v>9.2769999999999992</v>
      </c>
    </row>
    <row r="5618" spans="1:5" x14ac:dyDescent="0.25">
      <c r="A5618" s="32" t="s">
        <v>767</v>
      </c>
      <c r="B5618" s="7">
        <v>1997</v>
      </c>
      <c r="C5618" s="51" t="s">
        <v>704</v>
      </c>
      <c r="D5618" t="s">
        <v>725</v>
      </c>
    </row>
    <row r="5619" spans="1:5" x14ac:dyDescent="0.25">
      <c r="A5619" s="32" t="s">
        <v>767</v>
      </c>
      <c r="B5619" s="7">
        <v>1997</v>
      </c>
      <c r="C5619" s="51" t="s">
        <v>705</v>
      </c>
      <c r="D5619" t="s">
        <v>725</v>
      </c>
    </row>
    <row r="5620" spans="1:5" x14ac:dyDescent="0.25">
      <c r="A5620" s="32" t="s">
        <v>767</v>
      </c>
      <c r="B5620" s="7">
        <v>1997</v>
      </c>
      <c r="C5620" s="51" t="s">
        <v>706</v>
      </c>
      <c r="D5620" t="s">
        <v>725</v>
      </c>
    </row>
    <row r="5621" spans="1:5" x14ac:dyDescent="0.25">
      <c r="A5621" s="32" t="s">
        <v>767</v>
      </c>
      <c r="B5621" s="7">
        <v>1998</v>
      </c>
      <c r="C5621" s="51" t="s">
        <v>713</v>
      </c>
      <c r="D5621" t="s">
        <v>725</v>
      </c>
    </row>
    <row r="5622" spans="1:5" x14ac:dyDescent="0.25">
      <c r="A5622" s="32" t="s">
        <v>767</v>
      </c>
      <c r="B5622" s="7">
        <v>1998</v>
      </c>
      <c r="C5622" s="51" t="s">
        <v>707</v>
      </c>
      <c r="D5622" t="s">
        <v>725</v>
      </c>
    </row>
    <row r="5623" spans="1:5" x14ac:dyDescent="0.25">
      <c r="A5623" s="32" t="s">
        <v>767</v>
      </c>
      <c r="B5623" s="7">
        <v>1998</v>
      </c>
      <c r="C5623" s="51" t="s">
        <v>708</v>
      </c>
      <c r="D5623" t="s">
        <v>725</v>
      </c>
    </row>
    <row r="5624" spans="1:5" x14ac:dyDescent="0.25">
      <c r="A5624" s="32" t="s">
        <v>767</v>
      </c>
      <c r="B5624" s="7">
        <v>1998</v>
      </c>
      <c r="C5624" s="51" t="s">
        <v>699</v>
      </c>
      <c r="D5624" t="s">
        <v>725</v>
      </c>
    </row>
    <row r="5625" spans="1:5" x14ac:dyDescent="0.25">
      <c r="A5625" s="32" t="s">
        <v>767</v>
      </c>
      <c r="B5625" s="7">
        <v>1998</v>
      </c>
      <c r="C5625" s="51" t="s">
        <v>709</v>
      </c>
      <c r="D5625" t="s">
        <v>725</v>
      </c>
    </row>
    <row r="5626" spans="1:5" x14ac:dyDescent="0.25">
      <c r="A5626" s="32" t="s">
        <v>767</v>
      </c>
      <c r="B5626" s="7">
        <v>1998</v>
      </c>
      <c r="C5626" s="51" t="s">
        <v>712</v>
      </c>
      <c r="D5626" t="s">
        <v>725</v>
      </c>
    </row>
    <row r="5627" spans="1:5" x14ac:dyDescent="0.25">
      <c r="A5627" s="32" t="s">
        <v>767</v>
      </c>
      <c r="B5627" s="7">
        <v>1998</v>
      </c>
      <c r="C5627" s="51" t="s">
        <v>710</v>
      </c>
      <c r="D5627" t="s">
        <v>725</v>
      </c>
    </row>
    <row r="5628" spans="1:5" x14ac:dyDescent="0.25">
      <c r="A5628" s="32" t="s">
        <v>767</v>
      </c>
      <c r="B5628" s="7">
        <v>1998</v>
      </c>
      <c r="C5628" s="51" t="s">
        <v>702</v>
      </c>
      <c r="D5628" t="s">
        <v>725</v>
      </c>
    </row>
    <row r="5629" spans="1:5" x14ac:dyDescent="0.25">
      <c r="A5629" s="32" t="s">
        <v>767</v>
      </c>
      <c r="B5629" s="7">
        <v>1998</v>
      </c>
      <c r="C5629" s="51" t="s">
        <v>703</v>
      </c>
      <c r="D5629" t="s">
        <v>725</v>
      </c>
    </row>
    <row r="5630" spans="1:5" x14ac:dyDescent="0.25">
      <c r="A5630" s="32" t="s">
        <v>767</v>
      </c>
      <c r="B5630" s="7">
        <v>1998</v>
      </c>
      <c r="C5630" s="51" t="s">
        <v>704</v>
      </c>
      <c r="D5630" t="s">
        <v>725</v>
      </c>
    </row>
    <row r="5631" spans="1:5" x14ac:dyDescent="0.25">
      <c r="A5631" s="32" t="s">
        <v>767</v>
      </c>
      <c r="B5631" s="7">
        <v>1998</v>
      </c>
      <c r="C5631" s="51" t="s">
        <v>705</v>
      </c>
      <c r="D5631" t="s">
        <v>725</v>
      </c>
    </row>
    <row r="5632" spans="1:5" x14ac:dyDescent="0.25">
      <c r="A5632" s="32" t="s">
        <v>767</v>
      </c>
      <c r="B5632" s="7">
        <v>1998</v>
      </c>
      <c r="C5632" s="51" t="s">
        <v>706</v>
      </c>
      <c r="D5632" t="s">
        <v>725</v>
      </c>
    </row>
    <row r="5633" spans="1:4" x14ac:dyDescent="0.25">
      <c r="A5633" s="32" t="s">
        <v>767</v>
      </c>
      <c r="B5633" s="7">
        <v>1999</v>
      </c>
      <c r="C5633" s="51" t="s">
        <v>713</v>
      </c>
      <c r="D5633" t="s">
        <v>725</v>
      </c>
    </row>
    <row r="5634" spans="1:4" x14ac:dyDescent="0.25">
      <c r="A5634" s="32" t="s">
        <v>767</v>
      </c>
      <c r="B5634" s="7">
        <v>1999</v>
      </c>
      <c r="C5634" s="51" t="s">
        <v>707</v>
      </c>
      <c r="D5634" t="s">
        <v>725</v>
      </c>
    </row>
    <row r="5635" spans="1:4" x14ac:dyDescent="0.25">
      <c r="A5635" s="32" t="s">
        <v>767</v>
      </c>
      <c r="B5635" s="7">
        <v>1999</v>
      </c>
      <c r="C5635" s="51" t="s">
        <v>708</v>
      </c>
      <c r="D5635" t="s">
        <v>725</v>
      </c>
    </row>
    <row r="5636" spans="1:4" x14ac:dyDescent="0.25">
      <c r="A5636" s="32" t="s">
        <v>767</v>
      </c>
      <c r="B5636" s="7">
        <v>1999</v>
      </c>
      <c r="C5636" s="51" t="s">
        <v>699</v>
      </c>
      <c r="D5636" t="s">
        <v>725</v>
      </c>
    </row>
    <row r="5637" spans="1:4" x14ac:dyDescent="0.25">
      <c r="A5637" s="32" t="s">
        <v>767</v>
      </c>
      <c r="B5637" s="7">
        <v>1999</v>
      </c>
      <c r="C5637" s="51" t="s">
        <v>709</v>
      </c>
      <c r="D5637" t="s">
        <v>725</v>
      </c>
    </row>
    <row r="5638" spans="1:4" x14ac:dyDescent="0.25">
      <c r="A5638" s="32" t="s">
        <v>767</v>
      </c>
      <c r="B5638" s="7">
        <v>1999</v>
      </c>
      <c r="C5638" s="51" t="s">
        <v>712</v>
      </c>
      <c r="D5638" t="s">
        <v>725</v>
      </c>
    </row>
    <row r="5639" spans="1:4" x14ac:dyDescent="0.25">
      <c r="A5639" s="32" t="s">
        <v>767</v>
      </c>
      <c r="B5639" s="7">
        <v>1999</v>
      </c>
      <c r="C5639" s="51" t="s">
        <v>710</v>
      </c>
      <c r="D5639" t="s">
        <v>725</v>
      </c>
    </row>
    <row r="5640" spans="1:4" x14ac:dyDescent="0.25">
      <c r="A5640" s="32" t="s">
        <v>767</v>
      </c>
      <c r="B5640" s="7">
        <v>1999</v>
      </c>
      <c r="C5640" s="51" t="s">
        <v>702</v>
      </c>
      <c r="D5640" t="s">
        <v>725</v>
      </c>
    </row>
    <row r="5641" spans="1:4" x14ac:dyDescent="0.25">
      <c r="A5641" s="32" t="s">
        <v>767</v>
      </c>
      <c r="B5641" s="7">
        <v>1999</v>
      </c>
      <c r="C5641" s="51" t="s">
        <v>703</v>
      </c>
      <c r="D5641" t="s">
        <v>725</v>
      </c>
    </row>
    <row r="5642" spans="1:4" x14ac:dyDescent="0.25">
      <c r="A5642" s="32" t="s">
        <v>767</v>
      </c>
      <c r="B5642" s="7">
        <v>1999</v>
      </c>
      <c r="C5642" s="51" t="s">
        <v>704</v>
      </c>
      <c r="D5642" t="s">
        <v>725</v>
      </c>
    </row>
    <row r="5643" spans="1:4" x14ac:dyDescent="0.25">
      <c r="A5643" s="32" t="s">
        <v>767</v>
      </c>
      <c r="B5643" s="7">
        <v>1999</v>
      </c>
      <c r="C5643" s="51" t="s">
        <v>705</v>
      </c>
      <c r="D5643" t="s">
        <v>725</v>
      </c>
    </row>
    <row r="5644" spans="1:4" x14ac:dyDescent="0.25">
      <c r="A5644" s="32" t="s">
        <v>767</v>
      </c>
      <c r="B5644" s="7">
        <v>1999</v>
      </c>
      <c r="C5644" s="51" t="s">
        <v>706</v>
      </c>
      <c r="D5644" t="s">
        <v>725</v>
      </c>
    </row>
    <row r="5645" spans="1:4" x14ac:dyDescent="0.25">
      <c r="A5645" s="32" t="s">
        <v>767</v>
      </c>
      <c r="B5645" s="7">
        <v>2000</v>
      </c>
      <c r="C5645" s="51" t="s">
        <v>713</v>
      </c>
      <c r="D5645" t="s">
        <v>725</v>
      </c>
    </row>
    <row r="5646" spans="1:4" x14ac:dyDescent="0.25">
      <c r="A5646" s="32" t="s">
        <v>767</v>
      </c>
      <c r="B5646" s="7">
        <v>2000</v>
      </c>
      <c r="C5646" s="51" t="s">
        <v>707</v>
      </c>
      <c r="D5646" t="s">
        <v>725</v>
      </c>
    </row>
    <row r="5647" spans="1:4" x14ac:dyDescent="0.25">
      <c r="A5647" s="32" t="s">
        <v>767</v>
      </c>
      <c r="B5647" s="7">
        <v>2000</v>
      </c>
      <c r="C5647" s="51" t="s">
        <v>708</v>
      </c>
      <c r="D5647" t="s">
        <v>725</v>
      </c>
    </row>
    <row r="5648" spans="1:4" x14ac:dyDescent="0.25">
      <c r="A5648" s="32" t="s">
        <v>767</v>
      </c>
      <c r="B5648" s="7">
        <v>2000</v>
      </c>
      <c r="C5648" s="51" t="s">
        <v>699</v>
      </c>
      <c r="D5648" t="s">
        <v>725</v>
      </c>
    </row>
    <row r="5649" spans="1:5" x14ac:dyDescent="0.25">
      <c r="A5649" s="32" t="s">
        <v>767</v>
      </c>
      <c r="B5649" s="7">
        <v>2000</v>
      </c>
      <c r="C5649" s="51" t="s">
        <v>709</v>
      </c>
      <c r="D5649" t="s">
        <v>725</v>
      </c>
    </row>
    <row r="5650" spans="1:5" x14ac:dyDescent="0.25">
      <c r="A5650" s="32" t="s">
        <v>767</v>
      </c>
      <c r="B5650" s="7">
        <v>2000</v>
      </c>
      <c r="C5650" s="51" t="s">
        <v>712</v>
      </c>
      <c r="D5650" t="s">
        <v>725</v>
      </c>
    </row>
    <row r="5651" spans="1:5" x14ac:dyDescent="0.25">
      <c r="A5651" s="32" t="s">
        <v>767</v>
      </c>
      <c r="B5651" s="7">
        <v>2000</v>
      </c>
      <c r="C5651" s="51" t="s">
        <v>710</v>
      </c>
      <c r="D5651" t="s">
        <v>725</v>
      </c>
    </row>
    <row r="5652" spans="1:5" x14ac:dyDescent="0.25">
      <c r="A5652" s="32" t="s">
        <v>767</v>
      </c>
      <c r="B5652" s="7">
        <v>2000</v>
      </c>
      <c r="C5652" s="51" t="s">
        <v>702</v>
      </c>
      <c r="D5652" t="s">
        <v>725</v>
      </c>
    </row>
    <row r="5653" spans="1:5" x14ac:dyDescent="0.25">
      <c r="A5653" s="32" t="s">
        <v>767</v>
      </c>
      <c r="B5653" s="7">
        <v>2000</v>
      </c>
      <c r="C5653" s="51" t="s">
        <v>703</v>
      </c>
      <c r="D5653" t="s">
        <v>725</v>
      </c>
    </row>
    <row r="5654" spans="1:5" x14ac:dyDescent="0.25">
      <c r="A5654" s="32" t="s">
        <v>767</v>
      </c>
      <c r="B5654" s="7">
        <v>2000</v>
      </c>
      <c r="C5654" s="51" t="s">
        <v>704</v>
      </c>
      <c r="D5654" t="s">
        <v>725</v>
      </c>
    </row>
    <row r="5655" spans="1:5" x14ac:dyDescent="0.25">
      <c r="A5655" s="32" t="s">
        <v>767</v>
      </c>
      <c r="B5655" s="7">
        <v>2000</v>
      </c>
      <c r="C5655" s="51" t="s">
        <v>705</v>
      </c>
      <c r="D5655" t="s">
        <v>725</v>
      </c>
    </row>
    <row r="5656" spans="1:5" x14ac:dyDescent="0.25">
      <c r="A5656" s="32" t="s">
        <v>767</v>
      </c>
      <c r="B5656" s="7">
        <v>2000</v>
      </c>
      <c r="C5656" s="51" t="s">
        <v>706</v>
      </c>
      <c r="D5656" t="s">
        <v>725</v>
      </c>
    </row>
    <row r="5657" spans="1:5" x14ac:dyDescent="0.25">
      <c r="A5657" s="32" t="s">
        <v>767</v>
      </c>
      <c r="B5657" s="7">
        <v>2001</v>
      </c>
      <c r="C5657" s="51" t="s">
        <v>713</v>
      </c>
      <c r="D5657" t="s">
        <v>725</v>
      </c>
    </row>
    <row r="5658" spans="1:5" x14ac:dyDescent="0.25">
      <c r="A5658" s="32" t="s">
        <v>767</v>
      </c>
      <c r="B5658" s="7">
        <v>2001</v>
      </c>
      <c r="C5658" s="51" t="s">
        <v>707</v>
      </c>
      <c r="D5658" t="s">
        <v>725</v>
      </c>
    </row>
    <row r="5659" spans="1:5" x14ac:dyDescent="0.25">
      <c r="A5659" s="32" t="s">
        <v>767</v>
      </c>
      <c r="B5659" s="7">
        <v>2001</v>
      </c>
      <c r="C5659" s="51" t="s">
        <v>708</v>
      </c>
      <c r="D5659" t="s">
        <v>725</v>
      </c>
    </row>
    <row r="5660" spans="1:5" x14ac:dyDescent="0.25">
      <c r="A5660" s="32" t="s">
        <v>767</v>
      </c>
      <c r="B5660" s="7">
        <v>2001</v>
      </c>
      <c r="C5660" s="51" t="s">
        <v>699</v>
      </c>
      <c r="D5660" t="s">
        <v>725</v>
      </c>
    </row>
    <row r="5661" spans="1:5" x14ac:dyDescent="0.25">
      <c r="A5661" s="32" t="s">
        <v>767</v>
      </c>
      <c r="B5661" s="7">
        <v>2001</v>
      </c>
      <c r="C5661" s="51" t="s">
        <v>709</v>
      </c>
      <c r="D5661" t="s">
        <v>725</v>
      </c>
      <c r="E5661" s="2">
        <v>0.629</v>
      </c>
    </row>
    <row r="5662" spans="1:5" x14ac:dyDescent="0.25">
      <c r="A5662" s="32" t="s">
        <v>767</v>
      </c>
      <c r="B5662" s="7">
        <v>2001</v>
      </c>
      <c r="C5662" s="51" t="s">
        <v>712</v>
      </c>
      <c r="D5662" t="s">
        <v>725</v>
      </c>
      <c r="E5662" s="2">
        <v>0.60699999999999998</v>
      </c>
    </row>
    <row r="5663" spans="1:5" x14ac:dyDescent="0.25">
      <c r="A5663" s="32" t="s">
        <v>767</v>
      </c>
      <c r="B5663" s="7">
        <v>2001</v>
      </c>
      <c r="C5663" s="51" t="s">
        <v>710</v>
      </c>
      <c r="D5663" t="s">
        <v>725</v>
      </c>
      <c r="E5663" s="2">
        <v>0.61499999999999999</v>
      </c>
    </row>
    <row r="5664" spans="1:5" x14ac:dyDescent="0.25">
      <c r="A5664" s="32" t="s">
        <v>767</v>
      </c>
      <c r="B5664" s="7">
        <v>2001</v>
      </c>
      <c r="C5664" s="51" t="s">
        <v>702</v>
      </c>
      <c r="D5664" t="s">
        <v>725</v>
      </c>
      <c r="E5664" s="2">
        <v>0.68200000000000005</v>
      </c>
    </row>
    <row r="5665" spans="1:5" x14ac:dyDescent="0.25">
      <c r="A5665" s="32" t="s">
        <v>767</v>
      </c>
      <c r="B5665" s="7">
        <v>2001</v>
      </c>
      <c r="C5665" s="51" t="s">
        <v>703</v>
      </c>
      <c r="D5665" t="s">
        <v>725</v>
      </c>
      <c r="E5665" s="2">
        <v>0.67100000000000004</v>
      </c>
    </row>
    <row r="5666" spans="1:5" x14ac:dyDescent="0.25">
      <c r="A5666" s="32" t="s">
        <v>767</v>
      </c>
      <c r="B5666" s="7">
        <v>2001</v>
      </c>
      <c r="C5666" s="51" t="s">
        <v>704</v>
      </c>
      <c r="D5666" t="s">
        <v>725</v>
      </c>
      <c r="E5666" s="2">
        <v>0.65600000000000003</v>
      </c>
    </row>
    <row r="5667" spans="1:5" x14ac:dyDescent="0.25">
      <c r="A5667" s="32" t="s">
        <v>767</v>
      </c>
      <c r="B5667" s="7">
        <v>2001</v>
      </c>
      <c r="C5667" s="51" t="s">
        <v>705</v>
      </c>
      <c r="D5667" t="s">
        <v>725</v>
      </c>
      <c r="E5667" s="2">
        <v>0.63700000000000001</v>
      </c>
    </row>
    <row r="5668" spans="1:5" x14ac:dyDescent="0.25">
      <c r="A5668" s="32" t="s">
        <v>767</v>
      </c>
      <c r="B5668" s="7">
        <v>2001</v>
      </c>
      <c r="C5668" s="51" t="s">
        <v>706</v>
      </c>
      <c r="D5668" t="s">
        <v>725</v>
      </c>
      <c r="E5668" s="2">
        <v>0.70399999999999996</v>
      </c>
    </row>
    <row r="5669" spans="1:5" x14ac:dyDescent="0.25">
      <c r="A5669" s="32" t="s">
        <v>767</v>
      </c>
      <c r="B5669" s="7">
        <v>2002</v>
      </c>
      <c r="C5669" s="51" t="s">
        <v>713</v>
      </c>
      <c r="D5669" t="s">
        <v>725</v>
      </c>
      <c r="E5669" s="2">
        <v>0.878</v>
      </c>
    </row>
    <row r="5670" spans="1:5" x14ac:dyDescent="0.25">
      <c r="A5670" s="32" t="s">
        <v>767</v>
      </c>
      <c r="B5670" s="7">
        <v>2002</v>
      </c>
      <c r="C5670" s="51" t="s">
        <v>707</v>
      </c>
      <c r="D5670" t="s">
        <v>725</v>
      </c>
      <c r="E5670" s="2">
        <v>1.1559999999999999</v>
      </c>
    </row>
    <row r="5671" spans="1:5" x14ac:dyDescent="0.25">
      <c r="A5671" s="32" t="s">
        <v>767</v>
      </c>
      <c r="B5671" s="7">
        <v>2002</v>
      </c>
      <c r="C5671" s="51" t="s">
        <v>708</v>
      </c>
      <c r="D5671" t="s">
        <v>725</v>
      </c>
      <c r="E5671" s="2">
        <v>1.2150000000000001</v>
      </c>
    </row>
    <row r="5672" spans="1:5" x14ac:dyDescent="0.25">
      <c r="A5672" s="32" t="s">
        <v>767</v>
      </c>
      <c r="B5672" s="7">
        <v>2002</v>
      </c>
      <c r="C5672" s="51" t="s">
        <v>699</v>
      </c>
      <c r="D5672" t="s">
        <v>725</v>
      </c>
      <c r="E5672" s="2">
        <v>1.1879999999999999</v>
      </c>
    </row>
    <row r="5673" spans="1:5" x14ac:dyDescent="0.25">
      <c r="A5673" s="32" t="s">
        <v>767</v>
      </c>
      <c r="B5673" s="7">
        <v>2002</v>
      </c>
      <c r="C5673" s="51" t="s">
        <v>709</v>
      </c>
      <c r="D5673" t="s">
        <v>725</v>
      </c>
      <c r="E5673" s="2">
        <v>1.3</v>
      </c>
    </row>
    <row r="5674" spans="1:5" x14ac:dyDescent="0.25">
      <c r="A5674" s="32" t="s">
        <v>767</v>
      </c>
      <c r="B5674" s="7">
        <v>2002</v>
      </c>
      <c r="C5674" s="51" t="s">
        <v>712</v>
      </c>
      <c r="D5674" t="s">
        <v>725</v>
      </c>
      <c r="E5674" s="2">
        <v>1.448</v>
      </c>
    </row>
    <row r="5675" spans="1:5" x14ac:dyDescent="0.25">
      <c r="A5675" s="32" t="s">
        <v>767</v>
      </c>
      <c r="B5675" s="7">
        <v>2002</v>
      </c>
      <c r="C5675" s="51" t="s">
        <v>710</v>
      </c>
      <c r="D5675" t="s">
        <v>725</v>
      </c>
      <c r="E5675" s="2">
        <v>1.4810000000000001</v>
      </c>
    </row>
    <row r="5676" spans="1:5" x14ac:dyDescent="0.25">
      <c r="A5676" s="32" t="s">
        <v>767</v>
      </c>
      <c r="B5676" s="7">
        <v>2002</v>
      </c>
      <c r="C5676" s="51" t="s">
        <v>702</v>
      </c>
      <c r="D5676" t="s">
        <v>725</v>
      </c>
      <c r="E5676" s="2">
        <v>1.5509999999999999</v>
      </c>
    </row>
    <row r="5677" spans="1:5" x14ac:dyDescent="0.25">
      <c r="A5677" s="32" t="s">
        <v>767</v>
      </c>
      <c r="B5677" s="7">
        <v>2002</v>
      </c>
      <c r="C5677" s="51" t="s">
        <v>703</v>
      </c>
      <c r="D5677" t="s">
        <v>725</v>
      </c>
      <c r="E5677" s="2">
        <v>1.5209999999999999</v>
      </c>
    </row>
    <row r="5678" spans="1:5" x14ac:dyDescent="0.25">
      <c r="A5678" s="32" t="s">
        <v>767</v>
      </c>
      <c r="B5678" s="7">
        <v>2002</v>
      </c>
      <c r="C5678" s="51" t="s">
        <v>704</v>
      </c>
      <c r="D5678" t="s">
        <v>725</v>
      </c>
      <c r="E5678" s="2">
        <v>1.5580000000000001</v>
      </c>
    </row>
    <row r="5679" spans="1:5" x14ac:dyDescent="0.25">
      <c r="A5679" s="32" t="s">
        <v>767</v>
      </c>
      <c r="B5679" s="7">
        <v>2002</v>
      </c>
      <c r="C5679" s="51" t="s">
        <v>705</v>
      </c>
      <c r="D5679" t="s">
        <v>725</v>
      </c>
      <c r="E5679" s="2">
        <v>1.26</v>
      </c>
    </row>
    <row r="5680" spans="1:5" x14ac:dyDescent="0.25">
      <c r="A5680" s="32" t="s">
        <v>767</v>
      </c>
      <c r="B5680" s="7">
        <v>2002</v>
      </c>
      <c r="C5680" s="51" t="s">
        <v>706</v>
      </c>
      <c r="D5680" t="s">
        <v>725</v>
      </c>
      <c r="E5680" s="2">
        <v>1.698</v>
      </c>
    </row>
    <row r="5681" spans="1:5" x14ac:dyDescent="0.25">
      <c r="A5681" s="32" t="s">
        <v>767</v>
      </c>
      <c r="B5681" s="7">
        <v>2003</v>
      </c>
      <c r="C5681" s="51" t="s">
        <v>713</v>
      </c>
      <c r="D5681" t="s">
        <v>725</v>
      </c>
      <c r="E5681" s="2">
        <v>2.145</v>
      </c>
    </row>
    <row r="5682" spans="1:5" x14ac:dyDescent="0.25">
      <c r="A5682" s="32" t="s">
        <v>767</v>
      </c>
      <c r="B5682" s="7">
        <v>2003</v>
      </c>
      <c r="C5682" s="51" t="s">
        <v>707</v>
      </c>
      <c r="D5682" t="s">
        <v>725</v>
      </c>
      <c r="E5682" s="2">
        <v>1.9710000000000001</v>
      </c>
    </row>
    <row r="5683" spans="1:5" x14ac:dyDescent="0.25">
      <c r="A5683" s="32" t="s">
        <v>767</v>
      </c>
      <c r="B5683" s="7">
        <v>2003</v>
      </c>
      <c r="C5683" s="51" t="s">
        <v>708</v>
      </c>
      <c r="D5683" t="s">
        <v>725</v>
      </c>
      <c r="E5683" s="2">
        <v>2.1389999999999998</v>
      </c>
    </row>
    <row r="5684" spans="1:5" x14ac:dyDescent="0.25">
      <c r="A5684" s="32" t="s">
        <v>767</v>
      </c>
      <c r="B5684" s="7">
        <v>2003</v>
      </c>
      <c r="C5684" s="51" t="s">
        <v>699</v>
      </c>
      <c r="D5684" t="s">
        <v>725</v>
      </c>
      <c r="E5684" s="2">
        <v>2.1589999999999998</v>
      </c>
    </row>
    <row r="5685" spans="1:5" x14ac:dyDescent="0.25">
      <c r="A5685" s="32" t="s">
        <v>767</v>
      </c>
      <c r="B5685" s="7">
        <v>2003</v>
      </c>
      <c r="C5685" s="51" t="s">
        <v>709</v>
      </c>
      <c r="D5685" t="s">
        <v>725</v>
      </c>
      <c r="E5685" s="2">
        <v>1.8480000000000001</v>
      </c>
    </row>
    <row r="5686" spans="1:5" x14ac:dyDescent="0.25">
      <c r="A5686" s="32" t="s">
        <v>767</v>
      </c>
      <c r="B5686" s="7">
        <v>2003</v>
      </c>
      <c r="C5686" s="51" t="s">
        <v>712</v>
      </c>
      <c r="D5686" t="s">
        <v>725</v>
      </c>
      <c r="E5686" s="2">
        <v>1.798</v>
      </c>
    </row>
    <row r="5687" spans="1:5" x14ac:dyDescent="0.25">
      <c r="A5687" s="32" t="s">
        <v>767</v>
      </c>
      <c r="B5687" s="7">
        <v>2003</v>
      </c>
      <c r="C5687" s="51" t="s">
        <v>710</v>
      </c>
      <c r="D5687" t="s">
        <v>725</v>
      </c>
      <c r="E5687" s="2">
        <v>1.907</v>
      </c>
    </row>
    <row r="5688" spans="1:5" x14ac:dyDescent="0.25">
      <c r="A5688" s="32" t="s">
        <v>767</v>
      </c>
      <c r="B5688" s="7">
        <v>2003</v>
      </c>
      <c r="C5688" s="51" t="s">
        <v>702</v>
      </c>
      <c r="D5688" t="s">
        <v>725</v>
      </c>
      <c r="E5688" s="2">
        <v>2.0249999999999999</v>
      </c>
    </row>
    <row r="5689" spans="1:5" x14ac:dyDescent="0.25">
      <c r="A5689" s="32" t="s">
        <v>767</v>
      </c>
      <c r="B5689" s="7">
        <v>2003</v>
      </c>
      <c r="C5689" s="51" t="s">
        <v>703</v>
      </c>
      <c r="D5689" t="s">
        <v>725</v>
      </c>
      <c r="E5689" s="2">
        <v>1.9410000000000001</v>
      </c>
    </row>
    <row r="5690" spans="1:5" x14ac:dyDescent="0.25">
      <c r="A5690" s="32" t="s">
        <v>767</v>
      </c>
      <c r="B5690" s="7">
        <v>2003</v>
      </c>
      <c r="C5690" s="51" t="s">
        <v>704</v>
      </c>
      <c r="D5690" t="s">
        <v>725</v>
      </c>
      <c r="E5690" s="2">
        <v>1.9910000000000001</v>
      </c>
    </row>
    <row r="5691" spans="1:5" x14ac:dyDescent="0.25">
      <c r="A5691" s="32" t="s">
        <v>767</v>
      </c>
      <c r="B5691" s="7">
        <v>2003</v>
      </c>
      <c r="C5691" s="51" t="s">
        <v>705</v>
      </c>
      <c r="D5691" t="s">
        <v>725</v>
      </c>
      <c r="E5691" s="2">
        <v>1.994</v>
      </c>
    </row>
    <row r="5692" spans="1:5" x14ac:dyDescent="0.25">
      <c r="A5692" s="32" t="s">
        <v>767</v>
      </c>
      <c r="B5692" s="7">
        <v>2003</v>
      </c>
      <c r="C5692" s="51" t="s">
        <v>706</v>
      </c>
      <c r="D5692" t="s">
        <v>725</v>
      </c>
      <c r="E5692" s="2">
        <v>2.0150000000000001</v>
      </c>
    </row>
    <row r="5693" spans="1:5" x14ac:dyDescent="0.25">
      <c r="A5693" s="32" t="s">
        <v>767</v>
      </c>
      <c r="B5693" s="7">
        <v>2004</v>
      </c>
      <c r="C5693" s="51" t="s">
        <v>713</v>
      </c>
      <c r="D5693" t="s">
        <v>725</v>
      </c>
      <c r="E5693" s="2">
        <v>2.218</v>
      </c>
    </row>
    <row r="5694" spans="1:5" x14ac:dyDescent="0.25">
      <c r="A5694" s="32" t="s">
        <v>767</v>
      </c>
      <c r="B5694" s="7">
        <v>2004</v>
      </c>
      <c r="C5694" s="51" t="s">
        <v>707</v>
      </c>
      <c r="D5694" t="s">
        <v>725</v>
      </c>
      <c r="E5694" s="2">
        <v>2.0499999999999998</v>
      </c>
    </row>
    <row r="5695" spans="1:5" x14ac:dyDescent="0.25">
      <c r="A5695" s="32" t="s">
        <v>767</v>
      </c>
      <c r="B5695" s="7">
        <v>2004</v>
      </c>
      <c r="C5695" s="51" t="s">
        <v>708</v>
      </c>
      <c r="D5695" t="s">
        <v>725</v>
      </c>
      <c r="E5695" s="2">
        <v>2.0510000000000002</v>
      </c>
    </row>
    <row r="5696" spans="1:5" x14ac:dyDescent="0.25">
      <c r="A5696" s="32" t="s">
        <v>767</v>
      </c>
      <c r="B5696" s="7">
        <v>2004</v>
      </c>
      <c r="C5696" s="51" t="s">
        <v>699</v>
      </c>
      <c r="D5696" t="s">
        <v>725</v>
      </c>
      <c r="E5696" s="2">
        <v>1.915</v>
      </c>
    </row>
    <row r="5697" spans="1:5" x14ac:dyDescent="0.25">
      <c r="A5697" s="32" t="s">
        <v>767</v>
      </c>
      <c r="B5697" s="7">
        <v>2004</v>
      </c>
      <c r="C5697" s="51" t="s">
        <v>709</v>
      </c>
      <c r="D5697" t="s">
        <v>725</v>
      </c>
      <c r="E5697" s="2">
        <v>2.0030000000000001</v>
      </c>
    </row>
    <row r="5698" spans="1:5" x14ac:dyDescent="0.25">
      <c r="A5698" s="32" t="s">
        <v>767</v>
      </c>
      <c r="B5698" s="7">
        <v>2004</v>
      </c>
      <c r="C5698" s="51" t="s">
        <v>712</v>
      </c>
      <c r="D5698" t="s">
        <v>725</v>
      </c>
      <c r="E5698" s="2">
        <v>1.845</v>
      </c>
    </row>
    <row r="5699" spans="1:5" x14ac:dyDescent="0.25">
      <c r="A5699" s="32" t="s">
        <v>767</v>
      </c>
      <c r="B5699" s="7">
        <v>2004</v>
      </c>
      <c r="C5699" s="51" t="s">
        <v>710</v>
      </c>
      <c r="D5699" t="s">
        <v>725</v>
      </c>
      <c r="E5699" s="2">
        <v>2.177</v>
      </c>
    </row>
    <row r="5700" spans="1:5" x14ac:dyDescent="0.25">
      <c r="A5700" s="32" t="s">
        <v>767</v>
      </c>
      <c r="B5700" s="7">
        <v>2004</v>
      </c>
      <c r="C5700" s="51" t="s">
        <v>702</v>
      </c>
      <c r="D5700" t="s">
        <v>725</v>
      </c>
      <c r="E5700" s="2">
        <v>2.1960000000000002</v>
      </c>
    </row>
    <row r="5701" spans="1:5" x14ac:dyDescent="0.25">
      <c r="A5701" s="32" t="s">
        <v>767</v>
      </c>
      <c r="B5701" s="7">
        <v>2004</v>
      </c>
      <c r="C5701" s="51" t="s">
        <v>703</v>
      </c>
      <c r="D5701" t="s">
        <v>725</v>
      </c>
      <c r="E5701" s="2">
        <v>1.8919999999999999</v>
      </c>
    </row>
    <row r="5702" spans="1:5" x14ac:dyDescent="0.25">
      <c r="A5702" s="32" t="s">
        <v>767</v>
      </c>
      <c r="B5702" s="7">
        <v>2004</v>
      </c>
      <c r="C5702" s="51" t="s">
        <v>704</v>
      </c>
      <c r="D5702" t="s">
        <v>725</v>
      </c>
      <c r="E5702" s="2">
        <v>1.9330000000000001</v>
      </c>
    </row>
    <row r="5703" spans="1:5" x14ac:dyDescent="0.25">
      <c r="A5703" s="32" t="s">
        <v>767</v>
      </c>
      <c r="B5703" s="7">
        <v>2004</v>
      </c>
      <c r="C5703" s="51" t="s">
        <v>705</v>
      </c>
      <c r="D5703" t="s">
        <v>725</v>
      </c>
      <c r="E5703" s="2">
        <v>1.954</v>
      </c>
    </row>
    <row r="5704" spans="1:5" x14ac:dyDescent="0.25">
      <c r="A5704" s="32" t="s">
        <v>767</v>
      </c>
      <c r="B5704" s="7">
        <v>2004</v>
      </c>
      <c r="C5704" s="51" t="s">
        <v>706</v>
      </c>
      <c r="D5704" t="s">
        <v>725</v>
      </c>
      <c r="E5704" s="2">
        <v>1.998</v>
      </c>
    </row>
    <row r="5705" spans="1:5" x14ac:dyDescent="0.25">
      <c r="A5705" s="32" t="s">
        <v>767</v>
      </c>
      <c r="B5705" s="7">
        <v>2005</v>
      </c>
      <c r="C5705" s="51" t="s">
        <v>713</v>
      </c>
      <c r="D5705" t="s">
        <v>725</v>
      </c>
      <c r="E5705" s="2">
        <v>2.1579999999999999</v>
      </c>
    </row>
    <row r="5706" spans="1:5" x14ac:dyDescent="0.25">
      <c r="A5706" s="32" t="s">
        <v>767</v>
      </c>
      <c r="B5706" s="7">
        <v>2005</v>
      </c>
      <c r="C5706" s="51" t="s">
        <v>707</v>
      </c>
      <c r="D5706" t="s">
        <v>725</v>
      </c>
      <c r="E5706" s="2">
        <v>1.8859999999999999</v>
      </c>
    </row>
    <row r="5707" spans="1:5" x14ac:dyDescent="0.25">
      <c r="A5707" s="32" t="s">
        <v>767</v>
      </c>
      <c r="B5707" s="7">
        <v>2005</v>
      </c>
      <c r="C5707" s="51" t="s">
        <v>708</v>
      </c>
      <c r="D5707" t="s">
        <v>725</v>
      </c>
      <c r="E5707" s="2">
        <v>2.0590000000000002</v>
      </c>
    </row>
    <row r="5708" spans="1:5" x14ac:dyDescent="0.25">
      <c r="A5708" s="32" t="s">
        <v>767</v>
      </c>
      <c r="B5708" s="7">
        <v>2005</v>
      </c>
      <c r="C5708" s="51" t="s">
        <v>699</v>
      </c>
      <c r="D5708" t="s">
        <v>725</v>
      </c>
      <c r="E5708" s="2">
        <v>1.9650000000000001</v>
      </c>
    </row>
    <row r="5709" spans="1:5" x14ac:dyDescent="0.25">
      <c r="A5709" s="32" t="s">
        <v>767</v>
      </c>
      <c r="B5709" s="7">
        <v>2005</v>
      </c>
      <c r="C5709" s="51" t="s">
        <v>709</v>
      </c>
      <c r="D5709" t="s">
        <v>725</v>
      </c>
      <c r="E5709" s="2">
        <v>2.2280000000000002</v>
      </c>
    </row>
    <row r="5710" spans="1:5" x14ac:dyDescent="0.25">
      <c r="A5710" s="32" t="s">
        <v>767</v>
      </c>
      <c r="B5710" s="7">
        <v>2005</v>
      </c>
      <c r="C5710" s="51" t="s">
        <v>712</v>
      </c>
      <c r="D5710" t="s">
        <v>725</v>
      </c>
      <c r="E5710" s="2">
        <v>2.21</v>
      </c>
    </row>
    <row r="5711" spans="1:5" x14ac:dyDescent="0.25">
      <c r="A5711" s="32" t="s">
        <v>767</v>
      </c>
      <c r="B5711" s="7">
        <v>2005</v>
      </c>
      <c r="C5711" s="51" t="s">
        <v>710</v>
      </c>
      <c r="D5711" t="s">
        <v>725</v>
      </c>
      <c r="E5711" s="2">
        <v>2.2519999999999998</v>
      </c>
    </row>
    <row r="5712" spans="1:5" x14ac:dyDescent="0.25">
      <c r="A5712" s="32" t="s">
        <v>767</v>
      </c>
      <c r="B5712" s="7">
        <v>2005</v>
      </c>
      <c r="C5712" s="51" t="s">
        <v>702</v>
      </c>
      <c r="D5712" t="s">
        <v>725</v>
      </c>
      <c r="E5712" s="2">
        <v>2.3210000000000002</v>
      </c>
    </row>
    <row r="5713" spans="1:5" x14ac:dyDescent="0.25">
      <c r="A5713" s="32" t="s">
        <v>767</v>
      </c>
      <c r="B5713" s="7">
        <v>2005</v>
      </c>
      <c r="C5713" s="51" t="s">
        <v>703</v>
      </c>
      <c r="D5713" t="s">
        <v>725</v>
      </c>
      <c r="E5713" s="2">
        <v>1.9410000000000001</v>
      </c>
    </row>
    <row r="5714" spans="1:5" x14ac:dyDescent="0.25">
      <c r="A5714" s="32" t="s">
        <v>767</v>
      </c>
      <c r="B5714" s="7">
        <v>2005</v>
      </c>
      <c r="C5714" s="51" t="s">
        <v>704</v>
      </c>
      <c r="D5714" t="s">
        <v>725</v>
      </c>
      <c r="E5714" s="2">
        <v>1.9810000000000001</v>
      </c>
    </row>
    <row r="5715" spans="1:5" x14ac:dyDescent="0.25">
      <c r="A5715" s="32" t="s">
        <v>767</v>
      </c>
      <c r="B5715" s="7">
        <v>2005</v>
      </c>
      <c r="C5715" s="51" t="s">
        <v>705</v>
      </c>
      <c r="D5715" t="s">
        <v>725</v>
      </c>
      <c r="E5715" s="2">
        <v>2.5489999999999999</v>
      </c>
    </row>
    <row r="5716" spans="1:5" x14ac:dyDescent="0.25">
      <c r="A5716" s="32" t="s">
        <v>767</v>
      </c>
      <c r="B5716" s="7">
        <v>2005</v>
      </c>
      <c r="C5716" s="51" t="s">
        <v>706</v>
      </c>
      <c r="D5716" t="s">
        <v>725</v>
      </c>
      <c r="E5716" s="2">
        <v>2.617</v>
      </c>
    </row>
    <row r="5717" spans="1:5" x14ac:dyDescent="0.25">
      <c r="A5717" s="32" t="s">
        <v>767</v>
      </c>
      <c r="B5717" s="7">
        <v>2006</v>
      </c>
      <c r="C5717" s="51" t="s">
        <v>713</v>
      </c>
      <c r="D5717" t="s">
        <v>725</v>
      </c>
      <c r="E5717" s="2">
        <v>2.59</v>
      </c>
    </row>
    <row r="5718" spans="1:5" x14ac:dyDescent="0.25">
      <c r="A5718" s="32" t="s">
        <v>767</v>
      </c>
      <c r="B5718" s="7">
        <v>2006</v>
      </c>
      <c r="C5718" s="51" t="s">
        <v>707</v>
      </c>
      <c r="D5718" t="s">
        <v>725</v>
      </c>
      <c r="E5718" s="2">
        <v>2.3860000000000001</v>
      </c>
    </row>
    <row r="5719" spans="1:5" x14ac:dyDescent="0.25">
      <c r="A5719" s="32" t="s">
        <v>767</v>
      </c>
      <c r="B5719" s="7">
        <v>2006</v>
      </c>
      <c r="C5719" s="51" t="s">
        <v>708</v>
      </c>
      <c r="D5719" t="s">
        <v>725</v>
      </c>
      <c r="E5719" s="2">
        <v>2.5950000000000002</v>
      </c>
    </row>
    <row r="5720" spans="1:5" x14ac:dyDescent="0.25">
      <c r="A5720" s="32" t="s">
        <v>767</v>
      </c>
      <c r="B5720" s="7">
        <v>2006</v>
      </c>
      <c r="C5720" s="51" t="s">
        <v>699</v>
      </c>
      <c r="D5720" t="s">
        <v>725</v>
      </c>
      <c r="E5720" s="2">
        <v>2.516</v>
      </c>
    </row>
    <row r="5721" spans="1:5" x14ac:dyDescent="0.25">
      <c r="A5721" s="32" t="s">
        <v>767</v>
      </c>
      <c r="B5721" s="7">
        <v>2006</v>
      </c>
      <c r="C5721" s="51" t="s">
        <v>709</v>
      </c>
      <c r="D5721" t="s">
        <v>725</v>
      </c>
      <c r="E5721" s="2">
        <v>2.202</v>
      </c>
    </row>
    <row r="5722" spans="1:5" x14ac:dyDescent="0.25">
      <c r="A5722" s="32" t="s">
        <v>767</v>
      </c>
      <c r="B5722" s="7">
        <v>2006</v>
      </c>
      <c r="C5722" s="51" t="s">
        <v>712</v>
      </c>
      <c r="D5722" t="s">
        <v>725</v>
      </c>
      <c r="E5722" s="2">
        <v>2.0110000000000001</v>
      </c>
    </row>
    <row r="5723" spans="1:5" x14ac:dyDescent="0.25">
      <c r="A5723" s="32" t="s">
        <v>767</v>
      </c>
      <c r="B5723" s="7">
        <v>2006</v>
      </c>
      <c r="C5723" s="51" t="s">
        <v>710</v>
      </c>
      <c r="D5723" t="s">
        <v>725</v>
      </c>
      <c r="E5723" s="2">
        <v>2.0219999999999998</v>
      </c>
    </row>
    <row r="5724" spans="1:5" x14ac:dyDescent="0.25">
      <c r="A5724" s="32" t="s">
        <v>767</v>
      </c>
      <c r="B5724" s="7">
        <v>2006</v>
      </c>
      <c r="C5724" s="51" t="s">
        <v>702</v>
      </c>
      <c r="D5724" t="s">
        <v>725</v>
      </c>
      <c r="E5724" s="2">
        <v>1.7130000000000001</v>
      </c>
    </row>
    <row r="5725" spans="1:5" x14ac:dyDescent="0.25">
      <c r="A5725" s="32" t="s">
        <v>767</v>
      </c>
      <c r="B5725" s="7">
        <v>2006</v>
      </c>
      <c r="C5725" s="51" t="s">
        <v>703</v>
      </c>
      <c r="D5725" t="s">
        <v>725</v>
      </c>
      <c r="E5725" s="2">
        <v>1.6180000000000001</v>
      </c>
    </row>
    <row r="5726" spans="1:5" x14ac:dyDescent="0.25">
      <c r="A5726" s="32" t="s">
        <v>767</v>
      </c>
      <c r="B5726" s="7">
        <v>2006</v>
      </c>
      <c r="C5726" s="51" t="s">
        <v>704</v>
      </c>
      <c r="D5726" t="s">
        <v>725</v>
      </c>
      <c r="E5726" s="2">
        <v>1.6080000000000001</v>
      </c>
    </row>
    <row r="5727" spans="1:5" x14ac:dyDescent="0.25">
      <c r="A5727" s="32" t="s">
        <v>767</v>
      </c>
      <c r="B5727" s="7">
        <v>2006</v>
      </c>
      <c r="C5727" s="51" t="s">
        <v>705</v>
      </c>
      <c r="D5727" t="s">
        <v>725</v>
      </c>
      <c r="E5727" s="2">
        <v>1.54</v>
      </c>
    </row>
    <row r="5728" spans="1:5" x14ac:dyDescent="0.25">
      <c r="A5728" s="32" t="s">
        <v>767</v>
      </c>
      <c r="B5728" s="7">
        <v>2006</v>
      </c>
      <c r="C5728" s="51" t="s">
        <v>706</v>
      </c>
      <c r="D5728" t="s">
        <v>725</v>
      </c>
      <c r="E5728" s="2">
        <v>1.65</v>
      </c>
    </row>
    <row r="5729" spans="1:5" x14ac:dyDescent="0.25">
      <c r="A5729" s="32" t="s">
        <v>767</v>
      </c>
      <c r="B5729" s="7">
        <v>2007</v>
      </c>
      <c r="C5729" s="51" t="s">
        <v>713</v>
      </c>
      <c r="D5729" t="s">
        <v>725</v>
      </c>
      <c r="E5729" s="2">
        <v>1.7470000000000001</v>
      </c>
    </row>
    <row r="5730" spans="1:5" x14ac:dyDescent="0.25">
      <c r="A5730" s="32" t="s">
        <v>767</v>
      </c>
      <c r="B5730" s="7">
        <v>2007</v>
      </c>
      <c r="C5730" s="51" t="s">
        <v>707</v>
      </c>
      <c r="D5730" t="s">
        <v>725</v>
      </c>
      <c r="E5730" s="2">
        <v>1.6879999999999999</v>
      </c>
    </row>
    <row r="5731" spans="1:5" x14ac:dyDescent="0.25">
      <c r="A5731" s="32" t="s">
        <v>767</v>
      </c>
      <c r="B5731" s="7">
        <v>2007</v>
      </c>
      <c r="C5731" s="51" t="s">
        <v>708</v>
      </c>
      <c r="D5731" t="s">
        <v>725</v>
      </c>
      <c r="E5731" s="2">
        <v>1.7330000000000001</v>
      </c>
    </row>
    <row r="5732" spans="1:5" x14ac:dyDescent="0.25">
      <c r="A5732" s="32" t="s">
        <v>767</v>
      </c>
      <c r="B5732" s="7">
        <v>2007</v>
      </c>
      <c r="C5732" s="51" t="s">
        <v>699</v>
      </c>
      <c r="D5732" t="s">
        <v>725</v>
      </c>
      <c r="E5732" s="2">
        <v>1.956</v>
      </c>
    </row>
    <row r="5733" spans="1:5" x14ac:dyDescent="0.25">
      <c r="A5733" s="32" t="s">
        <v>767</v>
      </c>
      <c r="B5733" s="7">
        <v>2007</v>
      </c>
      <c r="C5733" s="51" t="s">
        <v>709</v>
      </c>
      <c r="D5733" t="s">
        <v>725</v>
      </c>
      <c r="E5733" s="2">
        <v>2.13</v>
      </c>
    </row>
    <row r="5734" spans="1:5" x14ac:dyDescent="0.25">
      <c r="A5734" s="32" t="s">
        <v>767</v>
      </c>
      <c r="B5734" s="7">
        <v>2007</v>
      </c>
      <c r="C5734" s="51" t="s">
        <v>712</v>
      </c>
      <c r="D5734" t="s">
        <v>725</v>
      </c>
      <c r="E5734" s="2">
        <v>2.1880000000000002</v>
      </c>
    </row>
    <row r="5735" spans="1:5" x14ac:dyDescent="0.25">
      <c r="A5735" s="32" t="s">
        <v>767</v>
      </c>
      <c r="B5735" s="7">
        <v>2007</v>
      </c>
      <c r="C5735" s="51" t="s">
        <v>710</v>
      </c>
      <c r="D5735" t="s">
        <v>725</v>
      </c>
      <c r="E5735" s="2">
        <v>2.29</v>
      </c>
    </row>
    <row r="5736" spans="1:5" x14ac:dyDescent="0.25">
      <c r="A5736" s="32" t="s">
        <v>767</v>
      </c>
      <c r="B5736" s="7">
        <v>2007</v>
      </c>
      <c r="C5736" s="51" t="s">
        <v>702</v>
      </c>
      <c r="D5736" t="s">
        <v>725</v>
      </c>
      <c r="E5736" s="2">
        <v>2.2149999999999999</v>
      </c>
    </row>
    <row r="5737" spans="1:5" x14ac:dyDescent="0.25">
      <c r="A5737" s="32" t="s">
        <v>767</v>
      </c>
      <c r="B5737" s="7">
        <v>2007</v>
      </c>
      <c r="C5737" s="51" t="s">
        <v>703</v>
      </c>
      <c r="D5737" t="s">
        <v>725</v>
      </c>
      <c r="E5737" s="2">
        <v>2.1379999999999999</v>
      </c>
    </row>
    <row r="5738" spans="1:5" x14ac:dyDescent="0.25">
      <c r="A5738" s="32" t="s">
        <v>767</v>
      </c>
      <c r="B5738" s="7">
        <v>2007</v>
      </c>
      <c r="C5738" s="51" t="s">
        <v>704</v>
      </c>
      <c r="D5738" t="s">
        <v>725</v>
      </c>
      <c r="E5738" s="2">
        <v>2.23</v>
      </c>
    </row>
    <row r="5739" spans="1:5" x14ac:dyDescent="0.25">
      <c r="A5739" s="32" t="s">
        <v>767</v>
      </c>
      <c r="B5739" s="7">
        <v>2007</v>
      </c>
      <c r="C5739" s="51" t="s">
        <v>705</v>
      </c>
      <c r="D5739" t="s">
        <v>725</v>
      </c>
      <c r="E5739" s="2">
        <v>2.0979999999999999</v>
      </c>
    </row>
    <row r="5740" spans="1:5" x14ac:dyDescent="0.25">
      <c r="A5740" s="32" t="s">
        <v>767</v>
      </c>
      <c r="B5740" s="7">
        <v>2007</v>
      </c>
      <c r="C5740" s="51" t="s">
        <v>706</v>
      </c>
      <c r="D5740" t="s">
        <v>725</v>
      </c>
      <c r="E5740" s="2">
        <v>2.3319999999999999</v>
      </c>
    </row>
    <row r="5741" spans="1:5" x14ac:dyDescent="0.25">
      <c r="A5741" s="32" t="s">
        <v>767</v>
      </c>
      <c r="B5741" s="7">
        <v>2008</v>
      </c>
      <c r="C5741" s="51" t="s">
        <v>713</v>
      </c>
      <c r="D5741" t="s">
        <v>725</v>
      </c>
      <c r="E5741" s="2">
        <v>2.2000000000000002</v>
      </c>
    </row>
    <row r="5742" spans="1:5" x14ac:dyDescent="0.25">
      <c r="A5742" s="32" t="s">
        <v>767</v>
      </c>
      <c r="B5742" s="7">
        <v>2008</v>
      </c>
      <c r="C5742" s="51" t="s">
        <v>707</v>
      </c>
      <c r="D5742" t="s">
        <v>725</v>
      </c>
      <c r="E5742" s="2">
        <v>2.3780000000000001</v>
      </c>
    </row>
    <row r="5743" spans="1:5" x14ac:dyDescent="0.25">
      <c r="A5743" s="32" t="s">
        <v>767</v>
      </c>
      <c r="B5743" s="7">
        <v>2008</v>
      </c>
      <c r="C5743" s="51" t="s">
        <v>708</v>
      </c>
      <c r="D5743" t="s">
        <v>725</v>
      </c>
      <c r="E5743" s="2">
        <v>2.0619999999999998</v>
      </c>
    </row>
    <row r="5744" spans="1:5" x14ac:dyDescent="0.25">
      <c r="A5744" s="32" t="s">
        <v>767</v>
      </c>
      <c r="B5744" s="7">
        <v>2008</v>
      </c>
      <c r="C5744" s="51" t="s">
        <v>699</v>
      </c>
      <c r="D5744" t="s">
        <v>725</v>
      </c>
      <c r="E5744" s="2">
        <v>2.1230000000000002</v>
      </c>
    </row>
    <row r="5745" spans="1:5" x14ac:dyDescent="0.25">
      <c r="A5745" s="32" t="s">
        <v>767</v>
      </c>
      <c r="B5745" s="7">
        <v>2008</v>
      </c>
      <c r="C5745" s="51" t="s">
        <v>709</v>
      </c>
      <c r="D5745" t="s">
        <v>725</v>
      </c>
      <c r="E5745" s="2">
        <v>2.2229999999999999</v>
      </c>
    </row>
    <row r="5746" spans="1:5" x14ac:dyDescent="0.25">
      <c r="A5746" s="32" t="s">
        <v>767</v>
      </c>
      <c r="B5746" s="7">
        <v>2008</v>
      </c>
      <c r="C5746" s="51" t="s">
        <v>712</v>
      </c>
      <c r="D5746" t="s">
        <v>725</v>
      </c>
      <c r="E5746" s="2">
        <v>2.0670000000000002</v>
      </c>
    </row>
    <row r="5747" spans="1:5" x14ac:dyDescent="0.25">
      <c r="A5747" s="32" t="s">
        <v>767</v>
      </c>
      <c r="B5747" s="7">
        <v>2008</v>
      </c>
      <c r="C5747" s="51" t="s">
        <v>710</v>
      </c>
      <c r="D5747" t="s">
        <v>725</v>
      </c>
      <c r="E5747" s="2">
        <v>2.254</v>
      </c>
    </row>
    <row r="5748" spans="1:5" x14ac:dyDescent="0.25">
      <c r="A5748" s="32" t="s">
        <v>767</v>
      </c>
      <c r="B5748" s="7">
        <v>2008</v>
      </c>
      <c r="C5748" s="51" t="s">
        <v>702</v>
      </c>
      <c r="D5748" t="s">
        <v>725</v>
      </c>
      <c r="E5748" s="2">
        <v>2.367</v>
      </c>
    </row>
    <row r="5749" spans="1:5" x14ac:dyDescent="0.25">
      <c r="A5749" s="32" t="s">
        <v>767</v>
      </c>
      <c r="B5749" s="7">
        <v>2008</v>
      </c>
      <c r="C5749" s="51" t="s">
        <v>703</v>
      </c>
      <c r="D5749" t="s">
        <v>725</v>
      </c>
      <c r="E5749" s="2">
        <v>2.1549999999999998</v>
      </c>
    </row>
    <row r="5750" spans="1:5" x14ac:dyDescent="0.25">
      <c r="A5750" s="32" t="s">
        <v>767</v>
      </c>
      <c r="B5750" s="7">
        <v>2008</v>
      </c>
      <c r="C5750" s="51" t="s">
        <v>704</v>
      </c>
      <c r="D5750" t="s">
        <v>725</v>
      </c>
      <c r="E5750" s="2">
        <v>2.431</v>
      </c>
    </row>
    <row r="5751" spans="1:5" x14ac:dyDescent="0.25">
      <c r="A5751" s="32" t="s">
        <v>767</v>
      </c>
      <c r="B5751" s="7">
        <v>2008</v>
      </c>
      <c r="C5751" s="51" t="s">
        <v>705</v>
      </c>
      <c r="D5751" t="s">
        <v>725</v>
      </c>
      <c r="E5751" s="2">
        <v>2.0680000000000001</v>
      </c>
    </row>
    <row r="5752" spans="1:5" x14ac:dyDescent="0.25">
      <c r="A5752" s="32" t="s">
        <v>767</v>
      </c>
      <c r="B5752" s="7">
        <v>2008</v>
      </c>
      <c r="C5752" s="51" t="s">
        <v>706</v>
      </c>
      <c r="D5752" t="s">
        <v>725</v>
      </c>
      <c r="E5752" s="2">
        <v>2.052</v>
      </c>
    </row>
    <row r="5753" spans="1:5" x14ac:dyDescent="0.25">
      <c r="A5753" s="32" t="s">
        <v>767</v>
      </c>
      <c r="B5753" s="7">
        <v>2009</v>
      </c>
      <c r="C5753" s="51" t="s">
        <v>713</v>
      </c>
      <c r="D5753" t="s">
        <v>725</v>
      </c>
      <c r="E5753" s="2">
        <v>2.7530000000000001</v>
      </c>
    </row>
    <row r="5754" spans="1:5" x14ac:dyDescent="0.25">
      <c r="A5754" s="32" t="s">
        <v>767</v>
      </c>
      <c r="B5754" s="7">
        <v>2009</v>
      </c>
      <c r="C5754" s="51" t="s">
        <v>707</v>
      </c>
      <c r="D5754" t="s">
        <v>725</v>
      </c>
      <c r="E5754" s="2">
        <v>2.742</v>
      </c>
    </row>
    <row r="5755" spans="1:5" x14ac:dyDescent="0.25">
      <c r="A5755" s="32" t="s">
        <v>767</v>
      </c>
      <c r="B5755" s="7">
        <v>2009</v>
      </c>
      <c r="C5755" s="51" t="s">
        <v>708</v>
      </c>
      <c r="D5755" t="s">
        <v>725</v>
      </c>
      <c r="E5755" s="2">
        <v>2.5939999999999999</v>
      </c>
    </row>
    <row r="5756" spans="1:5" x14ac:dyDescent="0.25">
      <c r="A5756" s="32" t="s">
        <v>767</v>
      </c>
      <c r="B5756" s="7">
        <v>2009</v>
      </c>
      <c r="C5756" s="51" t="s">
        <v>699</v>
      </c>
      <c r="D5756" t="s">
        <v>725</v>
      </c>
      <c r="E5756" s="2">
        <v>2.5550000000000002</v>
      </c>
    </row>
    <row r="5757" spans="1:5" x14ac:dyDescent="0.25">
      <c r="A5757" s="32" t="s">
        <v>767</v>
      </c>
      <c r="B5757" s="7">
        <v>2009</v>
      </c>
      <c r="C5757" s="51" t="s">
        <v>709</v>
      </c>
      <c r="D5757" t="s">
        <v>725</v>
      </c>
      <c r="E5757" s="2">
        <v>2.6890000000000001</v>
      </c>
    </row>
    <row r="5758" spans="1:5" x14ac:dyDescent="0.25">
      <c r="A5758" s="32" t="s">
        <v>767</v>
      </c>
      <c r="B5758" s="7">
        <v>2009</v>
      </c>
      <c r="C5758" s="51" t="s">
        <v>712</v>
      </c>
      <c r="D5758" t="s">
        <v>725</v>
      </c>
      <c r="E5758" s="2">
        <v>2.6040000000000001</v>
      </c>
    </row>
    <row r="5759" spans="1:5" x14ac:dyDescent="0.25">
      <c r="A5759" s="32" t="s">
        <v>767</v>
      </c>
      <c r="B5759" s="7">
        <v>2009</v>
      </c>
      <c r="C5759" s="51" t="s">
        <v>710</v>
      </c>
      <c r="D5759" t="s">
        <v>725</v>
      </c>
      <c r="E5759" s="2">
        <v>2.8650000000000002</v>
      </c>
    </row>
    <row r="5760" spans="1:5" x14ac:dyDescent="0.25">
      <c r="A5760" s="32" t="s">
        <v>767</v>
      </c>
      <c r="B5760" s="7">
        <v>2009</v>
      </c>
      <c r="C5760" s="51" t="s">
        <v>702</v>
      </c>
      <c r="D5760" t="s">
        <v>725</v>
      </c>
      <c r="E5760" s="2">
        <v>2.6070000000000002</v>
      </c>
    </row>
    <row r="5761" spans="1:5" x14ac:dyDescent="0.25">
      <c r="A5761" s="32" t="s">
        <v>767</v>
      </c>
      <c r="B5761" s="7">
        <v>2009</v>
      </c>
      <c r="C5761" s="51" t="s">
        <v>703</v>
      </c>
      <c r="D5761" t="s">
        <v>725</v>
      </c>
      <c r="E5761" s="2">
        <v>2.6240000000000001</v>
      </c>
    </row>
    <row r="5762" spans="1:5" x14ac:dyDescent="0.25">
      <c r="A5762" s="32" t="s">
        <v>767</v>
      </c>
      <c r="B5762" s="7">
        <v>2009</v>
      </c>
      <c r="C5762" s="51" t="s">
        <v>704</v>
      </c>
      <c r="D5762" t="s">
        <v>725</v>
      </c>
      <c r="E5762" s="2">
        <v>3.2970000000000002</v>
      </c>
    </row>
    <row r="5763" spans="1:5" x14ac:dyDescent="0.25">
      <c r="A5763" s="32" t="s">
        <v>767</v>
      </c>
      <c r="B5763" s="7">
        <v>2009</v>
      </c>
      <c r="C5763" s="51" t="s">
        <v>705</v>
      </c>
      <c r="D5763" t="s">
        <v>725</v>
      </c>
      <c r="E5763" s="2">
        <v>3.3290000000000002</v>
      </c>
    </row>
    <row r="5764" spans="1:5" x14ac:dyDescent="0.25">
      <c r="A5764" s="32" t="s">
        <v>767</v>
      </c>
      <c r="B5764" s="7">
        <v>2009</v>
      </c>
      <c r="C5764" s="51" t="s">
        <v>706</v>
      </c>
      <c r="D5764" t="s">
        <v>725</v>
      </c>
      <c r="E5764" s="2">
        <v>4.008</v>
      </c>
    </row>
    <row r="5765" spans="1:5" x14ac:dyDescent="0.25">
      <c r="A5765" s="32" t="s">
        <v>767</v>
      </c>
      <c r="B5765" s="7">
        <v>2010</v>
      </c>
      <c r="C5765" s="51" t="s">
        <v>713</v>
      </c>
      <c r="D5765" t="s">
        <v>725</v>
      </c>
      <c r="E5765" s="2">
        <v>3.3210000000000002</v>
      </c>
    </row>
    <row r="5766" spans="1:5" x14ac:dyDescent="0.25">
      <c r="A5766" s="32" t="s">
        <v>767</v>
      </c>
      <c r="B5766" s="7">
        <v>2010</v>
      </c>
      <c r="C5766" s="51" t="s">
        <v>707</v>
      </c>
      <c r="D5766" t="s">
        <v>725</v>
      </c>
      <c r="E5766" s="2">
        <v>3.391</v>
      </c>
    </row>
    <row r="5767" spans="1:5" x14ac:dyDescent="0.25">
      <c r="A5767" s="32" t="s">
        <v>767</v>
      </c>
      <c r="B5767" s="7">
        <v>2010</v>
      </c>
      <c r="C5767" s="51" t="s">
        <v>708</v>
      </c>
      <c r="D5767" t="s">
        <v>725</v>
      </c>
      <c r="E5767" s="2">
        <v>3.2349999999999999</v>
      </c>
    </row>
    <row r="5768" spans="1:5" x14ac:dyDescent="0.25">
      <c r="A5768" s="32" t="s">
        <v>767</v>
      </c>
      <c r="B5768" s="7">
        <v>2010</v>
      </c>
      <c r="C5768" s="51" t="s">
        <v>699</v>
      </c>
      <c r="D5768" t="s">
        <v>725</v>
      </c>
      <c r="E5768" s="2">
        <v>3.165</v>
      </c>
    </row>
    <row r="5769" spans="1:5" x14ac:dyDescent="0.25">
      <c r="A5769" s="32" t="s">
        <v>767</v>
      </c>
      <c r="B5769" s="7">
        <v>2010</v>
      </c>
      <c r="C5769" s="51" t="s">
        <v>709</v>
      </c>
      <c r="D5769" t="s">
        <v>725</v>
      </c>
      <c r="E5769" s="2">
        <v>2.87</v>
      </c>
    </row>
    <row r="5770" spans="1:5" x14ac:dyDescent="0.25">
      <c r="A5770" s="32" t="s">
        <v>767</v>
      </c>
      <c r="B5770" s="7">
        <v>2010</v>
      </c>
      <c r="C5770" s="51" t="s">
        <v>712</v>
      </c>
      <c r="D5770" t="s">
        <v>725</v>
      </c>
      <c r="E5770" s="2">
        <v>2.9750000000000001</v>
      </c>
    </row>
    <row r="5771" spans="1:5" x14ac:dyDescent="0.25">
      <c r="A5771" s="32" t="s">
        <v>767</v>
      </c>
      <c r="B5771" s="7">
        <v>2010</v>
      </c>
      <c r="C5771" s="51" t="s">
        <v>710</v>
      </c>
      <c r="D5771" t="s">
        <v>725</v>
      </c>
      <c r="E5771" s="2">
        <v>3</v>
      </c>
    </row>
    <row r="5772" spans="1:5" x14ac:dyDescent="0.25">
      <c r="A5772" s="32" t="s">
        <v>767</v>
      </c>
      <c r="B5772" s="7">
        <v>2010</v>
      </c>
      <c r="C5772" s="51" t="s">
        <v>702</v>
      </c>
      <c r="D5772" t="s">
        <v>725</v>
      </c>
      <c r="E5772" s="2">
        <v>3.3719999999999999</v>
      </c>
    </row>
    <row r="5773" spans="1:5" x14ac:dyDescent="0.25">
      <c r="A5773" s="32" t="s">
        <v>767</v>
      </c>
      <c r="B5773" s="7">
        <v>2010</v>
      </c>
      <c r="C5773" s="51" t="s">
        <v>703</v>
      </c>
      <c r="D5773" t="s">
        <v>725</v>
      </c>
      <c r="E5773" s="2">
        <v>3.0539999999999998</v>
      </c>
    </row>
    <row r="5774" spans="1:5" x14ac:dyDescent="0.25">
      <c r="A5774" s="32" t="s">
        <v>767</v>
      </c>
      <c r="B5774" s="7">
        <v>2010</v>
      </c>
      <c r="C5774" s="51" t="s">
        <v>704</v>
      </c>
      <c r="D5774" t="s">
        <v>725</v>
      </c>
      <c r="E5774" s="2">
        <v>3.0720000000000001</v>
      </c>
    </row>
    <row r="5775" spans="1:5" x14ac:dyDescent="0.25">
      <c r="A5775" s="32" t="s">
        <v>767</v>
      </c>
      <c r="B5775" s="7">
        <v>2010</v>
      </c>
      <c r="C5775" s="51" t="s">
        <v>705</v>
      </c>
      <c r="D5775" t="s">
        <v>725</v>
      </c>
      <c r="E5775" s="2">
        <v>2.9830000000000001</v>
      </c>
    </row>
    <row r="5776" spans="1:5" x14ac:dyDescent="0.25">
      <c r="A5776" s="32" t="s">
        <v>767</v>
      </c>
      <c r="B5776" s="7">
        <v>2010</v>
      </c>
      <c r="C5776" s="51" t="s">
        <v>706</v>
      </c>
      <c r="D5776" t="s">
        <v>725</v>
      </c>
      <c r="E5776" s="2">
        <v>2.823</v>
      </c>
    </row>
    <row r="5777" spans="1:5" x14ac:dyDescent="0.25">
      <c r="A5777" s="32" t="s">
        <v>767</v>
      </c>
      <c r="B5777" s="7">
        <v>2011</v>
      </c>
      <c r="C5777" s="51" t="s">
        <v>713</v>
      </c>
      <c r="D5777" t="s">
        <v>725</v>
      </c>
      <c r="E5777" s="2">
        <v>2.7320000000000002</v>
      </c>
    </row>
    <row r="5778" spans="1:5" x14ac:dyDescent="0.25">
      <c r="A5778" s="32" t="s">
        <v>767</v>
      </c>
      <c r="B5778" s="7">
        <v>2011</v>
      </c>
      <c r="C5778" s="51" t="s">
        <v>707</v>
      </c>
      <c r="D5778" t="s">
        <v>725</v>
      </c>
      <c r="E5778" s="2">
        <v>2.8</v>
      </c>
    </row>
    <row r="5779" spans="1:5" x14ac:dyDescent="0.25">
      <c r="A5779" s="32" t="s">
        <v>767</v>
      </c>
      <c r="B5779" s="7">
        <v>2011</v>
      </c>
      <c r="C5779" s="51" t="s">
        <v>708</v>
      </c>
      <c r="D5779" t="s">
        <v>725</v>
      </c>
      <c r="E5779" s="2">
        <v>3.2389999999999999</v>
      </c>
    </row>
    <row r="5780" spans="1:5" x14ac:dyDescent="0.25">
      <c r="A5780" s="32" t="s">
        <v>767</v>
      </c>
      <c r="B5780" s="7">
        <v>2011</v>
      </c>
      <c r="C5780" s="51" t="s">
        <v>699</v>
      </c>
      <c r="D5780" t="s">
        <v>725</v>
      </c>
      <c r="E5780" s="2">
        <v>2.9460000000000002</v>
      </c>
    </row>
    <row r="5781" spans="1:5" x14ac:dyDescent="0.25">
      <c r="A5781" s="32" t="s">
        <v>767</v>
      </c>
      <c r="B5781" s="7">
        <v>2011</v>
      </c>
      <c r="C5781" s="51" t="s">
        <v>709</v>
      </c>
      <c r="D5781" t="s">
        <v>725</v>
      </c>
      <c r="E5781" s="2">
        <v>3.4780000000000002</v>
      </c>
    </row>
    <row r="5782" spans="1:5" x14ac:dyDescent="0.25">
      <c r="A5782" s="32" t="s">
        <v>767</v>
      </c>
      <c r="B5782" s="7">
        <v>2011</v>
      </c>
      <c r="C5782" s="51" t="s">
        <v>712</v>
      </c>
      <c r="D5782" t="s">
        <v>725</v>
      </c>
      <c r="E5782" s="2">
        <v>3.2480000000000002</v>
      </c>
    </row>
    <row r="5783" spans="1:5" x14ac:dyDescent="0.25">
      <c r="A5783" s="32" t="s">
        <v>767</v>
      </c>
      <c r="B5783" s="7">
        <v>2011</v>
      </c>
      <c r="C5783" s="51" t="s">
        <v>710</v>
      </c>
      <c r="D5783" t="s">
        <v>725</v>
      </c>
      <c r="E5783" s="2">
        <v>3.3460000000000001</v>
      </c>
    </row>
    <row r="5784" spans="1:5" x14ac:dyDescent="0.25">
      <c r="A5784" s="32" t="s">
        <v>767</v>
      </c>
      <c r="B5784" s="7">
        <v>2011</v>
      </c>
      <c r="C5784" s="51" t="s">
        <v>702</v>
      </c>
      <c r="D5784" t="s">
        <v>725</v>
      </c>
      <c r="E5784" s="2">
        <v>3.3730000000000002</v>
      </c>
    </row>
    <row r="5785" spans="1:5" x14ac:dyDescent="0.25">
      <c r="A5785" s="32" t="s">
        <v>767</v>
      </c>
      <c r="B5785" s="7">
        <v>2011</v>
      </c>
      <c r="C5785" s="51" t="s">
        <v>703</v>
      </c>
      <c r="D5785" t="s">
        <v>725</v>
      </c>
      <c r="E5785" s="2">
        <v>3.1859999999999999</v>
      </c>
    </row>
    <row r="5786" spans="1:5" x14ac:dyDescent="0.25">
      <c r="A5786" s="32" t="s">
        <v>767</v>
      </c>
      <c r="B5786" s="7">
        <v>2011</v>
      </c>
      <c r="C5786" s="51" t="s">
        <v>704</v>
      </c>
      <c r="D5786" t="s">
        <v>725</v>
      </c>
      <c r="E5786" s="2">
        <v>3.4750000000000001</v>
      </c>
    </row>
    <row r="5787" spans="1:5" x14ac:dyDescent="0.25">
      <c r="A5787" s="32" t="s">
        <v>767</v>
      </c>
      <c r="B5787" s="7">
        <v>2011</v>
      </c>
      <c r="C5787" s="51" t="s">
        <v>705</v>
      </c>
      <c r="D5787" t="s">
        <v>725</v>
      </c>
      <c r="E5787" s="2">
        <v>3.1520000000000001</v>
      </c>
    </row>
    <row r="5788" spans="1:5" x14ac:dyDescent="0.25">
      <c r="A5788" s="32" t="s">
        <v>767</v>
      </c>
      <c r="B5788" s="7">
        <v>2011</v>
      </c>
      <c r="C5788" s="51" t="s">
        <v>706</v>
      </c>
      <c r="D5788" t="s">
        <v>725</v>
      </c>
      <c r="E5788" s="2">
        <v>3.089</v>
      </c>
    </row>
    <row r="5789" spans="1:5" x14ac:dyDescent="0.25">
      <c r="A5789" s="32" t="s">
        <v>767</v>
      </c>
      <c r="B5789" s="7">
        <v>2012</v>
      </c>
      <c r="C5789" s="51" t="s">
        <v>713</v>
      </c>
      <c r="D5789" t="s">
        <v>725</v>
      </c>
      <c r="E5789" s="2">
        <v>3.5979999999999999</v>
      </c>
    </row>
    <row r="5790" spans="1:5" x14ac:dyDescent="0.25">
      <c r="A5790" s="32" t="s">
        <v>767</v>
      </c>
      <c r="B5790" s="7">
        <v>2012</v>
      </c>
      <c r="C5790" s="51" t="s">
        <v>707</v>
      </c>
      <c r="D5790" t="s">
        <v>725</v>
      </c>
      <c r="E5790" s="2">
        <v>3.0230000000000001</v>
      </c>
    </row>
    <row r="5791" spans="1:5" x14ac:dyDescent="0.25">
      <c r="A5791" s="32" t="s">
        <v>767</v>
      </c>
      <c r="B5791" s="7">
        <v>2012</v>
      </c>
      <c r="C5791" s="51" t="s">
        <v>708</v>
      </c>
      <c r="D5791" t="s">
        <v>725</v>
      </c>
      <c r="E5791" s="2">
        <v>3.016</v>
      </c>
    </row>
    <row r="5792" spans="1:5" x14ac:dyDescent="0.25">
      <c r="A5792" s="32" t="s">
        <v>767</v>
      </c>
      <c r="B5792" s="7">
        <v>2012</v>
      </c>
      <c r="C5792" s="51" t="s">
        <v>699</v>
      </c>
      <c r="D5792" t="s">
        <v>725</v>
      </c>
      <c r="E5792" s="2">
        <v>3.34</v>
      </c>
    </row>
    <row r="5793" spans="1:5" x14ac:dyDescent="0.25">
      <c r="A5793" s="32" t="s">
        <v>767</v>
      </c>
      <c r="B5793" s="7">
        <v>2012</v>
      </c>
      <c r="C5793" s="51" t="s">
        <v>709</v>
      </c>
      <c r="D5793" t="s">
        <v>725</v>
      </c>
      <c r="E5793" s="2">
        <v>3.3260000000000001</v>
      </c>
    </row>
    <row r="5794" spans="1:5" x14ac:dyDescent="0.25">
      <c r="A5794" s="32" t="s">
        <v>767</v>
      </c>
      <c r="B5794" s="7">
        <v>2012</v>
      </c>
      <c r="C5794" s="51" t="s">
        <v>712</v>
      </c>
      <c r="D5794" t="s">
        <v>725</v>
      </c>
      <c r="E5794" s="2">
        <v>3.1030000000000002</v>
      </c>
    </row>
    <row r="5795" spans="1:5" x14ac:dyDescent="0.25">
      <c r="A5795" s="32" t="s">
        <v>767</v>
      </c>
      <c r="B5795" s="7">
        <v>2012</v>
      </c>
      <c r="C5795" s="51" t="s">
        <v>710</v>
      </c>
      <c r="D5795" t="s">
        <v>725</v>
      </c>
      <c r="E5795" s="2">
        <v>3.7240000000000002</v>
      </c>
    </row>
    <row r="5796" spans="1:5" x14ac:dyDescent="0.25">
      <c r="A5796" s="32" t="s">
        <v>767</v>
      </c>
      <c r="B5796" s="7">
        <v>2012</v>
      </c>
      <c r="C5796" s="51" t="s">
        <v>702</v>
      </c>
      <c r="D5796" t="s">
        <v>725</v>
      </c>
      <c r="E5796" s="2">
        <v>3.3540000000000001</v>
      </c>
    </row>
    <row r="5797" spans="1:5" x14ac:dyDescent="0.25">
      <c r="A5797" s="32" t="s">
        <v>767</v>
      </c>
      <c r="B5797" s="7">
        <v>2012</v>
      </c>
      <c r="C5797" s="51" t="s">
        <v>703</v>
      </c>
      <c r="D5797" t="s">
        <v>725</v>
      </c>
      <c r="E5797" s="2">
        <v>3.4620000000000002</v>
      </c>
    </row>
    <row r="5798" spans="1:5" x14ac:dyDescent="0.25">
      <c r="A5798" s="32" t="s">
        <v>767</v>
      </c>
      <c r="B5798" s="7">
        <v>2012</v>
      </c>
      <c r="C5798" s="51" t="s">
        <v>704</v>
      </c>
      <c r="D5798" t="s">
        <v>725</v>
      </c>
      <c r="E5798" s="2">
        <v>3.3580000000000001</v>
      </c>
    </row>
    <row r="5799" spans="1:5" x14ac:dyDescent="0.25">
      <c r="A5799" s="32" t="s">
        <v>767</v>
      </c>
      <c r="B5799" s="7">
        <v>2012</v>
      </c>
      <c r="C5799" s="51" t="s">
        <v>705</v>
      </c>
      <c r="D5799" t="s">
        <v>725</v>
      </c>
      <c r="E5799" s="2">
        <v>3.2210000000000001</v>
      </c>
    </row>
    <row r="5800" spans="1:5" x14ac:dyDescent="0.25">
      <c r="A5800" s="32" t="s">
        <v>767</v>
      </c>
      <c r="B5800" s="7">
        <v>2012</v>
      </c>
      <c r="C5800" s="51" t="s">
        <v>706</v>
      </c>
      <c r="D5800" t="s">
        <v>725</v>
      </c>
      <c r="E5800" s="2">
        <v>3.7160000000000002</v>
      </c>
    </row>
    <row r="5801" spans="1:5" x14ac:dyDescent="0.25">
      <c r="A5801" s="32" t="s">
        <v>767</v>
      </c>
      <c r="B5801" s="7">
        <v>2013</v>
      </c>
      <c r="C5801" s="51" t="s">
        <v>713</v>
      </c>
      <c r="D5801" t="s">
        <v>725</v>
      </c>
      <c r="E5801" s="2">
        <v>4.8979999999999997</v>
      </c>
    </row>
    <row r="5802" spans="1:5" x14ac:dyDescent="0.25">
      <c r="A5802" s="32" t="s">
        <v>767</v>
      </c>
      <c r="B5802" s="7">
        <v>2013</v>
      </c>
      <c r="C5802" s="51" t="s">
        <v>707</v>
      </c>
      <c r="D5802" t="s">
        <v>725</v>
      </c>
      <c r="E5802" s="2">
        <v>3.9750000000000001</v>
      </c>
    </row>
    <row r="5803" spans="1:5" x14ac:dyDescent="0.25">
      <c r="A5803" s="32" t="s">
        <v>767</v>
      </c>
      <c r="B5803" s="7">
        <v>2013</v>
      </c>
      <c r="C5803" s="51" t="s">
        <v>708</v>
      </c>
      <c r="D5803" t="s">
        <v>725</v>
      </c>
      <c r="E5803" s="2">
        <v>4.4610000000000003</v>
      </c>
    </row>
    <row r="5804" spans="1:5" x14ac:dyDescent="0.25">
      <c r="A5804" s="32" t="s">
        <v>767</v>
      </c>
      <c r="B5804" s="7">
        <v>2013</v>
      </c>
      <c r="C5804" s="51" t="s">
        <v>699</v>
      </c>
      <c r="D5804" t="s">
        <v>725</v>
      </c>
      <c r="E5804" s="2">
        <v>4.1440000000000001</v>
      </c>
    </row>
    <row r="5805" spans="1:5" x14ac:dyDescent="0.25">
      <c r="A5805" s="32" t="s">
        <v>767</v>
      </c>
      <c r="B5805" s="7">
        <v>2013</v>
      </c>
      <c r="C5805" s="51" t="s">
        <v>709</v>
      </c>
      <c r="D5805" t="s">
        <v>725</v>
      </c>
      <c r="E5805" s="2">
        <v>3.1659999999999999</v>
      </c>
    </row>
    <row r="5806" spans="1:5" x14ac:dyDescent="0.25">
      <c r="A5806" s="32" t="s">
        <v>767</v>
      </c>
      <c r="B5806" s="7">
        <v>2013</v>
      </c>
      <c r="C5806" s="51" t="s">
        <v>712</v>
      </c>
      <c r="D5806" t="s">
        <v>725</v>
      </c>
      <c r="E5806" s="2">
        <v>2.7690000000000001</v>
      </c>
    </row>
    <row r="5807" spans="1:5" x14ac:dyDescent="0.25">
      <c r="A5807" s="32" t="s">
        <v>767</v>
      </c>
      <c r="B5807" s="7">
        <v>2013</v>
      </c>
      <c r="C5807" s="51" t="s">
        <v>710</v>
      </c>
      <c r="D5807" t="s">
        <v>725</v>
      </c>
      <c r="E5807" s="2">
        <v>2.766</v>
      </c>
    </row>
    <row r="5808" spans="1:5" x14ac:dyDescent="0.25">
      <c r="A5808" s="32" t="s">
        <v>767</v>
      </c>
      <c r="B5808" s="7">
        <v>2013</v>
      </c>
      <c r="C5808" s="51" t="s">
        <v>702</v>
      </c>
      <c r="D5808" t="s">
        <v>725</v>
      </c>
      <c r="E5808" s="2">
        <v>2.5659999999999998</v>
      </c>
    </row>
    <row r="5809" spans="1:5" x14ac:dyDescent="0.25">
      <c r="A5809" s="32" t="s">
        <v>767</v>
      </c>
      <c r="B5809" s="7">
        <v>2013</v>
      </c>
      <c r="C5809" s="51" t="s">
        <v>703</v>
      </c>
      <c r="D5809" t="s">
        <v>725</v>
      </c>
      <c r="E5809" s="2">
        <v>2.835</v>
      </c>
    </row>
    <row r="5810" spans="1:5" x14ac:dyDescent="0.25">
      <c r="A5810" s="32" t="s">
        <v>767</v>
      </c>
      <c r="B5810" s="7">
        <v>2013</v>
      </c>
      <c r="C5810" s="51" t="s">
        <v>704</v>
      </c>
      <c r="D5810" t="s">
        <v>725</v>
      </c>
      <c r="E5810" s="2">
        <v>3.5779999999999998</v>
      </c>
    </row>
    <row r="5811" spans="1:5" x14ac:dyDescent="0.25">
      <c r="A5811" s="32" t="s">
        <v>767</v>
      </c>
      <c r="B5811" s="7">
        <v>2013</v>
      </c>
      <c r="C5811" s="51" t="s">
        <v>705</v>
      </c>
      <c r="D5811" t="s">
        <v>725</v>
      </c>
      <c r="E5811" s="2">
        <v>3.4169999999999998</v>
      </c>
    </row>
    <row r="5812" spans="1:5" x14ac:dyDescent="0.25">
      <c r="A5812" s="32" t="s">
        <v>767</v>
      </c>
      <c r="B5812" s="7">
        <v>2013</v>
      </c>
      <c r="C5812" s="51" t="s">
        <v>706</v>
      </c>
      <c r="D5812" t="s">
        <v>725</v>
      </c>
      <c r="E5812" s="2">
        <v>3.3010000000000002</v>
      </c>
    </row>
    <row r="5813" spans="1:5" x14ac:dyDescent="0.25">
      <c r="A5813" s="32" t="s">
        <v>767</v>
      </c>
      <c r="B5813" s="7">
        <v>2014</v>
      </c>
      <c r="C5813" s="51" t="s">
        <v>713</v>
      </c>
      <c r="D5813" t="s">
        <v>725</v>
      </c>
      <c r="E5813" s="2">
        <v>3.5590000000000002</v>
      </c>
    </row>
    <row r="5814" spans="1:5" x14ac:dyDescent="0.25">
      <c r="A5814" s="32" t="s">
        <v>767</v>
      </c>
      <c r="B5814" s="7">
        <v>2014</v>
      </c>
      <c r="C5814" s="51" t="s">
        <v>707</v>
      </c>
      <c r="D5814" t="s">
        <v>725</v>
      </c>
      <c r="E5814" s="2">
        <v>3.2010000000000001</v>
      </c>
    </row>
    <row r="5815" spans="1:5" x14ac:dyDescent="0.25">
      <c r="A5815" s="32" t="s">
        <v>767</v>
      </c>
      <c r="B5815" s="7">
        <v>2014</v>
      </c>
      <c r="C5815" s="51" t="s">
        <v>708</v>
      </c>
      <c r="D5815" t="s">
        <v>725</v>
      </c>
      <c r="E5815" s="2">
        <v>3.706</v>
      </c>
    </row>
    <row r="5816" spans="1:5" x14ac:dyDescent="0.25">
      <c r="A5816" s="32" t="s">
        <v>767</v>
      </c>
      <c r="B5816" s="7">
        <v>2014</v>
      </c>
      <c r="C5816" s="51" t="s">
        <v>699</v>
      </c>
      <c r="D5816" t="s">
        <v>725</v>
      </c>
      <c r="E5816" s="2">
        <v>3.1589999999999998</v>
      </c>
    </row>
    <row r="5817" spans="1:5" x14ac:dyDescent="0.25">
      <c r="A5817" s="32" t="s">
        <v>767</v>
      </c>
      <c r="B5817" s="7">
        <v>2014</v>
      </c>
      <c r="C5817" s="51" t="s">
        <v>709</v>
      </c>
      <c r="D5817" t="s">
        <v>725</v>
      </c>
      <c r="E5817" s="2">
        <v>3.6179999999999999</v>
      </c>
    </row>
    <row r="5818" spans="1:5" x14ac:dyDescent="0.25">
      <c r="A5818" s="32" t="s">
        <v>767</v>
      </c>
      <c r="B5818" s="7">
        <v>2014</v>
      </c>
      <c r="C5818" s="51" t="s">
        <v>712</v>
      </c>
      <c r="D5818" t="s">
        <v>725</v>
      </c>
      <c r="E5818" s="2">
        <v>3.1760000000000002</v>
      </c>
    </row>
    <row r="5819" spans="1:5" x14ac:dyDescent="0.25">
      <c r="A5819" s="32" t="s">
        <v>767</v>
      </c>
      <c r="B5819" s="7">
        <v>2014</v>
      </c>
      <c r="C5819" s="51" t="s">
        <v>710</v>
      </c>
      <c r="D5819" t="s">
        <v>725</v>
      </c>
      <c r="E5819" s="2">
        <v>3.5</v>
      </c>
    </row>
    <row r="5820" spans="1:5" x14ac:dyDescent="0.25">
      <c r="A5820" s="32" t="s">
        <v>767</v>
      </c>
      <c r="B5820" s="7">
        <v>2014</v>
      </c>
      <c r="C5820" s="51" t="s">
        <v>702</v>
      </c>
      <c r="D5820" t="s">
        <v>725</v>
      </c>
      <c r="E5820" s="2">
        <v>3.6179999999999999</v>
      </c>
    </row>
    <row r="5821" spans="1:5" x14ac:dyDescent="0.25">
      <c r="A5821" s="32" t="s">
        <v>767</v>
      </c>
      <c r="B5821" s="7">
        <v>2014</v>
      </c>
      <c r="C5821" s="51" t="s">
        <v>703</v>
      </c>
      <c r="D5821" t="s">
        <v>725</v>
      </c>
      <c r="E5821" s="2">
        <v>3.1480000000000001</v>
      </c>
    </row>
    <row r="5822" spans="1:5" x14ac:dyDescent="0.25">
      <c r="A5822" s="32" t="s">
        <v>767</v>
      </c>
      <c r="B5822" s="7">
        <v>2014</v>
      </c>
      <c r="C5822" s="51" t="s">
        <v>704</v>
      </c>
      <c r="D5822" t="s">
        <v>725</v>
      </c>
      <c r="E5822" s="2">
        <v>3.21</v>
      </c>
    </row>
    <row r="5823" spans="1:5" x14ac:dyDescent="0.25">
      <c r="A5823" s="32" t="s">
        <v>767</v>
      </c>
      <c r="B5823" s="7">
        <v>2014</v>
      </c>
      <c r="C5823" s="51" t="s">
        <v>705</v>
      </c>
      <c r="D5823" t="s">
        <v>725</v>
      </c>
      <c r="E5823" s="2">
        <v>3.3860000000000001</v>
      </c>
    </row>
    <row r="5824" spans="1:5" x14ac:dyDescent="0.25">
      <c r="A5824" s="32" t="s">
        <v>767</v>
      </c>
      <c r="B5824" s="7">
        <v>2014</v>
      </c>
      <c r="C5824" s="51" t="s">
        <v>706</v>
      </c>
      <c r="D5824" t="s">
        <v>725</v>
      </c>
      <c r="E5824" s="2">
        <v>3.2869999999999999</v>
      </c>
    </row>
    <row r="5825" spans="1:5" x14ac:dyDescent="0.25">
      <c r="A5825" s="32" t="s">
        <v>767</v>
      </c>
      <c r="B5825" s="7">
        <v>2015</v>
      </c>
      <c r="C5825" s="51" t="s">
        <v>713</v>
      </c>
      <c r="D5825" t="s">
        <v>725</v>
      </c>
      <c r="E5825" s="2">
        <v>3.7450000000000001</v>
      </c>
    </row>
    <row r="5826" spans="1:5" x14ac:dyDescent="0.25">
      <c r="A5826" s="32" t="s">
        <v>767</v>
      </c>
      <c r="B5826" s="7">
        <v>2015</v>
      </c>
      <c r="C5826" s="51" t="s">
        <v>707</v>
      </c>
      <c r="D5826" t="s">
        <v>725</v>
      </c>
      <c r="E5826" s="2">
        <v>3.161</v>
      </c>
    </row>
    <row r="5827" spans="1:5" x14ac:dyDescent="0.25">
      <c r="A5827" s="32" t="s">
        <v>767</v>
      </c>
      <c r="B5827" s="7">
        <v>2015</v>
      </c>
      <c r="C5827" s="51" t="s">
        <v>708</v>
      </c>
      <c r="D5827" t="s">
        <v>725</v>
      </c>
      <c r="E5827" s="2">
        <v>3.3860000000000001</v>
      </c>
    </row>
    <row r="5828" spans="1:5" x14ac:dyDescent="0.25">
      <c r="A5828" s="32" t="s">
        <v>767</v>
      </c>
      <c r="B5828" s="7">
        <v>2015</v>
      </c>
      <c r="C5828" s="51" t="s">
        <v>699</v>
      </c>
      <c r="D5828" t="s">
        <v>725</v>
      </c>
      <c r="E5828" s="2">
        <v>3.3340000000000001</v>
      </c>
    </row>
    <row r="5829" spans="1:5" x14ac:dyDescent="0.25">
      <c r="A5829" s="32" t="s">
        <v>767</v>
      </c>
      <c r="B5829" s="7">
        <v>2015</v>
      </c>
      <c r="C5829" s="51" t="s">
        <v>709</v>
      </c>
      <c r="D5829" t="s">
        <v>725</v>
      </c>
      <c r="E5829" s="2">
        <v>3.4660000000000002</v>
      </c>
    </row>
    <row r="5830" spans="1:5" x14ac:dyDescent="0.25">
      <c r="A5830" s="32" t="s">
        <v>767</v>
      </c>
      <c r="B5830" s="7">
        <v>2015</v>
      </c>
      <c r="C5830" s="51" t="s">
        <v>712</v>
      </c>
      <c r="D5830" t="s">
        <v>725</v>
      </c>
      <c r="E5830" s="2">
        <v>3.5</v>
      </c>
    </row>
    <row r="5831" spans="1:5" x14ac:dyDescent="0.25">
      <c r="A5831" s="32" t="s">
        <v>767</v>
      </c>
      <c r="B5831" s="7">
        <v>2015</v>
      </c>
      <c r="C5831" s="51" t="s">
        <v>710</v>
      </c>
      <c r="D5831" t="s">
        <v>725</v>
      </c>
      <c r="E5831" s="2">
        <v>3.5179999999999998</v>
      </c>
    </row>
    <row r="5832" spans="1:5" x14ac:dyDescent="0.25">
      <c r="A5832" s="32" t="s">
        <v>767</v>
      </c>
      <c r="B5832" s="7">
        <v>2015</v>
      </c>
      <c r="C5832" s="51" t="s">
        <v>702</v>
      </c>
      <c r="D5832" t="s">
        <v>725</v>
      </c>
      <c r="E5832" s="2">
        <v>3.613</v>
      </c>
    </row>
    <row r="5833" spans="1:5" x14ac:dyDescent="0.25">
      <c r="A5833" s="32" t="s">
        <v>767</v>
      </c>
      <c r="B5833" s="7">
        <v>2015</v>
      </c>
      <c r="C5833" s="51" t="s">
        <v>703</v>
      </c>
      <c r="D5833" t="s">
        <v>725</v>
      </c>
      <c r="E5833" s="2">
        <v>3.3959999999999999</v>
      </c>
    </row>
    <row r="5834" spans="1:5" x14ac:dyDescent="0.25">
      <c r="A5834" s="32" t="s">
        <v>767</v>
      </c>
      <c r="B5834" s="7">
        <v>2015</v>
      </c>
      <c r="C5834" s="51" t="s">
        <v>704</v>
      </c>
      <c r="D5834" t="s">
        <v>725</v>
      </c>
      <c r="E5834" s="2">
        <v>3.552</v>
      </c>
    </row>
    <row r="5835" spans="1:5" x14ac:dyDescent="0.25">
      <c r="A5835" s="32" t="s">
        <v>767</v>
      </c>
      <c r="B5835" s="7">
        <v>2015</v>
      </c>
      <c r="C5835" s="51" t="s">
        <v>705</v>
      </c>
      <c r="D5835" t="s">
        <v>725</v>
      </c>
      <c r="E5835" s="2">
        <v>3.2480000000000002</v>
      </c>
    </row>
    <row r="5836" spans="1:5" x14ac:dyDescent="0.25">
      <c r="A5836" s="32" t="s">
        <v>767</v>
      </c>
      <c r="B5836" s="7">
        <v>2015</v>
      </c>
      <c r="C5836" s="51" t="s">
        <v>706</v>
      </c>
      <c r="D5836" t="s">
        <v>725</v>
      </c>
      <c r="E5836" s="2">
        <v>3.2639999999999998</v>
      </c>
    </row>
    <row r="5837" spans="1:5" x14ac:dyDescent="0.25">
      <c r="A5837" s="32" t="s">
        <v>767</v>
      </c>
      <c r="B5837" s="7">
        <v>2016</v>
      </c>
      <c r="C5837" s="51" t="s">
        <v>713</v>
      </c>
      <c r="D5837" t="s">
        <v>725</v>
      </c>
      <c r="E5837" s="2">
        <v>3.859</v>
      </c>
    </row>
    <row r="5838" spans="1:5" x14ac:dyDescent="0.25">
      <c r="A5838" s="32" t="s">
        <v>767</v>
      </c>
      <c r="B5838" s="7">
        <v>2016</v>
      </c>
      <c r="C5838" s="51" t="s">
        <v>707</v>
      </c>
      <c r="D5838" t="s">
        <v>725</v>
      </c>
      <c r="E5838" s="2">
        <v>3.43</v>
      </c>
    </row>
    <row r="5839" spans="1:5" x14ac:dyDescent="0.25">
      <c r="A5839" s="32" t="s">
        <v>767</v>
      </c>
      <c r="B5839" s="7">
        <v>2016</v>
      </c>
      <c r="C5839" s="51" t="s">
        <v>708</v>
      </c>
      <c r="D5839" t="s">
        <v>725</v>
      </c>
      <c r="E5839" s="2">
        <v>3.2240000000000002</v>
      </c>
    </row>
    <row r="5840" spans="1:5" x14ac:dyDescent="0.25">
      <c r="A5840" s="32" t="s">
        <v>767</v>
      </c>
      <c r="B5840" s="7">
        <v>2016</v>
      </c>
      <c r="C5840" s="51" t="s">
        <v>699</v>
      </c>
      <c r="D5840" t="s">
        <v>725</v>
      </c>
      <c r="E5840" s="2">
        <v>2.2629999999999999</v>
      </c>
    </row>
    <row r="5841" spans="1:5" x14ac:dyDescent="0.25">
      <c r="A5841" s="32" t="s">
        <v>767</v>
      </c>
      <c r="B5841" s="7">
        <v>2016</v>
      </c>
      <c r="C5841" s="51" t="s">
        <v>709</v>
      </c>
      <c r="D5841" t="s">
        <v>725</v>
      </c>
      <c r="E5841" s="2">
        <v>2.1480000000000001</v>
      </c>
    </row>
    <row r="5842" spans="1:5" x14ac:dyDescent="0.25">
      <c r="A5842" s="32" t="s">
        <v>767</v>
      </c>
      <c r="B5842" s="7">
        <v>2016</v>
      </c>
      <c r="C5842" s="51" t="s">
        <v>712</v>
      </c>
      <c r="D5842" t="s">
        <v>725</v>
      </c>
      <c r="E5842" s="2">
        <v>2.3029999999999999</v>
      </c>
    </row>
    <row r="5843" spans="1:5" x14ac:dyDescent="0.25">
      <c r="A5843" s="32" t="s">
        <v>767</v>
      </c>
      <c r="B5843" s="7">
        <v>2016</v>
      </c>
      <c r="C5843" s="51" t="s">
        <v>710</v>
      </c>
      <c r="D5843" t="s">
        <v>725</v>
      </c>
      <c r="E5843" s="2">
        <v>2.3879999999999999</v>
      </c>
    </row>
    <row r="5844" spans="1:5" x14ac:dyDescent="0.25">
      <c r="A5844" s="32" t="s">
        <v>767</v>
      </c>
      <c r="B5844" s="7">
        <v>2016</v>
      </c>
      <c r="C5844" s="51" t="s">
        <v>702</v>
      </c>
      <c r="D5844" t="s">
        <v>725</v>
      </c>
      <c r="E5844" s="2">
        <v>2.3130000000000002</v>
      </c>
    </row>
    <row r="5845" spans="1:5" x14ac:dyDescent="0.25">
      <c r="A5845" s="32" t="s">
        <v>767</v>
      </c>
      <c r="B5845" s="7">
        <v>2016</v>
      </c>
      <c r="C5845" s="51" t="s">
        <v>703</v>
      </c>
      <c r="D5845" t="s">
        <v>725</v>
      </c>
      <c r="E5845" s="2">
        <v>2.1070000000000002</v>
      </c>
    </row>
    <row r="5846" spans="1:5" x14ac:dyDescent="0.25">
      <c r="A5846" s="32" t="s">
        <v>767</v>
      </c>
      <c r="B5846" s="7">
        <v>2016</v>
      </c>
      <c r="C5846" s="51" t="s">
        <v>704</v>
      </c>
      <c r="D5846" t="s">
        <v>725</v>
      </c>
      <c r="E5846" s="2">
        <v>2.2639999999999998</v>
      </c>
    </row>
    <row r="5847" spans="1:5" x14ac:dyDescent="0.25">
      <c r="A5847" s="32" t="s">
        <v>767</v>
      </c>
      <c r="B5847" s="7">
        <v>2016</v>
      </c>
      <c r="C5847" s="51" t="s">
        <v>705</v>
      </c>
      <c r="D5847" t="s">
        <v>725</v>
      </c>
      <c r="E5847" s="2">
        <v>3.1379999999999999</v>
      </c>
    </row>
    <row r="5848" spans="1:5" x14ac:dyDescent="0.25">
      <c r="A5848" s="32" t="s">
        <v>767</v>
      </c>
      <c r="B5848" s="7">
        <v>2016</v>
      </c>
      <c r="C5848" s="51" t="s">
        <v>706</v>
      </c>
      <c r="D5848" t="s">
        <v>725</v>
      </c>
      <c r="E5848" s="2">
        <v>3.9239999999999999</v>
      </c>
    </row>
    <row r="5849" spans="1:5" x14ac:dyDescent="0.25">
      <c r="A5849" s="32" t="s">
        <v>767</v>
      </c>
      <c r="B5849" s="7">
        <v>2017</v>
      </c>
      <c r="C5849" s="51" t="s">
        <v>713</v>
      </c>
      <c r="D5849" t="s">
        <v>725</v>
      </c>
      <c r="E5849" s="2">
        <v>3.5710000000000002</v>
      </c>
    </row>
    <row r="5850" spans="1:5" x14ac:dyDescent="0.25">
      <c r="A5850" s="32" t="s">
        <v>767</v>
      </c>
      <c r="B5850" s="7">
        <v>2017</v>
      </c>
      <c r="C5850" s="51" t="s">
        <v>707</v>
      </c>
      <c r="D5850" t="s">
        <v>725</v>
      </c>
      <c r="E5850" s="2">
        <v>3.6190000000000002</v>
      </c>
    </row>
    <row r="5851" spans="1:5" x14ac:dyDescent="0.25">
      <c r="A5851" s="32" t="s">
        <v>767</v>
      </c>
      <c r="B5851" s="7">
        <v>2017</v>
      </c>
      <c r="C5851" s="51" t="s">
        <v>708</v>
      </c>
      <c r="D5851" t="s">
        <v>725</v>
      </c>
      <c r="E5851" s="2">
        <v>2.74</v>
      </c>
    </row>
    <row r="5852" spans="1:5" x14ac:dyDescent="0.25">
      <c r="A5852" s="32" t="s">
        <v>767</v>
      </c>
      <c r="B5852" s="7">
        <v>2017</v>
      </c>
      <c r="C5852" s="51" t="s">
        <v>699</v>
      </c>
      <c r="D5852" t="s">
        <v>725</v>
      </c>
      <c r="E5852" s="2">
        <v>2.8109999999999999</v>
      </c>
    </row>
    <row r="5853" spans="1:5" x14ac:dyDescent="0.25">
      <c r="A5853" s="32" t="s">
        <v>767</v>
      </c>
      <c r="B5853" s="7">
        <v>2017</v>
      </c>
      <c r="C5853" s="51" t="s">
        <v>709</v>
      </c>
      <c r="D5853" t="s">
        <v>725</v>
      </c>
      <c r="E5853" s="2">
        <v>2.8519999999999999</v>
      </c>
    </row>
    <row r="5854" spans="1:5" x14ac:dyDescent="0.25">
      <c r="A5854" s="32" t="s">
        <v>767</v>
      </c>
      <c r="B5854" s="7">
        <v>2017</v>
      </c>
      <c r="C5854" s="51" t="s">
        <v>712</v>
      </c>
      <c r="D5854" t="s">
        <v>725</v>
      </c>
      <c r="E5854" s="2">
        <v>2.7250000000000001</v>
      </c>
    </row>
    <row r="5855" spans="1:5" x14ac:dyDescent="0.25">
      <c r="A5855" s="32" t="s">
        <v>767</v>
      </c>
      <c r="B5855" s="7">
        <v>2017</v>
      </c>
      <c r="C5855" s="51" t="s">
        <v>710</v>
      </c>
      <c r="D5855" t="s">
        <v>725</v>
      </c>
      <c r="E5855" s="2">
        <v>2.96</v>
      </c>
    </row>
    <row r="5856" spans="1:5" x14ac:dyDescent="0.25">
      <c r="A5856" s="32" t="s">
        <v>767</v>
      </c>
      <c r="B5856" s="7">
        <v>2017</v>
      </c>
      <c r="C5856" s="51" t="s">
        <v>702</v>
      </c>
      <c r="D5856" t="s">
        <v>725</v>
      </c>
      <c r="E5856" s="2">
        <v>2.8889999999999998</v>
      </c>
    </row>
    <row r="5857" spans="1:5" x14ac:dyDescent="0.25">
      <c r="A5857" s="32" t="s">
        <v>767</v>
      </c>
      <c r="B5857" s="7">
        <v>2017</v>
      </c>
      <c r="C5857" s="51" t="s">
        <v>703</v>
      </c>
      <c r="D5857" t="s">
        <v>725</v>
      </c>
      <c r="E5857" s="2">
        <v>2.6789999999999998</v>
      </c>
    </row>
    <row r="5858" spans="1:5" x14ac:dyDescent="0.25">
      <c r="A5858" s="32" t="s">
        <v>767</v>
      </c>
      <c r="B5858" s="7">
        <v>2017</v>
      </c>
      <c r="C5858" s="51" t="s">
        <v>704</v>
      </c>
      <c r="D5858" t="s">
        <v>725</v>
      </c>
      <c r="E5858" s="2">
        <v>3.0939999999999999</v>
      </c>
    </row>
    <row r="5859" spans="1:5" x14ac:dyDescent="0.25">
      <c r="A5859" s="32" t="s">
        <v>767</v>
      </c>
      <c r="B5859" s="7">
        <v>2017</v>
      </c>
      <c r="C5859" s="51" t="s">
        <v>705</v>
      </c>
      <c r="D5859" t="s">
        <v>725</v>
      </c>
      <c r="E5859" s="2">
        <v>2.7909999999999999</v>
      </c>
    </row>
    <row r="5860" spans="1:5" x14ac:dyDescent="0.25">
      <c r="A5860" s="32" t="s">
        <v>767</v>
      </c>
      <c r="B5860" s="7">
        <v>2017</v>
      </c>
      <c r="C5860" s="51" t="s">
        <v>706</v>
      </c>
      <c r="D5860" t="s">
        <v>725</v>
      </c>
      <c r="E5860" s="2">
        <v>3.0350000000000001</v>
      </c>
    </row>
    <row r="5861" spans="1:5" x14ac:dyDescent="0.25">
      <c r="A5861" s="32" t="s">
        <v>767</v>
      </c>
      <c r="B5861" s="7">
        <v>2018</v>
      </c>
      <c r="C5861" s="51" t="s">
        <v>713</v>
      </c>
      <c r="D5861" t="s">
        <v>725</v>
      </c>
      <c r="E5861" s="2">
        <v>2.7229999999999999</v>
      </c>
    </row>
    <row r="5862" spans="1:5" x14ac:dyDescent="0.25">
      <c r="A5862" s="32" t="s">
        <v>767</v>
      </c>
      <c r="B5862" s="7">
        <v>2018</v>
      </c>
      <c r="C5862" s="51" t="s">
        <v>707</v>
      </c>
      <c r="D5862" t="s">
        <v>725</v>
      </c>
      <c r="E5862" s="2">
        <v>2.67</v>
      </c>
    </row>
    <row r="5863" spans="1:5" x14ac:dyDescent="0.25">
      <c r="A5863" s="32" t="s">
        <v>767</v>
      </c>
      <c r="B5863" s="7">
        <v>2018</v>
      </c>
      <c r="C5863" s="51" t="s">
        <v>708</v>
      </c>
      <c r="D5863" t="s">
        <v>725</v>
      </c>
      <c r="E5863" s="2">
        <v>2.944</v>
      </c>
    </row>
    <row r="5864" spans="1:5" x14ac:dyDescent="0.25">
      <c r="A5864" s="32" t="s">
        <v>767</v>
      </c>
      <c r="B5864" s="7">
        <v>2018</v>
      </c>
      <c r="C5864" s="51" t="s">
        <v>699</v>
      </c>
      <c r="D5864" t="s">
        <v>725</v>
      </c>
      <c r="E5864" s="2">
        <v>2.6949999999999998</v>
      </c>
    </row>
    <row r="5865" spans="1:5" x14ac:dyDescent="0.25">
      <c r="A5865" s="32" t="s">
        <v>767</v>
      </c>
      <c r="B5865" s="7">
        <v>2018</v>
      </c>
      <c r="C5865" s="51" t="s">
        <v>709</v>
      </c>
      <c r="D5865" t="s">
        <v>725</v>
      </c>
      <c r="E5865" s="2">
        <v>2.8380000000000001</v>
      </c>
    </row>
    <row r="5866" spans="1:5" x14ac:dyDescent="0.25">
      <c r="A5866" s="32" t="s">
        <v>767</v>
      </c>
      <c r="B5866" s="7">
        <v>2018</v>
      </c>
      <c r="C5866" s="51" t="s">
        <v>712</v>
      </c>
      <c r="D5866" t="s">
        <v>725</v>
      </c>
      <c r="E5866" s="2">
        <v>2.6360000000000001</v>
      </c>
    </row>
    <row r="5867" spans="1:5" x14ac:dyDescent="0.25">
      <c r="A5867" s="32" t="s">
        <v>767</v>
      </c>
      <c r="B5867" s="7">
        <v>2018</v>
      </c>
      <c r="C5867" s="51" t="s">
        <v>710</v>
      </c>
      <c r="D5867" t="s">
        <v>725</v>
      </c>
      <c r="E5867" s="2">
        <v>3.0059999999999998</v>
      </c>
    </row>
    <row r="5868" spans="1:5" x14ac:dyDescent="0.25">
      <c r="A5868" s="32" t="s">
        <v>767</v>
      </c>
      <c r="B5868" s="7">
        <v>2018</v>
      </c>
      <c r="C5868" s="51" t="s">
        <v>702</v>
      </c>
      <c r="D5868" t="s">
        <v>725</v>
      </c>
      <c r="E5868" s="2">
        <v>2.7360000000000002</v>
      </c>
    </row>
    <row r="5869" spans="1:5" x14ac:dyDescent="0.25">
      <c r="A5869" s="32" t="s">
        <v>767</v>
      </c>
      <c r="B5869" s="7">
        <v>2018</v>
      </c>
      <c r="C5869" s="51" t="s">
        <v>703</v>
      </c>
      <c r="D5869" t="s">
        <v>725</v>
      </c>
      <c r="E5869" s="2">
        <v>2.9649999999999999</v>
      </c>
    </row>
    <row r="5870" spans="1:5" x14ac:dyDescent="0.25">
      <c r="A5870" s="32" t="s">
        <v>767</v>
      </c>
      <c r="B5870" s="7">
        <v>2018</v>
      </c>
      <c r="C5870" s="51" t="s">
        <v>704</v>
      </c>
      <c r="D5870" t="s">
        <v>725</v>
      </c>
      <c r="E5870" s="2">
        <v>2.875</v>
      </c>
    </row>
    <row r="5871" spans="1:5" x14ac:dyDescent="0.25">
      <c r="A5871" s="32" t="s">
        <v>767</v>
      </c>
      <c r="B5871" s="7">
        <v>2018</v>
      </c>
      <c r="C5871" s="51" t="s">
        <v>705</v>
      </c>
      <c r="D5871" t="s">
        <v>725</v>
      </c>
      <c r="E5871" s="2">
        <v>2.79</v>
      </c>
    </row>
    <row r="5872" spans="1:5" x14ac:dyDescent="0.25">
      <c r="A5872" s="32" t="s">
        <v>767</v>
      </c>
      <c r="B5872" s="7">
        <v>2018</v>
      </c>
      <c r="C5872" s="51" t="s">
        <v>706</v>
      </c>
      <c r="D5872" t="s">
        <v>725</v>
      </c>
      <c r="E5872" s="2">
        <v>3.15</v>
      </c>
    </row>
    <row r="5873" spans="1:5" x14ac:dyDescent="0.25">
      <c r="A5873" s="32" t="s">
        <v>767</v>
      </c>
      <c r="B5873" s="7">
        <v>2019</v>
      </c>
      <c r="C5873" s="51" t="s">
        <v>713</v>
      </c>
      <c r="D5873" t="s">
        <v>725</v>
      </c>
      <c r="E5873" s="2">
        <v>2.7719999999999998</v>
      </c>
    </row>
    <row r="5874" spans="1:5" x14ac:dyDescent="0.25">
      <c r="A5874" s="32" t="s">
        <v>767</v>
      </c>
      <c r="B5874" s="7">
        <v>2019</v>
      </c>
      <c r="C5874" s="51" t="s">
        <v>707</v>
      </c>
      <c r="D5874" t="s">
        <v>725</v>
      </c>
      <c r="E5874" s="2">
        <v>3.2789999999999999</v>
      </c>
    </row>
    <row r="5875" spans="1:5" x14ac:dyDescent="0.25">
      <c r="A5875" s="32" t="s">
        <v>767</v>
      </c>
      <c r="B5875" s="7">
        <v>2019</v>
      </c>
      <c r="C5875" s="51" t="s">
        <v>708</v>
      </c>
      <c r="D5875" t="s">
        <v>725</v>
      </c>
      <c r="E5875" s="2">
        <v>3.6309999999999998</v>
      </c>
    </row>
    <row r="5876" spans="1:5" x14ac:dyDescent="0.25">
      <c r="A5876" s="32" t="s">
        <v>767</v>
      </c>
      <c r="B5876" s="7">
        <v>2019</v>
      </c>
      <c r="C5876" s="51" t="s">
        <v>699</v>
      </c>
      <c r="D5876" t="s">
        <v>725</v>
      </c>
      <c r="E5876" s="2">
        <v>3.0630000000000002</v>
      </c>
    </row>
    <row r="5877" spans="1:5" x14ac:dyDescent="0.25">
      <c r="A5877" s="32" t="s">
        <v>767</v>
      </c>
      <c r="B5877" s="7">
        <v>2019</v>
      </c>
      <c r="C5877" s="51" t="s">
        <v>709</v>
      </c>
      <c r="D5877" t="s">
        <v>725</v>
      </c>
      <c r="E5877" s="2">
        <v>2.6619999999999999</v>
      </c>
    </row>
    <row r="5878" spans="1:5" x14ac:dyDescent="0.25">
      <c r="A5878" s="32" t="s">
        <v>767</v>
      </c>
      <c r="B5878" s="7">
        <v>2019</v>
      </c>
      <c r="C5878" s="51" t="s">
        <v>712</v>
      </c>
      <c r="D5878" t="s">
        <v>725</v>
      </c>
      <c r="E5878" s="2">
        <v>2.6150000000000002</v>
      </c>
    </row>
    <row r="5879" spans="1:5" x14ac:dyDescent="0.25">
      <c r="A5879" s="32" t="s">
        <v>767</v>
      </c>
      <c r="B5879" s="7">
        <v>2019</v>
      </c>
      <c r="C5879" s="51" t="s">
        <v>710</v>
      </c>
      <c r="D5879" t="s">
        <v>725</v>
      </c>
      <c r="E5879" s="2">
        <v>2.6080000000000001</v>
      </c>
    </row>
    <row r="5880" spans="1:5" x14ac:dyDescent="0.25">
      <c r="A5880" s="32" t="s">
        <v>767</v>
      </c>
      <c r="B5880" s="7">
        <v>2019</v>
      </c>
      <c r="C5880" s="51" t="s">
        <v>702</v>
      </c>
      <c r="D5880" t="s">
        <v>725</v>
      </c>
      <c r="E5880" s="2">
        <v>1.8009999999999999</v>
      </c>
    </row>
    <row r="5881" spans="1:5" x14ac:dyDescent="0.25">
      <c r="A5881" s="32" t="s">
        <v>767</v>
      </c>
      <c r="B5881" s="7">
        <v>2019</v>
      </c>
      <c r="C5881" s="51" t="s">
        <v>703</v>
      </c>
      <c r="D5881" t="s">
        <v>725</v>
      </c>
      <c r="E5881" s="2">
        <v>2.71</v>
      </c>
    </row>
    <row r="5882" spans="1:5" x14ac:dyDescent="0.25">
      <c r="A5882" s="32" t="s">
        <v>767</v>
      </c>
      <c r="B5882" s="7">
        <v>2019</v>
      </c>
      <c r="C5882" s="51" t="s">
        <v>704</v>
      </c>
      <c r="D5882" t="s">
        <v>725</v>
      </c>
      <c r="E5882" s="2">
        <v>2.57</v>
      </c>
    </row>
    <row r="5883" spans="1:5" x14ac:dyDescent="0.25">
      <c r="A5883" s="32" t="s">
        <v>767</v>
      </c>
      <c r="B5883" s="7">
        <v>2019</v>
      </c>
      <c r="C5883" s="51" t="s">
        <v>705</v>
      </c>
      <c r="D5883" t="s">
        <v>725</v>
      </c>
      <c r="E5883" s="2">
        <v>2.008</v>
      </c>
    </row>
    <row r="5884" spans="1:5" x14ac:dyDescent="0.25">
      <c r="A5884" s="32" t="s">
        <v>767</v>
      </c>
      <c r="B5884" s="7">
        <v>2019</v>
      </c>
      <c r="C5884" s="51" t="s">
        <v>706</v>
      </c>
      <c r="D5884" t="s">
        <v>725</v>
      </c>
      <c r="E5884" s="2">
        <v>2.1120000000000001</v>
      </c>
    </row>
    <row r="5885" spans="1:5" x14ac:dyDescent="0.25">
      <c r="A5885" s="32" t="s">
        <v>767</v>
      </c>
      <c r="B5885" s="7">
        <v>2020</v>
      </c>
      <c r="C5885" s="51" t="s">
        <v>713</v>
      </c>
      <c r="D5885" t="s">
        <v>725</v>
      </c>
      <c r="E5885" s="2">
        <v>2.4790000000000001</v>
      </c>
    </row>
    <row r="5886" spans="1:5" x14ac:dyDescent="0.25">
      <c r="A5886" s="32" t="s">
        <v>767</v>
      </c>
      <c r="B5886" s="7">
        <v>2020</v>
      </c>
      <c r="C5886" s="51" t="s">
        <v>707</v>
      </c>
      <c r="D5886" t="s">
        <v>725</v>
      </c>
      <c r="E5886" s="2">
        <v>2.5539999999999998</v>
      </c>
    </row>
    <row r="5887" spans="1:5" x14ac:dyDescent="0.25">
      <c r="A5887" s="32" t="s">
        <v>767</v>
      </c>
      <c r="B5887" s="7">
        <v>2020</v>
      </c>
      <c r="C5887" s="51" t="s">
        <v>708</v>
      </c>
      <c r="D5887" t="s">
        <v>725</v>
      </c>
      <c r="E5887" s="2">
        <v>3.2690000000000001</v>
      </c>
    </row>
    <row r="5888" spans="1:5" x14ac:dyDescent="0.25">
      <c r="A5888" s="32" t="s">
        <v>767</v>
      </c>
      <c r="B5888" s="7">
        <v>2020</v>
      </c>
      <c r="C5888" s="51" t="s">
        <v>699</v>
      </c>
      <c r="D5888" t="s">
        <v>725</v>
      </c>
      <c r="E5888" s="2">
        <v>3.3130000000000002</v>
      </c>
    </row>
    <row r="5889" spans="1:5" x14ac:dyDescent="0.25">
      <c r="A5889" s="32" t="s">
        <v>767</v>
      </c>
      <c r="B5889" s="7">
        <v>2020</v>
      </c>
      <c r="C5889" s="51" t="s">
        <v>709</v>
      </c>
      <c r="D5889" t="s">
        <v>725</v>
      </c>
      <c r="E5889" s="2">
        <v>3.423</v>
      </c>
    </row>
    <row r="5890" spans="1:5" x14ac:dyDescent="0.25">
      <c r="A5890" s="32" t="s">
        <v>767</v>
      </c>
      <c r="B5890" s="7">
        <v>2020</v>
      </c>
      <c r="C5890" s="51" t="s">
        <v>712</v>
      </c>
      <c r="D5890" t="s">
        <v>725</v>
      </c>
      <c r="E5890" s="2">
        <v>2.7440000000000002</v>
      </c>
    </row>
    <row r="5891" spans="1:5" x14ac:dyDescent="0.25">
      <c r="A5891" s="32" t="s">
        <v>767</v>
      </c>
      <c r="B5891" s="7">
        <v>2020</v>
      </c>
      <c r="C5891" s="51" t="s">
        <v>710</v>
      </c>
      <c r="D5891" t="s">
        <v>725</v>
      </c>
      <c r="E5891" s="2">
        <v>2.492</v>
      </c>
    </row>
    <row r="5892" spans="1:5" x14ac:dyDescent="0.25">
      <c r="A5892" s="32" t="s">
        <v>767</v>
      </c>
      <c r="B5892" s="7">
        <v>2020</v>
      </c>
      <c r="C5892" s="51" t="s">
        <v>702</v>
      </c>
      <c r="D5892" t="s">
        <v>725</v>
      </c>
      <c r="E5892" s="2">
        <v>2.4969999999999999</v>
      </c>
    </row>
    <row r="5893" spans="1:5" x14ac:dyDescent="0.25">
      <c r="A5893" s="32" t="s">
        <v>767</v>
      </c>
      <c r="B5893" s="7">
        <v>2020</v>
      </c>
      <c r="C5893" s="51" t="s">
        <v>703</v>
      </c>
      <c r="D5893" t="s">
        <v>725</v>
      </c>
      <c r="E5893" s="2">
        <v>2.415</v>
      </c>
    </row>
    <row r="5894" spans="1:5" x14ac:dyDescent="0.25">
      <c r="A5894" s="32" t="s">
        <v>767</v>
      </c>
      <c r="B5894" s="7">
        <v>2020</v>
      </c>
      <c r="C5894" s="51" t="s">
        <v>704</v>
      </c>
      <c r="D5894" t="s">
        <v>725</v>
      </c>
      <c r="E5894" s="2">
        <v>2.4020000000000001</v>
      </c>
    </row>
    <row r="5895" spans="1:5" x14ac:dyDescent="0.25">
      <c r="A5895" s="32" t="s">
        <v>767</v>
      </c>
      <c r="B5895" s="7">
        <v>2020</v>
      </c>
      <c r="C5895" s="51" t="s">
        <v>705</v>
      </c>
      <c r="D5895" t="s">
        <v>725</v>
      </c>
      <c r="E5895" s="2">
        <v>2.758</v>
      </c>
    </row>
    <row r="5896" spans="1:5" x14ac:dyDescent="0.25">
      <c r="A5896" s="32" t="s">
        <v>767</v>
      </c>
      <c r="B5896" s="7">
        <v>2020</v>
      </c>
      <c r="C5896" s="51" t="s">
        <v>706</v>
      </c>
      <c r="D5896" t="s">
        <v>725</v>
      </c>
      <c r="E5896" s="2">
        <v>3.4710000000000001</v>
      </c>
    </row>
    <row r="5897" spans="1:5" x14ac:dyDescent="0.25">
      <c r="A5897" s="32" t="s">
        <v>767</v>
      </c>
      <c r="B5897" s="7">
        <v>2021</v>
      </c>
      <c r="C5897" s="51" t="s">
        <v>713</v>
      </c>
      <c r="D5897" t="s">
        <v>725</v>
      </c>
      <c r="E5897" s="2">
        <v>3.4630000000000001</v>
      </c>
    </row>
    <row r="5898" spans="1:5" x14ac:dyDescent="0.25">
      <c r="A5898" s="32" t="s">
        <v>767</v>
      </c>
      <c r="B5898" s="7">
        <v>2021</v>
      </c>
      <c r="C5898" s="51" t="s">
        <v>707</v>
      </c>
      <c r="D5898" t="s">
        <v>725</v>
      </c>
      <c r="E5898" s="2">
        <v>3.1859999999999999</v>
      </c>
    </row>
    <row r="5899" spans="1:5" x14ac:dyDescent="0.25">
      <c r="A5899" s="32" t="s">
        <v>767</v>
      </c>
      <c r="B5899" s="7">
        <v>2021</v>
      </c>
      <c r="C5899" s="51" t="s">
        <v>708</v>
      </c>
      <c r="D5899" t="s">
        <v>725</v>
      </c>
      <c r="E5899" s="2">
        <v>3.4</v>
      </c>
    </row>
    <row r="5900" spans="1:5" x14ac:dyDescent="0.25">
      <c r="A5900" s="32" t="s">
        <v>767</v>
      </c>
      <c r="B5900" s="7">
        <v>2021</v>
      </c>
      <c r="C5900" s="51" t="s">
        <v>699</v>
      </c>
      <c r="D5900" t="s">
        <v>725</v>
      </c>
      <c r="E5900" s="2">
        <v>3.3149999999999999</v>
      </c>
    </row>
    <row r="5901" spans="1:5" x14ac:dyDescent="0.25">
      <c r="A5901" s="32" t="s">
        <v>767</v>
      </c>
      <c r="B5901" s="7">
        <v>2021</v>
      </c>
      <c r="C5901" s="51" t="s">
        <v>709</v>
      </c>
      <c r="D5901" t="s">
        <v>725</v>
      </c>
      <c r="E5901" s="2">
        <v>3.4140000000000001</v>
      </c>
    </row>
    <row r="5902" spans="1:5" x14ac:dyDescent="0.25">
      <c r="A5902" s="32" t="s">
        <v>767</v>
      </c>
      <c r="B5902" s="7">
        <v>2021</v>
      </c>
      <c r="C5902" s="51" t="s">
        <v>712</v>
      </c>
      <c r="D5902" t="s">
        <v>725</v>
      </c>
      <c r="E5902" s="2">
        <v>2.093</v>
      </c>
    </row>
    <row r="5903" spans="1:5" x14ac:dyDescent="0.25">
      <c r="A5903" s="32" t="s">
        <v>767</v>
      </c>
      <c r="B5903" s="7">
        <v>2021</v>
      </c>
      <c r="C5903" s="51" t="s">
        <v>710</v>
      </c>
      <c r="D5903" t="s">
        <v>725</v>
      </c>
      <c r="E5903" s="2">
        <v>2.2669999999999999</v>
      </c>
    </row>
    <row r="5904" spans="1:5" x14ac:dyDescent="0.25">
      <c r="A5904" s="32" t="s">
        <v>767</v>
      </c>
      <c r="B5904" s="7">
        <v>2021</v>
      </c>
      <c r="C5904" s="51" t="s">
        <v>702</v>
      </c>
      <c r="D5904" t="s">
        <v>725</v>
      </c>
      <c r="E5904" s="2">
        <v>2.2250000000000001</v>
      </c>
    </row>
    <row r="5905" spans="1:5" x14ac:dyDescent="0.25">
      <c r="A5905" s="32" t="s">
        <v>767</v>
      </c>
      <c r="B5905" s="7">
        <v>2021</v>
      </c>
      <c r="C5905" s="51" t="s">
        <v>703</v>
      </c>
      <c r="D5905" t="s">
        <v>725</v>
      </c>
      <c r="E5905" s="2">
        <v>2.42</v>
      </c>
    </row>
    <row r="5906" spans="1:5" x14ac:dyDescent="0.25">
      <c r="A5906" s="32" t="s">
        <v>767</v>
      </c>
      <c r="B5906" s="7">
        <v>2021</v>
      </c>
      <c r="C5906" s="51" t="s">
        <v>704</v>
      </c>
      <c r="D5906" t="s">
        <v>725</v>
      </c>
      <c r="E5906" s="2">
        <v>3.4359999999999999</v>
      </c>
    </row>
    <row r="5907" spans="1:5" x14ac:dyDescent="0.25">
      <c r="A5907" s="32" t="s">
        <v>767</v>
      </c>
      <c r="B5907" s="7">
        <v>2021</v>
      </c>
      <c r="C5907" s="51" t="s">
        <v>705</v>
      </c>
      <c r="D5907" t="s">
        <v>725</v>
      </c>
      <c r="E5907" s="2">
        <v>3.306</v>
      </c>
    </row>
    <row r="5908" spans="1:5" x14ac:dyDescent="0.25">
      <c r="A5908" s="32" t="s">
        <v>767</v>
      </c>
      <c r="B5908" s="7">
        <v>2021</v>
      </c>
      <c r="C5908" s="51" t="s">
        <v>706</v>
      </c>
      <c r="D5908" t="s">
        <v>725</v>
      </c>
      <c r="E5908" s="2">
        <v>3.3610000000000002</v>
      </c>
    </row>
    <row r="5909" spans="1:5" x14ac:dyDescent="0.25">
      <c r="A5909" s="32" t="s">
        <v>767</v>
      </c>
      <c r="B5909" s="7">
        <v>2022</v>
      </c>
      <c r="C5909" s="51" t="s">
        <v>713</v>
      </c>
      <c r="D5909" t="s">
        <v>725</v>
      </c>
      <c r="E5909" s="2">
        <v>3.5649999999999999</v>
      </c>
    </row>
    <row r="5910" spans="1:5" x14ac:dyDescent="0.25">
      <c r="A5910" s="32" t="s">
        <v>767</v>
      </c>
      <c r="B5910" s="7">
        <v>2022</v>
      </c>
      <c r="C5910" s="51" t="s">
        <v>707</v>
      </c>
      <c r="D5910" t="s">
        <v>725</v>
      </c>
      <c r="E5910" s="2">
        <v>3.149</v>
      </c>
    </row>
    <row r="5911" spans="1:5" x14ac:dyDescent="0.25">
      <c r="A5911" s="32" t="s">
        <v>767</v>
      </c>
      <c r="B5911" s="7">
        <v>2022</v>
      </c>
      <c r="C5911" s="51" t="s">
        <v>708</v>
      </c>
      <c r="D5911" t="s">
        <v>725</v>
      </c>
      <c r="E5911" s="2">
        <v>3.4169999999999998</v>
      </c>
    </row>
    <row r="5912" spans="1:5" x14ac:dyDescent="0.25">
      <c r="A5912" s="32" t="s">
        <v>767</v>
      </c>
      <c r="B5912" s="7">
        <v>2022</v>
      </c>
      <c r="C5912" s="51" t="s">
        <v>699</v>
      </c>
      <c r="D5912" t="s">
        <v>725</v>
      </c>
      <c r="E5912" s="2">
        <v>3.331</v>
      </c>
    </row>
    <row r="5913" spans="1:5" x14ac:dyDescent="0.25">
      <c r="A5913" s="32" t="s">
        <v>767</v>
      </c>
      <c r="B5913" s="7">
        <v>2022</v>
      </c>
      <c r="C5913" s="51" t="s">
        <v>709</v>
      </c>
      <c r="D5913" t="s">
        <v>725</v>
      </c>
      <c r="E5913" s="2">
        <v>3.3340000000000001</v>
      </c>
    </row>
    <row r="5914" spans="1:5" x14ac:dyDescent="0.25">
      <c r="A5914" s="32" t="s">
        <v>767</v>
      </c>
      <c r="B5914" s="7">
        <v>2022</v>
      </c>
      <c r="C5914" s="51" t="s">
        <v>712</v>
      </c>
      <c r="D5914" t="s">
        <v>725</v>
      </c>
      <c r="E5914" s="2">
        <v>2.2370000000000001</v>
      </c>
    </row>
    <row r="5915" spans="1:5" x14ac:dyDescent="0.25">
      <c r="A5915" s="32" t="s">
        <v>767</v>
      </c>
      <c r="B5915" s="7">
        <v>2022</v>
      </c>
      <c r="C5915" s="51" t="s">
        <v>710</v>
      </c>
      <c r="D5915" t="s">
        <v>725</v>
      </c>
      <c r="E5915" s="2">
        <v>2.3029999999999999</v>
      </c>
    </row>
    <row r="5916" spans="1:5" x14ac:dyDescent="0.25">
      <c r="A5916" s="32" t="s">
        <v>767</v>
      </c>
      <c r="B5916" s="7">
        <v>2022</v>
      </c>
      <c r="C5916" s="51" t="s">
        <v>702</v>
      </c>
      <c r="D5916" t="s">
        <v>725</v>
      </c>
      <c r="E5916" s="2">
        <v>2.2679999999999998</v>
      </c>
    </row>
    <row r="5917" spans="1:5" x14ac:dyDescent="0.25">
      <c r="A5917" s="32" t="s">
        <v>767</v>
      </c>
      <c r="B5917" s="7">
        <v>2022</v>
      </c>
      <c r="C5917" s="51" t="s">
        <v>703</v>
      </c>
      <c r="D5917" t="s">
        <v>725</v>
      </c>
      <c r="E5917" s="2">
        <v>2.105</v>
      </c>
    </row>
    <row r="5918" spans="1:5" x14ac:dyDescent="0.25">
      <c r="A5918" s="32" t="s">
        <v>767</v>
      </c>
      <c r="B5918" s="7">
        <v>2022</v>
      </c>
      <c r="C5918" s="51" t="s">
        <v>704</v>
      </c>
      <c r="D5918" t="s">
        <v>725</v>
      </c>
      <c r="E5918" s="2">
        <v>2.1680000000000001</v>
      </c>
    </row>
    <row r="5919" spans="1:5" x14ac:dyDescent="0.25">
      <c r="A5919" s="32" t="s">
        <v>767</v>
      </c>
      <c r="B5919" s="7">
        <v>2022</v>
      </c>
      <c r="C5919" s="51" t="s">
        <v>705</v>
      </c>
      <c r="D5919" t="s">
        <v>725</v>
      </c>
      <c r="E5919" s="2">
        <v>2.1059999999999999</v>
      </c>
    </row>
    <row r="5920" spans="1:5" x14ac:dyDescent="0.25">
      <c r="A5920" s="32" t="s">
        <v>767</v>
      </c>
      <c r="B5920" s="7">
        <v>2022</v>
      </c>
      <c r="C5920" s="51" t="s">
        <v>706</v>
      </c>
      <c r="D5920" t="s">
        <v>725</v>
      </c>
      <c r="E5920" s="2">
        <v>2.173</v>
      </c>
    </row>
    <row r="5921" spans="1:5" x14ac:dyDescent="0.25">
      <c r="A5921" s="32" t="s">
        <v>767</v>
      </c>
      <c r="B5921" s="7">
        <v>2023</v>
      </c>
      <c r="C5921" s="51" t="s">
        <v>713</v>
      </c>
      <c r="D5921" t="s">
        <v>725</v>
      </c>
      <c r="E5921" s="2">
        <v>2.1669999999999998</v>
      </c>
    </row>
    <row r="5922" spans="1:5" x14ac:dyDescent="0.25">
      <c r="A5922" s="32" t="s">
        <v>767</v>
      </c>
      <c r="B5922" s="7">
        <v>2023</v>
      </c>
      <c r="C5922" s="51" t="s">
        <v>707</v>
      </c>
      <c r="D5922" t="s">
        <v>725</v>
      </c>
      <c r="E5922" s="2">
        <v>2.5329999999999999</v>
      </c>
    </row>
    <row r="5923" spans="1:5" x14ac:dyDescent="0.25">
      <c r="A5923" s="32" t="s">
        <v>767</v>
      </c>
      <c r="B5923" s="7">
        <v>2023</v>
      </c>
      <c r="C5923" s="51" t="s">
        <v>708</v>
      </c>
      <c r="D5923" t="s">
        <v>725</v>
      </c>
      <c r="E5923" s="2">
        <v>2.8479999999999999</v>
      </c>
    </row>
    <row r="5924" spans="1:5" x14ac:dyDescent="0.25">
      <c r="A5924" s="32" t="s">
        <v>767</v>
      </c>
      <c r="B5924" s="7">
        <v>2023</v>
      </c>
      <c r="C5924" s="51" t="s">
        <v>699</v>
      </c>
      <c r="D5924" t="s">
        <v>725</v>
      </c>
      <c r="E5924" s="2">
        <v>2.827</v>
      </c>
    </row>
    <row r="5925" spans="1:5" x14ac:dyDescent="0.25">
      <c r="A5925" s="32" t="s">
        <v>767</v>
      </c>
      <c r="B5925" s="7">
        <v>2023</v>
      </c>
      <c r="C5925" s="51" t="s">
        <v>709</v>
      </c>
      <c r="D5925" t="s">
        <v>725</v>
      </c>
      <c r="E5925" s="2">
        <v>2.9569999999999999</v>
      </c>
    </row>
    <row r="5926" spans="1:5" x14ac:dyDescent="0.25">
      <c r="A5926" s="32" t="s">
        <v>767</v>
      </c>
      <c r="B5926" s="7">
        <v>2023</v>
      </c>
      <c r="C5926" s="51" t="s">
        <v>712</v>
      </c>
      <c r="D5926" t="s">
        <v>725</v>
      </c>
      <c r="E5926" s="2">
        <v>2.863</v>
      </c>
    </row>
    <row r="5927" spans="1:5" x14ac:dyDescent="0.25">
      <c r="A5927" s="32" t="s">
        <v>767</v>
      </c>
      <c r="B5927" s="7">
        <v>2023</v>
      </c>
      <c r="C5927" s="51" t="s">
        <v>710</v>
      </c>
      <c r="D5927" t="s">
        <v>725</v>
      </c>
      <c r="E5927" s="2">
        <v>2.8820000000000001</v>
      </c>
    </row>
    <row r="5928" spans="1:5" x14ac:dyDescent="0.25">
      <c r="A5928" s="32" t="s">
        <v>767</v>
      </c>
      <c r="B5928" s="7">
        <v>2023</v>
      </c>
      <c r="C5928" s="51" t="s">
        <v>702</v>
      </c>
      <c r="D5928" t="s">
        <v>725</v>
      </c>
      <c r="E5928" s="2">
        <v>2.9449999999999998</v>
      </c>
    </row>
    <row r="5929" spans="1:5" x14ac:dyDescent="0.25">
      <c r="A5929" s="32" t="s">
        <v>767</v>
      </c>
      <c r="B5929" s="7">
        <v>2023</v>
      </c>
      <c r="C5929" s="51" t="s">
        <v>703</v>
      </c>
      <c r="D5929" t="s">
        <v>725</v>
      </c>
      <c r="E5929" s="2">
        <v>2.7810000000000001</v>
      </c>
    </row>
    <row r="5930" spans="1:5" x14ac:dyDescent="0.25">
      <c r="A5930" s="32" t="s">
        <v>767</v>
      </c>
      <c r="B5930" s="7">
        <v>1997</v>
      </c>
      <c r="C5930" s="51" t="s">
        <v>704</v>
      </c>
      <c r="D5930" t="s">
        <v>765</v>
      </c>
    </row>
    <row r="5931" spans="1:5" x14ac:dyDescent="0.25">
      <c r="A5931" s="32" t="s">
        <v>767</v>
      </c>
      <c r="B5931" s="7">
        <v>1997</v>
      </c>
      <c r="C5931" s="51" t="s">
        <v>705</v>
      </c>
      <c r="D5931" t="s">
        <v>765</v>
      </c>
    </row>
    <row r="5932" spans="1:5" x14ac:dyDescent="0.25">
      <c r="A5932" s="32" t="s">
        <v>767</v>
      </c>
      <c r="B5932" s="7">
        <v>1997</v>
      </c>
      <c r="C5932" s="51" t="s">
        <v>706</v>
      </c>
      <c r="D5932" t="s">
        <v>765</v>
      </c>
    </row>
    <row r="5933" spans="1:5" x14ac:dyDescent="0.25">
      <c r="A5933" s="32" t="s">
        <v>767</v>
      </c>
      <c r="B5933" s="7">
        <v>1998</v>
      </c>
      <c r="C5933" s="51" t="s">
        <v>713</v>
      </c>
      <c r="D5933" t="s">
        <v>765</v>
      </c>
    </row>
    <row r="5934" spans="1:5" x14ac:dyDescent="0.25">
      <c r="A5934" s="32" t="s">
        <v>767</v>
      </c>
      <c r="B5934" s="7">
        <v>1998</v>
      </c>
      <c r="C5934" s="51" t="s">
        <v>707</v>
      </c>
      <c r="D5934" t="s">
        <v>765</v>
      </c>
    </row>
    <row r="5935" spans="1:5" x14ac:dyDescent="0.25">
      <c r="A5935" s="32" t="s">
        <v>767</v>
      </c>
      <c r="B5935" s="7">
        <v>1998</v>
      </c>
      <c r="C5935" s="51" t="s">
        <v>708</v>
      </c>
      <c r="D5935" t="s">
        <v>765</v>
      </c>
    </row>
    <row r="5936" spans="1:5" x14ac:dyDescent="0.25">
      <c r="A5936" s="32" t="s">
        <v>767</v>
      </c>
      <c r="B5936" s="7">
        <v>1998</v>
      </c>
      <c r="C5936" s="51" t="s">
        <v>699</v>
      </c>
      <c r="D5936" t="s">
        <v>765</v>
      </c>
    </row>
    <row r="5937" spans="1:4" x14ac:dyDescent="0.25">
      <c r="A5937" s="32" t="s">
        <v>767</v>
      </c>
      <c r="B5937" s="7">
        <v>1998</v>
      </c>
      <c r="C5937" s="51" t="s">
        <v>709</v>
      </c>
      <c r="D5937" t="s">
        <v>765</v>
      </c>
    </row>
    <row r="5938" spans="1:4" x14ac:dyDescent="0.25">
      <c r="A5938" s="32" t="s">
        <v>767</v>
      </c>
      <c r="B5938" s="7">
        <v>1998</v>
      </c>
      <c r="C5938" s="51" t="s">
        <v>712</v>
      </c>
      <c r="D5938" t="s">
        <v>765</v>
      </c>
    </row>
    <row r="5939" spans="1:4" x14ac:dyDescent="0.25">
      <c r="A5939" s="32" t="s">
        <v>767</v>
      </c>
      <c r="B5939" s="7">
        <v>1998</v>
      </c>
      <c r="C5939" s="51" t="s">
        <v>710</v>
      </c>
      <c r="D5939" t="s">
        <v>765</v>
      </c>
    </row>
    <row r="5940" spans="1:4" x14ac:dyDescent="0.25">
      <c r="A5940" s="32" t="s">
        <v>767</v>
      </c>
      <c r="B5940" s="7">
        <v>1998</v>
      </c>
      <c r="C5940" s="51" t="s">
        <v>702</v>
      </c>
      <c r="D5940" t="s">
        <v>765</v>
      </c>
    </row>
    <row r="5941" spans="1:4" x14ac:dyDescent="0.25">
      <c r="A5941" s="32" t="s">
        <v>767</v>
      </c>
      <c r="B5941" s="7">
        <v>1998</v>
      </c>
      <c r="C5941" s="51" t="s">
        <v>703</v>
      </c>
      <c r="D5941" t="s">
        <v>765</v>
      </c>
    </row>
    <row r="5942" spans="1:4" x14ac:dyDescent="0.25">
      <c r="A5942" s="32" t="s">
        <v>767</v>
      </c>
      <c r="B5942" s="7">
        <v>1998</v>
      </c>
      <c r="C5942" s="51" t="s">
        <v>704</v>
      </c>
      <c r="D5942" t="s">
        <v>765</v>
      </c>
    </row>
    <row r="5943" spans="1:4" x14ac:dyDescent="0.25">
      <c r="A5943" s="32" t="s">
        <v>767</v>
      </c>
      <c r="B5943" s="7">
        <v>1998</v>
      </c>
      <c r="C5943" s="51" t="s">
        <v>705</v>
      </c>
      <c r="D5943" t="s">
        <v>765</v>
      </c>
    </row>
    <row r="5944" spans="1:4" x14ac:dyDescent="0.25">
      <c r="A5944" s="32" t="s">
        <v>767</v>
      </c>
      <c r="B5944" s="7">
        <v>1998</v>
      </c>
      <c r="C5944" s="51" t="s">
        <v>706</v>
      </c>
      <c r="D5944" t="s">
        <v>765</v>
      </c>
    </row>
    <row r="5945" spans="1:4" x14ac:dyDescent="0.25">
      <c r="A5945" s="32" t="s">
        <v>767</v>
      </c>
      <c r="B5945" s="7">
        <v>1999</v>
      </c>
      <c r="C5945" s="51" t="s">
        <v>713</v>
      </c>
      <c r="D5945" t="s">
        <v>765</v>
      </c>
    </row>
    <row r="5946" spans="1:4" x14ac:dyDescent="0.25">
      <c r="A5946" s="32" t="s">
        <v>767</v>
      </c>
      <c r="B5946" s="7">
        <v>1999</v>
      </c>
      <c r="C5946" s="51" t="s">
        <v>707</v>
      </c>
      <c r="D5946" t="s">
        <v>765</v>
      </c>
    </row>
    <row r="5947" spans="1:4" x14ac:dyDescent="0.25">
      <c r="A5947" s="32" t="s">
        <v>767</v>
      </c>
      <c r="B5947" s="7">
        <v>1999</v>
      </c>
      <c r="C5947" s="51" t="s">
        <v>708</v>
      </c>
      <c r="D5947" t="s">
        <v>765</v>
      </c>
    </row>
    <row r="5948" spans="1:4" x14ac:dyDescent="0.25">
      <c r="A5948" s="32" t="s">
        <v>767</v>
      </c>
      <c r="B5948" s="7">
        <v>1999</v>
      </c>
      <c r="C5948" s="51" t="s">
        <v>699</v>
      </c>
      <c r="D5948" t="s">
        <v>765</v>
      </c>
    </row>
    <row r="5949" spans="1:4" x14ac:dyDescent="0.25">
      <c r="A5949" s="32" t="s">
        <v>767</v>
      </c>
      <c r="B5949" s="7">
        <v>1999</v>
      </c>
      <c r="C5949" s="51" t="s">
        <v>709</v>
      </c>
      <c r="D5949" t="s">
        <v>765</v>
      </c>
    </row>
    <row r="5950" spans="1:4" x14ac:dyDescent="0.25">
      <c r="A5950" s="32" t="s">
        <v>767</v>
      </c>
      <c r="B5950" s="7">
        <v>1999</v>
      </c>
      <c r="C5950" s="51" t="s">
        <v>712</v>
      </c>
      <c r="D5950" t="s">
        <v>765</v>
      </c>
    </row>
    <row r="5951" spans="1:4" x14ac:dyDescent="0.25">
      <c r="A5951" s="32" t="s">
        <v>767</v>
      </c>
      <c r="B5951" s="7">
        <v>1999</v>
      </c>
      <c r="C5951" s="51" t="s">
        <v>710</v>
      </c>
      <c r="D5951" t="s">
        <v>765</v>
      </c>
    </row>
    <row r="5952" spans="1:4" x14ac:dyDescent="0.25">
      <c r="A5952" s="32" t="s">
        <v>767</v>
      </c>
      <c r="B5952" s="7">
        <v>1999</v>
      </c>
      <c r="C5952" s="51" t="s">
        <v>702</v>
      </c>
      <c r="D5952" t="s">
        <v>765</v>
      </c>
    </row>
    <row r="5953" spans="1:4" x14ac:dyDescent="0.25">
      <c r="A5953" s="32" t="s">
        <v>767</v>
      </c>
      <c r="B5953" s="7">
        <v>1999</v>
      </c>
      <c r="C5953" s="51" t="s">
        <v>703</v>
      </c>
      <c r="D5953" t="s">
        <v>765</v>
      </c>
    </row>
    <row r="5954" spans="1:4" x14ac:dyDescent="0.25">
      <c r="A5954" s="32" t="s">
        <v>767</v>
      </c>
      <c r="B5954" s="7">
        <v>1999</v>
      </c>
      <c r="C5954" s="51" t="s">
        <v>704</v>
      </c>
      <c r="D5954" t="s">
        <v>765</v>
      </c>
    </row>
    <row r="5955" spans="1:4" x14ac:dyDescent="0.25">
      <c r="A5955" s="32" t="s">
        <v>767</v>
      </c>
      <c r="B5955" s="7">
        <v>1999</v>
      </c>
      <c r="C5955" s="51" t="s">
        <v>705</v>
      </c>
      <c r="D5955" t="s">
        <v>765</v>
      </c>
    </row>
    <row r="5956" spans="1:4" x14ac:dyDescent="0.25">
      <c r="A5956" s="32" t="s">
        <v>767</v>
      </c>
      <c r="B5956" s="7">
        <v>1999</v>
      </c>
      <c r="C5956" s="51" t="s">
        <v>706</v>
      </c>
      <c r="D5956" t="s">
        <v>765</v>
      </c>
    </row>
    <row r="5957" spans="1:4" x14ac:dyDescent="0.25">
      <c r="A5957" s="32" t="s">
        <v>767</v>
      </c>
      <c r="B5957" s="7">
        <v>2000</v>
      </c>
      <c r="C5957" s="51" t="s">
        <v>713</v>
      </c>
      <c r="D5957" t="s">
        <v>765</v>
      </c>
    </row>
    <row r="5958" spans="1:4" x14ac:dyDescent="0.25">
      <c r="A5958" s="32" t="s">
        <v>767</v>
      </c>
      <c r="B5958" s="7">
        <v>2000</v>
      </c>
      <c r="C5958" s="51" t="s">
        <v>707</v>
      </c>
      <c r="D5958" t="s">
        <v>765</v>
      </c>
    </row>
    <row r="5959" spans="1:4" x14ac:dyDescent="0.25">
      <c r="A5959" s="32" t="s">
        <v>767</v>
      </c>
      <c r="B5959" s="7">
        <v>2000</v>
      </c>
      <c r="C5959" s="51" t="s">
        <v>708</v>
      </c>
      <c r="D5959" t="s">
        <v>765</v>
      </c>
    </row>
    <row r="5960" spans="1:4" x14ac:dyDescent="0.25">
      <c r="A5960" s="32" t="s">
        <v>767</v>
      </c>
      <c r="B5960" s="7">
        <v>2000</v>
      </c>
      <c r="C5960" s="51" t="s">
        <v>699</v>
      </c>
      <c r="D5960" t="s">
        <v>765</v>
      </c>
    </row>
    <row r="5961" spans="1:4" x14ac:dyDescent="0.25">
      <c r="A5961" s="32" t="s">
        <v>767</v>
      </c>
      <c r="B5961" s="7">
        <v>2000</v>
      </c>
      <c r="C5961" s="51" t="s">
        <v>709</v>
      </c>
      <c r="D5961" t="s">
        <v>765</v>
      </c>
    </row>
    <row r="5962" spans="1:4" x14ac:dyDescent="0.25">
      <c r="A5962" s="32" t="s">
        <v>767</v>
      </c>
      <c r="B5962" s="7">
        <v>2000</v>
      </c>
      <c r="C5962" s="51" t="s">
        <v>712</v>
      </c>
      <c r="D5962" t="s">
        <v>765</v>
      </c>
    </row>
    <row r="5963" spans="1:4" x14ac:dyDescent="0.25">
      <c r="A5963" s="32" t="s">
        <v>767</v>
      </c>
      <c r="B5963" s="7">
        <v>2000</v>
      </c>
      <c r="C5963" s="51" t="s">
        <v>710</v>
      </c>
      <c r="D5963" t="s">
        <v>765</v>
      </c>
    </row>
    <row r="5964" spans="1:4" x14ac:dyDescent="0.25">
      <c r="A5964" s="32" t="s">
        <v>767</v>
      </c>
      <c r="B5964" s="7">
        <v>2000</v>
      </c>
      <c r="C5964" s="51" t="s">
        <v>702</v>
      </c>
      <c r="D5964" t="s">
        <v>765</v>
      </c>
    </row>
    <row r="5965" spans="1:4" x14ac:dyDescent="0.25">
      <c r="A5965" s="32" t="s">
        <v>767</v>
      </c>
      <c r="B5965" s="7">
        <v>2000</v>
      </c>
      <c r="C5965" s="51" t="s">
        <v>703</v>
      </c>
      <c r="D5965" t="s">
        <v>765</v>
      </c>
    </row>
    <row r="5966" spans="1:4" x14ac:dyDescent="0.25">
      <c r="A5966" s="32" t="s">
        <v>767</v>
      </c>
      <c r="B5966" s="7">
        <v>2000</v>
      </c>
      <c r="C5966" s="51" t="s">
        <v>704</v>
      </c>
      <c r="D5966" t="s">
        <v>765</v>
      </c>
    </row>
    <row r="5967" spans="1:4" x14ac:dyDescent="0.25">
      <c r="A5967" s="32" t="s">
        <v>767</v>
      </c>
      <c r="B5967" s="7">
        <v>2000</v>
      </c>
      <c r="C5967" s="51" t="s">
        <v>705</v>
      </c>
      <c r="D5967" t="s">
        <v>765</v>
      </c>
    </row>
    <row r="5968" spans="1:4" x14ac:dyDescent="0.25">
      <c r="A5968" s="32" t="s">
        <v>767</v>
      </c>
      <c r="B5968" s="7">
        <v>2000</v>
      </c>
      <c r="C5968" s="51" t="s">
        <v>706</v>
      </c>
      <c r="D5968" t="s">
        <v>765</v>
      </c>
    </row>
    <row r="5969" spans="1:5" x14ac:dyDescent="0.25">
      <c r="A5969" s="32" t="s">
        <v>767</v>
      </c>
      <c r="B5969" s="7">
        <v>2001</v>
      </c>
      <c r="C5969" s="51" t="s">
        <v>713</v>
      </c>
      <c r="D5969" t="s">
        <v>765</v>
      </c>
    </row>
    <row r="5970" spans="1:5" x14ac:dyDescent="0.25">
      <c r="A5970" s="32" t="s">
        <v>767</v>
      </c>
      <c r="B5970" s="7">
        <v>2001</v>
      </c>
      <c r="C5970" s="51" t="s">
        <v>707</v>
      </c>
      <c r="D5970" t="s">
        <v>765</v>
      </c>
    </row>
    <row r="5971" spans="1:5" x14ac:dyDescent="0.25">
      <c r="A5971" s="32" t="s">
        <v>767</v>
      </c>
      <c r="B5971" s="7">
        <v>2001</v>
      </c>
      <c r="C5971" s="51" t="s">
        <v>708</v>
      </c>
      <c r="D5971" t="s">
        <v>765</v>
      </c>
    </row>
    <row r="5972" spans="1:5" x14ac:dyDescent="0.25">
      <c r="A5972" s="32" t="s">
        <v>767</v>
      </c>
      <c r="B5972" s="7">
        <v>2001</v>
      </c>
      <c r="C5972" s="51" t="s">
        <v>699</v>
      </c>
      <c r="D5972" t="s">
        <v>765</v>
      </c>
    </row>
    <row r="5973" spans="1:5" x14ac:dyDescent="0.25">
      <c r="A5973" s="32" t="s">
        <v>767</v>
      </c>
      <c r="B5973" s="7">
        <v>2001</v>
      </c>
      <c r="C5973" s="51" t="s">
        <v>709</v>
      </c>
      <c r="D5973" t="s">
        <v>765</v>
      </c>
      <c r="E5973" s="2">
        <v>0.23615999999999998</v>
      </c>
    </row>
    <row r="5974" spans="1:5" x14ac:dyDescent="0.25">
      <c r="A5974" s="32" t="s">
        <v>767</v>
      </c>
      <c r="B5974" s="7">
        <v>2001</v>
      </c>
      <c r="C5974" s="51" t="s">
        <v>712</v>
      </c>
      <c r="D5974" t="s">
        <v>765</v>
      </c>
      <c r="E5974" s="2">
        <v>0.29375999999999997</v>
      </c>
    </row>
    <row r="5975" spans="1:5" x14ac:dyDescent="0.25">
      <c r="A5975" s="32" t="s">
        <v>767</v>
      </c>
      <c r="B5975" s="7">
        <v>2001</v>
      </c>
      <c r="C5975" s="51" t="s">
        <v>710</v>
      </c>
      <c r="D5975" t="s">
        <v>765</v>
      </c>
      <c r="E5975" s="2">
        <v>9.2159999999999992E-2</v>
      </c>
    </row>
    <row r="5976" spans="1:5" x14ac:dyDescent="0.25">
      <c r="A5976" s="32" t="s">
        <v>767</v>
      </c>
      <c r="B5976" s="7">
        <v>2001</v>
      </c>
      <c r="C5976" s="51" t="s">
        <v>702</v>
      </c>
      <c r="D5976" t="s">
        <v>765</v>
      </c>
      <c r="E5976" s="2">
        <v>9.2159999999999992E-2</v>
      </c>
    </row>
    <row r="5977" spans="1:5" x14ac:dyDescent="0.25">
      <c r="A5977" s="32" t="s">
        <v>767</v>
      </c>
      <c r="B5977" s="7">
        <v>2001</v>
      </c>
      <c r="C5977" s="51" t="s">
        <v>703</v>
      </c>
      <c r="D5977" t="s">
        <v>765</v>
      </c>
      <c r="E5977" s="2">
        <v>0.29952000000000001</v>
      </c>
    </row>
    <row r="5978" spans="1:5" x14ac:dyDescent="0.25">
      <c r="A5978" s="32" t="s">
        <v>767</v>
      </c>
      <c r="B5978" s="7">
        <v>2001</v>
      </c>
      <c r="C5978" s="51" t="s">
        <v>704</v>
      </c>
      <c r="D5978" t="s">
        <v>765</v>
      </c>
      <c r="E5978" s="2">
        <v>8.0640000000000003E-2</v>
      </c>
    </row>
    <row r="5979" spans="1:5" x14ac:dyDescent="0.25">
      <c r="A5979" s="32" t="s">
        <v>767</v>
      </c>
      <c r="B5979" s="7">
        <v>2001</v>
      </c>
      <c r="C5979" s="51" t="s">
        <v>705</v>
      </c>
      <c r="D5979" t="s">
        <v>765</v>
      </c>
      <c r="E5979" s="2">
        <v>0.17279999999999998</v>
      </c>
    </row>
    <row r="5980" spans="1:5" x14ac:dyDescent="0.25">
      <c r="A5980" s="32" t="s">
        <v>767</v>
      </c>
      <c r="B5980" s="7">
        <v>2001</v>
      </c>
      <c r="C5980" s="51" t="s">
        <v>706</v>
      </c>
      <c r="D5980" t="s">
        <v>765</v>
      </c>
      <c r="E5980" s="2" t="s">
        <v>733</v>
      </c>
    </row>
    <row r="5981" spans="1:5" x14ac:dyDescent="0.25">
      <c r="A5981" s="32" t="s">
        <v>767</v>
      </c>
      <c r="B5981" s="7">
        <v>2002</v>
      </c>
      <c r="C5981" s="51" t="s">
        <v>713</v>
      </c>
      <c r="D5981" t="s">
        <v>765</v>
      </c>
      <c r="E5981" s="2">
        <v>0.46655999999999997</v>
      </c>
    </row>
    <row r="5982" spans="1:5" x14ac:dyDescent="0.25">
      <c r="A5982" s="32" t="s">
        <v>767</v>
      </c>
      <c r="B5982" s="7">
        <v>2002</v>
      </c>
      <c r="C5982" s="51" t="s">
        <v>707</v>
      </c>
      <c r="D5982" t="s">
        <v>765</v>
      </c>
      <c r="E5982" s="2">
        <v>0.46655999999999997</v>
      </c>
    </row>
    <row r="5983" spans="1:5" x14ac:dyDescent="0.25">
      <c r="A5983" s="32" t="s">
        <v>767</v>
      </c>
      <c r="B5983" s="7">
        <v>2002</v>
      </c>
      <c r="C5983" s="51" t="s">
        <v>708</v>
      </c>
      <c r="D5983" t="s">
        <v>765</v>
      </c>
      <c r="E5983" s="2">
        <v>0.49535999999999997</v>
      </c>
    </row>
    <row r="5984" spans="1:5" x14ac:dyDescent="0.25">
      <c r="A5984" s="32" t="s">
        <v>767</v>
      </c>
      <c r="B5984" s="7">
        <v>2002</v>
      </c>
      <c r="C5984" s="51" t="s">
        <v>699</v>
      </c>
      <c r="D5984" t="s">
        <v>765</v>
      </c>
      <c r="E5984" s="2">
        <v>0.20159999999999997</v>
      </c>
    </row>
    <row r="5985" spans="1:5" x14ac:dyDescent="0.25">
      <c r="A5985" s="32" t="s">
        <v>767</v>
      </c>
      <c r="B5985" s="7">
        <v>2002</v>
      </c>
      <c r="C5985" s="51" t="s">
        <v>709</v>
      </c>
      <c r="D5985" t="s">
        <v>765</v>
      </c>
      <c r="E5985" s="2">
        <v>0.30528</v>
      </c>
    </row>
    <row r="5986" spans="1:5" x14ac:dyDescent="0.25">
      <c r="A5986" s="32" t="s">
        <v>767</v>
      </c>
      <c r="B5986" s="7">
        <v>2002</v>
      </c>
      <c r="C5986" s="51" t="s">
        <v>712</v>
      </c>
      <c r="D5986" t="s">
        <v>765</v>
      </c>
      <c r="E5986" s="2">
        <v>0.39167999999999997</v>
      </c>
    </row>
    <row r="5987" spans="1:5" x14ac:dyDescent="0.25">
      <c r="A5987" s="32" t="s">
        <v>767</v>
      </c>
      <c r="B5987" s="7">
        <v>2002</v>
      </c>
      <c r="C5987" s="51" t="s">
        <v>710</v>
      </c>
      <c r="D5987" t="s">
        <v>765</v>
      </c>
      <c r="E5987" s="2">
        <v>0.17856</v>
      </c>
    </row>
    <row r="5988" spans="1:5" x14ac:dyDescent="0.25">
      <c r="A5988" s="32" t="s">
        <v>767</v>
      </c>
      <c r="B5988" s="7">
        <v>2002</v>
      </c>
      <c r="C5988" s="51" t="s">
        <v>702</v>
      </c>
      <c r="D5988" t="s">
        <v>765</v>
      </c>
      <c r="E5988" s="2">
        <v>0.23039999999999999</v>
      </c>
    </row>
    <row r="5989" spans="1:5" x14ac:dyDescent="0.25">
      <c r="A5989" s="32" t="s">
        <v>767</v>
      </c>
      <c r="B5989" s="7">
        <v>2002</v>
      </c>
      <c r="C5989" s="51" t="s">
        <v>703</v>
      </c>
      <c r="D5989" t="s">
        <v>765</v>
      </c>
      <c r="E5989" s="2">
        <v>0.17856</v>
      </c>
    </row>
    <row r="5990" spans="1:5" x14ac:dyDescent="0.25">
      <c r="A5990" s="32" t="s">
        <v>767</v>
      </c>
      <c r="B5990" s="7">
        <v>2002</v>
      </c>
      <c r="C5990" s="51" t="s">
        <v>704</v>
      </c>
      <c r="D5990" t="s">
        <v>765</v>
      </c>
      <c r="E5990" s="2">
        <v>0.17279999999999998</v>
      </c>
    </row>
    <row r="5991" spans="1:5" x14ac:dyDescent="0.25">
      <c r="A5991" s="32" t="s">
        <v>767</v>
      </c>
      <c r="B5991" s="7">
        <v>2002</v>
      </c>
      <c r="C5991" s="51" t="s">
        <v>705</v>
      </c>
      <c r="D5991" t="s">
        <v>765</v>
      </c>
      <c r="E5991" s="2">
        <v>0.23039999999999999</v>
      </c>
    </row>
    <row r="5992" spans="1:5" x14ac:dyDescent="0.25">
      <c r="A5992" s="32" t="s">
        <v>767</v>
      </c>
      <c r="B5992" s="7">
        <v>2002</v>
      </c>
      <c r="C5992" s="51" t="s">
        <v>706</v>
      </c>
      <c r="D5992" t="s">
        <v>765</v>
      </c>
      <c r="E5992" s="2">
        <v>0.18431999999999998</v>
      </c>
    </row>
    <row r="5993" spans="1:5" x14ac:dyDescent="0.25">
      <c r="A5993" s="32" t="s">
        <v>767</v>
      </c>
      <c r="B5993" s="7">
        <v>2003</v>
      </c>
      <c r="C5993" s="51" t="s">
        <v>713</v>
      </c>
      <c r="D5993" t="s">
        <v>765</v>
      </c>
      <c r="E5993" s="2">
        <v>0.19583999999999999</v>
      </c>
    </row>
    <row r="5994" spans="1:5" x14ac:dyDescent="0.25">
      <c r="A5994" s="32" t="s">
        <v>767</v>
      </c>
      <c r="B5994" s="7">
        <v>2003</v>
      </c>
      <c r="C5994" s="51" t="s">
        <v>707</v>
      </c>
      <c r="D5994" t="s">
        <v>765</v>
      </c>
      <c r="E5994" s="2">
        <v>0.20159999999999997</v>
      </c>
    </row>
    <row r="5995" spans="1:5" x14ac:dyDescent="0.25">
      <c r="A5995" s="32" t="s">
        <v>767</v>
      </c>
      <c r="B5995" s="7">
        <v>2003</v>
      </c>
      <c r="C5995" s="51" t="s">
        <v>708</v>
      </c>
      <c r="D5995" t="s">
        <v>765</v>
      </c>
      <c r="E5995" s="2">
        <v>0.19583999999999999</v>
      </c>
    </row>
    <row r="5996" spans="1:5" x14ac:dyDescent="0.25">
      <c r="A5996" s="32" t="s">
        <v>767</v>
      </c>
      <c r="B5996" s="7">
        <v>2003</v>
      </c>
      <c r="C5996" s="51" t="s">
        <v>699</v>
      </c>
      <c r="D5996" t="s">
        <v>765</v>
      </c>
      <c r="E5996" s="2" t="s">
        <v>729</v>
      </c>
    </row>
    <row r="5997" spans="1:5" x14ac:dyDescent="0.25">
      <c r="A5997" s="32" t="s">
        <v>767</v>
      </c>
      <c r="B5997" s="7">
        <v>2003</v>
      </c>
      <c r="C5997" s="51" t="s">
        <v>709</v>
      </c>
      <c r="D5997" t="s">
        <v>765</v>
      </c>
      <c r="E5997" s="2">
        <v>0.17856</v>
      </c>
    </row>
    <row r="5998" spans="1:5" x14ac:dyDescent="0.25">
      <c r="A5998" s="32" t="s">
        <v>767</v>
      </c>
      <c r="B5998" s="7">
        <v>2003</v>
      </c>
      <c r="C5998" s="51" t="s">
        <v>712</v>
      </c>
      <c r="D5998" t="s">
        <v>765</v>
      </c>
      <c r="E5998" s="2">
        <v>0.20735999999999999</v>
      </c>
    </row>
    <row r="5999" spans="1:5" x14ac:dyDescent="0.25">
      <c r="A5999" s="32" t="s">
        <v>767</v>
      </c>
      <c r="B5999" s="7">
        <v>2003</v>
      </c>
      <c r="C5999" s="51" t="s">
        <v>710</v>
      </c>
      <c r="D5999" t="s">
        <v>765</v>
      </c>
      <c r="E5999" s="2">
        <v>0.16703999999999997</v>
      </c>
    </row>
    <row r="6000" spans="1:5" x14ac:dyDescent="0.25">
      <c r="A6000" s="32" t="s">
        <v>767</v>
      </c>
      <c r="B6000" s="7">
        <v>2003</v>
      </c>
      <c r="C6000" s="51" t="s">
        <v>702</v>
      </c>
      <c r="D6000" t="s">
        <v>765</v>
      </c>
      <c r="E6000" s="2">
        <v>0.23615999999999998</v>
      </c>
    </row>
    <row r="6001" spans="1:5" x14ac:dyDescent="0.25">
      <c r="A6001" s="32" t="s">
        <v>767</v>
      </c>
      <c r="B6001" s="7">
        <v>2003</v>
      </c>
      <c r="C6001" s="51" t="s">
        <v>703</v>
      </c>
      <c r="D6001" t="s">
        <v>765</v>
      </c>
      <c r="E6001" s="2">
        <v>0.19583999999999999</v>
      </c>
    </row>
    <row r="6002" spans="1:5" x14ac:dyDescent="0.25">
      <c r="A6002" s="32" t="s">
        <v>767</v>
      </c>
      <c r="B6002" s="7">
        <v>2003</v>
      </c>
      <c r="C6002" s="51" t="s">
        <v>704</v>
      </c>
      <c r="D6002" t="s">
        <v>765</v>
      </c>
      <c r="E6002" s="2">
        <v>8.4000000000000005E-2</v>
      </c>
    </row>
    <row r="6003" spans="1:5" x14ac:dyDescent="0.25">
      <c r="A6003" s="32" t="s">
        <v>767</v>
      </c>
      <c r="B6003" s="7">
        <v>2003</v>
      </c>
      <c r="C6003" s="51" t="s">
        <v>705</v>
      </c>
      <c r="D6003" t="s">
        <v>765</v>
      </c>
      <c r="E6003" s="2">
        <v>0.20159999999999997</v>
      </c>
    </row>
    <row r="6004" spans="1:5" x14ac:dyDescent="0.25">
      <c r="A6004" s="32" t="s">
        <v>767</v>
      </c>
      <c r="B6004" s="7">
        <v>2003</v>
      </c>
      <c r="C6004" s="51" t="s">
        <v>706</v>
      </c>
      <c r="D6004" t="s">
        <v>765</v>
      </c>
      <c r="E6004" s="2">
        <v>8.1000000000000003E-2</v>
      </c>
    </row>
    <row r="6005" spans="1:5" x14ac:dyDescent="0.25">
      <c r="A6005" s="32" t="s">
        <v>767</v>
      </c>
      <c r="B6005" s="7">
        <v>2004</v>
      </c>
      <c r="C6005" s="51" t="s">
        <v>713</v>
      </c>
      <c r="D6005" t="s">
        <v>765</v>
      </c>
      <c r="E6005" s="2">
        <v>8.4000000000000005E-2</v>
      </c>
    </row>
    <row r="6006" spans="1:5" x14ac:dyDescent="0.25">
      <c r="A6006" s="32" t="s">
        <v>767</v>
      </c>
      <c r="B6006" s="7">
        <v>2004</v>
      </c>
      <c r="C6006" s="51" t="s">
        <v>707</v>
      </c>
      <c r="D6006" t="s">
        <v>765</v>
      </c>
      <c r="E6006" s="2">
        <v>8.5000000000000006E-2</v>
      </c>
    </row>
    <row r="6007" spans="1:5" x14ac:dyDescent="0.25">
      <c r="A6007" s="32" t="s">
        <v>767</v>
      </c>
      <c r="B6007" s="7">
        <v>2004</v>
      </c>
      <c r="C6007" s="51" t="s">
        <v>708</v>
      </c>
      <c r="D6007" t="s">
        <v>765</v>
      </c>
      <c r="E6007" s="2">
        <v>8.3000000000000004E-2</v>
      </c>
    </row>
    <row r="6008" spans="1:5" x14ac:dyDescent="0.25">
      <c r="A6008" s="32" t="s">
        <v>767</v>
      </c>
      <c r="B6008" s="7">
        <v>2004</v>
      </c>
      <c r="C6008" s="51" t="s">
        <v>699</v>
      </c>
      <c r="D6008" t="s">
        <v>765</v>
      </c>
      <c r="E6008" s="2">
        <v>7.3999999999999996E-2</v>
      </c>
    </row>
    <row r="6009" spans="1:5" x14ac:dyDescent="0.25">
      <c r="A6009" s="32" t="s">
        <v>767</v>
      </c>
      <c r="B6009" s="7">
        <v>2004</v>
      </c>
      <c r="C6009" s="51" t="s">
        <v>709</v>
      </c>
      <c r="D6009" t="s">
        <v>765</v>
      </c>
      <c r="E6009" s="2">
        <v>7.5999999999999998E-2</v>
      </c>
    </row>
    <row r="6010" spans="1:5" x14ac:dyDescent="0.25">
      <c r="A6010" s="32" t="s">
        <v>767</v>
      </c>
      <c r="B6010" s="7">
        <v>2004</v>
      </c>
      <c r="C6010" s="51" t="s">
        <v>712</v>
      </c>
      <c r="D6010" t="s">
        <v>765</v>
      </c>
      <c r="E6010" s="2">
        <v>7.4999999999999997E-2</v>
      </c>
    </row>
    <row r="6011" spans="1:5" x14ac:dyDescent="0.25">
      <c r="A6011" s="32" t="s">
        <v>767</v>
      </c>
      <c r="B6011" s="7">
        <v>2004</v>
      </c>
      <c r="C6011" s="51" t="s">
        <v>710</v>
      </c>
      <c r="D6011" t="s">
        <v>765</v>
      </c>
      <c r="E6011" s="2">
        <v>9.7000000000000003E-2</v>
      </c>
    </row>
    <row r="6012" spans="1:5" x14ac:dyDescent="0.25">
      <c r="A6012" s="32" t="s">
        <v>767</v>
      </c>
      <c r="B6012" s="7">
        <v>2004</v>
      </c>
      <c r="C6012" s="51" t="s">
        <v>702</v>
      </c>
      <c r="D6012" t="s">
        <v>765</v>
      </c>
      <c r="E6012" s="2">
        <v>8.6999999999999994E-2</v>
      </c>
    </row>
    <row r="6013" spans="1:5" x14ac:dyDescent="0.25">
      <c r="A6013" s="32" t="s">
        <v>767</v>
      </c>
      <c r="B6013" s="7">
        <v>2004</v>
      </c>
      <c r="C6013" s="51" t="s">
        <v>703</v>
      </c>
      <c r="D6013" t="s">
        <v>765</v>
      </c>
      <c r="E6013" s="2">
        <v>7.4999999999999997E-2</v>
      </c>
    </row>
    <row r="6014" spans="1:5" x14ac:dyDescent="0.25">
      <c r="A6014" s="32" t="s">
        <v>767</v>
      </c>
      <c r="B6014" s="7">
        <v>2004</v>
      </c>
      <c r="C6014" s="51" t="s">
        <v>704</v>
      </c>
      <c r="D6014" t="s">
        <v>765</v>
      </c>
      <c r="E6014" s="2">
        <v>7.4999999999999997E-2</v>
      </c>
    </row>
    <row r="6015" spans="1:5" x14ac:dyDescent="0.25">
      <c r="A6015" s="32" t="s">
        <v>767</v>
      </c>
      <c r="B6015" s="7">
        <v>2004</v>
      </c>
      <c r="C6015" s="51" t="s">
        <v>705</v>
      </c>
      <c r="D6015" t="s">
        <v>765</v>
      </c>
      <c r="E6015" s="2">
        <v>0.08</v>
      </c>
    </row>
    <row r="6016" spans="1:5" x14ac:dyDescent="0.25">
      <c r="A6016" s="32" t="s">
        <v>767</v>
      </c>
      <c r="B6016" s="7">
        <v>2004</v>
      </c>
      <c r="C6016" s="51" t="s">
        <v>706</v>
      </c>
      <c r="D6016" t="s">
        <v>765</v>
      </c>
      <c r="E6016" s="2">
        <v>7.6999999999999999E-2</v>
      </c>
    </row>
    <row r="6017" spans="1:5" x14ac:dyDescent="0.25">
      <c r="A6017" s="32" t="s">
        <v>767</v>
      </c>
      <c r="B6017" s="7">
        <v>2005</v>
      </c>
      <c r="C6017" s="51" t="s">
        <v>713</v>
      </c>
      <c r="D6017" t="s">
        <v>765</v>
      </c>
      <c r="E6017" s="2">
        <v>8.7999999999999995E-2</v>
      </c>
    </row>
    <row r="6018" spans="1:5" x14ac:dyDescent="0.25">
      <c r="A6018" s="32" t="s">
        <v>767</v>
      </c>
      <c r="B6018" s="7">
        <v>2005</v>
      </c>
      <c r="C6018" s="51" t="s">
        <v>707</v>
      </c>
      <c r="D6018" t="s">
        <v>765</v>
      </c>
      <c r="E6018" s="2">
        <v>7.9000000000000001E-2</v>
      </c>
    </row>
    <row r="6019" spans="1:5" x14ac:dyDescent="0.25">
      <c r="A6019" s="32" t="s">
        <v>767</v>
      </c>
      <c r="B6019" s="7">
        <v>2005</v>
      </c>
      <c r="C6019" s="51" t="s">
        <v>708</v>
      </c>
      <c r="D6019" t="s">
        <v>765</v>
      </c>
      <c r="E6019" s="2">
        <v>8.4000000000000005E-2</v>
      </c>
    </row>
    <row r="6020" spans="1:5" x14ac:dyDescent="0.25">
      <c r="A6020" s="32" t="s">
        <v>767</v>
      </c>
      <c r="B6020" s="7">
        <v>2005</v>
      </c>
      <c r="C6020" s="51" t="s">
        <v>699</v>
      </c>
      <c r="D6020" t="s">
        <v>765</v>
      </c>
      <c r="E6020" s="2">
        <v>7.8E-2</v>
      </c>
    </row>
    <row r="6021" spans="1:5" x14ac:dyDescent="0.25">
      <c r="A6021" s="32" t="s">
        <v>767</v>
      </c>
      <c r="B6021" s="7">
        <v>2005</v>
      </c>
      <c r="C6021" s="51" t="s">
        <v>709</v>
      </c>
      <c r="D6021" t="s">
        <v>765</v>
      </c>
      <c r="E6021" s="2">
        <v>8.4000000000000005E-2</v>
      </c>
    </row>
    <row r="6022" spans="1:5" x14ac:dyDescent="0.25">
      <c r="A6022" s="32" t="s">
        <v>767</v>
      </c>
      <c r="B6022" s="7">
        <v>2005</v>
      </c>
      <c r="C6022" s="51" t="s">
        <v>712</v>
      </c>
      <c r="D6022" t="s">
        <v>765</v>
      </c>
      <c r="E6022" s="2">
        <v>8.5999999999999993E-2</v>
      </c>
    </row>
    <row r="6023" spans="1:5" x14ac:dyDescent="0.25">
      <c r="A6023" s="32" t="s">
        <v>767</v>
      </c>
      <c r="B6023" s="7">
        <v>2005</v>
      </c>
      <c r="C6023" s="51" t="s">
        <v>710</v>
      </c>
      <c r="D6023" t="s">
        <v>765</v>
      </c>
      <c r="E6023" s="2">
        <v>8.5999999999999993E-2</v>
      </c>
    </row>
    <row r="6024" spans="1:5" x14ac:dyDescent="0.25">
      <c r="A6024" s="32" t="s">
        <v>767</v>
      </c>
      <c r="B6024" s="7">
        <v>2005</v>
      </c>
      <c r="C6024" s="51" t="s">
        <v>702</v>
      </c>
      <c r="D6024" t="s">
        <v>765</v>
      </c>
      <c r="E6024" s="2">
        <v>0.09</v>
      </c>
    </row>
    <row r="6025" spans="1:5" x14ac:dyDescent="0.25">
      <c r="A6025" s="32" t="s">
        <v>767</v>
      </c>
      <c r="B6025" s="7">
        <v>2005</v>
      </c>
      <c r="C6025" s="51" t="s">
        <v>703</v>
      </c>
      <c r="D6025" t="s">
        <v>765</v>
      </c>
      <c r="E6025" s="2">
        <v>8.5999999999999993E-2</v>
      </c>
    </row>
    <row r="6026" spans="1:5" x14ac:dyDescent="0.25">
      <c r="A6026" s="32" t="s">
        <v>767</v>
      </c>
      <c r="B6026" s="7">
        <v>2005</v>
      </c>
      <c r="C6026" s="51" t="s">
        <v>704</v>
      </c>
      <c r="D6026" t="s">
        <v>765</v>
      </c>
      <c r="E6026" s="2">
        <v>9.9000000000000005E-2</v>
      </c>
    </row>
    <row r="6027" spans="1:5" x14ac:dyDescent="0.25">
      <c r="A6027" s="32" t="s">
        <v>767</v>
      </c>
      <c r="B6027" s="7">
        <v>2005</v>
      </c>
      <c r="C6027" s="51" t="s">
        <v>705</v>
      </c>
      <c r="D6027" t="s">
        <v>765</v>
      </c>
      <c r="E6027" s="2">
        <v>0.1</v>
      </c>
    </row>
    <row r="6028" spans="1:5" x14ac:dyDescent="0.25">
      <c r="A6028" s="32" t="s">
        <v>767</v>
      </c>
      <c r="B6028" s="7">
        <v>2005</v>
      </c>
      <c r="C6028" s="51" t="s">
        <v>706</v>
      </c>
      <c r="D6028" t="s">
        <v>765</v>
      </c>
      <c r="E6028" s="2">
        <v>0.10100000000000001</v>
      </c>
    </row>
    <row r="6029" spans="1:5" x14ac:dyDescent="0.25">
      <c r="A6029" s="32" t="s">
        <v>767</v>
      </c>
      <c r="B6029" s="7">
        <v>2006</v>
      </c>
      <c r="C6029" s="51" t="s">
        <v>713</v>
      </c>
      <c r="D6029" t="s">
        <v>765</v>
      </c>
      <c r="E6029" s="2">
        <v>0.1</v>
      </c>
    </row>
    <row r="6030" spans="1:5" x14ac:dyDescent="0.25">
      <c r="A6030" s="32" t="s">
        <v>767</v>
      </c>
      <c r="B6030" s="7">
        <v>2006</v>
      </c>
      <c r="C6030" s="51" t="s">
        <v>707</v>
      </c>
      <c r="D6030" t="s">
        <v>765</v>
      </c>
      <c r="E6030" s="2">
        <v>0.109</v>
      </c>
    </row>
    <row r="6031" spans="1:5" x14ac:dyDescent="0.25">
      <c r="A6031" s="32" t="s">
        <v>767</v>
      </c>
      <c r="B6031" s="7">
        <v>2006</v>
      </c>
      <c r="C6031" s="51" t="s">
        <v>708</v>
      </c>
      <c r="D6031" t="s">
        <v>765</v>
      </c>
      <c r="E6031" s="2">
        <v>0.10100000000000001</v>
      </c>
    </row>
    <row r="6032" spans="1:5" x14ac:dyDescent="0.25">
      <c r="A6032" s="32" t="s">
        <v>767</v>
      </c>
      <c r="B6032" s="7">
        <v>2006</v>
      </c>
      <c r="C6032" s="51" t="s">
        <v>699</v>
      </c>
      <c r="D6032" t="s">
        <v>765</v>
      </c>
      <c r="E6032" s="2">
        <v>0.10100000000000001</v>
      </c>
    </row>
    <row r="6033" spans="1:5" x14ac:dyDescent="0.25">
      <c r="A6033" s="32" t="s">
        <v>767</v>
      </c>
      <c r="B6033" s="7">
        <v>2006</v>
      </c>
      <c r="C6033" s="51" t="s">
        <v>709</v>
      </c>
      <c r="D6033" t="s">
        <v>765</v>
      </c>
      <c r="E6033" s="2">
        <v>9.2999999999999999E-2</v>
      </c>
    </row>
    <row r="6034" spans="1:5" x14ac:dyDescent="0.25">
      <c r="A6034" s="32" t="s">
        <v>767</v>
      </c>
      <c r="B6034" s="7">
        <v>2006</v>
      </c>
      <c r="C6034" s="51" t="s">
        <v>712</v>
      </c>
      <c r="D6034" t="s">
        <v>765</v>
      </c>
      <c r="E6034" s="2">
        <v>8.2000000000000003E-2</v>
      </c>
    </row>
    <row r="6035" spans="1:5" x14ac:dyDescent="0.25">
      <c r="A6035" s="32" t="s">
        <v>767</v>
      </c>
      <c r="B6035" s="7">
        <v>2006</v>
      </c>
      <c r="C6035" s="51" t="s">
        <v>710</v>
      </c>
      <c r="D6035" t="s">
        <v>765</v>
      </c>
      <c r="E6035" s="2">
        <v>7.5999999999999998E-2</v>
      </c>
    </row>
    <row r="6036" spans="1:5" x14ac:dyDescent="0.25">
      <c r="A6036" s="32" t="s">
        <v>767</v>
      </c>
      <c r="B6036" s="7">
        <v>2006</v>
      </c>
      <c r="C6036" s="51" t="s">
        <v>702</v>
      </c>
      <c r="D6036" t="s">
        <v>765</v>
      </c>
      <c r="E6036" s="2">
        <v>6.5000000000000002E-2</v>
      </c>
    </row>
    <row r="6037" spans="1:5" x14ac:dyDescent="0.25">
      <c r="A6037" s="32" t="s">
        <v>767</v>
      </c>
      <c r="B6037" s="7">
        <v>2006</v>
      </c>
      <c r="C6037" s="51" t="s">
        <v>703</v>
      </c>
      <c r="D6037" t="s">
        <v>765</v>
      </c>
      <c r="E6037" s="2">
        <v>6.8000000000000005E-2</v>
      </c>
    </row>
    <row r="6038" spans="1:5" x14ac:dyDescent="0.25">
      <c r="A6038" s="32" t="s">
        <v>767</v>
      </c>
      <c r="B6038" s="7">
        <v>2006</v>
      </c>
      <c r="C6038" s="51" t="s">
        <v>704</v>
      </c>
      <c r="D6038" t="s">
        <v>765</v>
      </c>
      <c r="E6038" s="2">
        <v>6.4000000000000001E-2</v>
      </c>
    </row>
    <row r="6039" spans="1:5" x14ac:dyDescent="0.25">
      <c r="A6039" s="32" t="s">
        <v>767</v>
      </c>
      <c r="B6039" s="7">
        <v>2006</v>
      </c>
      <c r="C6039" s="51" t="s">
        <v>705</v>
      </c>
      <c r="D6039" t="s">
        <v>765</v>
      </c>
      <c r="E6039" s="2">
        <v>6.5000000000000002E-2</v>
      </c>
    </row>
    <row r="6040" spans="1:5" x14ac:dyDescent="0.25">
      <c r="A6040" s="32" t="s">
        <v>767</v>
      </c>
      <c r="B6040" s="7">
        <v>2006</v>
      </c>
      <c r="C6040" s="51" t="s">
        <v>706</v>
      </c>
      <c r="D6040" t="s">
        <v>765</v>
      </c>
      <c r="E6040" s="2">
        <v>6.6000000000000003E-2</v>
      </c>
    </row>
    <row r="6041" spans="1:5" x14ac:dyDescent="0.25">
      <c r="A6041" s="32" t="s">
        <v>767</v>
      </c>
      <c r="B6041" s="7">
        <v>2007</v>
      </c>
      <c r="C6041" s="51" t="s">
        <v>713</v>
      </c>
      <c r="D6041" t="s">
        <v>765</v>
      </c>
      <c r="E6041" s="2">
        <v>6.9000000000000006E-2</v>
      </c>
    </row>
    <row r="6042" spans="1:5" x14ac:dyDescent="0.25">
      <c r="A6042" s="32" t="s">
        <v>767</v>
      </c>
      <c r="B6042" s="7">
        <v>2007</v>
      </c>
      <c r="C6042" s="51" t="s">
        <v>707</v>
      </c>
      <c r="D6042" t="s">
        <v>765</v>
      </c>
      <c r="E6042" s="2">
        <v>7.9000000000000001E-2</v>
      </c>
    </row>
    <row r="6043" spans="1:5" x14ac:dyDescent="0.25">
      <c r="A6043" s="32" t="s">
        <v>767</v>
      </c>
      <c r="B6043" s="7">
        <v>2007</v>
      </c>
      <c r="C6043" s="51" t="s">
        <v>708</v>
      </c>
      <c r="D6043" t="s">
        <v>765</v>
      </c>
      <c r="E6043" s="2">
        <v>7.1999999999999995E-2</v>
      </c>
    </row>
    <row r="6044" spans="1:5" x14ac:dyDescent="0.25">
      <c r="A6044" s="32" t="s">
        <v>767</v>
      </c>
      <c r="B6044" s="7">
        <v>2007</v>
      </c>
      <c r="C6044" s="51" t="s">
        <v>699</v>
      </c>
      <c r="D6044" t="s">
        <v>765</v>
      </c>
      <c r="E6044" s="2">
        <v>8.6999999999999994E-2</v>
      </c>
    </row>
    <row r="6045" spans="1:5" x14ac:dyDescent="0.25">
      <c r="A6045" s="32" t="s">
        <v>767</v>
      </c>
      <c r="B6045" s="7">
        <v>2007</v>
      </c>
      <c r="C6045" s="51" t="s">
        <v>709</v>
      </c>
      <c r="D6045" t="s">
        <v>765</v>
      </c>
      <c r="E6045" s="2">
        <v>8.1000000000000003E-2</v>
      </c>
    </row>
    <row r="6046" spans="1:5" x14ac:dyDescent="0.25">
      <c r="A6046" s="32" t="s">
        <v>767</v>
      </c>
      <c r="B6046" s="7">
        <v>2007</v>
      </c>
      <c r="C6046" s="51" t="s">
        <v>712</v>
      </c>
      <c r="D6046" t="s">
        <v>765</v>
      </c>
      <c r="E6046" s="2">
        <v>8.8999999999999996E-2</v>
      </c>
    </row>
    <row r="6047" spans="1:5" x14ac:dyDescent="0.25">
      <c r="A6047" s="32" t="s">
        <v>767</v>
      </c>
      <c r="B6047" s="7">
        <v>2007</v>
      </c>
      <c r="C6047" s="51" t="s">
        <v>710</v>
      </c>
      <c r="D6047" t="s">
        <v>765</v>
      </c>
      <c r="E6047" s="2">
        <v>8.2000000000000003E-2</v>
      </c>
    </row>
    <row r="6048" spans="1:5" x14ac:dyDescent="0.25">
      <c r="A6048" s="32" t="s">
        <v>767</v>
      </c>
      <c r="B6048" s="7">
        <v>2007</v>
      </c>
      <c r="C6048" s="51" t="s">
        <v>702</v>
      </c>
      <c r="D6048" t="s">
        <v>765</v>
      </c>
      <c r="E6048" s="2">
        <v>8.4000000000000005E-2</v>
      </c>
    </row>
    <row r="6049" spans="1:5" x14ac:dyDescent="0.25">
      <c r="A6049" s="32" t="s">
        <v>767</v>
      </c>
      <c r="B6049" s="7">
        <v>2007</v>
      </c>
      <c r="C6049" s="51" t="s">
        <v>703</v>
      </c>
      <c r="D6049" t="s">
        <v>765</v>
      </c>
      <c r="E6049" s="2">
        <v>8.4000000000000005E-2</v>
      </c>
    </row>
    <row r="6050" spans="1:5" x14ac:dyDescent="0.25">
      <c r="A6050" s="32" t="s">
        <v>767</v>
      </c>
      <c r="B6050" s="7">
        <v>2007</v>
      </c>
      <c r="C6050" s="51" t="s">
        <v>704</v>
      </c>
      <c r="D6050" t="s">
        <v>765</v>
      </c>
      <c r="E6050" s="2">
        <v>9.0999999999999998E-2</v>
      </c>
    </row>
    <row r="6051" spans="1:5" x14ac:dyDescent="0.25">
      <c r="A6051" s="32" t="s">
        <v>767</v>
      </c>
      <c r="B6051" s="7">
        <v>2007</v>
      </c>
      <c r="C6051" s="51" t="s">
        <v>705</v>
      </c>
      <c r="D6051" t="s">
        <v>765</v>
      </c>
      <c r="E6051" s="2">
        <v>8.5000000000000006E-2</v>
      </c>
    </row>
    <row r="6052" spans="1:5" x14ac:dyDescent="0.25">
      <c r="A6052" s="32" t="s">
        <v>767</v>
      </c>
      <c r="B6052" s="7">
        <v>2007</v>
      </c>
      <c r="C6052" s="51" t="s">
        <v>706</v>
      </c>
      <c r="D6052" t="s">
        <v>765</v>
      </c>
      <c r="E6052" s="2">
        <v>8.7999999999999995E-2</v>
      </c>
    </row>
    <row r="6053" spans="1:5" x14ac:dyDescent="0.25">
      <c r="A6053" s="32" t="s">
        <v>767</v>
      </c>
      <c r="B6053" s="7">
        <v>2008</v>
      </c>
      <c r="C6053" s="51" t="s">
        <v>713</v>
      </c>
      <c r="D6053" t="s">
        <v>765</v>
      </c>
      <c r="E6053" s="2">
        <v>0.09</v>
      </c>
    </row>
    <row r="6054" spans="1:5" x14ac:dyDescent="0.25">
      <c r="A6054" s="32" t="s">
        <v>767</v>
      </c>
      <c r="B6054" s="7">
        <v>2008</v>
      </c>
      <c r="C6054" s="51" t="s">
        <v>707</v>
      </c>
      <c r="D6054" t="s">
        <v>765</v>
      </c>
      <c r="E6054" s="2">
        <v>0.09</v>
      </c>
    </row>
    <row r="6055" spans="1:5" x14ac:dyDescent="0.25">
      <c r="A6055" s="32" t="s">
        <v>767</v>
      </c>
      <c r="B6055" s="7">
        <v>2008</v>
      </c>
      <c r="C6055" s="51" t="s">
        <v>708</v>
      </c>
      <c r="D6055" t="s">
        <v>765</v>
      </c>
      <c r="E6055" s="2">
        <v>8.8999999999999996E-2</v>
      </c>
    </row>
    <row r="6056" spans="1:5" x14ac:dyDescent="0.25">
      <c r="A6056" s="32" t="s">
        <v>767</v>
      </c>
      <c r="B6056" s="7">
        <v>2008</v>
      </c>
      <c r="C6056" s="51" t="s">
        <v>699</v>
      </c>
      <c r="D6056" t="s">
        <v>765</v>
      </c>
      <c r="E6056" s="2">
        <v>8.5000000000000006E-2</v>
      </c>
    </row>
    <row r="6057" spans="1:5" x14ac:dyDescent="0.25">
      <c r="A6057" s="32" t="s">
        <v>767</v>
      </c>
      <c r="B6057" s="7">
        <v>2008</v>
      </c>
      <c r="C6057" s="51" t="s">
        <v>709</v>
      </c>
      <c r="D6057" t="s">
        <v>765</v>
      </c>
      <c r="E6057" s="2">
        <v>8.5999999999999993E-2</v>
      </c>
    </row>
    <row r="6058" spans="1:5" x14ac:dyDescent="0.25">
      <c r="A6058" s="32" t="s">
        <v>767</v>
      </c>
      <c r="B6058" s="7">
        <v>2008</v>
      </c>
      <c r="C6058" s="51" t="s">
        <v>712</v>
      </c>
      <c r="D6058" t="s">
        <v>765</v>
      </c>
      <c r="E6058" s="2">
        <v>8.5999999999999993E-2</v>
      </c>
    </row>
    <row r="6059" spans="1:5" x14ac:dyDescent="0.25">
      <c r="A6059" s="32" t="s">
        <v>767</v>
      </c>
      <c r="B6059" s="7">
        <v>2008</v>
      </c>
      <c r="C6059" s="51" t="s">
        <v>710</v>
      </c>
      <c r="D6059" t="s">
        <v>765</v>
      </c>
      <c r="E6059" s="2">
        <v>8.5999999999999993E-2</v>
      </c>
    </row>
    <row r="6060" spans="1:5" x14ac:dyDescent="0.25">
      <c r="A6060" s="32" t="s">
        <v>767</v>
      </c>
      <c r="B6060" s="7">
        <v>2008</v>
      </c>
      <c r="C6060" s="51" t="s">
        <v>702</v>
      </c>
      <c r="D6060" t="s">
        <v>765</v>
      </c>
      <c r="E6060" s="2">
        <v>8.7999999999999995E-2</v>
      </c>
    </row>
    <row r="6061" spans="1:5" x14ac:dyDescent="0.25">
      <c r="A6061" s="32" t="s">
        <v>767</v>
      </c>
      <c r="B6061" s="7">
        <v>2008</v>
      </c>
      <c r="C6061" s="51" t="s">
        <v>703</v>
      </c>
      <c r="D6061" t="s">
        <v>765</v>
      </c>
      <c r="E6061" s="2">
        <v>9.9000000000000005E-2</v>
      </c>
    </row>
    <row r="6062" spans="1:5" x14ac:dyDescent="0.25">
      <c r="A6062" s="32" t="s">
        <v>767</v>
      </c>
      <c r="B6062" s="7">
        <v>2008</v>
      </c>
      <c r="C6062" s="51" t="s">
        <v>704</v>
      </c>
      <c r="D6062" t="s">
        <v>765</v>
      </c>
      <c r="E6062" s="2">
        <v>9.0999999999999998E-2</v>
      </c>
    </row>
    <row r="6063" spans="1:5" x14ac:dyDescent="0.25">
      <c r="A6063" s="32" t="s">
        <v>767</v>
      </c>
      <c r="B6063" s="7">
        <v>2008</v>
      </c>
      <c r="C6063" s="51" t="s">
        <v>705</v>
      </c>
      <c r="D6063" t="s">
        <v>765</v>
      </c>
      <c r="E6063" s="2">
        <v>8.7999999999999995E-2</v>
      </c>
    </row>
    <row r="6064" spans="1:5" x14ac:dyDescent="0.25">
      <c r="A6064" s="32" t="s">
        <v>767</v>
      </c>
      <c r="B6064" s="7">
        <v>2008</v>
      </c>
      <c r="C6064" s="51" t="s">
        <v>706</v>
      </c>
      <c r="D6064" t="s">
        <v>765</v>
      </c>
      <c r="E6064" s="2">
        <v>8.1000000000000003E-2</v>
      </c>
    </row>
    <row r="6065" spans="1:5" x14ac:dyDescent="0.25">
      <c r="A6065" s="32" t="s">
        <v>767</v>
      </c>
      <c r="B6065" s="7">
        <v>2009</v>
      </c>
      <c r="C6065" s="51" t="s">
        <v>713</v>
      </c>
      <c r="D6065" t="s">
        <v>765</v>
      </c>
      <c r="E6065" s="2">
        <v>9.6000000000000002E-2</v>
      </c>
    </row>
    <row r="6066" spans="1:5" x14ac:dyDescent="0.25">
      <c r="A6066" s="32" t="s">
        <v>767</v>
      </c>
      <c r="B6066" s="7">
        <v>2009</v>
      </c>
      <c r="C6066" s="51" t="s">
        <v>707</v>
      </c>
      <c r="D6066" t="s">
        <v>765</v>
      </c>
      <c r="E6066" s="2">
        <v>0.14199999999999999</v>
      </c>
    </row>
    <row r="6067" spans="1:5" x14ac:dyDescent="0.25">
      <c r="A6067" s="32" t="s">
        <v>767</v>
      </c>
      <c r="B6067" s="7">
        <v>2009</v>
      </c>
      <c r="C6067" s="51" t="s">
        <v>708</v>
      </c>
      <c r="D6067" t="s">
        <v>765</v>
      </c>
      <c r="E6067" s="2">
        <v>0.109</v>
      </c>
    </row>
    <row r="6068" spans="1:5" x14ac:dyDescent="0.25">
      <c r="A6068" s="32" t="s">
        <v>767</v>
      </c>
      <c r="B6068" s="7">
        <v>2009</v>
      </c>
      <c r="C6068" s="51" t="s">
        <v>699</v>
      </c>
      <c r="D6068" t="s">
        <v>765</v>
      </c>
      <c r="E6068" s="2">
        <v>0.1</v>
      </c>
    </row>
    <row r="6069" spans="1:5" x14ac:dyDescent="0.25">
      <c r="A6069" s="32" t="s">
        <v>767</v>
      </c>
      <c r="B6069" s="7">
        <v>2009</v>
      </c>
      <c r="C6069" s="51" t="s">
        <v>709</v>
      </c>
      <c r="D6069" t="s">
        <v>765</v>
      </c>
      <c r="E6069" s="2">
        <v>0.1</v>
      </c>
    </row>
    <row r="6070" spans="1:5" x14ac:dyDescent="0.25">
      <c r="A6070" s="32" t="s">
        <v>767</v>
      </c>
      <c r="B6070" s="7">
        <v>2009</v>
      </c>
      <c r="C6070" s="51" t="s">
        <v>712</v>
      </c>
      <c r="D6070" t="s">
        <v>765</v>
      </c>
      <c r="E6070" s="2">
        <v>0.10100000000000001</v>
      </c>
    </row>
    <row r="6071" spans="1:5" x14ac:dyDescent="0.25">
      <c r="A6071" s="32" t="s">
        <v>767</v>
      </c>
      <c r="B6071" s="7">
        <v>2009</v>
      </c>
      <c r="C6071" s="51" t="s">
        <v>710</v>
      </c>
      <c r="D6071" t="s">
        <v>765</v>
      </c>
      <c r="E6071" s="2">
        <v>9.0999999999999998E-2</v>
      </c>
    </row>
    <row r="6072" spans="1:5" x14ac:dyDescent="0.25">
      <c r="A6072" s="32" t="s">
        <v>767</v>
      </c>
      <c r="B6072" s="7">
        <v>2009</v>
      </c>
      <c r="C6072" s="51" t="s">
        <v>702</v>
      </c>
      <c r="D6072" t="s">
        <v>765</v>
      </c>
      <c r="E6072" s="2">
        <v>9.9000000000000005E-2</v>
      </c>
    </row>
    <row r="6073" spans="1:5" x14ac:dyDescent="0.25">
      <c r="A6073" s="32" t="s">
        <v>767</v>
      </c>
      <c r="B6073" s="7">
        <v>2009</v>
      </c>
      <c r="C6073" s="51" t="s">
        <v>703</v>
      </c>
      <c r="D6073" t="s">
        <v>765</v>
      </c>
      <c r="E6073" s="2">
        <v>0.10299999999999999</v>
      </c>
    </row>
    <row r="6074" spans="1:5" x14ac:dyDescent="0.25">
      <c r="A6074" s="32" t="s">
        <v>767</v>
      </c>
      <c r="B6074" s="7">
        <v>2009</v>
      </c>
      <c r="C6074" s="51" t="s">
        <v>704</v>
      </c>
      <c r="D6074" t="s">
        <v>765</v>
      </c>
      <c r="E6074" s="2">
        <v>0.13200000000000001</v>
      </c>
    </row>
    <row r="6075" spans="1:5" x14ac:dyDescent="0.25">
      <c r="A6075" s="32" t="s">
        <v>767</v>
      </c>
      <c r="B6075" s="7">
        <v>2009</v>
      </c>
      <c r="C6075" s="51" t="s">
        <v>705</v>
      </c>
      <c r="D6075" t="s">
        <v>765</v>
      </c>
      <c r="E6075" s="2">
        <v>0.128</v>
      </c>
    </row>
    <row r="6076" spans="1:5" x14ac:dyDescent="0.25">
      <c r="A6076" s="32" t="s">
        <v>767</v>
      </c>
      <c r="B6076" s="7">
        <v>2009</v>
      </c>
      <c r="C6076" s="51" t="s">
        <v>706</v>
      </c>
      <c r="D6076" t="s">
        <v>765</v>
      </c>
      <c r="E6076" s="2">
        <v>0.13300000000000001</v>
      </c>
    </row>
    <row r="6077" spans="1:5" x14ac:dyDescent="0.25">
      <c r="A6077" s="32" t="s">
        <v>767</v>
      </c>
      <c r="B6077" s="7">
        <v>2010</v>
      </c>
      <c r="C6077" s="51" t="s">
        <v>713</v>
      </c>
      <c r="D6077" t="s">
        <v>765</v>
      </c>
      <c r="E6077" s="2">
        <v>0.13200000000000001</v>
      </c>
    </row>
    <row r="6078" spans="1:5" x14ac:dyDescent="0.25">
      <c r="A6078" s="32" t="s">
        <v>767</v>
      </c>
      <c r="B6078" s="7">
        <v>2010</v>
      </c>
      <c r="C6078" s="51" t="s">
        <v>707</v>
      </c>
      <c r="D6078" t="s">
        <v>765</v>
      </c>
      <c r="E6078" s="2">
        <v>0.13400000000000001</v>
      </c>
    </row>
    <row r="6079" spans="1:5" x14ac:dyDescent="0.25">
      <c r="A6079" s="32" t="s">
        <v>767</v>
      </c>
      <c r="B6079" s="7">
        <v>2010</v>
      </c>
      <c r="C6079" s="51" t="s">
        <v>708</v>
      </c>
      <c r="D6079" t="s">
        <v>765</v>
      </c>
      <c r="E6079" s="2">
        <v>0.129</v>
      </c>
    </row>
    <row r="6080" spans="1:5" x14ac:dyDescent="0.25">
      <c r="A6080" s="32" t="s">
        <v>767</v>
      </c>
      <c r="B6080" s="7">
        <v>2010</v>
      </c>
      <c r="C6080" s="51" t="s">
        <v>699</v>
      </c>
      <c r="D6080" t="s">
        <v>765</v>
      </c>
      <c r="E6080" s="2">
        <v>0.11899999999999999</v>
      </c>
    </row>
    <row r="6081" spans="1:5" x14ac:dyDescent="0.25">
      <c r="A6081" s="32" t="s">
        <v>767</v>
      </c>
      <c r="B6081" s="7">
        <v>2010</v>
      </c>
      <c r="C6081" s="51" t="s">
        <v>709</v>
      </c>
      <c r="D6081" t="s">
        <v>765</v>
      </c>
      <c r="E6081" s="2">
        <v>0.11600000000000001</v>
      </c>
    </row>
    <row r="6082" spans="1:5" x14ac:dyDescent="0.25">
      <c r="A6082" s="32" t="s">
        <v>767</v>
      </c>
      <c r="B6082" s="7">
        <v>2010</v>
      </c>
      <c r="C6082" s="51" t="s">
        <v>712</v>
      </c>
      <c r="D6082" t="s">
        <v>765</v>
      </c>
      <c r="E6082" s="2">
        <v>0.114</v>
      </c>
    </row>
    <row r="6083" spans="1:5" x14ac:dyDescent="0.25">
      <c r="A6083" s="32" t="s">
        <v>767</v>
      </c>
      <c r="B6083" s="7">
        <v>2010</v>
      </c>
      <c r="C6083" s="51" t="s">
        <v>710</v>
      </c>
      <c r="D6083" t="s">
        <v>765</v>
      </c>
      <c r="E6083" s="2">
        <v>0.11799999999999999</v>
      </c>
    </row>
    <row r="6084" spans="1:5" x14ac:dyDescent="0.25">
      <c r="A6084" s="32" t="s">
        <v>767</v>
      </c>
      <c r="B6084" s="7">
        <v>2010</v>
      </c>
      <c r="C6084" s="51" t="s">
        <v>702</v>
      </c>
      <c r="D6084" t="s">
        <v>765</v>
      </c>
      <c r="E6084" s="2">
        <v>0.11700000000000001</v>
      </c>
    </row>
    <row r="6085" spans="1:5" x14ac:dyDescent="0.25">
      <c r="A6085" s="32" t="s">
        <v>767</v>
      </c>
      <c r="B6085" s="7">
        <v>2010</v>
      </c>
      <c r="C6085" s="51" t="s">
        <v>703</v>
      </c>
      <c r="D6085" t="s">
        <v>765</v>
      </c>
      <c r="E6085" s="2">
        <v>0.11700000000000001</v>
      </c>
    </row>
    <row r="6086" spans="1:5" x14ac:dyDescent="0.25">
      <c r="A6086" s="32" t="s">
        <v>767</v>
      </c>
      <c r="B6086" s="7">
        <v>2010</v>
      </c>
      <c r="C6086" s="51" t="s">
        <v>704</v>
      </c>
      <c r="D6086" t="s">
        <v>765</v>
      </c>
      <c r="E6086" s="2">
        <v>0.115</v>
      </c>
    </row>
    <row r="6087" spans="1:5" x14ac:dyDescent="0.25">
      <c r="A6087" s="32" t="s">
        <v>767</v>
      </c>
      <c r="B6087" s="7">
        <v>2010</v>
      </c>
      <c r="C6087" s="51" t="s">
        <v>705</v>
      </c>
      <c r="D6087" t="s">
        <v>765</v>
      </c>
      <c r="E6087" s="2">
        <v>0.11799999999999999</v>
      </c>
    </row>
    <row r="6088" spans="1:5" x14ac:dyDescent="0.25">
      <c r="A6088" s="32" t="s">
        <v>767</v>
      </c>
      <c r="B6088" s="7">
        <v>2010</v>
      </c>
      <c r="C6088" s="51" t="s">
        <v>706</v>
      </c>
      <c r="D6088" t="s">
        <v>765</v>
      </c>
      <c r="E6088" s="2">
        <v>0.13800000000000001</v>
      </c>
    </row>
    <row r="6089" spans="1:5" x14ac:dyDescent="0.25">
      <c r="A6089" s="32" t="s">
        <v>767</v>
      </c>
      <c r="B6089" s="7">
        <v>2011</v>
      </c>
      <c r="C6089" s="51" t="s">
        <v>713</v>
      </c>
      <c r="D6089" t="s">
        <v>765</v>
      </c>
      <c r="E6089" s="2">
        <v>0.1</v>
      </c>
    </row>
    <row r="6090" spans="1:5" x14ac:dyDescent="0.25">
      <c r="A6090" s="32" t="s">
        <v>767</v>
      </c>
      <c r="B6090" s="7">
        <v>2011</v>
      </c>
      <c r="C6090" s="51" t="s">
        <v>707</v>
      </c>
      <c r="D6090" t="s">
        <v>765</v>
      </c>
      <c r="E6090" s="2">
        <v>0.127</v>
      </c>
    </row>
    <row r="6091" spans="1:5" x14ac:dyDescent="0.25">
      <c r="A6091" s="32" t="s">
        <v>767</v>
      </c>
      <c r="B6091" s="7">
        <v>2011</v>
      </c>
      <c r="C6091" s="51" t="s">
        <v>708</v>
      </c>
      <c r="D6091" t="s">
        <v>765</v>
      </c>
      <c r="E6091" s="2">
        <v>0.126</v>
      </c>
    </row>
    <row r="6092" spans="1:5" x14ac:dyDescent="0.25">
      <c r="A6092" s="32" t="s">
        <v>767</v>
      </c>
      <c r="B6092" s="7">
        <v>2011</v>
      </c>
      <c r="C6092" s="51" t="s">
        <v>699</v>
      </c>
      <c r="D6092" t="s">
        <v>765</v>
      </c>
      <c r="E6092" s="2">
        <v>0.11700000000000001</v>
      </c>
    </row>
    <row r="6093" spans="1:5" x14ac:dyDescent="0.25">
      <c r="A6093" s="32" t="s">
        <v>767</v>
      </c>
      <c r="B6093" s="7">
        <v>2011</v>
      </c>
      <c r="C6093" s="51" t="s">
        <v>709</v>
      </c>
      <c r="D6093" t="s">
        <v>765</v>
      </c>
      <c r="E6093" s="2">
        <v>0.124</v>
      </c>
    </row>
    <row r="6094" spans="1:5" x14ac:dyDescent="0.25">
      <c r="A6094" s="32" t="s">
        <v>767</v>
      </c>
      <c r="B6094" s="7">
        <v>2011</v>
      </c>
      <c r="C6094" s="51" t="s">
        <v>712</v>
      </c>
      <c r="D6094" t="s">
        <v>765</v>
      </c>
      <c r="E6094" s="2">
        <v>0.126</v>
      </c>
    </row>
    <row r="6095" spans="1:5" x14ac:dyDescent="0.25">
      <c r="A6095" s="32" t="s">
        <v>767</v>
      </c>
      <c r="B6095" s="7">
        <v>2011</v>
      </c>
      <c r="C6095" s="51" t="s">
        <v>710</v>
      </c>
      <c r="D6095" t="s">
        <v>765</v>
      </c>
      <c r="E6095" s="2">
        <v>0.11799999999999999</v>
      </c>
    </row>
    <row r="6096" spans="1:5" x14ac:dyDescent="0.25">
      <c r="A6096" s="32" t="s">
        <v>767</v>
      </c>
      <c r="B6096" s="7">
        <v>2011</v>
      </c>
      <c r="C6096" s="51" t="s">
        <v>702</v>
      </c>
      <c r="D6096" t="s">
        <v>765</v>
      </c>
      <c r="E6096" s="2">
        <v>0.126</v>
      </c>
    </row>
    <row r="6097" spans="1:5" x14ac:dyDescent="0.25">
      <c r="A6097" s="32" t="s">
        <v>767</v>
      </c>
      <c r="B6097" s="7">
        <v>2011</v>
      </c>
      <c r="C6097" s="51" t="s">
        <v>703</v>
      </c>
      <c r="D6097" t="s">
        <v>765</v>
      </c>
      <c r="E6097" s="2">
        <v>0.124</v>
      </c>
    </row>
    <row r="6098" spans="1:5" x14ac:dyDescent="0.25">
      <c r="A6098" s="32" t="s">
        <v>767</v>
      </c>
      <c r="B6098" s="7">
        <v>2011</v>
      </c>
      <c r="C6098" s="51" t="s">
        <v>704</v>
      </c>
      <c r="D6098" t="s">
        <v>765</v>
      </c>
      <c r="E6098" s="2">
        <v>0.126</v>
      </c>
    </row>
    <row r="6099" spans="1:5" x14ac:dyDescent="0.25">
      <c r="A6099" s="32" t="s">
        <v>767</v>
      </c>
      <c r="B6099" s="7">
        <v>2011</v>
      </c>
      <c r="C6099" s="51" t="s">
        <v>705</v>
      </c>
      <c r="D6099" t="s">
        <v>765</v>
      </c>
      <c r="E6099" s="2">
        <v>0.122</v>
      </c>
    </row>
    <row r="6100" spans="1:5" x14ac:dyDescent="0.25">
      <c r="A6100" s="32" t="s">
        <v>767</v>
      </c>
      <c r="B6100" s="7">
        <v>2011</v>
      </c>
      <c r="C6100" s="51" t="s">
        <v>706</v>
      </c>
      <c r="D6100" t="s">
        <v>765</v>
      </c>
      <c r="E6100" s="2">
        <v>0.122</v>
      </c>
    </row>
    <row r="6101" spans="1:5" x14ac:dyDescent="0.25">
      <c r="A6101" s="32" t="s">
        <v>767</v>
      </c>
      <c r="B6101" s="7">
        <v>2012</v>
      </c>
      <c r="C6101" s="51" t="s">
        <v>713</v>
      </c>
      <c r="D6101" t="s">
        <v>765</v>
      </c>
      <c r="E6101" s="2">
        <v>0.125</v>
      </c>
    </row>
    <row r="6102" spans="1:5" x14ac:dyDescent="0.25">
      <c r="A6102" s="32" t="s">
        <v>767</v>
      </c>
      <c r="B6102" s="7">
        <v>2012</v>
      </c>
      <c r="C6102" s="51" t="s">
        <v>707</v>
      </c>
      <c r="D6102" t="s">
        <v>765</v>
      </c>
      <c r="E6102" s="2">
        <v>0.123</v>
      </c>
    </row>
    <row r="6103" spans="1:5" x14ac:dyDescent="0.25">
      <c r="A6103" s="32" t="s">
        <v>767</v>
      </c>
      <c r="B6103" s="7">
        <v>2012</v>
      </c>
      <c r="C6103" s="51" t="s">
        <v>708</v>
      </c>
      <c r="D6103" t="s">
        <v>765</v>
      </c>
      <c r="E6103" s="2">
        <v>0.124</v>
      </c>
    </row>
    <row r="6104" spans="1:5" x14ac:dyDescent="0.25">
      <c r="A6104" s="32" t="s">
        <v>767</v>
      </c>
      <c r="B6104" s="7">
        <v>2012</v>
      </c>
      <c r="C6104" s="51" t="s">
        <v>699</v>
      </c>
      <c r="D6104" t="s">
        <v>765</v>
      </c>
      <c r="E6104" s="2">
        <v>0.12</v>
      </c>
    </row>
    <row r="6105" spans="1:5" x14ac:dyDescent="0.25">
      <c r="A6105" s="32" t="s">
        <v>767</v>
      </c>
      <c r="B6105" s="7">
        <v>2012</v>
      </c>
      <c r="C6105" s="51" t="s">
        <v>709</v>
      </c>
      <c r="D6105" t="s">
        <v>765</v>
      </c>
      <c r="E6105" s="2">
        <v>0.122</v>
      </c>
    </row>
    <row r="6106" spans="1:5" x14ac:dyDescent="0.25">
      <c r="A6106" s="32" t="s">
        <v>767</v>
      </c>
      <c r="B6106" s="7">
        <v>2012</v>
      </c>
      <c r="C6106" s="51" t="s">
        <v>712</v>
      </c>
      <c r="D6106" t="s">
        <v>765</v>
      </c>
      <c r="E6106" s="2">
        <v>0.125</v>
      </c>
    </row>
    <row r="6107" spans="1:5" x14ac:dyDescent="0.25">
      <c r="A6107" s="32" t="s">
        <v>767</v>
      </c>
      <c r="B6107" s="7">
        <v>2012</v>
      </c>
      <c r="C6107" s="51" t="s">
        <v>710</v>
      </c>
      <c r="D6107" t="s">
        <v>765</v>
      </c>
      <c r="E6107" s="2">
        <v>0.125</v>
      </c>
    </row>
    <row r="6108" spans="1:5" x14ac:dyDescent="0.25">
      <c r="A6108" s="32" t="s">
        <v>767</v>
      </c>
      <c r="B6108" s="7">
        <v>2012</v>
      </c>
      <c r="C6108" s="51" t="s">
        <v>702</v>
      </c>
      <c r="D6108" t="s">
        <v>765</v>
      </c>
      <c r="E6108" s="2">
        <v>0.127</v>
      </c>
    </row>
    <row r="6109" spans="1:5" x14ac:dyDescent="0.25">
      <c r="A6109" s="32" t="s">
        <v>767</v>
      </c>
      <c r="B6109" s="7">
        <v>2012</v>
      </c>
      <c r="C6109" s="51" t="s">
        <v>703</v>
      </c>
      <c r="D6109" t="s">
        <v>765</v>
      </c>
      <c r="E6109" s="2">
        <v>0.125</v>
      </c>
    </row>
    <row r="6110" spans="1:5" x14ac:dyDescent="0.25">
      <c r="A6110" s="32" t="s">
        <v>767</v>
      </c>
      <c r="B6110" s="7">
        <v>2012</v>
      </c>
      <c r="C6110" s="51" t="s">
        <v>704</v>
      </c>
      <c r="D6110" t="s">
        <v>765</v>
      </c>
      <c r="E6110" s="2">
        <v>0.13200000000000001</v>
      </c>
    </row>
    <row r="6111" spans="1:5" x14ac:dyDescent="0.25">
      <c r="A6111" s="32" t="s">
        <v>767</v>
      </c>
      <c r="B6111" s="7">
        <v>2012</v>
      </c>
      <c r="C6111" s="51" t="s">
        <v>705</v>
      </c>
      <c r="D6111" t="s">
        <v>765</v>
      </c>
      <c r="E6111" s="2">
        <v>0.126</v>
      </c>
    </row>
    <row r="6112" spans="1:5" x14ac:dyDescent="0.25">
      <c r="A6112" s="32" t="s">
        <v>767</v>
      </c>
      <c r="B6112" s="7">
        <v>2012</v>
      </c>
      <c r="C6112" s="51" t="s">
        <v>706</v>
      </c>
      <c r="D6112" t="s">
        <v>765</v>
      </c>
      <c r="E6112" s="2">
        <v>0.157</v>
      </c>
    </row>
    <row r="6113" spans="1:5" x14ac:dyDescent="0.25">
      <c r="A6113" s="32" t="s">
        <v>767</v>
      </c>
      <c r="B6113" s="7">
        <v>2013</v>
      </c>
      <c r="C6113" s="51" t="s">
        <v>713</v>
      </c>
      <c r="D6113" t="s">
        <v>765</v>
      </c>
      <c r="E6113" s="2">
        <v>0.156</v>
      </c>
    </row>
    <row r="6114" spans="1:5" x14ac:dyDescent="0.25">
      <c r="A6114" s="32" t="s">
        <v>767</v>
      </c>
      <c r="B6114" s="7">
        <v>2013</v>
      </c>
      <c r="C6114" s="51" t="s">
        <v>707</v>
      </c>
      <c r="D6114" t="s">
        <v>765</v>
      </c>
      <c r="E6114" s="2">
        <v>0.16700000000000001</v>
      </c>
    </row>
    <row r="6115" spans="1:5" x14ac:dyDescent="0.25">
      <c r="A6115" s="32" t="s">
        <v>767</v>
      </c>
      <c r="B6115" s="7">
        <v>2013</v>
      </c>
      <c r="C6115" s="51" t="s">
        <v>708</v>
      </c>
      <c r="D6115" t="s">
        <v>765</v>
      </c>
      <c r="E6115" s="2">
        <v>0.161</v>
      </c>
    </row>
    <row r="6116" spans="1:5" x14ac:dyDescent="0.25">
      <c r="A6116" s="32" t="s">
        <v>767</v>
      </c>
      <c r="B6116" s="7">
        <v>2013</v>
      </c>
      <c r="C6116" s="51" t="s">
        <v>699</v>
      </c>
      <c r="D6116" t="s">
        <v>765</v>
      </c>
      <c r="E6116" s="2">
        <v>0.156</v>
      </c>
    </row>
    <row r="6117" spans="1:5" x14ac:dyDescent="0.25">
      <c r="A6117" s="32" t="s">
        <v>767</v>
      </c>
      <c r="B6117" s="7">
        <v>2013</v>
      </c>
      <c r="C6117" s="51" t="s">
        <v>709</v>
      </c>
      <c r="D6117" t="s">
        <v>765</v>
      </c>
      <c r="E6117" s="2">
        <v>0.151</v>
      </c>
    </row>
    <row r="6118" spans="1:5" x14ac:dyDescent="0.25">
      <c r="A6118" s="32" t="s">
        <v>767</v>
      </c>
      <c r="B6118" s="7">
        <v>2013</v>
      </c>
      <c r="C6118" s="51" t="s">
        <v>712</v>
      </c>
      <c r="D6118" t="s">
        <v>765</v>
      </c>
      <c r="E6118" s="2">
        <v>0.109</v>
      </c>
    </row>
    <row r="6119" spans="1:5" x14ac:dyDescent="0.25">
      <c r="A6119" s="32" t="s">
        <v>767</v>
      </c>
      <c r="B6119" s="7">
        <v>2013</v>
      </c>
      <c r="C6119" s="51" t="s">
        <v>710</v>
      </c>
      <c r="D6119" t="s">
        <v>765</v>
      </c>
      <c r="E6119" s="2">
        <v>0.10100000000000001</v>
      </c>
    </row>
    <row r="6120" spans="1:5" x14ac:dyDescent="0.25">
      <c r="A6120" s="32" t="s">
        <v>767</v>
      </c>
      <c r="B6120" s="7">
        <v>2013</v>
      </c>
      <c r="C6120" s="51" t="s">
        <v>702</v>
      </c>
      <c r="D6120" t="s">
        <v>765</v>
      </c>
      <c r="E6120" s="2">
        <v>9.7000000000000003E-2</v>
      </c>
    </row>
    <row r="6121" spans="1:5" x14ac:dyDescent="0.25">
      <c r="A6121" s="32" t="s">
        <v>767</v>
      </c>
      <c r="B6121" s="7">
        <v>2013</v>
      </c>
      <c r="C6121" s="51" t="s">
        <v>703</v>
      </c>
      <c r="D6121" t="s">
        <v>765</v>
      </c>
      <c r="E6121" s="2">
        <v>0.105</v>
      </c>
    </row>
    <row r="6122" spans="1:5" x14ac:dyDescent="0.25">
      <c r="A6122" s="32" t="s">
        <v>767</v>
      </c>
      <c r="B6122" s="7">
        <v>2013</v>
      </c>
      <c r="C6122" s="51" t="s">
        <v>704</v>
      </c>
      <c r="D6122" t="s">
        <v>765</v>
      </c>
      <c r="E6122" s="2">
        <v>0.01</v>
      </c>
    </row>
    <row r="6123" spans="1:5" x14ac:dyDescent="0.25">
      <c r="A6123" s="32" t="s">
        <v>767</v>
      </c>
      <c r="B6123" s="7">
        <v>2013</v>
      </c>
      <c r="C6123" s="51" t="s">
        <v>705</v>
      </c>
      <c r="D6123" t="s">
        <v>765</v>
      </c>
      <c r="E6123" s="2">
        <v>0.123</v>
      </c>
    </row>
    <row r="6124" spans="1:5" x14ac:dyDescent="0.25">
      <c r="A6124" s="32" t="s">
        <v>767</v>
      </c>
      <c r="B6124" s="7">
        <v>2013</v>
      </c>
      <c r="C6124" s="51" t="s">
        <v>706</v>
      </c>
      <c r="D6124" t="s">
        <v>765</v>
      </c>
      <c r="E6124" s="2">
        <v>0.13</v>
      </c>
    </row>
    <row r="6125" spans="1:5" x14ac:dyDescent="0.25">
      <c r="A6125" s="32" t="s">
        <v>767</v>
      </c>
      <c r="B6125" s="7">
        <v>2014</v>
      </c>
      <c r="C6125" s="51" t="s">
        <v>713</v>
      </c>
      <c r="D6125" t="s">
        <v>765</v>
      </c>
      <c r="E6125" s="2">
        <v>0.13300000000000001</v>
      </c>
    </row>
    <row r="6126" spans="1:5" x14ac:dyDescent="0.25">
      <c r="A6126" s="32" t="s">
        <v>767</v>
      </c>
      <c r="B6126" s="7">
        <v>2014</v>
      </c>
      <c r="C6126" s="51" t="s">
        <v>707</v>
      </c>
      <c r="D6126" t="s">
        <v>765</v>
      </c>
      <c r="E6126" s="2">
        <v>0.13200000000000001</v>
      </c>
    </row>
    <row r="6127" spans="1:5" x14ac:dyDescent="0.25">
      <c r="A6127" s="32" t="s">
        <v>767</v>
      </c>
      <c r="B6127" s="7">
        <v>2014</v>
      </c>
      <c r="C6127" s="51" t="s">
        <v>708</v>
      </c>
      <c r="D6127" t="s">
        <v>765</v>
      </c>
      <c r="E6127" s="2">
        <v>0.128</v>
      </c>
    </row>
    <row r="6128" spans="1:5" x14ac:dyDescent="0.25">
      <c r="A6128" s="32" t="s">
        <v>767</v>
      </c>
      <c r="B6128" s="7">
        <v>2014</v>
      </c>
      <c r="C6128" s="51" t="s">
        <v>699</v>
      </c>
      <c r="D6128" t="s">
        <v>765</v>
      </c>
      <c r="E6128" s="2">
        <v>0.127</v>
      </c>
    </row>
    <row r="6129" spans="1:5" x14ac:dyDescent="0.25">
      <c r="A6129" s="32" t="s">
        <v>767</v>
      </c>
      <c r="B6129" s="7">
        <v>2014</v>
      </c>
      <c r="C6129" s="51" t="s">
        <v>709</v>
      </c>
      <c r="D6129" t="s">
        <v>765</v>
      </c>
      <c r="E6129" s="2">
        <v>0.11899999999999999</v>
      </c>
    </row>
    <row r="6130" spans="1:5" x14ac:dyDescent="0.25">
      <c r="A6130" s="32" t="s">
        <v>767</v>
      </c>
      <c r="B6130" s="7">
        <v>2014</v>
      </c>
      <c r="C6130" s="51" t="s">
        <v>712</v>
      </c>
      <c r="D6130" t="s">
        <v>765</v>
      </c>
      <c r="E6130" s="2">
        <v>0.11600000000000001</v>
      </c>
    </row>
    <row r="6131" spans="1:5" x14ac:dyDescent="0.25">
      <c r="A6131" s="32" t="s">
        <v>767</v>
      </c>
      <c r="B6131" s="7">
        <v>2014</v>
      </c>
      <c r="C6131" s="51" t="s">
        <v>710</v>
      </c>
      <c r="D6131" t="s">
        <v>765</v>
      </c>
      <c r="E6131" s="2">
        <v>0.124</v>
      </c>
    </row>
    <row r="6132" spans="1:5" x14ac:dyDescent="0.25">
      <c r="A6132" s="32" t="s">
        <v>767</v>
      </c>
      <c r="B6132" s="7">
        <v>2014</v>
      </c>
      <c r="C6132" s="51" t="s">
        <v>702</v>
      </c>
      <c r="D6132" t="s">
        <v>765</v>
      </c>
      <c r="E6132" s="2">
        <v>0.126</v>
      </c>
    </row>
    <row r="6133" spans="1:5" x14ac:dyDescent="0.25">
      <c r="A6133" s="32" t="s">
        <v>767</v>
      </c>
      <c r="B6133" s="7">
        <v>2014</v>
      </c>
      <c r="C6133" s="51" t="s">
        <v>703</v>
      </c>
      <c r="D6133" t="s">
        <v>765</v>
      </c>
      <c r="E6133" s="2">
        <v>0.11899999999999999</v>
      </c>
    </row>
    <row r="6134" spans="1:5" x14ac:dyDescent="0.25">
      <c r="A6134" s="32" t="s">
        <v>767</v>
      </c>
      <c r="B6134" s="7">
        <v>2014</v>
      </c>
      <c r="C6134" s="51" t="s">
        <v>704</v>
      </c>
      <c r="D6134" t="s">
        <v>765</v>
      </c>
      <c r="E6134" s="2">
        <v>0.11799999999999999</v>
      </c>
    </row>
    <row r="6135" spans="1:5" x14ac:dyDescent="0.25">
      <c r="A6135" s="32" t="s">
        <v>767</v>
      </c>
      <c r="B6135" s="7">
        <v>2014</v>
      </c>
      <c r="C6135" s="51" t="s">
        <v>705</v>
      </c>
      <c r="D6135" t="s">
        <v>765</v>
      </c>
      <c r="E6135" s="2">
        <v>0.123</v>
      </c>
    </row>
    <row r="6136" spans="1:5" x14ac:dyDescent="0.25">
      <c r="A6136" s="32" t="s">
        <v>767</v>
      </c>
      <c r="B6136" s="7">
        <v>2014</v>
      </c>
      <c r="C6136" s="51" t="s">
        <v>706</v>
      </c>
      <c r="D6136" t="s">
        <v>765</v>
      </c>
      <c r="E6136" s="2">
        <v>0.13</v>
      </c>
    </row>
    <row r="6137" spans="1:5" x14ac:dyDescent="0.25">
      <c r="A6137" s="32" t="s">
        <v>767</v>
      </c>
      <c r="B6137" s="7">
        <v>2015</v>
      </c>
      <c r="C6137" s="51" t="s">
        <v>713</v>
      </c>
      <c r="D6137" t="s">
        <v>765</v>
      </c>
      <c r="E6137" s="2">
        <v>0.13</v>
      </c>
    </row>
    <row r="6138" spans="1:5" x14ac:dyDescent="0.25">
      <c r="A6138" s="32" t="s">
        <v>767</v>
      </c>
      <c r="B6138" s="7">
        <v>2015</v>
      </c>
      <c r="C6138" s="51" t="s">
        <v>707</v>
      </c>
      <c r="D6138" t="s">
        <v>765</v>
      </c>
      <c r="E6138" s="2">
        <v>0.13100000000000001</v>
      </c>
    </row>
    <row r="6139" spans="1:5" x14ac:dyDescent="0.25">
      <c r="A6139" s="32" t="s">
        <v>767</v>
      </c>
      <c r="B6139" s="7">
        <v>2015</v>
      </c>
      <c r="C6139" s="51" t="s">
        <v>708</v>
      </c>
      <c r="D6139" t="s">
        <v>765</v>
      </c>
      <c r="E6139" s="2">
        <v>0.127</v>
      </c>
    </row>
    <row r="6140" spans="1:5" x14ac:dyDescent="0.25">
      <c r="A6140" s="32" t="s">
        <v>767</v>
      </c>
      <c r="B6140" s="7">
        <v>2015</v>
      </c>
      <c r="C6140" s="51" t="s">
        <v>699</v>
      </c>
      <c r="D6140" t="s">
        <v>765</v>
      </c>
      <c r="E6140" s="2">
        <v>0.124</v>
      </c>
    </row>
    <row r="6141" spans="1:5" x14ac:dyDescent="0.25">
      <c r="A6141" s="32" t="s">
        <v>767</v>
      </c>
      <c r="B6141" s="7">
        <v>2015</v>
      </c>
      <c r="C6141" s="51" t="s">
        <v>709</v>
      </c>
      <c r="D6141" t="s">
        <v>765</v>
      </c>
      <c r="E6141" s="2">
        <v>0.125</v>
      </c>
    </row>
    <row r="6142" spans="1:5" x14ac:dyDescent="0.25">
      <c r="A6142" s="32" t="s">
        <v>767</v>
      </c>
      <c r="B6142" s="7">
        <v>2015</v>
      </c>
      <c r="C6142" s="51" t="s">
        <v>712</v>
      </c>
      <c r="D6142" t="s">
        <v>765</v>
      </c>
      <c r="E6142" s="2">
        <v>0.129</v>
      </c>
    </row>
    <row r="6143" spans="1:5" x14ac:dyDescent="0.25">
      <c r="A6143" s="32" t="s">
        <v>767</v>
      </c>
      <c r="B6143" s="7">
        <v>2015</v>
      </c>
      <c r="C6143" s="51" t="s">
        <v>710</v>
      </c>
      <c r="D6143" t="s">
        <v>765</v>
      </c>
      <c r="E6143" s="2">
        <v>0.123</v>
      </c>
    </row>
    <row r="6144" spans="1:5" x14ac:dyDescent="0.25">
      <c r="A6144" s="32" t="s">
        <v>767</v>
      </c>
      <c r="B6144" s="7">
        <v>2015</v>
      </c>
      <c r="C6144" s="51" t="s">
        <v>702</v>
      </c>
      <c r="D6144" t="s">
        <v>765</v>
      </c>
      <c r="E6144" s="2">
        <v>0.20399999999999999</v>
      </c>
    </row>
    <row r="6145" spans="1:5" x14ac:dyDescent="0.25">
      <c r="A6145" s="32" t="s">
        <v>767</v>
      </c>
      <c r="B6145" s="7">
        <v>2015</v>
      </c>
      <c r="C6145" s="51" t="s">
        <v>703</v>
      </c>
      <c r="D6145" t="s">
        <v>765</v>
      </c>
      <c r="E6145" s="2">
        <v>0.126</v>
      </c>
    </row>
    <row r="6146" spans="1:5" x14ac:dyDescent="0.25">
      <c r="A6146" s="32" t="s">
        <v>767</v>
      </c>
      <c r="B6146" s="7">
        <v>2015</v>
      </c>
      <c r="C6146" s="51" t="s">
        <v>704</v>
      </c>
      <c r="D6146" t="s">
        <v>765</v>
      </c>
      <c r="E6146" s="2">
        <v>0.126</v>
      </c>
    </row>
    <row r="6147" spans="1:5" x14ac:dyDescent="0.25">
      <c r="A6147" s="32" t="s">
        <v>767</v>
      </c>
      <c r="B6147" s="7">
        <v>2015</v>
      </c>
      <c r="C6147" s="51" t="s">
        <v>705</v>
      </c>
      <c r="D6147" t="s">
        <v>765</v>
      </c>
      <c r="E6147" s="2">
        <v>0.13</v>
      </c>
    </row>
    <row r="6148" spans="1:5" x14ac:dyDescent="0.25">
      <c r="A6148" s="32" t="s">
        <v>767</v>
      </c>
      <c r="B6148" s="7">
        <v>2015</v>
      </c>
      <c r="C6148" s="51" t="s">
        <v>706</v>
      </c>
      <c r="D6148" t="s">
        <v>765</v>
      </c>
      <c r="E6148" s="2">
        <v>0.123</v>
      </c>
    </row>
    <row r="6149" spans="1:5" x14ac:dyDescent="0.25">
      <c r="A6149" s="32" t="s">
        <v>767</v>
      </c>
      <c r="B6149" s="7">
        <v>2016</v>
      </c>
      <c r="C6149" s="51" t="s">
        <v>713</v>
      </c>
      <c r="D6149" t="s">
        <v>765</v>
      </c>
      <c r="E6149" s="2">
        <v>0.14399999999999999</v>
      </c>
    </row>
    <row r="6150" spans="1:5" x14ac:dyDescent="0.25">
      <c r="A6150" s="32" t="s">
        <v>767</v>
      </c>
      <c r="B6150" s="7">
        <v>2016</v>
      </c>
      <c r="C6150" s="51" t="s">
        <v>707</v>
      </c>
      <c r="D6150" t="s">
        <v>765</v>
      </c>
      <c r="E6150" s="2">
        <v>0.13600000000000001</v>
      </c>
    </row>
    <row r="6151" spans="1:5" x14ac:dyDescent="0.25">
      <c r="A6151" s="32" t="s">
        <v>767</v>
      </c>
      <c r="B6151" s="7">
        <v>2016</v>
      </c>
      <c r="C6151" s="51" t="s">
        <v>708</v>
      </c>
      <c r="D6151" t="s">
        <v>765</v>
      </c>
      <c r="E6151" s="2">
        <v>0.13300000000000001</v>
      </c>
    </row>
    <row r="6152" spans="1:5" x14ac:dyDescent="0.25">
      <c r="A6152" s="32" t="s">
        <v>767</v>
      </c>
      <c r="B6152" s="7">
        <v>2016</v>
      </c>
      <c r="C6152" s="51" t="s">
        <v>699</v>
      </c>
      <c r="D6152" t="s">
        <v>765</v>
      </c>
      <c r="E6152" s="2">
        <v>9.1999999999999998E-2</v>
      </c>
    </row>
    <row r="6153" spans="1:5" x14ac:dyDescent="0.25">
      <c r="A6153" s="32" t="s">
        <v>767</v>
      </c>
      <c r="B6153" s="7">
        <v>2016</v>
      </c>
      <c r="C6153" s="51" t="s">
        <v>709</v>
      </c>
      <c r="D6153" t="s">
        <v>765</v>
      </c>
      <c r="E6153" s="2">
        <v>8.3000000000000004E-2</v>
      </c>
    </row>
    <row r="6154" spans="1:5" x14ac:dyDescent="0.25">
      <c r="A6154" s="32" t="s">
        <v>767</v>
      </c>
      <c r="B6154" s="7">
        <v>2016</v>
      </c>
      <c r="C6154" s="51" t="s">
        <v>712</v>
      </c>
      <c r="D6154" t="s">
        <v>765</v>
      </c>
      <c r="E6154" s="2">
        <v>9.1999999999999998E-2</v>
      </c>
    </row>
    <row r="6155" spans="1:5" x14ac:dyDescent="0.25">
      <c r="A6155" s="32" t="s">
        <v>767</v>
      </c>
      <c r="B6155" s="7">
        <v>2016</v>
      </c>
      <c r="C6155" s="51" t="s">
        <v>710</v>
      </c>
      <c r="D6155" t="s">
        <v>765</v>
      </c>
      <c r="E6155" s="2">
        <v>8.6999999999999994E-2</v>
      </c>
    </row>
    <row r="6156" spans="1:5" x14ac:dyDescent="0.25">
      <c r="A6156" s="32" t="s">
        <v>767</v>
      </c>
      <c r="B6156" s="7">
        <v>2016</v>
      </c>
      <c r="C6156" s="51" t="s">
        <v>702</v>
      </c>
      <c r="D6156" t="s">
        <v>765</v>
      </c>
      <c r="E6156" s="2">
        <v>8.4000000000000005E-2</v>
      </c>
    </row>
    <row r="6157" spans="1:5" x14ac:dyDescent="0.25">
      <c r="A6157" s="32" t="s">
        <v>767</v>
      </c>
      <c r="B6157" s="7">
        <v>2016</v>
      </c>
      <c r="C6157" s="51" t="s">
        <v>703</v>
      </c>
      <c r="D6157" t="s">
        <v>765</v>
      </c>
      <c r="E6157" s="2">
        <v>8.6999999999999994E-2</v>
      </c>
    </row>
    <row r="6158" spans="1:5" x14ac:dyDescent="0.25">
      <c r="A6158" s="32" t="s">
        <v>767</v>
      </c>
      <c r="B6158" s="7">
        <v>2016</v>
      </c>
      <c r="C6158" s="51" t="s">
        <v>704</v>
      </c>
      <c r="D6158" t="s">
        <v>765</v>
      </c>
      <c r="E6158" s="2">
        <v>8.5000000000000006E-2</v>
      </c>
    </row>
    <row r="6159" spans="1:5" x14ac:dyDescent="0.25">
      <c r="A6159" s="32" t="s">
        <v>767</v>
      </c>
      <c r="B6159" s="7">
        <v>2016</v>
      </c>
      <c r="C6159" s="51" t="s">
        <v>705</v>
      </c>
      <c r="D6159" t="s">
        <v>765</v>
      </c>
      <c r="E6159" s="2">
        <v>0.13700000000000001</v>
      </c>
    </row>
    <row r="6160" spans="1:5" x14ac:dyDescent="0.25">
      <c r="A6160" s="32" t="s">
        <v>767</v>
      </c>
      <c r="B6160" s="7">
        <v>2016</v>
      </c>
      <c r="C6160" s="51" t="s">
        <v>706</v>
      </c>
      <c r="D6160" t="s">
        <v>765</v>
      </c>
      <c r="E6160" s="2">
        <v>0.14499999999999999</v>
      </c>
    </row>
    <row r="6161" spans="1:5" x14ac:dyDescent="0.25">
      <c r="A6161" s="32" t="s">
        <v>767</v>
      </c>
      <c r="B6161" s="7">
        <v>2017</v>
      </c>
      <c r="C6161" s="51" t="s">
        <v>713</v>
      </c>
      <c r="D6161" t="s">
        <v>765</v>
      </c>
      <c r="E6161" s="2">
        <v>0.14000000000000001</v>
      </c>
    </row>
    <row r="6162" spans="1:5" x14ac:dyDescent="0.25">
      <c r="A6162" s="32" t="s">
        <v>767</v>
      </c>
      <c r="B6162" s="7">
        <v>2017</v>
      </c>
      <c r="C6162" s="51" t="s">
        <v>707</v>
      </c>
      <c r="D6162" t="s">
        <v>765</v>
      </c>
      <c r="E6162" s="2">
        <v>0.13700000000000001</v>
      </c>
    </row>
    <row r="6163" spans="1:5" x14ac:dyDescent="0.25">
      <c r="A6163" s="32" t="s">
        <v>767</v>
      </c>
      <c r="B6163" s="7">
        <v>2017</v>
      </c>
      <c r="C6163" s="51" t="s">
        <v>708</v>
      </c>
      <c r="D6163" t="s">
        <v>765</v>
      </c>
      <c r="E6163" s="2">
        <v>0.10299999999999999</v>
      </c>
    </row>
    <row r="6164" spans="1:5" x14ac:dyDescent="0.25">
      <c r="A6164" s="32" t="s">
        <v>767</v>
      </c>
      <c r="B6164" s="7">
        <v>2017</v>
      </c>
      <c r="C6164" s="51" t="s">
        <v>699</v>
      </c>
      <c r="D6164" t="s">
        <v>765</v>
      </c>
      <c r="E6164" s="2">
        <v>0.106</v>
      </c>
    </row>
    <row r="6165" spans="1:5" x14ac:dyDescent="0.25">
      <c r="A6165" s="32" t="s">
        <v>767</v>
      </c>
      <c r="B6165" s="7">
        <v>2017</v>
      </c>
      <c r="C6165" s="51" t="s">
        <v>709</v>
      </c>
      <c r="D6165" t="s">
        <v>765</v>
      </c>
      <c r="E6165" s="2">
        <v>0.107</v>
      </c>
    </row>
    <row r="6166" spans="1:5" x14ac:dyDescent="0.25">
      <c r="A6166" s="32" t="s">
        <v>767</v>
      </c>
      <c r="B6166" s="7">
        <v>2017</v>
      </c>
      <c r="C6166" s="51" t="s">
        <v>712</v>
      </c>
      <c r="D6166" t="s">
        <v>765</v>
      </c>
      <c r="E6166" s="2">
        <v>0.104</v>
      </c>
    </row>
    <row r="6167" spans="1:5" x14ac:dyDescent="0.25">
      <c r="A6167" s="32" t="s">
        <v>767</v>
      </c>
      <c r="B6167" s="7">
        <v>2017</v>
      </c>
      <c r="C6167" s="51" t="s">
        <v>710</v>
      </c>
      <c r="D6167" t="s">
        <v>765</v>
      </c>
      <c r="E6167" s="2">
        <v>0.10100000000000001</v>
      </c>
    </row>
    <row r="6168" spans="1:5" x14ac:dyDescent="0.25">
      <c r="A6168" s="32" t="s">
        <v>767</v>
      </c>
      <c r="B6168" s="7">
        <v>2017</v>
      </c>
      <c r="C6168" s="51" t="s">
        <v>702</v>
      </c>
      <c r="D6168" t="s">
        <v>765</v>
      </c>
      <c r="E6168" s="2">
        <v>0.10100000000000001</v>
      </c>
    </row>
    <row r="6169" spans="1:5" x14ac:dyDescent="0.25">
      <c r="A6169" s="32" t="s">
        <v>767</v>
      </c>
      <c r="B6169" s="7">
        <v>2017</v>
      </c>
      <c r="C6169" s="51" t="s">
        <v>703</v>
      </c>
      <c r="D6169" t="s">
        <v>765</v>
      </c>
      <c r="E6169" s="2">
        <v>0.114</v>
      </c>
    </row>
    <row r="6170" spans="1:5" x14ac:dyDescent="0.25">
      <c r="A6170" s="32" t="s">
        <v>767</v>
      </c>
      <c r="B6170" s="7">
        <v>2017</v>
      </c>
      <c r="C6170" s="51" t="s">
        <v>704</v>
      </c>
      <c r="D6170" t="s">
        <v>765</v>
      </c>
      <c r="E6170" s="2">
        <v>0.112</v>
      </c>
    </row>
    <row r="6171" spans="1:5" x14ac:dyDescent="0.25">
      <c r="A6171" s="32" t="s">
        <v>767</v>
      </c>
      <c r="B6171" s="7">
        <v>2017</v>
      </c>
      <c r="C6171" s="51" t="s">
        <v>705</v>
      </c>
      <c r="D6171" t="s">
        <v>765</v>
      </c>
      <c r="E6171" s="2">
        <v>0.111</v>
      </c>
    </row>
    <row r="6172" spans="1:5" x14ac:dyDescent="0.25">
      <c r="A6172" s="32" t="s">
        <v>767</v>
      </c>
      <c r="B6172" s="7">
        <v>2017</v>
      </c>
      <c r="C6172" s="51" t="s">
        <v>706</v>
      </c>
      <c r="D6172" t="s">
        <v>765</v>
      </c>
      <c r="E6172" s="2">
        <v>0.112</v>
      </c>
    </row>
    <row r="6173" spans="1:5" x14ac:dyDescent="0.25">
      <c r="A6173" s="32" t="s">
        <v>767</v>
      </c>
      <c r="B6173" s="7">
        <v>2018</v>
      </c>
      <c r="C6173" s="51" t="s">
        <v>713</v>
      </c>
      <c r="D6173" t="s">
        <v>765</v>
      </c>
      <c r="E6173" s="2">
        <v>0.107</v>
      </c>
    </row>
    <row r="6174" spans="1:5" x14ac:dyDescent="0.25">
      <c r="A6174" s="32" t="s">
        <v>767</v>
      </c>
      <c r="B6174" s="7">
        <v>2018</v>
      </c>
      <c r="C6174" s="51" t="s">
        <v>707</v>
      </c>
      <c r="D6174" t="s">
        <v>765</v>
      </c>
      <c r="E6174" s="2">
        <v>0.113</v>
      </c>
    </row>
    <row r="6175" spans="1:5" x14ac:dyDescent="0.25">
      <c r="A6175" s="32" t="s">
        <v>767</v>
      </c>
      <c r="B6175" s="7">
        <v>2018</v>
      </c>
      <c r="C6175" s="51" t="s">
        <v>708</v>
      </c>
      <c r="D6175" t="s">
        <v>765</v>
      </c>
      <c r="E6175" s="2">
        <v>0.105</v>
      </c>
    </row>
    <row r="6176" spans="1:5" x14ac:dyDescent="0.25">
      <c r="A6176" s="32" t="s">
        <v>767</v>
      </c>
      <c r="B6176" s="7">
        <v>2018</v>
      </c>
      <c r="C6176" s="51" t="s">
        <v>699</v>
      </c>
      <c r="D6176" t="s">
        <v>765</v>
      </c>
      <c r="E6176" s="2">
        <v>0.111</v>
      </c>
    </row>
    <row r="6177" spans="1:5" x14ac:dyDescent="0.25">
      <c r="A6177" s="32" t="s">
        <v>767</v>
      </c>
      <c r="B6177" s="7">
        <v>2018</v>
      </c>
      <c r="C6177" s="51" t="s">
        <v>709</v>
      </c>
      <c r="D6177" t="s">
        <v>765</v>
      </c>
      <c r="E6177" s="2">
        <v>0.109</v>
      </c>
    </row>
    <row r="6178" spans="1:5" x14ac:dyDescent="0.25">
      <c r="A6178" s="32" t="s">
        <v>767</v>
      </c>
      <c r="B6178" s="7">
        <v>2018</v>
      </c>
      <c r="C6178" s="51" t="s">
        <v>712</v>
      </c>
      <c r="D6178" t="s">
        <v>765</v>
      </c>
      <c r="E6178" s="2">
        <v>0.114</v>
      </c>
    </row>
    <row r="6179" spans="1:5" x14ac:dyDescent="0.25">
      <c r="A6179" s="32" t="s">
        <v>767</v>
      </c>
      <c r="B6179" s="7">
        <v>2018</v>
      </c>
      <c r="C6179" s="51" t="s">
        <v>710</v>
      </c>
      <c r="D6179" t="s">
        <v>765</v>
      </c>
      <c r="E6179" s="2">
        <v>0.109</v>
      </c>
    </row>
    <row r="6180" spans="1:5" x14ac:dyDescent="0.25">
      <c r="A6180" s="32" t="s">
        <v>767</v>
      </c>
      <c r="B6180" s="7">
        <v>2018</v>
      </c>
      <c r="C6180" s="51" t="s">
        <v>702</v>
      </c>
      <c r="D6180" t="s">
        <v>765</v>
      </c>
      <c r="E6180" s="2">
        <v>0.111</v>
      </c>
    </row>
    <row r="6181" spans="1:5" x14ac:dyDescent="0.25">
      <c r="A6181" s="32" t="s">
        <v>767</v>
      </c>
      <c r="B6181" s="7">
        <v>2018</v>
      </c>
      <c r="C6181" s="51" t="s">
        <v>703</v>
      </c>
      <c r="D6181" t="s">
        <v>765</v>
      </c>
      <c r="E6181" s="2">
        <v>0.111</v>
      </c>
    </row>
    <row r="6182" spans="1:5" x14ac:dyDescent="0.25">
      <c r="A6182" s="32" t="s">
        <v>767</v>
      </c>
      <c r="B6182" s="7">
        <v>2018</v>
      </c>
      <c r="C6182" s="51" t="s">
        <v>704</v>
      </c>
      <c r="D6182" t="s">
        <v>765</v>
      </c>
      <c r="E6182" s="2">
        <v>0.11</v>
      </c>
    </row>
    <row r="6183" spans="1:5" x14ac:dyDescent="0.25">
      <c r="A6183" s="32" t="s">
        <v>767</v>
      </c>
      <c r="B6183" s="7">
        <v>2018</v>
      </c>
      <c r="C6183" s="51" t="s">
        <v>705</v>
      </c>
      <c r="D6183" t="s">
        <v>765</v>
      </c>
      <c r="E6183" s="2">
        <v>0.112</v>
      </c>
    </row>
    <row r="6184" spans="1:5" x14ac:dyDescent="0.25">
      <c r="A6184" s="32" t="s">
        <v>767</v>
      </c>
      <c r="B6184" s="7">
        <v>2018</v>
      </c>
      <c r="C6184" s="51" t="s">
        <v>706</v>
      </c>
      <c r="D6184" t="s">
        <v>765</v>
      </c>
      <c r="E6184" s="2">
        <v>0.112</v>
      </c>
    </row>
    <row r="6185" spans="1:5" x14ac:dyDescent="0.25">
      <c r="A6185" s="32" t="s">
        <v>767</v>
      </c>
      <c r="B6185" s="7">
        <v>2019</v>
      </c>
      <c r="C6185" s="51" t="s">
        <v>713</v>
      </c>
      <c r="D6185" t="s">
        <v>765</v>
      </c>
      <c r="E6185" s="2">
        <v>0.108</v>
      </c>
    </row>
    <row r="6186" spans="1:5" x14ac:dyDescent="0.25">
      <c r="A6186" s="32" t="s">
        <v>767</v>
      </c>
      <c r="B6186" s="7">
        <v>2019</v>
      </c>
      <c r="C6186" s="51" t="s">
        <v>707</v>
      </c>
      <c r="D6186" t="s">
        <v>765</v>
      </c>
      <c r="E6186" s="2">
        <v>0.13100000000000001</v>
      </c>
    </row>
    <row r="6187" spans="1:5" x14ac:dyDescent="0.25">
      <c r="A6187" s="32" t="s">
        <v>767</v>
      </c>
      <c r="B6187" s="7">
        <v>2019</v>
      </c>
      <c r="C6187" s="51" t="s">
        <v>708</v>
      </c>
      <c r="D6187" t="s">
        <v>765</v>
      </c>
      <c r="E6187" s="2">
        <v>0.13600000000000001</v>
      </c>
    </row>
    <row r="6188" spans="1:5" x14ac:dyDescent="0.25">
      <c r="A6188" s="32" t="s">
        <v>767</v>
      </c>
      <c r="B6188" s="7">
        <v>2019</v>
      </c>
      <c r="C6188" s="51" t="s">
        <v>699</v>
      </c>
      <c r="D6188" t="s">
        <v>765</v>
      </c>
      <c r="E6188" s="2">
        <v>0.13200000000000001</v>
      </c>
    </row>
    <row r="6189" spans="1:5" x14ac:dyDescent="0.25">
      <c r="A6189" s="32" t="s">
        <v>767</v>
      </c>
      <c r="B6189" s="7">
        <v>2019</v>
      </c>
      <c r="C6189" s="51" t="s">
        <v>709</v>
      </c>
      <c r="D6189" t="s">
        <v>765</v>
      </c>
      <c r="E6189" s="2">
        <v>0.105</v>
      </c>
    </row>
    <row r="6190" spans="1:5" x14ac:dyDescent="0.25">
      <c r="A6190" s="32" t="s">
        <v>767</v>
      </c>
      <c r="B6190" s="7">
        <v>2019</v>
      </c>
      <c r="C6190" s="51" t="s">
        <v>712</v>
      </c>
      <c r="D6190" t="s">
        <v>765</v>
      </c>
      <c r="E6190" s="2">
        <v>9.8000000000000004E-2</v>
      </c>
    </row>
    <row r="6191" spans="1:5" x14ac:dyDescent="0.25">
      <c r="A6191" s="32" t="s">
        <v>767</v>
      </c>
      <c r="B6191" s="7">
        <v>2019</v>
      </c>
      <c r="C6191" s="51" t="s">
        <v>710</v>
      </c>
      <c r="D6191" t="s">
        <v>765</v>
      </c>
      <c r="E6191" s="2">
        <v>9.9000000000000005E-2</v>
      </c>
    </row>
    <row r="6192" spans="1:5" x14ac:dyDescent="0.25">
      <c r="A6192" s="32" t="s">
        <v>767</v>
      </c>
      <c r="B6192" s="7">
        <v>2019</v>
      </c>
      <c r="C6192" s="51" t="s">
        <v>702</v>
      </c>
      <c r="D6192" t="s">
        <v>765</v>
      </c>
      <c r="E6192" s="2">
        <v>9.5000000000000001E-2</v>
      </c>
    </row>
    <row r="6193" spans="1:5" x14ac:dyDescent="0.25">
      <c r="A6193" s="32" t="s">
        <v>767</v>
      </c>
      <c r="B6193" s="7">
        <v>2019</v>
      </c>
      <c r="C6193" s="51" t="s">
        <v>703</v>
      </c>
      <c r="D6193" t="s">
        <v>765</v>
      </c>
      <c r="E6193" s="2">
        <v>0.10100000000000001</v>
      </c>
    </row>
    <row r="6194" spans="1:5" x14ac:dyDescent="0.25">
      <c r="A6194" s="32" t="s">
        <v>767</v>
      </c>
      <c r="B6194" s="7">
        <v>2019</v>
      </c>
      <c r="C6194" s="51" t="s">
        <v>704</v>
      </c>
      <c r="D6194" t="s">
        <v>765</v>
      </c>
      <c r="E6194" s="2">
        <v>0.1</v>
      </c>
    </row>
    <row r="6195" spans="1:5" x14ac:dyDescent="0.25">
      <c r="A6195" s="32" t="s">
        <v>767</v>
      </c>
      <c r="B6195" s="7">
        <v>2019</v>
      </c>
      <c r="C6195" s="51" t="s">
        <v>705</v>
      </c>
      <c r="D6195" t="s">
        <v>765</v>
      </c>
      <c r="E6195" s="2">
        <v>9.1999999999999998E-2</v>
      </c>
    </row>
    <row r="6196" spans="1:5" x14ac:dyDescent="0.25">
      <c r="A6196" s="32" t="s">
        <v>767</v>
      </c>
      <c r="B6196" s="7">
        <v>2019</v>
      </c>
      <c r="C6196" s="51" t="s">
        <v>706</v>
      </c>
      <c r="D6196" t="s">
        <v>765</v>
      </c>
      <c r="E6196" s="2">
        <v>8.3000000000000004E-2</v>
      </c>
    </row>
    <row r="6197" spans="1:5" x14ac:dyDescent="0.25">
      <c r="A6197" s="32" t="s">
        <v>767</v>
      </c>
      <c r="B6197" s="7">
        <v>2020</v>
      </c>
      <c r="C6197" s="51" t="s">
        <v>713</v>
      </c>
      <c r="D6197" t="s">
        <v>765</v>
      </c>
      <c r="E6197" s="2">
        <v>0.108</v>
      </c>
    </row>
    <row r="6198" spans="1:5" x14ac:dyDescent="0.25">
      <c r="A6198" s="32" t="s">
        <v>767</v>
      </c>
      <c r="B6198" s="7">
        <v>2020</v>
      </c>
      <c r="C6198" s="51" t="s">
        <v>707</v>
      </c>
      <c r="D6198" t="s">
        <v>765</v>
      </c>
      <c r="E6198" s="2">
        <v>0.113</v>
      </c>
    </row>
    <row r="6199" spans="1:5" x14ac:dyDescent="0.25">
      <c r="A6199" s="32" t="s">
        <v>767</v>
      </c>
      <c r="B6199" s="7">
        <v>2020</v>
      </c>
      <c r="C6199" s="51" t="s">
        <v>708</v>
      </c>
      <c r="D6199" t="s">
        <v>765</v>
      </c>
      <c r="E6199" s="2">
        <v>0.11700000000000001</v>
      </c>
    </row>
    <row r="6200" spans="1:5" x14ac:dyDescent="0.25">
      <c r="A6200" s="32" t="s">
        <v>767</v>
      </c>
      <c r="B6200" s="7">
        <v>2020</v>
      </c>
      <c r="C6200" s="51" t="s">
        <v>699</v>
      </c>
      <c r="D6200" t="s">
        <v>765</v>
      </c>
      <c r="E6200" s="2">
        <v>0.122</v>
      </c>
    </row>
    <row r="6201" spans="1:5" x14ac:dyDescent="0.25">
      <c r="A6201" s="32" t="s">
        <v>767</v>
      </c>
      <c r="B6201" s="7">
        <v>2020</v>
      </c>
      <c r="C6201" s="51" t="s">
        <v>709</v>
      </c>
      <c r="D6201" t="s">
        <v>765</v>
      </c>
      <c r="E6201" s="2">
        <v>0.123</v>
      </c>
    </row>
    <row r="6202" spans="1:5" x14ac:dyDescent="0.25">
      <c r="A6202" s="32" t="s">
        <v>767</v>
      </c>
      <c r="B6202" s="7">
        <v>2020</v>
      </c>
      <c r="C6202" s="51" t="s">
        <v>712</v>
      </c>
      <c r="D6202" t="s">
        <v>765</v>
      </c>
      <c r="E6202" s="2">
        <v>0.11700000000000001</v>
      </c>
    </row>
    <row r="6203" spans="1:5" x14ac:dyDescent="0.25">
      <c r="A6203" s="32" t="s">
        <v>767</v>
      </c>
      <c r="B6203" s="7">
        <v>2020</v>
      </c>
      <c r="C6203" s="51" t="s">
        <v>710</v>
      </c>
      <c r="D6203" t="s">
        <v>765</v>
      </c>
      <c r="E6203" s="2">
        <v>8.7999999999999995E-2</v>
      </c>
    </row>
    <row r="6204" spans="1:5" x14ac:dyDescent="0.25">
      <c r="A6204" s="32" t="s">
        <v>767</v>
      </c>
      <c r="B6204" s="7">
        <v>2020</v>
      </c>
      <c r="C6204" s="51" t="s">
        <v>702</v>
      </c>
      <c r="D6204" t="s">
        <v>765</v>
      </c>
      <c r="E6204" s="2">
        <v>0.09</v>
      </c>
    </row>
    <row r="6205" spans="1:5" x14ac:dyDescent="0.25">
      <c r="A6205" s="32" t="s">
        <v>767</v>
      </c>
      <c r="B6205" s="7">
        <v>2020</v>
      </c>
      <c r="C6205" s="51" t="s">
        <v>703</v>
      </c>
      <c r="D6205" t="s">
        <v>765</v>
      </c>
      <c r="E6205" s="2">
        <v>9.6000000000000002E-2</v>
      </c>
    </row>
    <row r="6206" spans="1:5" x14ac:dyDescent="0.25">
      <c r="A6206" s="32" t="s">
        <v>767</v>
      </c>
      <c r="B6206" s="7">
        <v>2020</v>
      </c>
      <c r="C6206" s="51" t="s">
        <v>704</v>
      </c>
      <c r="D6206" t="s">
        <v>765</v>
      </c>
      <c r="E6206" s="2">
        <v>8.3000000000000004E-2</v>
      </c>
    </row>
    <row r="6207" spans="1:5" x14ac:dyDescent="0.25">
      <c r="A6207" s="32" t="s">
        <v>767</v>
      </c>
      <c r="B6207" s="7">
        <v>2020</v>
      </c>
      <c r="C6207" s="51" t="s">
        <v>705</v>
      </c>
      <c r="D6207" t="s">
        <v>765</v>
      </c>
      <c r="E6207" s="2">
        <v>0.124</v>
      </c>
    </row>
    <row r="6208" spans="1:5" x14ac:dyDescent="0.25">
      <c r="A6208" s="32" t="s">
        <v>767</v>
      </c>
      <c r="B6208" s="7">
        <v>2020</v>
      </c>
      <c r="C6208" s="51" t="s">
        <v>706</v>
      </c>
      <c r="D6208" t="s">
        <v>765</v>
      </c>
      <c r="E6208" s="2">
        <v>0.121</v>
      </c>
    </row>
    <row r="6209" spans="1:5" x14ac:dyDescent="0.25">
      <c r="A6209" s="32" t="s">
        <v>767</v>
      </c>
      <c r="B6209" s="7">
        <v>2021</v>
      </c>
      <c r="C6209" s="51" t="s">
        <v>713</v>
      </c>
      <c r="D6209" t="s">
        <v>765</v>
      </c>
      <c r="E6209" s="2">
        <v>0.124</v>
      </c>
    </row>
    <row r="6210" spans="1:5" x14ac:dyDescent="0.25">
      <c r="A6210" s="32" t="s">
        <v>767</v>
      </c>
      <c r="B6210" s="7">
        <v>2021</v>
      </c>
      <c r="C6210" s="51" t="s">
        <v>707</v>
      </c>
      <c r="D6210" t="s">
        <v>765</v>
      </c>
      <c r="E6210" s="2">
        <v>0.128</v>
      </c>
    </row>
    <row r="6211" spans="1:5" x14ac:dyDescent="0.25">
      <c r="A6211" s="32" t="s">
        <v>767</v>
      </c>
      <c r="B6211" s="7">
        <v>2021</v>
      </c>
      <c r="C6211" s="51" t="s">
        <v>708</v>
      </c>
      <c r="D6211" t="s">
        <v>765</v>
      </c>
      <c r="E6211" s="2">
        <v>0.11899999999999999</v>
      </c>
    </row>
    <row r="6212" spans="1:5" x14ac:dyDescent="0.25">
      <c r="A6212" s="32" t="s">
        <v>767</v>
      </c>
      <c r="B6212" s="7">
        <v>2021</v>
      </c>
      <c r="C6212" s="51" t="s">
        <v>699</v>
      </c>
      <c r="D6212" t="s">
        <v>765</v>
      </c>
      <c r="E6212" s="2">
        <v>0.122</v>
      </c>
    </row>
    <row r="6213" spans="1:5" x14ac:dyDescent="0.25">
      <c r="A6213" s="32" t="s">
        <v>767</v>
      </c>
      <c r="B6213" s="7">
        <v>2021</v>
      </c>
      <c r="C6213" s="51" t="s">
        <v>709</v>
      </c>
      <c r="D6213" t="s">
        <v>765</v>
      </c>
      <c r="E6213" s="2">
        <v>0.12</v>
      </c>
    </row>
    <row r="6214" spans="1:5" x14ac:dyDescent="0.25">
      <c r="A6214" s="32" t="s">
        <v>767</v>
      </c>
      <c r="B6214" s="7">
        <v>2021</v>
      </c>
      <c r="C6214" s="51" t="s">
        <v>712</v>
      </c>
      <c r="D6214" t="s">
        <v>765</v>
      </c>
      <c r="E6214" s="2">
        <v>8.4000000000000005E-2</v>
      </c>
    </row>
    <row r="6215" spans="1:5" x14ac:dyDescent="0.25">
      <c r="A6215" s="32" t="s">
        <v>767</v>
      </c>
      <c r="B6215" s="7">
        <v>2021</v>
      </c>
      <c r="C6215" s="51" t="s">
        <v>710</v>
      </c>
      <c r="D6215" t="s">
        <v>765</v>
      </c>
      <c r="E6215" s="2">
        <v>8.7999999999999995E-2</v>
      </c>
    </row>
    <row r="6216" spans="1:5" x14ac:dyDescent="0.25">
      <c r="A6216" s="32" t="s">
        <v>767</v>
      </c>
      <c r="B6216" s="7">
        <v>2021</v>
      </c>
      <c r="C6216" s="51" t="s">
        <v>702</v>
      </c>
      <c r="D6216" t="s">
        <v>765</v>
      </c>
      <c r="E6216" s="2">
        <v>0.08</v>
      </c>
    </row>
    <row r="6217" spans="1:5" x14ac:dyDescent="0.25">
      <c r="A6217" s="32" t="s">
        <v>767</v>
      </c>
      <c r="B6217" s="7">
        <v>2021</v>
      </c>
      <c r="C6217" s="51" t="s">
        <v>703</v>
      </c>
      <c r="D6217" t="s">
        <v>765</v>
      </c>
      <c r="E6217" s="2">
        <v>0.127</v>
      </c>
    </row>
    <row r="6218" spans="1:5" x14ac:dyDescent="0.25">
      <c r="A6218" s="32" t="s">
        <v>767</v>
      </c>
      <c r="B6218" s="7">
        <v>2021</v>
      </c>
      <c r="C6218" s="51" t="s">
        <v>704</v>
      </c>
      <c r="D6218" t="s">
        <v>765</v>
      </c>
      <c r="E6218" s="2">
        <v>0.121</v>
      </c>
    </row>
    <row r="6219" spans="1:5" x14ac:dyDescent="0.25">
      <c r="A6219" s="32" t="s">
        <v>767</v>
      </c>
      <c r="B6219" s="7">
        <v>2021</v>
      </c>
      <c r="C6219" s="51" t="s">
        <v>705</v>
      </c>
      <c r="D6219" t="s">
        <v>765</v>
      </c>
      <c r="E6219" s="2">
        <v>0.127</v>
      </c>
    </row>
    <row r="6220" spans="1:5" x14ac:dyDescent="0.25">
      <c r="A6220" s="32" t="s">
        <v>767</v>
      </c>
      <c r="B6220" s="7">
        <v>2021</v>
      </c>
      <c r="C6220" s="51" t="s">
        <v>706</v>
      </c>
      <c r="D6220" t="s">
        <v>765</v>
      </c>
      <c r="E6220" s="2">
        <v>0.121</v>
      </c>
    </row>
    <row r="6221" spans="1:5" x14ac:dyDescent="0.25">
      <c r="A6221" s="32" t="s">
        <v>767</v>
      </c>
      <c r="B6221" s="7">
        <v>2022</v>
      </c>
      <c r="C6221" s="51" t="s">
        <v>713</v>
      </c>
      <c r="D6221" t="s">
        <v>765</v>
      </c>
      <c r="E6221" s="2">
        <v>0.13700000000000001</v>
      </c>
    </row>
    <row r="6222" spans="1:5" x14ac:dyDescent="0.25">
      <c r="A6222" s="32" t="s">
        <v>767</v>
      </c>
      <c r="B6222" s="7">
        <v>2022</v>
      </c>
      <c r="C6222" s="51" t="s">
        <v>707</v>
      </c>
      <c r="D6222" t="s">
        <v>765</v>
      </c>
      <c r="E6222" s="2">
        <v>0.10199999999999999</v>
      </c>
    </row>
    <row r="6223" spans="1:5" x14ac:dyDescent="0.25">
      <c r="A6223" s="32" t="s">
        <v>767</v>
      </c>
      <c r="B6223" s="7">
        <v>2022</v>
      </c>
      <c r="C6223" s="51" t="s">
        <v>708</v>
      </c>
      <c r="D6223" t="s">
        <v>765</v>
      </c>
      <c r="E6223" s="2">
        <v>0.125</v>
      </c>
    </row>
    <row r="6224" spans="1:5" x14ac:dyDescent="0.25">
      <c r="A6224" s="32" t="s">
        <v>767</v>
      </c>
      <c r="B6224" s="7">
        <v>2022</v>
      </c>
      <c r="C6224" s="51" t="s">
        <v>699</v>
      </c>
      <c r="D6224" t="s">
        <v>765</v>
      </c>
      <c r="E6224" s="2">
        <v>0.121</v>
      </c>
    </row>
    <row r="6225" spans="1:5" x14ac:dyDescent="0.25">
      <c r="A6225" s="32" t="s">
        <v>767</v>
      </c>
      <c r="B6225" s="7">
        <v>2022</v>
      </c>
      <c r="C6225" s="51" t="s">
        <v>709</v>
      </c>
      <c r="D6225" t="s">
        <v>765</v>
      </c>
      <c r="E6225" s="2">
        <v>0.126</v>
      </c>
    </row>
    <row r="6226" spans="1:5" x14ac:dyDescent="0.25">
      <c r="A6226" s="32" t="s">
        <v>767</v>
      </c>
      <c r="B6226" s="7">
        <v>2022</v>
      </c>
      <c r="C6226" s="51" t="s">
        <v>712</v>
      </c>
      <c r="D6226" t="s">
        <v>765</v>
      </c>
      <c r="E6226" s="2">
        <v>8.5000000000000006E-2</v>
      </c>
    </row>
    <row r="6227" spans="1:5" x14ac:dyDescent="0.25">
      <c r="A6227" s="32" t="s">
        <v>767</v>
      </c>
      <c r="B6227" s="7">
        <v>2022</v>
      </c>
      <c r="C6227" s="51" t="s">
        <v>710</v>
      </c>
      <c r="D6227" t="s">
        <v>765</v>
      </c>
      <c r="E6227" s="2">
        <v>8.5000000000000006E-2</v>
      </c>
    </row>
    <row r="6228" spans="1:5" x14ac:dyDescent="0.25">
      <c r="A6228" s="32" t="s">
        <v>767</v>
      </c>
      <c r="B6228" s="7">
        <v>2022</v>
      </c>
      <c r="C6228" s="51" t="s">
        <v>702</v>
      </c>
      <c r="D6228" t="s">
        <v>765</v>
      </c>
      <c r="E6228" s="2">
        <v>8.5999999999999993E-2</v>
      </c>
    </row>
    <row r="6229" spans="1:5" x14ac:dyDescent="0.25">
      <c r="A6229" s="32" t="s">
        <v>767</v>
      </c>
      <c r="B6229" s="7">
        <v>2022</v>
      </c>
      <c r="C6229" s="51" t="s">
        <v>703</v>
      </c>
      <c r="D6229" t="s">
        <v>765</v>
      </c>
      <c r="E6229" s="2">
        <v>8.2000000000000003E-2</v>
      </c>
    </row>
    <row r="6230" spans="1:5" x14ac:dyDescent="0.25">
      <c r="A6230" s="32" t="s">
        <v>767</v>
      </c>
      <c r="B6230" s="7">
        <v>2022</v>
      </c>
      <c r="C6230" s="51" t="s">
        <v>704</v>
      </c>
      <c r="D6230" t="s">
        <v>765</v>
      </c>
      <c r="E6230" s="2">
        <v>8.3000000000000004E-2</v>
      </c>
    </row>
    <row r="6231" spans="1:5" x14ac:dyDescent="0.25">
      <c r="A6231" s="32" t="s">
        <v>767</v>
      </c>
      <c r="B6231" s="7">
        <v>2022</v>
      </c>
      <c r="C6231" s="51" t="s">
        <v>705</v>
      </c>
      <c r="D6231" t="s">
        <v>765</v>
      </c>
      <c r="E6231" s="2">
        <v>8.1000000000000003E-2</v>
      </c>
    </row>
    <row r="6232" spans="1:5" x14ac:dyDescent="0.25">
      <c r="A6232" s="32" t="s">
        <v>767</v>
      </c>
      <c r="B6232" s="7">
        <v>2022</v>
      </c>
      <c r="C6232" s="51" t="s">
        <v>706</v>
      </c>
      <c r="D6232" t="s">
        <v>765</v>
      </c>
      <c r="E6232" s="2">
        <v>8.4000000000000005E-2</v>
      </c>
    </row>
    <row r="6233" spans="1:5" x14ac:dyDescent="0.25">
      <c r="A6233" s="32" t="s">
        <v>767</v>
      </c>
      <c r="B6233" s="7">
        <v>2023</v>
      </c>
      <c r="C6233" s="51" t="s">
        <v>713</v>
      </c>
      <c r="D6233" t="s">
        <v>765</v>
      </c>
      <c r="E6233" s="2">
        <v>8.5000000000000006E-2</v>
      </c>
    </row>
    <row r="6234" spans="1:5" x14ac:dyDescent="0.25">
      <c r="A6234" s="32" t="s">
        <v>767</v>
      </c>
      <c r="B6234" s="7">
        <v>2023</v>
      </c>
      <c r="C6234" s="51" t="s">
        <v>707</v>
      </c>
      <c r="D6234" t="s">
        <v>765</v>
      </c>
      <c r="E6234" s="2">
        <v>0.104</v>
      </c>
    </row>
    <row r="6235" spans="1:5" x14ac:dyDescent="0.25">
      <c r="A6235" s="32" t="s">
        <v>767</v>
      </c>
      <c r="B6235" s="7">
        <v>2023</v>
      </c>
      <c r="C6235" s="51" t="s">
        <v>708</v>
      </c>
      <c r="D6235" t="s">
        <v>765</v>
      </c>
      <c r="E6235" s="2">
        <v>0.13</v>
      </c>
    </row>
    <row r="6236" spans="1:5" x14ac:dyDescent="0.25">
      <c r="A6236" s="32" t="s">
        <v>767</v>
      </c>
      <c r="B6236" s="7">
        <v>2023</v>
      </c>
      <c r="C6236" s="51" t="s">
        <v>699</v>
      </c>
      <c r="D6236" t="s">
        <v>765</v>
      </c>
      <c r="E6236" s="2">
        <v>0.13</v>
      </c>
    </row>
    <row r="6237" spans="1:5" x14ac:dyDescent="0.25">
      <c r="A6237" s="32" t="s">
        <v>767</v>
      </c>
      <c r="B6237" s="7">
        <v>2023</v>
      </c>
      <c r="C6237" s="51" t="s">
        <v>709</v>
      </c>
      <c r="D6237" t="s">
        <v>765</v>
      </c>
      <c r="E6237" s="2">
        <v>0.13</v>
      </c>
    </row>
    <row r="6238" spans="1:5" x14ac:dyDescent="0.25">
      <c r="A6238" s="32" t="s">
        <v>767</v>
      </c>
      <c r="B6238" s="7">
        <v>2023</v>
      </c>
      <c r="C6238" s="51" t="s">
        <v>712</v>
      </c>
      <c r="D6238" t="s">
        <v>765</v>
      </c>
      <c r="E6238" s="2">
        <v>0.11</v>
      </c>
    </row>
    <row r="6239" spans="1:5" x14ac:dyDescent="0.25">
      <c r="A6239" s="32" t="s">
        <v>767</v>
      </c>
      <c r="B6239" s="7">
        <v>2023</v>
      </c>
      <c r="C6239" s="51" t="s">
        <v>710</v>
      </c>
      <c r="D6239" t="s">
        <v>765</v>
      </c>
      <c r="E6239" s="2">
        <v>0.12</v>
      </c>
    </row>
    <row r="6240" spans="1:5" x14ac:dyDescent="0.25">
      <c r="A6240" s="32" t="s">
        <v>767</v>
      </c>
      <c r="B6240" s="7">
        <v>2023</v>
      </c>
      <c r="C6240" s="51" t="s">
        <v>702</v>
      </c>
      <c r="D6240" t="s">
        <v>765</v>
      </c>
      <c r="E6240" s="2">
        <v>0.14000000000000001</v>
      </c>
    </row>
    <row r="6241" spans="1:5" x14ac:dyDescent="0.25">
      <c r="A6241" s="32" t="s">
        <v>767</v>
      </c>
      <c r="B6241" s="7">
        <v>2023</v>
      </c>
      <c r="C6241" s="51" t="s">
        <v>703</v>
      </c>
      <c r="D6241" t="s">
        <v>765</v>
      </c>
      <c r="E6241" s="2">
        <v>1.7000000000000001E-2</v>
      </c>
    </row>
    <row r="6242" spans="1:5" x14ac:dyDescent="0.25">
      <c r="A6242" s="32" t="s">
        <v>767</v>
      </c>
      <c r="B6242" s="7">
        <v>1997</v>
      </c>
      <c r="C6242" s="51" t="s">
        <v>704</v>
      </c>
      <c r="D6242" t="s">
        <v>741</v>
      </c>
    </row>
    <row r="6243" spans="1:5" x14ac:dyDescent="0.25">
      <c r="A6243" s="32" t="s">
        <v>767</v>
      </c>
      <c r="B6243" s="7">
        <v>1997</v>
      </c>
      <c r="C6243" s="51" t="s">
        <v>705</v>
      </c>
      <c r="D6243" t="s">
        <v>741</v>
      </c>
    </row>
    <row r="6244" spans="1:5" x14ac:dyDescent="0.25">
      <c r="A6244" s="32" t="s">
        <v>767</v>
      </c>
      <c r="B6244" s="7">
        <v>1997</v>
      </c>
      <c r="C6244" s="51" t="s">
        <v>706</v>
      </c>
      <c r="D6244" t="s">
        <v>741</v>
      </c>
    </row>
    <row r="6245" spans="1:5" x14ac:dyDescent="0.25">
      <c r="A6245" s="32" t="s">
        <v>767</v>
      </c>
      <c r="B6245" s="7">
        <v>1998</v>
      </c>
      <c r="C6245" s="51" t="s">
        <v>713</v>
      </c>
      <c r="D6245" t="s">
        <v>741</v>
      </c>
    </row>
    <row r="6246" spans="1:5" x14ac:dyDescent="0.25">
      <c r="A6246" s="32" t="s">
        <v>767</v>
      </c>
      <c r="B6246" s="7">
        <v>1998</v>
      </c>
      <c r="C6246" s="51" t="s">
        <v>707</v>
      </c>
      <c r="D6246" t="s">
        <v>741</v>
      </c>
    </row>
    <row r="6247" spans="1:5" x14ac:dyDescent="0.25">
      <c r="A6247" s="32" t="s">
        <v>767</v>
      </c>
      <c r="B6247" s="7">
        <v>1998</v>
      </c>
      <c r="C6247" s="51" t="s">
        <v>708</v>
      </c>
      <c r="D6247" t="s">
        <v>741</v>
      </c>
    </row>
    <row r="6248" spans="1:5" x14ac:dyDescent="0.25">
      <c r="A6248" s="32" t="s">
        <v>767</v>
      </c>
      <c r="B6248" s="7">
        <v>1998</v>
      </c>
      <c r="C6248" s="51" t="s">
        <v>699</v>
      </c>
      <c r="D6248" t="s">
        <v>741</v>
      </c>
    </row>
    <row r="6249" spans="1:5" x14ac:dyDescent="0.25">
      <c r="A6249" s="32" t="s">
        <v>767</v>
      </c>
      <c r="B6249" s="7">
        <v>1998</v>
      </c>
      <c r="C6249" s="51" t="s">
        <v>709</v>
      </c>
      <c r="D6249" t="s">
        <v>741</v>
      </c>
    </row>
    <row r="6250" spans="1:5" x14ac:dyDescent="0.25">
      <c r="A6250" s="32" t="s">
        <v>767</v>
      </c>
      <c r="B6250" s="7">
        <v>1998</v>
      </c>
      <c r="C6250" s="51" t="s">
        <v>712</v>
      </c>
      <c r="D6250" t="s">
        <v>741</v>
      </c>
    </row>
    <row r="6251" spans="1:5" x14ac:dyDescent="0.25">
      <c r="A6251" s="32" t="s">
        <v>767</v>
      </c>
      <c r="B6251" s="7">
        <v>1998</v>
      </c>
      <c r="C6251" s="51" t="s">
        <v>710</v>
      </c>
      <c r="D6251" t="s">
        <v>741</v>
      </c>
    </row>
    <row r="6252" spans="1:5" x14ac:dyDescent="0.25">
      <c r="A6252" s="32" t="s">
        <v>767</v>
      </c>
      <c r="B6252" s="7">
        <v>1998</v>
      </c>
      <c r="C6252" s="51" t="s">
        <v>702</v>
      </c>
      <c r="D6252" t="s">
        <v>741</v>
      </c>
    </row>
    <row r="6253" spans="1:5" x14ac:dyDescent="0.25">
      <c r="A6253" s="32" t="s">
        <v>767</v>
      </c>
      <c r="B6253" s="7">
        <v>1998</v>
      </c>
      <c r="C6253" s="51" t="s">
        <v>703</v>
      </c>
      <c r="D6253" t="s">
        <v>741</v>
      </c>
    </row>
    <row r="6254" spans="1:5" x14ac:dyDescent="0.25">
      <c r="A6254" s="32" t="s">
        <v>767</v>
      </c>
      <c r="B6254" s="7">
        <v>1998</v>
      </c>
      <c r="C6254" s="51" t="s">
        <v>704</v>
      </c>
      <c r="D6254" t="s">
        <v>741</v>
      </c>
    </row>
    <row r="6255" spans="1:5" x14ac:dyDescent="0.25">
      <c r="A6255" s="32" t="s">
        <v>767</v>
      </c>
      <c r="B6255" s="7">
        <v>1998</v>
      </c>
      <c r="C6255" s="51" t="s">
        <v>705</v>
      </c>
      <c r="D6255" t="s">
        <v>741</v>
      </c>
    </row>
    <row r="6256" spans="1:5" x14ac:dyDescent="0.25">
      <c r="A6256" s="32" t="s">
        <v>767</v>
      </c>
      <c r="B6256" s="7">
        <v>1998</v>
      </c>
      <c r="C6256" s="51" t="s">
        <v>706</v>
      </c>
      <c r="D6256" t="s">
        <v>741</v>
      </c>
    </row>
    <row r="6257" spans="1:4" x14ac:dyDescent="0.25">
      <c r="A6257" s="32" t="s">
        <v>767</v>
      </c>
      <c r="B6257" s="7">
        <v>1999</v>
      </c>
      <c r="C6257" s="51" t="s">
        <v>713</v>
      </c>
      <c r="D6257" t="s">
        <v>741</v>
      </c>
    </row>
    <row r="6258" spans="1:4" x14ac:dyDescent="0.25">
      <c r="A6258" s="32" t="s">
        <v>767</v>
      </c>
      <c r="B6258" s="7">
        <v>1999</v>
      </c>
      <c r="C6258" s="51" t="s">
        <v>707</v>
      </c>
      <c r="D6258" t="s">
        <v>741</v>
      </c>
    </row>
    <row r="6259" spans="1:4" x14ac:dyDescent="0.25">
      <c r="A6259" s="32" t="s">
        <v>767</v>
      </c>
      <c r="B6259" s="7">
        <v>1999</v>
      </c>
      <c r="C6259" s="51" t="s">
        <v>708</v>
      </c>
      <c r="D6259" t="s">
        <v>741</v>
      </c>
    </row>
    <row r="6260" spans="1:4" x14ac:dyDescent="0.25">
      <c r="A6260" s="32" t="s">
        <v>767</v>
      </c>
      <c r="B6260" s="7">
        <v>1999</v>
      </c>
      <c r="C6260" s="51" t="s">
        <v>699</v>
      </c>
      <c r="D6260" t="s">
        <v>741</v>
      </c>
    </row>
    <row r="6261" spans="1:4" x14ac:dyDescent="0.25">
      <c r="A6261" s="32" t="s">
        <v>767</v>
      </c>
      <c r="B6261" s="7">
        <v>1999</v>
      </c>
      <c r="C6261" s="51" t="s">
        <v>709</v>
      </c>
      <c r="D6261" t="s">
        <v>741</v>
      </c>
    </row>
    <row r="6262" spans="1:4" x14ac:dyDescent="0.25">
      <c r="A6262" s="32" t="s">
        <v>767</v>
      </c>
      <c r="B6262" s="7">
        <v>1999</v>
      </c>
      <c r="C6262" s="51" t="s">
        <v>712</v>
      </c>
      <c r="D6262" t="s">
        <v>741</v>
      </c>
    </row>
    <row r="6263" spans="1:4" x14ac:dyDescent="0.25">
      <c r="A6263" s="32" t="s">
        <v>767</v>
      </c>
      <c r="B6263" s="7">
        <v>1999</v>
      </c>
      <c r="C6263" s="51" t="s">
        <v>710</v>
      </c>
      <c r="D6263" t="s">
        <v>741</v>
      </c>
    </row>
    <row r="6264" spans="1:4" x14ac:dyDescent="0.25">
      <c r="A6264" s="32" t="s">
        <v>767</v>
      </c>
      <c r="B6264" s="7">
        <v>1999</v>
      </c>
      <c r="C6264" s="51" t="s">
        <v>702</v>
      </c>
      <c r="D6264" t="s">
        <v>741</v>
      </c>
    </row>
    <row r="6265" spans="1:4" x14ac:dyDescent="0.25">
      <c r="A6265" s="32" t="s">
        <v>767</v>
      </c>
      <c r="B6265" s="7">
        <v>1999</v>
      </c>
      <c r="C6265" s="51" t="s">
        <v>703</v>
      </c>
      <c r="D6265" t="s">
        <v>741</v>
      </c>
    </row>
    <row r="6266" spans="1:4" x14ac:dyDescent="0.25">
      <c r="A6266" s="32" t="s">
        <v>767</v>
      </c>
      <c r="B6266" s="7">
        <v>1999</v>
      </c>
      <c r="C6266" s="51" t="s">
        <v>704</v>
      </c>
      <c r="D6266" t="s">
        <v>741</v>
      </c>
    </row>
    <row r="6267" spans="1:4" x14ac:dyDescent="0.25">
      <c r="A6267" s="32" t="s">
        <v>767</v>
      </c>
      <c r="B6267" s="7">
        <v>1999</v>
      </c>
      <c r="C6267" s="51" t="s">
        <v>705</v>
      </c>
      <c r="D6267" t="s">
        <v>741</v>
      </c>
    </row>
    <row r="6268" spans="1:4" x14ac:dyDescent="0.25">
      <c r="A6268" s="32" t="s">
        <v>767</v>
      </c>
      <c r="B6268" s="7">
        <v>1999</v>
      </c>
      <c r="C6268" s="51" t="s">
        <v>706</v>
      </c>
      <c r="D6268" t="s">
        <v>741</v>
      </c>
    </row>
    <row r="6269" spans="1:4" x14ac:dyDescent="0.25">
      <c r="A6269" s="32" t="s">
        <v>767</v>
      </c>
      <c r="B6269" s="7">
        <v>2000</v>
      </c>
      <c r="C6269" s="51" t="s">
        <v>713</v>
      </c>
      <c r="D6269" t="s">
        <v>741</v>
      </c>
    </row>
    <row r="6270" spans="1:4" x14ac:dyDescent="0.25">
      <c r="A6270" s="32" t="s">
        <v>767</v>
      </c>
      <c r="B6270" s="7">
        <v>2000</v>
      </c>
      <c r="C6270" s="51" t="s">
        <v>707</v>
      </c>
      <c r="D6270" t="s">
        <v>741</v>
      </c>
    </row>
    <row r="6271" spans="1:4" x14ac:dyDescent="0.25">
      <c r="A6271" s="32" t="s">
        <v>767</v>
      </c>
      <c r="B6271" s="7">
        <v>2000</v>
      </c>
      <c r="C6271" s="51" t="s">
        <v>708</v>
      </c>
      <c r="D6271" t="s">
        <v>741</v>
      </c>
    </row>
    <row r="6272" spans="1:4" x14ac:dyDescent="0.25">
      <c r="A6272" s="32" t="s">
        <v>767</v>
      </c>
      <c r="B6272" s="7">
        <v>2000</v>
      </c>
      <c r="C6272" s="51" t="s">
        <v>699</v>
      </c>
      <c r="D6272" t="s">
        <v>741</v>
      </c>
    </row>
    <row r="6273" spans="1:5" x14ac:dyDescent="0.25">
      <c r="A6273" s="32" t="s">
        <v>767</v>
      </c>
      <c r="B6273" s="7">
        <v>2000</v>
      </c>
      <c r="C6273" s="51" t="s">
        <v>709</v>
      </c>
      <c r="D6273" t="s">
        <v>741</v>
      </c>
    </row>
    <row r="6274" spans="1:5" x14ac:dyDescent="0.25">
      <c r="A6274" s="32" t="s">
        <v>767</v>
      </c>
      <c r="B6274" s="7">
        <v>2000</v>
      </c>
      <c r="C6274" s="51" t="s">
        <v>712</v>
      </c>
      <c r="D6274" t="s">
        <v>741</v>
      </c>
    </row>
    <row r="6275" spans="1:5" x14ac:dyDescent="0.25">
      <c r="A6275" s="32" t="s">
        <v>767</v>
      </c>
      <c r="B6275" s="7">
        <v>2000</v>
      </c>
      <c r="C6275" s="51" t="s">
        <v>710</v>
      </c>
      <c r="D6275" t="s">
        <v>741</v>
      </c>
    </row>
    <row r="6276" spans="1:5" x14ac:dyDescent="0.25">
      <c r="A6276" s="32" t="s">
        <v>767</v>
      </c>
      <c r="B6276" s="7">
        <v>2000</v>
      </c>
      <c r="C6276" s="51" t="s">
        <v>702</v>
      </c>
      <c r="D6276" t="s">
        <v>741</v>
      </c>
    </row>
    <row r="6277" spans="1:5" x14ac:dyDescent="0.25">
      <c r="A6277" s="32" t="s">
        <v>767</v>
      </c>
      <c r="B6277" s="7">
        <v>2000</v>
      </c>
      <c r="C6277" s="51" t="s">
        <v>703</v>
      </c>
      <c r="D6277" t="s">
        <v>741</v>
      </c>
    </row>
    <row r="6278" spans="1:5" x14ac:dyDescent="0.25">
      <c r="A6278" s="32" t="s">
        <v>767</v>
      </c>
      <c r="B6278" s="7">
        <v>2000</v>
      </c>
      <c r="C6278" s="51" t="s">
        <v>704</v>
      </c>
      <c r="D6278" t="s">
        <v>741</v>
      </c>
    </row>
    <row r="6279" spans="1:5" x14ac:dyDescent="0.25">
      <c r="A6279" s="32" t="s">
        <v>767</v>
      </c>
      <c r="B6279" s="7">
        <v>2000</v>
      </c>
      <c r="C6279" s="51" t="s">
        <v>705</v>
      </c>
      <c r="D6279" t="s">
        <v>741</v>
      </c>
    </row>
    <row r="6280" spans="1:5" x14ac:dyDescent="0.25">
      <c r="A6280" s="32" t="s">
        <v>767</v>
      </c>
      <c r="B6280" s="7">
        <v>2000</v>
      </c>
      <c r="C6280" s="51" t="s">
        <v>706</v>
      </c>
      <c r="D6280" t="s">
        <v>741</v>
      </c>
    </row>
    <row r="6281" spans="1:5" x14ac:dyDescent="0.25">
      <c r="A6281" s="32" t="s">
        <v>767</v>
      </c>
      <c r="B6281" s="7">
        <v>2001</v>
      </c>
      <c r="C6281" s="51" t="s">
        <v>713</v>
      </c>
      <c r="D6281" t="s">
        <v>741</v>
      </c>
    </row>
    <row r="6282" spans="1:5" x14ac:dyDescent="0.25">
      <c r="A6282" s="32" t="s">
        <v>767</v>
      </c>
      <c r="B6282" s="7">
        <v>2001</v>
      </c>
      <c r="C6282" s="51" t="s">
        <v>707</v>
      </c>
      <c r="D6282" t="s">
        <v>741</v>
      </c>
    </row>
    <row r="6283" spans="1:5" x14ac:dyDescent="0.25">
      <c r="A6283" s="32" t="s">
        <v>767</v>
      </c>
      <c r="B6283" s="7">
        <v>2001</v>
      </c>
      <c r="C6283" s="51" t="s">
        <v>708</v>
      </c>
      <c r="D6283" t="s">
        <v>741</v>
      </c>
    </row>
    <row r="6284" spans="1:5" x14ac:dyDescent="0.25">
      <c r="A6284" s="32" t="s">
        <v>767</v>
      </c>
      <c r="B6284" s="7">
        <v>2001</v>
      </c>
      <c r="C6284" s="51" t="s">
        <v>699</v>
      </c>
      <c r="D6284" t="s">
        <v>741</v>
      </c>
    </row>
    <row r="6285" spans="1:5" x14ac:dyDescent="0.25">
      <c r="A6285" s="32" t="s">
        <v>767</v>
      </c>
      <c r="B6285" s="7">
        <v>2001</v>
      </c>
      <c r="C6285" s="51" t="s">
        <v>709</v>
      </c>
      <c r="D6285" t="s">
        <v>741</v>
      </c>
      <c r="E6285" s="2">
        <v>0.17712</v>
      </c>
    </row>
    <row r="6286" spans="1:5" x14ac:dyDescent="0.25">
      <c r="A6286" s="32" t="s">
        <v>767</v>
      </c>
      <c r="B6286" s="7">
        <v>2001</v>
      </c>
      <c r="C6286" s="51" t="s">
        <v>712</v>
      </c>
      <c r="D6286" t="s">
        <v>741</v>
      </c>
      <c r="E6286" s="2">
        <v>0.35424</v>
      </c>
    </row>
    <row r="6287" spans="1:5" x14ac:dyDescent="0.25">
      <c r="A6287" s="32" t="s">
        <v>767</v>
      </c>
      <c r="B6287" s="7">
        <v>2001</v>
      </c>
      <c r="C6287" s="51" t="s">
        <v>710</v>
      </c>
      <c r="D6287" t="s">
        <v>741</v>
      </c>
      <c r="E6287" s="2">
        <v>0.29376000000000002</v>
      </c>
    </row>
    <row r="6288" spans="1:5" x14ac:dyDescent="0.25">
      <c r="A6288" s="32" t="s">
        <v>767</v>
      </c>
      <c r="B6288" s="7">
        <v>2001</v>
      </c>
      <c r="C6288" s="51" t="s">
        <v>702</v>
      </c>
      <c r="D6288" t="s">
        <v>741</v>
      </c>
      <c r="E6288" s="2">
        <v>0.432</v>
      </c>
    </row>
    <row r="6289" spans="1:5" x14ac:dyDescent="0.25">
      <c r="A6289" s="32" t="s">
        <v>767</v>
      </c>
      <c r="B6289" s="7">
        <v>2001</v>
      </c>
      <c r="C6289" s="51" t="s">
        <v>703</v>
      </c>
      <c r="D6289" t="s">
        <v>741</v>
      </c>
      <c r="E6289" s="2">
        <v>0.28511999999999998</v>
      </c>
    </row>
    <row r="6290" spans="1:5" x14ac:dyDescent="0.25">
      <c r="A6290" s="32" t="s">
        <v>767</v>
      </c>
      <c r="B6290" s="7">
        <v>2001</v>
      </c>
      <c r="C6290" s="51" t="s">
        <v>704</v>
      </c>
      <c r="D6290" t="s">
        <v>741</v>
      </c>
      <c r="E6290" s="2">
        <v>0.28944000000000003</v>
      </c>
    </row>
    <row r="6291" spans="1:5" x14ac:dyDescent="0.25">
      <c r="A6291" s="32" t="s">
        <v>767</v>
      </c>
      <c r="B6291" s="7">
        <v>2001</v>
      </c>
      <c r="C6291" s="51" t="s">
        <v>705</v>
      </c>
      <c r="D6291" t="s">
        <v>741</v>
      </c>
      <c r="E6291" s="2">
        <v>0.29376000000000002</v>
      </c>
    </row>
    <row r="6292" spans="1:5" x14ac:dyDescent="0.25">
      <c r="A6292" s="32" t="s">
        <v>767</v>
      </c>
      <c r="B6292" s="7">
        <v>2001</v>
      </c>
      <c r="C6292" s="51" t="s">
        <v>706</v>
      </c>
      <c r="D6292" t="s">
        <v>741</v>
      </c>
      <c r="E6292" s="2">
        <v>0.29807999999999996</v>
      </c>
    </row>
    <row r="6293" spans="1:5" x14ac:dyDescent="0.25">
      <c r="A6293" s="32" t="s">
        <v>767</v>
      </c>
      <c r="B6293" s="7">
        <v>2002</v>
      </c>
      <c r="C6293" s="51" t="s">
        <v>713</v>
      </c>
      <c r="D6293" t="s">
        <v>741</v>
      </c>
      <c r="E6293" s="2">
        <v>0.31103999999999998</v>
      </c>
    </row>
    <row r="6294" spans="1:5" x14ac:dyDescent="0.25">
      <c r="A6294" s="32" t="s">
        <v>767</v>
      </c>
      <c r="B6294" s="7">
        <v>2002</v>
      </c>
      <c r="C6294" s="51" t="s">
        <v>707</v>
      </c>
      <c r="D6294" t="s">
        <v>741</v>
      </c>
      <c r="E6294" s="2">
        <v>0.31103999999999998</v>
      </c>
    </row>
    <row r="6295" spans="1:5" x14ac:dyDescent="0.25">
      <c r="A6295" s="32" t="s">
        <v>767</v>
      </c>
      <c r="B6295" s="7">
        <v>2002</v>
      </c>
      <c r="C6295" s="51" t="s">
        <v>708</v>
      </c>
      <c r="D6295" t="s">
        <v>741</v>
      </c>
      <c r="E6295" s="2">
        <v>0.30671999999999999</v>
      </c>
    </row>
    <row r="6296" spans="1:5" x14ac:dyDescent="0.25">
      <c r="A6296" s="32" t="s">
        <v>767</v>
      </c>
      <c r="B6296" s="7">
        <v>2002</v>
      </c>
      <c r="C6296" s="51" t="s">
        <v>699</v>
      </c>
      <c r="D6296" t="s">
        <v>741</v>
      </c>
      <c r="E6296" s="2">
        <v>0.432</v>
      </c>
    </row>
    <row r="6297" spans="1:5" x14ac:dyDescent="0.25">
      <c r="A6297" s="32" t="s">
        <v>767</v>
      </c>
      <c r="B6297" s="7">
        <v>2002</v>
      </c>
      <c r="C6297" s="51" t="s">
        <v>709</v>
      </c>
      <c r="D6297" t="s">
        <v>741</v>
      </c>
      <c r="E6297" s="2">
        <v>0.29376000000000002</v>
      </c>
    </row>
    <row r="6298" spans="1:5" x14ac:dyDescent="0.25">
      <c r="A6298" s="32" t="s">
        <v>767</v>
      </c>
      <c r="B6298" s="7">
        <v>2002</v>
      </c>
      <c r="C6298" s="51" t="s">
        <v>712</v>
      </c>
      <c r="D6298" t="s">
        <v>741</v>
      </c>
      <c r="E6298" s="2">
        <v>0.34992000000000001</v>
      </c>
    </row>
    <row r="6299" spans="1:5" x14ac:dyDescent="0.25">
      <c r="A6299" s="32" t="s">
        <v>767</v>
      </c>
      <c r="B6299" s="7">
        <v>2002</v>
      </c>
      <c r="C6299" s="51" t="s">
        <v>710</v>
      </c>
      <c r="D6299" t="s">
        <v>741</v>
      </c>
      <c r="E6299" s="2">
        <v>0.34128000000000003</v>
      </c>
    </row>
    <row r="6300" spans="1:5" x14ac:dyDescent="0.25">
      <c r="A6300" s="32" t="s">
        <v>767</v>
      </c>
      <c r="B6300" s="7">
        <v>2002</v>
      </c>
      <c r="C6300" s="51" t="s">
        <v>702</v>
      </c>
      <c r="D6300" t="s">
        <v>741</v>
      </c>
      <c r="E6300" s="2">
        <v>0.36719999999999997</v>
      </c>
    </row>
    <row r="6301" spans="1:5" x14ac:dyDescent="0.25">
      <c r="A6301" s="32" t="s">
        <v>767</v>
      </c>
      <c r="B6301" s="7">
        <v>2002</v>
      </c>
      <c r="C6301" s="51" t="s">
        <v>703</v>
      </c>
      <c r="D6301" t="s">
        <v>741</v>
      </c>
      <c r="E6301" s="2">
        <v>0.32400000000000001</v>
      </c>
    </row>
    <row r="6302" spans="1:5" x14ac:dyDescent="0.25">
      <c r="A6302" s="32" t="s">
        <v>767</v>
      </c>
      <c r="B6302" s="7">
        <v>2002</v>
      </c>
      <c r="C6302" s="51" t="s">
        <v>704</v>
      </c>
      <c r="D6302" t="s">
        <v>741</v>
      </c>
      <c r="E6302" s="2">
        <v>0.33263999999999999</v>
      </c>
    </row>
    <row r="6303" spans="1:5" x14ac:dyDescent="0.25">
      <c r="A6303" s="32" t="s">
        <v>767</v>
      </c>
      <c r="B6303" s="7">
        <v>2002</v>
      </c>
      <c r="C6303" s="51" t="s">
        <v>705</v>
      </c>
      <c r="D6303" t="s">
        <v>741</v>
      </c>
      <c r="E6303" s="2">
        <v>0.36287999999999998</v>
      </c>
    </row>
    <row r="6304" spans="1:5" x14ac:dyDescent="0.25">
      <c r="A6304" s="32" t="s">
        <v>767</v>
      </c>
      <c r="B6304" s="7">
        <v>2002</v>
      </c>
      <c r="C6304" s="51" t="s">
        <v>706</v>
      </c>
      <c r="D6304" t="s">
        <v>741</v>
      </c>
      <c r="E6304" s="2">
        <v>0.40176000000000001</v>
      </c>
    </row>
    <row r="6305" spans="1:5" x14ac:dyDescent="0.25">
      <c r="A6305" s="32" t="s">
        <v>767</v>
      </c>
      <c r="B6305" s="7">
        <v>2003</v>
      </c>
      <c r="C6305" s="51" t="s">
        <v>713</v>
      </c>
      <c r="D6305" t="s">
        <v>741</v>
      </c>
      <c r="E6305" s="2">
        <v>0.34560000000000002</v>
      </c>
    </row>
    <row r="6306" spans="1:5" x14ac:dyDescent="0.25">
      <c r="A6306" s="32" t="s">
        <v>767</v>
      </c>
      <c r="B6306" s="7">
        <v>2003</v>
      </c>
      <c r="C6306" s="51" t="s">
        <v>707</v>
      </c>
      <c r="D6306" t="s">
        <v>741</v>
      </c>
      <c r="E6306" s="2">
        <v>0.32400000000000001</v>
      </c>
    </row>
    <row r="6307" spans="1:5" x14ac:dyDescent="0.25">
      <c r="A6307" s="32" t="s">
        <v>767</v>
      </c>
      <c r="B6307" s="7">
        <v>2003</v>
      </c>
      <c r="C6307" s="51" t="s">
        <v>708</v>
      </c>
      <c r="D6307" t="s">
        <v>741</v>
      </c>
      <c r="E6307" s="2">
        <v>0.33695999999999998</v>
      </c>
    </row>
    <row r="6308" spans="1:5" x14ac:dyDescent="0.25">
      <c r="A6308" s="32" t="s">
        <v>767</v>
      </c>
      <c r="B6308" s="7">
        <v>2003</v>
      </c>
      <c r="C6308" s="51" t="s">
        <v>699</v>
      </c>
      <c r="D6308" t="s">
        <v>741</v>
      </c>
      <c r="E6308" s="2" t="s">
        <v>729</v>
      </c>
    </row>
    <row r="6309" spans="1:5" x14ac:dyDescent="0.25">
      <c r="A6309" s="32" t="s">
        <v>767</v>
      </c>
      <c r="B6309" s="7">
        <v>2003</v>
      </c>
      <c r="C6309" s="51" t="s">
        <v>709</v>
      </c>
      <c r="D6309" t="s">
        <v>741</v>
      </c>
      <c r="E6309" s="2">
        <v>0.23328000000000002</v>
      </c>
    </row>
    <row r="6310" spans="1:5" x14ac:dyDescent="0.25">
      <c r="A6310" s="32" t="s">
        <v>767</v>
      </c>
      <c r="B6310" s="7">
        <v>2003</v>
      </c>
      <c r="C6310" s="51" t="s">
        <v>712</v>
      </c>
      <c r="D6310" t="s">
        <v>741</v>
      </c>
      <c r="E6310" s="2">
        <v>0.432</v>
      </c>
    </row>
    <row r="6311" spans="1:5" x14ac:dyDescent="0.25">
      <c r="A6311" s="32" t="s">
        <v>767</v>
      </c>
      <c r="B6311" s="7">
        <v>2003</v>
      </c>
      <c r="C6311" s="51" t="s">
        <v>710</v>
      </c>
      <c r="D6311" t="s">
        <v>741</v>
      </c>
      <c r="E6311" s="2">
        <v>0.35424</v>
      </c>
    </row>
    <row r="6312" spans="1:5" x14ac:dyDescent="0.25">
      <c r="A6312" s="32" t="s">
        <v>767</v>
      </c>
      <c r="B6312" s="7">
        <v>2003</v>
      </c>
      <c r="C6312" s="51" t="s">
        <v>702</v>
      </c>
      <c r="D6312" t="s">
        <v>741</v>
      </c>
      <c r="E6312" s="2">
        <v>0.36719999999999997</v>
      </c>
    </row>
    <row r="6313" spans="1:5" x14ac:dyDescent="0.25">
      <c r="A6313" s="32" t="s">
        <v>767</v>
      </c>
      <c r="B6313" s="7">
        <v>2003</v>
      </c>
      <c r="C6313" s="51" t="s">
        <v>703</v>
      </c>
      <c r="D6313" t="s">
        <v>741</v>
      </c>
      <c r="E6313" s="2">
        <v>0.21168000000000001</v>
      </c>
    </row>
    <row r="6314" spans="1:5" x14ac:dyDescent="0.25">
      <c r="A6314" s="32" t="s">
        <v>767</v>
      </c>
      <c r="B6314" s="7">
        <v>2003</v>
      </c>
      <c r="C6314" s="51" t="s">
        <v>704</v>
      </c>
      <c r="D6314" t="s">
        <v>741</v>
      </c>
      <c r="E6314" s="2">
        <v>0.214</v>
      </c>
    </row>
    <row r="6315" spans="1:5" x14ac:dyDescent="0.25">
      <c r="A6315" s="32" t="s">
        <v>767</v>
      </c>
      <c r="B6315" s="7">
        <v>2003</v>
      </c>
      <c r="C6315" s="51" t="s">
        <v>705</v>
      </c>
      <c r="D6315" t="s">
        <v>741</v>
      </c>
      <c r="E6315" s="2">
        <v>0.39744000000000002</v>
      </c>
    </row>
    <row r="6316" spans="1:5" x14ac:dyDescent="0.25">
      <c r="A6316" s="32" t="s">
        <v>767</v>
      </c>
      <c r="B6316" s="7">
        <v>2003</v>
      </c>
      <c r="C6316" s="51" t="s">
        <v>706</v>
      </c>
      <c r="D6316" t="s">
        <v>741</v>
      </c>
      <c r="E6316" s="2">
        <v>0.255</v>
      </c>
    </row>
    <row r="6317" spans="1:5" x14ac:dyDescent="0.25">
      <c r="A6317" s="32" t="s">
        <v>767</v>
      </c>
      <c r="B6317" s="7">
        <v>2004</v>
      </c>
      <c r="C6317" s="51" t="s">
        <v>713</v>
      </c>
      <c r="D6317" t="s">
        <v>741</v>
      </c>
      <c r="E6317" s="2">
        <v>0.22600000000000001</v>
      </c>
    </row>
    <row r="6318" spans="1:5" x14ac:dyDescent="0.25">
      <c r="A6318" s="32" t="s">
        <v>767</v>
      </c>
      <c r="B6318" s="7">
        <v>2004</v>
      </c>
      <c r="C6318" s="51" t="s">
        <v>707</v>
      </c>
      <c r="D6318" t="s">
        <v>741</v>
      </c>
      <c r="E6318" s="2">
        <v>0.22700000000000001</v>
      </c>
    </row>
    <row r="6319" spans="1:5" x14ac:dyDescent="0.25">
      <c r="A6319" s="32" t="s">
        <v>767</v>
      </c>
      <c r="B6319" s="7">
        <v>2004</v>
      </c>
      <c r="C6319" s="51" t="s">
        <v>708</v>
      </c>
      <c r="D6319" t="s">
        <v>741</v>
      </c>
      <c r="E6319" s="2">
        <v>0.222</v>
      </c>
    </row>
    <row r="6320" spans="1:5" x14ac:dyDescent="0.25">
      <c r="A6320" s="32" t="s">
        <v>767</v>
      </c>
      <c r="B6320" s="7">
        <v>2004</v>
      </c>
      <c r="C6320" s="51" t="s">
        <v>699</v>
      </c>
      <c r="D6320" t="s">
        <v>741</v>
      </c>
      <c r="E6320" s="2">
        <v>0.22500000000000001</v>
      </c>
    </row>
    <row r="6321" spans="1:5" x14ac:dyDescent="0.25">
      <c r="A6321" s="32" t="s">
        <v>767</v>
      </c>
      <c r="B6321" s="7">
        <v>2004</v>
      </c>
      <c r="C6321" s="51" t="s">
        <v>709</v>
      </c>
      <c r="D6321" t="s">
        <v>741</v>
      </c>
      <c r="E6321" s="2">
        <v>0.23100000000000001</v>
      </c>
    </row>
    <row r="6322" spans="1:5" x14ac:dyDescent="0.25">
      <c r="A6322" s="32" t="s">
        <v>767</v>
      </c>
      <c r="B6322" s="7">
        <v>2004</v>
      </c>
      <c r="C6322" s="51" t="s">
        <v>712</v>
      </c>
      <c r="D6322" t="s">
        <v>741</v>
      </c>
      <c r="E6322" s="2">
        <v>0.23100000000000001</v>
      </c>
    </row>
    <row r="6323" spans="1:5" x14ac:dyDescent="0.25">
      <c r="A6323" s="32" t="s">
        <v>767</v>
      </c>
      <c r="B6323" s="7">
        <v>2004</v>
      </c>
      <c r="C6323" s="51" t="s">
        <v>710</v>
      </c>
      <c r="D6323" t="s">
        <v>741</v>
      </c>
      <c r="E6323" s="2">
        <v>0.22500000000000001</v>
      </c>
    </row>
    <row r="6324" spans="1:5" x14ac:dyDescent="0.25">
      <c r="A6324" s="32" t="s">
        <v>767</v>
      </c>
      <c r="B6324" s="7">
        <v>2004</v>
      </c>
      <c r="C6324" s="51" t="s">
        <v>702</v>
      </c>
      <c r="D6324" t="s">
        <v>741</v>
      </c>
      <c r="E6324" s="2">
        <v>0.22900000000000001</v>
      </c>
    </row>
    <row r="6325" spans="1:5" x14ac:dyDescent="0.25">
      <c r="A6325" s="32" t="s">
        <v>767</v>
      </c>
      <c r="B6325" s="7">
        <v>2004</v>
      </c>
      <c r="C6325" s="51" t="s">
        <v>703</v>
      </c>
      <c r="D6325" t="s">
        <v>741</v>
      </c>
      <c r="E6325" s="2">
        <v>0.222</v>
      </c>
    </row>
    <row r="6326" spans="1:5" x14ac:dyDescent="0.25">
      <c r="A6326" s="32" t="s">
        <v>767</v>
      </c>
      <c r="B6326" s="7">
        <v>2004</v>
      </c>
      <c r="C6326" s="51" t="s">
        <v>704</v>
      </c>
      <c r="D6326" t="s">
        <v>741</v>
      </c>
      <c r="E6326" s="2">
        <v>0.222</v>
      </c>
    </row>
    <row r="6327" spans="1:5" x14ac:dyDescent="0.25">
      <c r="A6327" s="32" t="s">
        <v>767</v>
      </c>
      <c r="B6327" s="7">
        <v>2004</v>
      </c>
      <c r="C6327" s="51" t="s">
        <v>705</v>
      </c>
      <c r="D6327" t="s">
        <v>741</v>
      </c>
      <c r="E6327" s="2">
        <v>0.23899999999999999</v>
      </c>
    </row>
    <row r="6328" spans="1:5" x14ac:dyDescent="0.25">
      <c r="A6328" s="32" t="s">
        <v>767</v>
      </c>
      <c r="B6328" s="7">
        <v>2004</v>
      </c>
      <c r="C6328" s="51" t="s">
        <v>706</v>
      </c>
      <c r="D6328" t="s">
        <v>741</v>
      </c>
      <c r="E6328" s="2">
        <v>0.23699999999999999</v>
      </c>
    </row>
    <row r="6329" spans="1:5" x14ac:dyDescent="0.25">
      <c r="A6329" s="32" t="s">
        <v>767</v>
      </c>
      <c r="B6329" s="7">
        <v>2005</v>
      </c>
      <c r="C6329" s="51" t="s">
        <v>713</v>
      </c>
      <c r="D6329" t="s">
        <v>741</v>
      </c>
      <c r="E6329" s="2">
        <v>0.21299999999999999</v>
      </c>
    </row>
    <row r="6330" spans="1:5" x14ac:dyDescent="0.25">
      <c r="A6330" s="32" t="s">
        <v>767</v>
      </c>
      <c r="B6330" s="7">
        <v>2005</v>
      </c>
      <c r="C6330" s="51" t="s">
        <v>707</v>
      </c>
      <c r="D6330" t="s">
        <v>741</v>
      </c>
      <c r="E6330" s="2">
        <v>0.219</v>
      </c>
    </row>
    <row r="6331" spans="1:5" x14ac:dyDescent="0.25">
      <c r="A6331" s="32" t="s">
        <v>767</v>
      </c>
      <c r="B6331" s="7">
        <v>2005</v>
      </c>
      <c r="C6331" s="51" t="s">
        <v>708</v>
      </c>
      <c r="D6331" t="s">
        <v>741</v>
      </c>
      <c r="E6331" s="2">
        <v>0.23499999999999999</v>
      </c>
    </row>
    <row r="6332" spans="1:5" x14ac:dyDescent="0.25">
      <c r="A6332" s="32" t="s">
        <v>767</v>
      </c>
      <c r="B6332" s="7">
        <v>2005</v>
      </c>
      <c r="C6332" s="51" t="s">
        <v>699</v>
      </c>
      <c r="D6332" t="s">
        <v>741</v>
      </c>
      <c r="E6332" s="2">
        <v>0.23599999999999999</v>
      </c>
    </row>
    <row r="6333" spans="1:5" x14ac:dyDescent="0.25">
      <c r="A6333" s="32" t="s">
        <v>767</v>
      </c>
      <c r="B6333" s="7">
        <v>2005</v>
      </c>
      <c r="C6333" s="51" t="s">
        <v>709</v>
      </c>
      <c r="D6333" t="s">
        <v>741</v>
      </c>
      <c r="E6333" s="2">
        <v>0.221</v>
      </c>
    </row>
    <row r="6334" spans="1:5" x14ac:dyDescent="0.25">
      <c r="A6334" s="32" t="s">
        <v>767</v>
      </c>
      <c r="B6334" s="7">
        <v>2005</v>
      </c>
      <c r="C6334" s="51" t="s">
        <v>712</v>
      </c>
      <c r="D6334" t="s">
        <v>741</v>
      </c>
      <c r="E6334" s="2">
        <v>0.25600000000000001</v>
      </c>
    </row>
    <row r="6335" spans="1:5" x14ac:dyDescent="0.25">
      <c r="A6335" s="32" t="s">
        <v>767</v>
      </c>
      <c r="B6335" s="7">
        <v>2005</v>
      </c>
      <c r="C6335" s="51" t="s">
        <v>710</v>
      </c>
      <c r="D6335" t="s">
        <v>741</v>
      </c>
      <c r="E6335" s="2">
        <v>0.26100000000000001</v>
      </c>
    </row>
    <row r="6336" spans="1:5" x14ac:dyDescent="0.25">
      <c r="A6336" s="32" t="s">
        <v>767</v>
      </c>
      <c r="B6336" s="7">
        <v>2005</v>
      </c>
      <c r="C6336" s="51" t="s">
        <v>702</v>
      </c>
      <c r="D6336" t="s">
        <v>741</v>
      </c>
      <c r="E6336" s="2">
        <v>0.217</v>
      </c>
    </row>
    <row r="6337" spans="1:5" x14ac:dyDescent="0.25">
      <c r="A6337" s="32" t="s">
        <v>767</v>
      </c>
      <c r="B6337" s="7">
        <v>2005</v>
      </c>
      <c r="C6337" s="51" t="s">
        <v>703</v>
      </c>
      <c r="D6337" t="s">
        <v>741</v>
      </c>
      <c r="E6337" s="2">
        <v>0.222</v>
      </c>
    </row>
    <row r="6338" spans="1:5" x14ac:dyDescent="0.25">
      <c r="A6338" s="32" t="s">
        <v>767</v>
      </c>
      <c r="B6338" s="7">
        <v>2005</v>
      </c>
      <c r="C6338" s="51" t="s">
        <v>704</v>
      </c>
      <c r="D6338" t="s">
        <v>741</v>
      </c>
      <c r="E6338" s="2">
        <v>0.24199999999999999</v>
      </c>
    </row>
    <row r="6339" spans="1:5" x14ac:dyDescent="0.25">
      <c r="A6339" s="32" t="s">
        <v>767</v>
      </c>
      <c r="B6339" s="7">
        <v>2005</v>
      </c>
      <c r="C6339" s="51" t="s">
        <v>705</v>
      </c>
      <c r="D6339" t="s">
        <v>741</v>
      </c>
      <c r="E6339" s="2">
        <v>0.249</v>
      </c>
    </row>
    <row r="6340" spans="1:5" x14ac:dyDescent="0.25">
      <c r="A6340" s="32" t="s">
        <v>767</v>
      </c>
      <c r="B6340" s="7">
        <v>2005</v>
      </c>
      <c r="C6340" s="51" t="s">
        <v>706</v>
      </c>
      <c r="D6340" t="s">
        <v>741</v>
      </c>
      <c r="E6340" s="2">
        <v>0.26</v>
      </c>
    </row>
    <row r="6341" spans="1:5" x14ac:dyDescent="0.25">
      <c r="A6341" s="32" t="s">
        <v>767</v>
      </c>
      <c r="B6341" s="7">
        <v>2006</v>
      </c>
      <c r="C6341" s="51" t="s">
        <v>713</v>
      </c>
      <c r="D6341" t="s">
        <v>741</v>
      </c>
      <c r="E6341" s="2">
        <v>0.26300000000000001</v>
      </c>
    </row>
    <row r="6342" spans="1:5" x14ac:dyDescent="0.25">
      <c r="A6342" s="32" t="s">
        <v>767</v>
      </c>
      <c r="B6342" s="7">
        <v>2006</v>
      </c>
      <c r="C6342" s="51" t="s">
        <v>707</v>
      </c>
      <c r="D6342" t="s">
        <v>741</v>
      </c>
      <c r="E6342" s="2">
        <v>0.22500000000000001</v>
      </c>
    </row>
    <row r="6343" spans="1:5" x14ac:dyDescent="0.25">
      <c r="A6343" s="32" t="s">
        <v>767</v>
      </c>
      <c r="B6343" s="7">
        <v>2006</v>
      </c>
      <c r="C6343" s="51" t="s">
        <v>708</v>
      </c>
      <c r="D6343" t="s">
        <v>741</v>
      </c>
      <c r="E6343" s="2">
        <v>0.23400000000000001</v>
      </c>
    </row>
    <row r="6344" spans="1:5" x14ac:dyDescent="0.25">
      <c r="A6344" s="32" t="s">
        <v>767</v>
      </c>
      <c r="B6344" s="7">
        <v>2006</v>
      </c>
      <c r="C6344" s="51" t="s">
        <v>699</v>
      </c>
      <c r="D6344" t="s">
        <v>741</v>
      </c>
      <c r="E6344" s="2">
        <v>0.23200000000000001</v>
      </c>
    </row>
    <row r="6345" spans="1:5" x14ac:dyDescent="0.25">
      <c r="A6345" s="32" t="s">
        <v>767</v>
      </c>
      <c r="B6345" s="7">
        <v>2006</v>
      </c>
      <c r="C6345" s="51" t="s">
        <v>709</v>
      </c>
      <c r="D6345" t="s">
        <v>741</v>
      </c>
      <c r="E6345" s="2">
        <v>0.23100000000000001</v>
      </c>
    </row>
    <row r="6346" spans="1:5" x14ac:dyDescent="0.25">
      <c r="A6346" s="32" t="s">
        <v>767</v>
      </c>
      <c r="B6346" s="7">
        <v>2006</v>
      </c>
      <c r="C6346" s="51" t="s">
        <v>712</v>
      </c>
      <c r="D6346" t="s">
        <v>741</v>
      </c>
      <c r="E6346" s="2">
        <v>0.24399999999999999</v>
      </c>
    </row>
    <row r="6347" spans="1:5" x14ac:dyDescent="0.25">
      <c r="A6347" s="32" t="s">
        <v>767</v>
      </c>
      <c r="B6347" s="7">
        <v>2006</v>
      </c>
      <c r="C6347" s="51" t="s">
        <v>710</v>
      </c>
      <c r="D6347" t="s">
        <v>741</v>
      </c>
      <c r="E6347" s="2">
        <v>0.24399999999999999</v>
      </c>
    </row>
    <row r="6348" spans="1:5" x14ac:dyDescent="0.25">
      <c r="A6348" s="32" t="s">
        <v>767</v>
      </c>
      <c r="B6348" s="7">
        <v>2006</v>
      </c>
      <c r="C6348" s="51" t="s">
        <v>702</v>
      </c>
      <c r="D6348" t="s">
        <v>741</v>
      </c>
      <c r="E6348" s="2">
        <v>0.24299999999999999</v>
      </c>
    </row>
    <row r="6349" spans="1:5" x14ac:dyDescent="0.25">
      <c r="A6349" s="32" t="s">
        <v>767</v>
      </c>
      <c r="B6349" s="7">
        <v>2006</v>
      </c>
      <c r="C6349" s="51" t="s">
        <v>703</v>
      </c>
      <c r="D6349" t="s">
        <v>741</v>
      </c>
      <c r="E6349" s="2">
        <v>0.251</v>
      </c>
    </row>
    <row r="6350" spans="1:5" x14ac:dyDescent="0.25">
      <c r="A6350" s="32" t="s">
        <v>767</v>
      </c>
      <c r="B6350" s="7">
        <v>2006</v>
      </c>
      <c r="C6350" s="51" t="s">
        <v>704</v>
      </c>
      <c r="D6350" t="s">
        <v>741</v>
      </c>
      <c r="E6350" s="2">
        <v>0.255</v>
      </c>
    </row>
    <row r="6351" spans="1:5" x14ac:dyDescent="0.25">
      <c r="A6351" s="32" t="s">
        <v>767</v>
      </c>
      <c r="B6351" s="7">
        <v>2006</v>
      </c>
      <c r="C6351" s="51" t="s">
        <v>705</v>
      </c>
      <c r="D6351" t="s">
        <v>741</v>
      </c>
      <c r="E6351" s="2">
        <v>0.27600000000000002</v>
      </c>
    </row>
    <row r="6352" spans="1:5" x14ac:dyDescent="0.25">
      <c r="A6352" s="32" t="s">
        <v>767</v>
      </c>
      <c r="B6352" s="7">
        <v>2006</v>
      </c>
      <c r="C6352" s="51" t="s">
        <v>706</v>
      </c>
      <c r="D6352" t="s">
        <v>741</v>
      </c>
      <c r="E6352" s="2">
        <v>0.28699999999999998</v>
      </c>
    </row>
    <row r="6353" spans="1:5" x14ac:dyDescent="0.25">
      <c r="A6353" s="32" t="s">
        <v>767</v>
      </c>
      <c r="B6353" s="7">
        <v>2007</v>
      </c>
      <c r="C6353" s="51" t="s">
        <v>713</v>
      </c>
      <c r="D6353" t="s">
        <v>741</v>
      </c>
      <c r="E6353" s="2">
        <v>0.26100000000000001</v>
      </c>
    </row>
    <row r="6354" spans="1:5" x14ac:dyDescent="0.25">
      <c r="A6354" s="32" t="s">
        <v>767</v>
      </c>
      <c r="B6354" s="7">
        <v>2007</v>
      </c>
      <c r="C6354" s="51" t="s">
        <v>707</v>
      </c>
      <c r="D6354" t="s">
        <v>741</v>
      </c>
      <c r="E6354" s="2">
        <v>0.27700000000000002</v>
      </c>
    </row>
    <row r="6355" spans="1:5" x14ac:dyDescent="0.25">
      <c r="A6355" s="32" t="s">
        <v>767</v>
      </c>
      <c r="B6355" s="7">
        <v>2007</v>
      </c>
      <c r="C6355" s="51" t="s">
        <v>708</v>
      </c>
      <c r="D6355" t="s">
        <v>741</v>
      </c>
      <c r="E6355" s="2">
        <v>0.27500000000000002</v>
      </c>
    </row>
    <row r="6356" spans="1:5" x14ac:dyDescent="0.25">
      <c r="A6356" s="32" t="s">
        <v>767</v>
      </c>
      <c r="B6356" s="7">
        <v>2007</v>
      </c>
      <c r="C6356" s="51" t="s">
        <v>699</v>
      </c>
      <c r="D6356" t="s">
        <v>741</v>
      </c>
      <c r="E6356" s="2">
        <v>0.26800000000000002</v>
      </c>
    </row>
    <row r="6357" spans="1:5" x14ac:dyDescent="0.25">
      <c r="A6357" s="32" t="s">
        <v>767</v>
      </c>
      <c r="B6357" s="7">
        <v>2007</v>
      </c>
      <c r="C6357" s="51" t="s">
        <v>709</v>
      </c>
      <c r="D6357" t="s">
        <v>741</v>
      </c>
      <c r="E6357" s="2">
        <v>0.27</v>
      </c>
    </row>
    <row r="6358" spans="1:5" x14ac:dyDescent="0.25">
      <c r="A6358" s="32" t="s">
        <v>767</v>
      </c>
      <c r="B6358" s="7">
        <v>2007</v>
      </c>
      <c r="C6358" s="51" t="s">
        <v>712</v>
      </c>
      <c r="D6358" t="s">
        <v>741</v>
      </c>
      <c r="E6358" s="2">
        <v>0.28000000000000003</v>
      </c>
    </row>
    <row r="6359" spans="1:5" x14ac:dyDescent="0.25">
      <c r="A6359" s="32" t="s">
        <v>767</v>
      </c>
      <c r="B6359" s="7">
        <v>2007</v>
      </c>
      <c r="C6359" s="51" t="s">
        <v>710</v>
      </c>
      <c r="D6359" t="s">
        <v>741</v>
      </c>
      <c r="E6359" s="2">
        <v>0.26200000000000001</v>
      </c>
    </row>
    <row r="6360" spans="1:5" x14ac:dyDescent="0.25">
      <c r="A6360" s="32" t="s">
        <v>767</v>
      </c>
      <c r="B6360" s="7">
        <v>2007</v>
      </c>
      <c r="C6360" s="51" t="s">
        <v>702</v>
      </c>
      <c r="D6360" t="s">
        <v>741</v>
      </c>
      <c r="E6360" s="2">
        <v>0.27900000000000003</v>
      </c>
    </row>
    <row r="6361" spans="1:5" x14ac:dyDescent="0.25">
      <c r="A6361" s="32" t="s">
        <v>767</v>
      </c>
      <c r="B6361" s="7">
        <v>2007</v>
      </c>
      <c r="C6361" s="51" t="s">
        <v>703</v>
      </c>
      <c r="D6361" t="s">
        <v>741</v>
      </c>
      <c r="E6361" s="2">
        <v>0.28699999999999998</v>
      </c>
    </row>
    <row r="6362" spans="1:5" x14ac:dyDescent="0.25">
      <c r="A6362" s="32" t="s">
        <v>767</v>
      </c>
      <c r="B6362" s="7">
        <v>2007</v>
      </c>
      <c r="C6362" s="51" t="s">
        <v>704</v>
      </c>
      <c r="D6362" t="s">
        <v>741</v>
      </c>
      <c r="E6362" s="2">
        <v>0.32100000000000001</v>
      </c>
    </row>
    <row r="6363" spans="1:5" x14ac:dyDescent="0.25">
      <c r="A6363" s="32" t="s">
        <v>767</v>
      </c>
      <c r="B6363" s="7">
        <v>2007</v>
      </c>
      <c r="C6363" s="51" t="s">
        <v>705</v>
      </c>
      <c r="D6363" t="s">
        <v>741</v>
      </c>
      <c r="E6363" s="2">
        <v>0.32300000000000001</v>
      </c>
    </row>
    <row r="6364" spans="1:5" x14ac:dyDescent="0.25">
      <c r="A6364" s="32" t="s">
        <v>767</v>
      </c>
      <c r="B6364" s="7">
        <v>2007</v>
      </c>
      <c r="C6364" s="51" t="s">
        <v>706</v>
      </c>
      <c r="D6364" t="s">
        <v>741</v>
      </c>
      <c r="E6364" s="2">
        <v>0.33100000000000002</v>
      </c>
    </row>
    <row r="6365" spans="1:5" x14ac:dyDescent="0.25">
      <c r="A6365" s="32" t="s">
        <v>767</v>
      </c>
      <c r="B6365" s="7">
        <v>2008</v>
      </c>
      <c r="C6365" s="51" t="s">
        <v>713</v>
      </c>
      <c r="D6365" t="s">
        <v>741</v>
      </c>
      <c r="E6365" s="2">
        <v>0.30499999999999999</v>
      </c>
    </row>
    <row r="6366" spans="1:5" x14ac:dyDescent="0.25">
      <c r="A6366" s="32" t="s">
        <v>767</v>
      </c>
      <c r="B6366" s="7">
        <v>2008</v>
      </c>
      <c r="C6366" s="51" t="s">
        <v>707</v>
      </c>
      <c r="D6366" t="s">
        <v>741</v>
      </c>
      <c r="E6366" s="2">
        <v>0.32400000000000001</v>
      </c>
    </row>
    <row r="6367" spans="1:5" x14ac:dyDescent="0.25">
      <c r="A6367" s="32" t="s">
        <v>767</v>
      </c>
      <c r="B6367" s="7">
        <v>2008</v>
      </c>
      <c r="C6367" s="51" t="s">
        <v>708</v>
      </c>
      <c r="D6367" t="s">
        <v>741</v>
      </c>
      <c r="E6367" s="2">
        <v>0.30299999999999999</v>
      </c>
    </row>
    <row r="6368" spans="1:5" x14ac:dyDescent="0.25">
      <c r="A6368" s="32" t="s">
        <v>767</v>
      </c>
      <c r="B6368" s="7">
        <v>2008</v>
      </c>
      <c r="C6368" s="51" t="s">
        <v>699</v>
      </c>
      <c r="D6368" t="s">
        <v>741</v>
      </c>
      <c r="E6368" s="2">
        <v>9.9000000000000005E-2</v>
      </c>
    </row>
    <row r="6369" spans="1:5" x14ac:dyDescent="0.25">
      <c r="A6369" s="32" t="s">
        <v>767</v>
      </c>
      <c r="B6369" s="7">
        <v>2008</v>
      </c>
      <c r="C6369" s="51" t="s">
        <v>709</v>
      </c>
      <c r="D6369" t="s">
        <v>741</v>
      </c>
      <c r="E6369" s="2">
        <v>0.32300000000000001</v>
      </c>
    </row>
    <row r="6370" spans="1:5" x14ac:dyDescent="0.25">
      <c r="A6370" s="32" t="s">
        <v>767</v>
      </c>
      <c r="B6370" s="7">
        <v>2008</v>
      </c>
      <c r="C6370" s="51" t="s">
        <v>712</v>
      </c>
      <c r="D6370" t="s">
        <v>741</v>
      </c>
      <c r="E6370" s="2">
        <v>0.308</v>
      </c>
    </row>
    <row r="6371" spans="1:5" x14ac:dyDescent="0.25">
      <c r="A6371" s="32" t="s">
        <v>767</v>
      </c>
      <c r="B6371" s="7">
        <v>2008</v>
      </c>
      <c r="C6371" s="51" t="s">
        <v>710</v>
      </c>
      <c r="D6371" t="s">
        <v>741</v>
      </c>
      <c r="E6371" s="2">
        <v>0.28699999999999998</v>
      </c>
    </row>
    <row r="6372" spans="1:5" x14ac:dyDescent="0.25">
      <c r="A6372" s="32" t="s">
        <v>767</v>
      </c>
      <c r="B6372" s="7">
        <v>2008</v>
      </c>
      <c r="C6372" s="51" t="s">
        <v>702</v>
      </c>
      <c r="D6372" t="s">
        <v>741</v>
      </c>
      <c r="E6372" s="2">
        <v>0.29299999999999998</v>
      </c>
    </row>
    <row r="6373" spans="1:5" x14ac:dyDescent="0.25">
      <c r="A6373" s="32" t="s">
        <v>767</v>
      </c>
      <c r="B6373" s="7">
        <v>2008</v>
      </c>
      <c r="C6373" s="51" t="s">
        <v>703</v>
      </c>
      <c r="D6373" t="s">
        <v>741</v>
      </c>
      <c r="E6373" s="2">
        <v>0.32700000000000001</v>
      </c>
    </row>
    <row r="6374" spans="1:5" x14ac:dyDescent="0.25">
      <c r="A6374" s="32" t="s">
        <v>767</v>
      </c>
      <c r="B6374" s="7">
        <v>2008</v>
      </c>
      <c r="C6374" s="51" t="s">
        <v>704</v>
      </c>
      <c r="D6374" t="s">
        <v>741</v>
      </c>
      <c r="E6374" s="2">
        <v>0.32200000000000001</v>
      </c>
    </row>
    <row r="6375" spans="1:5" x14ac:dyDescent="0.25">
      <c r="A6375" s="32" t="s">
        <v>767</v>
      </c>
      <c r="B6375" s="7">
        <v>2008</v>
      </c>
      <c r="C6375" s="51" t="s">
        <v>705</v>
      </c>
      <c r="D6375" t="s">
        <v>741</v>
      </c>
      <c r="E6375" s="2">
        <v>0.317</v>
      </c>
    </row>
    <row r="6376" spans="1:5" x14ac:dyDescent="0.25">
      <c r="A6376" s="32" t="s">
        <v>767</v>
      </c>
      <c r="B6376" s="7">
        <v>2008</v>
      </c>
      <c r="C6376" s="51" t="s">
        <v>706</v>
      </c>
      <c r="D6376" t="s">
        <v>741</v>
      </c>
      <c r="E6376" s="2">
        <v>0.33100000000000002</v>
      </c>
    </row>
    <row r="6377" spans="1:5" x14ac:dyDescent="0.25">
      <c r="A6377" s="32" t="s">
        <v>767</v>
      </c>
      <c r="B6377" s="7">
        <v>2009</v>
      </c>
      <c r="C6377" s="51" t="s">
        <v>713</v>
      </c>
      <c r="D6377" t="s">
        <v>741</v>
      </c>
      <c r="E6377" s="2">
        <v>0.30599999999999999</v>
      </c>
    </row>
    <row r="6378" spans="1:5" x14ac:dyDescent="0.25">
      <c r="A6378" s="32" t="s">
        <v>767</v>
      </c>
      <c r="B6378" s="7">
        <v>2009</v>
      </c>
      <c r="C6378" s="51" t="s">
        <v>707</v>
      </c>
      <c r="D6378" t="s">
        <v>741</v>
      </c>
      <c r="E6378" s="2">
        <v>0.307</v>
      </c>
    </row>
    <row r="6379" spans="1:5" x14ac:dyDescent="0.25">
      <c r="A6379" s="32" t="s">
        <v>767</v>
      </c>
      <c r="B6379" s="7">
        <v>2009</v>
      </c>
      <c r="C6379" s="51" t="s">
        <v>708</v>
      </c>
      <c r="D6379" t="s">
        <v>741</v>
      </c>
      <c r="E6379" s="2">
        <v>0.311</v>
      </c>
    </row>
    <row r="6380" spans="1:5" x14ac:dyDescent="0.25">
      <c r="A6380" s="32" t="s">
        <v>767</v>
      </c>
      <c r="B6380" s="7">
        <v>2009</v>
      </c>
      <c r="C6380" s="51" t="s">
        <v>699</v>
      </c>
      <c r="D6380" t="s">
        <v>741</v>
      </c>
      <c r="E6380" s="2">
        <v>0.30299999999999999</v>
      </c>
    </row>
    <row r="6381" spans="1:5" x14ac:dyDescent="0.25">
      <c r="A6381" s="32" t="s">
        <v>767</v>
      </c>
      <c r="B6381" s="7">
        <v>2009</v>
      </c>
      <c r="C6381" s="51" t="s">
        <v>709</v>
      </c>
      <c r="D6381" t="s">
        <v>741</v>
      </c>
      <c r="E6381" s="2">
        <v>0.312</v>
      </c>
    </row>
    <row r="6382" spans="1:5" x14ac:dyDescent="0.25">
      <c r="A6382" s="32" t="s">
        <v>767</v>
      </c>
      <c r="B6382" s="7">
        <v>2009</v>
      </c>
      <c r="C6382" s="51" t="s">
        <v>712</v>
      </c>
      <c r="D6382" t="s">
        <v>741</v>
      </c>
      <c r="E6382" s="2">
        <v>0.30099999999999999</v>
      </c>
    </row>
    <row r="6383" spans="1:5" x14ac:dyDescent="0.25">
      <c r="A6383" s="32" t="s">
        <v>767</v>
      </c>
      <c r="B6383" s="7">
        <v>2009</v>
      </c>
      <c r="C6383" s="51" t="s">
        <v>710</v>
      </c>
      <c r="D6383" t="s">
        <v>741</v>
      </c>
      <c r="E6383" s="2">
        <v>0.28799999999999998</v>
      </c>
    </row>
    <row r="6384" spans="1:5" x14ac:dyDescent="0.25">
      <c r="A6384" s="32" t="s">
        <v>767</v>
      </c>
      <c r="B6384" s="7">
        <v>2009</v>
      </c>
      <c r="C6384" s="51" t="s">
        <v>702</v>
      </c>
      <c r="D6384" t="s">
        <v>741</v>
      </c>
      <c r="E6384" s="2">
        <v>0.312</v>
      </c>
    </row>
    <row r="6385" spans="1:5" x14ac:dyDescent="0.25">
      <c r="A6385" s="32" t="s">
        <v>767</v>
      </c>
      <c r="B6385" s="7">
        <v>2009</v>
      </c>
      <c r="C6385" s="51" t="s">
        <v>703</v>
      </c>
      <c r="D6385" t="s">
        <v>741</v>
      </c>
      <c r="E6385" s="2">
        <v>0.30199999999999999</v>
      </c>
    </row>
    <row r="6386" spans="1:5" x14ac:dyDescent="0.25">
      <c r="A6386" s="32" t="s">
        <v>767</v>
      </c>
      <c r="B6386" s="7">
        <v>2009</v>
      </c>
      <c r="C6386" s="51" t="s">
        <v>704</v>
      </c>
      <c r="D6386" t="s">
        <v>741</v>
      </c>
      <c r="E6386" s="2">
        <v>0.29899999999999999</v>
      </c>
    </row>
    <row r="6387" spans="1:5" x14ac:dyDescent="0.25">
      <c r="A6387" s="32" t="s">
        <v>767</v>
      </c>
      <c r="B6387" s="7">
        <v>2009</v>
      </c>
      <c r="C6387" s="51" t="s">
        <v>705</v>
      </c>
      <c r="D6387" t="s">
        <v>741</v>
      </c>
      <c r="E6387" s="2">
        <v>0.309</v>
      </c>
    </row>
    <row r="6388" spans="1:5" x14ac:dyDescent="0.25">
      <c r="A6388" s="32" t="s">
        <v>767</v>
      </c>
      <c r="B6388" s="7">
        <v>2009</v>
      </c>
      <c r="C6388" s="51" t="s">
        <v>706</v>
      </c>
      <c r="D6388" t="s">
        <v>741</v>
      </c>
      <c r="E6388" s="2">
        <v>0.34</v>
      </c>
    </row>
    <row r="6389" spans="1:5" x14ac:dyDescent="0.25">
      <c r="A6389" s="32" t="s">
        <v>767</v>
      </c>
      <c r="B6389" s="7">
        <v>2010</v>
      </c>
      <c r="C6389" s="51" t="s">
        <v>713</v>
      </c>
      <c r="D6389" t="s">
        <v>741</v>
      </c>
      <c r="E6389" s="2">
        <v>0.29299999999999998</v>
      </c>
    </row>
    <row r="6390" spans="1:5" x14ac:dyDescent="0.25">
      <c r="A6390" s="32" t="s">
        <v>767</v>
      </c>
      <c r="B6390" s="7">
        <v>2010</v>
      </c>
      <c r="C6390" s="51" t="s">
        <v>707</v>
      </c>
      <c r="D6390" t="s">
        <v>741</v>
      </c>
      <c r="E6390" s="2">
        <v>0.32300000000000001</v>
      </c>
    </row>
    <row r="6391" spans="1:5" x14ac:dyDescent="0.25">
      <c r="A6391" s="32" t="s">
        <v>767</v>
      </c>
      <c r="B6391" s="7">
        <v>2010</v>
      </c>
      <c r="C6391" s="51" t="s">
        <v>708</v>
      </c>
      <c r="D6391" t="s">
        <v>741</v>
      </c>
      <c r="E6391" s="2">
        <v>0.32500000000000001</v>
      </c>
    </row>
    <row r="6392" spans="1:5" x14ac:dyDescent="0.25">
      <c r="A6392" s="32" t="s">
        <v>767</v>
      </c>
      <c r="B6392" s="7">
        <v>2010</v>
      </c>
      <c r="C6392" s="51" t="s">
        <v>699</v>
      </c>
      <c r="D6392" t="s">
        <v>741</v>
      </c>
      <c r="E6392" s="2">
        <v>0.28999999999999998</v>
      </c>
    </row>
    <row r="6393" spans="1:5" x14ac:dyDescent="0.25">
      <c r="A6393" s="32" t="s">
        <v>767</v>
      </c>
      <c r="B6393" s="7">
        <v>2010</v>
      </c>
      <c r="C6393" s="51" t="s">
        <v>709</v>
      </c>
      <c r="D6393" t="s">
        <v>741</v>
      </c>
      <c r="E6393" s="2">
        <v>0.29399999999999998</v>
      </c>
    </row>
    <row r="6394" spans="1:5" x14ac:dyDescent="0.25">
      <c r="A6394" s="32" t="s">
        <v>767</v>
      </c>
      <c r="B6394" s="7">
        <v>2010</v>
      </c>
      <c r="C6394" s="51" t="s">
        <v>712</v>
      </c>
      <c r="D6394" t="s">
        <v>741</v>
      </c>
      <c r="E6394" s="2">
        <v>0.28599999999999998</v>
      </c>
    </row>
    <row r="6395" spans="1:5" x14ac:dyDescent="0.25">
      <c r="A6395" s="32" t="s">
        <v>767</v>
      </c>
      <c r="B6395" s="7">
        <v>2010</v>
      </c>
      <c r="C6395" s="51" t="s">
        <v>710</v>
      </c>
      <c r="D6395" t="s">
        <v>741</v>
      </c>
      <c r="E6395" s="2">
        <v>0.28999999999999998</v>
      </c>
    </row>
    <row r="6396" spans="1:5" x14ac:dyDescent="0.25">
      <c r="A6396" s="32" t="s">
        <v>767</v>
      </c>
      <c r="B6396" s="7">
        <v>2010</v>
      </c>
      <c r="C6396" s="51" t="s">
        <v>702</v>
      </c>
      <c r="D6396" t="s">
        <v>741</v>
      </c>
      <c r="E6396" s="2">
        <v>0.28199999999999997</v>
      </c>
    </row>
    <row r="6397" spans="1:5" x14ac:dyDescent="0.25">
      <c r="A6397" s="32" t="s">
        <v>767</v>
      </c>
      <c r="B6397" s="7">
        <v>2010</v>
      </c>
      <c r="C6397" s="51" t="s">
        <v>703</v>
      </c>
      <c r="D6397" t="s">
        <v>741</v>
      </c>
      <c r="E6397" s="2">
        <v>0.315</v>
      </c>
    </row>
    <row r="6398" spans="1:5" x14ac:dyDescent="0.25">
      <c r="A6398" s="32" t="s">
        <v>767</v>
      </c>
      <c r="B6398" s="7">
        <v>2010</v>
      </c>
      <c r="C6398" s="51" t="s">
        <v>704</v>
      </c>
      <c r="D6398" t="s">
        <v>741</v>
      </c>
      <c r="E6398" s="2">
        <v>0.28399999999999997</v>
      </c>
    </row>
    <row r="6399" spans="1:5" x14ac:dyDescent="0.25">
      <c r="A6399" s="32" t="s">
        <v>767</v>
      </c>
      <c r="B6399" s="7">
        <v>2010</v>
      </c>
      <c r="C6399" s="51" t="s">
        <v>705</v>
      </c>
      <c r="D6399" t="s">
        <v>741</v>
      </c>
      <c r="E6399" s="2">
        <v>0.314</v>
      </c>
    </row>
    <row r="6400" spans="1:5" x14ac:dyDescent="0.25">
      <c r="A6400" s="32" t="s">
        <v>767</v>
      </c>
      <c r="B6400" s="7">
        <v>2010</v>
      </c>
      <c r="C6400" s="51" t="s">
        <v>706</v>
      </c>
      <c r="D6400" t="s">
        <v>741</v>
      </c>
      <c r="E6400" s="2">
        <v>0.32500000000000001</v>
      </c>
    </row>
    <row r="6401" spans="1:5" x14ac:dyDescent="0.25">
      <c r="A6401" s="32" t="s">
        <v>767</v>
      </c>
      <c r="B6401" s="7">
        <v>2011</v>
      </c>
      <c r="C6401" s="51" t="s">
        <v>713</v>
      </c>
      <c r="D6401" t="s">
        <v>741</v>
      </c>
      <c r="E6401" s="2">
        <v>0.29899999999999999</v>
      </c>
    </row>
    <row r="6402" spans="1:5" x14ac:dyDescent="0.25">
      <c r="A6402" s="32" t="s">
        <v>767</v>
      </c>
      <c r="B6402" s="7">
        <v>2011</v>
      </c>
      <c r="C6402" s="51" t="s">
        <v>707</v>
      </c>
      <c r="D6402" t="s">
        <v>741</v>
      </c>
      <c r="E6402" s="2">
        <v>0.33400000000000002</v>
      </c>
    </row>
    <row r="6403" spans="1:5" x14ac:dyDescent="0.25">
      <c r="A6403" s="32" t="s">
        <v>767</v>
      </c>
      <c r="B6403" s="7">
        <v>2011</v>
      </c>
      <c r="C6403" s="51" t="s">
        <v>708</v>
      </c>
      <c r="D6403" t="s">
        <v>741</v>
      </c>
      <c r="E6403" s="2">
        <v>0.33800000000000002</v>
      </c>
    </row>
    <row r="6404" spans="1:5" x14ac:dyDescent="0.25">
      <c r="A6404" s="32" t="s">
        <v>767</v>
      </c>
      <c r="B6404" s="7">
        <v>2011</v>
      </c>
      <c r="C6404" s="51" t="s">
        <v>699</v>
      </c>
      <c r="D6404" t="s">
        <v>741</v>
      </c>
      <c r="E6404" s="2">
        <v>0.32200000000000001</v>
      </c>
    </row>
    <row r="6405" spans="1:5" x14ac:dyDescent="0.25">
      <c r="A6405" s="32" t="s">
        <v>767</v>
      </c>
      <c r="B6405" s="7">
        <v>2011</v>
      </c>
      <c r="C6405" s="51" t="s">
        <v>709</v>
      </c>
      <c r="D6405" t="s">
        <v>741</v>
      </c>
      <c r="E6405" s="2">
        <v>0.32200000000000001</v>
      </c>
    </row>
    <row r="6406" spans="1:5" x14ac:dyDescent="0.25">
      <c r="A6406" s="32" t="s">
        <v>767</v>
      </c>
      <c r="B6406" s="7">
        <v>2011</v>
      </c>
      <c r="C6406" s="51" t="s">
        <v>712</v>
      </c>
      <c r="D6406" t="s">
        <v>741</v>
      </c>
      <c r="E6406" s="2">
        <v>0.32900000000000001</v>
      </c>
    </row>
    <row r="6407" spans="1:5" x14ac:dyDescent="0.25">
      <c r="A6407" s="32" t="s">
        <v>767</v>
      </c>
      <c r="B6407" s="7">
        <v>2011</v>
      </c>
      <c r="C6407" s="51" t="s">
        <v>710</v>
      </c>
      <c r="D6407" t="s">
        <v>741</v>
      </c>
      <c r="E6407" s="2">
        <v>0.35599999999999998</v>
      </c>
    </row>
    <row r="6408" spans="1:5" x14ac:dyDescent="0.25">
      <c r="A6408" s="32" t="s">
        <v>767</v>
      </c>
      <c r="B6408" s="7">
        <v>2011</v>
      </c>
      <c r="C6408" s="51" t="s">
        <v>702</v>
      </c>
      <c r="D6408" t="s">
        <v>741</v>
      </c>
      <c r="E6408" s="2">
        <v>0.32500000000000001</v>
      </c>
    </row>
    <row r="6409" spans="1:5" x14ac:dyDescent="0.25">
      <c r="A6409" s="32" t="s">
        <v>767</v>
      </c>
      <c r="B6409" s="7">
        <v>2011</v>
      </c>
      <c r="C6409" s="51" t="s">
        <v>703</v>
      </c>
      <c r="D6409" t="s">
        <v>741</v>
      </c>
      <c r="E6409" s="2">
        <v>0.34200000000000003</v>
      </c>
    </row>
    <row r="6410" spans="1:5" x14ac:dyDescent="0.25">
      <c r="A6410" s="32" t="s">
        <v>767</v>
      </c>
      <c r="B6410" s="7">
        <v>2011</v>
      </c>
      <c r="C6410" s="51" t="s">
        <v>704</v>
      </c>
      <c r="D6410" t="s">
        <v>741</v>
      </c>
      <c r="E6410" s="2">
        <v>0.33</v>
      </c>
    </row>
    <row r="6411" spans="1:5" x14ac:dyDescent="0.25">
      <c r="A6411" s="32" t="s">
        <v>767</v>
      </c>
      <c r="B6411" s="7">
        <v>2011</v>
      </c>
      <c r="C6411" s="51" t="s">
        <v>705</v>
      </c>
      <c r="D6411" t="s">
        <v>741</v>
      </c>
      <c r="E6411" s="2">
        <v>0.33800000000000002</v>
      </c>
    </row>
    <row r="6412" spans="1:5" x14ac:dyDescent="0.25">
      <c r="A6412" s="32" t="s">
        <v>767</v>
      </c>
      <c r="B6412" s="7">
        <v>2011</v>
      </c>
      <c r="C6412" s="51" t="s">
        <v>706</v>
      </c>
      <c r="D6412" t="s">
        <v>741</v>
      </c>
      <c r="E6412" s="2">
        <v>0.36299999999999999</v>
      </c>
    </row>
    <row r="6413" spans="1:5" x14ac:dyDescent="0.25">
      <c r="A6413" s="32" t="s">
        <v>767</v>
      </c>
      <c r="B6413" s="7">
        <v>2012</v>
      </c>
      <c r="C6413" s="51" t="s">
        <v>713</v>
      </c>
      <c r="D6413" t="s">
        <v>741</v>
      </c>
      <c r="E6413" s="2">
        <v>0.33900000000000002</v>
      </c>
    </row>
    <row r="6414" spans="1:5" x14ac:dyDescent="0.25">
      <c r="A6414" s="32" t="s">
        <v>767</v>
      </c>
      <c r="B6414" s="7">
        <v>2012</v>
      </c>
      <c r="C6414" s="51" t="s">
        <v>707</v>
      </c>
      <c r="D6414" t="s">
        <v>741</v>
      </c>
      <c r="E6414" s="2">
        <v>0.33500000000000002</v>
      </c>
    </row>
    <row r="6415" spans="1:5" x14ac:dyDescent="0.25">
      <c r="A6415" s="32" t="s">
        <v>767</v>
      </c>
      <c r="B6415" s="7">
        <v>2012</v>
      </c>
      <c r="C6415" s="51" t="s">
        <v>708</v>
      </c>
      <c r="D6415" t="s">
        <v>741</v>
      </c>
      <c r="E6415" s="2">
        <v>0.33600000000000002</v>
      </c>
    </row>
    <row r="6416" spans="1:5" x14ac:dyDescent="0.25">
      <c r="A6416" s="32" t="s">
        <v>767</v>
      </c>
      <c r="B6416" s="7">
        <v>2012</v>
      </c>
      <c r="C6416" s="51" t="s">
        <v>699</v>
      </c>
      <c r="D6416" t="s">
        <v>741</v>
      </c>
      <c r="E6416" s="2">
        <v>0.32500000000000001</v>
      </c>
    </row>
    <row r="6417" spans="1:5" x14ac:dyDescent="0.25">
      <c r="A6417" s="32" t="s">
        <v>767</v>
      </c>
      <c r="B6417" s="7">
        <v>2012</v>
      </c>
      <c r="C6417" s="51" t="s">
        <v>709</v>
      </c>
      <c r="D6417" t="s">
        <v>741</v>
      </c>
      <c r="E6417" s="2">
        <v>0.309</v>
      </c>
    </row>
    <row r="6418" spans="1:5" x14ac:dyDescent="0.25">
      <c r="A6418" s="32" t="s">
        <v>767</v>
      </c>
      <c r="B6418" s="7">
        <v>2012</v>
      </c>
      <c r="C6418" s="51" t="s">
        <v>712</v>
      </c>
      <c r="D6418" t="s">
        <v>741</v>
      </c>
      <c r="E6418" s="2">
        <v>0.32200000000000001</v>
      </c>
    </row>
    <row r="6419" spans="1:5" x14ac:dyDescent="0.25">
      <c r="A6419" s="32" t="s">
        <v>767</v>
      </c>
      <c r="B6419" s="7">
        <v>2012</v>
      </c>
      <c r="C6419" s="51" t="s">
        <v>710</v>
      </c>
      <c r="D6419" t="s">
        <v>741</v>
      </c>
      <c r="E6419" s="2">
        <v>0.34200000000000003</v>
      </c>
    </row>
    <row r="6420" spans="1:5" x14ac:dyDescent="0.25">
      <c r="A6420" s="32" t="s">
        <v>767</v>
      </c>
      <c r="B6420" s="7">
        <v>2012</v>
      </c>
      <c r="C6420" s="51" t="s">
        <v>702</v>
      </c>
      <c r="D6420" t="s">
        <v>741</v>
      </c>
      <c r="E6420" s="2">
        <v>0.377</v>
      </c>
    </row>
    <row r="6421" spans="1:5" x14ac:dyDescent="0.25">
      <c r="A6421" s="32" t="s">
        <v>767</v>
      </c>
      <c r="B6421" s="7">
        <v>2012</v>
      </c>
      <c r="C6421" s="51" t="s">
        <v>703</v>
      </c>
      <c r="D6421" t="s">
        <v>741</v>
      </c>
      <c r="E6421" s="2">
        <v>0.32500000000000001</v>
      </c>
    </row>
    <row r="6422" spans="1:5" x14ac:dyDescent="0.25">
      <c r="A6422" s="32" t="s">
        <v>767</v>
      </c>
      <c r="B6422" s="7">
        <v>2012</v>
      </c>
      <c r="C6422" s="51" t="s">
        <v>704</v>
      </c>
      <c r="D6422" t="s">
        <v>741</v>
      </c>
      <c r="E6422" s="2">
        <v>0.32100000000000001</v>
      </c>
    </row>
    <row r="6423" spans="1:5" x14ac:dyDescent="0.25">
      <c r="A6423" s="32" t="s">
        <v>767</v>
      </c>
      <c r="B6423" s="7">
        <v>2012</v>
      </c>
      <c r="C6423" s="51" t="s">
        <v>705</v>
      </c>
      <c r="D6423" t="s">
        <v>741</v>
      </c>
      <c r="E6423" s="2">
        <v>0.35699999999999998</v>
      </c>
    </row>
    <row r="6424" spans="1:5" x14ac:dyDescent="0.25">
      <c r="A6424" s="32" t="s">
        <v>767</v>
      </c>
      <c r="B6424" s="7">
        <v>2012</v>
      </c>
      <c r="C6424" s="51" t="s">
        <v>706</v>
      </c>
      <c r="D6424" t="s">
        <v>741</v>
      </c>
      <c r="E6424" s="2">
        <v>0.32200000000000001</v>
      </c>
    </row>
    <row r="6425" spans="1:5" x14ac:dyDescent="0.25">
      <c r="A6425" s="32" t="s">
        <v>767</v>
      </c>
      <c r="B6425" s="7">
        <v>2013</v>
      </c>
      <c r="C6425" s="51" t="s">
        <v>713</v>
      </c>
      <c r="D6425" t="s">
        <v>741</v>
      </c>
      <c r="E6425" s="2">
        <v>0.30199999999999999</v>
      </c>
    </row>
    <row r="6426" spans="1:5" x14ac:dyDescent="0.25">
      <c r="A6426" s="32" t="s">
        <v>767</v>
      </c>
      <c r="B6426" s="7">
        <v>2013</v>
      </c>
      <c r="C6426" s="51" t="s">
        <v>707</v>
      </c>
      <c r="D6426" t="s">
        <v>741</v>
      </c>
      <c r="E6426" s="2">
        <v>0.308</v>
      </c>
    </row>
    <row r="6427" spans="1:5" x14ac:dyDescent="0.25">
      <c r="A6427" s="32" t="s">
        <v>767</v>
      </c>
      <c r="B6427" s="7">
        <v>2013</v>
      </c>
      <c r="C6427" s="51" t="s">
        <v>708</v>
      </c>
      <c r="D6427" t="s">
        <v>741</v>
      </c>
      <c r="E6427" s="2">
        <v>0.32300000000000001</v>
      </c>
    </row>
    <row r="6428" spans="1:5" x14ac:dyDescent="0.25">
      <c r="A6428" s="32" t="s">
        <v>767</v>
      </c>
      <c r="B6428" s="7">
        <v>2013</v>
      </c>
      <c r="C6428" s="51" t="s">
        <v>699</v>
      </c>
      <c r="D6428" t="s">
        <v>741</v>
      </c>
      <c r="E6428" s="2">
        <v>0.29799999999999999</v>
      </c>
    </row>
    <row r="6429" spans="1:5" x14ac:dyDescent="0.25">
      <c r="A6429" s="32" t="s">
        <v>767</v>
      </c>
      <c r="B6429" s="7">
        <v>2013</v>
      </c>
      <c r="C6429" s="51" t="s">
        <v>709</v>
      </c>
      <c r="D6429" t="s">
        <v>741</v>
      </c>
      <c r="E6429" s="2">
        <v>0.30399999999999999</v>
      </c>
    </row>
    <row r="6430" spans="1:5" x14ac:dyDescent="0.25">
      <c r="A6430" s="32" t="s">
        <v>767</v>
      </c>
      <c r="B6430" s="7">
        <v>2013</v>
      </c>
      <c r="C6430" s="51" t="s">
        <v>712</v>
      </c>
      <c r="D6430" t="s">
        <v>741</v>
      </c>
      <c r="E6430" s="2">
        <v>0.29499999999999998</v>
      </c>
    </row>
    <row r="6431" spans="1:5" x14ac:dyDescent="0.25">
      <c r="A6431" s="32" t="s">
        <v>767</v>
      </c>
      <c r="B6431" s="7">
        <v>2013</v>
      </c>
      <c r="C6431" s="51" t="s">
        <v>710</v>
      </c>
      <c r="D6431" t="s">
        <v>741</v>
      </c>
      <c r="E6431" s="2">
        <v>0.29699999999999999</v>
      </c>
    </row>
    <row r="6432" spans="1:5" x14ac:dyDescent="0.25">
      <c r="A6432" s="32" t="s">
        <v>767</v>
      </c>
      <c r="B6432" s="7">
        <v>2013</v>
      </c>
      <c r="C6432" s="51" t="s">
        <v>702</v>
      </c>
      <c r="D6432" t="s">
        <v>741</v>
      </c>
      <c r="E6432" s="2">
        <v>0.30399999999999999</v>
      </c>
    </row>
    <row r="6433" spans="1:5" x14ac:dyDescent="0.25">
      <c r="A6433" s="32" t="s">
        <v>767</v>
      </c>
      <c r="B6433" s="7">
        <v>2013</v>
      </c>
      <c r="C6433" s="51" t="s">
        <v>703</v>
      </c>
      <c r="D6433" t="s">
        <v>741</v>
      </c>
      <c r="E6433" s="2">
        <v>0.30599999999999999</v>
      </c>
    </row>
    <row r="6434" spans="1:5" x14ac:dyDescent="0.25">
      <c r="A6434" s="32" t="s">
        <v>767</v>
      </c>
      <c r="B6434" s="7">
        <v>2013</v>
      </c>
      <c r="C6434" s="51" t="s">
        <v>704</v>
      </c>
      <c r="D6434" t="s">
        <v>741</v>
      </c>
      <c r="E6434" s="2">
        <v>0.374</v>
      </c>
    </row>
    <row r="6435" spans="1:5" x14ac:dyDescent="0.25">
      <c r="A6435" s="32" t="s">
        <v>767</v>
      </c>
      <c r="B6435" s="7">
        <v>2013</v>
      </c>
      <c r="C6435" s="51" t="s">
        <v>705</v>
      </c>
      <c r="D6435" t="s">
        <v>741</v>
      </c>
      <c r="E6435" s="2">
        <v>0.34799999999999998</v>
      </c>
    </row>
    <row r="6436" spans="1:5" x14ac:dyDescent="0.25">
      <c r="A6436" s="32" t="s">
        <v>767</v>
      </c>
      <c r="B6436" s="7">
        <v>2013</v>
      </c>
      <c r="C6436" s="51" t="s">
        <v>706</v>
      </c>
      <c r="D6436" t="s">
        <v>741</v>
      </c>
      <c r="E6436" s="2">
        <v>0.377</v>
      </c>
    </row>
    <row r="6437" spans="1:5" x14ac:dyDescent="0.25">
      <c r="A6437" s="32" t="s">
        <v>767</v>
      </c>
      <c r="B6437" s="7">
        <v>2014</v>
      </c>
      <c r="C6437" s="51" t="s">
        <v>713</v>
      </c>
      <c r="D6437" t="s">
        <v>741</v>
      </c>
      <c r="E6437" s="2">
        <v>0.39100000000000001</v>
      </c>
    </row>
    <row r="6438" spans="1:5" x14ac:dyDescent="0.25">
      <c r="A6438" s="32" t="s">
        <v>767</v>
      </c>
      <c r="B6438" s="7">
        <v>2014</v>
      </c>
      <c r="C6438" s="51" t="s">
        <v>707</v>
      </c>
      <c r="D6438" t="s">
        <v>741</v>
      </c>
      <c r="E6438" s="2">
        <v>0.32100000000000001</v>
      </c>
    </row>
    <row r="6439" spans="1:5" x14ac:dyDescent="0.25">
      <c r="A6439" s="32" t="s">
        <v>767</v>
      </c>
      <c r="B6439" s="7">
        <v>2014</v>
      </c>
      <c r="C6439" s="51" t="s">
        <v>708</v>
      </c>
      <c r="D6439" t="s">
        <v>741</v>
      </c>
      <c r="E6439" s="2">
        <v>0.32300000000000001</v>
      </c>
    </row>
    <row r="6440" spans="1:5" x14ac:dyDescent="0.25">
      <c r="A6440" s="32" t="s">
        <v>767</v>
      </c>
      <c r="B6440" s="7">
        <v>2014</v>
      </c>
      <c r="C6440" s="51" t="s">
        <v>699</v>
      </c>
      <c r="D6440" t="s">
        <v>741</v>
      </c>
      <c r="E6440" s="2">
        <v>0.30599999999999999</v>
      </c>
    </row>
    <row r="6441" spans="1:5" x14ac:dyDescent="0.25">
      <c r="A6441" s="32" t="s">
        <v>767</v>
      </c>
      <c r="B6441" s="7">
        <v>2014</v>
      </c>
      <c r="C6441" s="51" t="s">
        <v>709</v>
      </c>
      <c r="D6441" t="s">
        <v>741</v>
      </c>
      <c r="E6441" s="2">
        <v>0.32400000000000001</v>
      </c>
    </row>
    <row r="6442" spans="1:5" x14ac:dyDescent="0.25">
      <c r="A6442" s="32" t="s">
        <v>767</v>
      </c>
      <c r="B6442" s="7">
        <v>2014</v>
      </c>
      <c r="C6442" s="51" t="s">
        <v>712</v>
      </c>
      <c r="D6442" t="s">
        <v>741</v>
      </c>
      <c r="E6442" s="2">
        <v>0.3</v>
      </c>
    </row>
    <row r="6443" spans="1:5" x14ac:dyDescent="0.25">
      <c r="A6443" s="32" t="s">
        <v>767</v>
      </c>
      <c r="B6443" s="7">
        <v>2014</v>
      </c>
      <c r="C6443" s="51" t="s">
        <v>710</v>
      </c>
      <c r="D6443" t="s">
        <v>741</v>
      </c>
      <c r="E6443" s="2">
        <v>0.31</v>
      </c>
    </row>
    <row r="6444" spans="1:5" x14ac:dyDescent="0.25">
      <c r="A6444" s="32" t="s">
        <v>767</v>
      </c>
      <c r="B6444" s="7">
        <v>2014</v>
      </c>
      <c r="C6444" s="51" t="s">
        <v>702</v>
      </c>
      <c r="D6444" t="s">
        <v>741</v>
      </c>
      <c r="E6444" s="2">
        <v>0.30099999999999999</v>
      </c>
    </row>
    <row r="6445" spans="1:5" x14ac:dyDescent="0.25">
      <c r="A6445" s="32" t="s">
        <v>767</v>
      </c>
      <c r="B6445" s="7">
        <v>2014</v>
      </c>
      <c r="C6445" s="51" t="s">
        <v>703</v>
      </c>
      <c r="D6445" t="s">
        <v>741</v>
      </c>
      <c r="E6445" s="2">
        <v>0.28999999999999998</v>
      </c>
    </row>
    <row r="6446" spans="1:5" x14ac:dyDescent="0.25">
      <c r="A6446" s="32" t="s">
        <v>767</v>
      </c>
      <c r="B6446" s="7">
        <v>2014</v>
      </c>
      <c r="C6446" s="51" t="s">
        <v>704</v>
      </c>
      <c r="D6446" t="s">
        <v>741</v>
      </c>
      <c r="E6446" s="2">
        <v>0.29899999999999999</v>
      </c>
    </row>
    <row r="6447" spans="1:5" x14ac:dyDescent="0.25">
      <c r="A6447" s="32" t="s">
        <v>767</v>
      </c>
      <c r="B6447" s="7">
        <v>2014</v>
      </c>
      <c r="C6447" s="51" t="s">
        <v>705</v>
      </c>
      <c r="D6447" t="s">
        <v>741</v>
      </c>
      <c r="E6447" s="2">
        <v>0.3</v>
      </c>
    </row>
    <row r="6448" spans="1:5" x14ac:dyDescent="0.25">
      <c r="A6448" s="32" t="s">
        <v>767</v>
      </c>
      <c r="B6448" s="7">
        <v>2014</v>
      </c>
      <c r="C6448" s="51" t="s">
        <v>706</v>
      </c>
      <c r="D6448" t="s">
        <v>741</v>
      </c>
      <c r="E6448" s="2">
        <v>0.307</v>
      </c>
    </row>
    <row r="6449" spans="1:5" x14ac:dyDescent="0.25">
      <c r="A6449" s="32" t="s">
        <v>767</v>
      </c>
      <c r="B6449" s="7">
        <v>2015</v>
      </c>
      <c r="C6449" s="51" t="s">
        <v>713</v>
      </c>
      <c r="D6449" t="s">
        <v>741</v>
      </c>
      <c r="E6449" s="2">
        <v>0.312</v>
      </c>
    </row>
    <row r="6450" spans="1:5" x14ac:dyDescent="0.25">
      <c r="A6450" s="32" t="s">
        <v>767</v>
      </c>
      <c r="B6450" s="7">
        <v>2015</v>
      </c>
      <c r="C6450" s="51" t="s">
        <v>707</v>
      </c>
      <c r="D6450" t="s">
        <v>741</v>
      </c>
      <c r="E6450" s="2">
        <v>0.33</v>
      </c>
    </row>
    <row r="6451" spans="1:5" x14ac:dyDescent="0.25">
      <c r="A6451" s="32" t="s">
        <v>767</v>
      </c>
      <c r="B6451" s="7">
        <v>2015</v>
      </c>
      <c r="C6451" s="51" t="s">
        <v>708</v>
      </c>
      <c r="D6451" t="s">
        <v>741</v>
      </c>
      <c r="E6451" s="2">
        <v>0.32700000000000001</v>
      </c>
    </row>
    <row r="6452" spans="1:5" x14ac:dyDescent="0.25">
      <c r="A6452" s="32" t="s">
        <v>767</v>
      </c>
      <c r="B6452" s="7">
        <v>2015</v>
      </c>
      <c r="C6452" s="51" t="s">
        <v>699</v>
      </c>
      <c r="D6452" t="s">
        <v>741</v>
      </c>
      <c r="E6452" s="2">
        <v>0.29499999999999998</v>
      </c>
    </row>
    <row r="6453" spans="1:5" x14ac:dyDescent="0.25">
      <c r="A6453" s="32" t="s">
        <v>767</v>
      </c>
      <c r="B6453" s="7">
        <v>2015</v>
      </c>
      <c r="C6453" s="51" t="s">
        <v>709</v>
      </c>
      <c r="D6453" t="s">
        <v>741</v>
      </c>
      <c r="E6453" s="2">
        <v>0.32700000000000001</v>
      </c>
    </row>
    <row r="6454" spans="1:5" x14ac:dyDescent="0.25">
      <c r="A6454" s="32" t="s">
        <v>767</v>
      </c>
      <c r="B6454" s="7">
        <v>2015</v>
      </c>
      <c r="C6454" s="51" t="s">
        <v>712</v>
      </c>
      <c r="D6454" t="s">
        <v>741</v>
      </c>
      <c r="E6454" s="2">
        <v>0.33100000000000002</v>
      </c>
    </row>
    <row r="6455" spans="1:5" x14ac:dyDescent="0.25">
      <c r="A6455" s="32" t="s">
        <v>767</v>
      </c>
      <c r="B6455" s="7">
        <v>2015</v>
      </c>
      <c r="C6455" s="51" t="s">
        <v>710</v>
      </c>
      <c r="D6455" t="s">
        <v>741</v>
      </c>
      <c r="E6455" s="2">
        <v>0.30499999999999999</v>
      </c>
    </row>
    <row r="6456" spans="1:5" x14ac:dyDescent="0.25">
      <c r="A6456" s="32" t="s">
        <v>767</v>
      </c>
      <c r="B6456" s="7">
        <v>2015</v>
      </c>
      <c r="C6456" s="51" t="s">
        <v>702</v>
      </c>
      <c r="D6456" t="s">
        <v>741</v>
      </c>
      <c r="E6456" s="2">
        <v>0.29199999999999998</v>
      </c>
    </row>
    <row r="6457" spans="1:5" x14ac:dyDescent="0.25">
      <c r="A6457" s="32" t="s">
        <v>767</v>
      </c>
      <c r="B6457" s="7">
        <v>2015</v>
      </c>
      <c r="C6457" s="51" t="s">
        <v>703</v>
      </c>
      <c r="D6457" t="s">
        <v>741</v>
      </c>
      <c r="E6457" s="2">
        <v>0.29699999999999999</v>
      </c>
    </row>
    <row r="6458" spans="1:5" x14ac:dyDescent="0.25">
      <c r="A6458" s="32" t="s">
        <v>767</v>
      </c>
      <c r="B6458" s="7">
        <v>2015</v>
      </c>
      <c r="C6458" s="51" t="s">
        <v>704</v>
      </c>
      <c r="D6458" t="s">
        <v>741</v>
      </c>
      <c r="E6458" s="2">
        <v>0.29499999999999998</v>
      </c>
    </row>
    <row r="6459" spans="1:5" x14ac:dyDescent="0.25">
      <c r="A6459" s="32" t="s">
        <v>767</v>
      </c>
      <c r="B6459" s="7">
        <v>2015</v>
      </c>
      <c r="C6459" s="51" t="s">
        <v>705</v>
      </c>
      <c r="D6459" t="s">
        <v>741</v>
      </c>
      <c r="E6459" s="2">
        <v>0.39</v>
      </c>
    </row>
    <row r="6460" spans="1:5" x14ac:dyDescent="0.25">
      <c r="A6460" s="32" t="s">
        <v>767</v>
      </c>
      <c r="B6460" s="7">
        <v>2015</v>
      </c>
      <c r="C6460" s="51" t="s">
        <v>706</v>
      </c>
      <c r="D6460" t="s">
        <v>741</v>
      </c>
      <c r="E6460" s="2">
        <v>0.34699999999999998</v>
      </c>
    </row>
    <row r="6461" spans="1:5" x14ac:dyDescent="0.25">
      <c r="A6461" s="32" t="s">
        <v>767</v>
      </c>
      <c r="B6461" s="7">
        <v>2016</v>
      </c>
      <c r="C6461" s="51" t="s">
        <v>713</v>
      </c>
      <c r="D6461" t="s">
        <v>741</v>
      </c>
      <c r="E6461" s="2">
        <v>0.30499999999999999</v>
      </c>
    </row>
    <row r="6462" spans="1:5" x14ac:dyDescent="0.25">
      <c r="A6462" s="32" t="s">
        <v>767</v>
      </c>
      <c r="B6462" s="7">
        <v>2016</v>
      </c>
      <c r="C6462" s="51" t="s">
        <v>707</v>
      </c>
      <c r="D6462" t="s">
        <v>741</v>
      </c>
      <c r="E6462" s="2">
        <v>0.30599999999999999</v>
      </c>
    </row>
    <row r="6463" spans="1:5" x14ac:dyDescent="0.25">
      <c r="A6463" s="32" t="s">
        <v>767</v>
      </c>
      <c r="B6463" s="7">
        <v>2016</v>
      </c>
      <c r="C6463" s="51" t="s">
        <v>708</v>
      </c>
      <c r="D6463" t="s">
        <v>741</v>
      </c>
      <c r="E6463" s="2">
        <v>0.28499999999999998</v>
      </c>
    </row>
    <row r="6464" spans="1:5" x14ac:dyDescent="0.25">
      <c r="A6464" s="32" t="s">
        <v>767</v>
      </c>
      <c r="B6464" s="7">
        <v>2016</v>
      </c>
      <c r="C6464" s="51" t="s">
        <v>699</v>
      </c>
      <c r="D6464" t="s">
        <v>741</v>
      </c>
      <c r="E6464" s="2">
        <v>0.29299999999999998</v>
      </c>
    </row>
    <row r="6465" spans="1:5" x14ac:dyDescent="0.25">
      <c r="A6465" s="32" t="s">
        <v>767</v>
      </c>
      <c r="B6465" s="7">
        <v>2016</v>
      </c>
      <c r="C6465" s="51" t="s">
        <v>709</v>
      </c>
      <c r="D6465" t="s">
        <v>741</v>
      </c>
      <c r="E6465" s="2">
        <v>0.32700000000000001</v>
      </c>
    </row>
    <row r="6466" spans="1:5" x14ac:dyDescent="0.25">
      <c r="A6466" s="32" t="s">
        <v>767</v>
      </c>
      <c r="B6466" s="7">
        <v>2016</v>
      </c>
      <c r="C6466" s="51" t="s">
        <v>712</v>
      </c>
      <c r="D6466" t="s">
        <v>741</v>
      </c>
      <c r="E6466" s="2">
        <v>0.29099999999999998</v>
      </c>
    </row>
    <row r="6467" spans="1:5" x14ac:dyDescent="0.25">
      <c r="A6467" s="32" t="s">
        <v>767</v>
      </c>
      <c r="B6467" s="7">
        <v>2016</v>
      </c>
      <c r="C6467" s="51" t="s">
        <v>710</v>
      </c>
      <c r="D6467" t="s">
        <v>741</v>
      </c>
      <c r="E6467" s="2">
        <v>0.32700000000000001</v>
      </c>
    </row>
    <row r="6468" spans="1:5" x14ac:dyDescent="0.25">
      <c r="A6468" s="32" t="s">
        <v>767</v>
      </c>
      <c r="B6468" s="7">
        <v>2016</v>
      </c>
      <c r="C6468" s="51" t="s">
        <v>702</v>
      </c>
      <c r="D6468" t="s">
        <v>741</v>
      </c>
      <c r="E6468" s="2">
        <v>0.31</v>
      </c>
    </row>
    <row r="6469" spans="1:5" x14ac:dyDescent="0.25">
      <c r="A6469" s="32" t="s">
        <v>767</v>
      </c>
      <c r="B6469" s="7">
        <v>2016</v>
      </c>
      <c r="C6469" s="51" t="s">
        <v>703</v>
      </c>
      <c r="D6469" t="s">
        <v>741</v>
      </c>
      <c r="E6469" s="2">
        <v>0.314</v>
      </c>
    </row>
    <row r="6470" spans="1:5" x14ac:dyDescent="0.25">
      <c r="A6470" s="32" t="s">
        <v>767</v>
      </c>
      <c r="B6470" s="7">
        <v>2016</v>
      </c>
      <c r="C6470" s="51" t="s">
        <v>704</v>
      </c>
      <c r="D6470" t="s">
        <v>741</v>
      </c>
      <c r="E6470" s="2">
        <v>0.45400000000000001</v>
      </c>
    </row>
    <row r="6471" spans="1:5" x14ac:dyDescent="0.25">
      <c r="A6471" s="32" t="s">
        <v>767</v>
      </c>
      <c r="B6471" s="7">
        <v>2016</v>
      </c>
      <c r="C6471" s="51" t="s">
        <v>705</v>
      </c>
      <c r="D6471" t="s">
        <v>741</v>
      </c>
      <c r="E6471" s="2">
        <v>0.36399999999999999</v>
      </c>
    </row>
    <row r="6472" spans="1:5" x14ac:dyDescent="0.25">
      <c r="A6472" s="32" t="s">
        <v>767</v>
      </c>
      <c r="B6472" s="7">
        <v>2016</v>
      </c>
      <c r="C6472" s="51" t="s">
        <v>706</v>
      </c>
      <c r="D6472" t="s">
        <v>741</v>
      </c>
      <c r="E6472" s="2">
        <v>0.376</v>
      </c>
    </row>
    <row r="6473" spans="1:5" x14ac:dyDescent="0.25">
      <c r="A6473" s="32" t="s">
        <v>767</v>
      </c>
      <c r="B6473" s="7">
        <v>2017</v>
      </c>
      <c r="C6473" s="51" t="s">
        <v>713</v>
      </c>
      <c r="D6473" t="s">
        <v>741</v>
      </c>
      <c r="E6473" s="2">
        <v>0.35799999999999998</v>
      </c>
    </row>
    <row r="6474" spans="1:5" x14ac:dyDescent="0.25">
      <c r="A6474" s="32" t="s">
        <v>767</v>
      </c>
      <c r="B6474" s="7">
        <v>2017</v>
      </c>
      <c r="C6474" s="51" t="s">
        <v>707</v>
      </c>
      <c r="D6474" t="s">
        <v>741</v>
      </c>
      <c r="E6474" s="2">
        <v>0.30599999999999999</v>
      </c>
    </row>
    <row r="6475" spans="1:5" x14ac:dyDescent="0.25">
      <c r="A6475" s="32" t="s">
        <v>767</v>
      </c>
      <c r="B6475" s="7">
        <v>2017</v>
      </c>
      <c r="C6475" s="51" t="s">
        <v>708</v>
      </c>
      <c r="D6475" t="s">
        <v>741</v>
      </c>
      <c r="E6475" s="2">
        <v>0.32800000000000001</v>
      </c>
    </row>
    <row r="6476" spans="1:5" x14ac:dyDescent="0.25">
      <c r="A6476" s="32" t="s">
        <v>767</v>
      </c>
      <c r="B6476" s="7">
        <v>2017</v>
      </c>
      <c r="C6476" s="51" t="s">
        <v>699</v>
      </c>
      <c r="D6476" t="s">
        <v>741</v>
      </c>
      <c r="E6476" s="2">
        <v>0.29299999999999998</v>
      </c>
    </row>
    <row r="6477" spans="1:5" x14ac:dyDescent="0.25">
      <c r="A6477" s="32" t="s">
        <v>767</v>
      </c>
      <c r="B6477" s="7">
        <v>2017</v>
      </c>
      <c r="C6477" s="51" t="s">
        <v>709</v>
      </c>
      <c r="D6477" t="s">
        <v>741</v>
      </c>
      <c r="E6477" s="2">
        <v>0.29599999999999999</v>
      </c>
    </row>
    <row r="6478" spans="1:5" x14ac:dyDescent="0.25">
      <c r="A6478" s="32" t="s">
        <v>767</v>
      </c>
      <c r="B6478" s="7">
        <v>2017</v>
      </c>
      <c r="C6478" s="51" t="s">
        <v>712</v>
      </c>
      <c r="D6478" t="s">
        <v>741</v>
      </c>
      <c r="E6478" s="2">
        <v>0.32300000000000001</v>
      </c>
    </row>
    <row r="6479" spans="1:5" x14ac:dyDescent="0.25">
      <c r="A6479" s="32" t="s">
        <v>767</v>
      </c>
      <c r="B6479" s="7">
        <v>2017</v>
      </c>
      <c r="C6479" s="51" t="s">
        <v>710</v>
      </c>
      <c r="D6479" t="s">
        <v>741</v>
      </c>
      <c r="E6479" s="2">
        <v>0.32800000000000001</v>
      </c>
    </row>
    <row r="6480" spans="1:5" x14ac:dyDescent="0.25">
      <c r="A6480" s="32" t="s">
        <v>767</v>
      </c>
      <c r="B6480" s="7">
        <v>2017</v>
      </c>
      <c r="C6480" s="51" t="s">
        <v>702</v>
      </c>
      <c r="D6480" t="s">
        <v>741</v>
      </c>
      <c r="E6480" s="2">
        <v>0.34599999999999997</v>
      </c>
    </row>
    <row r="6481" spans="1:5" x14ac:dyDescent="0.25">
      <c r="A6481" s="32" t="s">
        <v>767</v>
      </c>
      <c r="B6481" s="7">
        <v>2017</v>
      </c>
      <c r="C6481" s="51" t="s">
        <v>703</v>
      </c>
      <c r="D6481" t="s">
        <v>741</v>
      </c>
      <c r="E6481" s="2">
        <v>0.33300000000000002</v>
      </c>
    </row>
    <row r="6482" spans="1:5" x14ac:dyDescent="0.25">
      <c r="A6482" s="32" t="s">
        <v>767</v>
      </c>
      <c r="B6482" s="7">
        <v>2017</v>
      </c>
      <c r="C6482" s="51" t="s">
        <v>704</v>
      </c>
      <c r="D6482" t="s">
        <v>741</v>
      </c>
      <c r="E6482" s="2">
        <v>0.29399999999999998</v>
      </c>
    </row>
    <row r="6483" spans="1:5" x14ac:dyDescent="0.25">
      <c r="A6483" s="32" t="s">
        <v>767</v>
      </c>
      <c r="B6483" s="7">
        <v>2017</v>
      </c>
      <c r="C6483" s="51" t="s">
        <v>705</v>
      </c>
      <c r="D6483" t="s">
        <v>741</v>
      </c>
      <c r="E6483" s="2">
        <v>0.317</v>
      </c>
    </row>
    <row r="6484" spans="1:5" x14ac:dyDescent="0.25">
      <c r="A6484" s="32" t="s">
        <v>767</v>
      </c>
      <c r="B6484" s="7">
        <v>2017</v>
      </c>
      <c r="C6484" s="51" t="s">
        <v>706</v>
      </c>
      <c r="D6484" t="s">
        <v>741</v>
      </c>
      <c r="E6484" s="2">
        <v>0.309</v>
      </c>
    </row>
    <row r="6485" spans="1:5" x14ac:dyDescent="0.25">
      <c r="A6485" s="32" t="s">
        <v>767</v>
      </c>
      <c r="B6485" s="7">
        <v>2018</v>
      </c>
      <c r="C6485" s="51" t="s">
        <v>713</v>
      </c>
      <c r="D6485" t="s">
        <v>741</v>
      </c>
      <c r="E6485" s="2">
        <v>0.32400000000000001</v>
      </c>
    </row>
    <row r="6486" spans="1:5" x14ac:dyDescent="0.25">
      <c r="A6486" s="32" t="s">
        <v>767</v>
      </c>
      <c r="B6486" s="7">
        <v>2018</v>
      </c>
      <c r="C6486" s="51" t="s">
        <v>707</v>
      </c>
      <c r="D6486" t="s">
        <v>741</v>
      </c>
      <c r="E6486" s="2">
        <v>0.31</v>
      </c>
    </row>
    <row r="6487" spans="1:5" x14ac:dyDescent="0.25">
      <c r="A6487" s="32" t="s">
        <v>767</v>
      </c>
      <c r="B6487" s="7">
        <v>2018</v>
      </c>
      <c r="C6487" s="51" t="s">
        <v>708</v>
      </c>
      <c r="D6487" t="s">
        <v>741</v>
      </c>
      <c r="E6487" s="2">
        <v>0.31</v>
      </c>
    </row>
    <row r="6488" spans="1:5" x14ac:dyDescent="0.25">
      <c r="A6488" s="32" t="s">
        <v>767</v>
      </c>
      <c r="B6488" s="7">
        <v>2018</v>
      </c>
      <c r="C6488" s="51" t="s">
        <v>699</v>
      </c>
      <c r="D6488" t="s">
        <v>741</v>
      </c>
      <c r="E6488" s="2">
        <v>0.31</v>
      </c>
    </row>
    <row r="6489" spans="1:5" x14ac:dyDescent="0.25">
      <c r="A6489" s="32" t="s">
        <v>767</v>
      </c>
      <c r="B6489" s="7">
        <v>2018</v>
      </c>
      <c r="C6489" s="51" t="s">
        <v>709</v>
      </c>
      <c r="D6489" t="s">
        <v>741</v>
      </c>
      <c r="E6489" s="2">
        <v>0.33300000000000002</v>
      </c>
    </row>
    <row r="6490" spans="1:5" x14ac:dyDescent="0.25">
      <c r="A6490" s="32" t="s">
        <v>767</v>
      </c>
      <c r="B6490" s="7">
        <v>2018</v>
      </c>
      <c r="C6490" s="51" t="s">
        <v>712</v>
      </c>
      <c r="D6490" t="s">
        <v>741</v>
      </c>
      <c r="E6490" s="2">
        <v>0.307</v>
      </c>
    </row>
    <row r="6491" spans="1:5" x14ac:dyDescent="0.25">
      <c r="A6491" s="32" t="s">
        <v>767</v>
      </c>
      <c r="B6491" s="7">
        <v>2018</v>
      </c>
      <c r="C6491" s="51" t="s">
        <v>710</v>
      </c>
      <c r="D6491" t="s">
        <v>741</v>
      </c>
      <c r="E6491" s="2">
        <v>0.34799999999999998</v>
      </c>
    </row>
    <row r="6492" spans="1:5" x14ac:dyDescent="0.25">
      <c r="A6492" s="32" t="s">
        <v>767</v>
      </c>
      <c r="B6492" s="7">
        <v>2018</v>
      </c>
      <c r="C6492" s="51" t="s">
        <v>702</v>
      </c>
      <c r="D6492" t="s">
        <v>741</v>
      </c>
      <c r="E6492" s="2">
        <v>0.314</v>
      </c>
    </row>
    <row r="6493" spans="1:5" x14ac:dyDescent="0.25">
      <c r="A6493" s="32" t="s">
        <v>767</v>
      </c>
      <c r="B6493" s="7">
        <v>2018</v>
      </c>
      <c r="C6493" s="51" t="s">
        <v>703</v>
      </c>
      <c r="D6493" t="s">
        <v>741</v>
      </c>
      <c r="E6493" s="2">
        <v>0.314</v>
      </c>
    </row>
    <row r="6494" spans="1:5" x14ac:dyDescent="0.25">
      <c r="A6494" s="32" t="s">
        <v>767</v>
      </c>
      <c r="B6494" s="7">
        <v>2018</v>
      </c>
      <c r="C6494" s="51" t="s">
        <v>704</v>
      </c>
      <c r="D6494" t="s">
        <v>741</v>
      </c>
      <c r="E6494" s="2">
        <v>0.32900000000000001</v>
      </c>
    </row>
    <row r="6495" spans="1:5" x14ac:dyDescent="0.25">
      <c r="A6495" s="32" t="s">
        <v>767</v>
      </c>
      <c r="B6495" s="7">
        <v>2018</v>
      </c>
      <c r="C6495" s="51" t="s">
        <v>705</v>
      </c>
      <c r="D6495" t="s">
        <v>741</v>
      </c>
      <c r="E6495" s="2">
        <v>0.32</v>
      </c>
    </row>
    <row r="6496" spans="1:5" x14ac:dyDescent="0.25">
      <c r="A6496" s="32" t="s">
        <v>767</v>
      </c>
      <c r="B6496" s="7">
        <v>2018</v>
      </c>
      <c r="C6496" s="51" t="s">
        <v>706</v>
      </c>
      <c r="D6496" t="s">
        <v>741</v>
      </c>
      <c r="E6496" s="2">
        <v>0.34699999999999998</v>
      </c>
    </row>
    <row r="6497" spans="1:5" x14ac:dyDescent="0.25">
      <c r="A6497" s="32" t="s">
        <v>767</v>
      </c>
      <c r="B6497" s="7">
        <v>2019</v>
      </c>
      <c r="C6497" s="51" t="s">
        <v>713</v>
      </c>
      <c r="D6497" t="s">
        <v>741</v>
      </c>
      <c r="E6497" s="2">
        <v>0.30599999999999999</v>
      </c>
    </row>
    <row r="6498" spans="1:5" x14ac:dyDescent="0.25">
      <c r="A6498" s="32" t="s">
        <v>767</v>
      </c>
      <c r="B6498" s="7">
        <v>2019</v>
      </c>
      <c r="C6498" s="51" t="s">
        <v>707</v>
      </c>
      <c r="D6498" t="s">
        <v>741</v>
      </c>
      <c r="E6498" s="2">
        <v>0.35899999999999999</v>
      </c>
    </row>
    <row r="6499" spans="1:5" x14ac:dyDescent="0.25">
      <c r="A6499" s="32" t="s">
        <v>767</v>
      </c>
      <c r="B6499" s="7">
        <v>2019</v>
      </c>
      <c r="C6499" s="51" t="s">
        <v>708</v>
      </c>
      <c r="D6499" t="s">
        <v>741</v>
      </c>
      <c r="E6499" s="2">
        <v>0.34899999999999998</v>
      </c>
    </row>
    <row r="6500" spans="1:5" x14ac:dyDescent="0.25">
      <c r="A6500" s="32" t="s">
        <v>767</v>
      </c>
      <c r="B6500" s="7">
        <v>2019</v>
      </c>
      <c r="C6500" s="51" t="s">
        <v>699</v>
      </c>
      <c r="D6500" t="s">
        <v>741</v>
      </c>
      <c r="E6500" s="2">
        <v>0.36299999999999999</v>
      </c>
    </row>
    <row r="6501" spans="1:5" x14ac:dyDescent="0.25">
      <c r="A6501" s="32" t="s">
        <v>767</v>
      </c>
      <c r="B6501" s="7">
        <v>2019</v>
      </c>
      <c r="C6501" s="51" t="s">
        <v>709</v>
      </c>
      <c r="D6501" t="s">
        <v>741</v>
      </c>
      <c r="E6501" s="2">
        <v>0.37</v>
      </c>
    </row>
    <row r="6502" spans="1:5" x14ac:dyDescent="0.25">
      <c r="A6502" s="32" t="s">
        <v>767</v>
      </c>
      <c r="B6502" s="7">
        <v>2019</v>
      </c>
      <c r="C6502" s="51" t="s">
        <v>712</v>
      </c>
      <c r="D6502" t="s">
        <v>741</v>
      </c>
      <c r="E6502" s="2">
        <v>0.36699999999999999</v>
      </c>
    </row>
    <row r="6503" spans="1:5" x14ac:dyDescent="0.25">
      <c r="A6503" s="32" t="s">
        <v>767</v>
      </c>
      <c r="B6503" s="7">
        <v>2019</v>
      </c>
      <c r="C6503" s="51" t="s">
        <v>710</v>
      </c>
      <c r="D6503" t="s">
        <v>741</v>
      </c>
      <c r="E6503" s="2">
        <v>0.36899999999999999</v>
      </c>
    </row>
    <row r="6504" spans="1:5" x14ac:dyDescent="0.25">
      <c r="A6504" s="32" t="s">
        <v>767</v>
      </c>
      <c r="B6504" s="7">
        <v>2019</v>
      </c>
      <c r="C6504" s="51" t="s">
        <v>702</v>
      </c>
      <c r="D6504" t="s">
        <v>741</v>
      </c>
      <c r="E6504" s="2">
        <v>0.36699999999999999</v>
      </c>
    </row>
    <row r="6505" spans="1:5" x14ac:dyDescent="0.25">
      <c r="A6505" s="32" t="s">
        <v>767</v>
      </c>
      <c r="B6505" s="7">
        <v>2019</v>
      </c>
      <c r="C6505" s="51" t="s">
        <v>703</v>
      </c>
      <c r="D6505" t="s">
        <v>741</v>
      </c>
      <c r="E6505" s="2">
        <v>0.36799999999999999</v>
      </c>
    </row>
    <row r="6506" spans="1:5" x14ac:dyDescent="0.25">
      <c r="A6506" s="32" t="s">
        <v>767</v>
      </c>
      <c r="B6506" s="7">
        <v>2019</v>
      </c>
      <c r="C6506" s="51" t="s">
        <v>704</v>
      </c>
      <c r="D6506" t="s">
        <v>741</v>
      </c>
      <c r="E6506" s="2">
        <v>0.35599999999999998</v>
      </c>
    </row>
    <row r="6507" spans="1:5" x14ac:dyDescent="0.25">
      <c r="A6507" s="32" t="s">
        <v>767</v>
      </c>
      <c r="B6507" s="7">
        <v>2019</v>
      </c>
      <c r="C6507" s="51" t="s">
        <v>705</v>
      </c>
      <c r="D6507" t="s">
        <v>741</v>
      </c>
      <c r="E6507" s="2">
        <v>0.36099999999999999</v>
      </c>
    </row>
    <row r="6508" spans="1:5" x14ac:dyDescent="0.25">
      <c r="A6508" s="32" t="s">
        <v>767</v>
      </c>
      <c r="B6508" s="7">
        <v>2019</v>
      </c>
      <c r="C6508" s="51" t="s">
        <v>706</v>
      </c>
      <c r="D6508" t="s">
        <v>741</v>
      </c>
      <c r="E6508" s="2">
        <v>0.35899999999999999</v>
      </c>
    </row>
    <row r="6509" spans="1:5" x14ac:dyDescent="0.25">
      <c r="A6509" s="32" t="s">
        <v>767</v>
      </c>
      <c r="B6509" s="7">
        <v>2020</v>
      </c>
      <c r="C6509" s="51" t="s">
        <v>713</v>
      </c>
      <c r="D6509" t="s">
        <v>741</v>
      </c>
      <c r="E6509" s="2">
        <v>0.32100000000000001</v>
      </c>
    </row>
    <row r="6510" spans="1:5" x14ac:dyDescent="0.25">
      <c r="A6510" s="32" t="s">
        <v>767</v>
      </c>
      <c r="B6510" s="7">
        <v>2020</v>
      </c>
      <c r="C6510" s="51" t="s">
        <v>707</v>
      </c>
      <c r="D6510" t="s">
        <v>741</v>
      </c>
      <c r="E6510" s="2">
        <v>0.309</v>
      </c>
    </row>
    <row r="6511" spans="1:5" x14ac:dyDescent="0.25">
      <c r="A6511" s="32" t="s">
        <v>767</v>
      </c>
      <c r="B6511" s="7">
        <v>2020</v>
      </c>
      <c r="C6511" s="51" t="s">
        <v>708</v>
      </c>
      <c r="D6511" t="s">
        <v>741</v>
      </c>
      <c r="E6511" s="2">
        <v>0.309</v>
      </c>
    </row>
    <row r="6512" spans="1:5" x14ac:dyDescent="0.25">
      <c r="A6512" s="32" t="s">
        <v>767</v>
      </c>
      <c r="B6512" s="7">
        <v>2020</v>
      </c>
      <c r="C6512" s="51" t="s">
        <v>699</v>
      </c>
      <c r="D6512" t="s">
        <v>741</v>
      </c>
      <c r="E6512" s="2">
        <v>0.25900000000000001</v>
      </c>
    </row>
    <row r="6513" spans="1:5" x14ac:dyDescent="0.25">
      <c r="A6513" s="32" t="s">
        <v>767</v>
      </c>
      <c r="B6513" s="7">
        <v>2020</v>
      </c>
      <c r="C6513" s="51" t="s">
        <v>709</v>
      </c>
      <c r="D6513" t="s">
        <v>741</v>
      </c>
      <c r="E6513" s="2">
        <v>0.26100000000000001</v>
      </c>
    </row>
    <row r="6514" spans="1:5" x14ac:dyDescent="0.25">
      <c r="A6514" s="32" t="s">
        <v>767</v>
      </c>
      <c r="B6514" s="7">
        <v>2020</v>
      </c>
      <c r="C6514" s="51" t="s">
        <v>712</v>
      </c>
      <c r="D6514" t="s">
        <v>741</v>
      </c>
      <c r="E6514" s="2">
        <v>0.22700000000000001</v>
      </c>
    </row>
    <row r="6515" spans="1:5" x14ac:dyDescent="0.25">
      <c r="A6515" s="32" t="s">
        <v>767</v>
      </c>
      <c r="B6515" s="7">
        <v>2020</v>
      </c>
      <c r="C6515" s="51" t="s">
        <v>710</v>
      </c>
      <c r="D6515" t="s">
        <v>741</v>
      </c>
      <c r="E6515" s="2">
        <v>0.318</v>
      </c>
    </row>
    <row r="6516" spans="1:5" x14ac:dyDescent="0.25">
      <c r="A6516" s="32" t="s">
        <v>767</v>
      </c>
      <c r="B6516" s="7">
        <v>2020</v>
      </c>
      <c r="C6516" s="51" t="s">
        <v>702</v>
      </c>
      <c r="D6516" t="s">
        <v>741</v>
      </c>
      <c r="E6516" s="2">
        <v>0.31</v>
      </c>
    </row>
    <row r="6517" spans="1:5" x14ac:dyDescent="0.25">
      <c r="A6517" s="32" t="s">
        <v>767</v>
      </c>
      <c r="B6517" s="7">
        <v>2020</v>
      </c>
      <c r="C6517" s="51" t="s">
        <v>703</v>
      </c>
      <c r="D6517" t="s">
        <v>741</v>
      </c>
      <c r="E6517" s="2">
        <v>0.309</v>
      </c>
    </row>
    <row r="6518" spans="1:5" x14ac:dyDescent="0.25">
      <c r="A6518" s="32" t="s">
        <v>767</v>
      </c>
      <c r="B6518" s="7">
        <v>2020</v>
      </c>
      <c r="C6518" s="51" t="s">
        <v>704</v>
      </c>
      <c r="D6518" t="s">
        <v>741</v>
      </c>
      <c r="E6518" s="2">
        <v>0.30399999999999999</v>
      </c>
    </row>
    <row r="6519" spans="1:5" x14ac:dyDescent="0.25">
      <c r="A6519" s="32" t="s">
        <v>767</v>
      </c>
      <c r="B6519" s="7">
        <v>2020</v>
      </c>
      <c r="C6519" s="51" t="s">
        <v>705</v>
      </c>
      <c r="D6519" t="s">
        <v>741</v>
      </c>
      <c r="E6519" s="2">
        <v>0.29199999999999998</v>
      </c>
    </row>
    <row r="6520" spans="1:5" x14ac:dyDescent="0.25">
      <c r="A6520" s="32" t="s">
        <v>767</v>
      </c>
      <c r="B6520" s="7">
        <v>2020</v>
      </c>
      <c r="C6520" s="51" t="s">
        <v>706</v>
      </c>
      <c r="D6520" t="s">
        <v>741</v>
      </c>
      <c r="E6520" s="2">
        <v>0.313</v>
      </c>
    </row>
    <row r="6521" spans="1:5" x14ac:dyDescent="0.25">
      <c r="A6521" s="32" t="s">
        <v>767</v>
      </c>
      <c r="B6521" s="7">
        <v>2021</v>
      </c>
      <c r="C6521" s="51" t="s">
        <v>713</v>
      </c>
      <c r="D6521" t="s">
        <v>741</v>
      </c>
      <c r="E6521" s="2">
        <v>0.29899999999999999</v>
      </c>
    </row>
    <row r="6522" spans="1:5" x14ac:dyDescent="0.25">
      <c r="A6522" s="32" t="s">
        <v>767</v>
      </c>
      <c r="B6522" s="7">
        <v>2021</v>
      </c>
      <c r="C6522" s="51" t="s">
        <v>707</v>
      </c>
      <c r="D6522" t="s">
        <v>741</v>
      </c>
      <c r="E6522" s="2">
        <v>0.30299999999999999</v>
      </c>
    </row>
    <row r="6523" spans="1:5" x14ac:dyDescent="0.25">
      <c r="A6523" s="32" t="s">
        <v>767</v>
      </c>
      <c r="B6523" s="7">
        <v>2021</v>
      </c>
      <c r="C6523" s="51" t="s">
        <v>708</v>
      </c>
      <c r="D6523" t="s">
        <v>741</v>
      </c>
      <c r="E6523" s="2">
        <v>0.315</v>
      </c>
    </row>
    <row r="6524" spans="1:5" x14ac:dyDescent="0.25">
      <c r="A6524" s="32" t="s">
        <v>767</v>
      </c>
      <c r="B6524" s="7">
        <v>2021</v>
      </c>
      <c r="C6524" s="51" t="s">
        <v>699</v>
      </c>
      <c r="D6524" t="s">
        <v>741</v>
      </c>
      <c r="E6524" s="2">
        <v>0.30599999999999999</v>
      </c>
    </row>
    <row r="6525" spans="1:5" x14ac:dyDescent="0.25">
      <c r="A6525" s="32" t="s">
        <v>767</v>
      </c>
      <c r="B6525" s="7">
        <v>2021</v>
      </c>
      <c r="C6525" s="51" t="s">
        <v>709</v>
      </c>
      <c r="D6525" t="s">
        <v>741</v>
      </c>
      <c r="E6525" s="2">
        <v>0.309</v>
      </c>
    </row>
    <row r="6526" spans="1:5" x14ac:dyDescent="0.25">
      <c r="A6526" s="32" t="s">
        <v>767</v>
      </c>
      <c r="B6526" s="7">
        <v>2021</v>
      </c>
      <c r="C6526" s="51" t="s">
        <v>712</v>
      </c>
      <c r="D6526" t="s">
        <v>741</v>
      </c>
      <c r="E6526" s="2">
        <v>0.44600000000000001</v>
      </c>
    </row>
    <row r="6527" spans="1:5" x14ac:dyDescent="0.25">
      <c r="A6527" s="32" t="s">
        <v>767</v>
      </c>
      <c r="B6527" s="7">
        <v>2021</v>
      </c>
      <c r="C6527" s="51" t="s">
        <v>710</v>
      </c>
      <c r="D6527" t="s">
        <v>741</v>
      </c>
      <c r="E6527" s="2">
        <v>0.377</v>
      </c>
    </row>
    <row r="6528" spans="1:5" x14ac:dyDescent="0.25">
      <c r="A6528" s="32" t="s">
        <v>767</v>
      </c>
      <c r="B6528" s="7">
        <v>2021</v>
      </c>
      <c r="C6528" s="51" t="s">
        <v>702</v>
      </c>
      <c r="D6528" t="s">
        <v>741</v>
      </c>
      <c r="E6528" s="2">
        <v>0.371</v>
      </c>
    </row>
    <row r="6529" spans="1:5" x14ac:dyDescent="0.25">
      <c r="A6529" s="32" t="s">
        <v>767</v>
      </c>
      <c r="B6529" s="7">
        <v>2021</v>
      </c>
      <c r="C6529" s="51" t="s">
        <v>703</v>
      </c>
      <c r="D6529" t="s">
        <v>741</v>
      </c>
      <c r="E6529" s="2">
        <v>0.318</v>
      </c>
    </row>
    <row r="6530" spans="1:5" x14ac:dyDescent="0.25">
      <c r="A6530" s="32" t="s">
        <v>767</v>
      </c>
      <c r="B6530" s="7">
        <v>2021</v>
      </c>
      <c r="C6530" s="51" t="s">
        <v>704</v>
      </c>
      <c r="D6530" t="s">
        <v>741</v>
      </c>
      <c r="E6530" s="2">
        <v>0.36099999999999999</v>
      </c>
    </row>
    <row r="6531" spans="1:5" x14ac:dyDescent="0.25">
      <c r="A6531" s="32" t="s">
        <v>767</v>
      </c>
      <c r="B6531" s="7">
        <v>2021</v>
      </c>
      <c r="C6531" s="51" t="s">
        <v>705</v>
      </c>
      <c r="D6531" t="s">
        <v>741</v>
      </c>
      <c r="E6531" s="2">
        <v>0.378</v>
      </c>
    </row>
    <row r="6532" spans="1:5" x14ac:dyDescent="0.25">
      <c r="A6532" s="32" t="s">
        <v>767</v>
      </c>
      <c r="B6532" s="7">
        <v>2021</v>
      </c>
      <c r="C6532" s="51" t="s">
        <v>706</v>
      </c>
      <c r="D6532" t="s">
        <v>741</v>
      </c>
      <c r="E6532" s="2">
        <v>0.32800000000000001</v>
      </c>
    </row>
    <row r="6533" spans="1:5" x14ac:dyDescent="0.25">
      <c r="A6533" s="32" t="s">
        <v>767</v>
      </c>
      <c r="B6533" s="7">
        <v>2022</v>
      </c>
      <c r="C6533" s="51" t="s">
        <v>713</v>
      </c>
      <c r="D6533" t="s">
        <v>741</v>
      </c>
      <c r="E6533" s="2">
        <v>0.32100000000000001</v>
      </c>
    </row>
    <row r="6534" spans="1:5" x14ac:dyDescent="0.25">
      <c r="A6534" s="32" t="s">
        <v>767</v>
      </c>
      <c r="B6534" s="7">
        <v>2022</v>
      </c>
      <c r="C6534" s="51" t="s">
        <v>707</v>
      </c>
      <c r="D6534" t="s">
        <v>741</v>
      </c>
      <c r="E6534" s="2">
        <v>0.31900000000000001</v>
      </c>
    </row>
    <row r="6535" spans="1:5" x14ac:dyDescent="0.25">
      <c r="A6535" s="32" t="s">
        <v>767</v>
      </c>
      <c r="B6535" s="7">
        <v>2022</v>
      </c>
      <c r="C6535" s="51" t="s">
        <v>708</v>
      </c>
      <c r="D6535" t="s">
        <v>741</v>
      </c>
      <c r="E6535" s="2">
        <v>0.33500000000000002</v>
      </c>
    </row>
    <row r="6536" spans="1:5" x14ac:dyDescent="0.25">
      <c r="A6536" s="32" t="s">
        <v>767</v>
      </c>
      <c r="B6536" s="7">
        <v>2022</v>
      </c>
      <c r="C6536" s="51" t="s">
        <v>699</v>
      </c>
      <c r="D6536" t="s">
        <v>741</v>
      </c>
      <c r="E6536" s="2">
        <v>0.35099999999999998</v>
      </c>
    </row>
    <row r="6537" spans="1:5" x14ac:dyDescent="0.25">
      <c r="A6537" s="32" t="s">
        <v>767</v>
      </c>
      <c r="B6537" s="7">
        <v>2022</v>
      </c>
      <c r="C6537" s="51" t="s">
        <v>709</v>
      </c>
      <c r="D6537" t="s">
        <v>741</v>
      </c>
      <c r="E6537" s="2">
        <v>0.31</v>
      </c>
    </row>
    <row r="6538" spans="1:5" x14ac:dyDescent="0.25">
      <c r="A6538" s="32" t="s">
        <v>767</v>
      </c>
      <c r="B6538" s="7">
        <v>2022</v>
      </c>
      <c r="C6538" s="51" t="s">
        <v>712</v>
      </c>
      <c r="D6538" t="s">
        <v>741</v>
      </c>
      <c r="E6538" s="2">
        <v>0.35599999999999998</v>
      </c>
    </row>
    <row r="6539" spans="1:5" x14ac:dyDescent="0.25">
      <c r="A6539" s="32" t="s">
        <v>767</v>
      </c>
      <c r="B6539" s="7">
        <v>2022</v>
      </c>
      <c r="C6539" s="51" t="s">
        <v>710</v>
      </c>
      <c r="D6539" t="s">
        <v>741</v>
      </c>
      <c r="E6539" s="2">
        <v>0.314</v>
      </c>
    </row>
    <row r="6540" spans="1:5" x14ac:dyDescent="0.25">
      <c r="A6540" s="32" t="s">
        <v>767</v>
      </c>
      <c r="B6540" s="7">
        <v>2022</v>
      </c>
      <c r="C6540" s="51" t="s">
        <v>702</v>
      </c>
      <c r="D6540" t="s">
        <v>741</v>
      </c>
      <c r="E6540" s="2">
        <v>0.35799999999999998</v>
      </c>
    </row>
    <row r="6541" spans="1:5" x14ac:dyDescent="0.25">
      <c r="A6541" s="32" t="s">
        <v>767</v>
      </c>
      <c r="B6541" s="7">
        <v>2022</v>
      </c>
      <c r="C6541" s="51" t="s">
        <v>703</v>
      </c>
      <c r="D6541" t="s">
        <v>741</v>
      </c>
      <c r="E6541" s="2">
        <v>0.34599999999999997</v>
      </c>
    </row>
    <row r="6542" spans="1:5" x14ac:dyDescent="0.25">
      <c r="A6542" s="32" t="s">
        <v>767</v>
      </c>
      <c r="B6542" s="7">
        <v>2022</v>
      </c>
      <c r="C6542" s="51" t="s">
        <v>704</v>
      </c>
      <c r="D6542" t="s">
        <v>741</v>
      </c>
      <c r="E6542" s="2">
        <v>0.313</v>
      </c>
    </row>
    <row r="6543" spans="1:5" x14ac:dyDescent="0.25">
      <c r="A6543" s="32" t="s">
        <v>767</v>
      </c>
      <c r="B6543" s="7">
        <v>2022</v>
      </c>
      <c r="C6543" s="51" t="s">
        <v>705</v>
      </c>
      <c r="D6543" t="s">
        <v>741</v>
      </c>
      <c r="E6543" s="2">
        <v>0.40400000000000003</v>
      </c>
    </row>
    <row r="6544" spans="1:5" x14ac:dyDescent="0.25">
      <c r="A6544" s="32" t="s">
        <v>767</v>
      </c>
      <c r="B6544" s="7">
        <v>2022</v>
      </c>
      <c r="C6544" s="51" t="s">
        <v>706</v>
      </c>
      <c r="D6544" t="s">
        <v>741</v>
      </c>
      <c r="E6544" s="2">
        <v>0.39100000000000001</v>
      </c>
    </row>
    <row r="6545" spans="1:5" x14ac:dyDescent="0.25">
      <c r="A6545" s="32" t="s">
        <v>767</v>
      </c>
      <c r="B6545" s="7">
        <v>2023</v>
      </c>
      <c r="C6545" s="51" t="s">
        <v>713</v>
      </c>
      <c r="D6545" t="s">
        <v>741</v>
      </c>
      <c r="E6545" s="2">
        <v>0.35899999999999999</v>
      </c>
    </row>
    <row r="6546" spans="1:5" x14ac:dyDescent="0.25">
      <c r="A6546" s="32" t="s">
        <v>767</v>
      </c>
      <c r="B6546" s="7">
        <v>2023</v>
      </c>
      <c r="C6546" s="51" t="s">
        <v>707</v>
      </c>
      <c r="D6546" t="s">
        <v>741</v>
      </c>
      <c r="E6546" s="2">
        <v>0.375</v>
      </c>
    </row>
    <row r="6547" spans="1:5" x14ac:dyDescent="0.25">
      <c r="A6547" s="32" t="s">
        <v>767</v>
      </c>
      <c r="B6547" s="7">
        <v>2023</v>
      </c>
      <c r="C6547" s="51" t="s">
        <v>708</v>
      </c>
      <c r="D6547" t="s">
        <v>741</v>
      </c>
      <c r="E6547" s="2">
        <v>0.46</v>
      </c>
    </row>
    <row r="6548" spans="1:5" x14ac:dyDescent="0.25">
      <c r="A6548" s="32" t="s">
        <v>767</v>
      </c>
      <c r="B6548" s="7">
        <v>2023</v>
      </c>
      <c r="C6548" s="51" t="s">
        <v>699</v>
      </c>
      <c r="D6548" t="s">
        <v>741</v>
      </c>
      <c r="E6548" s="2">
        <v>0.46</v>
      </c>
    </row>
    <row r="6549" spans="1:5" x14ac:dyDescent="0.25">
      <c r="A6549" s="32" t="s">
        <v>767</v>
      </c>
      <c r="B6549" s="7">
        <v>2023</v>
      </c>
      <c r="C6549" s="51" t="s">
        <v>709</v>
      </c>
      <c r="D6549" t="s">
        <v>741</v>
      </c>
      <c r="E6549" s="2">
        <v>0.46</v>
      </c>
    </row>
    <row r="6550" spans="1:5" x14ac:dyDescent="0.25">
      <c r="A6550" s="32" t="s">
        <v>767</v>
      </c>
      <c r="B6550" s="7">
        <v>2023</v>
      </c>
      <c r="C6550" s="51" t="s">
        <v>712</v>
      </c>
      <c r="D6550" t="s">
        <v>741</v>
      </c>
      <c r="E6550" s="2">
        <v>0.39</v>
      </c>
    </row>
    <row r="6551" spans="1:5" x14ac:dyDescent="0.25">
      <c r="A6551" s="32" t="s">
        <v>767</v>
      </c>
      <c r="B6551" s="7">
        <v>2023</v>
      </c>
      <c r="C6551" s="51" t="s">
        <v>710</v>
      </c>
      <c r="D6551" t="s">
        <v>741</v>
      </c>
      <c r="E6551" s="2">
        <v>0.51</v>
      </c>
    </row>
    <row r="6552" spans="1:5" x14ac:dyDescent="0.25">
      <c r="A6552" s="32" t="s">
        <v>767</v>
      </c>
      <c r="B6552" s="7">
        <v>2023</v>
      </c>
      <c r="C6552" s="51" t="s">
        <v>702</v>
      </c>
      <c r="D6552" t="s">
        <v>741</v>
      </c>
      <c r="E6552" s="2">
        <v>0.49</v>
      </c>
    </row>
    <row r="6553" spans="1:5" x14ac:dyDescent="0.25">
      <c r="A6553" s="32" t="s">
        <v>767</v>
      </c>
      <c r="B6553" s="7">
        <v>2023</v>
      </c>
      <c r="C6553" s="51" t="s">
        <v>703</v>
      </c>
      <c r="D6553" t="s">
        <v>741</v>
      </c>
      <c r="E6553" s="2">
        <v>0.5</v>
      </c>
    </row>
    <row r="6554" spans="1:5" x14ac:dyDescent="0.25">
      <c r="A6554" s="32" t="s">
        <v>767</v>
      </c>
      <c r="B6554" s="7">
        <v>1997</v>
      </c>
      <c r="C6554" s="51" t="s">
        <v>704</v>
      </c>
      <c r="D6554" t="s">
        <v>726</v>
      </c>
    </row>
    <row r="6555" spans="1:5" x14ac:dyDescent="0.25">
      <c r="A6555" s="32" t="s">
        <v>767</v>
      </c>
      <c r="B6555" s="7">
        <v>1997</v>
      </c>
      <c r="C6555" s="51" t="s">
        <v>705</v>
      </c>
      <c r="D6555" t="s">
        <v>726</v>
      </c>
    </row>
    <row r="6556" spans="1:5" x14ac:dyDescent="0.25">
      <c r="A6556" s="32" t="s">
        <v>767</v>
      </c>
      <c r="B6556" s="7">
        <v>1997</v>
      </c>
      <c r="C6556" s="51" t="s">
        <v>706</v>
      </c>
      <c r="D6556" t="s">
        <v>726</v>
      </c>
    </row>
    <row r="6557" spans="1:5" x14ac:dyDescent="0.25">
      <c r="A6557" s="32" t="s">
        <v>767</v>
      </c>
      <c r="B6557" s="7">
        <v>1998</v>
      </c>
      <c r="C6557" s="51" t="s">
        <v>713</v>
      </c>
      <c r="D6557" t="s">
        <v>726</v>
      </c>
    </row>
    <row r="6558" spans="1:5" x14ac:dyDescent="0.25">
      <c r="A6558" s="32" t="s">
        <v>767</v>
      </c>
      <c r="B6558" s="7">
        <v>1998</v>
      </c>
      <c r="C6558" s="51" t="s">
        <v>707</v>
      </c>
      <c r="D6558" t="s">
        <v>726</v>
      </c>
    </row>
    <row r="6559" spans="1:5" x14ac:dyDescent="0.25">
      <c r="A6559" s="32" t="s">
        <v>767</v>
      </c>
      <c r="B6559" s="7">
        <v>1998</v>
      </c>
      <c r="C6559" s="51" t="s">
        <v>708</v>
      </c>
      <c r="D6559" t="s">
        <v>726</v>
      </c>
    </row>
    <row r="6560" spans="1:5" x14ac:dyDescent="0.25">
      <c r="A6560" s="32" t="s">
        <v>767</v>
      </c>
      <c r="B6560" s="7">
        <v>1998</v>
      </c>
      <c r="C6560" s="51" t="s">
        <v>699</v>
      </c>
      <c r="D6560" t="s">
        <v>726</v>
      </c>
    </row>
    <row r="6561" spans="1:4" x14ac:dyDescent="0.25">
      <c r="A6561" s="32" t="s">
        <v>767</v>
      </c>
      <c r="B6561" s="7">
        <v>1998</v>
      </c>
      <c r="C6561" s="51" t="s">
        <v>709</v>
      </c>
      <c r="D6561" t="s">
        <v>726</v>
      </c>
    </row>
    <row r="6562" spans="1:4" x14ac:dyDescent="0.25">
      <c r="A6562" s="32" t="s">
        <v>767</v>
      </c>
      <c r="B6562" s="7">
        <v>1998</v>
      </c>
      <c r="C6562" s="51" t="s">
        <v>712</v>
      </c>
      <c r="D6562" t="s">
        <v>726</v>
      </c>
    </row>
    <row r="6563" spans="1:4" x14ac:dyDescent="0.25">
      <c r="A6563" s="32" t="s">
        <v>767</v>
      </c>
      <c r="B6563" s="7">
        <v>1998</v>
      </c>
      <c r="C6563" s="51" t="s">
        <v>710</v>
      </c>
      <c r="D6563" t="s">
        <v>726</v>
      </c>
    </row>
    <row r="6564" spans="1:4" x14ac:dyDescent="0.25">
      <c r="A6564" s="32" t="s">
        <v>767</v>
      </c>
      <c r="B6564" s="7">
        <v>1998</v>
      </c>
      <c r="C6564" s="51" t="s">
        <v>702</v>
      </c>
      <c r="D6564" t="s">
        <v>726</v>
      </c>
    </row>
    <row r="6565" spans="1:4" x14ac:dyDescent="0.25">
      <c r="A6565" s="32" t="s">
        <v>767</v>
      </c>
      <c r="B6565" s="7">
        <v>1998</v>
      </c>
      <c r="C6565" s="51" t="s">
        <v>703</v>
      </c>
      <c r="D6565" t="s">
        <v>726</v>
      </c>
    </row>
    <row r="6566" spans="1:4" x14ac:dyDescent="0.25">
      <c r="A6566" s="32" t="s">
        <v>767</v>
      </c>
      <c r="B6566" s="7">
        <v>1998</v>
      </c>
      <c r="C6566" s="51" t="s">
        <v>704</v>
      </c>
      <c r="D6566" t="s">
        <v>726</v>
      </c>
    </row>
    <row r="6567" spans="1:4" x14ac:dyDescent="0.25">
      <c r="A6567" s="32" t="s">
        <v>767</v>
      </c>
      <c r="B6567" s="7">
        <v>1998</v>
      </c>
      <c r="C6567" s="51" t="s">
        <v>705</v>
      </c>
      <c r="D6567" t="s">
        <v>726</v>
      </c>
    </row>
    <row r="6568" spans="1:4" x14ac:dyDescent="0.25">
      <c r="A6568" s="32" t="s">
        <v>767</v>
      </c>
      <c r="B6568" s="7">
        <v>1998</v>
      </c>
      <c r="C6568" s="51" t="s">
        <v>706</v>
      </c>
      <c r="D6568" t="s">
        <v>726</v>
      </c>
    </row>
    <row r="6569" spans="1:4" x14ac:dyDescent="0.25">
      <c r="A6569" s="32" t="s">
        <v>767</v>
      </c>
      <c r="B6569" s="7">
        <v>1999</v>
      </c>
      <c r="C6569" s="51" t="s">
        <v>713</v>
      </c>
      <c r="D6569" t="s">
        <v>726</v>
      </c>
    </row>
    <row r="6570" spans="1:4" x14ac:dyDescent="0.25">
      <c r="A6570" s="32" t="s">
        <v>767</v>
      </c>
      <c r="B6570" s="7">
        <v>1999</v>
      </c>
      <c r="C6570" s="51" t="s">
        <v>707</v>
      </c>
      <c r="D6570" t="s">
        <v>726</v>
      </c>
    </row>
    <row r="6571" spans="1:4" x14ac:dyDescent="0.25">
      <c r="A6571" s="32" t="s">
        <v>767</v>
      </c>
      <c r="B6571" s="7">
        <v>1999</v>
      </c>
      <c r="C6571" s="51" t="s">
        <v>708</v>
      </c>
      <c r="D6571" t="s">
        <v>726</v>
      </c>
    </row>
    <row r="6572" spans="1:4" x14ac:dyDescent="0.25">
      <c r="A6572" s="32" t="s">
        <v>767</v>
      </c>
      <c r="B6572" s="7">
        <v>1999</v>
      </c>
      <c r="C6572" s="51" t="s">
        <v>699</v>
      </c>
      <c r="D6572" t="s">
        <v>726</v>
      </c>
    </row>
    <row r="6573" spans="1:4" x14ac:dyDescent="0.25">
      <c r="A6573" s="32" t="s">
        <v>767</v>
      </c>
      <c r="B6573" s="7">
        <v>1999</v>
      </c>
      <c r="C6573" s="51" t="s">
        <v>709</v>
      </c>
      <c r="D6573" t="s">
        <v>726</v>
      </c>
    </row>
    <row r="6574" spans="1:4" x14ac:dyDescent="0.25">
      <c r="A6574" s="32" t="s">
        <v>767</v>
      </c>
      <c r="B6574" s="7">
        <v>1999</v>
      </c>
      <c r="C6574" s="51" t="s">
        <v>712</v>
      </c>
      <c r="D6574" t="s">
        <v>726</v>
      </c>
    </row>
    <row r="6575" spans="1:4" x14ac:dyDescent="0.25">
      <c r="A6575" s="32" t="s">
        <v>767</v>
      </c>
      <c r="B6575" s="7">
        <v>1999</v>
      </c>
      <c r="C6575" s="51" t="s">
        <v>710</v>
      </c>
      <c r="D6575" t="s">
        <v>726</v>
      </c>
    </row>
    <row r="6576" spans="1:4" x14ac:dyDescent="0.25">
      <c r="A6576" s="32" t="s">
        <v>767</v>
      </c>
      <c r="B6576" s="7">
        <v>1999</v>
      </c>
      <c r="C6576" s="51" t="s">
        <v>702</v>
      </c>
      <c r="D6576" t="s">
        <v>726</v>
      </c>
    </row>
    <row r="6577" spans="1:4" x14ac:dyDescent="0.25">
      <c r="A6577" s="32" t="s">
        <v>767</v>
      </c>
      <c r="B6577" s="7">
        <v>1999</v>
      </c>
      <c r="C6577" s="51" t="s">
        <v>703</v>
      </c>
      <c r="D6577" t="s">
        <v>726</v>
      </c>
    </row>
    <row r="6578" spans="1:4" x14ac:dyDescent="0.25">
      <c r="A6578" s="32" t="s">
        <v>767</v>
      </c>
      <c r="B6578" s="7">
        <v>1999</v>
      </c>
      <c r="C6578" s="51" t="s">
        <v>704</v>
      </c>
      <c r="D6578" t="s">
        <v>726</v>
      </c>
    </row>
    <row r="6579" spans="1:4" x14ac:dyDescent="0.25">
      <c r="A6579" s="32" t="s">
        <v>767</v>
      </c>
      <c r="B6579" s="7">
        <v>1999</v>
      </c>
      <c r="C6579" s="51" t="s">
        <v>705</v>
      </c>
      <c r="D6579" t="s">
        <v>726</v>
      </c>
    </row>
    <row r="6580" spans="1:4" x14ac:dyDescent="0.25">
      <c r="A6580" s="32" t="s">
        <v>767</v>
      </c>
      <c r="B6580" s="7">
        <v>1999</v>
      </c>
      <c r="C6580" s="51" t="s">
        <v>706</v>
      </c>
      <c r="D6580" t="s">
        <v>726</v>
      </c>
    </row>
    <row r="6581" spans="1:4" x14ac:dyDescent="0.25">
      <c r="A6581" s="32" t="s">
        <v>767</v>
      </c>
      <c r="B6581" s="7">
        <v>2000</v>
      </c>
      <c r="C6581" s="51" t="s">
        <v>713</v>
      </c>
      <c r="D6581" t="s">
        <v>726</v>
      </c>
    </row>
    <row r="6582" spans="1:4" x14ac:dyDescent="0.25">
      <c r="A6582" s="32" t="s">
        <v>767</v>
      </c>
      <c r="B6582" s="7">
        <v>2000</v>
      </c>
      <c r="C6582" s="51" t="s">
        <v>707</v>
      </c>
      <c r="D6582" t="s">
        <v>726</v>
      </c>
    </row>
    <row r="6583" spans="1:4" x14ac:dyDescent="0.25">
      <c r="A6583" s="32" t="s">
        <v>767</v>
      </c>
      <c r="B6583" s="7">
        <v>2000</v>
      </c>
      <c r="C6583" s="51" t="s">
        <v>708</v>
      </c>
      <c r="D6583" t="s">
        <v>726</v>
      </c>
    </row>
    <row r="6584" spans="1:4" x14ac:dyDescent="0.25">
      <c r="A6584" s="32" t="s">
        <v>767</v>
      </c>
      <c r="B6584" s="7">
        <v>2000</v>
      </c>
      <c r="C6584" s="51" t="s">
        <v>699</v>
      </c>
      <c r="D6584" t="s">
        <v>726</v>
      </c>
    </row>
    <row r="6585" spans="1:4" x14ac:dyDescent="0.25">
      <c r="A6585" s="32" t="s">
        <v>767</v>
      </c>
      <c r="B6585" s="7">
        <v>2000</v>
      </c>
      <c r="C6585" s="51" t="s">
        <v>709</v>
      </c>
      <c r="D6585" t="s">
        <v>726</v>
      </c>
    </row>
    <row r="6586" spans="1:4" x14ac:dyDescent="0.25">
      <c r="A6586" s="32" t="s">
        <v>767</v>
      </c>
      <c r="B6586" s="7">
        <v>2000</v>
      </c>
      <c r="C6586" s="51" t="s">
        <v>712</v>
      </c>
      <c r="D6586" t="s">
        <v>726</v>
      </c>
    </row>
    <row r="6587" spans="1:4" x14ac:dyDescent="0.25">
      <c r="A6587" s="32" t="s">
        <v>767</v>
      </c>
      <c r="B6587" s="7">
        <v>2000</v>
      </c>
      <c r="C6587" s="51" t="s">
        <v>710</v>
      </c>
      <c r="D6587" t="s">
        <v>726</v>
      </c>
    </row>
    <row r="6588" spans="1:4" x14ac:dyDescent="0.25">
      <c r="A6588" s="32" t="s">
        <v>767</v>
      </c>
      <c r="B6588" s="7">
        <v>2000</v>
      </c>
      <c r="C6588" s="51" t="s">
        <v>702</v>
      </c>
      <c r="D6588" t="s">
        <v>726</v>
      </c>
    </row>
    <row r="6589" spans="1:4" x14ac:dyDescent="0.25">
      <c r="A6589" s="32" t="s">
        <v>767</v>
      </c>
      <c r="B6589" s="7">
        <v>2000</v>
      </c>
      <c r="C6589" s="51" t="s">
        <v>703</v>
      </c>
      <c r="D6589" t="s">
        <v>726</v>
      </c>
    </row>
    <row r="6590" spans="1:4" x14ac:dyDescent="0.25">
      <c r="A6590" s="32" t="s">
        <v>767</v>
      </c>
      <c r="B6590" s="7">
        <v>2000</v>
      </c>
      <c r="C6590" s="51" t="s">
        <v>704</v>
      </c>
      <c r="D6590" t="s">
        <v>726</v>
      </c>
    </row>
    <row r="6591" spans="1:4" x14ac:dyDescent="0.25">
      <c r="A6591" s="32" t="s">
        <v>767</v>
      </c>
      <c r="B6591" s="7">
        <v>2000</v>
      </c>
      <c r="C6591" s="51" t="s">
        <v>705</v>
      </c>
      <c r="D6591" t="s">
        <v>726</v>
      </c>
    </row>
    <row r="6592" spans="1:4" x14ac:dyDescent="0.25">
      <c r="A6592" s="32" t="s">
        <v>767</v>
      </c>
      <c r="B6592" s="7">
        <v>2000</v>
      </c>
      <c r="C6592" s="51" t="s">
        <v>706</v>
      </c>
      <c r="D6592" t="s">
        <v>726</v>
      </c>
    </row>
    <row r="6593" spans="1:4" x14ac:dyDescent="0.25">
      <c r="A6593" s="32" t="s">
        <v>767</v>
      </c>
      <c r="B6593" s="7">
        <v>2001</v>
      </c>
      <c r="C6593" s="51" t="s">
        <v>713</v>
      </c>
      <c r="D6593" t="s">
        <v>726</v>
      </c>
    </row>
    <row r="6594" spans="1:4" x14ac:dyDescent="0.25">
      <c r="A6594" s="32" t="s">
        <v>767</v>
      </c>
      <c r="B6594" s="7">
        <v>2001</v>
      </c>
      <c r="C6594" s="51" t="s">
        <v>707</v>
      </c>
      <c r="D6594" t="s">
        <v>726</v>
      </c>
    </row>
    <row r="6595" spans="1:4" x14ac:dyDescent="0.25">
      <c r="A6595" s="32" t="s">
        <v>767</v>
      </c>
      <c r="B6595" s="7">
        <v>2001</v>
      </c>
      <c r="C6595" s="51" t="s">
        <v>708</v>
      </c>
      <c r="D6595" t="s">
        <v>726</v>
      </c>
    </row>
    <row r="6596" spans="1:4" x14ac:dyDescent="0.25">
      <c r="A6596" s="32" t="s">
        <v>767</v>
      </c>
      <c r="B6596" s="7">
        <v>2001</v>
      </c>
      <c r="C6596" s="51" t="s">
        <v>699</v>
      </c>
      <c r="D6596" t="s">
        <v>726</v>
      </c>
    </row>
    <row r="6597" spans="1:4" x14ac:dyDescent="0.25">
      <c r="A6597" s="32" t="s">
        <v>767</v>
      </c>
      <c r="B6597" s="7">
        <v>2001</v>
      </c>
      <c r="C6597" s="51" t="s">
        <v>709</v>
      </c>
      <c r="D6597" t="s">
        <v>726</v>
      </c>
    </row>
    <row r="6598" spans="1:4" x14ac:dyDescent="0.25">
      <c r="A6598" s="32" t="s">
        <v>767</v>
      </c>
      <c r="B6598" s="7">
        <v>2001</v>
      </c>
      <c r="C6598" s="51" t="s">
        <v>712</v>
      </c>
      <c r="D6598" t="s">
        <v>726</v>
      </c>
    </row>
    <row r="6599" spans="1:4" x14ac:dyDescent="0.25">
      <c r="A6599" s="32" t="s">
        <v>767</v>
      </c>
      <c r="B6599" s="7">
        <v>2001</v>
      </c>
      <c r="C6599" s="51" t="s">
        <v>710</v>
      </c>
      <c r="D6599" t="s">
        <v>726</v>
      </c>
    </row>
    <row r="6600" spans="1:4" x14ac:dyDescent="0.25">
      <c r="A6600" s="32" t="s">
        <v>767</v>
      </c>
      <c r="B6600" s="7">
        <v>2001</v>
      </c>
      <c r="C6600" s="51" t="s">
        <v>702</v>
      </c>
      <c r="D6600" t="s">
        <v>726</v>
      </c>
    </row>
    <row r="6601" spans="1:4" x14ac:dyDescent="0.25">
      <c r="A6601" s="32" t="s">
        <v>767</v>
      </c>
      <c r="B6601" s="7">
        <v>2001</v>
      </c>
      <c r="C6601" s="51" t="s">
        <v>703</v>
      </c>
      <c r="D6601" t="s">
        <v>726</v>
      </c>
    </row>
    <row r="6602" spans="1:4" x14ac:dyDescent="0.25">
      <c r="A6602" s="32" t="s">
        <v>767</v>
      </c>
      <c r="B6602" s="7">
        <v>2001</v>
      </c>
      <c r="C6602" s="51" t="s">
        <v>704</v>
      </c>
      <c r="D6602" t="s">
        <v>726</v>
      </c>
    </row>
    <row r="6603" spans="1:4" x14ac:dyDescent="0.25">
      <c r="A6603" s="32" t="s">
        <v>767</v>
      </c>
      <c r="B6603" s="7">
        <v>2001</v>
      </c>
      <c r="C6603" s="51" t="s">
        <v>705</v>
      </c>
      <c r="D6603" t="s">
        <v>726</v>
      </c>
    </row>
    <row r="6604" spans="1:4" x14ac:dyDescent="0.25">
      <c r="A6604" s="32" t="s">
        <v>767</v>
      </c>
      <c r="B6604" s="7">
        <v>2001</v>
      </c>
      <c r="C6604" s="51" t="s">
        <v>706</v>
      </c>
      <c r="D6604" t="s">
        <v>726</v>
      </c>
    </row>
    <row r="6605" spans="1:4" x14ac:dyDescent="0.25">
      <c r="A6605" s="32" t="s">
        <v>767</v>
      </c>
      <c r="B6605" s="7">
        <v>2002</v>
      </c>
      <c r="C6605" s="51" t="s">
        <v>713</v>
      </c>
      <c r="D6605" t="s">
        <v>726</v>
      </c>
    </row>
    <row r="6606" spans="1:4" x14ac:dyDescent="0.25">
      <c r="A6606" s="32" t="s">
        <v>767</v>
      </c>
      <c r="B6606" s="7">
        <v>2002</v>
      </c>
      <c r="C6606" s="51" t="s">
        <v>707</v>
      </c>
      <c r="D6606" t="s">
        <v>726</v>
      </c>
    </row>
    <row r="6607" spans="1:4" x14ac:dyDescent="0.25">
      <c r="A6607" s="32" t="s">
        <v>767</v>
      </c>
      <c r="B6607" s="7">
        <v>2002</v>
      </c>
      <c r="C6607" s="51" t="s">
        <v>708</v>
      </c>
      <c r="D6607" t="s">
        <v>726</v>
      </c>
    </row>
    <row r="6608" spans="1:4" x14ac:dyDescent="0.25">
      <c r="A6608" s="32" t="s">
        <v>767</v>
      </c>
      <c r="B6608" s="7">
        <v>2002</v>
      </c>
      <c r="C6608" s="51" t="s">
        <v>699</v>
      </c>
      <c r="D6608" t="s">
        <v>726</v>
      </c>
    </row>
    <row r="6609" spans="1:4" x14ac:dyDescent="0.25">
      <c r="A6609" s="32" t="s">
        <v>767</v>
      </c>
      <c r="B6609" s="7">
        <v>2002</v>
      </c>
      <c r="C6609" s="51" t="s">
        <v>709</v>
      </c>
      <c r="D6609" t="s">
        <v>726</v>
      </c>
    </row>
    <row r="6610" spans="1:4" x14ac:dyDescent="0.25">
      <c r="A6610" s="32" t="s">
        <v>767</v>
      </c>
      <c r="B6610" s="7">
        <v>2002</v>
      </c>
      <c r="C6610" s="51" t="s">
        <v>712</v>
      </c>
      <c r="D6610" t="s">
        <v>726</v>
      </c>
    </row>
    <row r="6611" spans="1:4" x14ac:dyDescent="0.25">
      <c r="A6611" s="32" t="s">
        <v>767</v>
      </c>
      <c r="B6611" s="7">
        <v>2002</v>
      </c>
      <c r="C6611" s="51" t="s">
        <v>710</v>
      </c>
      <c r="D6611" t="s">
        <v>726</v>
      </c>
    </row>
    <row r="6612" spans="1:4" x14ac:dyDescent="0.25">
      <c r="A6612" s="32" t="s">
        <v>767</v>
      </c>
      <c r="B6612" s="7">
        <v>2002</v>
      </c>
      <c r="C6612" s="51" t="s">
        <v>702</v>
      </c>
      <c r="D6612" t="s">
        <v>726</v>
      </c>
    </row>
    <row r="6613" spans="1:4" x14ac:dyDescent="0.25">
      <c r="A6613" s="32" t="s">
        <v>767</v>
      </c>
      <c r="B6613" s="7">
        <v>2002</v>
      </c>
      <c r="C6613" s="51" t="s">
        <v>703</v>
      </c>
      <c r="D6613" t="s">
        <v>726</v>
      </c>
    </row>
    <row r="6614" spans="1:4" x14ac:dyDescent="0.25">
      <c r="A6614" s="32" t="s">
        <v>767</v>
      </c>
      <c r="B6614" s="7">
        <v>2002</v>
      </c>
      <c r="C6614" s="51" t="s">
        <v>704</v>
      </c>
      <c r="D6614" t="s">
        <v>726</v>
      </c>
    </row>
    <row r="6615" spans="1:4" x14ac:dyDescent="0.25">
      <c r="A6615" s="32" t="s">
        <v>767</v>
      </c>
      <c r="B6615" s="7">
        <v>2002</v>
      </c>
      <c r="C6615" s="51" t="s">
        <v>705</v>
      </c>
      <c r="D6615" t="s">
        <v>726</v>
      </c>
    </row>
    <row r="6616" spans="1:4" x14ac:dyDescent="0.25">
      <c r="A6616" s="32" t="s">
        <v>767</v>
      </c>
      <c r="B6616" s="7">
        <v>2002</v>
      </c>
      <c r="C6616" s="51" t="s">
        <v>706</v>
      </c>
      <c r="D6616" t="s">
        <v>726</v>
      </c>
    </row>
    <row r="6617" spans="1:4" x14ac:dyDescent="0.25">
      <c r="A6617" s="32" t="s">
        <v>767</v>
      </c>
      <c r="B6617" s="7">
        <v>2003</v>
      </c>
      <c r="C6617" s="51" t="s">
        <v>713</v>
      </c>
      <c r="D6617" t="s">
        <v>726</v>
      </c>
    </row>
    <row r="6618" spans="1:4" x14ac:dyDescent="0.25">
      <c r="A6618" s="32" t="s">
        <v>767</v>
      </c>
      <c r="B6618" s="7">
        <v>2003</v>
      </c>
      <c r="C6618" s="51" t="s">
        <v>707</v>
      </c>
      <c r="D6618" t="s">
        <v>726</v>
      </c>
    </row>
    <row r="6619" spans="1:4" x14ac:dyDescent="0.25">
      <c r="A6619" s="32" t="s">
        <v>767</v>
      </c>
      <c r="B6619" s="7">
        <v>2003</v>
      </c>
      <c r="C6619" s="51" t="s">
        <v>708</v>
      </c>
      <c r="D6619" t="s">
        <v>726</v>
      </c>
    </row>
    <row r="6620" spans="1:4" x14ac:dyDescent="0.25">
      <c r="A6620" s="32" t="s">
        <v>767</v>
      </c>
      <c r="B6620" s="7">
        <v>2003</v>
      </c>
      <c r="C6620" s="51" t="s">
        <v>699</v>
      </c>
      <c r="D6620" t="s">
        <v>726</v>
      </c>
    </row>
    <row r="6621" spans="1:4" x14ac:dyDescent="0.25">
      <c r="A6621" s="32" t="s">
        <v>767</v>
      </c>
      <c r="B6621" s="7">
        <v>2003</v>
      </c>
      <c r="C6621" s="51" t="s">
        <v>709</v>
      </c>
      <c r="D6621" t="s">
        <v>726</v>
      </c>
    </row>
    <row r="6622" spans="1:4" x14ac:dyDescent="0.25">
      <c r="A6622" s="32" t="s">
        <v>767</v>
      </c>
      <c r="B6622" s="7">
        <v>2003</v>
      </c>
      <c r="C6622" s="51" t="s">
        <v>712</v>
      </c>
      <c r="D6622" t="s">
        <v>726</v>
      </c>
    </row>
    <row r="6623" spans="1:4" x14ac:dyDescent="0.25">
      <c r="A6623" s="32" t="s">
        <v>767</v>
      </c>
      <c r="B6623" s="7">
        <v>2003</v>
      </c>
      <c r="C6623" s="51" t="s">
        <v>710</v>
      </c>
      <c r="D6623" t="s">
        <v>726</v>
      </c>
    </row>
    <row r="6624" spans="1:4" x14ac:dyDescent="0.25">
      <c r="A6624" s="32" t="s">
        <v>767</v>
      </c>
      <c r="B6624" s="7">
        <v>2003</v>
      </c>
      <c r="C6624" s="51" t="s">
        <v>702</v>
      </c>
      <c r="D6624" t="s">
        <v>726</v>
      </c>
    </row>
    <row r="6625" spans="1:4" x14ac:dyDescent="0.25">
      <c r="A6625" s="32" t="s">
        <v>767</v>
      </c>
      <c r="B6625" s="7">
        <v>2003</v>
      </c>
      <c r="C6625" s="51" t="s">
        <v>703</v>
      </c>
      <c r="D6625" t="s">
        <v>726</v>
      </c>
    </row>
    <row r="6626" spans="1:4" x14ac:dyDescent="0.25">
      <c r="A6626" s="32" t="s">
        <v>767</v>
      </c>
      <c r="B6626" s="7">
        <v>2003</v>
      </c>
      <c r="C6626" s="51" t="s">
        <v>704</v>
      </c>
      <c r="D6626" t="s">
        <v>726</v>
      </c>
    </row>
    <row r="6627" spans="1:4" x14ac:dyDescent="0.25">
      <c r="A6627" s="32" t="s">
        <v>767</v>
      </c>
      <c r="B6627" s="7">
        <v>2003</v>
      </c>
      <c r="C6627" s="51" t="s">
        <v>705</v>
      </c>
      <c r="D6627" t="s">
        <v>726</v>
      </c>
    </row>
    <row r="6628" spans="1:4" x14ac:dyDescent="0.25">
      <c r="A6628" s="32" t="s">
        <v>767</v>
      </c>
      <c r="B6628" s="7">
        <v>2003</v>
      </c>
      <c r="C6628" s="51" t="s">
        <v>706</v>
      </c>
      <c r="D6628" t="s">
        <v>726</v>
      </c>
    </row>
    <row r="6629" spans="1:4" x14ac:dyDescent="0.25">
      <c r="A6629" s="32" t="s">
        <v>767</v>
      </c>
      <c r="B6629" s="7">
        <v>2004</v>
      </c>
      <c r="C6629" s="51" t="s">
        <v>713</v>
      </c>
      <c r="D6629" t="s">
        <v>726</v>
      </c>
    </row>
    <row r="6630" spans="1:4" x14ac:dyDescent="0.25">
      <c r="A6630" s="32" t="s">
        <v>767</v>
      </c>
      <c r="B6630" s="7">
        <v>2004</v>
      </c>
      <c r="C6630" s="51" t="s">
        <v>707</v>
      </c>
      <c r="D6630" t="s">
        <v>726</v>
      </c>
    </row>
    <row r="6631" spans="1:4" x14ac:dyDescent="0.25">
      <c r="A6631" s="32" t="s">
        <v>767</v>
      </c>
      <c r="B6631" s="7">
        <v>2004</v>
      </c>
      <c r="C6631" s="51" t="s">
        <v>708</v>
      </c>
      <c r="D6631" t="s">
        <v>726</v>
      </c>
    </row>
    <row r="6632" spans="1:4" x14ac:dyDescent="0.25">
      <c r="A6632" s="32" t="s">
        <v>767</v>
      </c>
      <c r="B6632" s="7">
        <v>2004</v>
      </c>
      <c r="C6632" s="51" t="s">
        <v>699</v>
      </c>
      <c r="D6632" t="s">
        <v>726</v>
      </c>
    </row>
    <row r="6633" spans="1:4" x14ac:dyDescent="0.25">
      <c r="A6633" s="32" t="s">
        <v>767</v>
      </c>
      <c r="B6633" s="7">
        <v>2004</v>
      </c>
      <c r="C6633" s="51" t="s">
        <v>709</v>
      </c>
      <c r="D6633" t="s">
        <v>726</v>
      </c>
    </row>
    <row r="6634" spans="1:4" x14ac:dyDescent="0.25">
      <c r="A6634" s="32" t="s">
        <v>767</v>
      </c>
      <c r="B6634" s="7">
        <v>2004</v>
      </c>
      <c r="C6634" s="51" t="s">
        <v>712</v>
      </c>
      <c r="D6634" t="s">
        <v>726</v>
      </c>
    </row>
    <row r="6635" spans="1:4" x14ac:dyDescent="0.25">
      <c r="A6635" s="32" t="s">
        <v>767</v>
      </c>
      <c r="B6635" s="7">
        <v>2004</v>
      </c>
      <c r="C6635" s="51" t="s">
        <v>710</v>
      </c>
      <c r="D6635" t="s">
        <v>726</v>
      </c>
    </row>
    <row r="6636" spans="1:4" x14ac:dyDescent="0.25">
      <c r="A6636" s="32" t="s">
        <v>767</v>
      </c>
      <c r="B6636" s="7">
        <v>2004</v>
      </c>
      <c r="C6636" s="51" t="s">
        <v>702</v>
      </c>
      <c r="D6636" t="s">
        <v>726</v>
      </c>
    </row>
    <row r="6637" spans="1:4" x14ac:dyDescent="0.25">
      <c r="A6637" s="32" t="s">
        <v>767</v>
      </c>
      <c r="B6637" s="7">
        <v>2004</v>
      </c>
      <c r="C6637" s="51" t="s">
        <v>703</v>
      </c>
      <c r="D6637" t="s">
        <v>726</v>
      </c>
    </row>
    <row r="6638" spans="1:4" x14ac:dyDescent="0.25">
      <c r="A6638" s="32" t="s">
        <v>767</v>
      </c>
      <c r="B6638" s="7">
        <v>2004</v>
      </c>
      <c r="C6638" s="51" t="s">
        <v>704</v>
      </c>
      <c r="D6638" t="s">
        <v>726</v>
      </c>
    </row>
    <row r="6639" spans="1:4" x14ac:dyDescent="0.25">
      <c r="A6639" s="32" t="s">
        <v>767</v>
      </c>
      <c r="B6639" s="7">
        <v>2004</v>
      </c>
      <c r="C6639" s="51" t="s">
        <v>705</v>
      </c>
      <c r="D6639" t="s">
        <v>726</v>
      </c>
    </row>
    <row r="6640" spans="1:4" x14ac:dyDescent="0.25">
      <c r="A6640" s="32" t="s">
        <v>767</v>
      </c>
      <c r="B6640" s="7">
        <v>2004</v>
      </c>
      <c r="C6640" s="51" t="s">
        <v>706</v>
      </c>
      <c r="D6640" t="s">
        <v>726</v>
      </c>
    </row>
    <row r="6641" spans="1:4" x14ac:dyDescent="0.25">
      <c r="A6641" s="32" t="s">
        <v>767</v>
      </c>
      <c r="B6641" s="7">
        <v>2005</v>
      </c>
      <c r="C6641" s="51" t="s">
        <v>713</v>
      </c>
      <c r="D6641" t="s">
        <v>726</v>
      </c>
    </row>
    <row r="6642" spans="1:4" x14ac:dyDescent="0.25">
      <c r="A6642" s="32" t="s">
        <v>767</v>
      </c>
      <c r="B6642" s="7">
        <v>2005</v>
      </c>
      <c r="C6642" s="51" t="s">
        <v>707</v>
      </c>
      <c r="D6642" t="s">
        <v>726</v>
      </c>
    </row>
    <row r="6643" spans="1:4" x14ac:dyDescent="0.25">
      <c r="A6643" s="32" t="s">
        <v>767</v>
      </c>
      <c r="B6643" s="7">
        <v>2005</v>
      </c>
      <c r="C6643" s="51" t="s">
        <v>708</v>
      </c>
      <c r="D6643" t="s">
        <v>726</v>
      </c>
    </row>
    <row r="6644" spans="1:4" x14ac:dyDescent="0.25">
      <c r="A6644" s="32" t="s">
        <v>767</v>
      </c>
      <c r="B6644" s="7">
        <v>2005</v>
      </c>
      <c r="C6644" s="51" t="s">
        <v>699</v>
      </c>
      <c r="D6644" t="s">
        <v>726</v>
      </c>
    </row>
    <row r="6645" spans="1:4" x14ac:dyDescent="0.25">
      <c r="A6645" s="32" t="s">
        <v>767</v>
      </c>
      <c r="B6645" s="7">
        <v>2005</v>
      </c>
      <c r="C6645" s="51" t="s">
        <v>709</v>
      </c>
      <c r="D6645" t="s">
        <v>726</v>
      </c>
    </row>
    <row r="6646" spans="1:4" x14ac:dyDescent="0.25">
      <c r="A6646" s="32" t="s">
        <v>767</v>
      </c>
      <c r="B6646" s="7">
        <v>2005</v>
      </c>
      <c r="C6646" s="51" t="s">
        <v>712</v>
      </c>
      <c r="D6646" t="s">
        <v>726</v>
      </c>
    </row>
    <row r="6647" spans="1:4" x14ac:dyDescent="0.25">
      <c r="A6647" s="32" t="s">
        <v>767</v>
      </c>
      <c r="B6647" s="7">
        <v>2005</v>
      </c>
      <c r="C6647" s="51" t="s">
        <v>710</v>
      </c>
      <c r="D6647" t="s">
        <v>726</v>
      </c>
    </row>
    <row r="6648" spans="1:4" x14ac:dyDescent="0.25">
      <c r="A6648" s="32" t="s">
        <v>767</v>
      </c>
      <c r="B6648" s="7">
        <v>2005</v>
      </c>
      <c r="C6648" s="51" t="s">
        <v>702</v>
      </c>
      <c r="D6648" t="s">
        <v>726</v>
      </c>
    </row>
    <row r="6649" spans="1:4" x14ac:dyDescent="0.25">
      <c r="A6649" s="32" t="s">
        <v>767</v>
      </c>
      <c r="B6649" s="7">
        <v>2005</v>
      </c>
      <c r="C6649" s="51" t="s">
        <v>703</v>
      </c>
      <c r="D6649" t="s">
        <v>726</v>
      </c>
    </row>
    <row r="6650" spans="1:4" x14ac:dyDescent="0.25">
      <c r="A6650" s="32" t="s">
        <v>767</v>
      </c>
      <c r="B6650" s="7">
        <v>2005</v>
      </c>
      <c r="C6650" s="51" t="s">
        <v>704</v>
      </c>
      <c r="D6650" t="s">
        <v>726</v>
      </c>
    </row>
    <row r="6651" spans="1:4" x14ac:dyDescent="0.25">
      <c r="A6651" s="32" t="s">
        <v>767</v>
      </c>
      <c r="B6651" s="7">
        <v>2005</v>
      </c>
      <c r="C6651" s="51" t="s">
        <v>705</v>
      </c>
      <c r="D6651" t="s">
        <v>726</v>
      </c>
    </row>
    <row r="6652" spans="1:4" x14ac:dyDescent="0.25">
      <c r="A6652" s="32" t="s">
        <v>767</v>
      </c>
      <c r="B6652" s="7">
        <v>2005</v>
      </c>
      <c r="C6652" s="51" t="s">
        <v>706</v>
      </c>
      <c r="D6652" t="s">
        <v>726</v>
      </c>
    </row>
    <row r="6653" spans="1:4" x14ac:dyDescent="0.25">
      <c r="A6653" s="32" t="s">
        <v>767</v>
      </c>
      <c r="B6653" s="7">
        <v>2006</v>
      </c>
      <c r="C6653" s="51" t="s">
        <v>713</v>
      </c>
      <c r="D6653" t="s">
        <v>726</v>
      </c>
    </row>
    <row r="6654" spans="1:4" x14ac:dyDescent="0.25">
      <c r="A6654" s="32" t="s">
        <v>767</v>
      </c>
      <c r="B6654" s="7">
        <v>2006</v>
      </c>
      <c r="C6654" s="51" t="s">
        <v>707</v>
      </c>
      <c r="D6654" t="s">
        <v>726</v>
      </c>
    </row>
    <row r="6655" spans="1:4" x14ac:dyDescent="0.25">
      <c r="A6655" s="32" t="s">
        <v>767</v>
      </c>
      <c r="B6655" s="7">
        <v>2006</v>
      </c>
      <c r="C6655" s="51" t="s">
        <v>708</v>
      </c>
      <c r="D6655" t="s">
        <v>726</v>
      </c>
    </row>
    <row r="6656" spans="1:4" x14ac:dyDescent="0.25">
      <c r="A6656" s="32" t="s">
        <v>767</v>
      </c>
      <c r="B6656" s="7">
        <v>2006</v>
      </c>
      <c r="C6656" s="51" t="s">
        <v>699</v>
      </c>
      <c r="D6656" t="s">
        <v>726</v>
      </c>
    </row>
    <row r="6657" spans="1:4" x14ac:dyDescent="0.25">
      <c r="A6657" s="32" t="s">
        <v>767</v>
      </c>
      <c r="B6657" s="7">
        <v>2006</v>
      </c>
      <c r="C6657" s="51" t="s">
        <v>709</v>
      </c>
      <c r="D6657" t="s">
        <v>726</v>
      </c>
    </row>
    <row r="6658" spans="1:4" x14ac:dyDescent="0.25">
      <c r="A6658" s="32" t="s">
        <v>767</v>
      </c>
      <c r="B6658" s="7">
        <v>2006</v>
      </c>
      <c r="C6658" s="51" t="s">
        <v>712</v>
      </c>
      <c r="D6658" t="s">
        <v>726</v>
      </c>
    </row>
    <row r="6659" spans="1:4" x14ac:dyDescent="0.25">
      <c r="A6659" s="32" t="s">
        <v>767</v>
      </c>
      <c r="B6659" s="7">
        <v>2006</v>
      </c>
      <c r="C6659" s="51" t="s">
        <v>710</v>
      </c>
      <c r="D6659" t="s">
        <v>726</v>
      </c>
    </row>
    <row r="6660" spans="1:4" x14ac:dyDescent="0.25">
      <c r="A6660" s="32" t="s">
        <v>767</v>
      </c>
      <c r="B6660" s="7">
        <v>2006</v>
      </c>
      <c r="C6660" s="51" t="s">
        <v>702</v>
      </c>
      <c r="D6660" t="s">
        <v>726</v>
      </c>
    </row>
    <row r="6661" spans="1:4" x14ac:dyDescent="0.25">
      <c r="A6661" s="32" t="s">
        <v>767</v>
      </c>
      <c r="B6661" s="7">
        <v>2006</v>
      </c>
      <c r="C6661" s="51" t="s">
        <v>703</v>
      </c>
      <c r="D6661" t="s">
        <v>726</v>
      </c>
    </row>
    <row r="6662" spans="1:4" x14ac:dyDescent="0.25">
      <c r="A6662" s="32" t="s">
        <v>767</v>
      </c>
      <c r="B6662" s="7">
        <v>2006</v>
      </c>
      <c r="C6662" s="51" t="s">
        <v>704</v>
      </c>
      <c r="D6662" t="s">
        <v>726</v>
      </c>
    </row>
    <row r="6663" spans="1:4" x14ac:dyDescent="0.25">
      <c r="A6663" s="32" t="s">
        <v>767</v>
      </c>
      <c r="B6663" s="7">
        <v>2006</v>
      </c>
      <c r="C6663" s="51" t="s">
        <v>705</v>
      </c>
      <c r="D6663" t="s">
        <v>726</v>
      </c>
    </row>
    <row r="6664" spans="1:4" x14ac:dyDescent="0.25">
      <c r="A6664" s="32" t="s">
        <v>767</v>
      </c>
      <c r="B6664" s="7">
        <v>2006</v>
      </c>
      <c r="C6664" s="51" t="s">
        <v>706</v>
      </c>
      <c r="D6664" t="s">
        <v>726</v>
      </c>
    </row>
    <row r="6665" spans="1:4" x14ac:dyDescent="0.25">
      <c r="A6665" s="32" t="s">
        <v>767</v>
      </c>
      <c r="B6665" s="7">
        <v>2007</v>
      </c>
      <c r="C6665" s="51" t="s">
        <v>713</v>
      </c>
      <c r="D6665" t="s">
        <v>726</v>
      </c>
    </row>
    <row r="6666" spans="1:4" x14ac:dyDescent="0.25">
      <c r="A6666" s="32" t="s">
        <v>767</v>
      </c>
      <c r="B6666" s="7">
        <v>2007</v>
      </c>
      <c r="C6666" s="51" t="s">
        <v>707</v>
      </c>
      <c r="D6666" t="s">
        <v>726</v>
      </c>
    </row>
    <row r="6667" spans="1:4" x14ac:dyDescent="0.25">
      <c r="A6667" s="32" t="s">
        <v>767</v>
      </c>
      <c r="B6667" s="7">
        <v>2007</v>
      </c>
      <c r="C6667" s="51" t="s">
        <v>708</v>
      </c>
      <c r="D6667" t="s">
        <v>726</v>
      </c>
    </row>
    <row r="6668" spans="1:4" x14ac:dyDescent="0.25">
      <c r="A6668" s="32" t="s">
        <v>767</v>
      </c>
      <c r="B6668" s="7">
        <v>2007</v>
      </c>
      <c r="C6668" s="51" t="s">
        <v>699</v>
      </c>
      <c r="D6668" t="s">
        <v>726</v>
      </c>
    </row>
    <row r="6669" spans="1:4" x14ac:dyDescent="0.25">
      <c r="A6669" s="32" t="s">
        <v>767</v>
      </c>
      <c r="B6669" s="7">
        <v>2007</v>
      </c>
      <c r="C6669" s="51" t="s">
        <v>709</v>
      </c>
      <c r="D6669" t="s">
        <v>726</v>
      </c>
    </row>
    <row r="6670" spans="1:4" x14ac:dyDescent="0.25">
      <c r="A6670" s="32" t="s">
        <v>767</v>
      </c>
      <c r="B6670" s="7">
        <v>2007</v>
      </c>
      <c r="C6670" s="51" t="s">
        <v>712</v>
      </c>
      <c r="D6670" t="s">
        <v>726</v>
      </c>
    </row>
    <row r="6671" spans="1:4" x14ac:dyDescent="0.25">
      <c r="A6671" s="32" t="s">
        <v>767</v>
      </c>
      <c r="B6671" s="7">
        <v>2007</v>
      </c>
      <c r="C6671" s="51" t="s">
        <v>710</v>
      </c>
      <c r="D6671" t="s">
        <v>726</v>
      </c>
    </row>
    <row r="6672" spans="1:4" x14ac:dyDescent="0.25">
      <c r="A6672" s="32" t="s">
        <v>767</v>
      </c>
      <c r="B6672" s="7">
        <v>2007</v>
      </c>
      <c r="C6672" s="51" t="s">
        <v>702</v>
      </c>
      <c r="D6672" t="s">
        <v>726</v>
      </c>
    </row>
    <row r="6673" spans="1:4" x14ac:dyDescent="0.25">
      <c r="A6673" s="32" t="s">
        <v>767</v>
      </c>
      <c r="B6673" s="7">
        <v>2007</v>
      </c>
      <c r="C6673" s="51" t="s">
        <v>703</v>
      </c>
      <c r="D6673" t="s">
        <v>726</v>
      </c>
    </row>
    <row r="6674" spans="1:4" x14ac:dyDescent="0.25">
      <c r="A6674" s="32" t="s">
        <v>767</v>
      </c>
      <c r="B6674" s="7">
        <v>2007</v>
      </c>
      <c r="C6674" s="51" t="s">
        <v>704</v>
      </c>
      <c r="D6674" t="s">
        <v>726</v>
      </c>
    </row>
    <row r="6675" spans="1:4" x14ac:dyDescent="0.25">
      <c r="A6675" s="32" t="s">
        <v>767</v>
      </c>
      <c r="B6675" s="7">
        <v>2007</v>
      </c>
      <c r="C6675" s="51" t="s">
        <v>705</v>
      </c>
      <c r="D6675" t="s">
        <v>726</v>
      </c>
    </row>
    <row r="6676" spans="1:4" x14ac:dyDescent="0.25">
      <c r="A6676" s="32" t="s">
        <v>767</v>
      </c>
      <c r="B6676" s="7">
        <v>2007</v>
      </c>
      <c r="C6676" s="51" t="s">
        <v>706</v>
      </c>
      <c r="D6676" t="s">
        <v>726</v>
      </c>
    </row>
    <row r="6677" spans="1:4" x14ac:dyDescent="0.25">
      <c r="A6677" s="32" t="s">
        <v>767</v>
      </c>
      <c r="B6677" s="7">
        <v>2008</v>
      </c>
      <c r="C6677" s="51" t="s">
        <v>713</v>
      </c>
      <c r="D6677" t="s">
        <v>726</v>
      </c>
    </row>
    <row r="6678" spans="1:4" x14ac:dyDescent="0.25">
      <c r="A6678" s="32" t="s">
        <v>767</v>
      </c>
      <c r="B6678" s="7">
        <v>2008</v>
      </c>
      <c r="C6678" s="51" t="s">
        <v>707</v>
      </c>
      <c r="D6678" t="s">
        <v>726</v>
      </c>
    </row>
    <row r="6679" spans="1:4" x14ac:dyDescent="0.25">
      <c r="A6679" s="32" t="s">
        <v>767</v>
      </c>
      <c r="B6679" s="7">
        <v>2008</v>
      </c>
      <c r="C6679" s="51" t="s">
        <v>708</v>
      </c>
      <c r="D6679" t="s">
        <v>726</v>
      </c>
    </row>
    <row r="6680" spans="1:4" x14ac:dyDescent="0.25">
      <c r="A6680" s="32" t="s">
        <v>767</v>
      </c>
      <c r="B6680" s="7">
        <v>2008</v>
      </c>
      <c r="C6680" s="51" t="s">
        <v>699</v>
      </c>
      <c r="D6680" t="s">
        <v>726</v>
      </c>
    </row>
    <row r="6681" spans="1:4" x14ac:dyDescent="0.25">
      <c r="A6681" s="32" t="s">
        <v>767</v>
      </c>
      <c r="B6681" s="7">
        <v>2008</v>
      </c>
      <c r="C6681" s="51" t="s">
        <v>709</v>
      </c>
      <c r="D6681" t="s">
        <v>726</v>
      </c>
    </row>
    <row r="6682" spans="1:4" x14ac:dyDescent="0.25">
      <c r="A6682" s="32" t="s">
        <v>767</v>
      </c>
      <c r="B6682" s="7">
        <v>2008</v>
      </c>
      <c r="C6682" s="51" t="s">
        <v>712</v>
      </c>
      <c r="D6682" t="s">
        <v>726</v>
      </c>
    </row>
    <row r="6683" spans="1:4" x14ac:dyDescent="0.25">
      <c r="A6683" s="32" t="s">
        <v>767</v>
      </c>
      <c r="B6683" s="7">
        <v>2008</v>
      </c>
      <c r="C6683" s="51" t="s">
        <v>710</v>
      </c>
      <c r="D6683" t="s">
        <v>726</v>
      </c>
    </row>
    <row r="6684" spans="1:4" x14ac:dyDescent="0.25">
      <c r="A6684" s="32" t="s">
        <v>767</v>
      </c>
      <c r="B6684" s="7">
        <v>2008</v>
      </c>
      <c r="C6684" s="51" t="s">
        <v>702</v>
      </c>
      <c r="D6684" t="s">
        <v>726</v>
      </c>
    </row>
    <row r="6685" spans="1:4" x14ac:dyDescent="0.25">
      <c r="A6685" s="32" t="s">
        <v>767</v>
      </c>
      <c r="B6685" s="7">
        <v>2008</v>
      </c>
      <c r="C6685" s="51" t="s">
        <v>703</v>
      </c>
      <c r="D6685" t="s">
        <v>726</v>
      </c>
    </row>
    <row r="6686" spans="1:4" x14ac:dyDescent="0.25">
      <c r="A6686" s="32" t="s">
        <v>767</v>
      </c>
      <c r="B6686" s="7">
        <v>2008</v>
      </c>
      <c r="C6686" s="51" t="s">
        <v>704</v>
      </c>
      <c r="D6686" t="s">
        <v>726</v>
      </c>
    </row>
    <row r="6687" spans="1:4" x14ac:dyDescent="0.25">
      <c r="A6687" s="32" t="s">
        <v>767</v>
      </c>
      <c r="B6687" s="7">
        <v>2008</v>
      </c>
      <c r="C6687" s="51" t="s">
        <v>705</v>
      </c>
      <c r="D6687" t="s">
        <v>726</v>
      </c>
    </row>
    <row r="6688" spans="1:4" x14ac:dyDescent="0.25">
      <c r="A6688" s="32" t="s">
        <v>767</v>
      </c>
      <c r="B6688" s="7">
        <v>2008</v>
      </c>
      <c r="C6688" s="51" t="s">
        <v>706</v>
      </c>
      <c r="D6688" t="s">
        <v>726</v>
      </c>
    </row>
    <row r="6689" spans="1:4" x14ac:dyDescent="0.25">
      <c r="A6689" s="32" t="s">
        <v>767</v>
      </c>
      <c r="B6689" s="7">
        <v>2009</v>
      </c>
      <c r="C6689" s="51" t="s">
        <v>713</v>
      </c>
      <c r="D6689" t="s">
        <v>726</v>
      </c>
    </row>
    <row r="6690" spans="1:4" x14ac:dyDescent="0.25">
      <c r="A6690" s="32" t="s">
        <v>767</v>
      </c>
      <c r="B6690" s="7">
        <v>2009</v>
      </c>
      <c r="C6690" s="51" t="s">
        <v>707</v>
      </c>
      <c r="D6690" t="s">
        <v>726</v>
      </c>
    </row>
    <row r="6691" spans="1:4" x14ac:dyDescent="0.25">
      <c r="A6691" s="32" t="s">
        <v>767</v>
      </c>
      <c r="B6691" s="7">
        <v>2009</v>
      </c>
      <c r="C6691" s="51" t="s">
        <v>708</v>
      </c>
      <c r="D6691" t="s">
        <v>726</v>
      </c>
    </row>
    <row r="6692" spans="1:4" x14ac:dyDescent="0.25">
      <c r="A6692" s="32" t="s">
        <v>767</v>
      </c>
      <c r="B6692" s="7">
        <v>2009</v>
      </c>
      <c r="C6692" s="51" t="s">
        <v>699</v>
      </c>
      <c r="D6692" t="s">
        <v>726</v>
      </c>
    </row>
    <row r="6693" spans="1:4" x14ac:dyDescent="0.25">
      <c r="A6693" s="32" t="s">
        <v>767</v>
      </c>
      <c r="B6693" s="7">
        <v>2009</v>
      </c>
      <c r="C6693" s="51" t="s">
        <v>709</v>
      </c>
      <c r="D6693" t="s">
        <v>726</v>
      </c>
    </row>
    <row r="6694" spans="1:4" x14ac:dyDescent="0.25">
      <c r="A6694" s="32" t="s">
        <v>767</v>
      </c>
      <c r="B6694" s="7">
        <v>2009</v>
      </c>
      <c r="C6694" s="51" t="s">
        <v>712</v>
      </c>
      <c r="D6694" t="s">
        <v>726</v>
      </c>
    </row>
    <row r="6695" spans="1:4" x14ac:dyDescent="0.25">
      <c r="A6695" s="32" t="s">
        <v>767</v>
      </c>
      <c r="B6695" s="7">
        <v>2009</v>
      </c>
      <c r="C6695" s="51" t="s">
        <v>710</v>
      </c>
      <c r="D6695" t="s">
        <v>726</v>
      </c>
    </row>
    <row r="6696" spans="1:4" x14ac:dyDescent="0.25">
      <c r="A6696" s="32" t="s">
        <v>767</v>
      </c>
      <c r="B6696" s="7">
        <v>2009</v>
      </c>
      <c r="C6696" s="51" t="s">
        <v>702</v>
      </c>
      <c r="D6696" t="s">
        <v>726</v>
      </c>
    </row>
    <row r="6697" spans="1:4" x14ac:dyDescent="0.25">
      <c r="A6697" s="32" t="s">
        <v>767</v>
      </c>
      <c r="B6697" s="7">
        <v>2009</v>
      </c>
      <c r="C6697" s="51" t="s">
        <v>703</v>
      </c>
      <c r="D6697" t="s">
        <v>726</v>
      </c>
    </row>
    <row r="6698" spans="1:4" x14ac:dyDescent="0.25">
      <c r="A6698" s="32" t="s">
        <v>767</v>
      </c>
      <c r="B6698" s="7">
        <v>2009</v>
      </c>
      <c r="C6698" s="51" t="s">
        <v>704</v>
      </c>
      <c r="D6698" t="s">
        <v>726</v>
      </c>
    </row>
    <row r="6699" spans="1:4" x14ac:dyDescent="0.25">
      <c r="A6699" s="32" t="s">
        <v>767</v>
      </c>
      <c r="B6699" s="7">
        <v>2009</v>
      </c>
      <c r="C6699" s="51" t="s">
        <v>705</v>
      </c>
      <c r="D6699" t="s">
        <v>726</v>
      </c>
    </row>
    <row r="6700" spans="1:4" x14ac:dyDescent="0.25">
      <c r="A6700" s="32" t="s">
        <v>767</v>
      </c>
      <c r="B6700" s="7">
        <v>2009</v>
      </c>
      <c r="C6700" s="51" t="s">
        <v>706</v>
      </c>
      <c r="D6700" t="s">
        <v>726</v>
      </c>
    </row>
    <row r="6701" spans="1:4" x14ac:dyDescent="0.25">
      <c r="A6701" s="32" t="s">
        <v>767</v>
      </c>
      <c r="B6701" s="7">
        <v>2010</v>
      </c>
      <c r="C6701" s="51" t="s">
        <v>713</v>
      </c>
      <c r="D6701" t="s">
        <v>726</v>
      </c>
    </row>
    <row r="6702" spans="1:4" x14ac:dyDescent="0.25">
      <c r="A6702" s="32" t="s">
        <v>767</v>
      </c>
      <c r="B6702" s="7">
        <v>2010</v>
      </c>
      <c r="C6702" s="51" t="s">
        <v>707</v>
      </c>
      <c r="D6702" t="s">
        <v>726</v>
      </c>
    </row>
    <row r="6703" spans="1:4" x14ac:dyDescent="0.25">
      <c r="A6703" s="32" t="s">
        <v>767</v>
      </c>
      <c r="B6703" s="7">
        <v>2010</v>
      </c>
      <c r="C6703" s="51" t="s">
        <v>708</v>
      </c>
      <c r="D6703" t="s">
        <v>726</v>
      </c>
    </row>
    <row r="6704" spans="1:4" x14ac:dyDescent="0.25">
      <c r="A6704" s="32" t="s">
        <v>767</v>
      </c>
      <c r="B6704" s="7">
        <v>2010</v>
      </c>
      <c r="C6704" s="51" t="s">
        <v>699</v>
      </c>
      <c r="D6704" t="s">
        <v>726</v>
      </c>
    </row>
    <row r="6705" spans="1:4" x14ac:dyDescent="0.25">
      <c r="A6705" s="32" t="s">
        <v>767</v>
      </c>
      <c r="B6705" s="7">
        <v>2010</v>
      </c>
      <c r="C6705" s="51" t="s">
        <v>709</v>
      </c>
      <c r="D6705" t="s">
        <v>726</v>
      </c>
    </row>
    <row r="6706" spans="1:4" x14ac:dyDescent="0.25">
      <c r="A6706" s="32" t="s">
        <v>767</v>
      </c>
      <c r="B6706" s="7">
        <v>2010</v>
      </c>
      <c r="C6706" s="51" t="s">
        <v>712</v>
      </c>
      <c r="D6706" t="s">
        <v>726</v>
      </c>
    </row>
    <row r="6707" spans="1:4" x14ac:dyDescent="0.25">
      <c r="A6707" s="32" t="s">
        <v>767</v>
      </c>
      <c r="B6707" s="7">
        <v>2010</v>
      </c>
      <c r="C6707" s="51" t="s">
        <v>710</v>
      </c>
      <c r="D6707" t="s">
        <v>726</v>
      </c>
    </row>
    <row r="6708" spans="1:4" x14ac:dyDescent="0.25">
      <c r="A6708" s="32" t="s">
        <v>767</v>
      </c>
      <c r="B6708" s="7">
        <v>2010</v>
      </c>
      <c r="C6708" s="51" t="s">
        <v>702</v>
      </c>
      <c r="D6708" t="s">
        <v>726</v>
      </c>
    </row>
    <row r="6709" spans="1:4" x14ac:dyDescent="0.25">
      <c r="A6709" s="32" t="s">
        <v>767</v>
      </c>
      <c r="B6709" s="7">
        <v>2010</v>
      </c>
      <c r="C6709" s="51" t="s">
        <v>703</v>
      </c>
      <c r="D6709" t="s">
        <v>726</v>
      </c>
    </row>
    <row r="6710" spans="1:4" x14ac:dyDescent="0.25">
      <c r="A6710" s="32" t="s">
        <v>767</v>
      </c>
      <c r="B6710" s="7">
        <v>2010</v>
      </c>
      <c r="C6710" s="51" t="s">
        <v>704</v>
      </c>
      <c r="D6710" t="s">
        <v>726</v>
      </c>
    </row>
    <row r="6711" spans="1:4" x14ac:dyDescent="0.25">
      <c r="A6711" s="32" t="s">
        <v>767</v>
      </c>
      <c r="B6711" s="7">
        <v>2010</v>
      </c>
      <c r="C6711" s="51" t="s">
        <v>705</v>
      </c>
      <c r="D6711" t="s">
        <v>726</v>
      </c>
    </row>
    <row r="6712" spans="1:4" x14ac:dyDescent="0.25">
      <c r="A6712" s="32" t="s">
        <v>767</v>
      </c>
      <c r="B6712" s="7">
        <v>2010</v>
      </c>
      <c r="C6712" s="51" t="s">
        <v>706</v>
      </c>
      <c r="D6712" t="s">
        <v>726</v>
      </c>
    </row>
    <row r="6713" spans="1:4" x14ac:dyDescent="0.25">
      <c r="A6713" s="32" t="s">
        <v>767</v>
      </c>
      <c r="B6713" s="7">
        <v>2011</v>
      </c>
      <c r="C6713" s="51" t="s">
        <v>713</v>
      </c>
      <c r="D6713" t="s">
        <v>726</v>
      </c>
    </row>
    <row r="6714" spans="1:4" x14ac:dyDescent="0.25">
      <c r="A6714" s="32" t="s">
        <v>767</v>
      </c>
      <c r="B6714" s="7">
        <v>2011</v>
      </c>
      <c r="C6714" s="51" t="s">
        <v>707</v>
      </c>
      <c r="D6714" t="s">
        <v>726</v>
      </c>
    </row>
    <row r="6715" spans="1:4" x14ac:dyDescent="0.25">
      <c r="A6715" s="32" t="s">
        <v>767</v>
      </c>
      <c r="B6715" s="7">
        <v>2011</v>
      </c>
      <c r="C6715" s="51" t="s">
        <v>708</v>
      </c>
      <c r="D6715" t="s">
        <v>726</v>
      </c>
    </row>
    <row r="6716" spans="1:4" x14ac:dyDescent="0.25">
      <c r="A6716" s="32" t="s">
        <v>767</v>
      </c>
      <c r="B6716" s="7">
        <v>2011</v>
      </c>
      <c r="C6716" s="51" t="s">
        <v>699</v>
      </c>
      <c r="D6716" t="s">
        <v>726</v>
      </c>
    </row>
    <row r="6717" spans="1:4" x14ac:dyDescent="0.25">
      <c r="A6717" s="32" t="s">
        <v>767</v>
      </c>
      <c r="B6717" s="7">
        <v>2011</v>
      </c>
      <c r="C6717" s="51" t="s">
        <v>709</v>
      </c>
      <c r="D6717" t="s">
        <v>726</v>
      </c>
    </row>
    <row r="6718" spans="1:4" x14ac:dyDescent="0.25">
      <c r="A6718" s="32" t="s">
        <v>767</v>
      </c>
      <c r="B6718" s="7">
        <v>2011</v>
      </c>
      <c r="C6718" s="51" t="s">
        <v>712</v>
      </c>
      <c r="D6718" t="s">
        <v>726</v>
      </c>
    </row>
    <row r="6719" spans="1:4" x14ac:dyDescent="0.25">
      <c r="A6719" s="32" t="s">
        <v>767</v>
      </c>
      <c r="B6719" s="7">
        <v>2011</v>
      </c>
      <c r="C6719" s="51" t="s">
        <v>710</v>
      </c>
      <c r="D6719" t="s">
        <v>726</v>
      </c>
    </row>
    <row r="6720" spans="1:4" x14ac:dyDescent="0.25">
      <c r="A6720" s="32" t="s">
        <v>767</v>
      </c>
      <c r="B6720" s="7">
        <v>2011</v>
      </c>
      <c r="C6720" s="51" t="s">
        <v>702</v>
      </c>
      <c r="D6720" t="s">
        <v>726</v>
      </c>
    </row>
    <row r="6721" spans="1:4" x14ac:dyDescent="0.25">
      <c r="A6721" s="32" t="s">
        <v>767</v>
      </c>
      <c r="B6721" s="7">
        <v>2011</v>
      </c>
      <c r="C6721" s="51" t="s">
        <v>703</v>
      </c>
      <c r="D6721" t="s">
        <v>726</v>
      </c>
    </row>
    <row r="6722" spans="1:4" x14ac:dyDescent="0.25">
      <c r="A6722" s="32" t="s">
        <v>767</v>
      </c>
      <c r="B6722" s="7">
        <v>2011</v>
      </c>
      <c r="C6722" s="51" t="s">
        <v>704</v>
      </c>
      <c r="D6722" t="s">
        <v>726</v>
      </c>
    </row>
    <row r="6723" spans="1:4" x14ac:dyDescent="0.25">
      <c r="A6723" s="32" t="s">
        <v>767</v>
      </c>
      <c r="B6723" s="7">
        <v>2011</v>
      </c>
      <c r="C6723" s="51" t="s">
        <v>705</v>
      </c>
      <c r="D6723" t="s">
        <v>726</v>
      </c>
    </row>
    <row r="6724" spans="1:4" x14ac:dyDescent="0.25">
      <c r="A6724" s="32" t="s">
        <v>767</v>
      </c>
      <c r="B6724" s="7">
        <v>2011</v>
      </c>
      <c r="C6724" s="51" t="s">
        <v>706</v>
      </c>
      <c r="D6724" t="s">
        <v>726</v>
      </c>
    </row>
    <row r="6725" spans="1:4" x14ac:dyDescent="0.25">
      <c r="A6725" s="32" t="s">
        <v>767</v>
      </c>
      <c r="B6725" s="7">
        <v>2012</v>
      </c>
      <c r="C6725" s="51" t="s">
        <v>713</v>
      </c>
      <c r="D6725" t="s">
        <v>726</v>
      </c>
    </row>
    <row r="6726" spans="1:4" x14ac:dyDescent="0.25">
      <c r="A6726" s="32" t="s">
        <v>767</v>
      </c>
      <c r="B6726" s="7">
        <v>2012</v>
      </c>
      <c r="C6726" s="51" t="s">
        <v>707</v>
      </c>
      <c r="D6726" t="s">
        <v>726</v>
      </c>
    </row>
    <row r="6727" spans="1:4" x14ac:dyDescent="0.25">
      <c r="A6727" s="32" t="s">
        <v>767</v>
      </c>
      <c r="B6727" s="7">
        <v>2012</v>
      </c>
      <c r="C6727" s="51" t="s">
        <v>708</v>
      </c>
      <c r="D6727" t="s">
        <v>726</v>
      </c>
    </row>
    <row r="6728" spans="1:4" x14ac:dyDescent="0.25">
      <c r="A6728" s="32" t="s">
        <v>767</v>
      </c>
      <c r="B6728" s="7">
        <v>2012</v>
      </c>
      <c r="C6728" s="51" t="s">
        <v>699</v>
      </c>
      <c r="D6728" t="s">
        <v>726</v>
      </c>
    </row>
    <row r="6729" spans="1:4" x14ac:dyDescent="0.25">
      <c r="A6729" s="32" t="s">
        <v>767</v>
      </c>
      <c r="B6729" s="7">
        <v>2012</v>
      </c>
      <c r="C6729" s="51" t="s">
        <v>709</v>
      </c>
      <c r="D6729" t="s">
        <v>726</v>
      </c>
    </row>
    <row r="6730" spans="1:4" x14ac:dyDescent="0.25">
      <c r="A6730" s="32" t="s">
        <v>767</v>
      </c>
      <c r="B6730" s="7">
        <v>2012</v>
      </c>
      <c r="C6730" s="51" t="s">
        <v>712</v>
      </c>
      <c r="D6730" t="s">
        <v>726</v>
      </c>
    </row>
    <row r="6731" spans="1:4" x14ac:dyDescent="0.25">
      <c r="A6731" s="32" t="s">
        <v>767</v>
      </c>
      <c r="B6731" s="7">
        <v>2012</v>
      </c>
      <c r="C6731" s="51" t="s">
        <v>710</v>
      </c>
      <c r="D6731" t="s">
        <v>726</v>
      </c>
    </row>
    <row r="6732" spans="1:4" x14ac:dyDescent="0.25">
      <c r="A6732" s="32" t="s">
        <v>767</v>
      </c>
      <c r="B6732" s="7">
        <v>2012</v>
      </c>
      <c r="C6732" s="51" t="s">
        <v>702</v>
      </c>
      <c r="D6732" t="s">
        <v>726</v>
      </c>
    </row>
    <row r="6733" spans="1:4" x14ac:dyDescent="0.25">
      <c r="A6733" s="32" t="s">
        <v>767</v>
      </c>
      <c r="B6733" s="7">
        <v>2012</v>
      </c>
      <c r="C6733" s="51" t="s">
        <v>703</v>
      </c>
      <c r="D6733" t="s">
        <v>726</v>
      </c>
    </row>
    <row r="6734" spans="1:4" x14ac:dyDescent="0.25">
      <c r="A6734" s="32" t="s">
        <v>767</v>
      </c>
      <c r="B6734" s="7">
        <v>2012</v>
      </c>
      <c r="C6734" s="51" t="s">
        <v>704</v>
      </c>
      <c r="D6734" t="s">
        <v>726</v>
      </c>
    </row>
    <row r="6735" spans="1:4" x14ac:dyDescent="0.25">
      <c r="A6735" s="32" t="s">
        <v>767</v>
      </c>
      <c r="B6735" s="7">
        <v>2012</v>
      </c>
      <c r="C6735" s="51" t="s">
        <v>705</v>
      </c>
      <c r="D6735" t="s">
        <v>726</v>
      </c>
    </row>
    <row r="6736" spans="1:4" x14ac:dyDescent="0.25">
      <c r="A6736" s="32" t="s">
        <v>767</v>
      </c>
      <c r="B6736" s="7">
        <v>2012</v>
      </c>
      <c r="C6736" s="51" t="s">
        <v>706</v>
      </c>
      <c r="D6736" t="s">
        <v>726</v>
      </c>
    </row>
    <row r="6737" spans="1:4" x14ac:dyDescent="0.25">
      <c r="A6737" s="32" t="s">
        <v>767</v>
      </c>
      <c r="B6737" s="7">
        <v>2013</v>
      </c>
      <c r="C6737" s="51" t="s">
        <v>713</v>
      </c>
      <c r="D6737" t="s">
        <v>726</v>
      </c>
    </row>
    <row r="6738" spans="1:4" x14ac:dyDescent="0.25">
      <c r="A6738" s="32" t="s">
        <v>767</v>
      </c>
      <c r="B6738" s="7">
        <v>2013</v>
      </c>
      <c r="C6738" s="51" t="s">
        <v>707</v>
      </c>
      <c r="D6738" t="s">
        <v>726</v>
      </c>
    </row>
    <row r="6739" spans="1:4" x14ac:dyDescent="0.25">
      <c r="A6739" s="32" t="s">
        <v>767</v>
      </c>
      <c r="B6739" s="7">
        <v>2013</v>
      </c>
      <c r="C6739" s="51" t="s">
        <v>708</v>
      </c>
      <c r="D6739" t="s">
        <v>726</v>
      </c>
    </row>
    <row r="6740" spans="1:4" x14ac:dyDescent="0.25">
      <c r="A6740" s="32" t="s">
        <v>767</v>
      </c>
      <c r="B6740" s="7">
        <v>2013</v>
      </c>
      <c r="C6740" s="51" t="s">
        <v>699</v>
      </c>
      <c r="D6740" t="s">
        <v>726</v>
      </c>
    </row>
    <row r="6741" spans="1:4" x14ac:dyDescent="0.25">
      <c r="A6741" s="32" t="s">
        <v>767</v>
      </c>
      <c r="B6741" s="7">
        <v>2013</v>
      </c>
      <c r="C6741" s="51" t="s">
        <v>709</v>
      </c>
      <c r="D6741" t="s">
        <v>726</v>
      </c>
    </row>
    <row r="6742" spans="1:4" x14ac:dyDescent="0.25">
      <c r="A6742" s="32" t="s">
        <v>767</v>
      </c>
      <c r="B6742" s="7">
        <v>2013</v>
      </c>
      <c r="C6742" s="51" t="s">
        <v>712</v>
      </c>
      <c r="D6742" t="s">
        <v>726</v>
      </c>
    </row>
    <row r="6743" spans="1:4" x14ac:dyDescent="0.25">
      <c r="A6743" s="32" t="s">
        <v>767</v>
      </c>
      <c r="B6743" s="7">
        <v>2013</v>
      </c>
      <c r="C6743" s="51" t="s">
        <v>710</v>
      </c>
      <c r="D6743" t="s">
        <v>726</v>
      </c>
    </row>
    <row r="6744" spans="1:4" x14ac:dyDescent="0.25">
      <c r="A6744" s="32" t="s">
        <v>767</v>
      </c>
      <c r="B6744" s="7">
        <v>2013</v>
      </c>
      <c r="C6744" s="51" t="s">
        <v>702</v>
      </c>
      <c r="D6744" t="s">
        <v>726</v>
      </c>
    </row>
    <row r="6745" spans="1:4" x14ac:dyDescent="0.25">
      <c r="A6745" s="32" t="s">
        <v>767</v>
      </c>
      <c r="B6745" s="7">
        <v>2013</v>
      </c>
      <c r="C6745" s="51" t="s">
        <v>703</v>
      </c>
      <c r="D6745" t="s">
        <v>726</v>
      </c>
    </row>
    <row r="6746" spans="1:4" x14ac:dyDescent="0.25">
      <c r="A6746" s="32" t="s">
        <v>767</v>
      </c>
      <c r="B6746" s="7">
        <v>2013</v>
      </c>
      <c r="C6746" s="51" t="s">
        <v>704</v>
      </c>
      <c r="D6746" t="s">
        <v>726</v>
      </c>
    </row>
    <row r="6747" spans="1:4" x14ac:dyDescent="0.25">
      <c r="A6747" s="32" t="s">
        <v>767</v>
      </c>
      <c r="B6747" s="7">
        <v>2013</v>
      </c>
      <c r="C6747" s="51" t="s">
        <v>705</v>
      </c>
      <c r="D6747" t="s">
        <v>726</v>
      </c>
    </row>
    <row r="6748" spans="1:4" x14ac:dyDescent="0.25">
      <c r="A6748" s="32" t="s">
        <v>767</v>
      </c>
      <c r="B6748" s="7">
        <v>2013</v>
      </c>
      <c r="C6748" s="51" t="s">
        <v>706</v>
      </c>
      <c r="D6748" t="s">
        <v>726</v>
      </c>
    </row>
    <row r="6749" spans="1:4" x14ac:dyDescent="0.25">
      <c r="A6749" s="32" t="s">
        <v>767</v>
      </c>
      <c r="B6749" s="7">
        <v>2014</v>
      </c>
      <c r="C6749" s="51" t="s">
        <v>713</v>
      </c>
      <c r="D6749" t="s">
        <v>726</v>
      </c>
    </row>
    <row r="6750" spans="1:4" x14ac:dyDescent="0.25">
      <c r="A6750" s="32" t="s">
        <v>767</v>
      </c>
      <c r="B6750" s="7">
        <v>2014</v>
      </c>
      <c r="C6750" s="51" t="s">
        <v>707</v>
      </c>
      <c r="D6750" t="s">
        <v>726</v>
      </c>
    </row>
    <row r="6751" spans="1:4" x14ac:dyDescent="0.25">
      <c r="A6751" s="32" t="s">
        <v>767</v>
      </c>
      <c r="B6751" s="7">
        <v>2014</v>
      </c>
      <c r="C6751" s="51" t="s">
        <v>708</v>
      </c>
      <c r="D6751" t="s">
        <v>726</v>
      </c>
    </row>
    <row r="6752" spans="1:4" x14ac:dyDescent="0.25">
      <c r="A6752" s="32" t="s">
        <v>767</v>
      </c>
      <c r="B6752" s="7">
        <v>2014</v>
      </c>
      <c r="C6752" s="51" t="s">
        <v>699</v>
      </c>
      <c r="D6752" t="s">
        <v>726</v>
      </c>
    </row>
    <row r="6753" spans="1:4" x14ac:dyDescent="0.25">
      <c r="A6753" s="32" t="s">
        <v>767</v>
      </c>
      <c r="B6753" s="7">
        <v>2014</v>
      </c>
      <c r="C6753" s="51" t="s">
        <v>709</v>
      </c>
      <c r="D6753" t="s">
        <v>726</v>
      </c>
    </row>
    <row r="6754" spans="1:4" x14ac:dyDescent="0.25">
      <c r="A6754" s="32" t="s">
        <v>767</v>
      </c>
      <c r="B6754" s="7">
        <v>2014</v>
      </c>
      <c r="C6754" s="51" t="s">
        <v>712</v>
      </c>
      <c r="D6754" t="s">
        <v>726</v>
      </c>
    </row>
    <row r="6755" spans="1:4" x14ac:dyDescent="0.25">
      <c r="A6755" s="32" t="s">
        <v>767</v>
      </c>
      <c r="B6755" s="7">
        <v>2014</v>
      </c>
      <c r="C6755" s="51" t="s">
        <v>710</v>
      </c>
      <c r="D6755" t="s">
        <v>726</v>
      </c>
    </row>
    <row r="6756" spans="1:4" x14ac:dyDescent="0.25">
      <c r="A6756" s="32" t="s">
        <v>767</v>
      </c>
      <c r="B6756" s="7">
        <v>2014</v>
      </c>
      <c r="C6756" s="51" t="s">
        <v>702</v>
      </c>
      <c r="D6756" t="s">
        <v>726</v>
      </c>
    </row>
    <row r="6757" spans="1:4" x14ac:dyDescent="0.25">
      <c r="A6757" s="32" t="s">
        <v>767</v>
      </c>
      <c r="B6757" s="7">
        <v>2014</v>
      </c>
      <c r="C6757" s="51" t="s">
        <v>703</v>
      </c>
      <c r="D6757" t="s">
        <v>726</v>
      </c>
    </row>
    <row r="6758" spans="1:4" x14ac:dyDescent="0.25">
      <c r="A6758" s="32" t="s">
        <v>767</v>
      </c>
      <c r="B6758" s="7">
        <v>2014</v>
      </c>
      <c r="C6758" s="51" t="s">
        <v>704</v>
      </c>
      <c r="D6758" t="s">
        <v>726</v>
      </c>
    </row>
    <row r="6759" spans="1:4" x14ac:dyDescent="0.25">
      <c r="A6759" s="32" t="s">
        <v>767</v>
      </c>
      <c r="B6759" s="7">
        <v>2014</v>
      </c>
      <c r="C6759" s="51" t="s">
        <v>705</v>
      </c>
      <c r="D6759" t="s">
        <v>726</v>
      </c>
    </row>
    <row r="6760" spans="1:4" x14ac:dyDescent="0.25">
      <c r="A6760" s="32" t="s">
        <v>767</v>
      </c>
      <c r="B6760" s="7">
        <v>2014</v>
      </c>
      <c r="C6760" s="51" t="s">
        <v>706</v>
      </c>
      <c r="D6760" t="s">
        <v>726</v>
      </c>
    </row>
    <row r="6761" spans="1:4" x14ac:dyDescent="0.25">
      <c r="A6761" s="32" t="s">
        <v>767</v>
      </c>
      <c r="B6761" s="7">
        <v>2015</v>
      </c>
      <c r="C6761" s="51" t="s">
        <v>713</v>
      </c>
      <c r="D6761" t="s">
        <v>726</v>
      </c>
    </row>
    <row r="6762" spans="1:4" x14ac:dyDescent="0.25">
      <c r="A6762" s="32" t="s">
        <v>767</v>
      </c>
      <c r="B6762" s="7">
        <v>2015</v>
      </c>
      <c r="C6762" s="51" t="s">
        <v>707</v>
      </c>
      <c r="D6762" t="s">
        <v>726</v>
      </c>
    </row>
    <row r="6763" spans="1:4" x14ac:dyDescent="0.25">
      <c r="A6763" s="32" t="s">
        <v>767</v>
      </c>
      <c r="B6763" s="7">
        <v>2015</v>
      </c>
      <c r="C6763" s="51" t="s">
        <v>708</v>
      </c>
      <c r="D6763" t="s">
        <v>726</v>
      </c>
    </row>
    <row r="6764" spans="1:4" x14ac:dyDescent="0.25">
      <c r="A6764" s="32" t="s">
        <v>767</v>
      </c>
      <c r="B6764" s="7">
        <v>2015</v>
      </c>
      <c r="C6764" s="51" t="s">
        <v>699</v>
      </c>
      <c r="D6764" t="s">
        <v>726</v>
      </c>
    </row>
    <row r="6765" spans="1:4" x14ac:dyDescent="0.25">
      <c r="A6765" s="32" t="s">
        <v>767</v>
      </c>
      <c r="B6765" s="7">
        <v>2015</v>
      </c>
      <c r="C6765" s="51" t="s">
        <v>709</v>
      </c>
      <c r="D6765" t="s">
        <v>726</v>
      </c>
    </row>
    <row r="6766" spans="1:4" x14ac:dyDescent="0.25">
      <c r="A6766" s="32" t="s">
        <v>767</v>
      </c>
      <c r="B6766" s="7">
        <v>2015</v>
      </c>
      <c r="C6766" s="51" t="s">
        <v>712</v>
      </c>
      <c r="D6766" t="s">
        <v>726</v>
      </c>
    </row>
    <row r="6767" spans="1:4" x14ac:dyDescent="0.25">
      <c r="A6767" s="32" t="s">
        <v>767</v>
      </c>
      <c r="B6767" s="7">
        <v>2015</v>
      </c>
      <c r="C6767" s="51" t="s">
        <v>710</v>
      </c>
      <c r="D6767" t="s">
        <v>726</v>
      </c>
    </row>
    <row r="6768" spans="1:4" x14ac:dyDescent="0.25">
      <c r="A6768" s="32" t="s">
        <v>767</v>
      </c>
      <c r="B6768" s="7">
        <v>2015</v>
      </c>
      <c r="C6768" s="51" t="s">
        <v>702</v>
      </c>
      <c r="D6768" t="s">
        <v>726</v>
      </c>
    </row>
    <row r="6769" spans="1:4" x14ac:dyDescent="0.25">
      <c r="A6769" s="32" t="s">
        <v>767</v>
      </c>
      <c r="B6769" s="7">
        <v>2015</v>
      </c>
      <c r="C6769" s="51" t="s">
        <v>703</v>
      </c>
      <c r="D6769" t="s">
        <v>726</v>
      </c>
    </row>
    <row r="6770" spans="1:4" x14ac:dyDescent="0.25">
      <c r="A6770" s="32" t="s">
        <v>767</v>
      </c>
      <c r="B6770" s="7">
        <v>2015</v>
      </c>
      <c r="C6770" s="51" t="s">
        <v>704</v>
      </c>
      <c r="D6770" t="s">
        <v>726</v>
      </c>
    </row>
    <row r="6771" spans="1:4" x14ac:dyDescent="0.25">
      <c r="A6771" s="32" t="s">
        <v>767</v>
      </c>
      <c r="B6771" s="7">
        <v>2015</v>
      </c>
      <c r="C6771" s="51" t="s">
        <v>705</v>
      </c>
      <c r="D6771" t="s">
        <v>726</v>
      </c>
    </row>
    <row r="6772" spans="1:4" x14ac:dyDescent="0.25">
      <c r="A6772" s="32" t="s">
        <v>767</v>
      </c>
      <c r="B6772" s="7">
        <v>2015</v>
      </c>
      <c r="C6772" s="51" t="s">
        <v>706</v>
      </c>
      <c r="D6772" t="s">
        <v>726</v>
      </c>
    </row>
    <row r="6773" spans="1:4" x14ac:dyDescent="0.25">
      <c r="A6773" s="32" t="s">
        <v>767</v>
      </c>
      <c r="B6773" s="7">
        <v>2016</v>
      </c>
      <c r="C6773" s="51" t="s">
        <v>713</v>
      </c>
      <c r="D6773" t="s">
        <v>726</v>
      </c>
    </row>
    <row r="6774" spans="1:4" x14ac:dyDescent="0.25">
      <c r="A6774" s="32" t="s">
        <v>767</v>
      </c>
      <c r="B6774" s="7">
        <v>2016</v>
      </c>
      <c r="C6774" s="51" t="s">
        <v>707</v>
      </c>
      <c r="D6774" t="s">
        <v>726</v>
      </c>
    </row>
    <row r="6775" spans="1:4" x14ac:dyDescent="0.25">
      <c r="A6775" s="32" t="s">
        <v>767</v>
      </c>
      <c r="B6775" s="7">
        <v>2016</v>
      </c>
      <c r="C6775" s="51" t="s">
        <v>708</v>
      </c>
      <c r="D6775" t="s">
        <v>726</v>
      </c>
    </row>
    <row r="6776" spans="1:4" x14ac:dyDescent="0.25">
      <c r="A6776" s="32" t="s">
        <v>767</v>
      </c>
      <c r="B6776" s="7">
        <v>2016</v>
      </c>
      <c r="C6776" s="51" t="s">
        <v>699</v>
      </c>
      <c r="D6776" t="s">
        <v>726</v>
      </c>
    </row>
    <row r="6777" spans="1:4" x14ac:dyDescent="0.25">
      <c r="A6777" s="32" t="s">
        <v>767</v>
      </c>
      <c r="B6777" s="7">
        <v>2016</v>
      </c>
      <c r="C6777" s="51" t="s">
        <v>709</v>
      </c>
      <c r="D6777" t="s">
        <v>726</v>
      </c>
    </row>
    <row r="6778" spans="1:4" x14ac:dyDescent="0.25">
      <c r="A6778" s="32" t="s">
        <v>767</v>
      </c>
      <c r="B6778" s="7">
        <v>2016</v>
      </c>
      <c r="C6778" s="51" t="s">
        <v>712</v>
      </c>
      <c r="D6778" t="s">
        <v>726</v>
      </c>
    </row>
    <row r="6779" spans="1:4" x14ac:dyDescent="0.25">
      <c r="A6779" s="32" t="s">
        <v>767</v>
      </c>
      <c r="B6779" s="7">
        <v>2016</v>
      </c>
      <c r="C6779" s="51" t="s">
        <v>710</v>
      </c>
      <c r="D6779" t="s">
        <v>726</v>
      </c>
    </row>
    <row r="6780" spans="1:4" x14ac:dyDescent="0.25">
      <c r="A6780" s="32" t="s">
        <v>767</v>
      </c>
      <c r="B6780" s="7">
        <v>2016</v>
      </c>
      <c r="C6780" s="51" t="s">
        <v>702</v>
      </c>
      <c r="D6780" t="s">
        <v>726</v>
      </c>
    </row>
    <row r="6781" spans="1:4" x14ac:dyDescent="0.25">
      <c r="A6781" s="32" t="s">
        <v>767</v>
      </c>
      <c r="B6781" s="7">
        <v>2016</v>
      </c>
      <c r="C6781" s="51" t="s">
        <v>703</v>
      </c>
      <c r="D6781" t="s">
        <v>726</v>
      </c>
    </row>
    <row r="6782" spans="1:4" x14ac:dyDescent="0.25">
      <c r="A6782" s="32" t="s">
        <v>767</v>
      </c>
      <c r="B6782" s="7">
        <v>2016</v>
      </c>
      <c r="C6782" s="51" t="s">
        <v>704</v>
      </c>
      <c r="D6782" t="s">
        <v>726</v>
      </c>
    </row>
    <row r="6783" spans="1:4" x14ac:dyDescent="0.25">
      <c r="A6783" s="32" t="s">
        <v>767</v>
      </c>
      <c r="B6783" s="7">
        <v>2016</v>
      </c>
      <c r="C6783" s="51" t="s">
        <v>705</v>
      </c>
      <c r="D6783" t="s">
        <v>726</v>
      </c>
    </row>
    <row r="6784" spans="1:4" x14ac:dyDescent="0.25">
      <c r="A6784" s="32" t="s">
        <v>767</v>
      </c>
      <c r="B6784" s="7">
        <v>2016</v>
      </c>
      <c r="C6784" s="51" t="s">
        <v>706</v>
      </c>
      <c r="D6784" t="s">
        <v>726</v>
      </c>
    </row>
    <row r="6785" spans="1:4" x14ac:dyDescent="0.25">
      <c r="A6785" s="32" t="s">
        <v>767</v>
      </c>
      <c r="B6785" s="7">
        <v>2017</v>
      </c>
      <c r="C6785" s="51" t="s">
        <v>713</v>
      </c>
      <c r="D6785" t="s">
        <v>726</v>
      </c>
    </row>
    <row r="6786" spans="1:4" x14ac:dyDescent="0.25">
      <c r="A6786" s="32" t="s">
        <v>767</v>
      </c>
      <c r="B6786" s="7">
        <v>2017</v>
      </c>
      <c r="C6786" s="51" t="s">
        <v>707</v>
      </c>
      <c r="D6786" t="s">
        <v>726</v>
      </c>
    </row>
    <row r="6787" spans="1:4" x14ac:dyDescent="0.25">
      <c r="A6787" s="32" t="s">
        <v>767</v>
      </c>
      <c r="B6787" s="7">
        <v>2017</v>
      </c>
      <c r="C6787" s="51" t="s">
        <v>708</v>
      </c>
      <c r="D6787" t="s">
        <v>726</v>
      </c>
    </row>
    <row r="6788" spans="1:4" x14ac:dyDescent="0.25">
      <c r="A6788" s="32" t="s">
        <v>767</v>
      </c>
      <c r="B6788" s="7">
        <v>2017</v>
      </c>
      <c r="C6788" s="51" t="s">
        <v>699</v>
      </c>
      <c r="D6788" t="s">
        <v>726</v>
      </c>
    </row>
    <row r="6789" spans="1:4" x14ac:dyDescent="0.25">
      <c r="A6789" s="32" t="s">
        <v>767</v>
      </c>
      <c r="B6789" s="7">
        <v>2017</v>
      </c>
      <c r="C6789" s="51" t="s">
        <v>709</v>
      </c>
      <c r="D6789" t="s">
        <v>726</v>
      </c>
    </row>
    <row r="6790" spans="1:4" x14ac:dyDescent="0.25">
      <c r="A6790" s="32" t="s">
        <v>767</v>
      </c>
      <c r="B6790" s="7">
        <v>2017</v>
      </c>
      <c r="C6790" s="51" t="s">
        <v>712</v>
      </c>
      <c r="D6790" t="s">
        <v>726</v>
      </c>
    </row>
    <row r="6791" spans="1:4" x14ac:dyDescent="0.25">
      <c r="A6791" s="32" t="s">
        <v>767</v>
      </c>
      <c r="B6791" s="7">
        <v>2017</v>
      </c>
      <c r="C6791" s="51" t="s">
        <v>710</v>
      </c>
      <c r="D6791" t="s">
        <v>726</v>
      </c>
    </row>
    <row r="6792" spans="1:4" x14ac:dyDescent="0.25">
      <c r="A6792" s="32" t="s">
        <v>767</v>
      </c>
      <c r="B6792" s="7">
        <v>2017</v>
      </c>
      <c r="C6792" s="51" t="s">
        <v>702</v>
      </c>
      <c r="D6792" t="s">
        <v>726</v>
      </c>
    </row>
    <row r="6793" spans="1:4" x14ac:dyDescent="0.25">
      <c r="A6793" s="32" t="s">
        <v>767</v>
      </c>
      <c r="B6793" s="7">
        <v>2017</v>
      </c>
      <c r="C6793" s="51" t="s">
        <v>703</v>
      </c>
      <c r="D6793" t="s">
        <v>726</v>
      </c>
    </row>
    <row r="6794" spans="1:4" x14ac:dyDescent="0.25">
      <c r="A6794" s="32" t="s">
        <v>767</v>
      </c>
      <c r="B6794" s="7">
        <v>2017</v>
      </c>
      <c r="C6794" s="51" t="s">
        <v>704</v>
      </c>
      <c r="D6794" t="s">
        <v>726</v>
      </c>
    </row>
    <row r="6795" spans="1:4" x14ac:dyDescent="0.25">
      <c r="A6795" s="32" t="s">
        <v>767</v>
      </c>
      <c r="B6795" s="7">
        <v>2017</v>
      </c>
      <c r="C6795" s="51" t="s">
        <v>705</v>
      </c>
      <c r="D6795" t="s">
        <v>726</v>
      </c>
    </row>
    <row r="6796" spans="1:4" x14ac:dyDescent="0.25">
      <c r="A6796" s="32" t="s">
        <v>767</v>
      </c>
      <c r="B6796" s="7">
        <v>2017</v>
      </c>
      <c r="C6796" s="51" t="s">
        <v>706</v>
      </c>
      <c r="D6796" t="s">
        <v>726</v>
      </c>
    </row>
    <row r="6797" spans="1:4" x14ac:dyDescent="0.25">
      <c r="A6797" s="32" t="s">
        <v>767</v>
      </c>
      <c r="B6797" s="7">
        <v>2018</v>
      </c>
      <c r="C6797" s="51" t="s">
        <v>713</v>
      </c>
      <c r="D6797" t="s">
        <v>726</v>
      </c>
    </row>
    <row r="6798" spans="1:4" x14ac:dyDescent="0.25">
      <c r="A6798" s="32" t="s">
        <v>767</v>
      </c>
      <c r="B6798" s="7">
        <v>2018</v>
      </c>
      <c r="C6798" s="51" t="s">
        <v>707</v>
      </c>
      <c r="D6798" t="s">
        <v>726</v>
      </c>
    </row>
    <row r="6799" spans="1:4" x14ac:dyDescent="0.25">
      <c r="A6799" s="32" t="s">
        <v>767</v>
      </c>
      <c r="B6799" s="7">
        <v>2018</v>
      </c>
      <c r="C6799" s="51" t="s">
        <v>708</v>
      </c>
      <c r="D6799" t="s">
        <v>726</v>
      </c>
    </row>
    <row r="6800" spans="1:4" x14ac:dyDescent="0.25">
      <c r="A6800" s="32" t="s">
        <v>767</v>
      </c>
      <c r="B6800" s="7">
        <v>2018</v>
      </c>
      <c r="C6800" s="51" t="s">
        <v>699</v>
      </c>
      <c r="D6800" t="s">
        <v>726</v>
      </c>
    </row>
    <row r="6801" spans="1:4" x14ac:dyDescent="0.25">
      <c r="A6801" s="32" t="s">
        <v>767</v>
      </c>
      <c r="B6801" s="7">
        <v>2018</v>
      </c>
      <c r="C6801" s="51" t="s">
        <v>709</v>
      </c>
      <c r="D6801" t="s">
        <v>726</v>
      </c>
    </row>
    <row r="6802" spans="1:4" x14ac:dyDescent="0.25">
      <c r="A6802" s="32" t="s">
        <v>767</v>
      </c>
      <c r="B6802" s="7">
        <v>2018</v>
      </c>
      <c r="C6802" s="51" t="s">
        <v>712</v>
      </c>
      <c r="D6802" t="s">
        <v>726</v>
      </c>
    </row>
    <row r="6803" spans="1:4" x14ac:dyDescent="0.25">
      <c r="A6803" s="32" t="s">
        <v>767</v>
      </c>
      <c r="B6803" s="7">
        <v>2018</v>
      </c>
      <c r="C6803" s="51" t="s">
        <v>710</v>
      </c>
      <c r="D6803" t="s">
        <v>726</v>
      </c>
    </row>
    <row r="6804" spans="1:4" x14ac:dyDescent="0.25">
      <c r="A6804" s="32" t="s">
        <v>767</v>
      </c>
      <c r="B6804" s="7">
        <v>2018</v>
      </c>
      <c r="C6804" s="51" t="s">
        <v>702</v>
      </c>
      <c r="D6804" t="s">
        <v>726</v>
      </c>
    </row>
    <row r="6805" spans="1:4" x14ac:dyDescent="0.25">
      <c r="A6805" s="32" t="s">
        <v>767</v>
      </c>
      <c r="B6805" s="7">
        <v>2018</v>
      </c>
      <c r="C6805" s="51" t="s">
        <v>703</v>
      </c>
      <c r="D6805" t="s">
        <v>726</v>
      </c>
    </row>
    <row r="6806" spans="1:4" x14ac:dyDescent="0.25">
      <c r="A6806" s="32" t="s">
        <v>767</v>
      </c>
      <c r="B6806" s="7">
        <v>2018</v>
      </c>
      <c r="C6806" s="51" t="s">
        <v>704</v>
      </c>
      <c r="D6806" t="s">
        <v>726</v>
      </c>
    </row>
    <row r="6807" spans="1:4" x14ac:dyDescent="0.25">
      <c r="A6807" s="32" t="s">
        <v>767</v>
      </c>
      <c r="B6807" s="7">
        <v>2018</v>
      </c>
      <c r="C6807" s="51" t="s">
        <v>705</v>
      </c>
      <c r="D6807" t="s">
        <v>726</v>
      </c>
    </row>
    <row r="6808" spans="1:4" x14ac:dyDescent="0.25">
      <c r="A6808" s="32" t="s">
        <v>767</v>
      </c>
      <c r="B6808" s="7">
        <v>2018</v>
      </c>
      <c r="C6808" s="51" t="s">
        <v>706</v>
      </c>
      <c r="D6808" t="s">
        <v>726</v>
      </c>
    </row>
    <row r="6809" spans="1:4" x14ac:dyDescent="0.25">
      <c r="A6809" s="32" t="s">
        <v>767</v>
      </c>
      <c r="B6809" s="7">
        <v>2019</v>
      </c>
      <c r="C6809" s="51" t="s">
        <v>713</v>
      </c>
      <c r="D6809" t="s">
        <v>726</v>
      </c>
    </row>
    <row r="6810" spans="1:4" x14ac:dyDescent="0.25">
      <c r="A6810" s="32" t="s">
        <v>767</v>
      </c>
      <c r="B6810" s="7">
        <v>2019</v>
      </c>
      <c r="C6810" s="51" t="s">
        <v>707</v>
      </c>
      <c r="D6810" t="s">
        <v>726</v>
      </c>
    </row>
    <row r="6811" spans="1:4" x14ac:dyDescent="0.25">
      <c r="A6811" s="32" t="s">
        <v>767</v>
      </c>
      <c r="B6811" s="7">
        <v>2019</v>
      </c>
      <c r="C6811" s="51" t="s">
        <v>708</v>
      </c>
      <c r="D6811" t="s">
        <v>726</v>
      </c>
    </row>
    <row r="6812" spans="1:4" x14ac:dyDescent="0.25">
      <c r="A6812" s="32" t="s">
        <v>767</v>
      </c>
      <c r="B6812" s="7">
        <v>2019</v>
      </c>
      <c r="C6812" s="51" t="s">
        <v>699</v>
      </c>
      <c r="D6812" t="s">
        <v>726</v>
      </c>
    </row>
    <row r="6813" spans="1:4" x14ac:dyDescent="0.25">
      <c r="A6813" s="32" t="s">
        <v>767</v>
      </c>
      <c r="B6813" s="7">
        <v>2019</v>
      </c>
      <c r="C6813" s="51" t="s">
        <v>709</v>
      </c>
      <c r="D6813" t="s">
        <v>726</v>
      </c>
    </row>
    <row r="6814" spans="1:4" x14ac:dyDescent="0.25">
      <c r="A6814" s="32" t="s">
        <v>767</v>
      </c>
      <c r="B6814" s="7">
        <v>2019</v>
      </c>
      <c r="C6814" s="51" t="s">
        <v>712</v>
      </c>
      <c r="D6814" t="s">
        <v>726</v>
      </c>
    </row>
    <row r="6815" spans="1:4" x14ac:dyDescent="0.25">
      <c r="A6815" s="32" t="s">
        <v>767</v>
      </c>
      <c r="B6815" s="7">
        <v>2019</v>
      </c>
      <c r="C6815" s="51" t="s">
        <v>710</v>
      </c>
      <c r="D6815" t="s">
        <v>726</v>
      </c>
    </row>
    <row r="6816" spans="1:4" x14ac:dyDescent="0.25">
      <c r="A6816" s="32" t="s">
        <v>767</v>
      </c>
      <c r="B6816" s="7">
        <v>2019</v>
      </c>
      <c r="C6816" s="51" t="s">
        <v>702</v>
      </c>
      <c r="D6816" t="s">
        <v>726</v>
      </c>
    </row>
    <row r="6817" spans="1:4" x14ac:dyDescent="0.25">
      <c r="A6817" s="32" t="s">
        <v>767</v>
      </c>
      <c r="B6817" s="7">
        <v>2019</v>
      </c>
      <c r="C6817" s="51" t="s">
        <v>703</v>
      </c>
      <c r="D6817" t="s">
        <v>726</v>
      </c>
    </row>
    <row r="6818" spans="1:4" x14ac:dyDescent="0.25">
      <c r="A6818" s="32" t="s">
        <v>767</v>
      </c>
      <c r="B6818" s="7">
        <v>2019</v>
      </c>
      <c r="C6818" s="51" t="s">
        <v>704</v>
      </c>
      <c r="D6818" t="s">
        <v>726</v>
      </c>
    </row>
    <row r="6819" spans="1:4" x14ac:dyDescent="0.25">
      <c r="A6819" s="32" t="s">
        <v>767</v>
      </c>
      <c r="B6819" s="7">
        <v>2019</v>
      </c>
      <c r="C6819" s="51" t="s">
        <v>705</v>
      </c>
      <c r="D6819" t="s">
        <v>726</v>
      </c>
    </row>
    <row r="6820" spans="1:4" x14ac:dyDescent="0.25">
      <c r="A6820" s="32" t="s">
        <v>767</v>
      </c>
      <c r="B6820" s="7">
        <v>2019</v>
      </c>
      <c r="C6820" s="51" t="s">
        <v>706</v>
      </c>
      <c r="D6820" t="s">
        <v>726</v>
      </c>
    </row>
    <row r="6821" spans="1:4" x14ac:dyDescent="0.25">
      <c r="A6821" s="32" t="s">
        <v>767</v>
      </c>
      <c r="B6821" s="7">
        <v>2020</v>
      </c>
      <c r="C6821" s="51" t="s">
        <v>713</v>
      </c>
      <c r="D6821" t="s">
        <v>726</v>
      </c>
    </row>
    <row r="6822" spans="1:4" x14ac:dyDescent="0.25">
      <c r="A6822" s="32" t="s">
        <v>767</v>
      </c>
      <c r="B6822" s="7">
        <v>2020</v>
      </c>
      <c r="C6822" s="51" t="s">
        <v>707</v>
      </c>
      <c r="D6822" t="s">
        <v>726</v>
      </c>
    </row>
    <row r="6823" spans="1:4" x14ac:dyDescent="0.25">
      <c r="A6823" s="32" t="s">
        <v>767</v>
      </c>
      <c r="B6823" s="7">
        <v>2020</v>
      </c>
      <c r="C6823" s="51" t="s">
        <v>708</v>
      </c>
      <c r="D6823" t="s">
        <v>726</v>
      </c>
    </row>
    <row r="6824" spans="1:4" x14ac:dyDescent="0.25">
      <c r="A6824" s="32" t="s">
        <v>767</v>
      </c>
      <c r="B6824" s="7">
        <v>2020</v>
      </c>
      <c r="C6824" s="51" t="s">
        <v>699</v>
      </c>
      <c r="D6824" t="s">
        <v>726</v>
      </c>
    </row>
    <row r="6825" spans="1:4" x14ac:dyDescent="0.25">
      <c r="A6825" s="32" t="s">
        <v>767</v>
      </c>
      <c r="B6825" s="7">
        <v>2020</v>
      </c>
      <c r="C6825" s="51" t="s">
        <v>709</v>
      </c>
      <c r="D6825" t="s">
        <v>726</v>
      </c>
    </row>
    <row r="6826" spans="1:4" x14ac:dyDescent="0.25">
      <c r="A6826" s="32" t="s">
        <v>767</v>
      </c>
      <c r="B6826" s="7">
        <v>2020</v>
      </c>
      <c r="C6826" s="51" t="s">
        <v>712</v>
      </c>
      <c r="D6826" t="s">
        <v>726</v>
      </c>
    </row>
    <row r="6827" spans="1:4" x14ac:dyDescent="0.25">
      <c r="A6827" s="32" t="s">
        <v>767</v>
      </c>
      <c r="B6827" s="7">
        <v>2020</v>
      </c>
      <c r="C6827" s="51" t="s">
        <v>710</v>
      </c>
      <c r="D6827" t="s">
        <v>726</v>
      </c>
    </row>
    <row r="6828" spans="1:4" x14ac:dyDescent="0.25">
      <c r="A6828" s="32" t="s">
        <v>767</v>
      </c>
      <c r="B6828" s="7">
        <v>2020</v>
      </c>
      <c r="C6828" s="51" t="s">
        <v>702</v>
      </c>
      <c r="D6828" t="s">
        <v>726</v>
      </c>
    </row>
    <row r="6829" spans="1:4" x14ac:dyDescent="0.25">
      <c r="A6829" s="32" t="s">
        <v>767</v>
      </c>
      <c r="B6829" s="7">
        <v>2020</v>
      </c>
      <c r="C6829" s="51" t="s">
        <v>703</v>
      </c>
      <c r="D6829" t="s">
        <v>726</v>
      </c>
    </row>
    <row r="6830" spans="1:4" x14ac:dyDescent="0.25">
      <c r="A6830" s="32" t="s">
        <v>767</v>
      </c>
      <c r="B6830" s="7">
        <v>2020</v>
      </c>
      <c r="C6830" s="51" t="s">
        <v>704</v>
      </c>
      <c r="D6830" t="s">
        <v>726</v>
      </c>
    </row>
    <row r="6831" spans="1:4" x14ac:dyDescent="0.25">
      <c r="A6831" s="32" t="s">
        <v>767</v>
      </c>
      <c r="B6831" s="7">
        <v>2020</v>
      </c>
      <c r="C6831" s="51" t="s">
        <v>705</v>
      </c>
      <c r="D6831" t="s">
        <v>726</v>
      </c>
    </row>
    <row r="6832" spans="1:4" x14ac:dyDescent="0.25">
      <c r="A6832" s="32" t="s">
        <v>767</v>
      </c>
      <c r="B6832" s="7">
        <v>2020</v>
      </c>
      <c r="C6832" s="51" t="s">
        <v>706</v>
      </c>
      <c r="D6832" t="s">
        <v>726</v>
      </c>
    </row>
    <row r="6833" spans="1:4" x14ac:dyDescent="0.25">
      <c r="A6833" s="32" t="s">
        <v>767</v>
      </c>
      <c r="B6833" s="7">
        <v>2021</v>
      </c>
      <c r="C6833" s="51" t="s">
        <v>713</v>
      </c>
      <c r="D6833" t="s">
        <v>726</v>
      </c>
    </row>
    <row r="6834" spans="1:4" x14ac:dyDescent="0.25">
      <c r="A6834" s="32" t="s">
        <v>767</v>
      </c>
      <c r="B6834" s="7">
        <v>2021</v>
      </c>
      <c r="C6834" s="51" t="s">
        <v>707</v>
      </c>
      <c r="D6834" t="s">
        <v>726</v>
      </c>
    </row>
    <row r="6835" spans="1:4" x14ac:dyDescent="0.25">
      <c r="A6835" s="32" t="s">
        <v>767</v>
      </c>
      <c r="B6835" s="7">
        <v>2021</v>
      </c>
      <c r="C6835" s="51" t="s">
        <v>708</v>
      </c>
      <c r="D6835" t="s">
        <v>726</v>
      </c>
    </row>
    <row r="6836" spans="1:4" x14ac:dyDescent="0.25">
      <c r="A6836" s="32" t="s">
        <v>767</v>
      </c>
      <c r="B6836" s="7">
        <v>2021</v>
      </c>
      <c r="C6836" s="51" t="s">
        <v>699</v>
      </c>
      <c r="D6836" t="s">
        <v>726</v>
      </c>
    </row>
    <row r="6837" spans="1:4" x14ac:dyDescent="0.25">
      <c r="A6837" s="32" t="s">
        <v>767</v>
      </c>
      <c r="B6837" s="7">
        <v>2021</v>
      </c>
      <c r="C6837" s="51" t="s">
        <v>709</v>
      </c>
      <c r="D6837" t="s">
        <v>726</v>
      </c>
    </row>
    <row r="6838" spans="1:4" x14ac:dyDescent="0.25">
      <c r="A6838" s="32" t="s">
        <v>767</v>
      </c>
      <c r="B6838" s="7">
        <v>2021</v>
      </c>
      <c r="C6838" s="51" t="s">
        <v>712</v>
      </c>
      <c r="D6838" t="s">
        <v>726</v>
      </c>
    </row>
    <row r="6839" spans="1:4" x14ac:dyDescent="0.25">
      <c r="A6839" s="32" t="s">
        <v>767</v>
      </c>
      <c r="B6839" s="7">
        <v>2021</v>
      </c>
      <c r="C6839" s="51" t="s">
        <v>710</v>
      </c>
      <c r="D6839" t="s">
        <v>726</v>
      </c>
    </row>
    <row r="6840" spans="1:4" x14ac:dyDescent="0.25">
      <c r="A6840" s="32" t="s">
        <v>767</v>
      </c>
      <c r="B6840" s="7">
        <v>2021</v>
      </c>
      <c r="C6840" s="51" t="s">
        <v>702</v>
      </c>
      <c r="D6840" t="s">
        <v>726</v>
      </c>
    </row>
    <row r="6841" spans="1:4" x14ac:dyDescent="0.25">
      <c r="A6841" s="32" t="s">
        <v>767</v>
      </c>
      <c r="B6841" s="7">
        <v>2021</v>
      </c>
      <c r="C6841" s="51" t="s">
        <v>703</v>
      </c>
      <c r="D6841" t="s">
        <v>726</v>
      </c>
    </row>
    <row r="6842" spans="1:4" x14ac:dyDescent="0.25">
      <c r="A6842" s="32" t="s">
        <v>767</v>
      </c>
      <c r="B6842" s="7">
        <v>2021</v>
      </c>
      <c r="C6842" s="51" t="s">
        <v>704</v>
      </c>
      <c r="D6842" t="s">
        <v>726</v>
      </c>
    </row>
    <row r="6843" spans="1:4" x14ac:dyDescent="0.25">
      <c r="A6843" s="32" t="s">
        <v>767</v>
      </c>
      <c r="B6843" s="7">
        <v>2021</v>
      </c>
      <c r="C6843" s="51" t="s">
        <v>705</v>
      </c>
      <c r="D6843" t="s">
        <v>726</v>
      </c>
    </row>
    <row r="6844" spans="1:4" x14ac:dyDescent="0.25">
      <c r="A6844" s="32" t="s">
        <v>767</v>
      </c>
      <c r="B6844" s="7">
        <v>2021</v>
      </c>
      <c r="C6844" s="51" t="s">
        <v>706</v>
      </c>
      <c r="D6844" t="s">
        <v>726</v>
      </c>
    </row>
    <row r="6845" spans="1:4" x14ac:dyDescent="0.25">
      <c r="A6845" s="32" t="s">
        <v>767</v>
      </c>
      <c r="B6845" s="7">
        <v>2022</v>
      </c>
      <c r="C6845" s="51" t="s">
        <v>713</v>
      </c>
      <c r="D6845" t="s">
        <v>726</v>
      </c>
    </row>
    <row r="6846" spans="1:4" x14ac:dyDescent="0.25">
      <c r="A6846" s="32" t="s">
        <v>767</v>
      </c>
      <c r="B6846" s="7">
        <v>2022</v>
      </c>
      <c r="C6846" s="51" t="s">
        <v>707</v>
      </c>
      <c r="D6846" t="s">
        <v>726</v>
      </c>
    </row>
    <row r="6847" spans="1:4" x14ac:dyDescent="0.25">
      <c r="A6847" s="32" t="s">
        <v>767</v>
      </c>
      <c r="B6847" s="7">
        <v>2022</v>
      </c>
      <c r="C6847" s="51" t="s">
        <v>708</v>
      </c>
      <c r="D6847" t="s">
        <v>726</v>
      </c>
    </row>
    <row r="6848" spans="1:4" x14ac:dyDescent="0.25">
      <c r="A6848" s="32" t="s">
        <v>767</v>
      </c>
      <c r="B6848" s="7">
        <v>2022</v>
      </c>
      <c r="C6848" s="51" t="s">
        <v>699</v>
      </c>
      <c r="D6848" t="s">
        <v>726</v>
      </c>
    </row>
    <row r="6849" spans="1:4" x14ac:dyDescent="0.25">
      <c r="A6849" s="32" t="s">
        <v>767</v>
      </c>
      <c r="B6849" s="7">
        <v>2022</v>
      </c>
      <c r="C6849" s="51" t="s">
        <v>709</v>
      </c>
      <c r="D6849" t="s">
        <v>726</v>
      </c>
    </row>
    <row r="6850" spans="1:4" x14ac:dyDescent="0.25">
      <c r="A6850" s="32" t="s">
        <v>767</v>
      </c>
      <c r="B6850" s="7">
        <v>2022</v>
      </c>
      <c r="C6850" s="51" t="s">
        <v>712</v>
      </c>
      <c r="D6850" t="s">
        <v>726</v>
      </c>
    </row>
    <row r="6851" spans="1:4" x14ac:dyDescent="0.25">
      <c r="A6851" s="32" t="s">
        <v>767</v>
      </c>
      <c r="B6851" s="7">
        <v>2022</v>
      </c>
      <c r="C6851" s="51" t="s">
        <v>710</v>
      </c>
      <c r="D6851" t="s">
        <v>726</v>
      </c>
    </row>
    <row r="6852" spans="1:4" x14ac:dyDescent="0.25">
      <c r="A6852" s="32" t="s">
        <v>767</v>
      </c>
      <c r="B6852" s="7">
        <v>2022</v>
      </c>
      <c r="C6852" s="51" t="s">
        <v>702</v>
      </c>
      <c r="D6852" t="s">
        <v>726</v>
      </c>
    </row>
    <row r="6853" spans="1:4" x14ac:dyDescent="0.25">
      <c r="A6853" s="32" t="s">
        <v>767</v>
      </c>
      <c r="B6853" s="7">
        <v>2022</v>
      </c>
      <c r="C6853" s="51" t="s">
        <v>703</v>
      </c>
      <c r="D6853" t="s">
        <v>726</v>
      </c>
    </row>
    <row r="6854" spans="1:4" x14ac:dyDescent="0.25">
      <c r="A6854" s="32" t="s">
        <v>767</v>
      </c>
      <c r="B6854" s="7">
        <v>2022</v>
      </c>
      <c r="C6854" s="51" t="s">
        <v>704</v>
      </c>
      <c r="D6854" t="s">
        <v>726</v>
      </c>
    </row>
    <row r="6855" spans="1:4" x14ac:dyDescent="0.25">
      <c r="A6855" s="32" t="s">
        <v>767</v>
      </c>
      <c r="B6855" s="7">
        <v>2022</v>
      </c>
      <c r="C6855" s="51" t="s">
        <v>705</v>
      </c>
      <c r="D6855" t="s">
        <v>726</v>
      </c>
    </row>
    <row r="6856" spans="1:4" x14ac:dyDescent="0.25">
      <c r="A6856" s="32" t="s">
        <v>767</v>
      </c>
      <c r="B6856" s="7">
        <v>2022</v>
      </c>
      <c r="C6856" s="51" t="s">
        <v>706</v>
      </c>
      <c r="D6856" t="s">
        <v>726</v>
      </c>
    </row>
    <row r="6857" spans="1:4" x14ac:dyDescent="0.25">
      <c r="A6857" s="32" t="s">
        <v>767</v>
      </c>
      <c r="B6857" s="7">
        <v>2023</v>
      </c>
      <c r="C6857" s="51" t="s">
        <v>713</v>
      </c>
      <c r="D6857" t="s">
        <v>726</v>
      </c>
    </row>
    <row r="6858" spans="1:4" x14ac:dyDescent="0.25">
      <c r="A6858" s="32" t="s">
        <v>767</v>
      </c>
      <c r="B6858" s="7">
        <v>2023</v>
      </c>
      <c r="C6858" s="51" t="s">
        <v>707</v>
      </c>
      <c r="D6858" t="s">
        <v>726</v>
      </c>
    </row>
    <row r="6859" spans="1:4" x14ac:dyDescent="0.25">
      <c r="A6859" s="32" t="s">
        <v>767</v>
      </c>
      <c r="B6859" s="7">
        <v>2023</v>
      </c>
      <c r="C6859" s="51" t="s">
        <v>708</v>
      </c>
      <c r="D6859" t="s">
        <v>726</v>
      </c>
    </row>
    <row r="6860" spans="1:4" x14ac:dyDescent="0.25">
      <c r="A6860" s="32" t="s">
        <v>767</v>
      </c>
      <c r="B6860" s="7">
        <v>2023</v>
      </c>
      <c r="C6860" s="51" t="s">
        <v>699</v>
      </c>
      <c r="D6860" t="s">
        <v>726</v>
      </c>
    </row>
    <row r="6861" spans="1:4" x14ac:dyDescent="0.25">
      <c r="A6861" s="32" t="s">
        <v>767</v>
      </c>
      <c r="B6861" s="7">
        <v>2023</v>
      </c>
      <c r="C6861" s="51" t="s">
        <v>709</v>
      </c>
      <c r="D6861" t="s">
        <v>726</v>
      </c>
    </row>
    <row r="6862" spans="1:4" x14ac:dyDescent="0.25">
      <c r="A6862" s="32" t="s">
        <v>767</v>
      </c>
      <c r="B6862" s="7">
        <v>2023</v>
      </c>
      <c r="C6862" s="51" t="s">
        <v>712</v>
      </c>
      <c r="D6862" t="s">
        <v>726</v>
      </c>
    </row>
    <row r="6863" spans="1:4" x14ac:dyDescent="0.25">
      <c r="A6863" s="32" t="s">
        <v>767</v>
      </c>
      <c r="B6863" s="7">
        <v>2023</v>
      </c>
      <c r="C6863" s="51" t="s">
        <v>710</v>
      </c>
      <c r="D6863" t="s">
        <v>726</v>
      </c>
    </row>
    <row r="6864" spans="1:4" x14ac:dyDescent="0.25">
      <c r="A6864" s="32" t="s">
        <v>767</v>
      </c>
      <c r="B6864" s="7">
        <v>2023</v>
      </c>
      <c r="C6864" s="51" t="s">
        <v>702</v>
      </c>
      <c r="D6864" t="s">
        <v>726</v>
      </c>
    </row>
    <row r="6865" spans="1:4" x14ac:dyDescent="0.25">
      <c r="A6865" s="32" t="s">
        <v>767</v>
      </c>
      <c r="B6865" s="7">
        <v>2023</v>
      </c>
      <c r="C6865" s="51" t="s">
        <v>703</v>
      </c>
      <c r="D6865" t="s">
        <v>726</v>
      </c>
    </row>
    <row r="6866" spans="1:4" x14ac:dyDescent="0.25">
      <c r="A6866" s="32" t="s">
        <v>767</v>
      </c>
      <c r="B6866" s="7">
        <v>1997</v>
      </c>
      <c r="C6866" s="51" t="s">
        <v>704</v>
      </c>
      <c r="D6866" t="s">
        <v>727</v>
      </c>
    </row>
    <row r="6867" spans="1:4" x14ac:dyDescent="0.25">
      <c r="A6867" s="32" t="s">
        <v>767</v>
      </c>
      <c r="B6867" s="7">
        <v>1997</v>
      </c>
      <c r="C6867" s="51" t="s">
        <v>705</v>
      </c>
      <c r="D6867" t="s">
        <v>727</v>
      </c>
    </row>
    <row r="6868" spans="1:4" x14ac:dyDescent="0.25">
      <c r="A6868" s="32" t="s">
        <v>767</v>
      </c>
      <c r="B6868" s="7">
        <v>1997</v>
      </c>
      <c r="C6868" s="51" t="s">
        <v>706</v>
      </c>
      <c r="D6868" t="s">
        <v>727</v>
      </c>
    </row>
    <row r="6869" spans="1:4" x14ac:dyDescent="0.25">
      <c r="A6869" s="32" t="s">
        <v>767</v>
      </c>
      <c r="B6869" s="7">
        <v>1998</v>
      </c>
      <c r="C6869" s="51" t="s">
        <v>713</v>
      </c>
      <c r="D6869" t="s">
        <v>727</v>
      </c>
    </row>
    <row r="6870" spans="1:4" x14ac:dyDescent="0.25">
      <c r="A6870" s="32" t="s">
        <v>767</v>
      </c>
      <c r="B6870" s="7">
        <v>1998</v>
      </c>
      <c r="C6870" s="51" t="s">
        <v>707</v>
      </c>
      <c r="D6870" t="s">
        <v>727</v>
      </c>
    </row>
    <row r="6871" spans="1:4" x14ac:dyDescent="0.25">
      <c r="A6871" s="32" t="s">
        <v>767</v>
      </c>
      <c r="B6871" s="7">
        <v>1998</v>
      </c>
      <c r="C6871" s="51" t="s">
        <v>708</v>
      </c>
      <c r="D6871" t="s">
        <v>727</v>
      </c>
    </row>
    <row r="6872" spans="1:4" x14ac:dyDescent="0.25">
      <c r="A6872" s="32" t="s">
        <v>767</v>
      </c>
      <c r="B6872" s="7">
        <v>1998</v>
      </c>
      <c r="C6872" s="51" t="s">
        <v>699</v>
      </c>
      <c r="D6872" t="s">
        <v>727</v>
      </c>
    </row>
    <row r="6873" spans="1:4" x14ac:dyDescent="0.25">
      <c r="A6873" s="32" t="s">
        <v>767</v>
      </c>
      <c r="B6873" s="7">
        <v>1998</v>
      </c>
      <c r="C6873" s="51" t="s">
        <v>709</v>
      </c>
      <c r="D6873" t="s">
        <v>727</v>
      </c>
    </row>
    <row r="6874" spans="1:4" x14ac:dyDescent="0.25">
      <c r="A6874" s="32" t="s">
        <v>767</v>
      </c>
      <c r="B6874" s="7">
        <v>1998</v>
      </c>
      <c r="C6874" s="51" t="s">
        <v>712</v>
      </c>
      <c r="D6874" t="s">
        <v>727</v>
      </c>
    </row>
    <row r="6875" spans="1:4" x14ac:dyDescent="0.25">
      <c r="A6875" s="32" t="s">
        <v>767</v>
      </c>
      <c r="B6875" s="7">
        <v>1998</v>
      </c>
      <c r="C6875" s="51" t="s">
        <v>710</v>
      </c>
      <c r="D6875" t="s">
        <v>727</v>
      </c>
    </row>
    <row r="6876" spans="1:4" x14ac:dyDescent="0.25">
      <c r="A6876" s="32" t="s">
        <v>767</v>
      </c>
      <c r="B6876" s="7">
        <v>1998</v>
      </c>
      <c r="C6876" s="51" t="s">
        <v>702</v>
      </c>
      <c r="D6876" t="s">
        <v>727</v>
      </c>
    </row>
    <row r="6877" spans="1:4" x14ac:dyDescent="0.25">
      <c r="A6877" s="32" t="s">
        <v>767</v>
      </c>
      <c r="B6877" s="7">
        <v>1998</v>
      </c>
      <c r="C6877" s="51" t="s">
        <v>703</v>
      </c>
      <c r="D6877" t="s">
        <v>727</v>
      </c>
    </row>
    <row r="6878" spans="1:4" x14ac:dyDescent="0.25">
      <c r="A6878" s="32" t="s">
        <v>767</v>
      </c>
      <c r="B6878" s="7">
        <v>1998</v>
      </c>
      <c r="C6878" s="51" t="s">
        <v>704</v>
      </c>
      <c r="D6878" t="s">
        <v>727</v>
      </c>
    </row>
    <row r="6879" spans="1:4" x14ac:dyDescent="0.25">
      <c r="A6879" s="32" t="s">
        <v>767</v>
      </c>
      <c r="B6879" s="7">
        <v>1998</v>
      </c>
      <c r="C6879" s="51" t="s">
        <v>705</v>
      </c>
      <c r="D6879" t="s">
        <v>727</v>
      </c>
    </row>
    <row r="6880" spans="1:4" x14ac:dyDescent="0.25">
      <c r="A6880" s="32" t="s">
        <v>767</v>
      </c>
      <c r="B6880" s="7">
        <v>1998</v>
      </c>
      <c r="C6880" s="51" t="s">
        <v>706</v>
      </c>
      <c r="D6880" t="s">
        <v>727</v>
      </c>
    </row>
    <row r="6881" spans="1:4" x14ac:dyDescent="0.25">
      <c r="A6881" s="32" t="s">
        <v>767</v>
      </c>
      <c r="B6881" s="7">
        <v>1999</v>
      </c>
      <c r="C6881" s="51" t="s">
        <v>713</v>
      </c>
      <c r="D6881" t="s">
        <v>727</v>
      </c>
    </row>
    <row r="6882" spans="1:4" x14ac:dyDescent="0.25">
      <c r="A6882" s="32" t="s">
        <v>767</v>
      </c>
      <c r="B6882" s="7">
        <v>1999</v>
      </c>
      <c r="C6882" s="51" t="s">
        <v>707</v>
      </c>
      <c r="D6882" t="s">
        <v>727</v>
      </c>
    </row>
    <row r="6883" spans="1:4" x14ac:dyDescent="0.25">
      <c r="A6883" s="32" t="s">
        <v>767</v>
      </c>
      <c r="B6883" s="7">
        <v>1999</v>
      </c>
      <c r="C6883" s="51" t="s">
        <v>708</v>
      </c>
      <c r="D6883" t="s">
        <v>727</v>
      </c>
    </row>
    <row r="6884" spans="1:4" x14ac:dyDescent="0.25">
      <c r="A6884" s="32" t="s">
        <v>767</v>
      </c>
      <c r="B6884" s="7">
        <v>1999</v>
      </c>
      <c r="C6884" s="51" t="s">
        <v>699</v>
      </c>
      <c r="D6884" t="s">
        <v>727</v>
      </c>
    </row>
    <row r="6885" spans="1:4" x14ac:dyDescent="0.25">
      <c r="A6885" s="32" t="s">
        <v>767</v>
      </c>
      <c r="B6885" s="7">
        <v>1999</v>
      </c>
      <c r="C6885" s="51" t="s">
        <v>709</v>
      </c>
      <c r="D6885" t="s">
        <v>727</v>
      </c>
    </row>
    <row r="6886" spans="1:4" x14ac:dyDescent="0.25">
      <c r="A6886" s="32" t="s">
        <v>767</v>
      </c>
      <c r="B6886" s="7">
        <v>1999</v>
      </c>
      <c r="C6886" s="51" t="s">
        <v>712</v>
      </c>
      <c r="D6886" t="s">
        <v>727</v>
      </c>
    </row>
    <row r="6887" spans="1:4" x14ac:dyDescent="0.25">
      <c r="A6887" s="32" t="s">
        <v>767</v>
      </c>
      <c r="B6887" s="7">
        <v>1999</v>
      </c>
      <c r="C6887" s="51" t="s">
        <v>710</v>
      </c>
      <c r="D6887" t="s">
        <v>727</v>
      </c>
    </row>
    <row r="6888" spans="1:4" x14ac:dyDescent="0.25">
      <c r="A6888" s="32" t="s">
        <v>767</v>
      </c>
      <c r="B6888" s="7">
        <v>1999</v>
      </c>
      <c r="C6888" s="51" t="s">
        <v>702</v>
      </c>
      <c r="D6888" t="s">
        <v>727</v>
      </c>
    </row>
    <row r="6889" spans="1:4" x14ac:dyDescent="0.25">
      <c r="A6889" s="32" t="s">
        <v>767</v>
      </c>
      <c r="B6889" s="7">
        <v>1999</v>
      </c>
      <c r="C6889" s="51" t="s">
        <v>703</v>
      </c>
      <c r="D6889" t="s">
        <v>727</v>
      </c>
    </row>
    <row r="6890" spans="1:4" x14ac:dyDescent="0.25">
      <c r="A6890" s="32" t="s">
        <v>767</v>
      </c>
      <c r="B6890" s="7">
        <v>1999</v>
      </c>
      <c r="C6890" s="51" t="s">
        <v>704</v>
      </c>
      <c r="D6890" t="s">
        <v>727</v>
      </c>
    </row>
    <row r="6891" spans="1:4" x14ac:dyDescent="0.25">
      <c r="A6891" s="32" t="s">
        <v>767</v>
      </c>
      <c r="B6891" s="7">
        <v>1999</v>
      </c>
      <c r="C6891" s="51" t="s">
        <v>705</v>
      </c>
      <c r="D6891" t="s">
        <v>727</v>
      </c>
    </row>
    <row r="6892" spans="1:4" x14ac:dyDescent="0.25">
      <c r="A6892" s="32" t="s">
        <v>767</v>
      </c>
      <c r="B6892" s="7">
        <v>1999</v>
      </c>
      <c r="C6892" s="51" t="s">
        <v>706</v>
      </c>
      <c r="D6892" t="s">
        <v>727</v>
      </c>
    </row>
    <row r="6893" spans="1:4" x14ac:dyDescent="0.25">
      <c r="A6893" s="32" t="s">
        <v>767</v>
      </c>
      <c r="B6893" s="7">
        <v>2000</v>
      </c>
      <c r="C6893" s="51" t="s">
        <v>713</v>
      </c>
      <c r="D6893" t="s">
        <v>727</v>
      </c>
    </row>
    <row r="6894" spans="1:4" x14ac:dyDescent="0.25">
      <c r="A6894" s="32" t="s">
        <v>767</v>
      </c>
      <c r="B6894" s="7">
        <v>2000</v>
      </c>
      <c r="C6894" s="51" t="s">
        <v>707</v>
      </c>
      <c r="D6894" t="s">
        <v>727</v>
      </c>
    </row>
    <row r="6895" spans="1:4" x14ac:dyDescent="0.25">
      <c r="A6895" s="32" t="s">
        <v>767</v>
      </c>
      <c r="B6895" s="7">
        <v>2000</v>
      </c>
      <c r="C6895" s="51" t="s">
        <v>708</v>
      </c>
      <c r="D6895" t="s">
        <v>727</v>
      </c>
    </row>
    <row r="6896" spans="1:4" x14ac:dyDescent="0.25">
      <c r="A6896" s="32" t="s">
        <v>767</v>
      </c>
      <c r="B6896" s="7">
        <v>2000</v>
      </c>
      <c r="C6896" s="51" t="s">
        <v>699</v>
      </c>
      <c r="D6896" t="s">
        <v>727</v>
      </c>
    </row>
    <row r="6897" spans="1:4" x14ac:dyDescent="0.25">
      <c r="A6897" s="32" t="s">
        <v>767</v>
      </c>
      <c r="B6897" s="7">
        <v>2000</v>
      </c>
      <c r="C6897" s="51" t="s">
        <v>709</v>
      </c>
      <c r="D6897" t="s">
        <v>727</v>
      </c>
    </row>
    <row r="6898" spans="1:4" x14ac:dyDescent="0.25">
      <c r="A6898" s="32" t="s">
        <v>767</v>
      </c>
      <c r="B6898" s="7">
        <v>2000</v>
      </c>
      <c r="C6898" s="51" t="s">
        <v>712</v>
      </c>
      <c r="D6898" t="s">
        <v>727</v>
      </c>
    </row>
    <row r="6899" spans="1:4" x14ac:dyDescent="0.25">
      <c r="A6899" s="32" t="s">
        <v>767</v>
      </c>
      <c r="B6899" s="7">
        <v>2000</v>
      </c>
      <c r="C6899" s="51" t="s">
        <v>710</v>
      </c>
      <c r="D6899" t="s">
        <v>727</v>
      </c>
    </row>
    <row r="6900" spans="1:4" x14ac:dyDescent="0.25">
      <c r="A6900" s="32" t="s">
        <v>767</v>
      </c>
      <c r="B6900" s="7">
        <v>2000</v>
      </c>
      <c r="C6900" s="51" t="s">
        <v>702</v>
      </c>
      <c r="D6900" t="s">
        <v>727</v>
      </c>
    </row>
    <row r="6901" spans="1:4" x14ac:dyDescent="0.25">
      <c r="A6901" s="32" t="s">
        <v>767</v>
      </c>
      <c r="B6901" s="7">
        <v>2000</v>
      </c>
      <c r="C6901" s="51" t="s">
        <v>703</v>
      </c>
      <c r="D6901" t="s">
        <v>727</v>
      </c>
    </row>
    <row r="6902" spans="1:4" x14ac:dyDescent="0.25">
      <c r="A6902" s="32" t="s">
        <v>767</v>
      </c>
      <c r="B6902" s="7">
        <v>2000</v>
      </c>
      <c r="C6902" s="51" t="s">
        <v>704</v>
      </c>
      <c r="D6902" t="s">
        <v>727</v>
      </c>
    </row>
    <row r="6903" spans="1:4" x14ac:dyDescent="0.25">
      <c r="A6903" s="32" t="s">
        <v>767</v>
      </c>
      <c r="B6903" s="7">
        <v>2000</v>
      </c>
      <c r="C6903" s="51" t="s">
        <v>705</v>
      </c>
      <c r="D6903" t="s">
        <v>727</v>
      </c>
    </row>
    <row r="6904" spans="1:4" x14ac:dyDescent="0.25">
      <c r="A6904" s="32" t="s">
        <v>767</v>
      </c>
      <c r="B6904" s="7">
        <v>2000</v>
      </c>
      <c r="C6904" s="51" t="s">
        <v>706</v>
      </c>
      <c r="D6904" t="s">
        <v>727</v>
      </c>
    </row>
    <row r="6905" spans="1:4" x14ac:dyDescent="0.25">
      <c r="A6905" s="32" t="s">
        <v>767</v>
      </c>
      <c r="B6905" s="7">
        <v>2001</v>
      </c>
      <c r="C6905" s="51" t="s">
        <v>713</v>
      </c>
      <c r="D6905" t="s">
        <v>727</v>
      </c>
    </row>
    <row r="6906" spans="1:4" x14ac:dyDescent="0.25">
      <c r="A6906" s="32" t="s">
        <v>767</v>
      </c>
      <c r="B6906" s="7">
        <v>2001</v>
      </c>
      <c r="C6906" s="51" t="s">
        <v>707</v>
      </c>
      <c r="D6906" t="s">
        <v>727</v>
      </c>
    </row>
    <row r="6907" spans="1:4" x14ac:dyDescent="0.25">
      <c r="A6907" s="32" t="s">
        <v>767</v>
      </c>
      <c r="B6907" s="7">
        <v>2001</v>
      </c>
      <c r="C6907" s="51" t="s">
        <v>708</v>
      </c>
      <c r="D6907" t="s">
        <v>727</v>
      </c>
    </row>
    <row r="6908" spans="1:4" x14ac:dyDescent="0.25">
      <c r="A6908" s="32" t="s">
        <v>767</v>
      </c>
      <c r="B6908" s="7">
        <v>2001</v>
      </c>
      <c r="C6908" s="51" t="s">
        <v>699</v>
      </c>
      <c r="D6908" t="s">
        <v>727</v>
      </c>
    </row>
    <row r="6909" spans="1:4" x14ac:dyDescent="0.25">
      <c r="A6909" s="32" t="s">
        <v>767</v>
      </c>
      <c r="B6909" s="7">
        <v>2001</v>
      </c>
      <c r="C6909" s="51" t="s">
        <v>709</v>
      </c>
      <c r="D6909" t="s">
        <v>727</v>
      </c>
    </row>
    <row r="6910" spans="1:4" x14ac:dyDescent="0.25">
      <c r="A6910" s="32" t="s">
        <v>767</v>
      </c>
      <c r="B6910" s="7">
        <v>2001</v>
      </c>
      <c r="C6910" s="51" t="s">
        <v>712</v>
      </c>
      <c r="D6910" t="s">
        <v>727</v>
      </c>
    </row>
    <row r="6911" spans="1:4" x14ac:dyDescent="0.25">
      <c r="A6911" s="32" t="s">
        <v>767</v>
      </c>
      <c r="B6911" s="7">
        <v>2001</v>
      </c>
      <c r="C6911" s="51" t="s">
        <v>710</v>
      </c>
      <c r="D6911" t="s">
        <v>727</v>
      </c>
    </row>
    <row r="6912" spans="1:4" x14ac:dyDescent="0.25">
      <c r="A6912" s="32" t="s">
        <v>767</v>
      </c>
      <c r="B6912" s="7">
        <v>2001</v>
      </c>
      <c r="C6912" s="51" t="s">
        <v>702</v>
      </c>
      <c r="D6912" t="s">
        <v>727</v>
      </c>
    </row>
    <row r="6913" spans="1:4" x14ac:dyDescent="0.25">
      <c r="A6913" s="32" t="s">
        <v>767</v>
      </c>
      <c r="B6913" s="7">
        <v>2001</v>
      </c>
      <c r="C6913" s="51" t="s">
        <v>703</v>
      </c>
      <c r="D6913" t="s">
        <v>727</v>
      </c>
    </row>
    <row r="6914" spans="1:4" x14ac:dyDescent="0.25">
      <c r="A6914" s="32" t="s">
        <v>767</v>
      </c>
      <c r="B6914" s="7">
        <v>2001</v>
      </c>
      <c r="C6914" s="51" t="s">
        <v>704</v>
      </c>
      <c r="D6914" t="s">
        <v>727</v>
      </c>
    </row>
    <row r="6915" spans="1:4" x14ac:dyDescent="0.25">
      <c r="A6915" s="32" t="s">
        <v>767</v>
      </c>
      <c r="B6915" s="7">
        <v>2001</v>
      </c>
      <c r="C6915" s="51" t="s">
        <v>705</v>
      </c>
      <c r="D6915" t="s">
        <v>727</v>
      </c>
    </row>
    <row r="6916" spans="1:4" x14ac:dyDescent="0.25">
      <c r="A6916" s="32" t="s">
        <v>767</v>
      </c>
      <c r="B6916" s="7">
        <v>2001</v>
      </c>
      <c r="C6916" s="51" t="s">
        <v>706</v>
      </c>
      <c r="D6916" t="s">
        <v>727</v>
      </c>
    </row>
    <row r="6917" spans="1:4" x14ac:dyDescent="0.25">
      <c r="A6917" s="32" t="s">
        <v>767</v>
      </c>
      <c r="B6917" s="7">
        <v>2002</v>
      </c>
      <c r="C6917" s="51" t="s">
        <v>713</v>
      </c>
      <c r="D6917" t="s">
        <v>727</v>
      </c>
    </row>
    <row r="6918" spans="1:4" x14ac:dyDescent="0.25">
      <c r="A6918" s="32" t="s">
        <v>767</v>
      </c>
      <c r="B6918" s="7">
        <v>2002</v>
      </c>
      <c r="C6918" s="51" t="s">
        <v>707</v>
      </c>
      <c r="D6918" t="s">
        <v>727</v>
      </c>
    </row>
    <row r="6919" spans="1:4" x14ac:dyDescent="0.25">
      <c r="A6919" s="32" t="s">
        <v>767</v>
      </c>
      <c r="B6919" s="7">
        <v>2002</v>
      </c>
      <c r="C6919" s="51" t="s">
        <v>708</v>
      </c>
      <c r="D6919" t="s">
        <v>727</v>
      </c>
    </row>
    <row r="6920" spans="1:4" x14ac:dyDescent="0.25">
      <c r="A6920" s="32" t="s">
        <v>767</v>
      </c>
      <c r="B6920" s="7">
        <v>2002</v>
      </c>
      <c r="C6920" s="51" t="s">
        <v>699</v>
      </c>
      <c r="D6920" t="s">
        <v>727</v>
      </c>
    </row>
    <row r="6921" spans="1:4" x14ac:dyDescent="0.25">
      <c r="A6921" s="32" t="s">
        <v>767</v>
      </c>
      <c r="B6921" s="7">
        <v>2002</v>
      </c>
      <c r="C6921" s="51" t="s">
        <v>709</v>
      </c>
      <c r="D6921" t="s">
        <v>727</v>
      </c>
    </row>
    <row r="6922" spans="1:4" x14ac:dyDescent="0.25">
      <c r="A6922" s="32" t="s">
        <v>767</v>
      </c>
      <c r="B6922" s="7">
        <v>2002</v>
      </c>
      <c r="C6922" s="51" t="s">
        <v>712</v>
      </c>
      <c r="D6922" t="s">
        <v>727</v>
      </c>
    </row>
    <row r="6923" spans="1:4" x14ac:dyDescent="0.25">
      <c r="A6923" s="32" t="s">
        <v>767</v>
      </c>
      <c r="B6923" s="7">
        <v>2002</v>
      </c>
      <c r="C6923" s="51" t="s">
        <v>710</v>
      </c>
      <c r="D6923" t="s">
        <v>727</v>
      </c>
    </row>
    <row r="6924" spans="1:4" x14ac:dyDescent="0.25">
      <c r="A6924" s="32" t="s">
        <v>767</v>
      </c>
      <c r="B6924" s="7">
        <v>2002</v>
      </c>
      <c r="C6924" s="51" t="s">
        <v>702</v>
      </c>
      <c r="D6924" t="s">
        <v>727</v>
      </c>
    </row>
    <row r="6925" spans="1:4" x14ac:dyDescent="0.25">
      <c r="A6925" s="32" t="s">
        <v>767</v>
      </c>
      <c r="B6925" s="7">
        <v>2002</v>
      </c>
      <c r="C6925" s="51" t="s">
        <v>703</v>
      </c>
      <c r="D6925" t="s">
        <v>727</v>
      </c>
    </row>
    <row r="6926" spans="1:4" x14ac:dyDescent="0.25">
      <c r="A6926" s="32" t="s">
        <v>767</v>
      </c>
      <c r="B6926" s="7">
        <v>2002</v>
      </c>
      <c r="C6926" s="51" t="s">
        <v>704</v>
      </c>
      <c r="D6926" t="s">
        <v>727</v>
      </c>
    </row>
    <row r="6927" spans="1:4" x14ac:dyDescent="0.25">
      <c r="A6927" s="32" t="s">
        <v>767</v>
      </c>
      <c r="B6927" s="7">
        <v>2002</v>
      </c>
      <c r="C6927" s="51" t="s">
        <v>705</v>
      </c>
      <c r="D6927" t="s">
        <v>727</v>
      </c>
    </row>
    <row r="6928" spans="1:4" x14ac:dyDescent="0.25">
      <c r="A6928" s="32" t="s">
        <v>767</v>
      </c>
      <c r="B6928" s="7">
        <v>2002</v>
      </c>
      <c r="C6928" s="51" t="s">
        <v>706</v>
      </c>
      <c r="D6928" t="s">
        <v>727</v>
      </c>
    </row>
    <row r="6929" spans="1:4" x14ac:dyDescent="0.25">
      <c r="A6929" s="32" t="s">
        <v>767</v>
      </c>
      <c r="B6929" s="7">
        <v>2003</v>
      </c>
      <c r="C6929" s="51" t="s">
        <v>713</v>
      </c>
      <c r="D6929" t="s">
        <v>727</v>
      </c>
    </row>
    <row r="6930" spans="1:4" x14ac:dyDescent="0.25">
      <c r="A6930" s="32" t="s">
        <v>767</v>
      </c>
      <c r="B6930" s="7">
        <v>2003</v>
      </c>
      <c r="C6930" s="51" t="s">
        <v>707</v>
      </c>
      <c r="D6930" t="s">
        <v>727</v>
      </c>
    </row>
    <row r="6931" spans="1:4" x14ac:dyDescent="0.25">
      <c r="A6931" s="32" t="s">
        <v>767</v>
      </c>
      <c r="B6931" s="7">
        <v>2003</v>
      </c>
      <c r="C6931" s="51" t="s">
        <v>708</v>
      </c>
      <c r="D6931" t="s">
        <v>727</v>
      </c>
    </row>
    <row r="6932" spans="1:4" x14ac:dyDescent="0.25">
      <c r="A6932" s="32" t="s">
        <v>767</v>
      </c>
      <c r="B6932" s="7">
        <v>2003</v>
      </c>
      <c r="C6932" s="51" t="s">
        <v>699</v>
      </c>
      <c r="D6932" t="s">
        <v>727</v>
      </c>
    </row>
    <row r="6933" spans="1:4" x14ac:dyDescent="0.25">
      <c r="A6933" s="32" t="s">
        <v>767</v>
      </c>
      <c r="B6933" s="7">
        <v>2003</v>
      </c>
      <c r="C6933" s="51" t="s">
        <v>709</v>
      </c>
      <c r="D6933" t="s">
        <v>727</v>
      </c>
    </row>
    <row r="6934" spans="1:4" x14ac:dyDescent="0.25">
      <c r="A6934" s="32" t="s">
        <v>767</v>
      </c>
      <c r="B6934" s="7">
        <v>2003</v>
      </c>
      <c r="C6934" s="51" t="s">
        <v>712</v>
      </c>
      <c r="D6934" t="s">
        <v>727</v>
      </c>
    </row>
    <row r="6935" spans="1:4" x14ac:dyDescent="0.25">
      <c r="A6935" s="32" t="s">
        <v>767</v>
      </c>
      <c r="B6935" s="7">
        <v>2003</v>
      </c>
      <c r="C6935" s="51" t="s">
        <v>710</v>
      </c>
      <c r="D6935" t="s">
        <v>727</v>
      </c>
    </row>
    <row r="6936" spans="1:4" x14ac:dyDescent="0.25">
      <c r="A6936" s="32" t="s">
        <v>767</v>
      </c>
      <c r="B6936" s="7">
        <v>2003</v>
      </c>
      <c r="C6936" s="51" t="s">
        <v>702</v>
      </c>
      <c r="D6936" t="s">
        <v>727</v>
      </c>
    </row>
    <row r="6937" spans="1:4" x14ac:dyDescent="0.25">
      <c r="A6937" s="32" t="s">
        <v>767</v>
      </c>
      <c r="B6937" s="7">
        <v>2003</v>
      </c>
      <c r="C6937" s="51" t="s">
        <v>703</v>
      </c>
      <c r="D6937" t="s">
        <v>727</v>
      </c>
    </row>
    <row r="6938" spans="1:4" x14ac:dyDescent="0.25">
      <c r="A6938" s="32" t="s">
        <v>767</v>
      </c>
      <c r="B6938" s="7">
        <v>2003</v>
      </c>
      <c r="C6938" s="51" t="s">
        <v>704</v>
      </c>
      <c r="D6938" t="s">
        <v>727</v>
      </c>
    </row>
    <row r="6939" spans="1:4" x14ac:dyDescent="0.25">
      <c r="A6939" s="32" t="s">
        <v>767</v>
      </c>
      <c r="B6939" s="7">
        <v>2003</v>
      </c>
      <c r="C6939" s="51" t="s">
        <v>705</v>
      </c>
      <c r="D6939" t="s">
        <v>727</v>
      </c>
    </row>
    <row r="6940" spans="1:4" x14ac:dyDescent="0.25">
      <c r="A6940" s="32" t="s">
        <v>767</v>
      </c>
      <c r="B6940" s="7">
        <v>2003</v>
      </c>
      <c r="C6940" s="51" t="s">
        <v>706</v>
      </c>
      <c r="D6940" t="s">
        <v>727</v>
      </c>
    </row>
    <row r="6941" spans="1:4" x14ac:dyDescent="0.25">
      <c r="A6941" s="32" t="s">
        <v>767</v>
      </c>
      <c r="B6941" s="7">
        <v>2004</v>
      </c>
      <c r="C6941" s="51" t="s">
        <v>713</v>
      </c>
      <c r="D6941" t="s">
        <v>727</v>
      </c>
    </row>
    <row r="6942" spans="1:4" x14ac:dyDescent="0.25">
      <c r="A6942" s="32" t="s">
        <v>767</v>
      </c>
      <c r="B6942" s="7">
        <v>2004</v>
      </c>
      <c r="C6942" s="51" t="s">
        <v>707</v>
      </c>
      <c r="D6942" t="s">
        <v>727</v>
      </c>
    </row>
    <row r="6943" spans="1:4" x14ac:dyDescent="0.25">
      <c r="A6943" s="32" t="s">
        <v>767</v>
      </c>
      <c r="B6943" s="7">
        <v>2004</v>
      </c>
      <c r="C6943" s="51" t="s">
        <v>708</v>
      </c>
      <c r="D6943" t="s">
        <v>727</v>
      </c>
    </row>
    <row r="6944" spans="1:4" x14ac:dyDescent="0.25">
      <c r="A6944" s="32" t="s">
        <v>767</v>
      </c>
      <c r="B6944" s="7">
        <v>2004</v>
      </c>
      <c r="C6944" s="51" t="s">
        <v>699</v>
      </c>
      <c r="D6944" t="s">
        <v>727</v>
      </c>
    </row>
    <row r="6945" spans="1:5" x14ac:dyDescent="0.25">
      <c r="A6945" s="32" t="s">
        <v>767</v>
      </c>
      <c r="B6945" s="7">
        <v>2004</v>
      </c>
      <c r="C6945" s="51" t="s">
        <v>709</v>
      </c>
      <c r="D6945" t="s">
        <v>727</v>
      </c>
    </row>
    <row r="6946" spans="1:5" x14ac:dyDescent="0.25">
      <c r="A6946" s="32" t="s">
        <v>767</v>
      </c>
      <c r="B6946" s="7">
        <v>2004</v>
      </c>
      <c r="C6946" s="51" t="s">
        <v>712</v>
      </c>
      <c r="D6946" t="s">
        <v>727</v>
      </c>
    </row>
    <row r="6947" spans="1:5" x14ac:dyDescent="0.25">
      <c r="A6947" s="32" t="s">
        <v>767</v>
      </c>
      <c r="B6947" s="7">
        <v>2004</v>
      </c>
      <c r="C6947" s="51" t="s">
        <v>710</v>
      </c>
      <c r="D6947" t="s">
        <v>727</v>
      </c>
    </row>
    <row r="6948" spans="1:5" x14ac:dyDescent="0.25">
      <c r="A6948" s="32" t="s">
        <v>767</v>
      </c>
      <c r="B6948" s="7">
        <v>2004</v>
      </c>
      <c r="C6948" s="51" t="s">
        <v>702</v>
      </c>
      <c r="D6948" t="s">
        <v>727</v>
      </c>
    </row>
    <row r="6949" spans="1:5" x14ac:dyDescent="0.25">
      <c r="A6949" s="32" t="s">
        <v>767</v>
      </c>
      <c r="B6949" s="7">
        <v>2004</v>
      </c>
      <c r="C6949" s="51" t="s">
        <v>703</v>
      </c>
      <c r="D6949" t="s">
        <v>727</v>
      </c>
    </row>
    <row r="6950" spans="1:5" x14ac:dyDescent="0.25">
      <c r="A6950" s="32" t="s">
        <v>767</v>
      </c>
      <c r="B6950" s="7">
        <v>2004</v>
      </c>
      <c r="C6950" s="51" t="s">
        <v>704</v>
      </c>
      <c r="D6950" t="s">
        <v>727</v>
      </c>
    </row>
    <row r="6951" spans="1:5" x14ac:dyDescent="0.25">
      <c r="A6951" s="32" t="s">
        <v>767</v>
      </c>
      <c r="B6951" s="7">
        <v>2004</v>
      </c>
      <c r="C6951" s="51" t="s">
        <v>705</v>
      </c>
      <c r="D6951" t="s">
        <v>727</v>
      </c>
    </row>
    <row r="6952" spans="1:5" x14ac:dyDescent="0.25">
      <c r="A6952" s="32" t="s">
        <v>767</v>
      </c>
      <c r="B6952" s="7">
        <v>2004</v>
      </c>
      <c r="C6952" s="51" t="s">
        <v>706</v>
      </c>
      <c r="D6952" t="s">
        <v>727</v>
      </c>
    </row>
    <row r="6953" spans="1:5" x14ac:dyDescent="0.25">
      <c r="A6953" s="32" t="s">
        <v>767</v>
      </c>
      <c r="B6953" s="7">
        <v>2005</v>
      </c>
      <c r="C6953" s="51" t="s">
        <v>713</v>
      </c>
      <c r="D6953" t="s">
        <v>727</v>
      </c>
    </row>
    <row r="6954" spans="1:5" x14ac:dyDescent="0.25">
      <c r="A6954" s="32" t="s">
        <v>767</v>
      </c>
      <c r="B6954" s="7">
        <v>2005</v>
      </c>
      <c r="C6954" s="51" t="s">
        <v>707</v>
      </c>
      <c r="D6954" t="s">
        <v>727</v>
      </c>
    </row>
    <row r="6955" spans="1:5" x14ac:dyDescent="0.25">
      <c r="A6955" s="32" t="s">
        <v>767</v>
      </c>
      <c r="B6955" s="7">
        <v>2005</v>
      </c>
      <c r="C6955" s="51" t="s">
        <v>708</v>
      </c>
      <c r="D6955" t="s">
        <v>727</v>
      </c>
    </row>
    <row r="6956" spans="1:5" x14ac:dyDescent="0.25">
      <c r="A6956" s="32" t="s">
        <v>767</v>
      </c>
      <c r="B6956" s="7">
        <v>2005</v>
      </c>
      <c r="C6956" s="51" t="s">
        <v>699</v>
      </c>
      <c r="D6956" t="s">
        <v>727</v>
      </c>
    </row>
    <row r="6957" spans="1:5" x14ac:dyDescent="0.25">
      <c r="A6957" s="32" t="s">
        <v>767</v>
      </c>
      <c r="B6957" s="7">
        <v>2005</v>
      </c>
      <c r="C6957" s="51" t="s">
        <v>709</v>
      </c>
      <c r="D6957" t="s">
        <v>727</v>
      </c>
      <c r="E6957" s="2">
        <v>0.13300000000000001</v>
      </c>
    </row>
    <row r="6958" spans="1:5" x14ac:dyDescent="0.25">
      <c r="A6958" s="32" t="s">
        <v>767</v>
      </c>
      <c r="B6958" s="7">
        <v>2005</v>
      </c>
      <c r="C6958" s="51" t="s">
        <v>712</v>
      </c>
      <c r="D6958" t="s">
        <v>727</v>
      </c>
      <c r="E6958" s="2">
        <v>0.20100000000000001</v>
      </c>
    </row>
    <row r="6959" spans="1:5" x14ac:dyDescent="0.25">
      <c r="A6959" s="32" t="s">
        <v>767</v>
      </c>
      <c r="B6959" s="7">
        <v>2005</v>
      </c>
      <c r="C6959" s="51" t="s">
        <v>710</v>
      </c>
      <c r="D6959" t="s">
        <v>727</v>
      </c>
      <c r="E6959" s="2">
        <v>0.16700000000000001</v>
      </c>
    </row>
    <row r="6960" spans="1:5" x14ac:dyDescent="0.25">
      <c r="A6960" s="32" t="s">
        <v>767</v>
      </c>
      <c r="B6960" s="7">
        <v>2005</v>
      </c>
      <c r="C6960" s="51" t="s">
        <v>702</v>
      </c>
      <c r="D6960" t="s">
        <v>727</v>
      </c>
      <c r="E6960" s="2">
        <v>0.20300000000000001</v>
      </c>
    </row>
    <row r="6961" spans="1:5" x14ac:dyDescent="0.25">
      <c r="A6961" s="32" t="s">
        <v>767</v>
      </c>
      <c r="B6961" s="7">
        <v>2005</v>
      </c>
      <c r="C6961" s="51" t="s">
        <v>703</v>
      </c>
      <c r="D6961" t="s">
        <v>727</v>
      </c>
      <c r="E6961" s="2">
        <v>0.14399999999999999</v>
      </c>
    </row>
    <row r="6962" spans="1:5" x14ac:dyDescent="0.25">
      <c r="A6962" s="32" t="s">
        <v>767</v>
      </c>
      <c r="B6962" s="7">
        <v>2005</v>
      </c>
      <c r="C6962" s="51" t="s">
        <v>704</v>
      </c>
      <c r="D6962" t="s">
        <v>727</v>
      </c>
      <c r="E6962" s="2">
        <v>0.183</v>
      </c>
    </row>
    <row r="6963" spans="1:5" x14ac:dyDescent="0.25">
      <c r="A6963" s="32" t="s">
        <v>767</v>
      </c>
      <c r="B6963" s="7">
        <v>2005</v>
      </c>
      <c r="C6963" s="51" t="s">
        <v>705</v>
      </c>
      <c r="D6963" t="s">
        <v>727</v>
      </c>
      <c r="E6963" s="2">
        <v>0.126</v>
      </c>
    </row>
    <row r="6964" spans="1:5" x14ac:dyDescent="0.25">
      <c r="A6964" s="32" t="s">
        <v>767</v>
      </c>
      <c r="B6964" s="7">
        <v>2005</v>
      </c>
      <c r="C6964" s="51" t="s">
        <v>706</v>
      </c>
      <c r="D6964" t="s">
        <v>727</v>
      </c>
      <c r="E6964" s="2">
        <v>0.123</v>
      </c>
    </row>
    <row r="6965" spans="1:5" x14ac:dyDescent="0.25">
      <c r="A6965" s="32" t="s">
        <v>767</v>
      </c>
      <c r="B6965" s="7">
        <v>2006</v>
      </c>
      <c r="C6965" s="51" t="s">
        <v>713</v>
      </c>
      <c r="D6965" t="s">
        <v>727</v>
      </c>
      <c r="E6965" s="2">
        <v>0.123</v>
      </c>
    </row>
    <row r="6966" spans="1:5" x14ac:dyDescent="0.25">
      <c r="A6966" s="32" t="s">
        <v>767</v>
      </c>
      <c r="B6966" s="7">
        <v>2006</v>
      </c>
      <c r="C6966" s="51" t="s">
        <v>707</v>
      </c>
      <c r="D6966" t="s">
        <v>727</v>
      </c>
      <c r="E6966" s="2">
        <v>0.122</v>
      </c>
    </row>
    <row r="6967" spans="1:5" x14ac:dyDescent="0.25">
      <c r="A6967" s="32" t="s">
        <v>767</v>
      </c>
      <c r="B6967" s="7">
        <v>2006</v>
      </c>
      <c r="C6967" s="51" t="s">
        <v>708</v>
      </c>
      <c r="D6967" t="s">
        <v>727</v>
      </c>
      <c r="E6967" s="2">
        <v>0.105</v>
      </c>
    </row>
    <row r="6968" spans="1:5" x14ac:dyDescent="0.25">
      <c r="A6968" s="32" t="s">
        <v>767</v>
      </c>
      <c r="B6968" s="7">
        <v>2006</v>
      </c>
      <c r="C6968" s="51" t="s">
        <v>699</v>
      </c>
      <c r="D6968" t="s">
        <v>727</v>
      </c>
      <c r="E6968" s="2">
        <v>0.121</v>
      </c>
    </row>
    <row r="6969" spans="1:5" x14ac:dyDescent="0.25">
      <c r="A6969" s="32" t="s">
        <v>767</v>
      </c>
      <c r="B6969" s="7">
        <v>2006</v>
      </c>
      <c r="C6969" s="51" t="s">
        <v>709</v>
      </c>
      <c r="D6969" t="s">
        <v>727</v>
      </c>
      <c r="E6969" s="2">
        <v>0.13</v>
      </c>
    </row>
    <row r="6970" spans="1:5" x14ac:dyDescent="0.25">
      <c r="A6970" s="32" t="s">
        <v>767</v>
      </c>
      <c r="B6970" s="7">
        <v>2006</v>
      </c>
      <c r="C6970" s="51" t="s">
        <v>712</v>
      </c>
      <c r="D6970" t="s">
        <v>727</v>
      </c>
      <c r="E6970" s="2">
        <v>1.0089999999999999</v>
      </c>
    </row>
    <row r="6971" spans="1:5" x14ac:dyDescent="0.25">
      <c r="A6971" s="32" t="s">
        <v>767</v>
      </c>
      <c r="B6971" s="7">
        <v>2006</v>
      </c>
      <c r="C6971" s="51" t="s">
        <v>710</v>
      </c>
      <c r="D6971" t="s">
        <v>727</v>
      </c>
      <c r="E6971" s="2">
        <v>0.191</v>
      </c>
    </row>
    <row r="6972" spans="1:5" x14ac:dyDescent="0.25">
      <c r="A6972" s="32" t="s">
        <v>767</v>
      </c>
      <c r="B6972" s="7">
        <v>2006</v>
      </c>
      <c r="C6972" s="51" t="s">
        <v>702</v>
      </c>
      <c r="D6972" t="s">
        <v>727</v>
      </c>
      <c r="E6972" s="2">
        <v>0.19700000000000001</v>
      </c>
    </row>
    <row r="6973" spans="1:5" x14ac:dyDescent="0.25">
      <c r="A6973" s="32" t="s">
        <v>767</v>
      </c>
      <c r="B6973" s="7">
        <v>2006</v>
      </c>
      <c r="C6973" s="51" t="s">
        <v>703</v>
      </c>
      <c r="D6973" t="s">
        <v>727</v>
      </c>
      <c r="E6973" s="2">
        <v>0.14599999999999999</v>
      </c>
    </row>
    <row r="6974" spans="1:5" x14ac:dyDescent="0.25">
      <c r="A6974" s="32" t="s">
        <v>767</v>
      </c>
      <c r="B6974" s="7">
        <v>2006</v>
      </c>
      <c r="C6974" s="51" t="s">
        <v>704</v>
      </c>
      <c r="D6974" t="s">
        <v>727</v>
      </c>
      <c r="E6974" s="2">
        <v>0.14099999999999999</v>
      </c>
    </row>
    <row r="6975" spans="1:5" x14ac:dyDescent="0.25">
      <c r="A6975" s="32" t="s">
        <v>767</v>
      </c>
      <c r="B6975" s="7">
        <v>2006</v>
      </c>
      <c r="C6975" s="51" t="s">
        <v>705</v>
      </c>
      <c r="D6975" t="s">
        <v>727</v>
      </c>
      <c r="E6975" s="2">
        <v>0.13800000000000001</v>
      </c>
    </row>
    <row r="6976" spans="1:5" x14ac:dyDescent="0.25">
      <c r="A6976" s="32" t="s">
        <v>767</v>
      </c>
      <c r="B6976" s="7">
        <v>2006</v>
      </c>
      <c r="C6976" s="51" t="s">
        <v>706</v>
      </c>
      <c r="D6976" t="s">
        <v>727</v>
      </c>
      <c r="E6976" s="2">
        <v>0.112</v>
      </c>
    </row>
    <row r="6977" spans="1:5" x14ac:dyDescent="0.25">
      <c r="A6977" s="32" t="s">
        <v>767</v>
      </c>
      <c r="B6977" s="7">
        <v>2007</v>
      </c>
      <c r="C6977" s="51" t="s">
        <v>713</v>
      </c>
      <c r="D6977" t="s">
        <v>727</v>
      </c>
      <c r="E6977" s="2">
        <v>0.13800000000000001</v>
      </c>
    </row>
    <row r="6978" spans="1:5" x14ac:dyDescent="0.25">
      <c r="A6978" s="32" t="s">
        <v>767</v>
      </c>
      <c r="B6978" s="7">
        <v>2007</v>
      </c>
      <c r="C6978" s="51" t="s">
        <v>707</v>
      </c>
      <c r="D6978" t="s">
        <v>727</v>
      </c>
      <c r="E6978" s="2">
        <v>0.161</v>
      </c>
    </row>
    <row r="6979" spans="1:5" x14ac:dyDescent="0.25">
      <c r="A6979" s="32" t="s">
        <v>767</v>
      </c>
      <c r="B6979" s="7">
        <v>2007</v>
      </c>
      <c r="C6979" s="51" t="s">
        <v>708</v>
      </c>
      <c r="D6979" t="s">
        <v>727</v>
      </c>
      <c r="E6979" s="2">
        <v>0.14299999999999999</v>
      </c>
    </row>
    <row r="6980" spans="1:5" x14ac:dyDescent="0.25">
      <c r="A6980" s="32" t="s">
        <v>767</v>
      </c>
      <c r="B6980" s="7">
        <v>2007</v>
      </c>
      <c r="C6980" s="51" t="s">
        <v>699</v>
      </c>
      <c r="D6980" t="s">
        <v>727</v>
      </c>
      <c r="E6980" s="2">
        <v>0.14499999999999999</v>
      </c>
    </row>
    <row r="6981" spans="1:5" x14ac:dyDescent="0.25">
      <c r="A6981" s="32" t="s">
        <v>767</v>
      </c>
      <c r="B6981" s="7">
        <v>2007</v>
      </c>
      <c r="C6981" s="51" t="s">
        <v>709</v>
      </c>
      <c r="D6981" t="s">
        <v>727</v>
      </c>
      <c r="E6981" s="2">
        <v>0.14199999999999999</v>
      </c>
    </row>
    <row r="6982" spans="1:5" x14ac:dyDescent="0.25">
      <c r="A6982" s="32" t="s">
        <v>767</v>
      </c>
      <c r="B6982" s="7">
        <v>2007</v>
      </c>
      <c r="C6982" s="51" t="s">
        <v>712</v>
      </c>
      <c r="D6982" t="s">
        <v>727</v>
      </c>
      <c r="E6982" s="2">
        <v>0.13900000000000001</v>
      </c>
    </row>
    <row r="6983" spans="1:5" x14ac:dyDescent="0.25">
      <c r="A6983" s="32" t="s">
        <v>767</v>
      </c>
      <c r="B6983" s="7">
        <v>2007</v>
      </c>
      <c r="C6983" s="51" t="s">
        <v>710</v>
      </c>
      <c r="D6983" t="s">
        <v>727</v>
      </c>
      <c r="E6983" s="2">
        <v>0.16500000000000001</v>
      </c>
    </row>
    <row r="6984" spans="1:5" x14ac:dyDescent="0.25">
      <c r="A6984" s="32" t="s">
        <v>767</v>
      </c>
      <c r="B6984" s="7">
        <v>2007</v>
      </c>
      <c r="C6984" s="51" t="s">
        <v>702</v>
      </c>
      <c r="D6984" t="s">
        <v>727</v>
      </c>
      <c r="E6984" s="2">
        <v>0.214</v>
      </c>
    </row>
    <row r="6985" spans="1:5" x14ac:dyDescent="0.25">
      <c r="A6985" s="32" t="s">
        <v>767</v>
      </c>
      <c r="B6985" s="7">
        <v>2007</v>
      </c>
      <c r="C6985" s="51" t="s">
        <v>703</v>
      </c>
      <c r="D6985" t="s">
        <v>727</v>
      </c>
      <c r="E6985" s="2">
        <v>0.16400000000000001</v>
      </c>
    </row>
    <row r="6986" spans="1:5" x14ac:dyDescent="0.25">
      <c r="A6986" s="32" t="s">
        <v>767</v>
      </c>
      <c r="B6986" s="7">
        <v>2007</v>
      </c>
      <c r="C6986" s="51" t="s">
        <v>704</v>
      </c>
      <c r="D6986" t="s">
        <v>727</v>
      </c>
      <c r="E6986" s="2">
        <v>0.14199999999999999</v>
      </c>
    </row>
    <row r="6987" spans="1:5" x14ac:dyDescent="0.25">
      <c r="A6987" s="32" t="s">
        <v>767</v>
      </c>
      <c r="B6987" s="7">
        <v>2007</v>
      </c>
      <c r="C6987" s="51" t="s">
        <v>705</v>
      </c>
      <c r="D6987" t="s">
        <v>727</v>
      </c>
      <c r="E6987" s="2">
        <v>0.13300000000000001</v>
      </c>
    </row>
    <row r="6988" spans="1:5" x14ac:dyDescent="0.25">
      <c r="A6988" s="32" t="s">
        <v>767</v>
      </c>
      <c r="B6988" s="7">
        <v>2007</v>
      </c>
      <c r="C6988" s="51" t="s">
        <v>706</v>
      </c>
      <c r="D6988" t="s">
        <v>727</v>
      </c>
      <c r="E6988" s="2">
        <v>0.22900000000000001</v>
      </c>
    </row>
    <row r="6989" spans="1:5" x14ac:dyDescent="0.25">
      <c r="A6989" s="32" t="s">
        <v>767</v>
      </c>
      <c r="B6989" s="7">
        <v>2008</v>
      </c>
      <c r="C6989" s="51" t="s">
        <v>713</v>
      </c>
      <c r="D6989" t="s">
        <v>727</v>
      </c>
      <c r="E6989" s="2">
        <v>0.15</v>
      </c>
    </row>
    <row r="6990" spans="1:5" x14ac:dyDescent="0.25">
      <c r="A6990" s="32" t="s">
        <v>767</v>
      </c>
      <c r="B6990" s="7">
        <v>2008</v>
      </c>
      <c r="C6990" s="51" t="s">
        <v>707</v>
      </c>
      <c r="D6990" t="s">
        <v>727</v>
      </c>
      <c r="E6990" s="2">
        <v>0.21099999999999999</v>
      </c>
    </row>
    <row r="6991" spans="1:5" x14ac:dyDescent="0.25">
      <c r="A6991" s="32" t="s">
        <v>767</v>
      </c>
      <c r="B6991" s="7">
        <v>2008</v>
      </c>
      <c r="C6991" s="51" t="s">
        <v>708</v>
      </c>
      <c r="D6991" t="s">
        <v>727</v>
      </c>
      <c r="E6991" s="2">
        <v>0.188</v>
      </c>
    </row>
    <row r="6992" spans="1:5" x14ac:dyDescent="0.25">
      <c r="A6992" s="32" t="s">
        <v>767</v>
      </c>
      <c r="B6992" s="7">
        <v>2008</v>
      </c>
      <c r="C6992" s="51" t="s">
        <v>699</v>
      </c>
      <c r="D6992" t="s">
        <v>727</v>
      </c>
      <c r="E6992" s="2">
        <v>0.39</v>
      </c>
    </row>
    <row r="6993" spans="1:5" x14ac:dyDescent="0.25">
      <c r="A6993" s="32" t="s">
        <v>767</v>
      </c>
      <c r="B6993" s="7">
        <v>2008</v>
      </c>
      <c r="C6993" s="51" t="s">
        <v>709</v>
      </c>
      <c r="D6993" t="s">
        <v>727</v>
      </c>
      <c r="E6993" s="2">
        <v>1.4990000000000001</v>
      </c>
    </row>
    <row r="6994" spans="1:5" x14ac:dyDescent="0.25">
      <c r="A6994" s="32" t="s">
        <v>767</v>
      </c>
      <c r="B6994" s="7">
        <v>2008</v>
      </c>
      <c r="C6994" s="51" t="s">
        <v>712</v>
      </c>
      <c r="D6994" t="s">
        <v>727</v>
      </c>
      <c r="E6994" s="2">
        <v>0.34100000000000003</v>
      </c>
    </row>
    <row r="6995" spans="1:5" x14ac:dyDescent="0.25">
      <c r="A6995" s="32" t="s">
        <v>767</v>
      </c>
      <c r="B6995" s="7">
        <v>2008</v>
      </c>
      <c r="C6995" s="51" t="s">
        <v>710</v>
      </c>
      <c r="D6995" t="s">
        <v>727</v>
      </c>
      <c r="E6995" s="2">
        <v>0.309</v>
      </c>
    </row>
    <row r="6996" spans="1:5" x14ac:dyDescent="0.25">
      <c r="A6996" s="32" t="s">
        <v>767</v>
      </c>
      <c r="B6996" s="7">
        <v>2008</v>
      </c>
      <c r="C6996" s="51" t="s">
        <v>702</v>
      </c>
      <c r="D6996" t="s">
        <v>727</v>
      </c>
      <c r="E6996" s="2">
        <v>0.31</v>
      </c>
    </row>
    <row r="6997" spans="1:5" x14ac:dyDescent="0.25">
      <c r="A6997" s="32" t="s">
        <v>767</v>
      </c>
      <c r="B6997" s="7">
        <v>2008</v>
      </c>
      <c r="C6997" s="51" t="s">
        <v>703</v>
      </c>
      <c r="D6997" t="s">
        <v>727</v>
      </c>
      <c r="E6997" s="2">
        <v>0.26</v>
      </c>
    </row>
    <row r="6998" spans="1:5" x14ac:dyDescent="0.25">
      <c r="A6998" s="32" t="s">
        <v>767</v>
      </c>
      <c r="B6998" s="7">
        <v>2008</v>
      </c>
      <c r="C6998" s="51" t="s">
        <v>704</v>
      </c>
      <c r="D6998" t="s">
        <v>727</v>
      </c>
      <c r="E6998" s="2">
        <v>0.15</v>
      </c>
    </row>
    <row r="6999" spans="1:5" x14ac:dyDescent="0.25">
      <c r="A6999" s="32" t="s">
        <v>767</v>
      </c>
      <c r="B6999" s="7">
        <v>2008</v>
      </c>
      <c r="C6999" s="51" t="s">
        <v>705</v>
      </c>
      <c r="D6999" t="s">
        <v>727</v>
      </c>
      <c r="E6999" s="2">
        <v>0.124</v>
      </c>
    </row>
    <row r="7000" spans="1:5" x14ac:dyDescent="0.25">
      <c r="A7000" s="32" t="s">
        <v>767</v>
      </c>
      <c r="B7000" s="7">
        <v>2008</v>
      </c>
      <c r="C7000" s="51" t="s">
        <v>706</v>
      </c>
      <c r="D7000" t="s">
        <v>727</v>
      </c>
      <c r="E7000" s="2">
        <v>0.20399999999999999</v>
      </c>
    </row>
    <row r="7001" spans="1:5" x14ac:dyDescent="0.25">
      <c r="A7001" s="32" t="s">
        <v>767</v>
      </c>
      <c r="B7001" s="7">
        <v>2009</v>
      </c>
      <c r="C7001" s="51" t="s">
        <v>713</v>
      </c>
      <c r="D7001" t="s">
        <v>727</v>
      </c>
      <c r="E7001" s="2">
        <v>0.182</v>
      </c>
    </row>
    <row r="7002" spans="1:5" x14ac:dyDescent="0.25">
      <c r="A7002" s="32" t="s">
        <v>767</v>
      </c>
      <c r="B7002" s="7">
        <v>2009</v>
      </c>
      <c r="C7002" s="51" t="s">
        <v>707</v>
      </c>
      <c r="D7002" t="s">
        <v>727</v>
      </c>
      <c r="E7002" s="2">
        <v>0.185</v>
      </c>
    </row>
    <row r="7003" spans="1:5" x14ac:dyDescent="0.25">
      <c r="A7003" s="32" t="s">
        <v>767</v>
      </c>
      <c r="B7003" s="7">
        <v>2009</v>
      </c>
      <c r="C7003" s="51" t="s">
        <v>708</v>
      </c>
      <c r="D7003" t="s">
        <v>727</v>
      </c>
      <c r="E7003" s="2">
        <v>0.13800000000000001</v>
      </c>
    </row>
    <row r="7004" spans="1:5" x14ac:dyDescent="0.25">
      <c r="A7004" s="32" t="s">
        <v>767</v>
      </c>
      <c r="B7004" s="7">
        <v>2009</v>
      </c>
      <c r="C7004" s="51" t="s">
        <v>699</v>
      </c>
      <c r="D7004" t="s">
        <v>727</v>
      </c>
      <c r="E7004" s="2">
        <v>0.15</v>
      </c>
    </row>
    <row r="7005" spans="1:5" x14ac:dyDescent="0.25">
      <c r="A7005" s="32" t="s">
        <v>767</v>
      </c>
      <c r="B7005" s="7">
        <v>2009</v>
      </c>
      <c r="C7005" s="51" t="s">
        <v>709</v>
      </c>
      <c r="D7005" t="s">
        <v>727</v>
      </c>
      <c r="E7005" s="2">
        <v>0.17699999999999999</v>
      </c>
    </row>
    <row r="7006" spans="1:5" x14ac:dyDescent="0.25">
      <c r="A7006" s="32" t="s">
        <v>767</v>
      </c>
      <c r="B7006" s="7">
        <v>2009</v>
      </c>
      <c r="C7006" s="51" t="s">
        <v>712</v>
      </c>
      <c r="D7006" t="s">
        <v>727</v>
      </c>
      <c r="E7006" s="2">
        <v>0.16200000000000001</v>
      </c>
    </row>
    <row r="7007" spans="1:5" x14ac:dyDescent="0.25">
      <c r="A7007" s="32" t="s">
        <v>767</v>
      </c>
      <c r="B7007" s="7">
        <v>2009</v>
      </c>
      <c r="C7007" s="51" t="s">
        <v>710</v>
      </c>
      <c r="D7007" t="s">
        <v>727</v>
      </c>
      <c r="E7007" s="2">
        <v>0.17100000000000001</v>
      </c>
    </row>
    <row r="7008" spans="1:5" x14ac:dyDescent="0.25">
      <c r="A7008" s="32" t="s">
        <v>767</v>
      </c>
      <c r="B7008" s="7">
        <v>2009</v>
      </c>
      <c r="C7008" s="51" t="s">
        <v>702</v>
      </c>
      <c r="D7008" t="s">
        <v>727</v>
      </c>
      <c r="E7008" s="2">
        <v>0.21</v>
      </c>
    </row>
    <row r="7009" spans="1:5" x14ac:dyDescent="0.25">
      <c r="A7009" s="32" t="s">
        <v>767</v>
      </c>
      <c r="B7009" s="7">
        <v>2009</v>
      </c>
      <c r="C7009" s="51" t="s">
        <v>703</v>
      </c>
      <c r="D7009" t="s">
        <v>727</v>
      </c>
      <c r="E7009" s="2">
        <v>0.17199999999999999</v>
      </c>
    </row>
    <row r="7010" spans="1:5" x14ac:dyDescent="0.25">
      <c r="A7010" s="32" t="s">
        <v>767</v>
      </c>
      <c r="B7010" s="7">
        <v>2009</v>
      </c>
      <c r="C7010" s="51" t="s">
        <v>704</v>
      </c>
      <c r="D7010" t="s">
        <v>727</v>
      </c>
      <c r="E7010" s="2">
        <v>0.16600000000000001</v>
      </c>
    </row>
    <row r="7011" spans="1:5" x14ac:dyDescent="0.25">
      <c r="A7011" s="32" t="s">
        <v>767</v>
      </c>
      <c r="B7011" s="7">
        <v>2009</v>
      </c>
      <c r="C7011" s="51" t="s">
        <v>705</v>
      </c>
      <c r="D7011" t="s">
        <v>727</v>
      </c>
      <c r="E7011" s="2">
        <v>0.13600000000000001</v>
      </c>
    </row>
    <row r="7012" spans="1:5" x14ac:dyDescent="0.25">
      <c r="A7012" s="32" t="s">
        <v>767</v>
      </c>
      <c r="B7012" s="7">
        <v>2009</v>
      </c>
      <c r="C7012" s="51" t="s">
        <v>706</v>
      </c>
      <c r="D7012" t="s">
        <v>727</v>
      </c>
      <c r="E7012" s="2">
        <v>0.158</v>
      </c>
    </row>
    <row r="7013" spans="1:5" x14ac:dyDescent="0.25">
      <c r="A7013" s="32" t="s">
        <v>767</v>
      </c>
      <c r="B7013" s="7">
        <v>2010</v>
      </c>
      <c r="C7013" s="51" t="s">
        <v>713</v>
      </c>
      <c r="D7013" t="s">
        <v>727</v>
      </c>
      <c r="E7013" s="2">
        <v>0.14000000000000001</v>
      </c>
    </row>
    <row r="7014" spans="1:5" x14ac:dyDescent="0.25">
      <c r="A7014" s="32" t="s">
        <v>767</v>
      </c>
      <c r="B7014" s="7">
        <v>2010</v>
      </c>
      <c r="C7014" s="51" t="s">
        <v>707</v>
      </c>
      <c r="D7014" t="s">
        <v>727</v>
      </c>
      <c r="E7014" s="2">
        <v>0.16</v>
      </c>
    </row>
    <row r="7015" spans="1:5" x14ac:dyDescent="0.25">
      <c r="A7015" s="32" t="s">
        <v>767</v>
      </c>
      <c r="B7015" s="7">
        <v>2010</v>
      </c>
      <c r="C7015" s="51" t="s">
        <v>708</v>
      </c>
      <c r="D7015" t="s">
        <v>727</v>
      </c>
      <c r="E7015" s="2">
        <v>0.187</v>
      </c>
    </row>
    <row r="7016" spans="1:5" x14ac:dyDescent="0.25">
      <c r="A7016" s="32" t="s">
        <v>767</v>
      </c>
      <c r="B7016" s="7">
        <v>2010</v>
      </c>
      <c r="C7016" s="51" t="s">
        <v>699</v>
      </c>
      <c r="D7016" t="s">
        <v>727</v>
      </c>
      <c r="E7016" s="2">
        <v>0.14000000000000001</v>
      </c>
    </row>
    <row r="7017" spans="1:5" x14ac:dyDescent="0.25">
      <c r="A7017" s="32" t="s">
        <v>767</v>
      </c>
      <c r="B7017" s="7">
        <v>2010</v>
      </c>
      <c r="C7017" s="51" t="s">
        <v>709</v>
      </c>
      <c r="D7017" t="s">
        <v>727</v>
      </c>
      <c r="E7017" s="2">
        <v>0.161</v>
      </c>
    </row>
    <row r="7018" spans="1:5" x14ac:dyDescent="0.25">
      <c r="A7018" s="32" t="s">
        <v>767</v>
      </c>
      <c r="B7018" s="7">
        <v>2010</v>
      </c>
      <c r="C7018" s="51" t="s">
        <v>712</v>
      </c>
      <c r="D7018" t="s">
        <v>727</v>
      </c>
      <c r="E7018" s="2">
        <v>0.15</v>
      </c>
    </row>
    <row r="7019" spans="1:5" x14ac:dyDescent="0.25">
      <c r="A7019" s="32" t="s">
        <v>767</v>
      </c>
      <c r="B7019" s="7">
        <v>2010</v>
      </c>
      <c r="C7019" s="51" t="s">
        <v>710</v>
      </c>
      <c r="D7019" t="s">
        <v>727</v>
      </c>
      <c r="E7019" s="2">
        <v>0.124</v>
      </c>
    </row>
    <row r="7020" spans="1:5" x14ac:dyDescent="0.25">
      <c r="A7020" s="32" t="s">
        <v>767</v>
      </c>
      <c r="B7020" s="7">
        <v>2010</v>
      </c>
      <c r="C7020" s="51" t="s">
        <v>702</v>
      </c>
      <c r="D7020" t="s">
        <v>727</v>
      </c>
    </row>
    <row r="7021" spans="1:5" x14ac:dyDescent="0.25">
      <c r="A7021" s="32" t="s">
        <v>767</v>
      </c>
      <c r="B7021" s="7">
        <v>2010</v>
      </c>
      <c r="C7021" s="51" t="s">
        <v>703</v>
      </c>
      <c r="D7021" t="s">
        <v>727</v>
      </c>
      <c r="E7021" s="2">
        <v>0.26300000000000001</v>
      </c>
    </row>
    <row r="7022" spans="1:5" x14ac:dyDescent="0.25">
      <c r="A7022" s="32" t="s">
        <v>767</v>
      </c>
      <c r="B7022" s="7">
        <v>2010</v>
      </c>
      <c r="C7022" s="51" t="s">
        <v>704</v>
      </c>
      <c r="D7022" t="s">
        <v>727</v>
      </c>
      <c r="E7022" s="2">
        <v>0.223</v>
      </c>
    </row>
    <row r="7023" spans="1:5" x14ac:dyDescent="0.25">
      <c r="A7023" s="32" t="s">
        <v>767</v>
      </c>
      <c r="B7023" s="7">
        <v>2010</v>
      </c>
      <c r="C7023" s="51" t="s">
        <v>705</v>
      </c>
      <c r="D7023" t="s">
        <v>727</v>
      </c>
      <c r="E7023" s="2">
        <v>0.14000000000000001</v>
      </c>
    </row>
    <row r="7024" spans="1:5" x14ac:dyDescent="0.25">
      <c r="A7024" s="32" t="s">
        <v>767</v>
      </c>
      <c r="B7024" s="7">
        <v>2010</v>
      </c>
      <c r="C7024" s="51" t="s">
        <v>706</v>
      </c>
      <c r="D7024" t="s">
        <v>727</v>
      </c>
      <c r="E7024" s="2">
        <v>0.13100000000000001</v>
      </c>
    </row>
    <row r="7025" spans="1:5" x14ac:dyDescent="0.25">
      <c r="A7025" s="32" t="s">
        <v>767</v>
      </c>
      <c r="B7025" s="7">
        <v>2011</v>
      </c>
      <c r="C7025" s="51" t="s">
        <v>713</v>
      </c>
      <c r="D7025" t="s">
        <v>727</v>
      </c>
      <c r="E7025" s="2">
        <v>0.13300000000000001</v>
      </c>
    </row>
    <row r="7026" spans="1:5" x14ac:dyDescent="0.25">
      <c r="A7026" s="32" t="s">
        <v>767</v>
      </c>
      <c r="B7026" s="7">
        <v>2011</v>
      </c>
      <c r="C7026" s="51" t="s">
        <v>707</v>
      </c>
      <c r="D7026" t="s">
        <v>727</v>
      </c>
      <c r="E7026" s="2">
        <v>0.14000000000000001</v>
      </c>
    </row>
    <row r="7027" spans="1:5" x14ac:dyDescent="0.25">
      <c r="A7027" s="32" t="s">
        <v>767</v>
      </c>
      <c r="B7027" s="7">
        <v>2011</v>
      </c>
      <c r="C7027" s="51" t="s">
        <v>708</v>
      </c>
      <c r="D7027" t="s">
        <v>727</v>
      </c>
      <c r="E7027" s="2">
        <v>0.14399999999999999</v>
      </c>
    </row>
    <row r="7028" spans="1:5" x14ac:dyDescent="0.25">
      <c r="A7028" s="32" t="s">
        <v>767</v>
      </c>
      <c r="B7028" s="7">
        <v>2011</v>
      </c>
      <c r="C7028" s="51" t="s">
        <v>699</v>
      </c>
      <c r="D7028" t="s">
        <v>727</v>
      </c>
      <c r="E7028" s="2">
        <v>0.48299999999999998</v>
      </c>
    </row>
    <row r="7029" spans="1:5" x14ac:dyDescent="0.25">
      <c r="A7029" s="32" t="s">
        <v>767</v>
      </c>
      <c r="B7029" s="7">
        <v>2011</v>
      </c>
      <c r="C7029" s="51" t="s">
        <v>709</v>
      </c>
      <c r="D7029" t="s">
        <v>727</v>
      </c>
      <c r="E7029" s="2">
        <v>0.499</v>
      </c>
    </row>
    <row r="7030" spans="1:5" x14ac:dyDescent="0.25">
      <c r="A7030" s="32" t="s">
        <v>767</v>
      </c>
      <c r="B7030" s="7">
        <v>2011</v>
      </c>
      <c r="C7030" s="51" t="s">
        <v>712</v>
      </c>
      <c r="D7030" t="s">
        <v>727</v>
      </c>
      <c r="E7030" s="2">
        <v>0.46700000000000003</v>
      </c>
    </row>
    <row r="7031" spans="1:5" x14ac:dyDescent="0.25">
      <c r="A7031" s="32" t="s">
        <v>767</v>
      </c>
      <c r="B7031" s="7">
        <v>2011</v>
      </c>
      <c r="C7031" s="51" t="s">
        <v>710</v>
      </c>
      <c r="D7031" t="s">
        <v>727</v>
      </c>
      <c r="E7031" s="2">
        <v>0.45800000000000002</v>
      </c>
    </row>
    <row r="7032" spans="1:5" x14ac:dyDescent="0.25">
      <c r="A7032" s="32" t="s">
        <v>767</v>
      </c>
      <c r="B7032" s="7">
        <v>2011</v>
      </c>
      <c r="C7032" s="51" t="s">
        <v>702</v>
      </c>
      <c r="D7032" t="s">
        <v>727</v>
      </c>
      <c r="E7032" s="2">
        <v>0.13800000000000001</v>
      </c>
    </row>
    <row r="7033" spans="1:5" x14ac:dyDescent="0.25">
      <c r="A7033" s="32" t="s">
        <v>767</v>
      </c>
      <c r="B7033" s="7">
        <v>2011</v>
      </c>
      <c r="C7033" s="51" t="s">
        <v>703</v>
      </c>
      <c r="D7033" t="s">
        <v>727</v>
      </c>
      <c r="E7033" s="2">
        <v>0.59899999999999998</v>
      </c>
    </row>
    <row r="7034" spans="1:5" x14ac:dyDescent="0.25">
      <c r="A7034" s="32" t="s">
        <v>767</v>
      </c>
      <c r="B7034" s="7">
        <v>2011</v>
      </c>
      <c r="C7034" s="51" t="s">
        <v>704</v>
      </c>
      <c r="D7034" t="s">
        <v>727</v>
      </c>
      <c r="E7034" s="2">
        <v>0.251</v>
      </c>
    </row>
    <row r="7035" spans="1:5" x14ac:dyDescent="0.25">
      <c r="A7035" s="32" t="s">
        <v>767</v>
      </c>
      <c r="B7035" s="7">
        <v>2011</v>
      </c>
      <c r="C7035" s="51" t="s">
        <v>705</v>
      </c>
      <c r="D7035" t="s">
        <v>727</v>
      </c>
      <c r="E7035" s="2">
        <v>0.29199999999999998</v>
      </c>
    </row>
    <row r="7036" spans="1:5" x14ac:dyDescent="0.25">
      <c r="A7036" s="32" t="s">
        <v>767</v>
      </c>
      <c r="B7036" s="7">
        <v>2011</v>
      </c>
      <c r="C7036" s="51" t="s">
        <v>706</v>
      </c>
      <c r="D7036" t="s">
        <v>727</v>
      </c>
      <c r="E7036" s="2">
        <v>0.30399999999999999</v>
      </c>
    </row>
    <row r="7037" spans="1:5" x14ac:dyDescent="0.25">
      <c r="A7037" s="32" t="s">
        <v>767</v>
      </c>
      <c r="B7037" s="7">
        <v>2012</v>
      </c>
      <c r="C7037" s="51" t="s">
        <v>713</v>
      </c>
      <c r="D7037" t="s">
        <v>727</v>
      </c>
      <c r="E7037" s="2">
        <v>0.24299999999999999</v>
      </c>
    </row>
    <row r="7038" spans="1:5" x14ac:dyDescent="0.25">
      <c r="A7038" s="32" t="s">
        <v>767</v>
      </c>
      <c r="B7038" s="7">
        <v>2012</v>
      </c>
      <c r="C7038" s="51" t="s">
        <v>707</v>
      </c>
      <c r="D7038" t="s">
        <v>727</v>
      </c>
      <c r="E7038" s="2">
        <v>0.188</v>
      </c>
    </row>
    <row r="7039" spans="1:5" x14ac:dyDescent="0.25">
      <c r="A7039" s="32" t="s">
        <v>767</v>
      </c>
      <c r="B7039" s="7">
        <v>2012</v>
      </c>
      <c r="C7039" s="51" t="s">
        <v>708</v>
      </c>
      <c r="D7039" t="s">
        <v>727</v>
      </c>
      <c r="E7039" s="2">
        <v>0.25900000000000001</v>
      </c>
    </row>
    <row r="7040" spans="1:5" x14ac:dyDescent="0.25">
      <c r="A7040" s="32" t="s">
        <v>767</v>
      </c>
      <c r="B7040" s="7">
        <v>2012</v>
      </c>
      <c r="C7040" s="51" t="s">
        <v>699</v>
      </c>
      <c r="D7040" t="s">
        <v>727</v>
      </c>
      <c r="E7040" s="2">
        <v>0.11700000000000001</v>
      </c>
    </row>
    <row r="7041" spans="1:5" x14ac:dyDescent="0.25">
      <c r="A7041" s="32" t="s">
        <v>767</v>
      </c>
      <c r="B7041" s="7">
        <v>2012</v>
      </c>
      <c r="C7041" s="51" t="s">
        <v>709</v>
      </c>
      <c r="D7041" t="s">
        <v>727</v>
      </c>
      <c r="E7041" s="2">
        <v>0.12</v>
      </c>
    </row>
    <row r="7042" spans="1:5" x14ac:dyDescent="0.25">
      <c r="A7042" s="32" t="s">
        <v>767</v>
      </c>
      <c r="B7042" s="7">
        <v>2012</v>
      </c>
      <c r="C7042" s="51" t="s">
        <v>712</v>
      </c>
      <c r="D7042" t="s">
        <v>727</v>
      </c>
      <c r="E7042" s="2">
        <v>0.20100000000000001</v>
      </c>
    </row>
    <row r="7043" spans="1:5" x14ac:dyDescent="0.25">
      <c r="A7043" s="32" t="s">
        <v>767</v>
      </c>
      <c r="B7043" s="7">
        <v>2012</v>
      </c>
      <c r="C7043" s="51" t="s">
        <v>710</v>
      </c>
      <c r="D7043" t="s">
        <v>727</v>
      </c>
      <c r="E7043" s="2">
        <v>0.22500000000000001</v>
      </c>
    </row>
    <row r="7044" spans="1:5" x14ac:dyDescent="0.25">
      <c r="A7044" s="32" t="s">
        <v>767</v>
      </c>
      <c r="B7044" s="7">
        <v>2012</v>
      </c>
      <c r="C7044" s="51" t="s">
        <v>702</v>
      </c>
      <c r="D7044" t="s">
        <v>727</v>
      </c>
      <c r="E7044" s="2">
        <v>0.16300000000000001</v>
      </c>
    </row>
    <row r="7045" spans="1:5" x14ac:dyDescent="0.25">
      <c r="A7045" s="32" t="s">
        <v>767</v>
      </c>
      <c r="B7045" s="7">
        <v>2012</v>
      </c>
      <c r="C7045" s="51" t="s">
        <v>703</v>
      </c>
      <c r="D7045" t="s">
        <v>727</v>
      </c>
      <c r="E7045" s="2">
        <v>0.187</v>
      </c>
    </row>
    <row r="7046" spans="1:5" x14ac:dyDescent="0.25">
      <c r="A7046" s="32" t="s">
        <v>767</v>
      </c>
      <c r="B7046" s="7">
        <v>2012</v>
      </c>
      <c r="C7046" s="51" t="s">
        <v>704</v>
      </c>
      <c r="D7046" t="s">
        <v>727</v>
      </c>
      <c r="E7046" s="2">
        <v>0.183</v>
      </c>
    </row>
    <row r="7047" spans="1:5" x14ac:dyDescent="0.25">
      <c r="A7047" s="32" t="s">
        <v>767</v>
      </c>
      <c r="B7047" s="7">
        <v>2012</v>
      </c>
      <c r="C7047" s="51" t="s">
        <v>705</v>
      </c>
      <c r="D7047" t="s">
        <v>727</v>
      </c>
      <c r="E7047" s="2">
        <v>0.14299999999999999</v>
      </c>
    </row>
    <row r="7048" spans="1:5" x14ac:dyDescent="0.25">
      <c r="A7048" s="32" t="s">
        <v>767</v>
      </c>
      <c r="B7048" s="7">
        <v>2012</v>
      </c>
      <c r="C7048" s="51" t="s">
        <v>706</v>
      </c>
      <c r="D7048" t="s">
        <v>727</v>
      </c>
      <c r="E7048" s="2">
        <v>0.14099999999999999</v>
      </c>
    </row>
    <row r="7049" spans="1:5" x14ac:dyDescent="0.25">
      <c r="A7049" s="32" t="s">
        <v>767</v>
      </c>
      <c r="B7049" s="7">
        <v>2013</v>
      </c>
      <c r="C7049" s="51" t="s">
        <v>713</v>
      </c>
      <c r="D7049" t="s">
        <v>727</v>
      </c>
      <c r="E7049" s="2">
        <v>0.30399999999999999</v>
      </c>
    </row>
    <row r="7050" spans="1:5" x14ac:dyDescent="0.25">
      <c r="A7050" s="32" t="s">
        <v>767</v>
      </c>
      <c r="B7050" s="7">
        <v>2013</v>
      </c>
      <c r="C7050" s="51" t="s">
        <v>707</v>
      </c>
      <c r="D7050" t="s">
        <v>727</v>
      </c>
      <c r="E7050" s="2">
        <v>0.13500000000000001</v>
      </c>
    </row>
    <row r="7051" spans="1:5" x14ac:dyDescent="0.25">
      <c r="A7051" s="32" t="s">
        <v>767</v>
      </c>
      <c r="B7051" s="7">
        <v>2013</v>
      </c>
      <c r="C7051" s="51" t="s">
        <v>708</v>
      </c>
      <c r="D7051" t="s">
        <v>727</v>
      </c>
      <c r="E7051" s="2">
        <v>0.14599999999999999</v>
      </c>
    </row>
    <row r="7052" spans="1:5" x14ac:dyDescent="0.25">
      <c r="A7052" s="32" t="s">
        <v>767</v>
      </c>
      <c r="B7052" s="7">
        <v>2013</v>
      </c>
      <c r="C7052" s="51" t="s">
        <v>699</v>
      </c>
      <c r="D7052" t="s">
        <v>727</v>
      </c>
      <c r="E7052" s="2">
        <v>0.16</v>
      </c>
    </row>
    <row r="7053" spans="1:5" x14ac:dyDescent="0.25">
      <c r="A7053" s="32" t="s">
        <v>767</v>
      </c>
      <c r="B7053" s="7">
        <v>2013</v>
      </c>
      <c r="C7053" s="51" t="s">
        <v>709</v>
      </c>
      <c r="D7053" t="s">
        <v>727</v>
      </c>
      <c r="E7053" s="2">
        <v>0.18</v>
      </c>
    </row>
    <row r="7054" spans="1:5" x14ac:dyDescent="0.25">
      <c r="A7054" s="32" t="s">
        <v>767</v>
      </c>
      <c r="B7054" s="7">
        <v>2013</v>
      </c>
      <c r="C7054" s="51" t="s">
        <v>712</v>
      </c>
      <c r="D7054" t="s">
        <v>727</v>
      </c>
      <c r="E7054" s="2">
        <v>0.17299999999999999</v>
      </c>
    </row>
    <row r="7055" spans="1:5" x14ac:dyDescent="0.25">
      <c r="A7055" s="32" t="s">
        <v>767</v>
      </c>
      <c r="B7055" s="7">
        <v>2013</v>
      </c>
      <c r="C7055" s="51" t="s">
        <v>710</v>
      </c>
      <c r="D7055" t="s">
        <v>727</v>
      </c>
      <c r="E7055" s="2">
        <v>0.16900000000000001</v>
      </c>
    </row>
    <row r="7056" spans="1:5" x14ac:dyDescent="0.25">
      <c r="A7056" s="32" t="s">
        <v>767</v>
      </c>
      <c r="B7056" s="7">
        <v>2013</v>
      </c>
      <c r="C7056" s="51" t="s">
        <v>702</v>
      </c>
      <c r="D7056" t="s">
        <v>727</v>
      </c>
      <c r="E7056" s="2">
        <v>0.24099999999999999</v>
      </c>
    </row>
    <row r="7057" spans="1:5" x14ac:dyDescent="0.25">
      <c r="A7057" s="32" t="s">
        <v>767</v>
      </c>
      <c r="B7057" s="7">
        <v>2013</v>
      </c>
      <c r="C7057" s="51" t="s">
        <v>703</v>
      </c>
      <c r="D7057" t="s">
        <v>727</v>
      </c>
      <c r="E7057" s="2">
        <v>0.16200000000000001</v>
      </c>
    </row>
    <row r="7058" spans="1:5" x14ac:dyDescent="0.25">
      <c r="A7058" s="32" t="s">
        <v>767</v>
      </c>
      <c r="B7058" s="7">
        <v>2013</v>
      </c>
      <c r="C7058" s="51" t="s">
        <v>704</v>
      </c>
      <c r="D7058" t="s">
        <v>727</v>
      </c>
      <c r="E7058" s="2">
        <v>0.17899999999999999</v>
      </c>
    </row>
    <row r="7059" spans="1:5" x14ac:dyDescent="0.25">
      <c r="A7059" s="32" t="s">
        <v>767</v>
      </c>
      <c r="B7059" s="7">
        <v>2013</v>
      </c>
      <c r="C7059" s="51" t="s">
        <v>705</v>
      </c>
      <c r="D7059" t="s">
        <v>727</v>
      </c>
      <c r="E7059" s="2">
        <v>0.14799999999999999</v>
      </c>
    </row>
    <row r="7060" spans="1:5" x14ac:dyDescent="0.25">
      <c r="A7060" s="32" t="s">
        <v>767</v>
      </c>
      <c r="B7060" s="7">
        <v>2013</v>
      </c>
      <c r="C7060" s="51" t="s">
        <v>706</v>
      </c>
      <c r="D7060" t="s">
        <v>727</v>
      </c>
      <c r="E7060" s="2">
        <v>0.159</v>
      </c>
    </row>
    <row r="7061" spans="1:5" x14ac:dyDescent="0.25">
      <c r="A7061" s="32" t="s">
        <v>767</v>
      </c>
      <c r="B7061" s="7">
        <v>2014</v>
      </c>
      <c r="C7061" s="51" t="s">
        <v>713</v>
      </c>
      <c r="D7061" t="s">
        <v>727</v>
      </c>
      <c r="E7061" s="2">
        <v>0.152</v>
      </c>
    </row>
    <row r="7062" spans="1:5" x14ac:dyDescent="0.25">
      <c r="A7062" s="32" t="s">
        <v>767</v>
      </c>
      <c r="B7062" s="7">
        <v>2014</v>
      </c>
      <c r="C7062" s="51" t="s">
        <v>707</v>
      </c>
      <c r="D7062" t="s">
        <v>727</v>
      </c>
      <c r="E7062" s="2">
        <v>0.187</v>
      </c>
    </row>
    <row r="7063" spans="1:5" x14ac:dyDescent="0.25">
      <c r="A7063" s="32" t="s">
        <v>767</v>
      </c>
      <c r="B7063" s="7">
        <v>2014</v>
      </c>
      <c r="C7063" s="51" t="s">
        <v>708</v>
      </c>
      <c r="D7063" t="s">
        <v>727</v>
      </c>
      <c r="E7063" s="2">
        <v>0.186</v>
      </c>
    </row>
    <row r="7064" spans="1:5" x14ac:dyDescent="0.25">
      <c r="A7064" s="32" t="s">
        <v>767</v>
      </c>
      <c r="B7064" s="7">
        <v>2014</v>
      </c>
      <c r="C7064" s="51" t="s">
        <v>699</v>
      </c>
      <c r="D7064" t="s">
        <v>727</v>
      </c>
      <c r="E7064" s="2">
        <v>0.183</v>
      </c>
    </row>
    <row r="7065" spans="1:5" x14ac:dyDescent="0.25">
      <c r="A7065" s="32" t="s">
        <v>767</v>
      </c>
      <c r="B7065" s="7">
        <v>2014</v>
      </c>
      <c r="C7065" s="51" t="s">
        <v>709</v>
      </c>
      <c r="D7065" t="s">
        <v>727</v>
      </c>
      <c r="E7065" s="2">
        <v>0.23300000000000001</v>
      </c>
    </row>
    <row r="7066" spans="1:5" x14ac:dyDescent="0.25">
      <c r="A7066" s="32" t="s">
        <v>767</v>
      </c>
      <c r="B7066" s="7">
        <v>2014</v>
      </c>
      <c r="C7066" s="51" t="s">
        <v>712</v>
      </c>
      <c r="D7066" t="s">
        <v>727</v>
      </c>
      <c r="E7066" s="2">
        <v>0.17599999999999999</v>
      </c>
    </row>
    <row r="7067" spans="1:5" x14ac:dyDescent="0.25">
      <c r="A7067" s="32" t="s">
        <v>767</v>
      </c>
      <c r="B7067" s="7">
        <v>2014</v>
      </c>
      <c r="C7067" s="51" t="s">
        <v>710</v>
      </c>
      <c r="D7067" t="s">
        <v>727</v>
      </c>
      <c r="E7067" s="2">
        <v>0.14899999999999999</v>
      </c>
    </row>
    <row r="7068" spans="1:5" x14ac:dyDescent="0.25">
      <c r="A7068" s="32" t="s">
        <v>767</v>
      </c>
      <c r="B7068" s="7">
        <v>2014</v>
      </c>
      <c r="C7068" s="51" t="s">
        <v>702</v>
      </c>
      <c r="D7068" t="s">
        <v>727</v>
      </c>
      <c r="E7068" s="2">
        <v>0.23799999999999999</v>
      </c>
    </row>
    <row r="7069" spans="1:5" x14ac:dyDescent="0.25">
      <c r="A7069" s="32" t="s">
        <v>767</v>
      </c>
      <c r="B7069" s="7">
        <v>2014</v>
      </c>
      <c r="C7069" s="51" t="s">
        <v>703</v>
      </c>
      <c r="D7069" t="s">
        <v>727</v>
      </c>
      <c r="E7069" s="2">
        <v>0.161</v>
      </c>
    </row>
    <row r="7070" spans="1:5" x14ac:dyDescent="0.25">
      <c r="A7070" s="32" t="s">
        <v>767</v>
      </c>
      <c r="B7070" s="7">
        <v>2014</v>
      </c>
      <c r="C7070" s="51" t="s">
        <v>704</v>
      </c>
      <c r="D7070" t="s">
        <v>727</v>
      </c>
      <c r="E7070" s="2">
        <v>0.16300000000000001</v>
      </c>
    </row>
    <row r="7071" spans="1:5" x14ac:dyDescent="0.25">
      <c r="A7071" s="32" t="s">
        <v>767</v>
      </c>
      <c r="B7071" s="7">
        <v>2014</v>
      </c>
      <c r="C7071" s="51" t="s">
        <v>705</v>
      </c>
      <c r="D7071" t="s">
        <v>727</v>
      </c>
      <c r="E7071" s="2">
        <v>0.13700000000000001</v>
      </c>
    </row>
    <row r="7072" spans="1:5" x14ac:dyDescent="0.25">
      <c r="A7072" s="32" t="s">
        <v>767</v>
      </c>
      <c r="B7072" s="7">
        <v>2014</v>
      </c>
      <c r="C7072" s="51" t="s">
        <v>706</v>
      </c>
      <c r="D7072" t="s">
        <v>727</v>
      </c>
      <c r="E7072" s="2">
        <v>0.14699999999999999</v>
      </c>
    </row>
    <row r="7073" spans="1:5" x14ac:dyDescent="0.25">
      <c r="A7073" s="32" t="s">
        <v>767</v>
      </c>
      <c r="B7073" s="7">
        <v>2015</v>
      </c>
      <c r="C7073" s="51" t="s">
        <v>713</v>
      </c>
      <c r="D7073" t="s">
        <v>727</v>
      </c>
      <c r="E7073" s="2">
        <v>0.129</v>
      </c>
    </row>
    <row r="7074" spans="1:5" x14ac:dyDescent="0.25">
      <c r="A7074" s="32" t="s">
        <v>767</v>
      </c>
      <c r="B7074" s="7">
        <v>2015</v>
      </c>
      <c r="C7074" s="51" t="s">
        <v>707</v>
      </c>
      <c r="D7074" t="s">
        <v>727</v>
      </c>
      <c r="E7074" s="2">
        <v>0.13300000000000001</v>
      </c>
    </row>
    <row r="7075" spans="1:5" x14ac:dyDescent="0.25">
      <c r="A7075" s="32" t="s">
        <v>767</v>
      </c>
      <c r="B7075" s="7">
        <v>2015</v>
      </c>
      <c r="C7075" s="51" t="s">
        <v>708</v>
      </c>
      <c r="D7075" t="s">
        <v>727</v>
      </c>
      <c r="E7075" s="2">
        <v>0.13300000000000001</v>
      </c>
    </row>
    <row r="7076" spans="1:5" x14ac:dyDescent="0.25">
      <c r="A7076" s="32" t="s">
        <v>767</v>
      </c>
      <c r="B7076" s="7">
        <v>2015</v>
      </c>
      <c r="C7076" s="51" t="s">
        <v>699</v>
      </c>
      <c r="D7076" t="s">
        <v>727</v>
      </c>
      <c r="E7076" s="2">
        <v>0.14799999999999999</v>
      </c>
    </row>
    <row r="7077" spans="1:5" x14ac:dyDescent="0.25">
      <c r="A7077" s="32" t="s">
        <v>767</v>
      </c>
      <c r="B7077" s="7">
        <v>2015</v>
      </c>
      <c r="C7077" s="51" t="s">
        <v>709</v>
      </c>
      <c r="D7077" t="s">
        <v>727</v>
      </c>
      <c r="E7077" s="2">
        <v>0.14899999999999999</v>
      </c>
    </row>
    <row r="7078" spans="1:5" x14ac:dyDescent="0.25">
      <c r="A7078" s="32" t="s">
        <v>767</v>
      </c>
      <c r="B7078" s="7">
        <v>2015</v>
      </c>
      <c r="C7078" s="51" t="s">
        <v>712</v>
      </c>
      <c r="D7078" t="s">
        <v>727</v>
      </c>
      <c r="E7078" s="2">
        <v>0.155</v>
      </c>
    </row>
    <row r="7079" spans="1:5" x14ac:dyDescent="0.25">
      <c r="A7079" s="32" t="s">
        <v>767</v>
      </c>
      <c r="B7079" s="7">
        <v>2015</v>
      </c>
      <c r="C7079" s="51" t="s">
        <v>710</v>
      </c>
      <c r="D7079" t="s">
        <v>727</v>
      </c>
      <c r="E7079" s="2">
        <v>0.16700000000000001</v>
      </c>
    </row>
    <row r="7080" spans="1:5" x14ac:dyDescent="0.25">
      <c r="A7080" s="32" t="s">
        <v>767</v>
      </c>
      <c r="B7080" s="7">
        <v>2015</v>
      </c>
      <c r="C7080" s="51" t="s">
        <v>702</v>
      </c>
      <c r="D7080" t="s">
        <v>727</v>
      </c>
      <c r="E7080" s="2">
        <v>0.155</v>
      </c>
    </row>
    <row r="7081" spans="1:5" x14ac:dyDescent="0.25">
      <c r="A7081" s="32" t="s">
        <v>767</v>
      </c>
      <c r="B7081" s="7">
        <v>2015</v>
      </c>
      <c r="C7081" s="51" t="s">
        <v>703</v>
      </c>
      <c r="D7081" t="s">
        <v>727</v>
      </c>
      <c r="E7081" s="2">
        <v>0.153</v>
      </c>
    </row>
    <row r="7082" spans="1:5" x14ac:dyDescent="0.25">
      <c r="A7082" s="32" t="s">
        <v>767</v>
      </c>
      <c r="B7082" s="7">
        <v>2015</v>
      </c>
      <c r="C7082" s="51" t="s">
        <v>704</v>
      </c>
      <c r="D7082" t="s">
        <v>727</v>
      </c>
      <c r="E7082" s="2">
        <v>0.151</v>
      </c>
    </row>
    <row r="7083" spans="1:5" x14ac:dyDescent="0.25">
      <c r="A7083" s="32" t="s">
        <v>767</v>
      </c>
      <c r="B7083" s="7">
        <v>2015</v>
      </c>
      <c r="C7083" s="51" t="s">
        <v>705</v>
      </c>
      <c r="D7083" t="s">
        <v>727</v>
      </c>
      <c r="E7083" s="2">
        <v>0.14000000000000001</v>
      </c>
    </row>
    <row r="7084" spans="1:5" x14ac:dyDescent="0.25">
      <c r="A7084" s="32" t="s">
        <v>767</v>
      </c>
      <c r="B7084" s="7">
        <v>2015</v>
      </c>
      <c r="C7084" s="51" t="s">
        <v>706</v>
      </c>
      <c r="D7084" t="s">
        <v>727</v>
      </c>
      <c r="E7084" s="2">
        <v>0.127</v>
      </c>
    </row>
    <row r="7085" spans="1:5" x14ac:dyDescent="0.25">
      <c r="A7085" s="32" t="s">
        <v>767</v>
      </c>
      <c r="B7085" s="7">
        <v>2016</v>
      </c>
      <c r="C7085" s="51" t="s">
        <v>713</v>
      </c>
      <c r="D7085" t="s">
        <v>727</v>
      </c>
      <c r="E7085" s="2">
        <v>0.61499999999999999</v>
      </c>
    </row>
    <row r="7086" spans="1:5" x14ac:dyDescent="0.25">
      <c r="A7086" s="32" t="s">
        <v>767</v>
      </c>
      <c r="B7086" s="7">
        <v>2016</v>
      </c>
      <c r="C7086" s="51" t="s">
        <v>707</v>
      </c>
      <c r="D7086" t="s">
        <v>727</v>
      </c>
      <c r="E7086" s="2">
        <v>0.20499999999999999</v>
      </c>
    </row>
    <row r="7087" spans="1:5" x14ac:dyDescent="0.25">
      <c r="A7087" s="32" t="s">
        <v>767</v>
      </c>
      <c r="B7087" s="7">
        <v>2016</v>
      </c>
      <c r="C7087" s="51" t="s">
        <v>708</v>
      </c>
      <c r="D7087" t="s">
        <v>727</v>
      </c>
      <c r="E7087" s="2">
        <v>0.20799999999999999</v>
      </c>
    </row>
    <row r="7088" spans="1:5" x14ac:dyDescent="0.25">
      <c r="A7088" s="32" t="s">
        <v>767</v>
      </c>
      <c r="B7088" s="7">
        <v>2016</v>
      </c>
      <c r="C7088" s="51" t="s">
        <v>699</v>
      </c>
      <c r="D7088" t="s">
        <v>727</v>
      </c>
      <c r="E7088" s="2">
        <v>0.11799999999999999</v>
      </c>
    </row>
    <row r="7089" spans="1:5" x14ac:dyDescent="0.25">
      <c r="A7089" s="32" t="s">
        <v>767</v>
      </c>
      <c r="B7089" s="7">
        <v>2016</v>
      </c>
      <c r="C7089" s="51" t="s">
        <v>709</v>
      </c>
      <c r="D7089" t="s">
        <v>727</v>
      </c>
      <c r="E7089" s="2">
        <v>0.13600000000000001</v>
      </c>
    </row>
    <row r="7090" spans="1:5" x14ac:dyDescent="0.25">
      <c r="A7090" s="32" t="s">
        <v>767</v>
      </c>
      <c r="B7090" s="7">
        <v>2016</v>
      </c>
      <c r="C7090" s="51" t="s">
        <v>712</v>
      </c>
      <c r="D7090" t="s">
        <v>727</v>
      </c>
      <c r="E7090" s="2">
        <v>0.12</v>
      </c>
    </row>
    <row r="7091" spans="1:5" x14ac:dyDescent="0.25">
      <c r="A7091" s="32" t="s">
        <v>767</v>
      </c>
      <c r="B7091" s="7">
        <v>2016</v>
      </c>
      <c r="C7091" s="51" t="s">
        <v>710</v>
      </c>
      <c r="D7091" t="s">
        <v>727</v>
      </c>
    </row>
    <row r="7092" spans="1:5" x14ac:dyDescent="0.25">
      <c r="A7092" s="32" t="s">
        <v>767</v>
      </c>
      <c r="B7092" s="7">
        <v>2016</v>
      </c>
      <c r="C7092" s="51" t="s">
        <v>702</v>
      </c>
      <c r="D7092" t="s">
        <v>727</v>
      </c>
    </row>
    <row r="7093" spans="1:5" x14ac:dyDescent="0.25">
      <c r="A7093" s="32" t="s">
        <v>767</v>
      </c>
      <c r="B7093" s="7">
        <v>2016</v>
      </c>
      <c r="C7093" s="51" t="s">
        <v>703</v>
      </c>
      <c r="D7093" t="s">
        <v>727</v>
      </c>
    </row>
    <row r="7094" spans="1:5" x14ac:dyDescent="0.25">
      <c r="A7094" s="32" t="s">
        <v>767</v>
      </c>
      <c r="B7094" s="7">
        <v>2016</v>
      </c>
      <c r="C7094" s="51" t="s">
        <v>704</v>
      </c>
      <c r="D7094" t="s">
        <v>727</v>
      </c>
    </row>
    <row r="7095" spans="1:5" x14ac:dyDescent="0.25">
      <c r="A7095" s="32" t="s">
        <v>767</v>
      </c>
      <c r="B7095" s="7">
        <v>2016</v>
      </c>
      <c r="C7095" s="51" t="s">
        <v>705</v>
      </c>
      <c r="D7095" t="s">
        <v>727</v>
      </c>
    </row>
    <row r="7096" spans="1:5" x14ac:dyDescent="0.25">
      <c r="A7096" s="32" t="s">
        <v>767</v>
      </c>
      <c r="B7096" s="7">
        <v>2016</v>
      </c>
      <c r="C7096" s="51" t="s">
        <v>706</v>
      </c>
      <c r="D7096" t="s">
        <v>727</v>
      </c>
    </row>
    <row r="7097" spans="1:5" x14ac:dyDescent="0.25">
      <c r="A7097" s="32" t="s">
        <v>767</v>
      </c>
      <c r="B7097" s="7">
        <v>2017</v>
      </c>
      <c r="C7097" s="51" t="s">
        <v>713</v>
      </c>
      <c r="D7097" t="s">
        <v>727</v>
      </c>
    </row>
    <row r="7098" spans="1:5" x14ac:dyDescent="0.25">
      <c r="A7098" s="32" t="s">
        <v>767</v>
      </c>
      <c r="B7098" s="7">
        <v>2017</v>
      </c>
      <c r="C7098" s="51" t="s">
        <v>707</v>
      </c>
      <c r="D7098" t="s">
        <v>727</v>
      </c>
    </row>
    <row r="7099" spans="1:5" x14ac:dyDescent="0.25">
      <c r="A7099" s="32" t="s">
        <v>767</v>
      </c>
      <c r="B7099" s="7">
        <v>2017</v>
      </c>
      <c r="C7099" s="51" t="s">
        <v>708</v>
      </c>
      <c r="D7099" t="s">
        <v>727</v>
      </c>
    </row>
    <row r="7100" spans="1:5" x14ac:dyDescent="0.25">
      <c r="A7100" s="32" t="s">
        <v>767</v>
      </c>
      <c r="B7100" s="7">
        <v>2017</v>
      </c>
      <c r="C7100" s="51" t="s">
        <v>699</v>
      </c>
      <c r="D7100" t="s">
        <v>727</v>
      </c>
    </row>
    <row r="7101" spans="1:5" x14ac:dyDescent="0.25">
      <c r="A7101" s="32" t="s">
        <v>767</v>
      </c>
      <c r="B7101" s="7">
        <v>2017</v>
      </c>
      <c r="C7101" s="51" t="s">
        <v>709</v>
      </c>
      <c r="D7101" t="s">
        <v>727</v>
      </c>
    </row>
    <row r="7102" spans="1:5" x14ac:dyDescent="0.25">
      <c r="A7102" s="32" t="s">
        <v>767</v>
      </c>
      <c r="B7102" s="7">
        <v>2017</v>
      </c>
      <c r="C7102" s="51" t="s">
        <v>712</v>
      </c>
      <c r="D7102" t="s">
        <v>727</v>
      </c>
    </row>
    <row r="7103" spans="1:5" x14ac:dyDescent="0.25">
      <c r="A7103" s="32" t="s">
        <v>767</v>
      </c>
      <c r="B7103" s="7">
        <v>2017</v>
      </c>
      <c r="C7103" s="51" t="s">
        <v>710</v>
      </c>
      <c r="D7103" t="s">
        <v>727</v>
      </c>
    </row>
    <row r="7104" spans="1:5" x14ac:dyDescent="0.25">
      <c r="A7104" s="32" t="s">
        <v>767</v>
      </c>
      <c r="B7104" s="7">
        <v>2017</v>
      </c>
      <c r="C7104" s="51" t="s">
        <v>702</v>
      </c>
      <c r="D7104" t="s">
        <v>727</v>
      </c>
    </row>
    <row r="7105" spans="1:4" x14ac:dyDescent="0.25">
      <c r="A7105" s="32" t="s">
        <v>767</v>
      </c>
      <c r="B7105" s="7">
        <v>2017</v>
      </c>
      <c r="C7105" s="51" t="s">
        <v>703</v>
      </c>
      <c r="D7105" t="s">
        <v>727</v>
      </c>
    </row>
    <row r="7106" spans="1:4" x14ac:dyDescent="0.25">
      <c r="A7106" s="32" t="s">
        <v>767</v>
      </c>
      <c r="B7106" s="7">
        <v>2017</v>
      </c>
      <c r="C7106" s="51" t="s">
        <v>704</v>
      </c>
      <c r="D7106" t="s">
        <v>727</v>
      </c>
    </row>
    <row r="7107" spans="1:4" x14ac:dyDescent="0.25">
      <c r="A7107" s="32" t="s">
        <v>767</v>
      </c>
      <c r="B7107" s="7">
        <v>2017</v>
      </c>
      <c r="C7107" s="51" t="s">
        <v>705</v>
      </c>
      <c r="D7107" t="s">
        <v>727</v>
      </c>
    </row>
    <row r="7108" spans="1:4" x14ac:dyDescent="0.25">
      <c r="A7108" s="32" t="s">
        <v>767</v>
      </c>
      <c r="B7108" s="7">
        <v>2017</v>
      </c>
      <c r="C7108" s="51" t="s">
        <v>706</v>
      </c>
      <c r="D7108" t="s">
        <v>727</v>
      </c>
    </row>
    <row r="7109" spans="1:4" x14ac:dyDescent="0.25">
      <c r="A7109" s="32" t="s">
        <v>767</v>
      </c>
      <c r="B7109" s="7">
        <v>2018</v>
      </c>
      <c r="C7109" s="51" t="s">
        <v>713</v>
      </c>
      <c r="D7109" t="s">
        <v>727</v>
      </c>
    </row>
    <row r="7110" spans="1:4" x14ac:dyDescent="0.25">
      <c r="A7110" s="32" t="s">
        <v>767</v>
      </c>
      <c r="B7110" s="7">
        <v>2018</v>
      </c>
      <c r="C7110" s="51" t="s">
        <v>707</v>
      </c>
      <c r="D7110" t="s">
        <v>727</v>
      </c>
    </row>
    <row r="7111" spans="1:4" x14ac:dyDescent="0.25">
      <c r="A7111" s="32" t="s">
        <v>767</v>
      </c>
      <c r="B7111" s="7">
        <v>2018</v>
      </c>
      <c r="C7111" s="51" t="s">
        <v>708</v>
      </c>
      <c r="D7111" t="s">
        <v>727</v>
      </c>
    </row>
    <row r="7112" spans="1:4" x14ac:dyDescent="0.25">
      <c r="A7112" s="32" t="s">
        <v>767</v>
      </c>
      <c r="B7112" s="7">
        <v>2018</v>
      </c>
      <c r="C7112" s="51" t="s">
        <v>699</v>
      </c>
      <c r="D7112" t="s">
        <v>727</v>
      </c>
    </row>
    <row r="7113" spans="1:4" x14ac:dyDescent="0.25">
      <c r="A7113" s="32" t="s">
        <v>767</v>
      </c>
      <c r="B7113" s="7">
        <v>2018</v>
      </c>
      <c r="C7113" s="51" t="s">
        <v>709</v>
      </c>
      <c r="D7113" t="s">
        <v>727</v>
      </c>
    </row>
    <row r="7114" spans="1:4" x14ac:dyDescent="0.25">
      <c r="A7114" s="32" t="s">
        <v>767</v>
      </c>
      <c r="B7114" s="7">
        <v>2018</v>
      </c>
      <c r="C7114" s="51" t="s">
        <v>712</v>
      </c>
      <c r="D7114" t="s">
        <v>727</v>
      </c>
    </row>
    <row r="7115" spans="1:4" x14ac:dyDescent="0.25">
      <c r="A7115" s="32" t="s">
        <v>767</v>
      </c>
      <c r="B7115" s="7">
        <v>2018</v>
      </c>
      <c r="C7115" s="51" t="s">
        <v>710</v>
      </c>
      <c r="D7115" t="s">
        <v>727</v>
      </c>
    </row>
    <row r="7116" spans="1:4" x14ac:dyDescent="0.25">
      <c r="A7116" s="32" t="s">
        <v>767</v>
      </c>
      <c r="B7116" s="7">
        <v>2018</v>
      </c>
      <c r="C7116" s="51" t="s">
        <v>702</v>
      </c>
      <c r="D7116" t="s">
        <v>727</v>
      </c>
    </row>
    <row r="7117" spans="1:4" x14ac:dyDescent="0.25">
      <c r="A7117" s="32" t="s">
        <v>767</v>
      </c>
      <c r="B7117" s="7">
        <v>2018</v>
      </c>
      <c r="C7117" s="51" t="s">
        <v>703</v>
      </c>
      <c r="D7117" t="s">
        <v>727</v>
      </c>
    </row>
    <row r="7118" spans="1:4" x14ac:dyDescent="0.25">
      <c r="A7118" s="32" t="s">
        <v>767</v>
      </c>
      <c r="B7118" s="7">
        <v>2018</v>
      </c>
      <c r="C7118" s="51" t="s">
        <v>704</v>
      </c>
      <c r="D7118" t="s">
        <v>727</v>
      </c>
    </row>
    <row r="7119" spans="1:4" x14ac:dyDescent="0.25">
      <c r="A7119" s="32" t="s">
        <v>767</v>
      </c>
      <c r="B7119" s="7">
        <v>2018</v>
      </c>
      <c r="C7119" s="51" t="s">
        <v>705</v>
      </c>
      <c r="D7119" t="s">
        <v>727</v>
      </c>
    </row>
    <row r="7120" spans="1:4" x14ac:dyDescent="0.25">
      <c r="A7120" s="32" t="s">
        <v>767</v>
      </c>
      <c r="B7120" s="7">
        <v>2018</v>
      </c>
      <c r="C7120" s="51" t="s">
        <v>706</v>
      </c>
      <c r="D7120" t="s">
        <v>727</v>
      </c>
    </row>
    <row r="7121" spans="1:4" x14ac:dyDescent="0.25">
      <c r="A7121" s="32" t="s">
        <v>767</v>
      </c>
      <c r="B7121" s="7">
        <v>2019</v>
      </c>
      <c r="C7121" s="51" t="s">
        <v>713</v>
      </c>
      <c r="D7121" t="s">
        <v>727</v>
      </c>
    </row>
    <row r="7122" spans="1:4" x14ac:dyDescent="0.25">
      <c r="A7122" s="32" t="s">
        <v>767</v>
      </c>
      <c r="B7122" s="7">
        <v>2019</v>
      </c>
      <c r="C7122" s="51" t="s">
        <v>707</v>
      </c>
      <c r="D7122" t="s">
        <v>727</v>
      </c>
    </row>
    <row r="7123" spans="1:4" x14ac:dyDescent="0.25">
      <c r="A7123" s="32" t="s">
        <v>767</v>
      </c>
      <c r="B7123" s="7">
        <v>2019</v>
      </c>
      <c r="C7123" s="51" t="s">
        <v>708</v>
      </c>
      <c r="D7123" t="s">
        <v>727</v>
      </c>
    </row>
    <row r="7124" spans="1:4" x14ac:dyDescent="0.25">
      <c r="A7124" s="32" t="s">
        <v>767</v>
      </c>
      <c r="B7124" s="7">
        <v>2019</v>
      </c>
      <c r="C7124" s="51" t="s">
        <v>699</v>
      </c>
      <c r="D7124" t="s">
        <v>727</v>
      </c>
    </row>
    <row r="7125" spans="1:4" x14ac:dyDescent="0.25">
      <c r="A7125" s="32" t="s">
        <v>767</v>
      </c>
      <c r="B7125" s="7">
        <v>2019</v>
      </c>
      <c r="C7125" s="51" t="s">
        <v>709</v>
      </c>
      <c r="D7125" t="s">
        <v>727</v>
      </c>
    </row>
    <row r="7126" spans="1:4" x14ac:dyDescent="0.25">
      <c r="A7126" s="32" t="s">
        <v>767</v>
      </c>
      <c r="B7126" s="7">
        <v>2019</v>
      </c>
      <c r="C7126" s="51" t="s">
        <v>712</v>
      </c>
      <c r="D7126" t="s">
        <v>727</v>
      </c>
    </row>
    <row r="7127" spans="1:4" x14ac:dyDescent="0.25">
      <c r="A7127" s="32" t="s">
        <v>767</v>
      </c>
      <c r="B7127" s="7">
        <v>2019</v>
      </c>
      <c r="C7127" s="51" t="s">
        <v>710</v>
      </c>
      <c r="D7127" t="s">
        <v>727</v>
      </c>
    </row>
    <row r="7128" spans="1:4" x14ac:dyDescent="0.25">
      <c r="A7128" s="32" t="s">
        <v>767</v>
      </c>
      <c r="B7128" s="7">
        <v>2019</v>
      </c>
      <c r="C7128" s="51" t="s">
        <v>702</v>
      </c>
      <c r="D7128" t="s">
        <v>727</v>
      </c>
    </row>
    <row r="7129" spans="1:4" x14ac:dyDescent="0.25">
      <c r="A7129" s="32" t="s">
        <v>767</v>
      </c>
      <c r="B7129" s="7">
        <v>2019</v>
      </c>
      <c r="C7129" s="51" t="s">
        <v>703</v>
      </c>
      <c r="D7129" t="s">
        <v>727</v>
      </c>
    </row>
    <row r="7130" spans="1:4" x14ac:dyDescent="0.25">
      <c r="A7130" s="32" t="s">
        <v>767</v>
      </c>
      <c r="B7130" s="7">
        <v>2019</v>
      </c>
      <c r="C7130" s="51" t="s">
        <v>704</v>
      </c>
      <c r="D7130" t="s">
        <v>727</v>
      </c>
    </row>
    <row r="7131" spans="1:4" x14ac:dyDescent="0.25">
      <c r="A7131" s="32" t="s">
        <v>767</v>
      </c>
      <c r="B7131" s="7">
        <v>2019</v>
      </c>
      <c r="C7131" s="51" t="s">
        <v>705</v>
      </c>
      <c r="D7131" t="s">
        <v>727</v>
      </c>
    </row>
    <row r="7132" spans="1:4" x14ac:dyDescent="0.25">
      <c r="A7132" s="32" t="s">
        <v>767</v>
      </c>
      <c r="B7132" s="7">
        <v>2019</v>
      </c>
      <c r="C7132" s="51" t="s">
        <v>706</v>
      </c>
      <c r="D7132" t="s">
        <v>727</v>
      </c>
    </row>
    <row r="7133" spans="1:4" x14ac:dyDescent="0.25">
      <c r="A7133" s="32" t="s">
        <v>767</v>
      </c>
      <c r="B7133" s="7">
        <v>2020</v>
      </c>
      <c r="C7133" s="51" t="s">
        <v>713</v>
      </c>
      <c r="D7133" t="s">
        <v>727</v>
      </c>
    </row>
    <row r="7134" spans="1:4" x14ac:dyDescent="0.25">
      <c r="A7134" s="32" t="s">
        <v>767</v>
      </c>
      <c r="B7134" s="7">
        <v>2020</v>
      </c>
      <c r="C7134" s="51" t="s">
        <v>707</v>
      </c>
      <c r="D7134" t="s">
        <v>727</v>
      </c>
    </row>
    <row r="7135" spans="1:4" x14ac:dyDescent="0.25">
      <c r="A7135" s="32" t="s">
        <v>767</v>
      </c>
      <c r="B7135" s="7">
        <v>2020</v>
      </c>
      <c r="C7135" s="51" t="s">
        <v>708</v>
      </c>
      <c r="D7135" t="s">
        <v>727</v>
      </c>
    </row>
    <row r="7136" spans="1:4" x14ac:dyDescent="0.25">
      <c r="A7136" s="32" t="s">
        <v>767</v>
      </c>
      <c r="B7136" s="7">
        <v>2020</v>
      </c>
      <c r="C7136" s="51" t="s">
        <v>699</v>
      </c>
      <c r="D7136" t="s">
        <v>727</v>
      </c>
    </row>
    <row r="7137" spans="1:4" x14ac:dyDescent="0.25">
      <c r="A7137" s="32" t="s">
        <v>767</v>
      </c>
      <c r="B7137" s="7">
        <v>2020</v>
      </c>
      <c r="C7137" s="51" t="s">
        <v>709</v>
      </c>
      <c r="D7137" t="s">
        <v>727</v>
      </c>
    </row>
    <row r="7138" spans="1:4" x14ac:dyDescent="0.25">
      <c r="A7138" s="32" t="s">
        <v>767</v>
      </c>
      <c r="B7138" s="7">
        <v>2020</v>
      </c>
      <c r="C7138" s="51" t="s">
        <v>712</v>
      </c>
      <c r="D7138" t="s">
        <v>727</v>
      </c>
    </row>
    <row r="7139" spans="1:4" x14ac:dyDescent="0.25">
      <c r="A7139" s="32" t="s">
        <v>767</v>
      </c>
      <c r="B7139" s="7">
        <v>2020</v>
      </c>
      <c r="C7139" s="51" t="s">
        <v>710</v>
      </c>
      <c r="D7139" t="s">
        <v>727</v>
      </c>
    </row>
    <row r="7140" spans="1:4" x14ac:dyDescent="0.25">
      <c r="A7140" s="32" t="s">
        <v>767</v>
      </c>
      <c r="B7140" s="7">
        <v>2020</v>
      </c>
      <c r="C7140" s="51" t="s">
        <v>702</v>
      </c>
      <c r="D7140" t="s">
        <v>727</v>
      </c>
    </row>
    <row r="7141" spans="1:4" x14ac:dyDescent="0.25">
      <c r="A7141" s="32" t="s">
        <v>767</v>
      </c>
      <c r="B7141" s="7">
        <v>2020</v>
      </c>
      <c r="C7141" s="51" t="s">
        <v>703</v>
      </c>
      <c r="D7141" t="s">
        <v>727</v>
      </c>
    </row>
    <row r="7142" spans="1:4" x14ac:dyDescent="0.25">
      <c r="A7142" s="32" t="s">
        <v>767</v>
      </c>
      <c r="B7142" s="7">
        <v>2020</v>
      </c>
      <c r="C7142" s="51" t="s">
        <v>704</v>
      </c>
      <c r="D7142" t="s">
        <v>727</v>
      </c>
    </row>
    <row r="7143" spans="1:4" x14ac:dyDescent="0.25">
      <c r="A7143" s="32" t="s">
        <v>767</v>
      </c>
      <c r="B7143" s="7">
        <v>2020</v>
      </c>
      <c r="C7143" s="51" t="s">
        <v>705</v>
      </c>
      <c r="D7143" t="s">
        <v>727</v>
      </c>
    </row>
    <row r="7144" spans="1:4" x14ac:dyDescent="0.25">
      <c r="A7144" s="32" t="s">
        <v>767</v>
      </c>
      <c r="B7144" s="7">
        <v>2020</v>
      </c>
      <c r="C7144" s="51" t="s">
        <v>706</v>
      </c>
      <c r="D7144" t="s">
        <v>727</v>
      </c>
    </row>
    <row r="7145" spans="1:4" x14ac:dyDescent="0.25">
      <c r="A7145" s="32" t="s">
        <v>767</v>
      </c>
      <c r="B7145" s="7">
        <v>2021</v>
      </c>
      <c r="C7145" s="51" t="s">
        <v>713</v>
      </c>
      <c r="D7145" t="s">
        <v>727</v>
      </c>
    </row>
    <row r="7146" spans="1:4" x14ac:dyDescent="0.25">
      <c r="A7146" s="32" t="s">
        <v>767</v>
      </c>
      <c r="B7146" s="7">
        <v>2021</v>
      </c>
      <c r="C7146" s="51" t="s">
        <v>707</v>
      </c>
      <c r="D7146" t="s">
        <v>727</v>
      </c>
    </row>
    <row r="7147" spans="1:4" x14ac:dyDescent="0.25">
      <c r="A7147" s="32" t="s">
        <v>767</v>
      </c>
      <c r="B7147" s="7">
        <v>2021</v>
      </c>
      <c r="C7147" s="51" t="s">
        <v>708</v>
      </c>
      <c r="D7147" t="s">
        <v>727</v>
      </c>
    </row>
    <row r="7148" spans="1:4" x14ac:dyDescent="0.25">
      <c r="A7148" s="32" t="s">
        <v>767</v>
      </c>
      <c r="B7148" s="7">
        <v>2021</v>
      </c>
      <c r="C7148" s="51" t="s">
        <v>699</v>
      </c>
      <c r="D7148" t="s">
        <v>727</v>
      </c>
    </row>
    <row r="7149" spans="1:4" x14ac:dyDescent="0.25">
      <c r="A7149" s="32" t="s">
        <v>767</v>
      </c>
      <c r="B7149" s="7">
        <v>2021</v>
      </c>
      <c r="C7149" s="51" t="s">
        <v>709</v>
      </c>
      <c r="D7149" t="s">
        <v>727</v>
      </c>
    </row>
    <row r="7150" spans="1:4" x14ac:dyDescent="0.25">
      <c r="A7150" s="32" t="s">
        <v>767</v>
      </c>
      <c r="B7150" s="7">
        <v>2021</v>
      </c>
      <c r="C7150" s="51" t="s">
        <v>712</v>
      </c>
      <c r="D7150" t="s">
        <v>727</v>
      </c>
    </row>
    <row r="7151" spans="1:4" x14ac:dyDescent="0.25">
      <c r="A7151" s="32" t="s">
        <v>767</v>
      </c>
      <c r="B7151" s="7">
        <v>2021</v>
      </c>
      <c r="C7151" s="51" t="s">
        <v>710</v>
      </c>
      <c r="D7151" t="s">
        <v>727</v>
      </c>
    </row>
    <row r="7152" spans="1:4" x14ac:dyDescent="0.25">
      <c r="A7152" s="32" t="s">
        <v>767</v>
      </c>
      <c r="B7152" s="7">
        <v>2021</v>
      </c>
      <c r="C7152" s="51" t="s">
        <v>702</v>
      </c>
      <c r="D7152" t="s">
        <v>727</v>
      </c>
    </row>
    <row r="7153" spans="1:4" x14ac:dyDescent="0.25">
      <c r="A7153" s="32" t="s">
        <v>767</v>
      </c>
      <c r="B7153" s="7">
        <v>2021</v>
      </c>
      <c r="C7153" s="51" t="s">
        <v>703</v>
      </c>
      <c r="D7153" t="s">
        <v>727</v>
      </c>
    </row>
    <row r="7154" spans="1:4" x14ac:dyDescent="0.25">
      <c r="A7154" s="32" t="s">
        <v>767</v>
      </c>
      <c r="B7154" s="7">
        <v>2021</v>
      </c>
      <c r="C7154" s="51" t="s">
        <v>704</v>
      </c>
      <c r="D7154" t="s">
        <v>727</v>
      </c>
    </row>
    <row r="7155" spans="1:4" x14ac:dyDescent="0.25">
      <c r="A7155" s="32" t="s">
        <v>767</v>
      </c>
      <c r="B7155" s="7">
        <v>2021</v>
      </c>
      <c r="C7155" s="51" t="s">
        <v>705</v>
      </c>
      <c r="D7155" t="s">
        <v>727</v>
      </c>
    </row>
    <row r="7156" spans="1:4" x14ac:dyDescent="0.25">
      <c r="A7156" s="32" t="s">
        <v>767</v>
      </c>
      <c r="B7156" s="7">
        <v>2021</v>
      </c>
      <c r="C7156" s="51" t="s">
        <v>706</v>
      </c>
      <c r="D7156" t="s">
        <v>727</v>
      </c>
    </row>
    <row r="7157" spans="1:4" x14ac:dyDescent="0.25">
      <c r="A7157" s="32" t="s">
        <v>767</v>
      </c>
      <c r="B7157" s="7">
        <v>2022</v>
      </c>
      <c r="C7157" s="51" t="s">
        <v>713</v>
      </c>
      <c r="D7157" t="s">
        <v>727</v>
      </c>
    </row>
    <row r="7158" spans="1:4" x14ac:dyDescent="0.25">
      <c r="A7158" s="32" t="s">
        <v>767</v>
      </c>
      <c r="B7158" s="7">
        <v>2022</v>
      </c>
      <c r="C7158" s="51" t="s">
        <v>707</v>
      </c>
      <c r="D7158" t="s">
        <v>727</v>
      </c>
    </row>
    <row r="7159" spans="1:4" x14ac:dyDescent="0.25">
      <c r="A7159" s="32" t="s">
        <v>767</v>
      </c>
      <c r="B7159" s="7">
        <v>2022</v>
      </c>
      <c r="C7159" s="51" t="s">
        <v>708</v>
      </c>
      <c r="D7159" t="s">
        <v>727</v>
      </c>
    </row>
    <row r="7160" spans="1:4" x14ac:dyDescent="0.25">
      <c r="A7160" s="32" t="s">
        <v>767</v>
      </c>
      <c r="B7160" s="7">
        <v>2022</v>
      </c>
      <c r="C7160" s="51" t="s">
        <v>699</v>
      </c>
      <c r="D7160" t="s">
        <v>727</v>
      </c>
    </row>
    <row r="7161" spans="1:4" x14ac:dyDescent="0.25">
      <c r="A7161" s="32" t="s">
        <v>767</v>
      </c>
      <c r="B7161" s="7">
        <v>2022</v>
      </c>
      <c r="C7161" s="51" t="s">
        <v>709</v>
      </c>
      <c r="D7161" t="s">
        <v>727</v>
      </c>
    </row>
    <row r="7162" spans="1:4" x14ac:dyDescent="0.25">
      <c r="A7162" s="32" t="s">
        <v>767</v>
      </c>
      <c r="B7162" s="7">
        <v>2022</v>
      </c>
      <c r="C7162" s="51" t="s">
        <v>712</v>
      </c>
      <c r="D7162" t="s">
        <v>727</v>
      </c>
    </row>
    <row r="7163" spans="1:4" x14ac:dyDescent="0.25">
      <c r="A7163" s="32" t="s">
        <v>767</v>
      </c>
      <c r="B7163" s="7">
        <v>2022</v>
      </c>
      <c r="C7163" s="51" t="s">
        <v>710</v>
      </c>
      <c r="D7163" t="s">
        <v>727</v>
      </c>
    </row>
    <row r="7164" spans="1:4" x14ac:dyDescent="0.25">
      <c r="A7164" s="32" t="s">
        <v>767</v>
      </c>
      <c r="B7164" s="7">
        <v>2022</v>
      </c>
      <c r="C7164" s="51" t="s">
        <v>702</v>
      </c>
      <c r="D7164" t="s">
        <v>727</v>
      </c>
    </row>
    <row r="7165" spans="1:4" x14ac:dyDescent="0.25">
      <c r="A7165" s="32" t="s">
        <v>767</v>
      </c>
      <c r="B7165" s="7">
        <v>2022</v>
      </c>
      <c r="C7165" s="51" t="s">
        <v>703</v>
      </c>
      <c r="D7165" t="s">
        <v>727</v>
      </c>
    </row>
    <row r="7166" spans="1:4" x14ac:dyDescent="0.25">
      <c r="A7166" s="32" t="s">
        <v>767</v>
      </c>
      <c r="B7166" s="7">
        <v>2022</v>
      </c>
      <c r="C7166" s="51" t="s">
        <v>704</v>
      </c>
      <c r="D7166" t="s">
        <v>727</v>
      </c>
    </row>
    <row r="7167" spans="1:4" x14ac:dyDescent="0.25">
      <c r="A7167" s="32" t="s">
        <v>767</v>
      </c>
      <c r="B7167" s="7">
        <v>2022</v>
      </c>
      <c r="C7167" s="51" t="s">
        <v>705</v>
      </c>
      <c r="D7167" t="s">
        <v>727</v>
      </c>
    </row>
    <row r="7168" spans="1:4" x14ac:dyDescent="0.25">
      <c r="A7168" s="32" t="s">
        <v>767</v>
      </c>
      <c r="B7168" s="7">
        <v>2022</v>
      </c>
      <c r="C7168" s="51" t="s">
        <v>706</v>
      </c>
      <c r="D7168" t="s">
        <v>727</v>
      </c>
    </row>
    <row r="7169" spans="1:4" x14ac:dyDescent="0.25">
      <c r="A7169" s="32" t="s">
        <v>767</v>
      </c>
      <c r="B7169" s="7">
        <v>2023</v>
      </c>
      <c r="C7169" s="51" t="s">
        <v>713</v>
      </c>
      <c r="D7169" t="s">
        <v>727</v>
      </c>
    </row>
    <row r="7170" spans="1:4" x14ac:dyDescent="0.25">
      <c r="A7170" s="32" t="s">
        <v>767</v>
      </c>
      <c r="B7170" s="7">
        <v>2023</v>
      </c>
      <c r="C7170" s="51" t="s">
        <v>707</v>
      </c>
      <c r="D7170" t="s">
        <v>727</v>
      </c>
    </row>
    <row r="7171" spans="1:4" x14ac:dyDescent="0.25">
      <c r="A7171" s="32" t="s">
        <v>767</v>
      </c>
      <c r="B7171" s="7">
        <v>2023</v>
      </c>
      <c r="C7171" s="51" t="s">
        <v>708</v>
      </c>
      <c r="D7171" t="s">
        <v>727</v>
      </c>
    </row>
    <row r="7172" spans="1:4" x14ac:dyDescent="0.25">
      <c r="A7172" s="32" t="s">
        <v>767</v>
      </c>
      <c r="B7172" s="7">
        <v>2023</v>
      </c>
      <c r="C7172" s="51" t="s">
        <v>699</v>
      </c>
      <c r="D7172" t="s">
        <v>727</v>
      </c>
    </row>
    <row r="7173" spans="1:4" x14ac:dyDescent="0.25">
      <c r="A7173" s="32" t="s">
        <v>767</v>
      </c>
      <c r="B7173" s="7">
        <v>2023</v>
      </c>
      <c r="C7173" s="51" t="s">
        <v>709</v>
      </c>
      <c r="D7173" t="s">
        <v>727</v>
      </c>
    </row>
    <row r="7174" spans="1:4" x14ac:dyDescent="0.25">
      <c r="A7174" s="32" t="s">
        <v>767</v>
      </c>
      <c r="B7174" s="7">
        <v>2023</v>
      </c>
      <c r="C7174" s="51" t="s">
        <v>712</v>
      </c>
      <c r="D7174" t="s">
        <v>727</v>
      </c>
    </row>
    <row r="7175" spans="1:4" x14ac:dyDescent="0.25">
      <c r="A7175" s="32" t="s">
        <v>767</v>
      </c>
      <c r="B7175" s="7">
        <v>2023</v>
      </c>
      <c r="C7175" s="51" t="s">
        <v>710</v>
      </c>
      <c r="D7175" t="s">
        <v>727</v>
      </c>
    </row>
    <row r="7176" spans="1:4" x14ac:dyDescent="0.25">
      <c r="A7176" s="32" t="s">
        <v>767</v>
      </c>
      <c r="B7176" s="7">
        <v>2023</v>
      </c>
      <c r="C7176" s="51" t="s">
        <v>702</v>
      </c>
      <c r="D7176" t="s">
        <v>727</v>
      </c>
    </row>
    <row r="7177" spans="1:4" x14ac:dyDescent="0.25">
      <c r="A7177" s="32" t="s">
        <v>767</v>
      </c>
      <c r="B7177" s="7">
        <v>2023</v>
      </c>
      <c r="C7177" s="51" t="s">
        <v>703</v>
      </c>
      <c r="D7177" t="s">
        <v>727</v>
      </c>
    </row>
    <row r="7178" spans="1:4" x14ac:dyDescent="0.25">
      <c r="A7178" s="32" t="s">
        <v>767</v>
      </c>
      <c r="B7178" s="7">
        <v>1997</v>
      </c>
      <c r="C7178" s="51" t="s">
        <v>704</v>
      </c>
      <c r="D7178" t="s">
        <v>760</v>
      </c>
    </row>
    <row r="7179" spans="1:4" x14ac:dyDescent="0.25">
      <c r="A7179" s="32" t="s">
        <v>767</v>
      </c>
      <c r="B7179" s="7">
        <v>1997</v>
      </c>
      <c r="C7179" s="51" t="s">
        <v>705</v>
      </c>
      <c r="D7179" t="s">
        <v>760</v>
      </c>
    </row>
    <row r="7180" spans="1:4" x14ac:dyDescent="0.25">
      <c r="A7180" s="32" t="s">
        <v>767</v>
      </c>
      <c r="B7180" s="7">
        <v>1997</v>
      </c>
      <c r="C7180" s="51" t="s">
        <v>706</v>
      </c>
      <c r="D7180" t="s">
        <v>760</v>
      </c>
    </row>
    <row r="7181" spans="1:4" x14ac:dyDescent="0.25">
      <c r="A7181" s="32" t="s">
        <v>767</v>
      </c>
      <c r="B7181" s="7">
        <v>1998</v>
      </c>
      <c r="C7181" s="51" t="s">
        <v>713</v>
      </c>
      <c r="D7181" t="s">
        <v>760</v>
      </c>
    </row>
    <row r="7182" spans="1:4" x14ac:dyDescent="0.25">
      <c r="A7182" s="32" t="s">
        <v>767</v>
      </c>
      <c r="B7182" s="7">
        <v>1998</v>
      </c>
      <c r="C7182" s="51" t="s">
        <v>707</v>
      </c>
      <c r="D7182" t="s">
        <v>760</v>
      </c>
    </row>
    <row r="7183" spans="1:4" x14ac:dyDescent="0.25">
      <c r="A7183" s="32" t="s">
        <v>767</v>
      </c>
      <c r="B7183" s="7">
        <v>1998</v>
      </c>
      <c r="C7183" s="51" t="s">
        <v>708</v>
      </c>
      <c r="D7183" t="s">
        <v>760</v>
      </c>
    </row>
    <row r="7184" spans="1:4" x14ac:dyDescent="0.25">
      <c r="A7184" s="32" t="s">
        <v>767</v>
      </c>
      <c r="B7184" s="7">
        <v>1998</v>
      </c>
      <c r="C7184" s="51" t="s">
        <v>699</v>
      </c>
      <c r="D7184" t="s">
        <v>760</v>
      </c>
    </row>
    <row r="7185" spans="1:4" x14ac:dyDescent="0.25">
      <c r="A7185" s="32" t="s">
        <v>767</v>
      </c>
      <c r="B7185" s="7">
        <v>1998</v>
      </c>
      <c r="C7185" s="51" t="s">
        <v>709</v>
      </c>
      <c r="D7185" t="s">
        <v>760</v>
      </c>
    </row>
    <row r="7186" spans="1:4" x14ac:dyDescent="0.25">
      <c r="A7186" s="32" t="s">
        <v>767</v>
      </c>
      <c r="B7186" s="7">
        <v>1998</v>
      </c>
      <c r="C7186" s="51" t="s">
        <v>712</v>
      </c>
      <c r="D7186" t="s">
        <v>760</v>
      </c>
    </row>
    <row r="7187" spans="1:4" x14ac:dyDescent="0.25">
      <c r="A7187" s="32" t="s">
        <v>767</v>
      </c>
      <c r="B7187" s="7">
        <v>1998</v>
      </c>
      <c r="C7187" s="51" t="s">
        <v>710</v>
      </c>
      <c r="D7187" t="s">
        <v>760</v>
      </c>
    </row>
    <row r="7188" spans="1:4" x14ac:dyDescent="0.25">
      <c r="A7188" s="32" t="s">
        <v>767</v>
      </c>
      <c r="B7188" s="7">
        <v>1998</v>
      </c>
      <c r="C7188" s="51" t="s">
        <v>702</v>
      </c>
      <c r="D7188" t="s">
        <v>760</v>
      </c>
    </row>
    <row r="7189" spans="1:4" x14ac:dyDescent="0.25">
      <c r="A7189" s="32" t="s">
        <v>767</v>
      </c>
      <c r="B7189" s="7">
        <v>1998</v>
      </c>
      <c r="C7189" s="51" t="s">
        <v>703</v>
      </c>
      <c r="D7189" t="s">
        <v>760</v>
      </c>
    </row>
    <row r="7190" spans="1:4" x14ac:dyDescent="0.25">
      <c r="A7190" s="32" t="s">
        <v>767</v>
      </c>
      <c r="B7190" s="7">
        <v>1998</v>
      </c>
      <c r="C7190" s="51" t="s">
        <v>704</v>
      </c>
      <c r="D7190" t="s">
        <v>760</v>
      </c>
    </row>
    <row r="7191" spans="1:4" x14ac:dyDescent="0.25">
      <c r="A7191" s="32" t="s">
        <v>767</v>
      </c>
      <c r="B7191" s="7">
        <v>1998</v>
      </c>
      <c r="C7191" s="51" t="s">
        <v>705</v>
      </c>
      <c r="D7191" t="s">
        <v>760</v>
      </c>
    </row>
    <row r="7192" spans="1:4" x14ac:dyDescent="0.25">
      <c r="A7192" s="32" t="s">
        <v>767</v>
      </c>
      <c r="B7192" s="7">
        <v>1998</v>
      </c>
      <c r="C7192" s="51" t="s">
        <v>706</v>
      </c>
      <c r="D7192" t="s">
        <v>760</v>
      </c>
    </row>
    <row r="7193" spans="1:4" x14ac:dyDescent="0.25">
      <c r="A7193" s="32" t="s">
        <v>767</v>
      </c>
      <c r="B7193" s="7">
        <v>1999</v>
      </c>
      <c r="C7193" s="51" t="s">
        <v>713</v>
      </c>
      <c r="D7193" t="s">
        <v>760</v>
      </c>
    </row>
    <row r="7194" spans="1:4" x14ac:dyDescent="0.25">
      <c r="A7194" s="32" t="s">
        <v>767</v>
      </c>
      <c r="B7194" s="7">
        <v>1999</v>
      </c>
      <c r="C7194" s="51" t="s">
        <v>707</v>
      </c>
      <c r="D7194" t="s">
        <v>760</v>
      </c>
    </row>
    <row r="7195" spans="1:4" x14ac:dyDescent="0.25">
      <c r="A7195" s="32" t="s">
        <v>767</v>
      </c>
      <c r="B7195" s="7">
        <v>1999</v>
      </c>
      <c r="C7195" s="51" t="s">
        <v>708</v>
      </c>
      <c r="D7195" t="s">
        <v>760</v>
      </c>
    </row>
    <row r="7196" spans="1:4" x14ac:dyDescent="0.25">
      <c r="A7196" s="32" t="s">
        <v>767</v>
      </c>
      <c r="B7196" s="7">
        <v>1999</v>
      </c>
      <c r="C7196" s="51" t="s">
        <v>699</v>
      </c>
      <c r="D7196" t="s">
        <v>760</v>
      </c>
    </row>
    <row r="7197" spans="1:4" x14ac:dyDescent="0.25">
      <c r="A7197" s="32" t="s">
        <v>767</v>
      </c>
      <c r="B7197" s="7">
        <v>1999</v>
      </c>
      <c r="C7197" s="51" t="s">
        <v>709</v>
      </c>
      <c r="D7197" t="s">
        <v>760</v>
      </c>
    </row>
    <row r="7198" spans="1:4" x14ac:dyDescent="0.25">
      <c r="A7198" s="32" t="s">
        <v>767</v>
      </c>
      <c r="B7198" s="7">
        <v>1999</v>
      </c>
      <c r="C7198" s="51" t="s">
        <v>712</v>
      </c>
      <c r="D7198" t="s">
        <v>760</v>
      </c>
    </row>
    <row r="7199" spans="1:4" x14ac:dyDescent="0.25">
      <c r="A7199" s="32" t="s">
        <v>767</v>
      </c>
      <c r="B7199" s="7">
        <v>1999</v>
      </c>
      <c r="C7199" s="51" t="s">
        <v>710</v>
      </c>
      <c r="D7199" t="s">
        <v>760</v>
      </c>
    </row>
    <row r="7200" spans="1:4" x14ac:dyDescent="0.25">
      <c r="A7200" s="32" t="s">
        <v>767</v>
      </c>
      <c r="B7200" s="7">
        <v>1999</v>
      </c>
      <c r="C7200" s="51" t="s">
        <v>702</v>
      </c>
      <c r="D7200" t="s">
        <v>760</v>
      </c>
    </row>
    <row r="7201" spans="1:4" x14ac:dyDescent="0.25">
      <c r="A7201" s="32" t="s">
        <v>767</v>
      </c>
      <c r="B7201" s="7">
        <v>1999</v>
      </c>
      <c r="C7201" s="51" t="s">
        <v>703</v>
      </c>
      <c r="D7201" t="s">
        <v>760</v>
      </c>
    </row>
    <row r="7202" spans="1:4" x14ac:dyDescent="0.25">
      <c r="A7202" s="32" t="s">
        <v>767</v>
      </c>
      <c r="B7202" s="7">
        <v>1999</v>
      </c>
      <c r="C7202" s="51" t="s">
        <v>704</v>
      </c>
      <c r="D7202" t="s">
        <v>760</v>
      </c>
    </row>
    <row r="7203" spans="1:4" x14ac:dyDescent="0.25">
      <c r="A7203" s="32" t="s">
        <v>767</v>
      </c>
      <c r="B7203" s="7">
        <v>1999</v>
      </c>
      <c r="C7203" s="51" t="s">
        <v>705</v>
      </c>
      <c r="D7203" t="s">
        <v>760</v>
      </c>
    </row>
    <row r="7204" spans="1:4" x14ac:dyDescent="0.25">
      <c r="A7204" s="32" t="s">
        <v>767</v>
      </c>
      <c r="B7204" s="7">
        <v>1999</v>
      </c>
      <c r="C7204" s="51" t="s">
        <v>706</v>
      </c>
      <c r="D7204" t="s">
        <v>760</v>
      </c>
    </row>
    <row r="7205" spans="1:4" x14ac:dyDescent="0.25">
      <c r="A7205" s="32" t="s">
        <v>767</v>
      </c>
      <c r="B7205" s="7">
        <v>2000</v>
      </c>
      <c r="C7205" s="51" t="s">
        <v>713</v>
      </c>
      <c r="D7205" t="s">
        <v>760</v>
      </c>
    </row>
    <row r="7206" spans="1:4" x14ac:dyDescent="0.25">
      <c r="A7206" s="32" t="s">
        <v>767</v>
      </c>
      <c r="B7206" s="7">
        <v>2000</v>
      </c>
      <c r="C7206" s="51" t="s">
        <v>707</v>
      </c>
      <c r="D7206" t="s">
        <v>760</v>
      </c>
    </row>
    <row r="7207" spans="1:4" x14ac:dyDescent="0.25">
      <c r="A7207" s="32" t="s">
        <v>767</v>
      </c>
      <c r="B7207" s="7">
        <v>2000</v>
      </c>
      <c r="C7207" s="51" t="s">
        <v>708</v>
      </c>
      <c r="D7207" t="s">
        <v>760</v>
      </c>
    </row>
    <row r="7208" spans="1:4" x14ac:dyDescent="0.25">
      <c r="A7208" s="32" t="s">
        <v>767</v>
      </c>
      <c r="B7208" s="7">
        <v>2000</v>
      </c>
      <c r="C7208" s="51" t="s">
        <v>699</v>
      </c>
      <c r="D7208" t="s">
        <v>760</v>
      </c>
    </row>
    <row r="7209" spans="1:4" x14ac:dyDescent="0.25">
      <c r="A7209" s="32" t="s">
        <v>767</v>
      </c>
      <c r="B7209" s="7">
        <v>2000</v>
      </c>
      <c r="C7209" s="51" t="s">
        <v>709</v>
      </c>
      <c r="D7209" t="s">
        <v>760</v>
      </c>
    </row>
    <row r="7210" spans="1:4" x14ac:dyDescent="0.25">
      <c r="A7210" s="32" t="s">
        <v>767</v>
      </c>
      <c r="B7210" s="7">
        <v>2000</v>
      </c>
      <c r="C7210" s="51" t="s">
        <v>712</v>
      </c>
      <c r="D7210" t="s">
        <v>760</v>
      </c>
    </row>
    <row r="7211" spans="1:4" x14ac:dyDescent="0.25">
      <c r="A7211" s="32" t="s">
        <v>767</v>
      </c>
      <c r="B7211" s="7">
        <v>2000</v>
      </c>
      <c r="C7211" s="51" t="s">
        <v>710</v>
      </c>
      <c r="D7211" t="s">
        <v>760</v>
      </c>
    </row>
    <row r="7212" spans="1:4" x14ac:dyDescent="0.25">
      <c r="A7212" s="32" t="s">
        <v>767</v>
      </c>
      <c r="B7212" s="7">
        <v>2000</v>
      </c>
      <c r="C7212" s="51" t="s">
        <v>702</v>
      </c>
      <c r="D7212" t="s">
        <v>760</v>
      </c>
    </row>
    <row r="7213" spans="1:4" x14ac:dyDescent="0.25">
      <c r="A7213" s="32" t="s">
        <v>767</v>
      </c>
      <c r="B7213" s="7">
        <v>2000</v>
      </c>
      <c r="C7213" s="51" t="s">
        <v>703</v>
      </c>
      <c r="D7213" t="s">
        <v>760</v>
      </c>
    </row>
    <row r="7214" spans="1:4" x14ac:dyDescent="0.25">
      <c r="A7214" s="32" t="s">
        <v>767</v>
      </c>
      <c r="B7214" s="7">
        <v>2000</v>
      </c>
      <c r="C7214" s="51" t="s">
        <v>704</v>
      </c>
      <c r="D7214" t="s">
        <v>760</v>
      </c>
    </row>
    <row r="7215" spans="1:4" x14ac:dyDescent="0.25">
      <c r="A7215" s="32" t="s">
        <v>767</v>
      </c>
      <c r="B7215" s="7">
        <v>2000</v>
      </c>
      <c r="C7215" s="51" t="s">
        <v>705</v>
      </c>
      <c r="D7215" t="s">
        <v>760</v>
      </c>
    </row>
    <row r="7216" spans="1:4" x14ac:dyDescent="0.25">
      <c r="A7216" s="32" t="s">
        <v>767</v>
      </c>
      <c r="B7216" s="7">
        <v>2000</v>
      </c>
      <c r="C7216" s="51" t="s">
        <v>706</v>
      </c>
      <c r="D7216" t="s">
        <v>760</v>
      </c>
    </row>
    <row r="7217" spans="1:4" x14ac:dyDescent="0.25">
      <c r="A7217" s="32" t="s">
        <v>767</v>
      </c>
      <c r="B7217" s="7">
        <v>2001</v>
      </c>
      <c r="C7217" s="51" t="s">
        <v>713</v>
      </c>
      <c r="D7217" t="s">
        <v>760</v>
      </c>
    </row>
    <row r="7218" spans="1:4" x14ac:dyDescent="0.25">
      <c r="A7218" s="32" t="s">
        <v>767</v>
      </c>
      <c r="B7218" s="7">
        <v>2001</v>
      </c>
      <c r="C7218" s="51" t="s">
        <v>707</v>
      </c>
      <c r="D7218" t="s">
        <v>760</v>
      </c>
    </row>
    <row r="7219" spans="1:4" x14ac:dyDescent="0.25">
      <c r="A7219" s="32" t="s">
        <v>767</v>
      </c>
      <c r="B7219" s="7">
        <v>2001</v>
      </c>
      <c r="C7219" s="51" t="s">
        <v>708</v>
      </c>
      <c r="D7219" t="s">
        <v>760</v>
      </c>
    </row>
    <row r="7220" spans="1:4" x14ac:dyDescent="0.25">
      <c r="A7220" s="32" t="s">
        <v>767</v>
      </c>
      <c r="B7220" s="7">
        <v>2001</v>
      </c>
      <c r="C7220" s="51" t="s">
        <v>699</v>
      </c>
      <c r="D7220" t="s">
        <v>760</v>
      </c>
    </row>
    <row r="7221" spans="1:4" x14ac:dyDescent="0.25">
      <c r="A7221" s="32" t="s">
        <v>767</v>
      </c>
      <c r="B7221" s="7">
        <v>2001</v>
      </c>
      <c r="C7221" s="51" t="s">
        <v>709</v>
      </c>
      <c r="D7221" t="s">
        <v>760</v>
      </c>
    </row>
    <row r="7222" spans="1:4" x14ac:dyDescent="0.25">
      <c r="A7222" s="32" t="s">
        <v>767</v>
      </c>
      <c r="B7222" s="7">
        <v>2001</v>
      </c>
      <c r="C7222" s="51" t="s">
        <v>712</v>
      </c>
      <c r="D7222" t="s">
        <v>760</v>
      </c>
    </row>
    <row r="7223" spans="1:4" x14ac:dyDescent="0.25">
      <c r="A7223" s="32" t="s">
        <v>767</v>
      </c>
      <c r="B7223" s="7">
        <v>2001</v>
      </c>
      <c r="C7223" s="51" t="s">
        <v>710</v>
      </c>
      <c r="D7223" t="s">
        <v>760</v>
      </c>
    </row>
    <row r="7224" spans="1:4" x14ac:dyDescent="0.25">
      <c r="A7224" s="32" t="s">
        <v>767</v>
      </c>
      <c r="B7224" s="7">
        <v>2001</v>
      </c>
      <c r="C7224" s="51" t="s">
        <v>702</v>
      </c>
      <c r="D7224" t="s">
        <v>760</v>
      </c>
    </row>
    <row r="7225" spans="1:4" x14ac:dyDescent="0.25">
      <c r="A7225" s="32" t="s">
        <v>767</v>
      </c>
      <c r="B7225" s="7">
        <v>2001</v>
      </c>
      <c r="C7225" s="51" t="s">
        <v>703</v>
      </c>
      <c r="D7225" t="s">
        <v>760</v>
      </c>
    </row>
    <row r="7226" spans="1:4" x14ac:dyDescent="0.25">
      <c r="A7226" s="32" t="s">
        <v>767</v>
      </c>
      <c r="B7226" s="7">
        <v>2001</v>
      </c>
      <c r="C7226" s="51" t="s">
        <v>704</v>
      </c>
      <c r="D7226" t="s">
        <v>760</v>
      </c>
    </row>
    <row r="7227" spans="1:4" x14ac:dyDescent="0.25">
      <c r="A7227" s="32" t="s">
        <v>767</v>
      </c>
      <c r="B7227" s="7">
        <v>2001</v>
      </c>
      <c r="C7227" s="51" t="s">
        <v>705</v>
      </c>
      <c r="D7227" t="s">
        <v>760</v>
      </c>
    </row>
    <row r="7228" spans="1:4" x14ac:dyDescent="0.25">
      <c r="A7228" s="32" t="s">
        <v>767</v>
      </c>
      <c r="B7228" s="7">
        <v>2001</v>
      </c>
      <c r="C7228" s="51" t="s">
        <v>706</v>
      </c>
      <c r="D7228" t="s">
        <v>760</v>
      </c>
    </row>
    <row r="7229" spans="1:4" x14ac:dyDescent="0.25">
      <c r="A7229" s="32" t="s">
        <v>767</v>
      </c>
      <c r="B7229" s="7">
        <v>2002</v>
      </c>
      <c r="C7229" s="51" t="s">
        <v>713</v>
      </c>
      <c r="D7229" t="s">
        <v>760</v>
      </c>
    </row>
    <row r="7230" spans="1:4" x14ac:dyDescent="0.25">
      <c r="A7230" s="32" t="s">
        <v>767</v>
      </c>
      <c r="B7230" s="7">
        <v>2002</v>
      </c>
      <c r="C7230" s="51" t="s">
        <v>707</v>
      </c>
      <c r="D7230" t="s">
        <v>760</v>
      </c>
    </row>
    <row r="7231" spans="1:4" x14ac:dyDescent="0.25">
      <c r="A7231" s="32" t="s">
        <v>767</v>
      </c>
      <c r="B7231" s="7">
        <v>2002</v>
      </c>
      <c r="C7231" s="51" t="s">
        <v>708</v>
      </c>
      <c r="D7231" t="s">
        <v>760</v>
      </c>
    </row>
    <row r="7232" spans="1:4" x14ac:dyDescent="0.25">
      <c r="A7232" s="32" t="s">
        <v>767</v>
      </c>
      <c r="B7232" s="7">
        <v>2002</v>
      </c>
      <c r="C7232" s="51" t="s">
        <v>699</v>
      </c>
      <c r="D7232" t="s">
        <v>760</v>
      </c>
    </row>
    <row r="7233" spans="1:4" x14ac:dyDescent="0.25">
      <c r="A7233" s="32" t="s">
        <v>767</v>
      </c>
      <c r="B7233" s="7">
        <v>2002</v>
      </c>
      <c r="C7233" s="51" t="s">
        <v>709</v>
      </c>
      <c r="D7233" t="s">
        <v>760</v>
      </c>
    </row>
    <row r="7234" spans="1:4" x14ac:dyDescent="0.25">
      <c r="A7234" s="32" t="s">
        <v>767</v>
      </c>
      <c r="B7234" s="7">
        <v>2002</v>
      </c>
      <c r="C7234" s="51" t="s">
        <v>712</v>
      </c>
      <c r="D7234" t="s">
        <v>760</v>
      </c>
    </row>
    <row r="7235" spans="1:4" x14ac:dyDescent="0.25">
      <c r="A7235" s="32" t="s">
        <v>767</v>
      </c>
      <c r="B7235" s="7">
        <v>2002</v>
      </c>
      <c r="C7235" s="51" t="s">
        <v>710</v>
      </c>
      <c r="D7235" t="s">
        <v>760</v>
      </c>
    </row>
    <row r="7236" spans="1:4" x14ac:dyDescent="0.25">
      <c r="A7236" s="32" t="s">
        <v>767</v>
      </c>
      <c r="B7236" s="7">
        <v>2002</v>
      </c>
      <c r="C7236" s="51" t="s">
        <v>702</v>
      </c>
      <c r="D7236" t="s">
        <v>760</v>
      </c>
    </row>
    <row r="7237" spans="1:4" x14ac:dyDescent="0.25">
      <c r="A7237" s="32" t="s">
        <v>767</v>
      </c>
      <c r="B7237" s="7">
        <v>2002</v>
      </c>
      <c r="C7237" s="51" t="s">
        <v>703</v>
      </c>
      <c r="D7237" t="s">
        <v>760</v>
      </c>
    </row>
    <row r="7238" spans="1:4" x14ac:dyDescent="0.25">
      <c r="A7238" s="32" t="s">
        <v>767</v>
      </c>
      <c r="B7238" s="7">
        <v>2002</v>
      </c>
      <c r="C7238" s="51" t="s">
        <v>704</v>
      </c>
      <c r="D7238" t="s">
        <v>760</v>
      </c>
    </row>
    <row r="7239" spans="1:4" x14ac:dyDescent="0.25">
      <c r="A7239" s="32" t="s">
        <v>767</v>
      </c>
      <c r="B7239" s="7">
        <v>2002</v>
      </c>
      <c r="C7239" s="51" t="s">
        <v>705</v>
      </c>
      <c r="D7239" t="s">
        <v>760</v>
      </c>
    </row>
    <row r="7240" spans="1:4" x14ac:dyDescent="0.25">
      <c r="A7240" s="32" t="s">
        <v>767</v>
      </c>
      <c r="B7240" s="7">
        <v>2002</v>
      </c>
      <c r="C7240" s="51" t="s">
        <v>706</v>
      </c>
      <c r="D7240" t="s">
        <v>760</v>
      </c>
    </row>
    <row r="7241" spans="1:4" x14ac:dyDescent="0.25">
      <c r="A7241" s="32" t="s">
        <v>767</v>
      </c>
      <c r="B7241" s="7">
        <v>2003</v>
      </c>
      <c r="C7241" s="51" t="s">
        <v>713</v>
      </c>
      <c r="D7241" t="s">
        <v>760</v>
      </c>
    </row>
    <row r="7242" spans="1:4" x14ac:dyDescent="0.25">
      <c r="A7242" s="32" t="s">
        <v>767</v>
      </c>
      <c r="B7242" s="7">
        <v>2003</v>
      </c>
      <c r="C7242" s="51" t="s">
        <v>707</v>
      </c>
      <c r="D7242" t="s">
        <v>760</v>
      </c>
    </row>
    <row r="7243" spans="1:4" x14ac:dyDescent="0.25">
      <c r="A7243" s="32" t="s">
        <v>767</v>
      </c>
      <c r="B7243" s="7">
        <v>2003</v>
      </c>
      <c r="C7243" s="51" t="s">
        <v>708</v>
      </c>
      <c r="D7243" t="s">
        <v>760</v>
      </c>
    </row>
    <row r="7244" spans="1:4" x14ac:dyDescent="0.25">
      <c r="A7244" s="32" t="s">
        <v>767</v>
      </c>
      <c r="B7244" s="7">
        <v>2003</v>
      </c>
      <c r="C7244" s="51" t="s">
        <v>699</v>
      </c>
      <c r="D7244" t="s">
        <v>760</v>
      </c>
    </row>
    <row r="7245" spans="1:4" x14ac:dyDescent="0.25">
      <c r="A7245" s="32" t="s">
        <v>767</v>
      </c>
      <c r="B7245" s="7">
        <v>2003</v>
      </c>
      <c r="C7245" s="51" t="s">
        <v>709</v>
      </c>
      <c r="D7245" t="s">
        <v>760</v>
      </c>
    </row>
    <row r="7246" spans="1:4" x14ac:dyDescent="0.25">
      <c r="A7246" s="32" t="s">
        <v>767</v>
      </c>
      <c r="B7246" s="7">
        <v>2003</v>
      </c>
      <c r="C7246" s="51" t="s">
        <v>712</v>
      </c>
      <c r="D7246" t="s">
        <v>760</v>
      </c>
    </row>
    <row r="7247" spans="1:4" x14ac:dyDescent="0.25">
      <c r="A7247" s="32" t="s">
        <v>767</v>
      </c>
      <c r="B7247" s="7">
        <v>2003</v>
      </c>
      <c r="C7247" s="51" t="s">
        <v>710</v>
      </c>
      <c r="D7247" t="s">
        <v>760</v>
      </c>
    </row>
    <row r="7248" spans="1:4" x14ac:dyDescent="0.25">
      <c r="A7248" s="32" t="s">
        <v>767</v>
      </c>
      <c r="B7248" s="7">
        <v>2003</v>
      </c>
      <c r="C7248" s="51" t="s">
        <v>702</v>
      </c>
      <c r="D7248" t="s">
        <v>760</v>
      </c>
    </row>
    <row r="7249" spans="1:4" x14ac:dyDescent="0.25">
      <c r="A7249" s="32" t="s">
        <v>767</v>
      </c>
      <c r="B7249" s="7">
        <v>2003</v>
      </c>
      <c r="C7249" s="51" t="s">
        <v>703</v>
      </c>
      <c r="D7249" t="s">
        <v>760</v>
      </c>
    </row>
    <row r="7250" spans="1:4" x14ac:dyDescent="0.25">
      <c r="A7250" s="32" t="s">
        <v>767</v>
      </c>
      <c r="B7250" s="7">
        <v>2003</v>
      </c>
      <c r="C7250" s="51" t="s">
        <v>704</v>
      </c>
      <c r="D7250" t="s">
        <v>760</v>
      </c>
    </row>
    <row r="7251" spans="1:4" x14ac:dyDescent="0.25">
      <c r="A7251" s="32" t="s">
        <v>767</v>
      </c>
      <c r="B7251" s="7">
        <v>2003</v>
      </c>
      <c r="C7251" s="51" t="s">
        <v>705</v>
      </c>
      <c r="D7251" t="s">
        <v>760</v>
      </c>
    </row>
    <row r="7252" spans="1:4" x14ac:dyDescent="0.25">
      <c r="A7252" s="32" t="s">
        <v>767</v>
      </c>
      <c r="B7252" s="7">
        <v>2003</v>
      </c>
      <c r="C7252" s="51" t="s">
        <v>706</v>
      </c>
      <c r="D7252" t="s">
        <v>760</v>
      </c>
    </row>
    <row r="7253" spans="1:4" x14ac:dyDescent="0.25">
      <c r="A7253" s="32" t="s">
        <v>767</v>
      </c>
      <c r="B7253" s="7">
        <v>2004</v>
      </c>
      <c r="C7253" s="51" t="s">
        <v>713</v>
      </c>
      <c r="D7253" t="s">
        <v>760</v>
      </c>
    </row>
    <row r="7254" spans="1:4" x14ac:dyDescent="0.25">
      <c r="A7254" s="32" t="s">
        <v>767</v>
      </c>
      <c r="B7254" s="7">
        <v>2004</v>
      </c>
      <c r="C7254" s="51" t="s">
        <v>707</v>
      </c>
      <c r="D7254" t="s">
        <v>760</v>
      </c>
    </row>
    <row r="7255" spans="1:4" x14ac:dyDescent="0.25">
      <c r="A7255" s="32" t="s">
        <v>767</v>
      </c>
      <c r="B7255" s="7">
        <v>2004</v>
      </c>
      <c r="C7255" s="51" t="s">
        <v>708</v>
      </c>
      <c r="D7255" t="s">
        <v>760</v>
      </c>
    </row>
    <row r="7256" spans="1:4" x14ac:dyDescent="0.25">
      <c r="A7256" s="32" t="s">
        <v>767</v>
      </c>
      <c r="B7256" s="7">
        <v>2004</v>
      </c>
      <c r="C7256" s="51" t="s">
        <v>699</v>
      </c>
      <c r="D7256" t="s">
        <v>760</v>
      </c>
    </row>
    <row r="7257" spans="1:4" x14ac:dyDescent="0.25">
      <c r="A7257" s="32" t="s">
        <v>767</v>
      </c>
      <c r="B7257" s="7">
        <v>2004</v>
      </c>
      <c r="C7257" s="51" t="s">
        <v>709</v>
      </c>
      <c r="D7257" t="s">
        <v>760</v>
      </c>
    </row>
    <row r="7258" spans="1:4" x14ac:dyDescent="0.25">
      <c r="A7258" s="32" t="s">
        <v>767</v>
      </c>
      <c r="B7258" s="7">
        <v>2004</v>
      </c>
      <c r="C7258" s="51" t="s">
        <v>712</v>
      </c>
      <c r="D7258" t="s">
        <v>760</v>
      </c>
    </row>
    <row r="7259" spans="1:4" x14ac:dyDescent="0.25">
      <c r="A7259" s="32" t="s">
        <v>767</v>
      </c>
      <c r="B7259" s="7">
        <v>2004</v>
      </c>
      <c r="C7259" s="51" t="s">
        <v>710</v>
      </c>
      <c r="D7259" t="s">
        <v>760</v>
      </c>
    </row>
    <row r="7260" spans="1:4" x14ac:dyDescent="0.25">
      <c r="A7260" s="32" t="s">
        <v>767</v>
      </c>
      <c r="B7260" s="7">
        <v>2004</v>
      </c>
      <c r="C7260" s="51" t="s">
        <v>702</v>
      </c>
      <c r="D7260" t="s">
        <v>760</v>
      </c>
    </row>
    <row r="7261" spans="1:4" x14ac:dyDescent="0.25">
      <c r="A7261" s="32" t="s">
        <v>767</v>
      </c>
      <c r="B7261" s="7">
        <v>2004</v>
      </c>
      <c r="C7261" s="51" t="s">
        <v>703</v>
      </c>
      <c r="D7261" t="s">
        <v>760</v>
      </c>
    </row>
    <row r="7262" spans="1:4" x14ac:dyDescent="0.25">
      <c r="A7262" s="32" t="s">
        <v>767</v>
      </c>
      <c r="B7262" s="7">
        <v>2004</v>
      </c>
      <c r="C7262" s="51" t="s">
        <v>704</v>
      </c>
      <c r="D7262" t="s">
        <v>760</v>
      </c>
    </row>
    <row r="7263" spans="1:4" x14ac:dyDescent="0.25">
      <c r="A7263" s="32" t="s">
        <v>767</v>
      </c>
      <c r="B7263" s="7">
        <v>2004</v>
      </c>
      <c r="C7263" s="51" t="s">
        <v>705</v>
      </c>
      <c r="D7263" t="s">
        <v>760</v>
      </c>
    </row>
    <row r="7264" spans="1:4" x14ac:dyDescent="0.25">
      <c r="A7264" s="32" t="s">
        <v>767</v>
      </c>
      <c r="B7264" s="7">
        <v>2004</v>
      </c>
      <c r="C7264" s="51" t="s">
        <v>706</v>
      </c>
      <c r="D7264" t="s">
        <v>760</v>
      </c>
    </row>
    <row r="7265" spans="1:5" x14ac:dyDescent="0.25">
      <c r="A7265" s="32" t="s">
        <v>767</v>
      </c>
      <c r="B7265" s="7">
        <v>2005</v>
      </c>
      <c r="C7265" s="51" t="s">
        <v>713</v>
      </c>
      <c r="D7265" t="s">
        <v>760</v>
      </c>
    </row>
    <row r="7266" spans="1:5" x14ac:dyDescent="0.25">
      <c r="A7266" s="32" t="s">
        <v>767</v>
      </c>
      <c r="B7266" s="7">
        <v>2005</v>
      </c>
      <c r="C7266" s="51" t="s">
        <v>707</v>
      </c>
      <c r="D7266" t="s">
        <v>760</v>
      </c>
    </row>
    <row r="7267" spans="1:5" x14ac:dyDescent="0.25">
      <c r="A7267" s="32" t="s">
        <v>767</v>
      </c>
      <c r="B7267" s="7">
        <v>2005</v>
      </c>
      <c r="C7267" s="51" t="s">
        <v>708</v>
      </c>
      <c r="D7267" t="s">
        <v>760</v>
      </c>
    </row>
    <row r="7268" spans="1:5" x14ac:dyDescent="0.25">
      <c r="A7268" s="32" t="s">
        <v>767</v>
      </c>
      <c r="B7268" s="7">
        <v>2005</v>
      </c>
      <c r="C7268" s="51" t="s">
        <v>699</v>
      </c>
      <c r="D7268" t="s">
        <v>760</v>
      </c>
    </row>
    <row r="7269" spans="1:5" x14ac:dyDescent="0.25">
      <c r="A7269" s="32" t="s">
        <v>767</v>
      </c>
      <c r="B7269" s="7">
        <v>2005</v>
      </c>
      <c r="C7269" s="51" t="s">
        <v>709</v>
      </c>
      <c r="D7269" t="s">
        <v>760</v>
      </c>
      <c r="E7269" s="2">
        <v>0.45700000000000002</v>
      </c>
    </row>
    <row r="7270" spans="1:5" x14ac:dyDescent="0.25">
      <c r="A7270" s="32" t="s">
        <v>767</v>
      </c>
      <c r="B7270" s="7">
        <v>2005</v>
      </c>
      <c r="C7270" s="51" t="s">
        <v>712</v>
      </c>
      <c r="D7270" t="s">
        <v>760</v>
      </c>
      <c r="E7270" s="2">
        <v>0.16300000000000001</v>
      </c>
    </row>
    <row r="7271" spans="1:5" x14ac:dyDescent="0.25">
      <c r="A7271" s="32" t="s">
        <v>767</v>
      </c>
      <c r="B7271" s="7">
        <v>2005</v>
      </c>
      <c r="C7271" s="51" t="s">
        <v>710</v>
      </c>
      <c r="D7271" t="s">
        <v>760</v>
      </c>
      <c r="E7271" s="2">
        <v>0.246</v>
      </c>
    </row>
    <row r="7272" spans="1:5" x14ac:dyDescent="0.25">
      <c r="A7272" s="32" t="s">
        <v>767</v>
      </c>
      <c r="B7272" s="7">
        <v>2005</v>
      </c>
      <c r="C7272" s="51" t="s">
        <v>702</v>
      </c>
      <c r="D7272" t="s">
        <v>760</v>
      </c>
      <c r="E7272" s="2">
        <v>0.23499999999999999</v>
      </c>
    </row>
    <row r="7273" spans="1:5" x14ac:dyDescent="0.25">
      <c r="A7273" s="32" t="s">
        <v>767</v>
      </c>
      <c r="B7273" s="7">
        <v>2005</v>
      </c>
      <c r="C7273" s="51" t="s">
        <v>703</v>
      </c>
      <c r="D7273" t="s">
        <v>760</v>
      </c>
      <c r="E7273" s="2">
        <v>0.17</v>
      </c>
    </row>
    <row r="7274" spans="1:5" x14ac:dyDescent="0.25">
      <c r="A7274" s="32" t="s">
        <v>767</v>
      </c>
      <c r="B7274" s="7">
        <v>2005</v>
      </c>
      <c r="C7274" s="51" t="s">
        <v>704</v>
      </c>
      <c r="D7274" t="s">
        <v>760</v>
      </c>
      <c r="E7274" s="2">
        <v>0.23699999999999999</v>
      </c>
    </row>
    <row r="7275" spans="1:5" x14ac:dyDescent="0.25">
      <c r="A7275" s="32" t="s">
        <v>767</v>
      </c>
      <c r="B7275" s="7">
        <v>2005</v>
      </c>
      <c r="C7275" s="51" t="s">
        <v>705</v>
      </c>
      <c r="D7275" t="s">
        <v>760</v>
      </c>
      <c r="E7275" s="2">
        <v>0.50800000000000001</v>
      </c>
    </row>
    <row r="7276" spans="1:5" x14ac:dyDescent="0.25">
      <c r="A7276" s="32" t="s">
        <v>767</v>
      </c>
      <c r="B7276" s="7">
        <v>2005</v>
      </c>
      <c r="C7276" s="51" t="s">
        <v>706</v>
      </c>
      <c r="D7276" t="s">
        <v>760</v>
      </c>
      <c r="E7276" s="2">
        <v>0.60499999999999998</v>
      </c>
    </row>
    <row r="7277" spans="1:5" x14ac:dyDescent="0.25">
      <c r="A7277" s="32" t="s">
        <v>767</v>
      </c>
      <c r="B7277" s="7">
        <v>2006</v>
      </c>
      <c r="C7277" s="51" t="s">
        <v>713</v>
      </c>
      <c r="D7277" t="s">
        <v>760</v>
      </c>
      <c r="E7277" s="2">
        <v>0.379</v>
      </c>
    </row>
    <row r="7278" spans="1:5" x14ac:dyDescent="0.25">
      <c r="A7278" s="32" t="s">
        <v>767</v>
      </c>
      <c r="B7278" s="7">
        <v>2006</v>
      </c>
      <c r="C7278" s="51" t="s">
        <v>707</v>
      </c>
      <c r="D7278" t="s">
        <v>760</v>
      </c>
      <c r="E7278" s="2">
        <v>0.313</v>
      </c>
    </row>
    <row r="7279" spans="1:5" x14ac:dyDescent="0.25">
      <c r="A7279" s="32" t="s">
        <v>767</v>
      </c>
      <c r="B7279" s="7">
        <v>2006</v>
      </c>
      <c r="C7279" s="51" t="s">
        <v>708</v>
      </c>
      <c r="D7279" t="s">
        <v>760</v>
      </c>
      <c r="E7279" s="2">
        <v>0.14099999999999999</v>
      </c>
    </row>
    <row r="7280" spans="1:5" x14ac:dyDescent="0.25">
      <c r="A7280" s="32" t="s">
        <v>767</v>
      </c>
      <c r="B7280" s="7">
        <v>2006</v>
      </c>
      <c r="C7280" s="51" t="s">
        <v>699</v>
      </c>
      <c r="D7280" t="s">
        <v>760</v>
      </c>
      <c r="E7280" s="2">
        <v>0.13900000000000001</v>
      </c>
    </row>
    <row r="7281" spans="1:5" x14ac:dyDescent="0.25">
      <c r="A7281" s="32" t="s">
        <v>767</v>
      </c>
      <c r="B7281" s="7">
        <v>2006</v>
      </c>
      <c r="C7281" s="51" t="s">
        <v>709</v>
      </c>
      <c r="D7281" t="s">
        <v>760</v>
      </c>
      <c r="E7281" s="2">
        <v>0.29499999999999998</v>
      </c>
    </row>
    <row r="7282" spans="1:5" x14ac:dyDescent="0.25">
      <c r="A7282" s="32" t="s">
        <v>767</v>
      </c>
      <c r="B7282" s="7">
        <v>2006</v>
      </c>
      <c r="C7282" s="51" t="s">
        <v>712</v>
      </c>
      <c r="D7282" t="s">
        <v>760</v>
      </c>
      <c r="E7282" s="2">
        <v>1.357</v>
      </c>
    </row>
    <row r="7283" spans="1:5" x14ac:dyDescent="0.25">
      <c r="A7283" s="32" t="s">
        <v>767</v>
      </c>
      <c r="B7283" s="7">
        <v>2006</v>
      </c>
      <c r="C7283" s="51" t="s">
        <v>710</v>
      </c>
      <c r="D7283" t="s">
        <v>760</v>
      </c>
      <c r="E7283" s="2">
        <v>0.23400000000000001</v>
      </c>
    </row>
    <row r="7284" spans="1:5" x14ac:dyDescent="0.25">
      <c r="A7284" s="32" t="s">
        <v>767</v>
      </c>
      <c r="B7284" s="7">
        <v>2006</v>
      </c>
      <c r="C7284" s="51" t="s">
        <v>702</v>
      </c>
      <c r="D7284" t="s">
        <v>760</v>
      </c>
      <c r="E7284" s="2">
        <v>0.221</v>
      </c>
    </row>
    <row r="7285" spans="1:5" x14ac:dyDescent="0.25">
      <c r="A7285" s="32" t="s">
        <v>767</v>
      </c>
      <c r="B7285" s="7">
        <v>2006</v>
      </c>
      <c r="C7285" s="51" t="s">
        <v>703</v>
      </c>
      <c r="D7285" t="s">
        <v>760</v>
      </c>
      <c r="E7285" s="2">
        <v>0.42499999999999999</v>
      </c>
    </row>
    <row r="7286" spans="1:5" x14ac:dyDescent="0.25">
      <c r="A7286" s="32" t="s">
        <v>767</v>
      </c>
      <c r="B7286" s="7">
        <v>2006</v>
      </c>
      <c r="C7286" s="51" t="s">
        <v>704</v>
      </c>
      <c r="D7286" t="s">
        <v>760</v>
      </c>
      <c r="E7286" s="2">
        <v>0.34300000000000003</v>
      </c>
    </row>
    <row r="7287" spans="1:5" x14ac:dyDescent="0.25">
      <c r="A7287" s="32" t="s">
        <v>767</v>
      </c>
      <c r="B7287" s="7">
        <v>2006</v>
      </c>
      <c r="C7287" s="51" t="s">
        <v>705</v>
      </c>
      <c r="D7287" t="s">
        <v>760</v>
      </c>
      <c r="E7287" s="2">
        <v>0.42399999999999999</v>
      </c>
    </row>
    <row r="7288" spans="1:5" x14ac:dyDescent="0.25">
      <c r="A7288" s="32" t="s">
        <v>767</v>
      </c>
      <c r="B7288" s="7">
        <v>2006</v>
      </c>
      <c r="C7288" s="51" t="s">
        <v>706</v>
      </c>
      <c r="D7288" t="s">
        <v>760</v>
      </c>
      <c r="E7288" s="2">
        <v>0.30199999999999999</v>
      </c>
    </row>
    <row r="7289" spans="1:5" x14ac:dyDescent="0.25">
      <c r="A7289" s="32" t="s">
        <v>767</v>
      </c>
      <c r="B7289" s="7">
        <v>2007</v>
      </c>
      <c r="C7289" s="51" t="s">
        <v>713</v>
      </c>
      <c r="D7289" t="s">
        <v>760</v>
      </c>
      <c r="E7289" s="2">
        <v>0.34699999999999998</v>
      </c>
    </row>
    <row r="7290" spans="1:5" x14ac:dyDescent="0.25">
      <c r="A7290" s="32" t="s">
        <v>767</v>
      </c>
      <c r="B7290" s="7">
        <v>2007</v>
      </c>
      <c r="C7290" s="51" t="s">
        <v>707</v>
      </c>
      <c r="D7290" t="s">
        <v>760</v>
      </c>
      <c r="E7290" s="2">
        <v>0.33300000000000002</v>
      </c>
    </row>
    <row r="7291" spans="1:5" x14ac:dyDescent="0.25">
      <c r="A7291" s="32" t="s">
        <v>767</v>
      </c>
      <c r="B7291" s="7">
        <v>2007</v>
      </c>
      <c r="C7291" s="51" t="s">
        <v>708</v>
      </c>
      <c r="D7291" t="s">
        <v>760</v>
      </c>
      <c r="E7291" s="2">
        <v>0.50900000000000001</v>
      </c>
    </row>
    <row r="7292" spans="1:5" x14ac:dyDescent="0.25">
      <c r="A7292" s="32" t="s">
        <v>767</v>
      </c>
      <c r="B7292" s="7">
        <v>2007</v>
      </c>
      <c r="C7292" s="51" t="s">
        <v>699</v>
      </c>
      <c r="D7292" t="s">
        <v>760</v>
      </c>
      <c r="E7292" s="2">
        <v>0.51700000000000002</v>
      </c>
    </row>
    <row r="7293" spans="1:5" x14ac:dyDescent="0.25">
      <c r="A7293" s="32" t="s">
        <v>767</v>
      </c>
      <c r="B7293" s="7">
        <v>2007</v>
      </c>
      <c r="C7293" s="51" t="s">
        <v>709</v>
      </c>
      <c r="D7293" t="s">
        <v>760</v>
      </c>
      <c r="E7293" s="2">
        <v>0.16500000000000001</v>
      </c>
    </row>
    <row r="7294" spans="1:5" x14ac:dyDescent="0.25">
      <c r="A7294" s="32" t="s">
        <v>767</v>
      </c>
      <c r="B7294" s="7">
        <v>2007</v>
      </c>
      <c r="C7294" s="51" t="s">
        <v>712</v>
      </c>
      <c r="D7294" t="s">
        <v>760</v>
      </c>
      <c r="E7294" s="2">
        <v>0.191</v>
      </c>
    </row>
    <row r="7295" spans="1:5" x14ac:dyDescent="0.25">
      <c r="A7295" s="32" t="s">
        <v>767</v>
      </c>
      <c r="B7295" s="7">
        <v>2007</v>
      </c>
      <c r="C7295" s="51" t="s">
        <v>710</v>
      </c>
      <c r="D7295" t="s">
        <v>760</v>
      </c>
      <c r="E7295" s="2">
        <v>0.23899999999999999</v>
      </c>
    </row>
    <row r="7296" spans="1:5" x14ac:dyDescent="0.25">
      <c r="A7296" s="32" t="s">
        <v>767</v>
      </c>
      <c r="B7296" s="7">
        <v>2007</v>
      </c>
      <c r="C7296" s="51" t="s">
        <v>702</v>
      </c>
      <c r="D7296" t="s">
        <v>760</v>
      </c>
      <c r="E7296" s="2">
        <v>0.27900000000000003</v>
      </c>
    </row>
    <row r="7297" spans="1:5" x14ac:dyDescent="0.25">
      <c r="A7297" s="32" t="s">
        <v>767</v>
      </c>
      <c r="B7297" s="7">
        <v>2007</v>
      </c>
      <c r="C7297" s="51" t="s">
        <v>703</v>
      </c>
      <c r="D7297" t="s">
        <v>760</v>
      </c>
      <c r="E7297" s="2">
        <v>0.161</v>
      </c>
    </row>
    <row r="7298" spans="1:5" x14ac:dyDescent="0.25">
      <c r="A7298" s="32" t="s">
        <v>767</v>
      </c>
      <c r="B7298" s="7">
        <v>2007</v>
      </c>
      <c r="C7298" s="51" t="s">
        <v>704</v>
      </c>
      <c r="D7298" t="s">
        <v>760</v>
      </c>
      <c r="E7298" s="2">
        <v>0.315</v>
      </c>
    </row>
    <row r="7299" spans="1:5" x14ac:dyDescent="0.25">
      <c r="A7299" s="32" t="s">
        <v>767</v>
      </c>
      <c r="B7299" s="7">
        <v>2007</v>
      </c>
      <c r="C7299" s="51" t="s">
        <v>705</v>
      </c>
      <c r="D7299" t="s">
        <v>760</v>
      </c>
      <c r="E7299" s="2">
        <v>0.26500000000000001</v>
      </c>
    </row>
    <row r="7300" spans="1:5" x14ac:dyDescent="0.25">
      <c r="A7300" s="32" t="s">
        <v>767</v>
      </c>
      <c r="B7300" s="7">
        <v>2007</v>
      </c>
      <c r="C7300" s="51" t="s">
        <v>706</v>
      </c>
      <c r="D7300" t="s">
        <v>760</v>
      </c>
      <c r="E7300" s="2">
        <v>0.28100000000000003</v>
      </c>
    </row>
    <row r="7301" spans="1:5" x14ac:dyDescent="0.25">
      <c r="A7301" s="32" t="s">
        <v>767</v>
      </c>
      <c r="B7301" s="7">
        <v>2008</v>
      </c>
      <c r="C7301" s="51" t="s">
        <v>713</v>
      </c>
      <c r="D7301" t="s">
        <v>760</v>
      </c>
      <c r="E7301" s="2">
        <v>0.185</v>
      </c>
    </row>
    <row r="7302" spans="1:5" x14ac:dyDescent="0.25">
      <c r="A7302" s="32" t="s">
        <v>767</v>
      </c>
      <c r="B7302" s="7">
        <v>2008</v>
      </c>
      <c r="C7302" s="51" t="s">
        <v>707</v>
      </c>
      <c r="D7302" t="s">
        <v>760</v>
      </c>
      <c r="E7302" s="2">
        <v>0.28499999999999998</v>
      </c>
    </row>
    <row r="7303" spans="1:5" x14ac:dyDescent="0.25">
      <c r="A7303" s="32" t="s">
        <v>767</v>
      </c>
      <c r="B7303" s="7">
        <v>2008</v>
      </c>
      <c r="C7303" s="51" t="s">
        <v>708</v>
      </c>
      <c r="D7303" t="s">
        <v>760</v>
      </c>
      <c r="E7303" s="2">
        <v>0.307</v>
      </c>
    </row>
    <row r="7304" spans="1:5" x14ac:dyDescent="0.25">
      <c r="A7304" s="32" t="s">
        <v>767</v>
      </c>
      <c r="B7304" s="7">
        <v>2008</v>
      </c>
      <c r="C7304" s="51" t="s">
        <v>699</v>
      </c>
      <c r="D7304" t="s">
        <v>760</v>
      </c>
      <c r="E7304" s="2">
        <v>0.501</v>
      </c>
    </row>
    <row r="7305" spans="1:5" x14ac:dyDescent="0.25">
      <c r="A7305" s="32" t="s">
        <v>767</v>
      </c>
      <c r="B7305" s="7">
        <v>2008</v>
      </c>
      <c r="C7305" s="51" t="s">
        <v>709</v>
      </c>
      <c r="D7305" t="s">
        <v>760</v>
      </c>
      <c r="E7305" s="2">
        <v>1.8740000000000001</v>
      </c>
    </row>
    <row r="7306" spans="1:5" x14ac:dyDescent="0.25">
      <c r="A7306" s="32" t="s">
        <v>767</v>
      </c>
      <c r="B7306" s="7">
        <v>2008</v>
      </c>
      <c r="C7306" s="51" t="s">
        <v>712</v>
      </c>
      <c r="D7306" t="s">
        <v>760</v>
      </c>
      <c r="E7306" s="2">
        <v>0.23799999999999999</v>
      </c>
    </row>
    <row r="7307" spans="1:5" x14ac:dyDescent="0.25">
      <c r="A7307" s="32" t="s">
        <v>767</v>
      </c>
      <c r="B7307" s="7">
        <v>2008</v>
      </c>
      <c r="C7307" s="51" t="s">
        <v>710</v>
      </c>
      <c r="D7307" t="s">
        <v>760</v>
      </c>
      <c r="E7307" s="2">
        <v>0.255</v>
      </c>
    </row>
    <row r="7308" spans="1:5" x14ac:dyDescent="0.25">
      <c r="A7308" s="32" t="s">
        <v>767</v>
      </c>
      <c r="B7308" s="7">
        <v>2008</v>
      </c>
      <c r="C7308" s="51" t="s">
        <v>702</v>
      </c>
      <c r="D7308" t="s">
        <v>760</v>
      </c>
      <c r="E7308" s="2">
        <v>0.158</v>
      </c>
    </row>
    <row r="7309" spans="1:5" x14ac:dyDescent="0.25">
      <c r="A7309" s="32" t="s">
        <v>767</v>
      </c>
      <c r="B7309" s="7">
        <v>2008</v>
      </c>
      <c r="C7309" s="51" t="s">
        <v>703</v>
      </c>
      <c r="D7309" t="s">
        <v>760</v>
      </c>
      <c r="E7309" s="2">
        <v>0.49</v>
      </c>
    </row>
    <row r="7310" spans="1:5" x14ac:dyDescent="0.25">
      <c r="A7310" s="32" t="s">
        <v>767</v>
      </c>
      <c r="B7310" s="7">
        <v>2008</v>
      </c>
      <c r="C7310" s="51" t="s">
        <v>704</v>
      </c>
      <c r="D7310" t="s">
        <v>760</v>
      </c>
      <c r="E7310" s="2">
        <v>0.13800000000000001</v>
      </c>
    </row>
    <row r="7311" spans="1:5" x14ac:dyDescent="0.25">
      <c r="A7311" s="32" t="s">
        <v>767</v>
      </c>
      <c r="B7311" s="7">
        <v>2008</v>
      </c>
      <c r="C7311" s="51" t="s">
        <v>705</v>
      </c>
      <c r="D7311" t="s">
        <v>760</v>
      </c>
      <c r="E7311" s="2">
        <v>0.193</v>
      </c>
    </row>
    <row r="7312" spans="1:5" x14ac:dyDescent="0.25">
      <c r="A7312" s="32" t="s">
        <v>767</v>
      </c>
      <c r="B7312" s="7">
        <v>2008</v>
      </c>
      <c r="C7312" s="51" t="s">
        <v>706</v>
      </c>
      <c r="D7312" t="s">
        <v>760</v>
      </c>
      <c r="E7312" s="2">
        <v>0.32700000000000001</v>
      </c>
    </row>
    <row r="7313" spans="1:5" x14ac:dyDescent="0.25">
      <c r="A7313" s="32" t="s">
        <v>767</v>
      </c>
      <c r="B7313" s="7">
        <v>2009</v>
      </c>
      <c r="C7313" s="51" t="s">
        <v>713</v>
      </c>
      <c r="D7313" t="s">
        <v>760</v>
      </c>
      <c r="E7313" s="2">
        <v>0.51200000000000001</v>
      </c>
    </row>
    <row r="7314" spans="1:5" x14ac:dyDescent="0.25">
      <c r="A7314" s="32" t="s">
        <v>767</v>
      </c>
      <c r="B7314" s="7">
        <v>2009</v>
      </c>
      <c r="C7314" s="51" t="s">
        <v>707</v>
      </c>
      <c r="D7314" t="s">
        <v>760</v>
      </c>
      <c r="E7314" s="2">
        <v>0.185</v>
      </c>
    </row>
    <row r="7315" spans="1:5" x14ac:dyDescent="0.25">
      <c r="A7315" s="32" t="s">
        <v>767</v>
      </c>
      <c r="B7315" s="7">
        <v>2009</v>
      </c>
      <c r="C7315" s="51" t="s">
        <v>708</v>
      </c>
      <c r="D7315" t="s">
        <v>760</v>
      </c>
      <c r="E7315" s="2">
        <v>0.36899999999999999</v>
      </c>
    </row>
    <row r="7316" spans="1:5" x14ac:dyDescent="0.25">
      <c r="A7316" s="32" t="s">
        <v>767</v>
      </c>
      <c r="B7316" s="7">
        <v>2009</v>
      </c>
      <c r="C7316" s="51" t="s">
        <v>699</v>
      </c>
      <c r="D7316" t="s">
        <v>760</v>
      </c>
      <c r="E7316" s="2">
        <v>0.316</v>
      </c>
    </row>
    <row r="7317" spans="1:5" x14ac:dyDescent="0.25">
      <c r="A7317" s="32" t="s">
        <v>767</v>
      </c>
      <c r="B7317" s="7">
        <v>2009</v>
      </c>
      <c r="C7317" s="51" t="s">
        <v>709</v>
      </c>
      <c r="D7317" t="s">
        <v>760</v>
      </c>
      <c r="E7317" s="2">
        <v>0.48299999999999998</v>
      </c>
    </row>
    <row r="7318" spans="1:5" x14ac:dyDescent="0.25">
      <c r="A7318" s="32" t="s">
        <v>767</v>
      </c>
      <c r="B7318" s="7">
        <v>2009</v>
      </c>
      <c r="C7318" s="51" t="s">
        <v>712</v>
      </c>
      <c r="D7318" t="s">
        <v>760</v>
      </c>
      <c r="E7318" s="2">
        <v>0.48599999999999999</v>
      </c>
    </row>
    <row r="7319" spans="1:5" x14ac:dyDescent="0.25">
      <c r="A7319" s="32" t="s">
        <v>767</v>
      </c>
      <c r="B7319" s="7">
        <v>2009</v>
      </c>
      <c r="C7319" s="51" t="s">
        <v>710</v>
      </c>
      <c r="D7319" t="s">
        <v>760</v>
      </c>
      <c r="E7319" s="2">
        <v>0.186</v>
      </c>
    </row>
    <row r="7320" spans="1:5" x14ac:dyDescent="0.25">
      <c r="A7320" s="32" t="s">
        <v>767</v>
      </c>
      <c r="B7320" s="7">
        <v>2009</v>
      </c>
      <c r="C7320" s="51" t="s">
        <v>702</v>
      </c>
      <c r="D7320" t="s">
        <v>760</v>
      </c>
      <c r="E7320" s="2">
        <v>0.245</v>
      </c>
    </row>
    <row r="7321" spans="1:5" x14ac:dyDescent="0.25">
      <c r="A7321" s="32" t="s">
        <v>767</v>
      </c>
      <c r="B7321" s="7">
        <v>2009</v>
      </c>
      <c r="C7321" s="51" t="s">
        <v>703</v>
      </c>
      <c r="D7321" t="s">
        <v>760</v>
      </c>
      <c r="E7321" s="2">
        <v>0.185</v>
      </c>
    </row>
    <row r="7322" spans="1:5" x14ac:dyDescent="0.25">
      <c r="A7322" s="32" t="s">
        <v>767</v>
      </c>
      <c r="B7322" s="7">
        <v>2009</v>
      </c>
      <c r="C7322" s="51" t="s">
        <v>704</v>
      </c>
      <c r="D7322" t="s">
        <v>760</v>
      </c>
      <c r="E7322" s="2">
        <v>0.36699999999999999</v>
      </c>
    </row>
    <row r="7323" spans="1:5" x14ac:dyDescent="0.25">
      <c r="A7323" s="32" t="s">
        <v>767</v>
      </c>
      <c r="B7323" s="7">
        <v>2009</v>
      </c>
      <c r="C7323" s="51" t="s">
        <v>705</v>
      </c>
      <c r="D7323" t="s">
        <v>760</v>
      </c>
      <c r="E7323" s="2">
        <v>0.34499999999999997</v>
      </c>
    </row>
    <row r="7324" spans="1:5" x14ac:dyDescent="0.25">
      <c r="A7324" s="32" t="s">
        <v>767</v>
      </c>
      <c r="B7324" s="7">
        <v>2009</v>
      </c>
      <c r="C7324" s="51" t="s">
        <v>706</v>
      </c>
      <c r="D7324" t="s">
        <v>760</v>
      </c>
      <c r="E7324" s="2">
        <v>0.58499999999999996</v>
      </c>
    </row>
    <row r="7325" spans="1:5" x14ac:dyDescent="0.25">
      <c r="A7325" s="32" t="s">
        <v>767</v>
      </c>
      <c r="B7325" s="7">
        <v>2010</v>
      </c>
      <c r="C7325" s="51" t="s">
        <v>713</v>
      </c>
      <c r="D7325" t="s">
        <v>760</v>
      </c>
      <c r="E7325" s="2">
        <v>0.308</v>
      </c>
    </row>
    <row r="7326" spans="1:5" x14ac:dyDescent="0.25">
      <c r="A7326" s="32" t="s">
        <v>767</v>
      </c>
      <c r="B7326" s="7">
        <v>2010</v>
      </c>
      <c r="C7326" s="51" t="s">
        <v>707</v>
      </c>
      <c r="D7326" t="s">
        <v>760</v>
      </c>
      <c r="E7326" s="2">
        <v>0.39700000000000002</v>
      </c>
    </row>
    <row r="7327" spans="1:5" x14ac:dyDescent="0.25">
      <c r="A7327" s="32" t="s">
        <v>767</v>
      </c>
      <c r="B7327" s="7">
        <v>2010</v>
      </c>
      <c r="C7327" s="51" t="s">
        <v>708</v>
      </c>
      <c r="D7327" t="s">
        <v>760</v>
      </c>
      <c r="E7327" s="2">
        <v>0.42899999999999999</v>
      </c>
    </row>
    <row r="7328" spans="1:5" x14ac:dyDescent="0.25">
      <c r="A7328" s="32" t="s">
        <v>767</v>
      </c>
      <c r="B7328" s="7">
        <v>2010</v>
      </c>
      <c r="C7328" s="51" t="s">
        <v>699</v>
      </c>
      <c r="D7328" t="s">
        <v>760</v>
      </c>
      <c r="E7328" s="2">
        <v>0.22900000000000001</v>
      </c>
    </row>
    <row r="7329" spans="1:5" x14ac:dyDescent="0.25">
      <c r="A7329" s="32" t="s">
        <v>767</v>
      </c>
      <c r="B7329" s="7">
        <v>2010</v>
      </c>
      <c r="C7329" s="51" t="s">
        <v>709</v>
      </c>
      <c r="D7329" t="s">
        <v>760</v>
      </c>
      <c r="E7329" s="2">
        <v>0.45300000000000001</v>
      </c>
    </row>
    <row r="7330" spans="1:5" x14ac:dyDescent="0.25">
      <c r="A7330" s="32" t="s">
        <v>767</v>
      </c>
      <c r="B7330" s="7">
        <v>2010</v>
      </c>
      <c r="C7330" s="51" t="s">
        <v>712</v>
      </c>
      <c r="D7330" t="s">
        <v>760</v>
      </c>
      <c r="E7330" s="2">
        <v>0.22500000000000001</v>
      </c>
    </row>
    <row r="7331" spans="1:5" x14ac:dyDescent="0.25">
      <c r="A7331" s="32" t="s">
        <v>767</v>
      </c>
      <c r="B7331" s="7">
        <v>2010</v>
      </c>
      <c r="C7331" s="51" t="s">
        <v>710</v>
      </c>
      <c r="D7331" t="s">
        <v>760</v>
      </c>
      <c r="E7331" s="2">
        <v>0.23799999999999999</v>
      </c>
    </row>
    <row r="7332" spans="1:5" x14ac:dyDescent="0.25">
      <c r="A7332" s="32" t="s">
        <v>767</v>
      </c>
      <c r="B7332" s="7">
        <v>2010</v>
      </c>
      <c r="C7332" s="51" t="s">
        <v>702</v>
      </c>
      <c r="D7332" t="s">
        <v>760</v>
      </c>
      <c r="E7332" s="2">
        <v>0.26400000000000001</v>
      </c>
    </row>
    <row r="7333" spans="1:5" x14ac:dyDescent="0.25">
      <c r="A7333" s="32" t="s">
        <v>767</v>
      </c>
      <c r="B7333" s="7">
        <v>2010</v>
      </c>
      <c r="C7333" s="51" t="s">
        <v>703</v>
      </c>
      <c r="D7333" t="s">
        <v>760</v>
      </c>
      <c r="E7333" s="2">
        <v>0.20300000000000001</v>
      </c>
    </row>
    <row r="7334" spans="1:5" x14ac:dyDescent="0.25">
      <c r="A7334" s="32" t="s">
        <v>767</v>
      </c>
      <c r="B7334" s="7">
        <v>2010</v>
      </c>
      <c r="C7334" s="51" t="s">
        <v>704</v>
      </c>
      <c r="D7334" t="s">
        <v>760</v>
      </c>
      <c r="E7334" s="2">
        <v>0.30599999999999999</v>
      </c>
    </row>
    <row r="7335" spans="1:5" x14ac:dyDescent="0.25">
      <c r="A7335" s="32" t="s">
        <v>767</v>
      </c>
      <c r="B7335" s="7">
        <v>2010</v>
      </c>
      <c r="C7335" s="51" t="s">
        <v>705</v>
      </c>
      <c r="D7335" t="s">
        <v>760</v>
      </c>
      <c r="E7335" s="2">
        <v>0.314</v>
      </c>
    </row>
    <row r="7336" spans="1:5" x14ac:dyDescent="0.25">
      <c r="A7336" s="32" t="s">
        <v>767</v>
      </c>
      <c r="B7336" s="7">
        <v>2010</v>
      </c>
      <c r="C7336" s="51" t="s">
        <v>706</v>
      </c>
      <c r="D7336" t="s">
        <v>760</v>
      </c>
      <c r="E7336" s="2">
        <v>0.24099999999999999</v>
      </c>
    </row>
    <row r="7337" spans="1:5" x14ac:dyDescent="0.25">
      <c r="A7337" s="32" t="s">
        <v>767</v>
      </c>
      <c r="B7337" s="7">
        <v>2011</v>
      </c>
      <c r="C7337" s="51" t="s">
        <v>713</v>
      </c>
      <c r="D7337" t="s">
        <v>760</v>
      </c>
      <c r="E7337" s="2">
        <v>0.19600000000000001</v>
      </c>
    </row>
    <row r="7338" spans="1:5" x14ac:dyDescent="0.25">
      <c r="A7338" s="32" t="s">
        <v>767</v>
      </c>
      <c r="B7338" s="7">
        <v>2011</v>
      </c>
      <c r="C7338" s="51" t="s">
        <v>707</v>
      </c>
      <c r="D7338" t="s">
        <v>760</v>
      </c>
      <c r="E7338" s="2">
        <v>0.39100000000000001</v>
      </c>
    </row>
    <row r="7339" spans="1:5" x14ac:dyDescent="0.25">
      <c r="A7339" s="32" t="s">
        <v>767</v>
      </c>
      <c r="B7339" s="7">
        <v>2011</v>
      </c>
      <c r="C7339" s="51" t="s">
        <v>708</v>
      </c>
      <c r="D7339" t="s">
        <v>760</v>
      </c>
      <c r="E7339" s="2">
        <v>0.53700000000000003</v>
      </c>
    </row>
    <row r="7340" spans="1:5" x14ac:dyDescent="0.25">
      <c r="A7340" s="32" t="s">
        <v>767</v>
      </c>
      <c r="B7340" s="7">
        <v>2011</v>
      </c>
      <c r="C7340" s="51" t="s">
        <v>699</v>
      </c>
      <c r="D7340" t="s">
        <v>760</v>
      </c>
      <c r="E7340" s="2">
        <v>0.46400000000000002</v>
      </c>
    </row>
    <row r="7341" spans="1:5" x14ac:dyDescent="0.25">
      <c r="A7341" s="32" t="s">
        <v>767</v>
      </c>
      <c r="B7341" s="7">
        <v>2011</v>
      </c>
      <c r="C7341" s="51" t="s">
        <v>709</v>
      </c>
      <c r="D7341" t="s">
        <v>760</v>
      </c>
      <c r="E7341" s="2">
        <v>0.35799999999999998</v>
      </c>
    </row>
    <row r="7342" spans="1:5" x14ac:dyDescent="0.25">
      <c r="A7342" s="32" t="s">
        <v>767</v>
      </c>
      <c r="B7342" s="7">
        <v>2011</v>
      </c>
      <c r="C7342" s="51" t="s">
        <v>712</v>
      </c>
      <c r="D7342" t="s">
        <v>760</v>
      </c>
      <c r="E7342" s="2">
        <v>0.20100000000000001</v>
      </c>
    </row>
    <row r="7343" spans="1:5" x14ac:dyDescent="0.25">
      <c r="A7343" s="32" t="s">
        <v>767</v>
      </c>
      <c r="B7343" s="7">
        <v>2011</v>
      </c>
      <c r="C7343" s="51" t="s">
        <v>710</v>
      </c>
      <c r="D7343" t="s">
        <v>760</v>
      </c>
      <c r="E7343" s="2">
        <v>0.214</v>
      </c>
    </row>
    <row r="7344" spans="1:5" x14ac:dyDescent="0.25">
      <c r="A7344" s="32" t="s">
        <v>767</v>
      </c>
      <c r="B7344" s="7">
        <v>2011</v>
      </c>
      <c r="C7344" s="51" t="s">
        <v>702</v>
      </c>
      <c r="D7344" t="s">
        <v>760</v>
      </c>
      <c r="E7344" s="2">
        <v>0.28499999999999998</v>
      </c>
    </row>
    <row r="7345" spans="1:5" x14ac:dyDescent="0.25">
      <c r="A7345" s="32" t="s">
        <v>767</v>
      </c>
      <c r="B7345" s="7">
        <v>2011</v>
      </c>
      <c r="C7345" s="51" t="s">
        <v>703</v>
      </c>
      <c r="D7345" t="s">
        <v>760</v>
      </c>
      <c r="E7345" s="2">
        <v>0.72099999999999997</v>
      </c>
    </row>
    <row r="7346" spans="1:5" x14ac:dyDescent="0.25">
      <c r="A7346" s="32" t="s">
        <v>767</v>
      </c>
      <c r="B7346" s="7">
        <v>2011</v>
      </c>
      <c r="C7346" s="51" t="s">
        <v>704</v>
      </c>
      <c r="D7346" t="s">
        <v>760</v>
      </c>
      <c r="E7346" s="2">
        <v>0.54</v>
      </c>
    </row>
    <row r="7347" spans="1:5" x14ac:dyDescent="0.25">
      <c r="A7347" s="32" t="s">
        <v>767</v>
      </c>
      <c r="B7347" s="7">
        <v>2011</v>
      </c>
      <c r="C7347" s="51" t="s">
        <v>705</v>
      </c>
      <c r="D7347" t="s">
        <v>760</v>
      </c>
      <c r="E7347" s="2">
        <v>0.33100000000000002</v>
      </c>
    </row>
    <row r="7348" spans="1:5" x14ac:dyDescent="0.25">
      <c r="A7348" s="32" t="s">
        <v>767</v>
      </c>
      <c r="B7348" s="7">
        <v>2011</v>
      </c>
      <c r="C7348" s="51" t="s">
        <v>706</v>
      </c>
      <c r="D7348" t="s">
        <v>760</v>
      </c>
      <c r="E7348" s="2">
        <v>0.47399999999999998</v>
      </c>
    </row>
    <row r="7349" spans="1:5" x14ac:dyDescent="0.25">
      <c r="A7349" s="32" t="s">
        <v>767</v>
      </c>
      <c r="B7349" s="7">
        <v>2012</v>
      </c>
      <c r="C7349" s="51" t="s">
        <v>713</v>
      </c>
      <c r="D7349" t="s">
        <v>760</v>
      </c>
      <c r="E7349" s="2">
        <v>0.38</v>
      </c>
    </row>
    <row r="7350" spans="1:5" x14ac:dyDescent="0.25">
      <c r="A7350" s="32" t="s">
        <v>767</v>
      </c>
      <c r="B7350" s="7">
        <v>2012</v>
      </c>
      <c r="C7350" s="51" t="s">
        <v>707</v>
      </c>
      <c r="D7350" t="s">
        <v>760</v>
      </c>
      <c r="E7350" s="2">
        <v>0.182</v>
      </c>
    </row>
    <row r="7351" spans="1:5" x14ac:dyDescent="0.25">
      <c r="A7351" s="32" t="s">
        <v>767</v>
      </c>
      <c r="B7351" s="7">
        <v>2012</v>
      </c>
      <c r="C7351" s="51" t="s">
        <v>708</v>
      </c>
      <c r="D7351" t="s">
        <v>760</v>
      </c>
      <c r="E7351" s="2">
        <v>0.38400000000000001</v>
      </c>
    </row>
    <row r="7352" spans="1:5" x14ac:dyDescent="0.25">
      <c r="A7352" s="32" t="s">
        <v>767</v>
      </c>
      <c r="B7352" s="7">
        <v>2012</v>
      </c>
      <c r="C7352" s="51" t="s">
        <v>699</v>
      </c>
      <c r="D7352" t="s">
        <v>760</v>
      </c>
      <c r="E7352" s="2">
        <v>0.252</v>
      </c>
    </row>
    <row r="7353" spans="1:5" x14ac:dyDescent="0.25">
      <c r="A7353" s="32" t="s">
        <v>767</v>
      </c>
      <c r="B7353" s="7">
        <v>2012</v>
      </c>
      <c r="C7353" s="51" t="s">
        <v>709</v>
      </c>
      <c r="D7353" t="s">
        <v>760</v>
      </c>
      <c r="E7353" s="2">
        <v>0.378</v>
      </c>
    </row>
    <row r="7354" spans="1:5" x14ac:dyDescent="0.25">
      <c r="A7354" s="32" t="s">
        <v>767</v>
      </c>
      <c r="B7354" s="7">
        <v>2012</v>
      </c>
      <c r="C7354" s="51" t="s">
        <v>712</v>
      </c>
      <c r="D7354" t="s">
        <v>760</v>
      </c>
      <c r="E7354" s="2">
        <v>0.22800000000000001</v>
      </c>
    </row>
    <row r="7355" spans="1:5" x14ac:dyDescent="0.25">
      <c r="A7355" s="32" t="s">
        <v>767</v>
      </c>
      <c r="B7355" s="7">
        <v>2012</v>
      </c>
      <c r="C7355" s="51" t="s">
        <v>710</v>
      </c>
      <c r="D7355" t="s">
        <v>760</v>
      </c>
      <c r="E7355" s="2">
        <v>0.219</v>
      </c>
    </row>
    <row r="7356" spans="1:5" x14ac:dyDescent="0.25">
      <c r="A7356" s="32" t="s">
        <v>767</v>
      </c>
      <c r="B7356" s="7">
        <v>2012</v>
      </c>
      <c r="C7356" s="51" t="s">
        <v>702</v>
      </c>
      <c r="D7356" t="s">
        <v>760</v>
      </c>
      <c r="E7356" s="2">
        <v>0.186</v>
      </c>
    </row>
    <row r="7357" spans="1:5" x14ac:dyDescent="0.25">
      <c r="A7357" s="32" t="s">
        <v>767</v>
      </c>
      <c r="B7357" s="7">
        <v>2012</v>
      </c>
      <c r="C7357" s="51" t="s">
        <v>703</v>
      </c>
      <c r="D7357" t="s">
        <v>760</v>
      </c>
      <c r="E7357" s="2">
        <v>0.183</v>
      </c>
    </row>
    <row r="7358" spans="1:5" x14ac:dyDescent="0.25">
      <c r="A7358" s="32" t="s">
        <v>767</v>
      </c>
      <c r="B7358" s="7">
        <v>2012</v>
      </c>
      <c r="C7358" s="51" t="s">
        <v>704</v>
      </c>
      <c r="D7358" t="s">
        <v>760</v>
      </c>
      <c r="E7358" s="2">
        <v>0.754</v>
      </c>
    </row>
    <row r="7359" spans="1:5" x14ac:dyDescent="0.25">
      <c r="A7359" s="32" t="s">
        <v>767</v>
      </c>
      <c r="B7359" s="7">
        <v>2012</v>
      </c>
      <c r="C7359" s="51" t="s">
        <v>705</v>
      </c>
      <c r="D7359" t="s">
        <v>760</v>
      </c>
      <c r="E7359" s="2">
        <v>0.29099999999999998</v>
      </c>
    </row>
    <row r="7360" spans="1:5" x14ac:dyDescent="0.25">
      <c r="A7360" s="32" t="s">
        <v>767</v>
      </c>
      <c r="B7360" s="7">
        <v>2012</v>
      </c>
      <c r="C7360" s="51" t="s">
        <v>706</v>
      </c>
      <c r="D7360" t="s">
        <v>760</v>
      </c>
      <c r="E7360" s="2">
        <v>0.45500000000000002</v>
      </c>
    </row>
    <row r="7361" spans="1:5" x14ac:dyDescent="0.25">
      <c r="A7361" s="32" t="s">
        <v>767</v>
      </c>
      <c r="B7361" s="7">
        <v>2013</v>
      </c>
      <c r="C7361" s="51" t="s">
        <v>713</v>
      </c>
      <c r="D7361" t="s">
        <v>760</v>
      </c>
      <c r="E7361" s="2">
        <v>0.60199999999999998</v>
      </c>
    </row>
    <row r="7362" spans="1:5" x14ac:dyDescent="0.25">
      <c r="A7362" s="32" t="s">
        <v>767</v>
      </c>
      <c r="B7362" s="7">
        <v>2013</v>
      </c>
      <c r="C7362" s="51" t="s">
        <v>707</v>
      </c>
      <c r="D7362" t="s">
        <v>760</v>
      </c>
      <c r="E7362" s="2">
        <v>0.40400000000000003</v>
      </c>
    </row>
    <row r="7363" spans="1:5" x14ac:dyDescent="0.25">
      <c r="A7363" s="32" t="s">
        <v>767</v>
      </c>
      <c r="B7363" s="7">
        <v>2013</v>
      </c>
      <c r="C7363" s="51" t="s">
        <v>708</v>
      </c>
      <c r="D7363" t="s">
        <v>760</v>
      </c>
      <c r="E7363" s="2">
        <v>0.47099999999999997</v>
      </c>
    </row>
    <row r="7364" spans="1:5" x14ac:dyDescent="0.25">
      <c r="A7364" s="32" t="s">
        <v>767</v>
      </c>
      <c r="B7364" s="7">
        <v>2013</v>
      </c>
      <c r="C7364" s="51" t="s">
        <v>699</v>
      </c>
      <c r="D7364" t="s">
        <v>760</v>
      </c>
      <c r="E7364" s="2">
        <v>0.42299999999999999</v>
      </c>
    </row>
    <row r="7365" spans="1:5" x14ac:dyDescent="0.25">
      <c r="A7365" s="32" t="s">
        <v>767</v>
      </c>
      <c r="B7365" s="7">
        <v>2013</v>
      </c>
      <c r="C7365" s="51" t="s">
        <v>709</v>
      </c>
      <c r="D7365" t="s">
        <v>760</v>
      </c>
      <c r="E7365" s="2">
        <v>0.36699999999999999</v>
      </c>
    </row>
    <row r="7366" spans="1:5" x14ac:dyDescent="0.25">
      <c r="A7366" s="32" t="s">
        <v>767</v>
      </c>
      <c r="B7366" s="7">
        <v>2013</v>
      </c>
      <c r="C7366" s="51" t="s">
        <v>712</v>
      </c>
      <c r="D7366" t="s">
        <v>760</v>
      </c>
      <c r="E7366" s="2">
        <v>0.623</v>
      </c>
    </row>
    <row r="7367" spans="1:5" x14ac:dyDescent="0.25">
      <c r="A7367" s="32" t="s">
        <v>767</v>
      </c>
      <c r="B7367" s="7">
        <v>2013</v>
      </c>
      <c r="C7367" s="51" t="s">
        <v>710</v>
      </c>
      <c r="D7367" t="s">
        <v>760</v>
      </c>
      <c r="E7367" s="2">
        <v>0.53600000000000003</v>
      </c>
    </row>
    <row r="7368" spans="1:5" x14ac:dyDescent="0.25">
      <c r="A7368" s="32" t="s">
        <v>767</v>
      </c>
      <c r="B7368" s="7">
        <v>2013</v>
      </c>
      <c r="C7368" s="51" t="s">
        <v>702</v>
      </c>
      <c r="D7368" t="s">
        <v>760</v>
      </c>
      <c r="E7368" s="2">
        <v>0.23</v>
      </c>
    </row>
    <row r="7369" spans="1:5" x14ac:dyDescent="0.25">
      <c r="A7369" s="32" t="s">
        <v>767</v>
      </c>
      <c r="B7369" s="7">
        <v>2013</v>
      </c>
      <c r="C7369" s="51" t="s">
        <v>703</v>
      </c>
      <c r="D7369" t="s">
        <v>760</v>
      </c>
      <c r="E7369" s="2">
        <v>0.23200000000000001</v>
      </c>
    </row>
    <row r="7370" spans="1:5" x14ac:dyDescent="0.25">
      <c r="A7370" s="32" t="s">
        <v>767</v>
      </c>
      <c r="B7370" s="7">
        <v>2013</v>
      </c>
      <c r="C7370" s="51" t="s">
        <v>704</v>
      </c>
      <c r="D7370" t="s">
        <v>760</v>
      </c>
      <c r="E7370" s="2">
        <v>0.56399999999999995</v>
      </c>
    </row>
    <row r="7371" spans="1:5" x14ac:dyDescent="0.25">
      <c r="A7371" s="32" t="s">
        <v>767</v>
      </c>
      <c r="B7371" s="7">
        <v>2013</v>
      </c>
      <c r="C7371" s="51" t="s">
        <v>705</v>
      </c>
      <c r="D7371" t="s">
        <v>760</v>
      </c>
      <c r="E7371" s="2">
        <v>0.26</v>
      </c>
    </row>
    <row r="7372" spans="1:5" x14ac:dyDescent="0.25">
      <c r="A7372" s="32" t="s">
        <v>767</v>
      </c>
      <c r="B7372" s="7">
        <v>2013</v>
      </c>
      <c r="C7372" s="51" t="s">
        <v>706</v>
      </c>
      <c r="D7372" t="s">
        <v>760</v>
      </c>
      <c r="E7372" s="2">
        <v>0.41299999999999998</v>
      </c>
    </row>
    <row r="7373" spans="1:5" x14ac:dyDescent="0.25">
      <c r="A7373" s="32" t="s">
        <v>767</v>
      </c>
      <c r="B7373" s="7">
        <v>2014</v>
      </c>
      <c r="C7373" s="51" t="s">
        <v>713</v>
      </c>
      <c r="D7373" t="s">
        <v>760</v>
      </c>
      <c r="E7373" s="2">
        <v>0.43099999999999999</v>
      </c>
    </row>
    <row r="7374" spans="1:5" x14ac:dyDescent="0.25">
      <c r="A7374" s="32" t="s">
        <v>767</v>
      </c>
      <c r="B7374" s="7">
        <v>2014</v>
      </c>
      <c r="C7374" s="51" t="s">
        <v>707</v>
      </c>
      <c r="D7374" t="s">
        <v>760</v>
      </c>
      <c r="E7374" s="2">
        <v>0.44900000000000001</v>
      </c>
    </row>
    <row r="7375" spans="1:5" x14ac:dyDescent="0.25">
      <c r="A7375" s="32" t="s">
        <v>767</v>
      </c>
      <c r="B7375" s="7">
        <v>2014</v>
      </c>
      <c r="C7375" s="51" t="s">
        <v>708</v>
      </c>
      <c r="D7375" t="s">
        <v>760</v>
      </c>
      <c r="E7375" s="2">
        <v>0.50800000000000001</v>
      </c>
    </row>
    <row r="7376" spans="1:5" x14ac:dyDescent="0.25">
      <c r="A7376" s="32" t="s">
        <v>767</v>
      </c>
      <c r="B7376" s="7">
        <v>2014</v>
      </c>
      <c r="C7376" s="51" t="s">
        <v>699</v>
      </c>
      <c r="D7376" t="s">
        <v>760</v>
      </c>
      <c r="E7376" s="2">
        <v>0.371</v>
      </c>
    </row>
    <row r="7377" spans="1:5" x14ac:dyDescent="0.25">
      <c r="A7377" s="32" t="s">
        <v>767</v>
      </c>
      <c r="B7377" s="7">
        <v>2014</v>
      </c>
      <c r="C7377" s="51" t="s">
        <v>709</v>
      </c>
      <c r="D7377" t="s">
        <v>760</v>
      </c>
      <c r="E7377" s="2">
        <v>0.50700000000000001</v>
      </c>
    </row>
    <row r="7378" spans="1:5" x14ac:dyDescent="0.25">
      <c r="A7378" s="32" t="s">
        <v>767</v>
      </c>
      <c r="B7378" s="7">
        <v>2014</v>
      </c>
      <c r="C7378" s="51" t="s">
        <v>712</v>
      </c>
      <c r="D7378" t="s">
        <v>760</v>
      </c>
      <c r="E7378" s="2">
        <v>0.503</v>
      </c>
    </row>
    <row r="7379" spans="1:5" x14ac:dyDescent="0.25">
      <c r="A7379" s="32" t="s">
        <v>767</v>
      </c>
      <c r="B7379" s="7">
        <v>2014</v>
      </c>
      <c r="C7379" s="51" t="s">
        <v>710</v>
      </c>
      <c r="D7379" t="s">
        <v>760</v>
      </c>
      <c r="E7379" s="2">
        <v>0.29499999999999998</v>
      </c>
    </row>
    <row r="7380" spans="1:5" x14ac:dyDescent="0.25">
      <c r="A7380" s="32" t="s">
        <v>767</v>
      </c>
      <c r="B7380" s="7">
        <v>2014</v>
      </c>
      <c r="C7380" s="51" t="s">
        <v>702</v>
      </c>
      <c r="D7380" t="s">
        <v>760</v>
      </c>
      <c r="E7380" s="2">
        <v>0.33900000000000002</v>
      </c>
    </row>
    <row r="7381" spans="1:5" x14ac:dyDescent="0.25">
      <c r="A7381" s="32" t="s">
        <v>767</v>
      </c>
      <c r="B7381" s="7">
        <v>2014</v>
      </c>
      <c r="C7381" s="51" t="s">
        <v>703</v>
      </c>
      <c r="D7381" t="s">
        <v>760</v>
      </c>
      <c r="E7381" s="2">
        <v>0.36599999999999999</v>
      </c>
    </row>
    <row r="7382" spans="1:5" x14ac:dyDescent="0.25">
      <c r="A7382" s="32" t="s">
        <v>767</v>
      </c>
      <c r="B7382" s="7">
        <v>2014</v>
      </c>
      <c r="C7382" s="51" t="s">
        <v>704</v>
      </c>
      <c r="D7382" t="s">
        <v>760</v>
      </c>
      <c r="E7382" s="2">
        <v>0.40100000000000002</v>
      </c>
    </row>
    <row r="7383" spans="1:5" x14ac:dyDescent="0.25">
      <c r="A7383" s="32" t="s">
        <v>767</v>
      </c>
      <c r="B7383" s="7">
        <v>2014</v>
      </c>
      <c r="C7383" s="51" t="s">
        <v>705</v>
      </c>
      <c r="D7383" t="s">
        <v>760</v>
      </c>
      <c r="E7383" s="2">
        <v>0.36799999999999999</v>
      </c>
    </row>
    <row r="7384" spans="1:5" x14ac:dyDescent="0.25">
      <c r="A7384" s="32" t="s">
        <v>767</v>
      </c>
      <c r="B7384" s="7">
        <v>2014</v>
      </c>
      <c r="C7384" s="51" t="s">
        <v>706</v>
      </c>
      <c r="D7384" t="s">
        <v>760</v>
      </c>
      <c r="E7384" s="2">
        <v>0.34699999999999998</v>
      </c>
    </row>
    <row r="7385" spans="1:5" x14ac:dyDescent="0.25">
      <c r="A7385" s="32" t="s">
        <v>767</v>
      </c>
      <c r="B7385" s="7">
        <v>2015</v>
      </c>
      <c r="C7385" s="51" t="s">
        <v>713</v>
      </c>
      <c r="D7385" t="s">
        <v>760</v>
      </c>
      <c r="E7385" s="2">
        <v>0.34499999999999997</v>
      </c>
    </row>
    <row r="7386" spans="1:5" x14ac:dyDescent="0.25">
      <c r="A7386" s="32" t="s">
        <v>767</v>
      </c>
      <c r="B7386" s="7">
        <v>2015</v>
      </c>
      <c r="C7386" s="51" t="s">
        <v>707</v>
      </c>
      <c r="D7386" t="s">
        <v>760</v>
      </c>
      <c r="E7386" s="2">
        <v>0.30399999999999999</v>
      </c>
    </row>
    <row r="7387" spans="1:5" x14ac:dyDescent="0.25">
      <c r="A7387" s="32" t="s">
        <v>767</v>
      </c>
      <c r="B7387" s="7">
        <v>2015</v>
      </c>
      <c r="C7387" s="51" t="s">
        <v>708</v>
      </c>
      <c r="D7387" t="s">
        <v>760</v>
      </c>
      <c r="E7387" s="2">
        <v>0.44400000000000001</v>
      </c>
    </row>
    <row r="7388" spans="1:5" x14ac:dyDescent="0.25">
      <c r="A7388" s="32" t="s">
        <v>767</v>
      </c>
      <c r="B7388" s="7">
        <v>2015</v>
      </c>
      <c r="C7388" s="51" t="s">
        <v>699</v>
      </c>
      <c r="D7388" t="s">
        <v>760</v>
      </c>
      <c r="E7388" s="2">
        <v>0.35899999999999999</v>
      </c>
    </row>
    <row r="7389" spans="1:5" x14ac:dyDescent="0.25">
      <c r="A7389" s="32" t="s">
        <v>767</v>
      </c>
      <c r="B7389" s="7">
        <v>2015</v>
      </c>
      <c r="C7389" s="51" t="s">
        <v>709</v>
      </c>
      <c r="D7389" t="s">
        <v>760</v>
      </c>
      <c r="E7389" s="2">
        <v>0.26</v>
      </c>
    </row>
    <row r="7390" spans="1:5" x14ac:dyDescent="0.25">
      <c r="A7390" s="32" t="s">
        <v>767</v>
      </c>
      <c r="B7390" s="7">
        <v>2015</v>
      </c>
      <c r="C7390" s="51" t="s">
        <v>712</v>
      </c>
      <c r="D7390" t="s">
        <v>760</v>
      </c>
      <c r="E7390" s="2">
        <v>0.39</v>
      </c>
    </row>
    <row r="7391" spans="1:5" x14ac:dyDescent="0.25">
      <c r="A7391" s="32" t="s">
        <v>767</v>
      </c>
      <c r="B7391" s="7">
        <v>2015</v>
      </c>
      <c r="C7391" s="51" t="s">
        <v>710</v>
      </c>
      <c r="D7391" t="s">
        <v>760</v>
      </c>
      <c r="E7391" s="2">
        <v>0.3</v>
      </c>
    </row>
    <row r="7392" spans="1:5" x14ac:dyDescent="0.25">
      <c r="A7392" s="32" t="s">
        <v>767</v>
      </c>
      <c r="B7392" s="7">
        <v>2015</v>
      </c>
      <c r="C7392" s="51" t="s">
        <v>702</v>
      </c>
      <c r="D7392" t="s">
        <v>760</v>
      </c>
      <c r="E7392" s="2">
        <v>0.248</v>
      </c>
    </row>
    <row r="7393" spans="1:5" x14ac:dyDescent="0.25">
      <c r="A7393" s="32" t="s">
        <v>767</v>
      </c>
      <c r="B7393" s="7">
        <v>2015</v>
      </c>
      <c r="C7393" s="51" t="s">
        <v>703</v>
      </c>
      <c r="D7393" t="s">
        <v>760</v>
      </c>
      <c r="E7393" s="2">
        <v>0.25</v>
      </c>
    </row>
    <row r="7394" spans="1:5" x14ac:dyDescent="0.25">
      <c r="A7394" s="32" t="s">
        <v>767</v>
      </c>
      <c r="B7394" s="7">
        <v>2015</v>
      </c>
      <c r="C7394" s="51" t="s">
        <v>704</v>
      </c>
      <c r="D7394" t="s">
        <v>760</v>
      </c>
      <c r="E7394" s="2">
        <v>0.35499999999999998</v>
      </c>
    </row>
    <row r="7395" spans="1:5" x14ac:dyDescent="0.25">
      <c r="A7395" s="32" t="s">
        <v>767</v>
      </c>
      <c r="B7395" s="7">
        <v>2015</v>
      </c>
      <c r="C7395" s="51" t="s">
        <v>705</v>
      </c>
      <c r="D7395" t="s">
        <v>760</v>
      </c>
      <c r="E7395" s="2">
        <v>0.34300000000000003</v>
      </c>
    </row>
    <row r="7396" spans="1:5" x14ac:dyDescent="0.25">
      <c r="A7396" s="32" t="s">
        <v>767</v>
      </c>
      <c r="B7396" s="7">
        <v>2015</v>
      </c>
      <c r="C7396" s="51" t="s">
        <v>706</v>
      </c>
      <c r="D7396" t="s">
        <v>760</v>
      </c>
      <c r="E7396" s="2">
        <v>0.33100000000000002</v>
      </c>
    </row>
    <row r="7397" spans="1:5" x14ac:dyDescent="0.25">
      <c r="A7397" s="32" t="s">
        <v>767</v>
      </c>
      <c r="B7397" s="7">
        <v>2016</v>
      </c>
      <c r="C7397" s="51" t="s">
        <v>713</v>
      </c>
      <c r="D7397" t="s">
        <v>760</v>
      </c>
      <c r="E7397" s="2">
        <v>0.34699999999999998</v>
      </c>
    </row>
    <row r="7398" spans="1:5" x14ac:dyDescent="0.25">
      <c r="A7398" s="32" t="s">
        <v>767</v>
      </c>
      <c r="B7398" s="7">
        <v>2016</v>
      </c>
      <c r="C7398" s="51" t="s">
        <v>707</v>
      </c>
      <c r="D7398" t="s">
        <v>760</v>
      </c>
      <c r="E7398" s="2">
        <v>0.52300000000000002</v>
      </c>
    </row>
    <row r="7399" spans="1:5" x14ac:dyDescent="0.25">
      <c r="A7399" s="32" t="s">
        <v>767</v>
      </c>
      <c r="B7399" s="7">
        <v>2016</v>
      </c>
      <c r="C7399" s="51" t="s">
        <v>708</v>
      </c>
      <c r="D7399" t="s">
        <v>760</v>
      </c>
      <c r="E7399" s="2">
        <v>0.36199999999999999</v>
      </c>
    </row>
    <row r="7400" spans="1:5" x14ac:dyDescent="0.25">
      <c r="A7400" s="32" t="s">
        <v>767</v>
      </c>
      <c r="B7400" s="7">
        <v>2016</v>
      </c>
      <c r="C7400" s="51" t="s">
        <v>699</v>
      </c>
      <c r="D7400" t="s">
        <v>760</v>
      </c>
      <c r="E7400" s="2">
        <v>0.35099999999999998</v>
      </c>
    </row>
    <row r="7401" spans="1:5" x14ac:dyDescent="0.25">
      <c r="A7401" s="32" t="s">
        <v>767</v>
      </c>
      <c r="B7401" s="7">
        <v>2016</v>
      </c>
      <c r="C7401" s="51" t="s">
        <v>709</v>
      </c>
      <c r="D7401" t="s">
        <v>760</v>
      </c>
      <c r="E7401" s="2">
        <v>0.49</v>
      </c>
    </row>
    <row r="7402" spans="1:5" x14ac:dyDescent="0.25">
      <c r="A7402" s="32" t="s">
        <v>767</v>
      </c>
      <c r="B7402" s="7">
        <v>2016</v>
      </c>
      <c r="C7402" s="51" t="s">
        <v>712</v>
      </c>
      <c r="D7402" t="s">
        <v>760</v>
      </c>
      <c r="E7402" s="2">
        <v>0.40500000000000003</v>
      </c>
    </row>
    <row r="7403" spans="1:5" x14ac:dyDescent="0.25">
      <c r="A7403" s="32" t="s">
        <v>767</v>
      </c>
      <c r="B7403" s="7">
        <v>2016</v>
      </c>
      <c r="C7403" s="51" t="s">
        <v>710</v>
      </c>
      <c r="D7403" t="s">
        <v>760</v>
      </c>
      <c r="E7403" s="2">
        <v>0.307</v>
      </c>
    </row>
    <row r="7404" spans="1:5" x14ac:dyDescent="0.25">
      <c r="A7404" s="32" t="s">
        <v>767</v>
      </c>
      <c r="B7404" s="7">
        <v>2016</v>
      </c>
      <c r="C7404" s="51" t="s">
        <v>702</v>
      </c>
      <c r="D7404" t="s">
        <v>760</v>
      </c>
      <c r="E7404" s="2">
        <v>0.30199999999999999</v>
      </c>
    </row>
    <row r="7405" spans="1:5" x14ac:dyDescent="0.25">
      <c r="A7405" s="32" t="s">
        <v>767</v>
      </c>
      <c r="B7405" s="7">
        <v>2016</v>
      </c>
      <c r="C7405" s="51" t="s">
        <v>703</v>
      </c>
      <c r="D7405" t="s">
        <v>760</v>
      </c>
      <c r="E7405" s="2">
        <v>0.44</v>
      </c>
    </row>
    <row r="7406" spans="1:5" x14ac:dyDescent="0.25">
      <c r="A7406" s="32" t="s">
        <v>767</v>
      </c>
      <c r="B7406" s="7">
        <v>2016</v>
      </c>
      <c r="C7406" s="51" t="s">
        <v>704</v>
      </c>
      <c r="D7406" t="s">
        <v>760</v>
      </c>
      <c r="E7406" s="2">
        <v>0.29799999999999999</v>
      </c>
    </row>
    <row r="7407" spans="1:5" x14ac:dyDescent="0.25">
      <c r="A7407" s="32" t="s">
        <v>767</v>
      </c>
      <c r="B7407" s="7">
        <v>2016</v>
      </c>
      <c r="C7407" s="51" t="s">
        <v>705</v>
      </c>
      <c r="D7407" t="s">
        <v>760</v>
      </c>
      <c r="E7407" s="2">
        <v>0.27400000000000002</v>
      </c>
    </row>
    <row r="7408" spans="1:5" x14ac:dyDescent="0.25">
      <c r="A7408" s="32" t="s">
        <v>767</v>
      </c>
      <c r="B7408" s="7">
        <v>2016</v>
      </c>
      <c r="C7408" s="51" t="s">
        <v>706</v>
      </c>
      <c r="D7408" t="s">
        <v>760</v>
      </c>
      <c r="E7408" s="2">
        <v>0.35699999999999998</v>
      </c>
    </row>
    <row r="7409" spans="1:5" x14ac:dyDescent="0.25">
      <c r="A7409" s="32" t="s">
        <v>767</v>
      </c>
      <c r="B7409" s="7">
        <v>2017</v>
      </c>
      <c r="C7409" s="51" t="s">
        <v>713</v>
      </c>
      <c r="D7409" t="s">
        <v>760</v>
      </c>
      <c r="E7409" s="2">
        <v>0.39600000000000002</v>
      </c>
    </row>
    <row r="7410" spans="1:5" x14ac:dyDescent="0.25">
      <c r="A7410" s="32" t="s">
        <v>767</v>
      </c>
      <c r="B7410" s="7">
        <v>2017</v>
      </c>
      <c r="C7410" s="51" t="s">
        <v>707</v>
      </c>
      <c r="D7410" t="s">
        <v>760</v>
      </c>
      <c r="E7410" s="2">
        <v>0.34499999999999997</v>
      </c>
    </row>
    <row r="7411" spans="1:5" x14ac:dyDescent="0.25">
      <c r="A7411" s="32" t="s">
        <v>767</v>
      </c>
      <c r="B7411" s="7">
        <v>2017</v>
      </c>
      <c r="C7411" s="51" t="s">
        <v>708</v>
      </c>
      <c r="D7411" t="s">
        <v>760</v>
      </c>
      <c r="E7411" s="2">
        <v>0.35799999999999998</v>
      </c>
    </row>
    <row r="7412" spans="1:5" x14ac:dyDescent="0.25">
      <c r="A7412" s="32" t="s">
        <v>767</v>
      </c>
      <c r="B7412" s="7">
        <v>2017</v>
      </c>
      <c r="C7412" s="51" t="s">
        <v>699</v>
      </c>
      <c r="D7412" t="s">
        <v>760</v>
      </c>
      <c r="E7412" s="2">
        <v>0.48099999999999998</v>
      </c>
    </row>
    <row r="7413" spans="1:5" x14ac:dyDescent="0.25">
      <c r="A7413" s="32" t="s">
        <v>767</v>
      </c>
      <c r="B7413" s="7">
        <v>2017</v>
      </c>
      <c r="C7413" s="51" t="s">
        <v>709</v>
      </c>
      <c r="D7413" t="s">
        <v>760</v>
      </c>
      <c r="E7413" s="2">
        <v>0.45900000000000002</v>
      </c>
    </row>
    <row r="7414" spans="1:5" x14ac:dyDescent="0.25">
      <c r="A7414" s="32" t="s">
        <v>767</v>
      </c>
      <c r="B7414" s="7">
        <v>2017</v>
      </c>
      <c r="C7414" s="51" t="s">
        <v>712</v>
      </c>
      <c r="D7414" t="s">
        <v>760</v>
      </c>
      <c r="E7414" s="2">
        <v>0.39400000000000002</v>
      </c>
    </row>
    <row r="7415" spans="1:5" x14ac:dyDescent="0.25">
      <c r="A7415" s="32" t="s">
        <v>767</v>
      </c>
      <c r="B7415" s="7">
        <v>2017</v>
      </c>
      <c r="C7415" s="51" t="s">
        <v>710</v>
      </c>
      <c r="D7415" t="s">
        <v>760</v>
      </c>
      <c r="E7415" s="2">
        <v>0.59</v>
      </c>
    </row>
    <row r="7416" spans="1:5" x14ac:dyDescent="0.25">
      <c r="A7416" s="32" t="s">
        <v>767</v>
      </c>
      <c r="B7416" s="7">
        <v>2017</v>
      </c>
      <c r="C7416" s="51" t="s">
        <v>702</v>
      </c>
      <c r="D7416" t="s">
        <v>760</v>
      </c>
      <c r="E7416" s="2">
        <v>0.71299999999999997</v>
      </c>
    </row>
    <row r="7417" spans="1:5" x14ac:dyDescent="0.25">
      <c r="A7417" s="32" t="s">
        <v>767</v>
      </c>
      <c r="B7417" s="7">
        <v>2017</v>
      </c>
      <c r="C7417" s="51" t="s">
        <v>703</v>
      </c>
      <c r="D7417" t="s">
        <v>760</v>
      </c>
      <c r="E7417" s="2">
        <v>0.43099999999999999</v>
      </c>
    </row>
    <row r="7418" spans="1:5" x14ac:dyDescent="0.25">
      <c r="A7418" s="32" t="s">
        <v>767</v>
      </c>
      <c r="B7418" s="7">
        <v>2017</v>
      </c>
      <c r="C7418" s="51" t="s">
        <v>704</v>
      </c>
      <c r="D7418" t="s">
        <v>760</v>
      </c>
      <c r="E7418" s="2">
        <v>0.33600000000000002</v>
      </c>
    </row>
    <row r="7419" spans="1:5" x14ac:dyDescent="0.25">
      <c r="A7419" s="32" t="s">
        <v>767</v>
      </c>
      <c r="B7419" s="7">
        <v>2017</v>
      </c>
      <c r="C7419" s="51" t="s">
        <v>705</v>
      </c>
      <c r="D7419" t="s">
        <v>760</v>
      </c>
      <c r="E7419" s="2">
        <v>0.36499999999999999</v>
      </c>
    </row>
    <row r="7420" spans="1:5" x14ac:dyDescent="0.25">
      <c r="A7420" s="32" t="s">
        <v>767</v>
      </c>
      <c r="B7420" s="7">
        <v>2017</v>
      </c>
      <c r="C7420" s="51" t="s">
        <v>706</v>
      </c>
      <c r="D7420" t="s">
        <v>760</v>
      </c>
      <c r="E7420" s="2">
        <v>0.215</v>
      </c>
    </row>
    <row r="7421" spans="1:5" x14ac:dyDescent="0.25">
      <c r="A7421" s="32" t="s">
        <v>767</v>
      </c>
      <c r="B7421" s="7">
        <v>2018</v>
      </c>
      <c r="C7421" s="51" t="s">
        <v>713</v>
      </c>
      <c r="D7421" t="s">
        <v>760</v>
      </c>
      <c r="E7421" s="2">
        <v>0.374</v>
      </c>
    </row>
    <row r="7422" spans="1:5" x14ac:dyDescent="0.25">
      <c r="A7422" s="32" t="s">
        <v>767</v>
      </c>
      <c r="B7422" s="7">
        <v>2018</v>
      </c>
      <c r="C7422" s="51" t="s">
        <v>707</v>
      </c>
      <c r="D7422" t="s">
        <v>760</v>
      </c>
      <c r="E7422" s="2">
        <v>0.39500000000000002</v>
      </c>
    </row>
    <row r="7423" spans="1:5" x14ac:dyDescent="0.25">
      <c r="A7423" s="32" t="s">
        <v>767</v>
      </c>
      <c r="B7423" s="7">
        <v>2018</v>
      </c>
      <c r="C7423" s="51" t="s">
        <v>708</v>
      </c>
      <c r="D7423" t="s">
        <v>760</v>
      </c>
      <c r="E7423" s="2">
        <v>0.40500000000000003</v>
      </c>
    </row>
    <row r="7424" spans="1:5" x14ac:dyDescent="0.25">
      <c r="A7424" s="32" t="s">
        <v>767</v>
      </c>
      <c r="B7424" s="7">
        <v>2018</v>
      </c>
      <c r="C7424" s="51" t="s">
        <v>699</v>
      </c>
      <c r="D7424" t="s">
        <v>760</v>
      </c>
      <c r="E7424" s="2">
        <v>0.377</v>
      </c>
    </row>
    <row r="7425" spans="1:5" x14ac:dyDescent="0.25">
      <c r="A7425" s="32" t="s">
        <v>767</v>
      </c>
      <c r="B7425" s="7">
        <v>2018</v>
      </c>
      <c r="C7425" s="51" t="s">
        <v>709</v>
      </c>
      <c r="D7425" t="s">
        <v>760</v>
      </c>
      <c r="E7425" s="2">
        <v>0.50700000000000001</v>
      </c>
    </row>
    <row r="7426" spans="1:5" x14ac:dyDescent="0.25">
      <c r="A7426" s="32" t="s">
        <v>767</v>
      </c>
      <c r="B7426" s="7">
        <v>2018</v>
      </c>
      <c r="C7426" s="51" t="s">
        <v>712</v>
      </c>
      <c r="D7426" t="s">
        <v>760</v>
      </c>
      <c r="E7426" s="2">
        <v>0.47</v>
      </c>
    </row>
    <row r="7427" spans="1:5" x14ac:dyDescent="0.25">
      <c r="A7427" s="32" t="s">
        <v>767</v>
      </c>
      <c r="B7427" s="7">
        <v>2018</v>
      </c>
      <c r="C7427" s="51" t="s">
        <v>710</v>
      </c>
      <c r="D7427" t="s">
        <v>760</v>
      </c>
      <c r="E7427" s="2">
        <v>0.53300000000000003</v>
      </c>
    </row>
    <row r="7428" spans="1:5" x14ac:dyDescent="0.25">
      <c r="A7428" s="32" t="s">
        <v>767</v>
      </c>
      <c r="B7428" s="7">
        <v>2018</v>
      </c>
      <c r="C7428" s="51" t="s">
        <v>702</v>
      </c>
      <c r="D7428" t="s">
        <v>760</v>
      </c>
      <c r="E7428" s="2">
        <v>1.1160000000000001</v>
      </c>
    </row>
    <row r="7429" spans="1:5" x14ac:dyDescent="0.25">
      <c r="A7429" s="32" t="s">
        <v>767</v>
      </c>
      <c r="B7429" s="7">
        <v>2018</v>
      </c>
      <c r="C7429" s="51" t="s">
        <v>703</v>
      </c>
      <c r="D7429" t="s">
        <v>760</v>
      </c>
      <c r="E7429" s="2">
        <v>0.57499999999999996</v>
      </c>
    </row>
    <row r="7430" spans="1:5" x14ac:dyDescent="0.25">
      <c r="A7430" s="32" t="s">
        <v>767</v>
      </c>
      <c r="B7430" s="7">
        <v>2018</v>
      </c>
      <c r="C7430" s="51" t="s">
        <v>704</v>
      </c>
      <c r="D7430" t="s">
        <v>760</v>
      </c>
      <c r="E7430" s="2">
        <v>0.38500000000000001</v>
      </c>
    </row>
    <row r="7431" spans="1:5" x14ac:dyDescent="0.25">
      <c r="A7431" s="32" t="s">
        <v>767</v>
      </c>
      <c r="B7431" s="7">
        <v>2018</v>
      </c>
      <c r="C7431" s="51" t="s">
        <v>705</v>
      </c>
      <c r="D7431" t="s">
        <v>760</v>
      </c>
      <c r="E7431" s="2">
        <v>0.66500000000000004</v>
      </c>
    </row>
    <row r="7432" spans="1:5" x14ac:dyDescent="0.25">
      <c r="A7432" s="32" t="s">
        <v>767</v>
      </c>
      <c r="B7432" s="7">
        <v>2018</v>
      </c>
      <c r="C7432" s="51" t="s">
        <v>706</v>
      </c>
      <c r="D7432" t="s">
        <v>760</v>
      </c>
      <c r="E7432" s="2">
        <v>0.47399999999999998</v>
      </c>
    </row>
    <row r="7433" spans="1:5" x14ac:dyDescent="0.25">
      <c r="A7433" s="32" t="s">
        <v>767</v>
      </c>
      <c r="B7433" s="7">
        <v>2019</v>
      </c>
      <c r="C7433" s="51" t="s">
        <v>713</v>
      </c>
      <c r="D7433" t="s">
        <v>760</v>
      </c>
      <c r="E7433" s="2">
        <v>0.53</v>
      </c>
    </row>
    <row r="7434" spans="1:5" x14ac:dyDescent="0.25">
      <c r="A7434" s="32" t="s">
        <v>767</v>
      </c>
      <c r="B7434" s="7">
        <v>2019</v>
      </c>
      <c r="C7434" s="51" t="s">
        <v>707</v>
      </c>
      <c r="D7434" t="s">
        <v>760</v>
      </c>
      <c r="E7434" s="2">
        <v>0.49099999999999999</v>
      </c>
    </row>
    <row r="7435" spans="1:5" x14ac:dyDescent="0.25">
      <c r="A7435" s="32" t="s">
        <v>767</v>
      </c>
      <c r="B7435" s="7">
        <v>2019</v>
      </c>
      <c r="C7435" s="51" t="s">
        <v>708</v>
      </c>
      <c r="D7435" t="s">
        <v>760</v>
      </c>
      <c r="E7435" s="2">
        <v>0.70099999999999996</v>
      </c>
    </row>
    <row r="7436" spans="1:5" x14ac:dyDescent="0.25">
      <c r="A7436" s="32" t="s">
        <v>767</v>
      </c>
      <c r="B7436" s="7">
        <v>2019</v>
      </c>
      <c r="C7436" s="51" t="s">
        <v>699</v>
      </c>
      <c r="D7436" t="s">
        <v>760</v>
      </c>
      <c r="E7436" s="2">
        <v>0.436</v>
      </c>
    </row>
    <row r="7437" spans="1:5" x14ac:dyDescent="0.25">
      <c r="A7437" s="32" t="s">
        <v>767</v>
      </c>
      <c r="B7437" s="7">
        <v>2019</v>
      </c>
      <c r="C7437" s="51" t="s">
        <v>709</v>
      </c>
      <c r="D7437" t="s">
        <v>760</v>
      </c>
      <c r="E7437" s="2">
        <v>0.51</v>
      </c>
    </row>
    <row r="7438" spans="1:5" x14ac:dyDescent="0.25">
      <c r="A7438" s="32" t="s">
        <v>767</v>
      </c>
      <c r="B7438" s="7">
        <v>2019</v>
      </c>
      <c r="C7438" s="51" t="s">
        <v>712</v>
      </c>
      <c r="D7438" t="s">
        <v>760</v>
      </c>
      <c r="E7438" s="2">
        <v>0.40699999999999997</v>
      </c>
    </row>
    <row r="7439" spans="1:5" x14ac:dyDescent="0.25">
      <c r="A7439" s="32" t="s">
        <v>767</v>
      </c>
      <c r="B7439" s="7">
        <v>2019</v>
      </c>
      <c r="C7439" s="51" t="s">
        <v>710</v>
      </c>
      <c r="D7439" t="s">
        <v>760</v>
      </c>
      <c r="E7439" s="2">
        <v>0.44500000000000001</v>
      </c>
    </row>
    <row r="7440" spans="1:5" x14ac:dyDescent="0.25">
      <c r="A7440" s="32" t="s">
        <v>767</v>
      </c>
      <c r="B7440" s="7">
        <v>2019</v>
      </c>
      <c r="C7440" s="51" t="s">
        <v>702</v>
      </c>
      <c r="D7440" t="s">
        <v>760</v>
      </c>
      <c r="E7440" s="2">
        <v>0.39600000000000002</v>
      </c>
    </row>
    <row r="7441" spans="1:5" x14ac:dyDescent="0.25">
      <c r="A7441" s="32" t="s">
        <v>767</v>
      </c>
      <c r="B7441" s="7">
        <v>2019</v>
      </c>
      <c r="C7441" s="51" t="s">
        <v>703</v>
      </c>
      <c r="D7441" t="s">
        <v>760</v>
      </c>
      <c r="E7441" s="2">
        <v>0.373</v>
      </c>
    </row>
    <row r="7442" spans="1:5" x14ac:dyDescent="0.25">
      <c r="A7442" s="32" t="s">
        <v>767</v>
      </c>
      <c r="B7442" s="7">
        <v>2019</v>
      </c>
      <c r="C7442" s="51" t="s">
        <v>704</v>
      </c>
      <c r="D7442" t="s">
        <v>760</v>
      </c>
      <c r="E7442" s="2">
        <v>0.38200000000000001</v>
      </c>
    </row>
    <row r="7443" spans="1:5" x14ac:dyDescent="0.25">
      <c r="A7443" s="32" t="s">
        <v>767</v>
      </c>
      <c r="B7443" s="7">
        <v>2019</v>
      </c>
      <c r="C7443" s="51" t="s">
        <v>705</v>
      </c>
      <c r="D7443" t="s">
        <v>760</v>
      </c>
      <c r="E7443" s="2">
        <v>0.46700000000000003</v>
      </c>
    </row>
    <row r="7444" spans="1:5" x14ac:dyDescent="0.25">
      <c r="A7444" s="32" t="s">
        <v>767</v>
      </c>
      <c r="B7444" s="7">
        <v>2019</v>
      </c>
      <c r="C7444" s="51" t="s">
        <v>706</v>
      </c>
      <c r="D7444" t="s">
        <v>760</v>
      </c>
      <c r="E7444" s="2">
        <v>0.38800000000000001</v>
      </c>
    </row>
    <row r="7445" spans="1:5" x14ac:dyDescent="0.25">
      <c r="A7445" s="32" t="s">
        <v>767</v>
      </c>
      <c r="B7445" s="7">
        <v>2020</v>
      </c>
      <c r="C7445" s="51" t="s">
        <v>713</v>
      </c>
      <c r="D7445" t="s">
        <v>760</v>
      </c>
      <c r="E7445" s="2">
        <v>0.52600000000000002</v>
      </c>
    </row>
    <row r="7446" spans="1:5" x14ac:dyDescent="0.25">
      <c r="A7446" s="32" t="s">
        <v>767</v>
      </c>
      <c r="B7446" s="7">
        <v>2020</v>
      </c>
      <c r="C7446" s="51" t="s">
        <v>707</v>
      </c>
      <c r="D7446" t="s">
        <v>760</v>
      </c>
      <c r="E7446" s="2">
        <v>0.46</v>
      </c>
    </row>
    <row r="7447" spans="1:5" x14ac:dyDescent="0.25">
      <c r="A7447" s="32" t="s">
        <v>767</v>
      </c>
      <c r="B7447" s="7">
        <v>2020</v>
      </c>
      <c r="C7447" s="51" t="s">
        <v>708</v>
      </c>
      <c r="D7447" t="s">
        <v>760</v>
      </c>
      <c r="E7447" s="2">
        <v>0.36299999999999999</v>
      </c>
    </row>
    <row r="7448" spans="1:5" x14ac:dyDescent="0.25">
      <c r="A7448" s="32" t="s">
        <v>767</v>
      </c>
      <c r="B7448" s="7">
        <v>2020</v>
      </c>
      <c r="C7448" s="51" t="s">
        <v>699</v>
      </c>
      <c r="D7448" t="s">
        <v>760</v>
      </c>
      <c r="E7448" s="2">
        <v>0.44700000000000001</v>
      </c>
    </row>
    <row r="7449" spans="1:5" x14ac:dyDescent="0.25">
      <c r="A7449" s="32" t="s">
        <v>767</v>
      </c>
      <c r="B7449" s="7">
        <v>2020</v>
      </c>
      <c r="C7449" s="51" t="s">
        <v>709</v>
      </c>
      <c r="D7449" t="s">
        <v>760</v>
      </c>
      <c r="E7449" s="2">
        <v>0.45800000000000002</v>
      </c>
    </row>
    <row r="7450" spans="1:5" x14ac:dyDescent="0.25">
      <c r="A7450" s="32" t="s">
        <v>767</v>
      </c>
      <c r="B7450" s="7">
        <v>2020</v>
      </c>
      <c r="C7450" s="51" t="s">
        <v>712</v>
      </c>
      <c r="D7450" t="s">
        <v>760</v>
      </c>
      <c r="E7450" s="2">
        <v>0.44</v>
      </c>
    </row>
    <row r="7451" spans="1:5" x14ac:dyDescent="0.25">
      <c r="A7451" s="32" t="s">
        <v>767</v>
      </c>
      <c r="B7451" s="7">
        <v>2020</v>
      </c>
      <c r="C7451" s="51" t="s">
        <v>710</v>
      </c>
      <c r="D7451" t="s">
        <v>760</v>
      </c>
      <c r="E7451" s="2">
        <v>0.40400000000000003</v>
      </c>
    </row>
    <row r="7452" spans="1:5" x14ac:dyDescent="0.25">
      <c r="A7452" s="32" t="s">
        <v>767</v>
      </c>
      <c r="B7452" s="7">
        <v>2020</v>
      </c>
      <c r="C7452" s="51" t="s">
        <v>702</v>
      </c>
      <c r="D7452" t="s">
        <v>760</v>
      </c>
      <c r="E7452" s="2">
        <v>0.88800000000000001</v>
      </c>
    </row>
    <row r="7453" spans="1:5" x14ac:dyDescent="0.25">
      <c r="A7453" s="32" t="s">
        <v>767</v>
      </c>
      <c r="B7453" s="7">
        <v>2020</v>
      </c>
      <c r="C7453" s="51" t="s">
        <v>703</v>
      </c>
      <c r="D7453" t="s">
        <v>760</v>
      </c>
      <c r="E7453" s="2">
        <v>0.376</v>
      </c>
    </row>
    <row r="7454" spans="1:5" x14ac:dyDescent="0.25">
      <c r="A7454" s="32" t="s">
        <v>767</v>
      </c>
      <c r="B7454" s="7">
        <v>2020</v>
      </c>
      <c r="C7454" s="51" t="s">
        <v>704</v>
      </c>
      <c r="D7454" t="s">
        <v>760</v>
      </c>
      <c r="E7454" s="2">
        <v>0.436</v>
      </c>
    </row>
    <row r="7455" spans="1:5" x14ac:dyDescent="0.25">
      <c r="A7455" s="32" t="s">
        <v>767</v>
      </c>
      <c r="B7455" s="7">
        <v>2020</v>
      </c>
      <c r="C7455" s="51" t="s">
        <v>705</v>
      </c>
      <c r="D7455" t="s">
        <v>760</v>
      </c>
      <c r="E7455" s="2">
        <v>0.504</v>
      </c>
    </row>
    <row r="7456" spans="1:5" x14ac:dyDescent="0.25">
      <c r="A7456" s="32" t="s">
        <v>767</v>
      </c>
      <c r="B7456" s="7">
        <v>2020</v>
      </c>
      <c r="C7456" s="51" t="s">
        <v>706</v>
      </c>
      <c r="D7456" t="s">
        <v>760</v>
      </c>
      <c r="E7456" s="2">
        <v>0.67400000000000004</v>
      </c>
    </row>
    <row r="7457" spans="1:5" x14ac:dyDescent="0.25">
      <c r="A7457" s="32" t="s">
        <v>767</v>
      </c>
      <c r="B7457" s="7">
        <v>2021</v>
      </c>
      <c r="C7457" s="51" t="s">
        <v>713</v>
      </c>
      <c r="D7457" t="s">
        <v>760</v>
      </c>
      <c r="E7457" s="2">
        <v>0.53200000000000003</v>
      </c>
    </row>
    <row r="7458" spans="1:5" x14ac:dyDescent="0.25">
      <c r="A7458" s="32" t="s">
        <v>767</v>
      </c>
      <c r="B7458" s="7">
        <v>2021</v>
      </c>
      <c r="C7458" s="51" t="s">
        <v>707</v>
      </c>
      <c r="D7458" t="s">
        <v>760</v>
      </c>
      <c r="E7458" s="2">
        <v>0.48399999999999999</v>
      </c>
    </row>
    <row r="7459" spans="1:5" x14ac:dyDescent="0.25">
      <c r="A7459" s="32" t="s">
        <v>767</v>
      </c>
      <c r="B7459" s="7">
        <v>2021</v>
      </c>
      <c r="C7459" s="51" t="s">
        <v>708</v>
      </c>
      <c r="D7459" t="s">
        <v>760</v>
      </c>
      <c r="E7459" s="2">
        <v>0.50900000000000001</v>
      </c>
    </row>
    <row r="7460" spans="1:5" x14ac:dyDescent="0.25">
      <c r="A7460" s="32" t="s">
        <v>767</v>
      </c>
      <c r="B7460" s="7">
        <v>2021</v>
      </c>
      <c r="C7460" s="51" t="s">
        <v>699</v>
      </c>
      <c r="D7460" t="s">
        <v>760</v>
      </c>
      <c r="E7460" s="2">
        <v>0.46700000000000003</v>
      </c>
    </row>
    <row r="7461" spans="1:5" x14ac:dyDescent="0.25">
      <c r="A7461" s="32" t="s">
        <v>767</v>
      </c>
      <c r="B7461" s="7">
        <v>2021</v>
      </c>
      <c r="C7461" s="51" t="s">
        <v>709</v>
      </c>
      <c r="D7461" t="s">
        <v>760</v>
      </c>
      <c r="E7461" s="2">
        <v>0.47499999999999998</v>
      </c>
    </row>
    <row r="7462" spans="1:5" x14ac:dyDescent="0.25">
      <c r="A7462" s="32" t="s">
        <v>767</v>
      </c>
      <c r="B7462" s="7">
        <v>2021</v>
      </c>
      <c r="C7462" s="51" t="s">
        <v>712</v>
      </c>
      <c r="D7462" t="s">
        <v>760</v>
      </c>
      <c r="E7462" s="2">
        <v>0.67</v>
      </c>
    </row>
    <row r="7463" spans="1:5" x14ac:dyDescent="0.25">
      <c r="A7463" s="32" t="s">
        <v>767</v>
      </c>
      <c r="B7463" s="7">
        <v>2021</v>
      </c>
      <c r="C7463" s="51" t="s">
        <v>710</v>
      </c>
      <c r="D7463" t="s">
        <v>760</v>
      </c>
      <c r="E7463" s="2">
        <v>0.44800000000000001</v>
      </c>
    </row>
    <row r="7464" spans="1:5" x14ac:dyDescent="0.25">
      <c r="A7464" s="32" t="s">
        <v>767</v>
      </c>
      <c r="B7464" s="7">
        <v>2021</v>
      </c>
      <c r="C7464" s="51" t="s">
        <v>702</v>
      </c>
      <c r="D7464" t="s">
        <v>760</v>
      </c>
      <c r="E7464" s="2">
        <v>0.48099999999999998</v>
      </c>
    </row>
    <row r="7465" spans="1:5" x14ac:dyDescent="0.25">
      <c r="A7465" s="32" t="s">
        <v>767</v>
      </c>
      <c r="B7465" s="7">
        <v>2021</v>
      </c>
      <c r="C7465" s="51" t="s">
        <v>703</v>
      </c>
      <c r="D7465" t="s">
        <v>760</v>
      </c>
      <c r="E7465" s="2">
        <v>0.51600000000000001</v>
      </c>
    </row>
    <row r="7466" spans="1:5" x14ac:dyDescent="0.25">
      <c r="A7466" s="32" t="s">
        <v>767</v>
      </c>
      <c r="B7466" s="7">
        <v>2021</v>
      </c>
      <c r="C7466" s="51" t="s">
        <v>704</v>
      </c>
      <c r="D7466" t="s">
        <v>760</v>
      </c>
      <c r="E7466" s="2">
        <v>0.45800000000000002</v>
      </c>
    </row>
    <row r="7467" spans="1:5" x14ac:dyDescent="0.25">
      <c r="A7467" s="32" t="s">
        <v>767</v>
      </c>
      <c r="B7467" s="7">
        <v>2021</v>
      </c>
      <c r="C7467" s="51" t="s">
        <v>705</v>
      </c>
      <c r="D7467" t="s">
        <v>760</v>
      </c>
      <c r="E7467" s="2">
        <v>0.35099999999999998</v>
      </c>
    </row>
    <row r="7468" spans="1:5" x14ac:dyDescent="0.25">
      <c r="A7468" s="32" t="s">
        <v>767</v>
      </c>
      <c r="B7468" s="7">
        <v>2021</v>
      </c>
      <c r="C7468" s="51" t="s">
        <v>706</v>
      </c>
      <c r="D7468" t="s">
        <v>760</v>
      </c>
      <c r="E7468" s="2">
        <v>0.36599999999999999</v>
      </c>
    </row>
    <row r="7469" spans="1:5" x14ac:dyDescent="0.25">
      <c r="A7469" s="32" t="s">
        <v>767</v>
      </c>
      <c r="B7469" s="7">
        <v>2022</v>
      </c>
      <c r="C7469" s="51" t="s">
        <v>713</v>
      </c>
      <c r="D7469" t="s">
        <v>760</v>
      </c>
      <c r="E7469" s="2">
        <v>0.46700000000000003</v>
      </c>
    </row>
    <row r="7470" spans="1:5" x14ac:dyDescent="0.25">
      <c r="A7470" s="32" t="s">
        <v>767</v>
      </c>
      <c r="B7470" s="7">
        <v>2022</v>
      </c>
      <c r="C7470" s="51" t="s">
        <v>707</v>
      </c>
      <c r="D7470" t="s">
        <v>760</v>
      </c>
      <c r="E7470" s="2">
        <v>0.45900000000000002</v>
      </c>
    </row>
    <row r="7471" spans="1:5" x14ac:dyDescent="0.25">
      <c r="A7471" s="32" t="s">
        <v>767</v>
      </c>
      <c r="B7471" s="7">
        <v>2022</v>
      </c>
      <c r="C7471" s="51" t="s">
        <v>708</v>
      </c>
      <c r="D7471" t="s">
        <v>760</v>
      </c>
      <c r="E7471" s="2">
        <v>0.45600000000000002</v>
      </c>
    </row>
    <row r="7472" spans="1:5" x14ac:dyDescent="0.25">
      <c r="A7472" s="32" t="s">
        <v>767</v>
      </c>
      <c r="B7472" s="7">
        <v>2022</v>
      </c>
      <c r="C7472" s="51" t="s">
        <v>699</v>
      </c>
      <c r="D7472" t="s">
        <v>760</v>
      </c>
      <c r="E7472" s="2">
        <v>0.43099999999999999</v>
      </c>
    </row>
    <row r="7473" spans="1:5" x14ac:dyDescent="0.25">
      <c r="A7473" s="32" t="s">
        <v>767</v>
      </c>
      <c r="B7473" s="7">
        <v>2022</v>
      </c>
      <c r="C7473" s="51" t="s">
        <v>709</v>
      </c>
      <c r="D7473" t="s">
        <v>760</v>
      </c>
      <c r="E7473" s="2">
        <v>0.56100000000000005</v>
      </c>
    </row>
    <row r="7474" spans="1:5" x14ac:dyDescent="0.25">
      <c r="A7474" s="32" t="s">
        <v>767</v>
      </c>
      <c r="B7474" s="7">
        <v>2022</v>
      </c>
      <c r="C7474" s="51" t="s">
        <v>712</v>
      </c>
      <c r="D7474" t="s">
        <v>760</v>
      </c>
      <c r="E7474" s="2">
        <v>0.47399999999999998</v>
      </c>
    </row>
    <row r="7475" spans="1:5" x14ac:dyDescent="0.25">
      <c r="A7475" s="32" t="s">
        <v>767</v>
      </c>
      <c r="B7475" s="7">
        <v>2022</v>
      </c>
      <c r="C7475" s="51" t="s">
        <v>710</v>
      </c>
      <c r="D7475" t="s">
        <v>760</v>
      </c>
      <c r="E7475" s="2">
        <v>0.49099999999999999</v>
      </c>
    </row>
    <row r="7476" spans="1:5" x14ac:dyDescent="0.25">
      <c r="A7476" s="32" t="s">
        <v>767</v>
      </c>
      <c r="B7476" s="7">
        <v>2022</v>
      </c>
      <c r="C7476" s="51" t="s">
        <v>702</v>
      </c>
      <c r="D7476" t="s">
        <v>760</v>
      </c>
      <c r="E7476" s="2">
        <v>0.53200000000000003</v>
      </c>
    </row>
    <row r="7477" spans="1:5" x14ac:dyDescent="0.25">
      <c r="A7477" s="32" t="s">
        <v>767</v>
      </c>
      <c r="B7477" s="7">
        <v>2022</v>
      </c>
      <c r="C7477" s="51" t="s">
        <v>703</v>
      </c>
      <c r="D7477" t="s">
        <v>760</v>
      </c>
      <c r="E7477" s="2">
        <v>0.53700000000000003</v>
      </c>
    </row>
    <row r="7478" spans="1:5" x14ac:dyDescent="0.25">
      <c r="A7478" s="32" t="s">
        <v>767</v>
      </c>
      <c r="B7478" s="7">
        <v>2022</v>
      </c>
      <c r="C7478" s="51" t="s">
        <v>704</v>
      </c>
      <c r="D7478" t="s">
        <v>760</v>
      </c>
      <c r="E7478" s="2">
        <v>0.51900000000000002</v>
      </c>
    </row>
    <row r="7479" spans="1:5" x14ac:dyDescent="0.25">
      <c r="A7479" s="32" t="s">
        <v>767</v>
      </c>
      <c r="B7479" s="7">
        <v>2022</v>
      </c>
      <c r="C7479" s="51" t="s">
        <v>705</v>
      </c>
      <c r="D7479" t="s">
        <v>760</v>
      </c>
      <c r="E7479" s="2">
        <v>0.435</v>
      </c>
    </row>
    <row r="7480" spans="1:5" x14ac:dyDescent="0.25">
      <c r="A7480" s="32" t="s">
        <v>767</v>
      </c>
      <c r="B7480" s="7">
        <v>2022</v>
      </c>
      <c r="C7480" s="51" t="s">
        <v>706</v>
      </c>
      <c r="D7480" t="s">
        <v>760</v>
      </c>
      <c r="E7480" s="2">
        <v>0.55600000000000005</v>
      </c>
    </row>
    <row r="7481" spans="1:5" x14ac:dyDescent="0.25">
      <c r="A7481" s="32" t="s">
        <v>767</v>
      </c>
      <c r="B7481" s="7">
        <v>2023</v>
      </c>
      <c r="C7481" s="51" t="s">
        <v>713</v>
      </c>
      <c r="D7481" t="s">
        <v>760</v>
      </c>
      <c r="E7481" s="2">
        <v>0.379</v>
      </c>
    </row>
    <row r="7482" spans="1:5" x14ac:dyDescent="0.25">
      <c r="A7482" s="32" t="s">
        <v>767</v>
      </c>
      <c r="B7482" s="7">
        <v>2023</v>
      </c>
      <c r="C7482" s="51" t="s">
        <v>707</v>
      </c>
      <c r="D7482" t="s">
        <v>760</v>
      </c>
      <c r="E7482" s="2">
        <v>0.497</v>
      </c>
    </row>
    <row r="7483" spans="1:5" x14ac:dyDescent="0.25">
      <c r="A7483" s="32" t="s">
        <v>767</v>
      </c>
      <c r="B7483" s="7">
        <v>2023</v>
      </c>
      <c r="C7483" s="51" t="s">
        <v>708</v>
      </c>
      <c r="D7483" t="s">
        <v>760</v>
      </c>
      <c r="E7483" s="2">
        <v>0.39</v>
      </c>
    </row>
    <row r="7484" spans="1:5" x14ac:dyDescent="0.25">
      <c r="A7484" s="32" t="s">
        <v>767</v>
      </c>
      <c r="B7484" s="7">
        <v>2023</v>
      </c>
      <c r="C7484" s="51" t="s">
        <v>699</v>
      </c>
      <c r="D7484" t="s">
        <v>760</v>
      </c>
      <c r="E7484" s="2">
        <v>0.43</v>
      </c>
    </row>
    <row r="7485" spans="1:5" x14ac:dyDescent="0.25">
      <c r="A7485" s="32" t="s">
        <v>767</v>
      </c>
      <c r="B7485" s="7">
        <v>2023</v>
      </c>
      <c r="C7485" s="51" t="s">
        <v>709</v>
      </c>
      <c r="D7485" t="s">
        <v>760</v>
      </c>
      <c r="E7485" s="2">
        <v>0.42</v>
      </c>
    </row>
    <row r="7486" spans="1:5" x14ac:dyDescent="0.25">
      <c r="A7486" s="32" t="s">
        <v>767</v>
      </c>
      <c r="B7486" s="7">
        <v>2023</v>
      </c>
      <c r="C7486" s="51" t="s">
        <v>712</v>
      </c>
      <c r="D7486" t="s">
        <v>760</v>
      </c>
      <c r="E7486" s="2">
        <v>0.52</v>
      </c>
    </row>
    <row r="7487" spans="1:5" x14ac:dyDescent="0.25">
      <c r="A7487" s="32" t="s">
        <v>767</v>
      </c>
      <c r="B7487" s="7">
        <v>2023</v>
      </c>
      <c r="C7487" s="51" t="s">
        <v>710</v>
      </c>
      <c r="D7487" t="s">
        <v>760</v>
      </c>
      <c r="E7487" s="2">
        <v>0.36</v>
      </c>
    </row>
    <row r="7488" spans="1:5" x14ac:dyDescent="0.25">
      <c r="A7488" s="32" t="s">
        <v>767</v>
      </c>
      <c r="B7488" s="7">
        <v>2023</v>
      </c>
      <c r="C7488" s="51" t="s">
        <v>702</v>
      </c>
      <c r="D7488" t="s">
        <v>760</v>
      </c>
      <c r="E7488" s="2">
        <v>0.44</v>
      </c>
    </row>
    <row r="7489" spans="1:5" x14ac:dyDescent="0.25">
      <c r="A7489" s="32" t="s">
        <v>767</v>
      </c>
      <c r="B7489" s="7">
        <v>2023</v>
      </c>
      <c r="C7489" s="51" t="s">
        <v>703</v>
      </c>
      <c r="D7489" t="s">
        <v>760</v>
      </c>
      <c r="E7489" s="2">
        <v>0.55000000000000004</v>
      </c>
    </row>
  </sheetData>
  <phoneticPr fontId="0" type="noConversion"/>
  <pageMargins left="0.75" right="0.75" top="1" bottom="1" header="0.5" footer="0.5"/>
  <pageSetup scale="83" orientation="portrait" horizontalDpi="180" verticalDpi="18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>
    <pageSetUpPr fitToPage="1"/>
  </sheetPr>
  <dimension ref="A1:L163"/>
  <sheetViews>
    <sheetView zoomScale="85" zoomScaleNormal="85" workbookViewId="0">
      <pane xSplit="2" ySplit="3" topLeftCell="C139" activePane="bottomRight" state="frozen"/>
      <selection activeCell="AM240" sqref="AM240"/>
      <selection pane="topRight" activeCell="AM240" sqref="AM240"/>
      <selection pane="bottomLeft" activeCell="AM240" sqref="AM240"/>
      <selection pane="bottomRight" activeCell="A164" sqref="A164"/>
    </sheetView>
  </sheetViews>
  <sheetFormatPr defaultRowHeight="12.5" x14ac:dyDescent="0.25"/>
  <cols>
    <col min="1" max="1" width="5.54296875" bestFit="1" customWidth="1"/>
    <col min="2" max="2" width="14.08984375" bestFit="1" customWidth="1"/>
    <col min="3" max="4" width="11.453125" customWidth="1"/>
    <col min="5" max="8" width="9.54296875" bestFit="1" customWidth="1"/>
    <col min="9" max="9" width="16.453125" style="52" hidden="1" customWidth="1"/>
    <col min="10" max="10" width="12.36328125" style="13" bestFit="1" customWidth="1"/>
    <col min="11" max="11" width="26" style="13" bestFit="1" customWidth="1"/>
    <col min="12" max="12" width="18.90625" customWidth="1"/>
  </cols>
  <sheetData>
    <row r="1" spans="1:12" ht="14" x14ac:dyDescent="0.3">
      <c r="D1" s="40"/>
      <c r="E1" s="41" t="s">
        <v>742</v>
      </c>
      <c r="F1" s="40"/>
    </row>
    <row r="2" spans="1:12" ht="14" x14ac:dyDescent="0.3">
      <c r="A2" s="40"/>
      <c r="E2" s="40"/>
      <c r="F2" s="40"/>
      <c r="G2" s="40"/>
      <c r="H2" s="40"/>
      <c r="I2" s="49"/>
      <c r="L2" s="84" t="s">
        <v>759</v>
      </c>
    </row>
    <row r="3" spans="1:12" ht="14" x14ac:dyDescent="0.3">
      <c r="A3" s="40"/>
      <c r="B3" s="40"/>
      <c r="C3" s="42" t="s">
        <v>3</v>
      </c>
      <c r="D3" s="42" t="s">
        <v>743</v>
      </c>
      <c r="E3" s="42" t="s">
        <v>5</v>
      </c>
      <c r="F3" s="42" t="s">
        <v>6</v>
      </c>
      <c r="G3" s="42" t="s">
        <v>7</v>
      </c>
      <c r="H3" s="42" t="s">
        <v>8</v>
      </c>
      <c r="I3" s="48" t="s">
        <v>744</v>
      </c>
      <c r="J3" s="48" t="s">
        <v>745</v>
      </c>
      <c r="K3" s="42" t="s">
        <v>746</v>
      </c>
      <c r="L3" s="84"/>
    </row>
    <row r="4" spans="1:12" ht="15.5" x14ac:dyDescent="0.35">
      <c r="A4" s="43">
        <v>2008</v>
      </c>
      <c r="B4" s="43" t="s">
        <v>747</v>
      </c>
      <c r="C4" s="44" t="e">
        <f>#REF!/#REF!</f>
        <v>#REF!</v>
      </c>
      <c r="D4" s="44" t="e">
        <f>#REF!/#REF!</f>
        <v>#REF!</v>
      </c>
      <c r="E4" s="44" t="e">
        <f>#REF!/#REF!</f>
        <v>#REF!</v>
      </c>
      <c r="F4" s="44" t="e">
        <f>#REF!/#REF!</f>
        <v>#REF!</v>
      </c>
      <c r="G4" s="44" t="e">
        <f>#REF!/#REF!</f>
        <v>#REF!</v>
      </c>
      <c r="H4" s="44" t="e">
        <f>#REF!/#REF!</f>
        <v>#REF!</v>
      </c>
      <c r="I4" s="49">
        <v>3.05</v>
      </c>
      <c r="J4" s="56">
        <v>1.1299999999999999</v>
      </c>
      <c r="K4" s="13">
        <v>45.830000000000005</v>
      </c>
    </row>
    <row r="5" spans="1:12" ht="15.5" x14ac:dyDescent="0.35">
      <c r="A5" s="43">
        <v>2008</v>
      </c>
      <c r="B5" s="43" t="s">
        <v>728</v>
      </c>
      <c r="C5" s="44" t="e">
        <f>#REF!/#REF!</f>
        <v>#REF!</v>
      </c>
      <c r="D5" s="44" t="e">
        <f>#REF!/#REF!</f>
        <v>#REF!</v>
      </c>
      <c r="E5" s="44" t="e">
        <f>#REF!/#REF!</f>
        <v>#REF!</v>
      </c>
      <c r="F5" s="44" t="e">
        <f>#REF!/#REF!</f>
        <v>#REF!</v>
      </c>
      <c r="G5" s="44" t="e">
        <f>#REF!/#REF!</f>
        <v>#REF!</v>
      </c>
      <c r="H5" s="44" t="e">
        <f>#REF!/#REF!</f>
        <v>#REF!</v>
      </c>
      <c r="I5" s="49">
        <v>-2.23</v>
      </c>
      <c r="J5" s="56">
        <v>2.4300000000000002</v>
      </c>
      <c r="K5" s="13">
        <v>46.8</v>
      </c>
    </row>
    <row r="6" spans="1:12" ht="15.5" x14ac:dyDescent="0.35">
      <c r="A6" s="43">
        <v>2008</v>
      </c>
      <c r="B6" s="43" t="s">
        <v>748</v>
      </c>
      <c r="C6" s="44" t="e">
        <f>#REF!/#REF!</f>
        <v>#REF!</v>
      </c>
      <c r="D6" s="44" t="e">
        <f>#REF!/#REF!</f>
        <v>#REF!</v>
      </c>
      <c r="E6" s="44" t="e">
        <f>#REF!/#REF!</f>
        <v>#REF!</v>
      </c>
      <c r="F6" s="44" t="e">
        <f>#REF!/#REF!</f>
        <v>#REF!</v>
      </c>
      <c r="G6" s="44" t="e">
        <f>#REF!/#REF!</f>
        <v>#REF!</v>
      </c>
      <c r="H6" s="44" t="e">
        <f>#REF!/#REF!</f>
        <v>#REF!</v>
      </c>
      <c r="I6" s="49">
        <v>-0.93</v>
      </c>
      <c r="J6" s="56">
        <v>2.97</v>
      </c>
      <c r="K6" s="13">
        <v>46.489999999999995</v>
      </c>
    </row>
    <row r="7" spans="1:12" ht="15.5" x14ac:dyDescent="0.35">
      <c r="A7" s="43">
        <v>2009</v>
      </c>
      <c r="B7" s="43" t="s">
        <v>749</v>
      </c>
      <c r="C7" s="44" t="e">
        <f>#REF!/#REF!</f>
        <v>#REF!</v>
      </c>
      <c r="D7" s="44" t="e">
        <f>#REF!/#REF!</f>
        <v>#REF!</v>
      </c>
      <c r="E7" s="44" t="e">
        <f>#REF!/#REF!</f>
        <v>#REF!</v>
      </c>
      <c r="F7" s="44" t="e">
        <f>#REF!/#REF!</f>
        <v>#REF!</v>
      </c>
      <c r="G7" s="44" t="e">
        <f>#REF!/#REF!</f>
        <v>#REF!</v>
      </c>
      <c r="H7" s="44" t="e">
        <f>#REF!/#REF!</f>
        <v>#REF!</v>
      </c>
      <c r="I7" s="49">
        <v>-0.39</v>
      </c>
      <c r="J7" s="56">
        <v>2.68</v>
      </c>
      <c r="K7" s="13">
        <v>47.800000000000004</v>
      </c>
    </row>
    <row r="8" spans="1:12" ht="15.5" x14ac:dyDescent="0.35">
      <c r="A8" s="43">
        <v>2009</v>
      </c>
      <c r="B8" s="43" t="s">
        <v>730</v>
      </c>
      <c r="C8" s="44" t="e">
        <f>#REF!/#REF!</f>
        <v>#REF!</v>
      </c>
      <c r="D8" s="44" t="e">
        <f>#REF!/#REF!</f>
        <v>#REF!</v>
      </c>
      <c r="E8" s="44" t="e">
        <f>#REF!/#REF!</f>
        <v>#REF!</v>
      </c>
      <c r="F8" s="44" t="e">
        <f>#REF!/#REF!</f>
        <v>#REF!</v>
      </c>
      <c r="G8" s="44" t="e">
        <f>#REF!/#REF!</f>
        <v>#REF!</v>
      </c>
      <c r="H8" s="44" t="e">
        <f>#REF!/#REF!</f>
        <v>#REF!</v>
      </c>
      <c r="I8" s="49">
        <v>-1.85</v>
      </c>
      <c r="J8" s="56">
        <v>0.35</v>
      </c>
      <c r="K8" s="13">
        <v>43.980000000000004</v>
      </c>
    </row>
    <row r="9" spans="1:12" ht="15.5" x14ac:dyDescent="0.35">
      <c r="A9" s="43">
        <v>2009</v>
      </c>
      <c r="B9" s="43" t="s">
        <v>708</v>
      </c>
      <c r="C9" s="44" t="e">
        <f>#REF!/#REF!</f>
        <v>#REF!</v>
      </c>
      <c r="D9" s="44" t="e">
        <f>#REF!/#REF!</f>
        <v>#REF!</v>
      </c>
      <c r="E9" s="44" t="e">
        <f>#REF!/#REF!</f>
        <v>#REF!</v>
      </c>
      <c r="F9" s="44" t="e">
        <f>#REF!/#REF!</f>
        <v>#REF!</v>
      </c>
      <c r="G9" s="44" t="e">
        <f>#REF!/#REF!</f>
        <v>#REF!</v>
      </c>
      <c r="H9" s="44" t="e">
        <f>#REF!/#REF!</f>
        <v>#REF!</v>
      </c>
      <c r="I9" s="49">
        <v>-1.39</v>
      </c>
      <c r="J9" s="56">
        <v>1.97</v>
      </c>
      <c r="K9" s="13">
        <v>43.15</v>
      </c>
    </row>
    <row r="10" spans="1:12" ht="15.5" x14ac:dyDescent="0.35">
      <c r="A10" s="43">
        <v>2009</v>
      </c>
      <c r="B10" s="43" t="s">
        <v>699</v>
      </c>
      <c r="C10" s="44" t="e">
        <f>#REF!/#REF!</f>
        <v>#REF!</v>
      </c>
      <c r="D10" s="44" t="e">
        <f>#REF!/#REF!</f>
        <v>#REF!</v>
      </c>
      <c r="E10" s="44" t="e">
        <f>#REF!/#REF!</f>
        <v>#REF!</v>
      </c>
      <c r="F10" s="44" t="e">
        <f>#REF!/#REF!</f>
        <v>#REF!</v>
      </c>
      <c r="G10" s="44" t="e">
        <f>#REF!/#REF!</f>
        <v>#REF!</v>
      </c>
      <c r="H10" s="44" t="e">
        <f>#REF!/#REF!</f>
        <v>#REF!</v>
      </c>
      <c r="I10" s="49">
        <v>0.86</v>
      </c>
      <c r="J10" s="56">
        <v>4.22</v>
      </c>
      <c r="K10" s="13">
        <v>42.45</v>
      </c>
    </row>
    <row r="11" spans="1:12" ht="15.5" x14ac:dyDescent="0.35">
      <c r="A11" s="43">
        <v>2009</v>
      </c>
      <c r="B11" s="45" t="s">
        <v>709</v>
      </c>
      <c r="C11" s="44" t="e">
        <f>#REF!/#REF!</f>
        <v>#REF!</v>
      </c>
      <c r="D11" s="44" t="e">
        <f>#REF!/#REF!</f>
        <v>#REF!</v>
      </c>
      <c r="E11" s="44" t="e">
        <f>#REF!/#REF!</f>
        <v>#REF!</v>
      </c>
      <c r="F11" s="44" t="e">
        <f>#REF!/#REF!</f>
        <v>#REF!</v>
      </c>
      <c r="G11" s="44" t="e">
        <f>#REF!/#REF!</f>
        <v>#REF!</v>
      </c>
      <c r="H11" s="44" t="e">
        <f>#REF!/#REF!</f>
        <v>#REF!</v>
      </c>
      <c r="I11" s="49">
        <v>4.6900000000000004</v>
      </c>
      <c r="J11" s="56">
        <v>8.0500000000000007</v>
      </c>
      <c r="K11" s="13">
        <v>39.839999999999996</v>
      </c>
    </row>
    <row r="12" spans="1:12" ht="15.5" x14ac:dyDescent="0.35">
      <c r="A12" s="43">
        <v>2009</v>
      </c>
      <c r="B12" s="43" t="s">
        <v>712</v>
      </c>
      <c r="C12" s="44" t="e">
        <f>#REF!/#REF!</f>
        <v>#REF!</v>
      </c>
      <c r="D12" s="44" t="e">
        <f>#REF!/#REF!</f>
        <v>#REF!</v>
      </c>
      <c r="E12" s="44" t="e">
        <f>#REF!/#REF!</f>
        <v>#REF!</v>
      </c>
      <c r="F12" s="44" t="e">
        <f>#REF!/#REF!</f>
        <v>#REF!</v>
      </c>
      <c r="G12" s="44" t="e">
        <f>#REF!/#REF!</f>
        <v>#REF!</v>
      </c>
      <c r="H12" s="44" t="e">
        <f>#REF!/#REF!</f>
        <v>#REF!</v>
      </c>
      <c r="I12" s="49">
        <v>2.5</v>
      </c>
      <c r="J12" s="56">
        <v>5.86</v>
      </c>
      <c r="K12" s="13">
        <v>40.9</v>
      </c>
    </row>
    <row r="13" spans="1:12" ht="15.5" x14ac:dyDescent="0.35">
      <c r="A13" s="43">
        <v>2009</v>
      </c>
      <c r="B13" s="43" t="s">
        <v>710</v>
      </c>
      <c r="C13" s="44" t="e">
        <f>#REF!/#REF!</f>
        <v>#REF!</v>
      </c>
      <c r="D13" s="44" t="e">
        <f>#REF!/#REF!</f>
        <v>#REF!</v>
      </c>
      <c r="E13" s="44" t="e">
        <f>#REF!/#REF!</f>
        <v>#REF!</v>
      </c>
      <c r="F13" s="44" t="e">
        <f>#REF!/#REF!</f>
        <v>#REF!</v>
      </c>
      <c r="G13" s="44" t="e">
        <f>#REF!/#REF!</f>
        <v>#REF!</v>
      </c>
      <c r="H13" s="44" t="e">
        <f>#REF!/#REF!</f>
        <v>#REF!</v>
      </c>
      <c r="I13" s="49">
        <v>-2.29</v>
      </c>
      <c r="J13" s="56">
        <v>1.07</v>
      </c>
      <c r="K13" s="13">
        <v>38.370000000000005</v>
      </c>
    </row>
    <row r="14" spans="1:12" ht="15.5" x14ac:dyDescent="0.35">
      <c r="A14" s="43">
        <v>2009</v>
      </c>
      <c r="B14" s="43" t="s">
        <v>702</v>
      </c>
      <c r="C14" s="44" t="e">
        <f>#REF!/#REF!</f>
        <v>#REF!</v>
      </c>
      <c r="D14" s="44" t="e">
        <f>#REF!/#REF!</f>
        <v>#REF!</v>
      </c>
      <c r="E14" s="44" t="e">
        <f>#REF!/#REF!</f>
        <v>#REF!</v>
      </c>
      <c r="F14" s="44" t="e">
        <f>#REF!/#REF!</f>
        <v>#REF!</v>
      </c>
      <c r="G14" s="44" t="e">
        <f>#REF!/#REF!</f>
        <v>#REF!</v>
      </c>
      <c r="H14" s="44" t="e">
        <f>#REF!/#REF!</f>
        <v>#REF!</v>
      </c>
      <c r="I14" s="49">
        <v>-0.9</v>
      </c>
      <c r="J14" s="56">
        <v>2.46</v>
      </c>
      <c r="K14" s="13">
        <v>39.6</v>
      </c>
    </row>
    <row r="15" spans="1:12" ht="15.5" x14ac:dyDescent="0.35">
      <c r="A15" s="43">
        <v>2009</v>
      </c>
      <c r="B15" s="43" t="s">
        <v>750</v>
      </c>
      <c r="C15" s="44" t="e">
        <f>#REF!/#REF!</f>
        <v>#REF!</v>
      </c>
      <c r="D15" s="44" t="e">
        <f>#REF!/#REF!</f>
        <v>#REF!</v>
      </c>
      <c r="E15" s="44" t="e">
        <f>#REF!/#REF!</f>
        <v>#REF!</v>
      </c>
      <c r="F15" s="44" t="e">
        <f>#REF!/#REF!</f>
        <v>#REF!</v>
      </c>
      <c r="G15" s="44" t="e">
        <f>#REF!/#REF!</f>
        <v>#REF!</v>
      </c>
      <c r="H15" s="44" t="e">
        <f>#REF!/#REF!</f>
        <v>#REF!</v>
      </c>
      <c r="I15" s="49">
        <v>-4.9999999999999822E-2</v>
      </c>
      <c r="J15" s="56">
        <v>3.31</v>
      </c>
      <c r="K15" s="13">
        <v>36.5</v>
      </c>
    </row>
    <row r="16" spans="1:12" ht="15.5" x14ac:dyDescent="0.35">
      <c r="A16" s="43">
        <v>2009</v>
      </c>
      <c r="B16" s="43" t="s">
        <v>747</v>
      </c>
      <c r="C16" s="44" t="e">
        <f>#REF!/#REF!</f>
        <v>#REF!</v>
      </c>
      <c r="D16" s="44" t="e">
        <f>#REF!/#REF!</f>
        <v>#REF!</v>
      </c>
      <c r="E16" s="44" t="e">
        <f>#REF!/#REF!</f>
        <v>#REF!</v>
      </c>
      <c r="F16" s="44" t="e">
        <f>#REF!/#REF!</f>
        <v>#REF!</v>
      </c>
      <c r="G16" s="44" t="e">
        <f>#REF!/#REF!</f>
        <v>#REF!</v>
      </c>
      <c r="H16" s="44" t="e">
        <f>#REF!/#REF!</f>
        <v>#REF!</v>
      </c>
      <c r="I16" s="49">
        <v>2.35</v>
      </c>
      <c r="J16" s="56">
        <v>5.71</v>
      </c>
      <c r="K16" s="13">
        <v>41.080000000000005</v>
      </c>
    </row>
    <row r="17" spans="1:11" ht="15.5" x14ac:dyDescent="0.35">
      <c r="A17" s="43">
        <v>2009</v>
      </c>
      <c r="B17" s="43" t="s">
        <v>728</v>
      </c>
      <c r="C17" s="44" t="e">
        <f>#REF!/#REF!</f>
        <v>#REF!</v>
      </c>
      <c r="D17" s="44" t="e">
        <f>#REF!/#REF!</f>
        <v>#REF!</v>
      </c>
      <c r="E17" s="44" t="e">
        <f>#REF!/#REF!</f>
        <v>#REF!</v>
      </c>
      <c r="F17" s="44" t="e">
        <f>#REF!/#REF!</f>
        <v>#REF!</v>
      </c>
      <c r="G17" s="44" t="e">
        <f>#REF!/#REF!</f>
        <v>#REF!</v>
      </c>
      <c r="H17" s="44" t="e">
        <f>#REF!/#REF!</f>
        <v>#REF!</v>
      </c>
      <c r="I17" s="49">
        <v>1.07</v>
      </c>
      <c r="J17" s="56">
        <v>4.43</v>
      </c>
      <c r="K17" s="13">
        <v>43.080000000000005</v>
      </c>
    </row>
    <row r="18" spans="1:11" ht="15.5" x14ac:dyDescent="0.35">
      <c r="A18" s="43">
        <v>2009</v>
      </c>
      <c r="B18" s="43" t="s">
        <v>748</v>
      </c>
      <c r="C18" s="44" t="e">
        <f>#REF!/#REF!</f>
        <v>#REF!</v>
      </c>
      <c r="D18" s="44" t="e">
        <f>#REF!/#REF!</f>
        <v>#REF!</v>
      </c>
      <c r="E18" s="44" t="e">
        <f>#REF!/#REF!</f>
        <v>#REF!</v>
      </c>
      <c r="F18" s="44" t="e">
        <f>#REF!/#REF!</f>
        <v>#REF!</v>
      </c>
      <c r="G18" s="44" t="e">
        <f>#REF!/#REF!</f>
        <v>#REF!</v>
      </c>
      <c r="H18" s="44" t="e">
        <f>#REF!/#REF!</f>
        <v>#REF!</v>
      </c>
      <c r="I18" s="49">
        <v>3.43</v>
      </c>
      <c r="J18" s="56">
        <v>6.79</v>
      </c>
      <c r="K18" s="13">
        <v>46.9</v>
      </c>
    </row>
    <row r="19" spans="1:11" ht="15.5" x14ac:dyDescent="0.35">
      <c r="A19" s="43">
        <v>2010</v>
      </c>
      <c r="B19" s="43" t="s">
        <v>749</v>
      </c>
      <c r="C19" s="44" t="e">
        <f>#REF!/#REF!</f>
        <v>#REF!</v>
      </c>
      <c r="D19" s="44" t="e">
        <f>#REF!/#REF!</f>
        <v>#REF!</v>
      </c>
      <c r="E19" s="44" t="e">
        <f>#REF!/#REF!</f>
        <v>#REF!</v>
      </c>
      <c r="F19" s="44" t="e">
        <f>#REF!/#REF!</f>
        <v>#REF!</v>
      </c>
      <c r="G19" s="44" t="e">
        <f>#REF!/#REF!</f>
        <v>#REF!</v>
      </c>
      <c r="H19" s="44" t="e">
        <f>#REF!/#REF!</f>
        <v>#REF!</v>
      </c>
      <c r="I19" s="49">
        <v>-1.8</v>
      </c>
      <c r="J19" s="56">
        <v>1.56</v>
      </c>
      <c r="K19" s="13">
        <v>45.78</v>
      </c>
    </row>
    <row r="20" spans="1:11" ht="15.5" x14ac:dyDescent="0.35">
      <c r="A20" s="43">
        <v>2010</v>
      </c>
      <c r="B20" s="43" t="s">
        <v>730</v>
      </c>
      <c r="C20" s="44" t="e">
        <f>#REF!/#REF!</f>
        <v>#REF!</v>
      </c>
      <c r="D20" s="44" t="e">
        <f>#REF!/#REF!</f>
        <v>#REF!</v>
      </c>
      <c r="E20" s="44" t="e">
        <f>#REF!/#REF!</f>
        <v>#REF!</v>
      </c>
      <c r="F20" s="44" t="e">
        <f>#REF!/#REF!</f>
        <v>#REF!</v>
      </c>
      <c r="G20" s="44" t="e">
        <f>#REF!/#REF!</f>
        <v>#REF!</v>
      </c>
      <c r="H20" s="44" t="e">
        <f>#REF!/#REF!</f>
        <v>#REF!</v>
      </c>
      <c r="I20" s="49">
        <v>-0.64</v>
      </c>
      <c r="J20" s="56">
        <v>2.12</v>
      </c>
      <c r="K20" s="13">
        <v>47.55</v>
      </c>
    </row>
    <row r="21" spans="1:11" ht="15.5" x14ac:dyDescent="0.35">
      <c r="A21" s="43">
        <v>2010</v>
      </c>
      <c r="B21" s="43" t="s">
        <v>731</v>
      </c>
      <c r="C21" s="44" t="e">
        <f>#REF!/#REF!</f>
        <v>#REF!</v>
      </c>
      <c r="D21" s="44" t="e">
        <f>#REF!/#REF!</f>
        <v>#REF!</v>
      </c>
      <c r="E21" s="44" t="e">
        <f>#REF!/#REF!</f>
        <v>#REF!</v>
      </c>
      <c r="F21" s="44" t="e">
        <f>#REF!/#REF!</f>
        <v>#REF!</v>
      </c>
      <c r="G21" s="44" t="e">
        <f>#REF!/#REF!</f>
        <v>#REF!</v>
      </c>
      <c r="H21" s="44" t="e">
        <f>#REF!/#REF!</f>
        <v>#REF!</v>
      </c>
      <c r="I21" s="49">
        <v>0.19</v>
      </c>
      <c r="J21" s="56">
        <v>3.55</v>
      </c>
      <c r="K21" s="13">
        <v>49.129999999999995</v>
      </c>
    </row>
    <row r="22" spans="1:11" ht="15.5" x14ac:dyDescent="0.35">
      <c r="A22" s="43">
        <v>2010</v>
      </c>
      <c r="B22" s="43" t="s">
        <v>732</v>
      </c>
      <c r="C22" s="44" t="e">
        <f>#REF!/#REF!</f>
        <v>#REF!</v>
      </c>
      <c r="D22" s="44" t="e">
        <f>#REF!/#REF!</f>
        <v>#REF!</v>
      </c>
      <c r="E22" s="44" t="e">
        <f>#REF!/#REF!</f>
        <v>#REF!</v>
      </c>
      <c r="F22" s="44" t="e">
        <f>#REF!/#REF!</f>
        <v>#REF!</v>
      </c>
      <c r="G22" s="44" t="e">
        <f>#REF!/#REF!</f>
        <v>#REF!</v>
      </c>
      <c r="H22" s="44" t="e">
        <f>#REF!/#REF!</f>
        <v>#REF!</v>
      </c>
      <c r="I22" s="49">
        <v>-1.86</v>
      </c>
      <c r="J22" s="56">
        <v>1.5</v>
      </c>
      <c r="K22" s="13">
        <v>46.41</v>
      </c>
    </row>
    <row r="23" spans="1:11" ht="15.5" x14ac:dyDescent="0.35">
      <c r="A23" s="43">
        <v>2010</v>
      </c>
      <c r="B23" s="43" t="s">
        <v>709</v>
      </c>
      <c r="C23" s="44" t="e">
        <f>#REF!/#REF!</f>
        <v>#REF!</v>
      </c>
      <c r="D23" s="44" t="e">
        <f>#REF!/#REF!</f>
        <v>#REF!</v>
      </c>
      <c r="E23" s="44" t="e">
        <f>#REF!/#REF!</f>
        <v>#REF!</v>
      </c>
      <c r="F23" s="44" t="e">
        <f>#REF!/#REF!</f>
        <v>#REF!</v>
      </c>
      <c r="G23" s="44" t="e">
        <f>#REF!/#REF!</f>
        <v>#REF!</v>
      </c>
      <c r="H23" s="44" t="e">
        <f>#REF!/#REF!</f>
        <v>#REF!</v>
      </c>
      <c r="I23" s="49">
        <v>-0.96</v>
      </c>
      <c r="J23" s="56">
        <v>2.4</v>
      </c>
      <c r="K23" s="13">
        <v>40.759999999999991</v>
      </c>
    </row>
    <row r="24" spans="1:11" ht="15.5" x14ac:dyDescent="0.35">
      <c r="A24" s="43">
        <v>2010</v>
      </c>
      <c r="B24" s="43" t="s">
        <v>751</v>
      </c>
      <c r="C24" s="44" t="e">
        <f>#REF!/#REF!</f>
        <v>#REF!</v>
      </c>
      <c r="D24" s="44" t="e">
        <f>#REF!/#REF!</f>
        <v>#REF!</v>
      </c>
      <c r="E24" s="44" t="e">
        <f>#REF!/#REF!</f>
        <v>#REF!</v>
      </c>
      <c r="F24" s="44" t="e">
        <f>#REF!/#REF!</f>
        <v>#REF!</v>
      </c>
      <c r="G24" s="44" t="e">
        <f>#REF!/#REF!</f>
        <v>#REF!</v>
      </c>
      <c r="H24" s="44" t="e">
        <f>#REF!/#REF!</f>
        <v>#REF!</v>
      </c>
      <c r="I24" s="49">
        <v>-1.49</v>
      </c>
      <c r="J24" s="56">
        <v>1.87</v>
      </c>
      <c r="K24" s="13">
        <v>36.769999999999996</v>
      </c>
    </row>
    <row r="25" spans="1:11" ht="15.5" x14ac:dyDescent="0.35">
      <c r="A25" s="43">
        <v>2010</v>
      </c>
      <c r="B25" s="43" t="s">
        <v>752</v>
      </c>
      <c r="C25" s="44" t="e">
        <f>#REF!/#REF!</f>
        <v>#REF!</v>
      </c>
      <c r="D25" s="44" t="e">
        <f>#REF!/#REF!</f>
        <v>#REF!</v>
      </c>
      <c r="E25" s="44" t="e">
        <f>#REF!/#REF!</f>
        <v>#REF!</v>
      </c>
      <c r="F25" s="44" t="e">
        <f>#REF!/#REF!</f>
        <v>#REF!</v>
      </c>
      <c r="G25" s="44" t="e">
        <f>#REF!/#REF!</f>
        <v>#REF!</v>
      </c>
      <c r="H25" s="44" t="e">
        <f>#REF!/#REF!</f>
        <v>#REF!</v>
      </c>
      <c r="I25" s="49">
        <v>1.8</v>
      </c>
      <c r="J25" s="56">
        <v>5.17</v>
      </c>
      <c r="K25" s="13">
        <v>40.869999999999997</v>
      </c>
    </row>
    <row r="26" spans="1:11" ht="15.5" x14ac:dyDescent="0.35">
      <c r="A26" s="43">
        <v>2010</v>
      </c>
      <c r="B26" s="43" t="s">
        <v>753</v>
      </c>
      <c r="C26" s="44" t="e">
        <f>#REF!/#REF!</f>
        <v>#REF!</v>
      </c>
      <c r="D26" s="44" t="e">
        <f>#REF!/#REF!</f>
        <v>#REF!</v>
      </c>
      <c r="E26" s="44" t="e">
        <f>#REF!/#REF!</f>
        <v>#REF!</v>
      </c>
      <c r="F26" s="44" t="e">
        <f>#REF!/#REF!</f>
        <v>#REF!</v>
      </c>
      <c r="G26" s="44" t="e">
        <f>#REF!/#REF!</f>
        <v>#REF!</v>
      </c>
      <c r="H26" s="44" t="e">
        <f>#REF!/#REF!</f>
        <v>#REF!</v>
      </c>
      <c r="I26" s="49">
        <v>1.8</v>
      </c>
      <c r="J26" s="56">
        <v>2.59</v>
      </c>
      <c r="K26" s="13">
        <v>41</v>
      </c>
    </row>
    <row r="27" spans="1:11" ht="15.5" x14ac:dyDescent="0.35">
      <c r="A27" s="43">
        <v>2010</v>
      </c>
      <c r="B27" s="43" t="s">
        <v>754</v>
      </c>
      <c r="C27" s="44" t="e">
        <f>#REF!/#REF!</f>
        <v>#REF!</v>
      </c>
      <c r="D27" s="44" t="e">
        <f>#REF!/#REF!</f>
        <v>#REF!</v>
      </c>
      <c r="E27" s="44" t="e">
        <f>#REF!/#REF!</f>
        <v>#REF!</v>
      </c>
      <c r="F27" s="44" t="e">
        <f>#REF!/#REF!</f>
        <v>#REF!</v>
      </c>
      <c r="G27" s="44" t="e">
        <f>#REF!/#REF!</f>
        <v>#REF!</v>
      </c>
      <c r="H27" s="44" t="e">
        <f>#REF!/#REF!</f>
        <v>#REF!</v>
      </c>
      <c r="I27" s="49">
        <v>2.7</v>
      </c>
      <c r="J27" s="56">
        <v>6.02</v>
      </c>
      <c r="K27" s="13">
        <v>43.709999999999994</v>
      </c>
    </row>
    <row r="28" spans="1:11" ht="15.5" x14ac:dyDescent="0.35">
      <c r="A28" s="43">
        <v>2010</v>
      </c>
      <c r="B28" s="43" t="s">
        <v>747</v>
      </c>
      <c r="C28" s="44" t="e">
        <f>#REF!/#REF!</f>
        <v>#REF!</v>
      </c>
      <c r="D28" s="44" t="e">
        <f>#REF!/#REF!</f>
        <v>#REF!</v>
      </c>
      <c r="E28" s="44" t="e">
        <f>#REF!/#REF!</f>
        <v>#REF!</v>
      </c>
      <c r="F28" s="44" t="e">
        <f>#REF!/#REF!</f>
        <v>#REF!</v>
      </c>
      <c r="G28" s="44" t="e">
        <f>#REF!/#REF!</f>
        <v>#REF!</v>
      </c>
      <c r="H28" s="44" t="e">
        <f>#REF!/#REF!</f>
        <v>#REF!</v>
      </c>
      <c r="I28" s="49">
        <v>-1.3</v>
      </c>
      <c r="J28" s="56">
        <v>3.4</v>
      </c>
      <c r="K28" s="13">
        <v>41.4</v>
      </c>
    </row>
    <row r="29" spans="1:11" ht="15.5" x14ac:dyDescent="0.35">
      <c r="A29" s="43">
        <v>2010</v>
      </c>
      <c r="B29" s="43" t="s">
        <v>728</v>
      </c>
      <c r="C29" s="44" t="e">
        <f>#REF!/#REF!</f>
        <v>#REF!</v>
      </c>
      <c r="D29" s="44" t="e">
        <f>#REF!/#REF!</f>
        <v>#REF!</v>
      </c>
      <c r="E29" s="44" t="e">
        <f>#REF!/#REF!</f>
        <v>#REF!</v>
      </c>
      <c r="F29" s="44" t="e">
        <f>#REF!/#REF!</f>
        <v>#REF!</v>
      </c>
      <c r="G29" s="44" t="e">
        <f>#REF!/#REF!</f>
        <v>#REF!</v>
      </c>
      <c r="H29" s="44" t="e">
        <f>#REF!/#REF!</f>
        <v>#REF!</v>
      </c>
      <c r="I29" s="49">
        <v>-0.9</v>
      </c>
      <c r="J29" s="56">
        <v>2.2200000000000002</v>
      </c>
      <c r="K29" s="13">
        <v>39.19</v>
      </c>
    </row>
    <row r="30" spans="1:11" ht="15.5" x14ac:dyDescent="0.35">
      <c r="A30" s="43">
        <v>2010</v>
      </c>
      <c r="B30" s="43" t="s">
        <v>748</v>
      </c>
      <c r="C30" s="44" t="e">
        <f>#REF!/#REF!</f>
        <v>#REF!</v>
      </c>
      <c r="D30" s="44" t="e">
        <f>#REF!/#REF!</f>
        <v>#REF!</v>
      </c>
      <c r="E30" s="44" t="e">
        <f>#REF!/#REF!</f>
        <v>#REF!</v>
      </c>
      <c r="F30" s="44" t="e">
        <f>#REF!/#REF!</f>
        <v>#REF!</v>
      </c>
      <c r="G30" s="44" t="e">
        <f>#REF!/#REF!</f>
        <v>#REF!</v>
      </c>
      <c r="H30" s="44" t="e">
        <f>#REF!/#REF!</f>
        <v>#REF!</v>
      </c>
      <c r="I30" s="49">
        <v>-1</v>
      </c>
      <c r="J30" s="56">
        <v>1.78</v>
      </c>
      <c r="K30" s="13">
        <v>34.18</v>
      </c>
    </row>
    <row r="31" spans="1:11" ht="15.5" x14ac:dyDescent="0.35">
      <c r="A31" s="43">
        <v>2011</v>
      </c>
      <c r="B31" s="43" t="s">
        <v>749</v>
      </c>
      <c r="C31" s="44" t="e">
        <f>#REF!/#REF!</f>
        <v>#REF!</v>
      </c>
      <c r="D31" s="44" t="e">
        <f>#REF!/#REF!</f>
        <v>#REF!</v>
      </c>
      <c r="E31" s="44" t="e">
        <f>#REF!/#REF!</f>
        <v>#REF!</v>
      </c>
      <c r="F31" s="44" t="e">
        <f>#REF!/#REF!</f>
        <v>#REF!</v>
      </c>
      <c r="G31" s="44" t="e">
        <f>#REF!/#REF!</f>
        <v>#REF!</v>
      </c>
      <c r="H31" s="44" t="e">
        <f>#REF!/#REF!</f>
        <v>#REF!</v>
      </c>
      <c r="I31" s="49">
        <v>-1.6</v>
      </c>
      <c r="J31" s="56">
        <v>2.25</v>
      </c>
      <c r="K31" s="13">
        <v>34.869999999999997</v>
      </c>
    </row>
    <row r="32" spans="1:11" ht="15.5" x14ac:dyDescent="0.35">
      <c r="A32" s="43">
        <v>2011</v>
      </c>
      <c r="B32" s="43" t="s">
        <v>730</v>
      </c>
      <c r="C32" s="44" t="e">
        <f>#REF!/#REF!</f>
        <v>#REF!</v>
      </c>
      <c r="D32" s="44" t="e">
        <f>#REF!/#REF!</f>
        <v>#REF!</v>
      </c>
      <c r="E32" s="44" t="e">
        <f>#REF!/#REF!</f>
        <v>#REF!</v>
      </c>
      <c r="F32" s="44" t="e">
        <f>#REF!/#REF!</f>
        <v>#REF!</v>
      </c>
      <c r="G32" s="44" t="e">
        <f>#REF!/#REF!</f>
        <v>#REF!</v>
      </c>
      <c r="H32" s="44" t="e">
        <f>#REF!/#REF!</f>
        <v>#REF!</v>
      </c>
      <c r="I32" s="49">
        <v>-0.5</v>
      </c>
      <c r="J32" s="56">
        <v>2.12</v>
      </c>
      <c r="K32" s="13">
        <v>34.869999999999997</v>
      </c>
    </row>
    <row r="33" spans="1:11" ht="15.5" x14ac:dyDescent="0.35">
      <c r="A33" s="43">
        <v>2011</v>
      </c>
      <c r="B33" s="43" t="s">
        <v>731</v>
      </c>
      <c r="C33" s="44" t="e">
        <f>#REF!/#REF!</f>
        <v>#REF!</v>
      </c>
      <c r="D33" s="44" t="e">
        <f>#REF!/#REF!</f>
        <v>#REF!</v>
      </c>
      <c r="E33" s="44" t="e">
        <f>#REF!/#REF!</f>
        <v>#REF!</v>
      </c>
      <c r="F33" s="44" t="e">
        <f>#REF!/#REF!</f>
        <v>#REF!</v>
      </c>
      <c r="G33" s="44" t="e">
        <f>#REF!/#REF!</f>
        <v>#REF!</v>
      </c>
      <c r="H33" s="44" t="e">
        <f>#REF!/#REF!</f>
        <v>#REF!</v>
      </c>
      <c r="I33" s="49">
        <v>0.8</v>
      </c>
      <c r="J33" s="56">
        <v>4.4000000000000004</v>
      </c>
      <c r="K33" s="13">
        <v>35.72</v>
      </c>
    </row>
    <row r="34" spans="1:11" ht="15.5" x14ac:dyDescent="0.35">
      <c r="A34" s="43">
        <v>2011</v>
      </c>
      <c r="B34" s="43" t="s">
        <v>732</v>
      </c>
      <c r="C34" s="44" t="e">
        <f>#REF!/#REF!</f>
        <v>#REF!</v>
      </c>
      <c r="D34" s="44" t="e">
        <f>#REF!/#REF!</f>
        <v>#REF!</v>
      </c>
      <c r="E34" s="44" t="e">
        <f>#REF!/#REF!</f>
        <v>#REF!</v>
      </c>
      <c r="F34" s="44" t="e">
        <f>#REF!/#REF!</f>
        <v>#REF!</v>
      </c>
      <c r="G34" s="44" t="e">
        <f>#REF!/#REF!</f>
        <v>#REF!</v>
      </c>
      <c r="H34" s="44" t="e">
        <f>#REF!/#REF!</f>
        <v>#REF!</v>
      </c>
      <c r="I34" s="49">
        <v>0.8</v>
      </c>
      <c r="J34" s="56">
        <v>3.2</v>
      </c>
      <c r="K34" s="13">
        <v>37.42</v>
      </c>
    </row>
    <row r="35" spans="1:11" ht="15.5" x14ac:dyDescent="0.35">
      <c r="A35" s="43">
        <v>2011</v>
      </c>
      <c r="B35" s="43" t="s">
        <v>709</v>
      </c>
      <c r="C35" s="44" t="e">
        <f>#REF!/#REF!</f>
        <v>#REF!</v>
      </c>
      <c r="D35" s="44" t="e">
        <f>#REF!/#REF!</f>
        <v>#REF!</v>
      </c>
      <c r="E35" s="44" t="e">
        <f>#REF!/#REF!</f>
        <v>#REF!</v>
      </c>
      <c r="F35" s="44" t="e">
        <f>#REF!/#REF!</f>
        <v>#REF!</v>
      </c>
      <c r="G35" s="44" t="e">
        <f>#REF!/#REF!</f>
        <v>#REF!</v>
      </c>
      <c r="H35" s="44" t="e">
        <f>#REF!/#REF!</f>
        <v>#REF!</v>
      </c>
      <c r="I35" s="49">
        <v>0</v>
      </c>
      <c r="J35" s="56">
        <v>1.7</v>
      </c>
      <c r="K35" s="13">
        <v>36.720000000000006</v>
      </c>
    </row>
    <row r="36" spans="1:11" ht="15.5" x14ac:dyDescent="0.35">
      <c r="A36" s="43">
        <v>2011</v>
      </c>
      <c r="B36" s="43" t="s">
        <v>712</v>
      </c>
      <c r="C36" s="44" t="e">
        <f>#REF!/#REF!</f>
        <v>#REF!</v>
      </c>
      <c r="D36" s="44" t="e">
        <f>#REF!/#REF!</f>
        <v>#REF!</v>
      </c>
      <c r="E36" s="44" t="e">
        <f>#REF!/#REF!</f>
        <v>#REF!</v>
      </c>
      <c r="F36" s="44" t="e">
        <f>#REF!/#REF!</f>
        <v>#REF!</v>
      </c>
      <c r="G36" s="44" t="e">
        <f>#REF!/#REF!</f>
        <v>#REF!</v>
      </c>
      <c r="H36" s="44" t="e">
        <f>#REF!/#REF!</f>
        <v>#REF!</v>
      </c>
      <c r="I36" s="49">
        <v>-1.4</v>
      </c>
      <c r="J36" s="56">
        <v>1.68</v>
      </c>
      <c r="K36" s="13">
        <v>36.530000000000008</v>
      </c>
    </row>
    <row r="37" spans="1:11" ht="15.5" x14ac:dyDescent="0.35">
      <c r="A37" s="43">
        <v>2011</v>
      </c>
      <c r="B37" s="43" t="s">
        <v>710</v>
      </c>
      <c r="C37" s="44" t="e">
        <f>#REF!/#REF!</f>
        <v>#REF!</v>
      </c>
      <c r="D37" s="44" t="e">
        <f>#REF!/#REF!</f>
        <v>#REF!</v>
      </c>
      <c r="E37" s="44" t="e">
        <f>#REF!/#REF!</f>
        <v>#REF!</v>
      </c>
      <c r="F37" s="44" t="e">
        <f>#REF!/#REF!</f>
        <v>#REF!</v>
      </c>
      <c r="G37" s="44" t="e">
        <f>#REF!/#REF!</f>
        <v>#REF!</v>
      </c>
      <c r="H37" s="44" t="e">
        <f>#REF!/#REF!</f>
        <v>#REF!</v>
      </c>
      <c r="I37" s="49">
        <v>-2.4</v>
      </c>
      <c r="J37" s="56">
        <v>3.03</v>
      </c>
      <c r="K37" s="13">
        <v>34.39</v>
      </c>
    </row>
    <row r="38" spans="1:11" ht="15.5" x14ac:dyDescent="0.35">
      <c r="A38" s="43">
        <v>2011</v>
      </c>
      <c r="B38" s="43" t="s">
        <v>702</v>
      </c>
      <c r="C38" s="44" t="e">
        <f>#REF!/#REF!</f>
        <v>#REF!</v>
      </c>
      <c r="D38" s="44" t="e">
        <f>#REF!/#REF!</f>
        <v>#REF!</v>
      </c>
      <c r="E38" s="44" t="e">
        <f>#REF!/#REF!</f>
        <v>#REF!</v>
      </c>
      <c r="F38" s="44" t="e">
        <f>#REF!/#REF!</f>
        <v>#REF!</v>
      </c>
      <c r="G38" s="44" t="e">
        <f>#REF!/#REF!</f>
        <v>#REF!</v>
      </c>
      <c r="H38" s="44" t="e">
        <f>#REF!/#REF!</f>
        <v>#REF!</v>
      </c>
      <c r="I38" s="49">
        <v>-2.2000000000000002</v>
      </c>
      <c r="J38" s="56">
        <v>8.92</v>
      </c>
      <c r="K38" s="13">
        <v>40.72</v>
      </c>
    </row>
    <row r="39" spans="1:11" ht="15.5" x14ac:dyDescent="0.35">
      <c r="A39" s="43">
        <v>2011</v>
      </c>
      <c r="B39" s="43" t="s">
        <v>703</v>
      </c>
      <c r="C39" s="44" t="e">
        <f>#REF!/#REF!</f>
        <v>#REF!</v>
      </c>
      <c r="D39" s="44" t="e">
        <f>#REF!/#REF!</f>
        <v>#REF!</v>
      </c>
      <c r="E39" s="44" t="e">
        <f>#REF!/#REF!</f>
        <v>#REF!</v>
      </c>
      <c r="F39" s="44" t="e">
        <f>#REF!/#REF!</f>
        <v>#REF!</v>
      </c>
      <c r="G39" s="44" t="e">
        <f>#REF!/#REF!</f>
        <v>#REF!</v>
      </c>
      <c r="H39" s="44" t="e">
        <f>#REF!/#REF!</f>
        <v>#REF!</v>
      </c>
      <c r="I39" s="49">
        <v>0</v>
      </c>
      <c r="J39" s="56">
        <v>8.84</v>
      </c>
      <c r="K39" s="13">
        <v>43.540000000000006</v>
      </c>
    </row>
    <row r="40" spans="1:11" ht="15.5" x14ac:dyDescent="0.35">
      <c r="A40" s="43">
        <v>2011</v>
      </c>
      <c r="B40" s="43" t="s">
        <v>704</v>
      </c>
      <c r="C40" s="44" t="e">
        <f>#REF!/#REF!</f>
        <v>#REF!</v>
      </c>
      <c r="D40" s="44" t="e">
        <f>#REF!/#REF!</f>
        <v>#REF!</v>
      </c>
      <c r="E40" s="44" t="e">
        <f>#REF!/#REF!</f>
        <v>#REF!</v>
      </c>
      <c r="F40" s="44" t="e">
        <f>#REF!/#REF!</f>
        <v>#REF!</v>
      </c>
      <c r="G40" s="44" t="e">
        <f>#REF!/#REF!</f>
        <v>#REF!</v>
      </c>
      <c r="H40" s="44" t="e">
        <f>#REF!/#REF!</f>
        <v>#REF!</v>
      </c>
      <c r="I40" s="49">
        <v>0.6</v>
      </c>
      <c r="J40" s="56">
        <v>3.91</v>
      </c>
      <c r="K40" s="13">
        <v>44.05</v>
      </c>
    </row>
    <row r="41" spans="1:11" ht="15.5" x14ac:dyDescent="0.35">
      <c r="A41" s="43">
        <v>2011</v>
      </c>
      <c r="B41" s="43" t="s">
        <v>705</v>
      </c>
      <c r="C41" s="44" t="e">
        <f>#REF!/#REF!</f>
        <v>#REF!</v>
      </c>
      <c r="D41" s="44" t="e">
        <f>#REF!/#REF!</f>
        <v>#REF!</v>
      </c>
      <c r="E41" s="44" t="e">
        <f>#REF!/#REF!</f>
        <v>#REF!</v>
      </c>
      <c r="F41" s="44" t="e">
        <f>#REF!/#REF!</f>
        <v>#REF!</v>
      </c>
      <c r="G41" s="44" t="e">
        <f>#REF!/#REF!</f>
        <v>#REF!</v>
      </c>
      <c r="H41" s="44" t="e">
        <f>#REF!/#REF!</f>
        <v>#REF!</v>
      </c>
      <c r="I41" s="52">
        <v>-0.2</v>
      </c>
      <c r="J41" s="56">
        <v>1.94</v>
      </c>
      <c r="K41" s="13">
        <v>43.769999999999996</v>
      </c>
    </row>
    <row r="42" spans="1:11" ht="15.5" x14ac:dyDescent="0.35">
      <c r="A42" s="43">
        <v>2011</v>
      </c>
      <c r="B42" s="43" t="s">
        <v>706</v>
      </c>
      <c r="C42" s="44" t="e">
        <f>#REF!/#REF!</f>
        <v>#REF!</v>
      </c>
      <c r="D42" s="44" t="e">
        <f>#REF!/#REF!</f>
        <v>#REF!</v>
      </c>
      <c r="E42" s="44" t="e">
        <f>#REF!/#REF!</f>
        <v>#REF!</v>
      </c>
      <c r="F42" s="44" t="e">
        <f>#REF!/#REF!</f>
        <v>#REF!</v>
      </c>
      <c r="G42" s="44" t="e">
        <f>#REF!/#REF!</f>
        <v>#REF!</v>
      </c>
      <c r="H42" s="44" t="e">
        <f>#REF!/#REF!</f>
        <v>#REF!</v>
      </c>
      <c r="I42" s="49">
        <v>0.6</v>
      </c>
      <c r="J42" s="56">
        <v>4.9000000000000004</v>
      </c>
      <c r="K42" s="13">
        <v>46.889999999999993</v>
      </c>
    </row>
    <row r="43" spans="1:11" ht="15.5" x14ac:dyDescent="0.35">
      <c r="A43" s="43">
        <v>2012</v>
      </c>
      <c r="B43" s="43" t="s">
        <v>713</v>
      </c>
      <c r="C43" s="44" t="e">
        <f>#REF!/#REF!</f>
        <v>#REF!</v>
      </c>
      <c r="D43" s="44" t="e">
        <f>#REF!/#REF!</f>
        <v>#REF!</v>
      </c>
      <c r="E43" s="44" t="e">
        <f>#REF!/#REF!</f>
        <v>#REF!</v>
      </c>
      <c r="F43" s="44" t="e">
        <f>#REF!/#REF!</f>
        <v>#REF!</v>
      </c>
      <c r="G43" s="44" t="e">
        <f>#REF!/#REF!</f>
        <v>#REF!</v>
      </c>
      <c r="H43" s="44" t="e">
        <f>#REF!/#REF!</f>
        <v>#REF!</v>
      </c>
      <c r="I43" s="52">
        <v>-1.2</v>
      </c>
      <c r="J43" s="56">
        <v>2.19</v>
      </c>
      <c r="K43" s="13">
        <v>46.829999999999991</v>
      </c>
    </row>
    <row r="44" spans="1:11" ht="15.5" x14ac:dyDescent="0.35">
      <c r="A44" s="43">
        <v>2012</v>
      </c>
      <c r="B44" s="43" t="s">
        <v>707</v>
      </c>
      <c r="C44" s="44" t="e">
        <f>#REF!/#REF!</f>
        <v>#REF!</v>
      </c>
      <c r="D44" s="44" t="e">
        <f>#REF!/#REF!</f>
        <v>#REF!</v>
      </c>
      <c r="E44" s="44" t="e">
        <f>#REF!/#REF!</f>
        <v>#REF!</v>
      </c>
      <c r="F44" s="44" t="e">
        <f>#REF!/#REF!</f>
        <v>#REF!</v>
      </c>
      <c r="G44" s="44" t="e">
        <f>#REF!/#REF!</f>
        <v>#REF!</v>
      </c>
      <c r="H44" s="44" t="e">
        <f>#REF!/#REF!</f>
        <v>#REF!</v>
      </c>
      <c r="I44" s="52">
        <v>0</v>
      </c>
      <c r="J44" s="56">
        <v>2.33</v>
      </c>
      <c r="K44" s="13">
        <v>47.039999999999992</v>
      </c>
    </row>
    <row r="45" spans="1:11" ht="15.5" x14ac:dyDescent="0.35">
      <c r="A45" s="43">
        <v>2012</v>
      </c>
      <c r="B45" s="43" t="s">
        <v>708</v>
      </c>
      <c r="C45" s="44" t="e">
        <f>#REF!/#REF!</f>
        <v>#REF!</v>
      </c>
      <c r="D45" s="44" t="e">
        <f>#REF!/#REF!</f>
        <v>#REF!</v>
      </c>
      <c r="E45" s="44" t="e">
        <f>#REF!/#REF!</f>
        <v>#REF!</v>
      </c>
      <c r="F45" s="44" t="e">
        <f>#REF!/#REF!</f>
        <v>#REF!</v>
      </c>
      <c r="G45" s="44" t="e">
        <f>#REF!/#REF!</f>
        <v>#REF!</v>
      </c>
      <c r="H45" s="44" t="e">
        <f>#REF!/#REF!</f>
        <v>#REF!</v>
      </c>
      <c r="I45" s="49">
        <v>0.5</v>
      </c>
      <c r="J45" s="56">
        <v>1.02</v>
      </c>
      <c r="K45" s="13">
        <v>43.66</v>
      </c>
    </row>
    <row r="46" spans="1:11" ht="15.5" x14ac:dyDescent="0.35">
      <c r="A46" s="43">
        <v>2012</v>
      </c>
      <c r="B46" s="43" t="s">
        <v>699</v>
      </c>
      <c r="C46" s="44" t="e">
        <f>#REF!/#REF!</f>
        <v>#REF!</v>
      </c>
      <c r="D46" s="44" t="e">
        <f>#REF!/#REF!</f>
        <v>#REF!</v>
      </c>
      <c r="E46" s="44" t="e">
        <f>#REF!/#REF!</f>
        <v>#REF!</v>
      </c>
      <c r="F46" s="44" t="e">
        <f>#REF!/#REF!</f>
        <v>#REF!</v>
      </c>
      <c r="G46" s="44" t="e">
        <f>#REF!/#REF!</f>
        <v>#REF!</v>
      </c>
      <c r="H46" s="44" t="e">
        <f>#REF!/#REF!</f>
        <v>#REF!</v>
      </c>
      <c r="I46" s="52">
        <v>-0.5</v>
      </c>
      <c r="J46" s="56">
        <v>1.92</v>
      </c>
      <c r="K46" s="13">
        <v>42.38</v>
      </c>
    </row>
    <row r="47" spans="1:11" ht="15.5" x14ac:dyDescent="0.35">
      <c r="A47" s="43">
        <v>2012</v>
      </c>
      <c r="B47" s="43" t="s">
        <v>709</v>
      </c>
      <c r="C47" s="44" t="e">
        <f>#REF!/#REF!</f>
        <v>#REF!</v>
      </c>
      <c r="D47" s="44" t="e">
        <f>#REF!/#REF!</f>
        <v>#REF!</v>
      </c>
      <c r="E47" s="44" t="e">
        <f>#REF!/#REF!</f>
        <v>#REF!</v>
      </c>
      <c r="F47" s="44" t="e">
        <f>#REF!/#REF!</f>
        <v>#REF!</v>
      </c>
      <c r="G47" s="44" t="e">
        <f>#REF!/#REF!</f>
        <v>#REF!</v>
      </c>
      <c r="H47" s="44" t="e">
        <f>#REF!/#REF!</f>
        <v>#REF!</v>
      </c>
      <c r="I47" s="49">
        <v>-1.1000000000000001</v>
      </c>
      <c r="J47" s="56">
        <v>3.28</v>
      </c>
      <c r="K47" s="13">
        <v>43.96</v>
      </c>
    </row>
    <row r="48" spans="1:11" ht="15.5" x14ac:dyDescent="0.35">
      <c r="A48" s="43">
        <v>2012</v>
      </c>
      <c r="B48" s="43" t="s">
        <v>712</v>
      </c>
      <c r="C48" s="44" t="e">
        <f>#REF!/#REF!</f>
        <v>#REF!</v>
      </c>
      <c r="D48" s="44" t="e">
        <f>#REF!/#REF!</f>
        <v>#REF!</v>
      </c>
      <c r="E48" s="44" t="e">
        <f>#REF!/#REF!</f>
        <v>#REF!</v>
      </c>
      <c r="F48" s="44" t="e">
        <f>#REF!/#REF!</f>
        <v>#REF!</v>
      </c>
      <c r="G48" s="44" t="e">
        <f>#REF!/#REF!</f>
        <v>#REF!</v>
      </c>
      <c r="H48" s="44" t="e">
        <f>#REF!/#REF!</f>
        <v>#REF!</v>
      </c>
      <c r="I48" s="52">
        <v>-2</v>
      </c>
      <c r="J48" s="56">
        <v>2.38</v>
      </c>
      <c r="K48" s="13">
        <v>44.660000000000004</v>
      </c>
    </row>
    <row r="49" spans="1:11" ht="15.5" x14ac:dyDescent="0.35">
      <c r="A49" s="43">
        <v>2012</v>
      </c>
      <c r="B49" s="43" t="s">
        <v>710</v>
      </c>
      <c r="C49" s="44" t="e">
        <f>#REF!/#REF!</f>
        <v>#REF!</v>
      </c>
      <c r="D49" s="44" t="e">
        <f>#REF!/#REF!</f>
        <v>#REF!</v>
      </c>
      <c r="E49" s="44" t="e">
        <f>#REF!/#REF!</f>
        <v>#REF!</v>
      </c>
      <c r="F49" s="44" t="e">
        <f>#REF!/#REF!</f>
        <v>#REF!</v>
      </c>
      <c r="G49" s="44" t="e">
        <f>#REF!/#REF!</f>
        <v>#REF!</v>
      </c>
      <c r="H49" s="44" t="e">
        <f>#REF!/#REF!</f>
        <v>#REF!</v>
      </c>
      <c r="I49" s="52">
        <v>-2.6</v>
      </c>
      <c r="J49" s="56">
        <v>2.81</v>
      </c>
      <c r="K49" s="13">
        <v>44.440000000000012</v>
      </c>
    </row>
    <row r="50" spans="1:11" ht="15.5" x14ac:dyDescent="0.35">
      <c r="A50" s="43">
        <v>2012</v>
      </c>
      <c r="B50" s="43" t="s">
        <v>702</v>
      </c>
      <c r="C50" s="44" t="e">
        <f>#REF!/#REF!</f>
        <v>#REF!</v>
      </c>
      <c r="D50" s="44" t="e">
        <f>#REF!/#REF!</f>
        <v>#REF!</v>
      </c>
      <c r="E50" s="44" t="e">
        <f>#REF!/#REF!</f>
        <v>#REF!</v>
      </c>
      <c r="F50" s="44" t="e">
        <f>#REF!/#REF!</f>
        <v>#REF!</v>
      </c>
      <c r="G50" s="44" t="e">
        <f>#REF!/#REF!</f>
        <v>#REF!</v>
      </c>
      <c r="H50" s="44" t="e">
        <f>#REF!/#REF!</f>
        <v>#REF!</v>
      </c>
      <c r="I50" s="52">
        <v>-4.0999999999999996</v>
      </c>
      <c r="J50" s="56">
        <v>2.78</v>
      </c>
      <c r="K50" s="13">
        <v>38.300000000000004</v>
      </c>
    </row>
    <row r="51" spans="1:11" ht="15.5" x14ac:dyDescent="0.35">
      <c r="A51" s="43">
        <v>2012</v>
      </c>
      <c r="B51" s="43" t="s">
        <v>703</v>
      </c>
      <c r="C51" s="44" t="e">
        <f>#REF!/#REF!</f>
        <v>#REF!</v>
      </c>
      <c r="D51" s="44" t="e">
        <f>#REF!/#REF!</f>
        <v>#REF!</v>
      </c>
      <c r="E51" s="44" t="e">
        <f>#REF!/#REF!</f>
        <v>#REF!</v>
      </c>
      <c r="F51" s="44" t="e">
        <f>#REF!/#REF!</f>
        <v>#REF!</v>
      </c>
      <c r="G51" s="44" t="e">
        <f>#REF!/#REF!</f>
        <v>#REF!</v>
      </c>
      <c r="H51" s="44" t="e">
        <f>#REF!/#REF!</f>
        <v>#REF!</v>
      </c>
      <c r="I51" s="52">
        <v>-3.5</v>
      </c>
      <c r="J51" s="56">
        <v>4.29</v>
      </c>
      <c r="K51" s="13">
        <v>33.75</v>
      </c>
    </row>
    <row r="52" spans="1:11" ht="15.5" x14ac:dyDescent="0.35">
      <c r="A52" s="43">
        <v>2012</v>
      </c>
      <c r="B52" s="43" t="s">
        <v>704</v>
      </c>
      <c r="C52" s="44" t="e">
        <f>#REF!/#REF!</f>
        <v>#REF!</v>
      </c>
      <c r="D52" s="44" t="e">
        <f>#REF!/#REF!</f>
        <v>#REF!</v>
      </c>
      <c r="E52" s="44" t="e">
        <f>#REF!/#REF!</f>
        <v>#REF!</v>
      </c>
      <c r="F52" s="44" t="e">
        <f>#REF!/#REF!</f>
        <v>#REF!</v>
      </c>
      <c r="G52" s="44" t="e">
        <f>#REF!/#REF!</f>
        <v>#REF!</v>
      </c>
      <c r="H52" s="44" t="e">
        <f>#REF!/#REF!</f>
        <v>#REF!</v>
      </c>
      <c r="I52" s="52">
        <v>-1</v>
      </c>
      <c r="J52" s="56">
        <v>5.82</v>
      </c>
      <c r="K52" s="13">
        <v>35.659999999999997</v>
      </c>
    </row>
    <row r="53" spans="1:11" ht="15.5" x14ac:dyDescent="0.35">
      <c r="A53" s="43">
        <v>2012</v>
      </c>
      <c r="B53" s="43" t="s">
        <v>705</v>
      </c>
      <c r="C53" s="44" t="e">
        <f>#REF!/#REF!</f>
        <v>#REF!</v>
      </c>
      <c r="D53" s="44" t="e">
        <f>#REF!/#REF!</f>
        <v>#REF!</v>
      </c>
      <c r="E53" s="44" t="e">
        <f>#REF!/#REF!</f>
        <v>#REF!</v>
      </c>
      <c r="F53" s="44" t="e">
        <f>#REF!/#REF!</f>
        <v>#REF!</v>
      </c>
      <c r="G53" s="44" t="e">
        <f>#REF!/#REF!</f>
        <v>#REF!</v>
      </c>
      <c r="H53" s="44" t="e">
        <f>#REF!/#REF!</f>
        <v>#REF!</v>
      </c>
      <c r="I53" s="52">
        <v>-1.2</v>
      </c>
      <c r="J53" s="56">
        <v>0.6</v>
      </c>
      <c r="K53" s="13">
        <v>34.32</v>
      </c>
    </row>
    <row r="54" spans="1:11" ht="15.5" x14ac:dyDescent="0.35">
      <c r="A54" s="43">
        <v>2012</v>
      </c>
      <c r="B54" s="43" t="s">
        <v>706</v>
      </c>
      <c r="C54" s="44" t="e">
        <f>#REF!/#REF!</f>
        <v>#REF!</v>
      </c>
      <c r="D54" s="44" t="e">
        <f>#REF!/#REF!</f>
        <v>#REF!</v>
      </c>
      <c r="E54" s="44" t="e">
        <f>#REF!/#REF!</f>
        <v>#REF!</v>
      </c>
      <c r="F54" s="44" t="e">
        <f>#REF!/#REF!</f>
        <v>#REF!</v>
      </c>
      <c r="G54" s="44" t="e">
        <f>#REF!/#REF!</f>
        <v>#REF!</v>
      </c>
      <c r="H54" s="44" t="e">
        <f>#REF!/#REF!</f>
        <v>#REF!</v>
      </c>
      <c r="I54" s="52">
        <v>-2.2000000000000002</v>
      </c>
      <c r="J54" s="56">
        <v>3.03</v>
      </c>
      <c r="K54" s="13">
        <v>32.449999999999996</v>
      </c>
    </row>
    <row r="55" spans="1:11" ht="15.5" x14ac:dyDescent="0.35">
      <c r="A55" s="43">
        <v>2013</v>
      </c>
      <c r="B55" s="43" t="s">
        <v>713</v>
      </c>
      <c r="C55" s="44" t="e">
        <f>#REF!/#REF!</f>
        <v>#REF!</v>
      </c>
      <c r="D55" s="44" t="e">
        <f>#REF!/#REF!</f>
        <v>#REF!</v>
      </c>
      <c r="E55" s="44" t="e">
        <f>#REF!/#REF!</f>
        <v>#REF!</v>
      </c>
      <c r="F55" s="44" t="e">
        <f>#REF!/#REF!</f>
        <v>#REF!</v>
      </c>
      <c r="G55" s="44" t="e">
        <f>#REF!/#REF!</f>
        <v>#REF!</v>
      </c>
      <c r="H55" s="44" t="e">
        <f>#REF!/#REF!</f>
        <v>#REF!</v>
      </c>
      <c r="I55" s="52">
        <v>-1.5</v>
      </c>
      <c r="J55" s="56">
        <v>2.5299999999999998</v>
      </c>
      <c r="K55" s="13">
        <v>32.79</v>
      </c>
    </row>
    <row r="56" spans="1:11" ht="15.5" x14ac:dyDescent="0.35">
      <c r="A56" s="43">
        <v>2013</v>
      </c>
      <c r="B56" s="43" t="s">
        <v>707</v>
      </c>
      <c r="C56" s="44" t="e">
        <f>#REF!/#REF!</f>
        <v>#REF!</v>
      </c>
      <c r="D56" s="44" t="e">
        <f>#REF!/#REF!</f>
        <v>#REF!</v>
      </c>
      <c r="E56" s="44" t="e">
        <f>#REF!/#REF!</f>
        <v>#REF!</v>
      </c>
      <c r="F56" s="44" t="e">
        <f>#REF!/#REF!</f>
        <v>#REF!</v>
      </c>
      <c r="G56" s="44" t="e">
        <f>#REF!/#REF!</f>
        <v>#REF!</v>
      </c>
      <c r="H56" s="44" t="e">
        <f>#REF!/#REF!</f>
        <v>#REF!</v>
      </c>
      <c r="I56" s="52">
        <v>-1</v>
      </c>
      <c r="J56" s="56">
        <v>1.67</v>
      </c>
      <c r="K56" s="13">
        <v>32.130000000000003</v>
      </c>
    </row>
    <row r="57" spans="1:11" ht="15.5" x14ac:dyDescent="0.35">
      <c r="A57" s="43">
        <v>2013</v>
      </c>
      <c r="B57" s="43" t="s">
        <v>708</v>
      </c>
      <c r="C57" s="44" t="e">
        <f>#REF!/#REF!</f>
        <v>#REF!</v>
      </c>
      <c r="D57" s="44" t="e">
        <f>#REF!/#REF!</f>
        <v>#REF!</v>
      </c>
      <c r="E57" s="44" t="e">
        <f>#REF!/#REF!</f>
        <v>#REF!</v>
      </c>
      <c r="F57" s="44" t="e">
        <f>#REF!/#REF!</f>
        <v>#REF!</v>
      </c>
      <c r="G57" s="44" t="e">
        <f>#REF!/#REF!</f>
        <v>#REF!</v>
      </c>
      <c r="H57" s="44" t="e">
        <f>#REF!/#REF!</f>
        <v>#REF!</v>
      </c>
      <c r="I57" s="52">
        <v>-0.3</v>
      </c>
      <c r="J57" s="56">
        <v>2.8</v>
      </c>
      <c r="K57" s="13">
        <v>33.909999999999997</v>
      </c>
    </row>
    <row r="58" spans="1:11" ht="15.5" x14ac:dyDescent="0.35">
      <c r="A58" s="43">
        <v>2013</v>
      </c>
      <c r="B58" s="43" t="s">
        <v>699</v>
      </c>
      <c r="C58" s="44" t="e">
        <f>#REF!/#REF!</f>
        <v>#REF!</v>
      </c>
      <c r="D58" s="44" t="e">
        <f>#REF!/#REF!</f>
        <v>#REF!</v>
      </c>
      <c r="E58" s="44" t="e">
        <f>#REF!/#REF!</f>
        <v>#REF!</v>
      </c>
      <c r="F58" s="44" t="e">
        <f>#REF!/#REF!</f>
        <v>#REF!</v>
      </c>
      <c r="G58" s="44" t="e">
        <f>#REF!/#REF!</f>
        <v>#REF!</v>
      </c>
      <c r="H58" s="44" t="e">
        <f>#REF!/#REF!</f>
        <v>#REF!</v>
      </c>
      <c r="I58" s="52">
        <v>-0.9</v>
      </c>
      <c r="J58" s="56">
        <v>2.76</v>
      </c>
      <c r="K58" s="13">
        <v>34.750000000000007</v>
      </c>
    </row>
    <row r="59" spans="1:11" ht="15.5" x14ac:dyDescent="0.35">
      <c r="A59" s="43">
        <v>2013</v>
      </c>
      <c r="B59" s="43" t="s">
        <v>709</v>
      </c>
      <c r="C59" s="44" t="e">
        <f>#REF!/#REF!</f>
        <v>#REF!</v>
      </c>
      <c r="D59" s="44" t="e">
        <f>#REF!/#REF!</f>
        <v>#REF!</v>
      </c>
      <c r="E59" s="44" t="e">
        <f>#REF!/#REF!</f>
        <v>#REF!</v>
      </c>
      <c r="F59" s="44" t="e">
        <f>#REF!/#REF!</f>
        <v>#REF!</v>
      </c>
      <c r="G59" s="44" t="e">
        <f>#REF!/#REF!</f>
        <v>#REF!</v>
      </c>
      <c r="H59" s="44" t="e">
        <f>#REF!/#REF!</f>
        <v>#REF!</v>
      </c>
      <c r="I59" s="52">
        <v>-1.3</v>
      </c>
      <c r="J59" s="56">
        <v>2.82</v>
      </c>
      <c r="K59" s="13">
        <v>34.290000000000006</v>
      </c>
    </row>
    <row r="60" spans="1:11" ht="15.5" x14ac:dyDescent="0.35">
      <c r="A60" s="43">
        <v>2013</v>
      </c>
      <c r="B60" s="43" t="s">
        <v>712</v>
      </c>
      <c r="C60" s="44" t="e">
        <f>#REF!/#REF!</f>
        <v>#REF!</v>
      </c>
      <c r="D60" s="44" t="e">
        <f>#REF!/#REF!</f>
        <v>#REF!</v>
      </c>
      <c r="E60" s="44" t="e">
        <f>#REF!/#REF!</f>
        <v>#REF!</v>
      </c>
      <c r="F60" s="44" t="e">
        <f>#REF!/#REF!</f>
        <v>#REF!</v>
      </c>
      <c r="G60" s="44" t="e">
        <f>#REF!/#REF!</f>
        <v>#REF!</v>
      </c>
      <c r="H60" s="44" t="e">
        <f>#REF!/#REF!</f>
        <v>#REF!</v>
      </c>
      <c r="I60" s="52">
        <v>-0.6</v>
      </c>
      <c r="J60" s="56">
        <v>9.9700000000000006</v>
      </c>
      <c r="K60" s="13">
        <v>41.88</v>
      </c>
    </row>
    <row r="61" spans="1:11" ht="15.5" x14ac:dyDescent="0.35">
      <c r="A61" s="43">
        <v>2013</v>
      </c>
      <c r="B61" s="43" t="s">
        <v>710</v>
      </c>
      <c r="C61" s="44" t="e">
        <f>#REF!/#REF!</f>
        <v>#REF!</v>
      </c>
      <c r="D61" s="44" t="e">
        <f>#REF!/#REF!</f>
        <v>#REF!</v>
      </c>
      <c r="E61" s="44" t="e">
        <f>#REF!/#REF!</f>
        <v>#REF!</v>
      </c>
      <c r="F61" s="44" t="e">
        <f>#REF!/#REF!</f>
        <v>#REF!</v>
      </c>
      <c r="G61" s="44" t="e">
        <f>#REF!/#REF!</f>
        <v>#REF!</v>
      </c>
      <c r="H61" s="44" t="e">
        <f>#REF!/#REF!</f>
        <v>#REF!</v>
      </c>
      <c r="I61" s="52">
        <v>-1.8</v>
      </c>
      <c r="J61" s="56">
        <v>4.43</v>
      </c>
      <c r="K61" s="13">
        <v>43.5</v>
      </c>
    </row>
    <row r="62" spans="1:11" ht="15.5" x14ac:dyDescent="0.35">
      <c r="A62" s="43">
        <v>2013</v>
      </c>
      <c r="B62" s="43" t="s">
        <v>702</v>
      </c>
      <c r="C62" s="44" t="e">
        <f>#REF!/#REF!</f>
        <v>#REF!</v>
      </c>
      <c r="D62" s="44" t="e">
        <f>#REF!/#REF!</f>
        <v>#REF!</v>
      </c>
      <c r="E62" s="44" t="e">
        <f>#REF!/#REF!</f>
        <v>#REF!</v>
      </c>
      <c r="F62" s="44" t="e">
        <f>#REF!/#REF!</f>
        <v>#REF!</v>
      </c>
      <c r="G62" s="44" t="e">
        <f>#REF!/#REF!</f>
        <v>#REF!</v>
      </c>
      <c r="H62" s="44" t="e">
        <f>#REF!/#REF!</f>
        <v>#REF!</v>
      </c>
      <c r="I62" s="52">
        <v>-2.59</v>
      </c>
      <c r="J62" s="56">
        <v>1.34</v>
      </c>
      <c r="K62" s="13">
        <v>42.06</v>
      </c>
    </row>
    <row r="63" spans="1:11" ht="15.5" x14ac:dyDescent="0.35">
      <c r="A63" s="43">
        <v>2013</v>
      </c>
      <c r="B63" s="43" t="s">
        <v>703</v>
      </c>
      <c r="C63" s="44" t="e">
        <f>#REF!/#REF!</f>
        <v>#REF!</v>
      </c>
      <c r="D63" s="44" t="e">
        <f>#REF!/#REF!</f>
        <v>#REF!</v>
      </c>
      <c r="E63" s="44" t="e">
        <f>#REF!/#REF!</f>
        <v>#REF!</v>
      </c>
      <c r="F63" s="44" t="e">
        <f>#REF!/#REF!</f>
        <v>#REF!</v>
      </c>
      <c r="G63" s="44" t="e">
        <f>#REF!/#REF!</f>
        <v>#REF!</v>
      </c>
      <c r="H63" s="44" t="e">
        <f>#REF!/#REF!</f>
        <v>#REF!</v>
      </c>
      <c r="I63" s="52">
        <v>-3.3099999999999987</v>
      </c>
      <c r="J63" s="56">
        <v>1.22</v>
      </c>
      <c r="K63" s="13">
        <v>38.99</v>
      </c>
    </row>
    <row r="64" spans="1:11" ht="15.5" x14ac:dyDescent="0.35">
      <c r="A64" s="43">
        <v>2013</v>
      </c>
      <c r="B64" s="43" t="s">
        <v>704</v>
      </c>
      <c r="C64" s="44" t="e">
        <f>#REF!/#REF!</f>
        <v>#REF!</v>
      </c>
      <c r="D64" s="44" t="e">
        <f>#REF!/#REF!</f>
        <v>#REF!</v>
      </c>
      <c r="E64" s="44" t="e">
        <f>#REF!/#REF!</f>
        <v>#REF!</v>
      </c>
      <c r="F64" s="44" t="e">
        <f>#REF!/#REF!</f>
        <v>#REF!</v>
      </c>
      <c r="G64" s="44" t="e">
        <f>#REF!/#REF!</f>
        <v>#REF!</v>
      </c>
      <c r="H64" s="44" t="e">
        <f>#REF!/#REF!</f>
        <v>#REF!</v>
      </c>
      <c r="I64" s="52">
        <v>-2.6</v>
      </c>
      <c r="J64" s="56">
        <v>6.25</v>
      </c>
      <c r="K64" s="13">
        <v>39.42</v>
      </c>
    </row>
    <row r="65" spans="1:11" ht="15.5" x14ac:dyDescent="0.35">
      <c r="A65" s="43">
        <v>2013</v>
      </c>
      <c r="B65" s="43" t="s">
        <v>705</v>
      </c>
      <c r="C65" s="44" t="e">
        <f>#REF!/#REF!</f>
        <v>#REF!</v>
      </c>
      <c r="D65" s="44" t="e">
        <f>#REF!/#REF!</f>
        <v>#REF!</v>
      </c>
      <c r="E65" s="44" t="e">
        <f>#REF!/#REF!</f>
        <v>#REF!</v>
      </c>
      <c r="F65" s="44" t="e">
        <f>#REF!/#REF!</f>
        <v>#REF!</v>
      </c>
      <c r="G65" s="44" t="e">
        <f>#REF!/#REF!</f>
        <v>#REF!</v>
      </c>
      <c r="H65" s="44" t="e">
        <f>#REF!/#REF!</f>
        <v>#REF!</v>
      </c>
      <c r="I65" s="52">
        <v>-2.2999999999999998</v>
      </c>
      <c r="J65" s="56">
        <v>2.92</v>
      </c>
      <c r="K65" s="13">
        <v>41.74</v>
      </c>
    </row>
    <row r="66" spans="1:11" ht="15.5" x14ac:dyDescent="0.35">
      <c r="A66" s="43">
        <v>2013</v>
      </c>
      <c r="B66" s="43" t="s">
        <v>706</v>
      </c>
      <c r="C66" s="44" t="e">
        <f>#REF!/#REF!</f>
        <v>#REF!</v>
      </c>
      <c r="D66" s="44" t="e">
        <f>#REF!/#REF!</f>
        <v>#REF!</v>
      </c>
      <c r="E66" s="44" t="e">
        <f>#REF!/#REF!</f>
        <v>#REF!</v>
      </c>
      <c r="F66" s="44" t="e">
        <f>#REF!/#REF!</f>
        <v>#REF!</v>
      </c>
      <c r="G66" s="44" t="e">
        <f>#REF!/#REF!</f>
        <v>#REF!</v>
      </c>
      <c r="H66" s="44" t="e">
        <f>#REF!/#REF!</f>
        <v>#REF!</v>
      </c>
      <c r="I66" s="52">
        <v>-0.3</v>
      </c>
      <c r="J66" s="56">
        <v>5.53</v>
      </c>
      <c r="K66" s="13">
        <v>44.239999999999995</v>
      </c>
    </row>
    <row r="67" spans="1:11" ht="14" x14ac:dyDescent="0.3">
      <c r="A67" s="43"/>
      <c r="B67" s="43"/>
      <c r="C67" s="42" t="s">
        <v>3</v>
      </c>
      <c r="D67" s="42" t="s">
        <v>743</v>
      </c>
      <c r="E67" s="42" t="s">
        <v>5</v>
      </c>
      <c r="F67" s="42" t="s">
        <v>6</v>
      </c>
      <c r="G67" s="42" t="s">
        <v>7</v>
      </c>
      <c r="H67" s="42" t="s">
        <v>8</v>
      </c>
      <c r="I67" s="48" t="s">
        <v>744</v>
      </c>
      <c r="J67" s="48" t="s">
        <v>745</v>
      </c>
      <c r="K67" s="42" t="s">
        <v>746</v>
      </c>
    </row>
    <row r="68" spans="1:11" ht="15.5" x14ac:dyDescent="0.35">
      <c r="A68" s="43">
        <v>2014</v>
      </c>
      <c r="B68" s="43" t="s">
        <v>713</v>
      </c>
      <c r="C68" s="44" t="e">
        <f>#REF!/#REF!</f>
        <v>#REF!</v>
      </c>
      <c r="D68" s="44" t="e">
        <f>#REF!/#REF!</f>
        <v>#REF!</v>
      </c>
      <c r="E68" s="44" t="e">
        <f>#REF!/#REF!</f>
        <v>#REF!</v>
      </c>
      <c r="F68" s="44" t="e">
        <f>#REF!/#REF!</f>
        <v>#REF!</v>
      </c>
      <c r="G68" s="44" t="e">
        <f>#REF!/#REF!</f>
        <v>#REF!</v>
      </c>
      <c r="H68" s="44" t="e">
        <f>#REF!/#REF!</f>
        <v>#REF!</v>
      </c>
      <c r="I68" s="52">
        <v>-0.4</v>
      </c>
      <c r="J68" s="56">
        <v>2.58</v>
      </c>
      <c r="K68" s="13">
        <v>44.29</v>
      </c>
    </row>
    <row r="69" spans="1:11" ht="15.5" x14ac:dyDescent="0.35">
      <c r="A69" s="43">
        <v>2014</v>
      </c>
      <c r="B69" s="43" t="s">
        <v>707</v>
      </c>
      <c r="C69" s="44" t="e">
        <f>#REF!/#REF!</f>
        <v>#REF!</v>
      </c>
      <c r="D69" s="44" t="e">
        <f>#REF!/#REF!</f>
        <v>#REF!</v>
      </c>
      <c r="E69" s="44" t="e">
        <f>#REF!/#REF!</f>
        <v>#REF!</v>
      </c>
      <c r="F69" s="44" t="e">
        <f>#REF!/#REF!</f>
        <v>#REF!</v>
      </c>
      <c r="G69" s="44" t="e">
        <f>#REF!/#REF!</f>
        <v>#REF!</v>
      </c>
      <c r="H69" s="44" t="e">
        <f>#REF!/#REF!</f>
        <v>#REF!</v>
      </c>
      <c r="I69" s="52">
        <v>1.3</v>
      </c>
      <c r="J69" s="56">
        <v>4.0199999999999996</v>
      </c>
      <c r="K69" s="13">
        <v>46.64</v>
      </c>
    </row>
    <row r="70" spans="1:11" ht="14" x14ac:dyDescent="0.3">
      <c r="A70" s="43">
        <v>2014</v>
      </c>
      <c r="B70" s="43" t="s">
        <v>708</v>
      </c>
      <c r="C70" s="44" t="e">
        <f>#REF!/#REF!</f>
        <v>#REF!</v>
      </c>
      <c r="D70" s="44" t="e">
        <f>#REF!/#REF!</f>
        <v>#REF!</v>
      </c>
      <c r="E70" s="44" t="e">
        <f>#REF!/#REF!</f>
        <v>#REF!</v>
      </c>
      <c r="F70" s="44" t="e">
        <f>#REF!/#REF!</f>
        <v>#REF!</v>
      </c>
      <c r="G70" s="44" t="e">
        <f>#REF!/#REF!</f>
        <v>#REF!</v>
      </c>
      <c r="H70" s="44" t="e">
        <f>#REF!/#REF!</f>
        <v>#REF!</v>
      </c>
      <c r="I70" s="52">
        <v>0.7</v>
      </c>
      <c r="J70" s="52" t="e">
        <f>#REF!</f>
        <v>#REF!</v>
      </c>
      <c r="K70" s="13">
        <v>48.1</v>
      </c>
    </row>
    <row r="71" spans="1:11" ht="14" x14ac:dyDescent="0.3">
      <c r="A71" s="43">
        <v>2014</v>
      </c>
      <c r="B71" s="43" t="s">
        <v>699</v>
      </c>
      <c r="C71" s="44" t="e">
        <f>#REF!/#REF!</f>
        <v>#REF!</v>
      </c>
      <c r="D71" s="44" t="e">
        <f>#REF!/#REF!</f>
        <v>#REF!</v>
      </c>
      <c r="E71" s="44" t="e">
        <f>#REF!/#REF!</f>
        <v>#REF!</v>
      </c>
      <c r="F71" s="44" t="e">
        <f>#REF!/#REF!</f>
        <v>#REF!</v>
      </c>
      <c r="G71" s="44" t="e">
        <f>#REF!/#REF!</f>
        <v>#REF!</v>
      </c>
      <c r="H71" s="44" t="e">
        <f>#REF!/#REF!</f>
        <v>#REF!</v>
      </c>
      <c r="I71" s="52">
        <v>1.0700000000000003</v>
      </c>
      <c r="J71" s="52" t="e">
        <f>#REF!</f>
        <v>#REF!</v>
      </c>
      <c r="K71" s="13">
        <v>51.809999999999995</v>
      </c>
    </row>
    <row r="72" spans="1:11" ht="14" x14ac:dyDescent="0.3">
      <c r="A72" s="43">
        <v>2014</v>
      </c>
      <c r="B72" s="43" t="s">
        <v>709</v>
      </c>
      <c r="C72" s="44" t="e">
        <f>#REF!/#REF!</f>
        <v>#REF!</v>
      </c>
      <c r="D72" s="44" t="e">
        <f>#REF!/#REF!</f>
        <v>#REF!</v>
      </c>
      <c r="E72" s="44" t="e">
        <f>#REF!/#REF!</f>
        <v>#REF!</v>
      </c>
      <c r="F72" s="44" t="e">
        <f>#REF!/#REF!</f>
        <v>#REF!</v>
      </c>
      <c r="G72" s="44" t="e">
        <f>#REF!/#REF!</f>
        <v>#REF!</v>
      </c>
      <c r="H72" s="44" t="e">
        <f>#REF!/#REF!</f>
        <v>#REF!</v>
      </c>
      <c r="I72" s="52">
        <v>1.379999999999999</v>
      </c>
      <c r="J72" s="52" t="e">
        <f>#REF!</f>
        <v>#REF!</v>
      </c>
      <c r="K72" s="13">
        <v>53.95</v>
      </c>
    </row>
    <row r="73" spans="1:11" ht="14" x14ac:dyDescent="0.3">
      <c r="A73" s="43">
        <v>2014</v>
      </c>
      <c r="B73" s="43" t="s">
        <v>712</v>
      </c>
      <c r="C73" s="44" t="e">
        <f>#REF!/#REF!</f>
        <v>#REF!</v>
      </c>
      <c r="D73" s="44" t="e">
        <f>#REF!/#REF!</f>
        <v>#REF!</v>
      </c>
      <c r="E73" s="44" t="e">
        <f>#REF!/#REF!</f>
        <v>#REF!</v>
      </c>
      <c r="F73" s="44" t="e">
        <f>#REF!/#REF!</f>
        <v>#REF!</v>
      </c>
      <c r="G73" s="44" t="e">
        <f>#REF!/#REF!</f>
        <v>#REF!</v>
      </c>
      <c r="H73" s="44" t="e">
        <f>#REF!/#REF!</f>
        <v>#REF!</v>
      </c>
      <c r="I73" s="52">
        <v>0.80999999999999872</v>
      </c>
      <c r="J73" s="52" t="e">
        <f>#REF!</f>
        <v>#REF!</v>
      </c>
      <c r="K73" s="13">
        <v>47.29</v>
      </c>
    </row>
    <row r="74" spans="1:11" ht="14" x14ac:dyDescent="0.3">
      <c r="A74" s="43">
        <v>2014</v>
      </c>
      <c r="B74" s="43" t="s">
        <v>710</v>
      </c>
      <c r="C74" s="44" t="e">
        <f>#REF!/#REF!</f>
        <v>#REF!</v>
      </c>
      <c r="D74" s="44" t="e">
        <f>#REF!/#REF!</f>
        <v>#REF!</v>
      </c>
      <c r="E74" s="44" t="e">
        <f>#REF!/#REF!</f>
        <v>#REF!</v>
      </c>
      <c r="F74" s="44" t="e">
        <f>#REF!/#REF!</f>
        <v>#REF!</v>
      </c>
      <c r="G74" s="44" t="e">
        <f>#REF!/#REF!</f>
        <v>#REF!</v>
      </c>
      <c r="H74" s="44" t="e">
        <f>#REF!/#REF!</f>
        <v>#REF!</v>
      </c>
      <c r="I74" s="52">
        <v>-0.41999999999999993</v>
      </c>
      <c r="J74" s="52" t="e">
        <f>#REF!</f>
        <v>#REF!</v>
      </c>
      <c r="K74" s="13">
        <v>47.540000000000006</v>
      </c>
    </row>
    <row r="75" spans="1:11" ht="14" x14ac:dyDescent="0.3">
      <c r="A75" s="43">
        <v>2014</v>
      </c>
      <c r="B75" s="43" t="s">
        <v>702</v>
      </c>
      <c r="C75" s="44" t="e">
        <f>#REF!/#REF!</f>
        <v>#REF!</v>
      </c>
      <c r="D75" s="44" t="e">
        <f>#REF!/#REF!</f>
        <v>#REF!</v>
      </c>
      <c r="E75" s="44" t="e">
        <f>#REF!/#REF!</f>
        <v>#REF!</v>
      </c>
      <c r="F75" s="44" t="e">
        <f>#REF!/#REF!</f>
        <v>#REF!</v>
      </c>
      <c r="G75" s="44" t="e">
        <f>#REF!/#REF!</f>
        <v>#REF!</v>
      </c>
      <c r="H75" s="44" t="e">
        <f>#REF!/#REF!</f>
        <v>#REF!</v>
      </c>
      <c r="I75" s="52">
        <v>-0.72000000000000064</v>
      </c>
      <c r="J75" s="13">
        <v>3.39</v>
      </c>
      <c r="K75" s="13">
        <v>49.59</v>
      </c>
    </row>
    <row r="76" spans="1:11" ht="14" x14ac:dyDescent="0.3">
      <c r="A76" s="43">
        <v>2014</v>
      </c>
      <c r="B76" s="43" t="s">
        <v>703</v>
      </c>
      <c r="C76" s="44" t="e">
        <f>#REF!/#REF!</f>
        <v>#REF!</v>
      </c>
      <c r="D76" s="44" t="e">
        <f>#REF!/#REF!</f>
        <v>#REF!</v>
      </c>
      <c r="E76" s="44" t="e">
        <f>#REF!/#REF!</f>
        <v>#REF!</v>
      </c>
      <c r="F76" s="44" t="e">
        <f>#REF!/#REF!</f>
        <v>#REF!</v>
      </c>
      <c r="G76" s="44" t="e">
        <f>#REF!/#REF!</f>
        <v>#REF!</v>
      </c>
      <c r="H76" s="44" t="e">
        <f>#REF!/#REF!</f>
        <v>#REF!</v>
      </c>
      <c r="I76" s="52">
        <v>-1.2400000000000002</v>
      </c>
      <c r="J76" s="13">
        <v>1.1100000000000001</v>
      </c>
      <c r="K76" s="13">
        <v>49.480000000000004</v>
      </c>
    </row>
    <row r="77" spans="1:11" ht="14" x14ac:dyDescent="0.3">
      <c r="A77" s="43">
        <v>2014</v>
      </c>
      <c r="B77" s="43" t="s">
        <v>704</v>
      </c>
      <c r="C77" s="44" t="e">
        <f>#REF!/#REF!</f>
        <v>#REF!</v>
      </c>
      <c r="D77" s="44" t="e">
        <f>#REF!/#REF!</f>
        <v>#REF!</v>
      </c>
      <c r="E77" s="44" t="e">
        <f>#REF!/#REF!</f>
        <v>#REF!</v>
      </c>
      <c r="F77" s="44" t="e">
        <f>#REF!/#REF!</f>
        <v>#REF!</v>
      </c>
      <c r="G77" s="44" t="e">
        <f>#REF!/#REF!</f>
        <v>#REF!</v>
      </c>
      <c r="H77" s="44" t="e">
        <f>#REF!/#REF!</f>
        <v>#REF!</v>
      </c>
      <c r="I77" s="52">
        <v>-0.91000000000000014</v>
      </c>
      <c r="J77" s="13">
        <v>3.49</v>
      </c>
      <c r="K77" s="13">
        <v>46.72</v>
      </c>
    </row>
    <row r="78" spans="1:11" ht="14" x14ac:dyDescent="0.3">
      <c r="A78" s="43">
        <v>2014</v>
      </c>
      <c r="B78" s="43" t="s">
        <v>705</v>
      </c>
      <c r="C78" s="44" t="e">
        <f>#REF!/#REF!</f>
        <v>#REF!</v>
      </c>
      <c r="D78" s="44" t="e">
        <f>#REF!/#REF!</f>
        <v>#REF!</v>
      </c>
      <c r="E78" s="44" t="e">
        <f>#REF!/#REF!</f>
        <v>#REF!</v>
      </c>
      <c r="F78" s="44" t="e">
        <f>#REF!/#REF!</f>
        <v>#REF!</v>
      </c>
      <c r="G78" s="44" t="e">
        <f>#REF!/#REF!</f>
        <v>#REF!</v>
      </c>
      <c r="H78" s="44" t="e">
        <f>#REF!/#REF!</f>
        <v>#REF!</v>
      </c>
      <c r="I78" s="52">
        <v>-1.1300000000000008</v>
      </c>
      <c r="J78" s="13">
        <v>2.64</v>
      </c>
      <c r="K78" s="13">
        <v>46.440000000000005</v>
      </c>
    </row>
    <row r="79" spans="1:11" ht="14" x14ac:dyDescent="0.3">
      <c r="A79" s="43">
        <v>2014</v>
      </c>
      <c r="B79" s="43" t="s">
        <v>706</v>
      </c>
      <c r="C79" s="44" t="e">
        <f>#REF!/#REF!</f>
        <v>#REF!</v>
      </c>
      <c r="D79" s="44" t="e">
        <f>#REF!/#REF!</f>
        <v>#REF!</v>
      </c>
      <c r="E79" s="44" t="e">
        <f>#REF!/#REF!</f>
        <v>#REF!</v>
      </c>
      <c r="F79" s="44" t="e">
        <f>#REF!/#REF!</f>
        <v>#REF!</v>
      </c>
      <c r="G79" s="44" t="e">
        <f>#REF!/#REF!</f>
        <v>#REF!</v>
      </c>
      <c r="H79" s="44" t="e">
        <f>#REF!/#REF!</f>
        <v>#REF!</v>
      </c>
      <c r="I79" s="52">
        <v>-0.3</v>
      </c>
      <c r="J79" s="13">
        <v>3.5</v>
      </c>
      <c r="K79" s="13">
        <v>44.41</v>
      </c>
    </row>
    <row r="80" spans="1:11" ht="14" x14ac:dyDescent="0.3">
      <c r="A80" s="43">
        <v>2015</v>
      </c>
      <c r="B80" s="43" t="s">
        <v>713</v>
      </c>
      <c r="C80" s="44" t="e">
        <f>#REF!/#REF!</f>
        <v>#REF!</v>
      </c>
      <c r="D80" s="44" t="e">
        <f>#REF!/#REF!</f>
        <v>#REF!</v>
      </c>
      <c r="E80" s="44" t="e">
        <f>#REF!/#REF!</f>
        <v>#REF!</v>
      </c>
      <c r="F80" s="44" t="e">
        <f>#REF!/#REF!</f>
        <v>#REF!</v>
      </c>
      <c r="G80" s="44" t="e">
        <f>#REF!/#REF!</f>
        <v>#REF!</v>
      </c>
      <c r="H80" s="44" t="e">
        <f>#REF!/#REF!</f>
        <v>#REF!</v>
      </c>
      <c r="I80" s="52">
        <v>0.52999999999999903</v>
      </c>
      <c r="J80" s="13">
        <v>3.73</v>
      </c>
      <c r="K80" s="13">
        <v>45.56</v>
      </c>
    </row>
    <row r="81" spans="1:11" ht="14" x14ac:dyDescent="0.3">
      <c r="A81" s="43">
        <v>2015</v>
      </c>
      <c r="B81" s="43" t="s">
        <v>707</v>
      </c>
      <c r="C81" s="44" t="e">
        <f>#REF!/#REF!</f>
        <v>#REF!</v>
      </c>
      <c r="D81" s="44" t="e">
        <f>#REF!/#REF!</f>
        <v>#REF!</v>
      </c>
      <c r="E81" s="44" t="e">
        <f>#REF!/#REF!</f>
        <v>#REF!</v>
      </c>
      <c r="F81" s="44" t="e">
        <f>#REF!/#REF!</f>
        <v>#REF!</v>
      </c>
      <c r="G81" s="44" t="e">
        <f>#REF!/#REF!</f>
        <v>#REF!</v>
      </c>
      <c r="H81" s="44" t="e">
        <f>#REF!/#REF!</f>
        <v>#REF!</v>
      </c>
      <c r="I81" s="55">
        <v>0.23000000000000043</v>
      </c>
      <c r="J81" s="52">
        <v>1.68</v>
      </c>
      <c r="K81" s="13">
        <v>43.22</v>
      </c>
    </row>
    <row r="82" spans="1:11" ht="14" x14ac:dyDescent="0.3">
      <c r="A82" s="43">
        <v>2015</v>
      </c>
      <c r="B82" s="43" t="s">
        <v>708</v>
      </c>
      <c r="C82" s="44" t="e">
        <f>#REF!/#REF!</f>
        <v>#REF!</v>
      </c>
      <c r="D82" s="44" t="e">
        <f>#REF!/#REF!</f>
        <v>#REF!</v>
      </c>
      <c r="E82" s="44" t="e">
        <f>#REF!/#REF!</f>
        <v>#REF!</v>
      </c>
      <c r="F82" s="44" t="e">
        <f>#REF!/#REF!</f>
        <v>#REF!</v>
      </c>
      <c r="G82" s="44" t="e">
        <f>#REF!/#REF!</f>
        <v>#REF!</v>
      </c>
      <c r="H82" s="44" t="e">
        <f>#REF!/#REF!</f>
        <v>#REF!</v>
      </c>
      <c r="I82" s="55">
        <v>1.4499999999999993</v>
      </c>
      <c r="J82" s="52">
        <v>4.04</v>
      </c>
      <c r="K82" s="13">
        <v>43</v>
      </c>
    </row>
    <row r="83" spans="1:11" ht="14" x14ac:dyDescent="0.3">
      <c r="A83" s="43">
        <v>2015</v>
      </c>
      <c r="B83" s="43" t="s">
        <v>699</v>
      </c>
      <c r="C83" s="44" t="e">
        <f>#REF!/#REF!</f>
        <v>#REF!</v>
      </c>
      <c r="D83" s="44" t="e">
        <f>#REF!/#REF!</f>
        <v>#REF!</v>
      </c>
      <c r="E83" s="44" t="e">
        <f>#REF!/#REF!</f>
        <v>#REF!</v>
      </c>
      <c r="F83" s="44" t="e">
        <f>#REF!/#REF!</f>
        <v>#REF!</v>
      </c>
      <c r="G83" s="44" t="e">
        <f>#REF!/#REF!</f>
        <v>#REF!</v>
      </c>
      <c r="H83" s="44" t="e">
        <f>#REF!/#REF!</f>
        <v>#REF!</v>
      </c>
      <c r="I83" s="55">
        <v>1.3899999999999988</v>
      </c>
      <c r="J83" s="52">
        <v>3.41</v>
      </c>
      <c r="K83" s="13">
        <v>39.94</v>
      </c>
    </row>
    <row r="84" spans="1:11" ht="14" x14ac:dyDescent="0.3">
      <c r="A84" s="43">
        <v>2015</v>
      </c>
      <c r="B84" s="43" t="s">
        <v>709</v>
      </c>
      <c r="C84" s="44" t="e">
        <f>#REF!/#REF!</f>
        <v>#REF!</v>
      </c>
      <c r="D84" s="44" t="e">
        <f>#REF!/#REF!</f>
        <v>#REF!</v>
      </c>
      <c r="E84" s="44" t="e">
        <f>#REF!/#REF!</f>
        <v>#REF!</v>
      </c>
      <c r="F84" s="44" t="e">
        <f>#REF!/#REF!</f>
        <v>#REF!</v>
      </c>
      <c r="G84" s="44" t="e">
        <f>#REF!/#REF!</f>
        <v>#REF!</v>
      </c>
      <c r="H84" s="44" t="e">
        <f>#REF!/#REF!</f>
        <v>#REF!</v>
      </c>
      <c r="I84" s="52">
        <v>0.2</v>
      </c>
      <c r="J84" s="13">
        <v>1.92</v>
      </c>
      <c r="K84" s="13">
        <v>36.900000000000006</v>
      </c>
    </row>
    <row r="85" spans="1:11" ht="14" x14ac:dyDescent="0.3">
      <c r="A85" s="43">
        <v>2015</v>
      </c>
      <c r="B85" s="43" t="s">
        <v>712</v>
      </c>
      <c r="C85" s="44" t="e">
        <f>#REF!/#REF!</f>
        <v>#REF!</v>
      </c>
      <c r="D85" s="44" t="e">
        <f>#REF!/#REF!</f>
        <v>#REF!</v>
      </c>
      <c r="E85" s="44" t="e">
        <f>#REF!/#REF!</f>
        <v>#REF!</v>
      </c>
      <c r="F85" s="44" t="e">
        <f>#REF!/#REF!</f>
        <v>#REF!</v>
      </c>
      <c r="G85" s="44" t="e">
        <f>#REF!/#REF!</f>
        <v>#REF!</v>
      </c>
      <c r="H85" s="44" t="e">
        <f>#REF!/#REF!</f>
        <v>#REF!</v>
      </c>
      <c r="I85" s="55">
        <v>5.01</v>
      </c>
      <c r="J85" s="52">
        <v>11.94</v>
      </c>
      <c r="K85" s="13">
        <v>45.53</v>
      </c>
    </row>
    <row r="86" spans="1:11" ht="14" x14ac:dyDescent="0.3">
      <c r="A86" s="43">
        <v>2015</v>
      </c>
      <c r="B86" s="43" t="s">
        <v>710</v>
      </c>
      <c r="C86" s="44" t="e">
        <f>#REF!/#REF!</f>
        <v>#REF!</v>
      </c>
      <c r="D86" s="44" t="e">
        <f>#REF!/#REF!</f>
        <v>#REF!</v>
      </c>
      <c r="E86" s="44" t="e">
        <f>#REF!/#REF!</f>
        <v>#REF!</v>
      </c>
      <c r="F86" s="44" t="e">
        <f>#REF!/#REF!</f>
        <v>#REF!</v>
      </c>
      <c r="G86" s="44" t="e">
        <f>#REF!/#REF!</f>
        <v>#REF!</v>
      </c>
      <c r="H86" s="44" t="e">
        <f>#REF!/#REF!</f>
        <v>#REF!</v>
      </c>
      <c r="I86" s="52">
        <v>-0.2</v>
      </c>
      <c r="J86" s="13">
        <v>5.01</v>
      </c>
      <c r="K86" s="13">
        <v>45.859999999999992</v>
      </c>
    </row>
    <row r="87" spans="1:11" ht="14" x14ac:dyDescent="0.3">
      <c r="A87" s="43">
        <v>2015</v>
      </c>
      <c r="B87" s="43" t="s">
        <v>702</v>
      </c>
      <c r="C87" s="44" t="e">
        <f>#REF!/#REF!</f>
        <v>#REF!</v>
      </c>
      <c r="D87" s="44" t="e">
        <f>#REF!/#REF!</f>
        <v>#REF!</v>
      </c>
      <c r="E87" s="44" t="e">
        <f>#REF!/#REF!</f>
        <v>#REF!</v>
      </c>
      <c r="F87" s="44" t="e">
        <f>#REF!/#REF!</f>
        <v>#REF!</v>
      </c>
      <c r="G87" s="44" t="e">
        <f>#REF!/#REF!</f>
        <v>#REF!</v>
      </c>
      <c r="H87" s="44" t="e">
        <f>#REF!/#REF!</f>
        <v>#REF!</v>
      </c>
      <c r="I87" s="52">
        <v>-2.1500000000000004</v>
      </c>
      <c r="J87" s="13">
        <v>1.1599999999999999</v>
      </c>
      <c r="K87" s="13">
        <v>43.629999999999995</v>
      </c>
    </row>
    <row r="88" spans="1:11" ht="14" x14ac:dyDescent="0.3">
      <c r="A88" s="43">
        <v>2015</v>
      </c>
      <c r="B88" s="43" t="s">
        <v>703</v>
      </c>
      <c r="C88" s="44" t="e">
        <f>#REF!/#REF!</f>
        <v>#REF!</v>
      </c>
      <c r="D88" s="44" t="e">
        <f>#REF!/#REF!</f>
        <v>#REF!</v>
      </c>
      <c r="E88" s="44" t="e">
        <f>#REF!/#REF!</f>
        <v>#REF!</v>
      </c>
      <c r="F88" s="44" t="e">
        <f>#REF!/#REF!</f>
        <v>#REF!</v>
      </c>
      <c r="G88" s="44" t="e">
        <f>#REF!/#REF!</f>
        <v>#REF!</v>
      </c>
      <c r="H88" s="44" t="e">
        <f>#REF!/#REF!</f>
        <v>#REF!</v>
      </c>
      <c r="I88" s="52">
        <v>-1.1600000000000001</v>
      </c>
      <c r="J88" s="13">
        <v>2.15</v>
      </c>
      <c r="K88" s="13">
        <v>44.669999999999995</v>
      </c>
    </row>
    <row r="89" spans="1:11" ht="14" x14ac:dyDescent="0.3">
      <c r="A89" s="43">
        <v>2015</v>
      </c>
      <c r="B89" s="43" t="s">
        <v>704</v>
      </c>
      <c r="C89" s="44" t="e">
        <f>#REF!/#REF!</f>
        <v>#REF!</v>
      </c>
      <c r="D89" s="44" t="e">
        <f>#REF!/#REF!</f>
        <v>#REF!</v>
      </c>
      <c r="E89" s="44" t="e">
        <f>#REF!/#REF!</f>
        <v>#REF!</v>
      </c>
      <c r="F89" s="44" t="e">
        <f>#REF!/#REF!</f>
        <v>#REF!</v>
      </c>
      <c r="G89" s="44" t="e">
        <f>#REF!/#REF!</f>
        <v>#REF!</v>
      </c>
      <c r="H89" s="44" t="e">
        <f>#REF!/#REF!</f>
        <v>#REF!</v>
      </c>
      <c r="I89" s="52">
        <v>-1.6</v>
      </c>
      <c r="J89" s="13">
        <v>3.04</v>
      </c>
      <c r="K89" s="13">
        <v>44.219999999999992</v>
      </c>
    </row>
    <row r="90" spans="1:11" ht="14" x14ac:dyDescent="0.3">
      <c r="A90" s="43">
        <v>2015</v>
      </c>
      <c r="B90" s="43" t="s">
        <v>705</v>
      </c>
      <c r="C90" s="44" t="e">
        <f>#REF!/#REF!</f>
        <v>#REF!</v>
      </c>
      <c r="D90" s="44" t="e">
        <f>#REF!/#REF!</f>
        <v>#REF!</v>
      </c>
      <c r="E90" s="44" t="e">
        <f>#REF!/#REF!</f>
        <v>#REF!</v>
      </c>
      <c r="F90" s="44" t="e">
        <f>#REF!/#REF!</f>
        <v>#REF!</v>
      </c>
      <c r="G90" s="44" t="e">
        <f>#REF!/#REF!</f>
        <v>#REF!</v>
      </c>
      <c r="H90" s="44" t="e">
        <f>#REF!/#REF!</f>
        <v>#REF!</v>
      </c>
      <c r="I90" s="52">
        <v>-1.33</v>
      </c>
      <c r="J90" s="13">
        <v>2.1</v>
      </c>
      <c r="K90" s="13">
        <v>43.679999999999993</v>
      </c>
    </row>
    <row r="91" spans="1:11" ht="14" x14ac:dyDescent="0.3">
      <c r="A91" s="43">
        <v>2015</v>
      </c>
      <c r="B91" s="43" t="s">
        <v>706</v>
      </c>
      <c r="C91" s="44" t="e">
        <f>#REF!/#REF!</f>
        <v>#REF!</v>
      </c>
      <c r="D91" s="44" t="e">
        <f>#REF!/#REF!</f>
        <v>#REF!</v>
      </c>
      <c r="E91" s="44" t="e">
        <f>#REF!/#REF!</f>
        <v>#REF!</v>
      </c>
      <c r="F91" s="44" t="e">
        <f>#REF!/#REF!</f>
        <v>#REF!</v>
      </c>
      <c r="G91" s="44" t="e">
        <f>#REF!/#REF!</f>
        <v>#REF!</v>
      </c>
      <c r="H91" s="44" t="e">
        <f>#REF!/#REF!</f>
        <v>#REF!</v>
      </c>
      <c r="I91" s="52">
        <v>-1.3200000000000003</v>
      </c>
      <c r="J91" s="13">
        <v>4.84</v>
      </c>
      <c r="K91" s="13">
        <v>45.019999999999996</v>
      </c>
    </row>
    <row r="92" spans="1:11" ht="14" x14ac:dyDescent="0.3">
      <c r="A92" s="43">
        <v>2016</v>
      </c>
      <c r="B92" s="43" t="s">
        <v>713</v>
      </c>
      <c r="C92" s="44" t="e">
        <f>#REF!/#REF!</f>
        <v>#REF!</v>
      </c>
      <c r="D92" s="44" t="e">
        <f>#REF!/#REF!</f>
        <v>#REF!</v>
      </c>
      <c r="E92" s="44" t="e">
        <f>#REF!/#REF!</f>
        <v>#REF!</v>
      </c>
      <c r="F92" s="44" t="e">
        <f>#REF!/#REF!</f>
        <v>#REF!</v>
      </c>
      <c r="G92" s="44" t="e">
        <f>#REF!/#REF!</f>
        <v>#REF!</v>
      </c>
      <c r="H92" s="44" t="e">
        <f>#REF!/#REF!</f>
        <v>#REF!</v>
      </c>
      <c r="I92" s="52">
        <v>0.65000000000000036</v>
      </c>
      <c r="J92" s="13">
        <v>2.68</v>
      </c>
      <c r="K92" s="13">
        <v>43.970000000000006</v>
      </c>
    </row>
    <row r="93" spans="1:11" ht="14" x14ac:dyDescent="0.3">
      <c r="A93" s="43">
        <v>2016</v>
      </c>
      <c r="B93" s="43" t="s">
        <v>707</v>
      </c>
      <c r="C93" s="44" t="e">
        <f>#REF!/#REF!</f>
        <v>#REF!</v>
      </c>
      <c r="D93" s="44" t="e">
        <f>#REF!/#REF!</f>
        <v>#REF!</v>
      </c>
      <c r="E93" s="44" t="e">
        <f>#REF!/#REF!</f>
        <v>#REF!</v>
      </c>
      <c r="F93" s="44" t="e">
        <f>#REF!/#REF!</f>
        <v>#REF!</v>
      </c>
      <c r="G93" s="44" t="e">
        <f>#REF!/#REF!</f>
        <v>#REF!</v>
      </c>
      <c r="H93" s="44" t="e">
        <f>#REF!/#REF!</f>
        <v>#REF!</v>
      </c>
      <c r="I93" s="52">
        <v>2.6199999999999992</v>
      </c>
      <c r="J93" s="13">
        <v>3.79</v>
      </c>
      <c r="K93" s="13">
        <v>46.08</v>
      </c>
    </row>
    <row r="94" spans="1:11" ht="14" x14ac:dyDescent="0.3">
      <c r="A94" s="43">
        <v>2016</v>
      </c>
      <c r="B94" s="43" t="s">
        <v>708</v>
      </c>
      <c r="C94" s="44" t="e">
        <f>#REF!/#REF!</f>
        <v>#REF!</v>
      </c>
      <c r="D94" s="44" t="e">
        <f>#REF!/#REF!</f>
        <v>#REF!</v>
      </c>
      <c r="E94" s="44" t="e">
        <f>#REF!/#REF!</f>
        <v>#REF!</v>
      </c>
      <c r="F94" s="44" t="e">
        <f>#REF!/#REF!</f>
        <v>#REF!</v>
      </c>
      <c r="G94" s="44" t="e">
        <f>#REF!/#REF!</f>
        <v>#REF!</v>
      </c>
      <c r="H94" s="44" t="e">
        <f>#REF!/#REF!</f>
        <v>#REF!</v>
      </c>
      <c r="I94" s="52">
        <v>0.33000000000000007</v>
      </c>
      <c r="J94" s="13">
        <v>1.1599999999999999</v>
      </c>
      <c r="K94" s="13">
        <v>43.199999999999996</v>
      </c>
    </row>
    <row r="95" spans="1:11" ht="14" x14ac:dyDescent="0.3">
      <c r="A95" s="43">
        <v>2016</v>
      </c>
      <c r="B95" s="43" t="s">
        <v>699</v>
      </c>
      <c r="C95" s="44" t="e">
        <f>#REF!/#REF!</f>
        <v>#REF!</v>
      </c>
      <c r="D95" s="44" t="e">
        <f>#REF!/#REF!</f>
        <v>#REF!</v>
      </c>
      <c r="E95" s="44" t="e">
        <f>#REF!/#REF!</f>
        <v>#REF!</v>
      </c>
      <c r="F95" s="44" t="e">
        <f>#REF!/#REF!</f>
        <v>#REF!</v>
      </c>
      <c r="G95" s="44" t="e">
        <f>#REF!/#REF!</f>
        <v>#REF!</v>
      </c>
      <c r="H95" s="44" t="e">
        <f>#REF!/#REF!</f>
        <v>#REF!</v>
      </c>
      <c r="I95" s="52">
        <v>-0.30000000000000071</v>
      </c>
      <c r="J95" s="13">
        <v>2.0499999999999998</v>
      </c>
      <c r="K95" s="13">
        <v>41.839999999999989</v>
      </c>
    </row>
    <row r="96" spans="1:11" ht="14" x14ac:dyDescent="0.3">
      <c r="A96" s="43">
        <v>2016</v>
      </c>
      <c r="B96" s="43" t="s">
        <v>709</v>
      </c>
      <c r="C96" s="44" t="e">
        <f>#REF!/#REF!</f>
        <v>#REF!</v>
      </c>
      <c r="D96" s="44" t="e">
        <f>#REF!/#REF!</f>
        <v>#REF!</v>
      </c>
      <c r="E96" s="44" t="e">
        <f>#REF!/#REF!</f>
        <v>#REF!</v>
      </c>
      <c r="F96" s="44" t="e">
        <f>#REF!/#REF!</f>
        <v>#REF!</v>
      </c>
      <c r="G96" s="44" t="e">
        <f>#REF!/#REF!</f>
        <v>#REF!</v>
      </c>
      <c r="H96" s="44" t="e">
        <f>#REF!/#REF!</f>
        <v>#REF!</v>
      </c>
      <c r="I96" s="52">
        <v>-0.16000000000000014</v>
      </c>
      <c r="J96" s="13">
        <v>5.65</v>
      </c>
      <c r="K96" s="13">
        <v>45.569999999999993</v>
      </c>
    </row>
    <row r="97" spans="1:11" ht="14" x14ac:dyDescent="0.3">
      <c r="A97" s="43">
        <v>2016</v>
      </c>
      <c r="B97" s="43" t="s">
        <v>712</v>
      </c>
      <c r="C97" s="44" t="e">
        <f>#REF!/#REF!</f>
        <v>#REF!</v>
      </c>
      <c r="D97" s="44" t="e">
        <f>#REF!/#REF!</f>
        <v>#REF!</v>
      </c>
      <c r="E97" s="44" t="e">
        <f>#REF!/#REF!</f>
        <v>#REF!</v>
      </c>
      <c r="F97" s="44" t="e">
        <f>#REF!/#REF!</f>
        <v>#REF!</v>
      </c>
      <c r="G97" s="44" t="e">
        <f>#REF!/#REF!</f>
        <v>#REF!</v>
      </c>
      <c r="H97" s="44" t="e">
        <f>#REF!/#REF!</f>
        <v>#REF!</v>
      </c>
      <c r="I97" s="52">
        <v>-0.58999999999999986</v>
      </c>
      <c r="J97" s="13">
        <v>3.68</v>
      </c>
      <c r="K97" s="13">
        <v>37.309999999999995</v>
      </c>
    </row>
    <row r="98" spans="1:11" ht="14" x14ac:dyDescent="0.3">
      <c r="A98" s="43">
        <v>2016</v>
      </c>
      <c r="B98" s="43" t="s">
        <v>710</v>
      </c>
      <c r="C98" s="44" t="e">
        <f>#REF!/#REF!</f>
        <v>#REF!</v>
      </c>
      <c r="D98" s="44" t="e">
        <f>#REF!/#REF!</f>
        <v>#REF!</v>
      </c>
      <c r="E98" s="44" t="e">
        <f>#REF!/#REF!</f>
        <v>#REF!</v>
      </c>
      <c r="F98" s="44" t="e">
        <f>#REF!/#REF!</f>
        <v>#REF!</v>
      </c>
      <c r="G98" s="44" t="e">
        <f>#REF!/#REF!</f>
        <v>#REF!</v>
      </c>
      <c r="H98" s="44" t="e">
        <f>#REF!/#REF!</f>
        <v>#REF!</v>
      </c>
      <c r="I98" s="52">
        <v>-1.6300000000000008</v>
      </c>
      <c r="J98" s="13">
        <v>3.13</v>
      </c>
      <c r="K98" s="13">
        <v>35.43</v>
      </c>
    </row>
    <row r="99" spans="1:11" ht="14" x14ac:dyDescent="0.3">
      <c r="A99" s="43">
        <v>2016</v>
      </c>
      <c r="B99" s="43" t="s">
        <v>702</v>
      </c>
      <c r="C99" s="44" t="e">
        <f>#REF!/#REF!</f>
        <v>#REF!</v>
      </c>
      <c r="D99" s="44" t="e">
        <f>#REF!/#REF!</f>
        <v>#REF!</v>
      </c>
      <c r="E99" s="44" t="e">
        <f>#REF!/#REF!</f>
        <v>#REF!</v>
      </c>
      <c r="F99" s="44" t="e">
        <f>#REF!/#REF!</f>
        <v>#REF!</v>
      </c>
      <c r="G99" s="44" t="e">
        <f>#REF!/#REF!</f>
        <v>#REF!</v>
      </c>
      <c r="H99" s="44" t="e">
        <f>#REF!/#REF!</f>
        <v>#REF!</v>
      </c>
      <c r="I99" s="52">
        <v>-2.1</v>
      </c>
      <c r="J99" s="13">
        <v>2.79</v>
      </c>
      <c r="K99" s="13">
        <v>37.06</v>
      </c>
    </row>
    <row r="100" spans="1:11" ht="14" x14ac:dyDescent="0.3">
      <c r="A100" s="43">
        <v>2016</v>
      </c>
      <c r="B100" s="43" t="s">
        <v>703</v>
      </c>
      <c r="C100" s="44" t="e">
        <f>#REF!/#REF!</f>
        <v>#REF!</v>
      </c>
      <c r="D100" s="44" t="e">
        <f>#REF!/#REF!</f>
        <v>#REF!</v>
      </c>
      <c r="E100" s="44" t="e">
        <f>#REF!/#REF!</f>
        <v>#REF!</v>
      </c>
      <c r="F100" s="44" t="e">
        <f>#REF!/#REF!</f>
        <v>#REF!</v>
      </c>
      <c r="G100" s="44" t="e">
        <f>#REF!/#REF!</f>
        <v>#REF!</v>
      </c>
      <c r="H100" s="44" t="e">
        <f>#REF!/#REF!</f>
        <v>#REF!</v>
      </c>
      <c r="I100" s="52">
        <v>-2.6</v>
      </c>
      <c r="J100" s="13">
        <v>2.5</v>
      </c>
      <c r="K100" s="13">
        <v>37.410000000000004</v>
      </c>
    </row>
    <row r="101" spans="1:11" ht="14" x14ac:dyDescent="0.3">
      <c r="A101" s="43">
        <v>2016</v>
      </c>
      <c r="B101" s="43" t="s">
        <v>704</v>
      </c>
      <c r="C101" s="44" t="e">
        <f>#REF!/#REF!</f>
        <v>#REF!</v>
      </c>
      <c r="D101" s="44" t="e">
        <f>#REF!/#REF!</f>
        <v>#REF!</v>
      </c>
      <c r="E101" s="44" t="e">
        <f>#REF!/#REF!</f>
        <v>#REF!</v>
      </c>
      <c r="F101" s="44" t="e">
        <f>#REF!/#REF!</f>
        <v>#REF!</v>
      </c>
      <c r="G101" s="44" t="e">
        <f>#REF!/#REF!</f>
        <v>#REF!</v>
      </c>
      <c r="H101" s="44" t="e">
        <f>#REF!/#REF!</f>
        <v>#REF!</v>
      </c>
      <c r="I101" s="52">
        <v>-3.0300000000000011</v>
      </c>
      <c r="J101" s="13">
        <v>0.9</v>
      </c>
      <c r="K101" s="13">
        <v>35.270000000000003</v>
      </c>
    </row>
    <row r="102" spans="1:11" ht="14" x14ac:dyDescent="0.3">
      <c r="A102" s="43">
        <v>2016</v>
      </c>
      <c r="B102" s="43" t="s">
        <v>705</v>
      </c>
      <c r="C102" s="44" t="e">
        <f>#REF!/#REF!</f>
        <v>#REF!</v>
      </c>
      <c r="D102" s="44" t="e">
        <f>#REF!/#REF!</f>
        <v>#REF!</v>
      </c>
      <c r="E102" s="44" t="e">
        <f>#REF!/#REF!</f>
        <v>#REF!</v>
      </c>
      <c r="F102" s="44" t="e">
        <f>#REF!/#REF!</f>
        <v>#REF!</v>
      </c>
      <c r="G102" s="44" t="e">
        <f>#REF!/#REF!</f>
        <v>#REF!</v>
      </c>
      <c r="H102" s="44" t="e">
        <f>#REF!/#REF!</f>
        <v>#REF!</v>
      </c>
      <c r="I102" s="52">
        <v>-2.92</v>
      </c>
      <c r="J102" s="13">
        <v>0.76</v>
      </c>
      <c r="K102" s="13">
        <v>33.929999999999993</v>
      </c>
    </row>
    <row r="103" spans="1:11" ht="14" x14ac:dyDescent="0.3">
      <c r="A103" s="43">
        <v>2016</v>
      </c>
      <c r="B103" s="43" t="s">
        <v>706</v>
      </c>
      <c r="C103" s="44" t="e">
        <f>#REF!/#REF!</f>
        <v>#REF!</v>
      </c>
      <c r="D103" s="44" t="e">
        <f>#REF!/#REF!</f>
        <v>#REF!</v>
      </c>
      <c r="E103" s="44" t="e">
        <f>#REF!/#REF!</f>
        <v>#REF!</v>
      </c>
      <c r="F103" s="44" t="e">
        <f>#REF!/#REF!</f>
        <v>#REF!</v>
      </c>
      <c r="G103" s="44" t="e">
        <f>#REF!/#REF!</f>
        <v>#REF!</v>
      </c>
      <c r="H103" s="44" t="e">
        <f>#REF!/#REF!</f>
        <v>#REF!</v>
      </c>
      <c r="I103" s="52">
        <v>-2.3100000000000005</v>
      </c>
      <c r="J103" s="13">
        <v>2.61</v>
      </c>
      <c r="K103" s="13">
        <v>31.7</v>
      </c>
    </row>
    <row r="104" spans="1:11" ht="14" x14ac:dyDescent="0.3">
      <c r="A104" s="43">
        <v>2017</v>
      </c>
      <c r="B104" s="43" t="s">
        <v>713</v>
      </c>
      <c r="C104" s="44" t="e">
        <f>#REF!/#REF!</f>
        <v>#REF!</v>
      </c>
      <c r="D104" s="44" t="e">
        <f>#REF!/#REF!</f>
        <v>#REF!</v>
      </c>
      <c r="E104" s="44" t="e">
        <f>#REF!/#REF!</f>
        <v>#REF!</v>
      </c>
      <c r="F104" s="44" t="e">
        <f>#REF!/#REF!</f>
        <v>#REF!</v>
      </c>
      <c r="G104" s="44" t="e">
        <f>#REF!/#REF!</f>
        <v>#REF!</v>
      </c>
      <c r="H104" s="44" t="e">
        <f>#REF!/#REF!</f>
        <v>#REF!</v>
      </c>
      <c r="I104" s="52">
        <v>-1.9700000000000006</v>
      </c>
      <c r="J104" s="13">
        <v>2.75</v>
      </c>
      <c r="K104" s="13">
        <v>31.77</v>
      </c>
    </row>
    <row r="105" spans="1:11" ht="14" x14ac:dyDescent="0.3">
      <c r="A105" s="43">
        <v>2017</v>
      </c>
      <c r="B105" s="43" t="s">
        <v>707</v>
      </c>
      <c r="C105" s="44" t="e">
        <f>#REF!/#REF!</f>
        <v>#REF!</v>
      </c>
      <c r="D105" s="44" t="e">
        <f>#REF!/#REF!</f>
        <v>#REF!</v>
      </c>
      <c r="E105" s="44" t="e">
        <f>#REF!/#REF!</f>
        <v>#REF!</v>
      </c>
      <c r="F105" s="44" t="e">
        <f>#REF!/#REF!</f>
        <v>#REF!</v>
      </c>
      <c r="G105" s="44" t="e">
        <f>#REF!/#REF!</f>
        <v>#REF!</v>
      </c>
      <c r="H105" s="44" t="e">
        <f>#REF!/#REF!</f>
        <v>#REF!</v>
      </c>
      <c r="I105" s="52">
        <v>-2.3200000000000003</v>
      </c>
      <c r="J105" s="13">
        <v>0.68</v>
      </c>
      <c r="K105" s="13">
        <v>28.659999999999997</v>
      </c>
    </row>
    <row r="106" spans="1:11" ht="14" x14ac:dyDescent="0.3">
      <c r="A106" s="43">
        <v>2017</v>
      </c>
      <c r="B106" s="43" t="s">
        <v>708</v>
      </c>
      <c r="C106" s="44" t="e">
        <f>#REF!/#REF!</f>
        <v>#REF!</v>
      </c>
      <c r="D106" s="44" t="e">
        <f>#REF!/#REF!</f>
        <v>#REF!</v>
      </c>
      <c r="E106" s="44" t="e">
        <f>#REF!/#REF!</f>
        <v>#REF!</v>
      </c>
      <c r="F106" s="44" t="e">
        <f>#REF!/#REF!</f>
        <v>#REF!</v>
      </c>
      <c r="G106" s="44" t="e">
        <f>#REF!/#REF!</f>
        <v>#REF!</v>
      </c>
      <c r="H106" s="44" t="e">
        <f>#REF!/#REF!</f>
        <v>#REF!</v>
      </c>
      <c r="I106" s="52">
        <v>-2.3200000000000003</v>
      </c>
      <c r="J106" s="13">
        <v>3.19</v>
      </c>
      <c r="K106" s="13">
        <v>30.69</v>
      </c>
    </row>
    <row r="107" spans="1:11" ht="14" x14ac:dyDescent="0.3">
      <c r="A107" s="43">
        <v>2017</v>
      </c>
      <c r="B107" s="43" t="s">
        <v>699</v>
      </c>
      <c r="C107" s="44" t="e">
        <f>#REF!/#REF!</f>
        <v>#REF!</v>
      </c>
      <c r="D107" s="44" t="e">
        <f>#REF!/#REF!</f>
        <v>#REF!</v>
      </c>
      <c r="E107" s="44" t="e">
        <f>#REF!/#REF!</f>
        <v>#REF!</v>
      </c>
      <c r="F107" s="44" t="e">
        <f>#REF!/#REF!</f>
        <v>#REF!</v>
      </c>
      <c r="G107" s="44" t="e">
        <f>#REF!/#REF!</f>
        <v>#REF!</v>
      </c>
      <c r="H107" s="44" t="e">
        <f>#REF!/#REF!</f>
        <v>#REF!</v>
      </c>
      <c r="I107" s="52">
        <v>-1.9</v>
      </c>
      <c r="J107" s="13">
        <v>2.62</v>
      </c>
      <c r="K107" s="13">
        <v>31.26</v>
      </c>
    </row>
    <row r="108" spans="1:11" ht="14" x14ac:dyDescent="0.3">
      <c r="A108" s="43">
        <v>2017</v>
      </c>
      <c r="B108" s="43" t="s">
        <v>709</v>
      </c>
      <c r="C108" s="44" t="e">
        <f>#REF!/#REF!</f>
        <v>#REF!</v>
      </c>
      <c r="D108" s="44" t="e">
        <f>#REF!/#REF!</f>
        <v>#REF!</v>
      </c>
      <c r="E108" s="44" t="e">
        <f>#REF!/#REF!</f>
        <v>#REF!</v>
      </c>
      <c r="F108" s="44" t="e">
        <f>#REF!/#REF!</f>
        <v>#REF!</v>
      </c>
      <c r="G108" s="44" t="e">
        <f>#REF!/#REF!</f>
        <v>#REF!</v>
      </c>
      <c r="H108" s="44" t="e">
        <f>#REF!/#REF!</f>
        <v>#REF!</v>
      </c>
      <c r="I108" s="52">
        <v>-0.4</v>
      </c>
      <c r="J108" s="13">
        <v>5.55</v>
      </c>
      <c r="K108" s="13">
        <f>SUM(J97:J108)</f>
        <v>31.160000000000004</v>
      </c>
    </row>
    <row r="109" spans="1:11" ht="14" x14ac:dyDescent="0.3">
      <c r="A109" s="43">
        <v>2017</v>
      </c>
      <c r="B109" s="43" t="s">
        <v>712</v>
      </c>
      <c r="C109" s="44" t="e">
        <f>#REF!/#REF!</f>
        <v>#REF!</v>
      </c>
      <c r="D109" s="44" t="e">
        <f>#REF!/#REF!</f>
        <v>#REF!</v>
      </c>
      <c r="E109" s="44" t="e">
        <f>#REF!/#REF!</f>
        <v>#REF!</v>
      </c>
      <c r="F109" s="44" t="e">
        <f>#REF!/#REF!</f>
        <v>#REF!</v>
      </c>
      <c r="G109" s="44" t="e">
        <f>#REF!/#REF!</f>
        <v>#REF!</v>
      </c>
      <c r="H109" s="44" t="e">
        <f>#REF!/#REF!</f>
        <v>#REF!</v>
      </c>
      <c r="I109" s="52">
        <v>-2.17</v>
      </c>
      <c r="J109" s="52" t="e">
        <f>#REF!</f>
        <v>#REF!</v>
      </c>
      <c r="K109" s="13" t="e">
        <f>SUM(J98:J109)</f>
        <v>#REF!</v>
      </c>
    </row>
    <row r="110" spans="1:11" ht="14" x14ac:dyDescent="0.3">
      <c r="A110" s="43">
        <v>2017</v>
      </c>
      <c r="B110" s="43" t="s">
        <v>710</v>
      </c>
      <c r="C110" s="44" t="e">
        <f>#REF!/#REF!</f>
        <v>#REF!</v>
      </c>
      <c r="D110" s="44" t="e">
        <f>#REF!/#REF!</f>
        <v>#REF!</v>
      </c>
      <c r="E110" s="44" t="e">
        <f>#REF!/#REF!</f>
        <v>#REF!</v>
      </c>
      <c r="F110" s="44" t="e">
        <f>#REF!/#REF!</f>
        <v>#REF!</v>
      </c>
      <c r="G110" s="44" t="e">
        <f>#REF!/#REF!</f>
        <v>#REF!</v>
      </c>
      <c r="H110" s="44" t="e">
        <f>#REF!/#REF!</f>
        <v>#REF!</v>
      </c>
      <c r="I110" s="52">
        <v>-2.6500000000000004</v>
      </c>
      <c r="J110" s="52" t="e">
        <f>#REF!</f>
        <v>#REF!</v>
      </c>
      <c r="K110" s="13" t="e">
        <f>SUM(J99:J110)</f>
        <v>#REF!</v>
      </c>
    </row>
    <row r="111" spans="1:11" ht="14" x14ac:dyDescent="0.3">
      <c r="A111" s="43">
        <v>2017</v>
      </c>
      <c r="B111" s="43" t="s">
        <v>702</v>
      </c>
      <c r="C111" s="44" t="e">
        <f>#REF!/#REF!</f>
        <v>#REF!</v>
      </c>
      <c r="D111" s="44" t="e">
        <f>#REF!/#REF!</f>
        <v>#REF!</v>
      </c>
      <c r="E111" s="44" t="e">
        <f>#REF!/#REF!</f>
        <v>#REF!</v>
      </c>
      <c r="F111" s="44" t="e">
        <f>#REF!/#REF!</f>
        <v>#REF!</v>
      </c>
      <c r="G111" s="44" t="e">
        <f>#REF!/#REF!</f>
        <v>#REF!</v>
      </c>
      <c r="H111" s="44" t="e">
        <f>#REF!/#REF!</f>
        <v>#REF!</v>
      </c>
      <c r="I111" s="52">
        <v>-2.7950000000000017</v>
      </c>
      <c r="J111" s="52" t="e">
        <f>#REF!</f>
        <v>#REF!</v>
      </c>
      <c r="K111" s="13" t="e">
        <f>SUM(J100:J111)</f>
        <v>#REF!</v>
      </c>
    </row>
    <row r="112" spans="1:11" ht="14" x14ac:dyDescent="0.3">
      <c r="A112" s="43">
        <v>2017</v>
      </c>
      <c r="B112" s="43" t="s">
        <v>703</v>
      </c>
      <c r="C112" s="44" t="e">
        <f>#REF!/#REF!</f>
        <v>#REF!</v>
      </c>
      <c r="D112" s="44" t="e">
        <f>#REF!/#REF!</f>
        <v>#REF!</v>
      </c>
      <c r="E112" s="44" t="e">
        <f>#REF!/#REF!</f>
        <v>#REF!</v>
      </c>
      <c r="F112" s="44" t="e">
        <f>#REF!/#REF!</f>
        <v>#REF!</v>
      </c>
      <c r="G112" s="44" t="e">
        <f>#REF!/#REF!</f>
        <v>#REF!</v>
      </c>
      <c r="H112" s="44" t="e">
        <f>#REF!/#REF!</f>
        <v>#REF!</v>
      </c>
      <c r="I112" s="52">
        <v>-2.9400000000000013</v>
      </c>
      <c r="J112" s="52" t="e">
        <f>#REF!</f>
        <v>#REF!</v>
      </c>
      <c r="K112" s="13" t="e">
        <f>SUM(J101:J112)</f>
        <v>#REF!</v>
      </c>
    </row>
    <row r="113" spans="1:12" ht="14" x14ac:dyDescent="0.3">
      <c r="A113" s="43">
        <v>2017</v>
      </c>
      <c r="B113" s="43" t="s">
        <v>704</v>
      </c>
      <c r="C113" s="44" t="e">
        <f>#REF!/#REF!</f>
        <v>#REF!</v>
      </c>
      <c r="D113" s="44" t="e">
        <f>#REF!/#REF!</f>
        <v>#REF!</v>
      </c>
      <c r="E113" s="44" t="e">
        <f>#REF!/#REF!</f>
        <v>#REF!</v>
      </c>
      <c r="F113" s="44" t="e">
        <f>#REF!/#REF!</f>
        <v>#REF!</v>
      </c>
      <c r="G113" s="44" t="e">
        <f>#REF!/#REF!</f>
        <v>#REF!</v>
      </c>
      <c r="H113" s="44" t="e">
        <f>#REF!/#REF!</f>
        <v>#REF!</v>
      </c>
      <c r="I113" s="52">
        <v>-3.2</v>
      </c>
      <c r="J113" s="13">
        <v>2.02</v>
      </c>
      <c r="K113" s="13" t="e">
        <f t="shared" ref="K113:K119" si="0">SUM(J102:J113)</f>
        <v>#REF!</v>
      </c>
    </row>
    <row r="114" spans="1:12" ht="14" x14ac:dyDescent="0.3">
      <c r="A114" s="43">
        <v>2017</v>
      </c>
      <c r="B114" s="43" t="s">
        <v>705</v>
      </c>
      <c r="C114" s="44" t="e">
        <f>#REF!/#REF!</f>
        <v>#REF!</v>
      </c>
      <c r="D114" s="44" t="e">
        <f>#REF!/#REF!</f>
        <v>#REF!</v>
      </c>
      <c r="E114" s="44" t="e">
        <f>#REF!/#REF!</f>
        <v>#REF!</v>
      </c>
      <c r="F114" s="44" t="e">
        <f>#REF!/#REF!</f>
        <v>#REF!</v>
      </c>
      <c r="G114" s="44" t="e">
        <f>#REF!/#REF!</f>
        <v>#REF!</v>
      </c>
      <c r="H114" s="44" t="e">
        <f>#REF!/#REF!</f>
        <v>#REF!</v>
      </c>
      <c r="I114" s="52">
        <v>-3.0300000000000011</v>
      </c>
      <c r="J114" s="13">
        <v>2</v>
      </c>
      <c r="K114" s="13" t="e">
        <f t="shared" si="0"/>
        <v>#REF!</v>
      </c>
    </row>
    <row r="115" spans="1:12" ht="14" x14ac:dyDescent="0.3">
      <c r="A115" s="43">
        <v>2017</v>
      </c>
      <c r="B115" s="43" t="s">
        <v>706</v>
      </c>
      <c r="C115" s="44" t="e">
        <f>#REF!/#REF!</f>
        <v>#REF!</v>
      </c>
      <c r="D115" s="44" t="e">
        <f>#REF!/#REF!</f>
        <v>#REF!</v>
      </c>
      <c r="E115" s="44" t="e">
        <f>#REF!/#REF!</f>
        <v>#REF!</v>
      </c>
      <c r="F115" s="44" t="e">
        <f>#REF!/#REF!</f>
        <v>#REF!</v>
      </c>
      <c r="G115" s="44" t="e">
        <f>#REF!/#REF!</f>
        <v>#REF!</v>
      </c>
      <c r="H115" s="44" t="e">
        <f>#REF!/#REF!</f>
        <v>#REF!</v>
      </c>
      <c r="I115" s="52">
        <v>-3.1400000000000006</v>
      </c>
      <c r="J115" s="13">
        <v>0.5</v>
      </c>
      <c r="K115" s="13" t="e">
        <f t="shared" si="0"/>
        <v>#REF!</v>
      </c>
    </row>
    <row r="116" spans="1:12" ht="14" x14ac:dyDescent="0.3">
      <c r="A116" s="43">
        <v>2018</v>
      </c>
      <c r="B116" s="43" t="s">
        <v>713</v>
      </c>
      <c r="C116" s="44" t="e">
        <f>#REF!/#REF!</f>
        <v>#REF!</v>
      </c>
      <c r="D116" s="44" t="e">
        <f>#REF!/#REF!</f>
        <v>#REF!</v>
      </c>
      <c r="E116" s="44" t="e">
        <f>#REF!/#REF!</f>
        <v>#REF!</v>
      </c>
      <c r="F116" s="44" t="e">
        <f>#REF!/#REF!</f>
        <v>#REF!</v>
      </c>
      <c r="G116" s="44" t="e">
        <f>#REF!/#REF!</f>
        <v>#REF!</v>
      </c>
      <c r="H116" s="44" t="e">
        <f>#REF!/#REF!</f>
        <v>#REF!</v>
      </c>
      <c r="I116" s="52">
        <v>-3.3000000000000007</v>
      </c>
      <c r="J116" s="13">
        <v>0.94</v>
      </c>
      <c r="K116" s="13" t="e">
        <f t="shared" si="0"/>
        <v>#REF!</v>
      </c>
    </row>
    <row r="117" spans="1:12" ht="14" x14ac:dyDescent="0.3">
      <c r="A117" s="43">
        <v>2018</v>
      </c>
      <c r="B117" s="43" t="s">
        <v>707</v>
      </c>
      <c r="C117" s="44" t="e">
        <f>#REF!/#REF!</f>
        <v>#REF!</v>
      </c>
      <c r="D117" s="44" t="e">
        <f>#REF!/#REF!</f>
        <v>#REF!</v>
      </c>
      <c r="E117" s="44" t="e">
        <f>#REF!/#REF!</f>
        <v>#REF!</v>
      </c>
      <c r="F117" s="44" t="e">
        <f>#REF!/#REF!</f>
        <v>#REF!</v>
      </c>
      <c r="G117" s="44" t="e">
        <f>#REF!/#REF!</f>
        <v>#REF!</v>
      </c>
      <c r="H117" s="44" t="e">
        <f>#REF!/#REF!</f>
        <v>#REF!</v>
      </c>
      <c r="I117" s="52">
        <v>-1.2000000000000011</v>
      </c>
      <c r="J117" s="13">
        <v>4.79</v>
      </c>
      <c r="K117" s="13" t="e">
        <f t="shared" si="0"/>
        <v>#REF!</v>
      </c>
    </row>
    <row r="118" spans="1:12" ht="14" x14ac:dyDescent="0.3">
      <c r="A118" s="43">
        <v>2018</v>
      </c>
      <c r="B118" s="43" t="s">
        <v>708</v>
      </c>
      <c r="C118" s="44" t="e">
        <f>#REF!/#REF!</f>
        <v>#REF!</v>
      </c>
      <c r="D118" s="44" t="e">
        <f>#REF!/#REF!</f>
        <v>#REF!</v>
      </c>
      <c r="E118" s="44" t="e">
        <f>#REF!/#REF!</f>
        <v>#REF!</v>
      </c>
      <c r="F118" s="44" t="e">
        <f>#REF!/#REF!</f>
        <v>#REF!</v>
      </c>
      <c r="G118" s="44" t="e">
        <f>#REF!/#REF!</f>
        <v>#REF!</v>
      </c>
      <c r="H118" s="44" t="e">
        <f>#REF!/#REF!</f>
        <v>#REF!</v>
      </c>
      <c r="I118" s="52">
        <v>-1.3800000000000008</v>
      </c>
      <c r="J118" s="13">
        <v>1.92</v>
      </c>
      <c r="K118" s="13" t="e">
        <f t="shared" si="0"/>
        <v>#REF!</v>
      </c>
      <c r="L118" s="44" t="e">
        <f>((#REF!-#REF!))/#REF!</f>
        <v>#REF!</v>
      </c>
    </row>
    <row r="119" spans="1:12" ht="14" x14ac:dyDescent="0.3">
      <c r="A119" s="43">
        <v>2018</v>
      </c>
      <c r="B119" s="43" t="s">
        <v>699</v>
      </c>
      <c r="C119" s="44" t="e">
        <f>#REF!/#REF!</f>
        <v>#REF!</v>
      </c>
      <c r="D119" s="44" t="e">
        <f>#REF!/#REF!</f>
        <v>#REF!</v>
      </c>
      <c r="E119" s="44" t="e">
        <f>#REF!/#REF!</f>
        <v>#REF!</v>
      </c>
      <c r="F119" s="44" t="e">
        <f>#REF!/#REF!</f>
        <v>#REF!</v>
      </c>
      <c r="G119" s="44" t="e">
        <f>#REF!/#REF!</f>
        <v>#REF!</v>
      </c>
      <c r="H119" s="44" t="e">
        <f>#REF!/#REF!</f>
        <v>#REF!</v>
      </c>
      <c r="I119" s="52">
        <v>-0.54000000000000092</v>
      </c>
      <c r="J119" s="13">
        <v>3.59</v>
      </c>
      <c r="K119" s="13" t="e">
        <f t="shared" si="0"/>
        <v>#REF!</v>
      </c>
      <c r="L119" s="44" t="e">
        <f>((#REF!-#REF!))/#REF!</f>
        <v>#REF!</v>
      </c>
    </row>
    <row r="120" spans="1:12" ht="14" x14ac:dyDescent="0.3">
      <c r="A120" s="43">
        <v>2018</v>
      </c>
      <c r="B120" s="43" t="s">
        <v>709</v>
      </c>
      <c r="C120" s="44" t="e">
        <f>#REF!/#REF!</f>
        <v>#REF!</v>
      </c>
      <c r="D120" s="44" t="e">
        <f>#REF!/#REF!</f>
        <v>#REF!</v>
      </c>
      <c r="E120" s="44" t="e">
        <f>#REF!/#REF!</f>
        <v>#REF!</v>
      </c>
      <c r="F120" s="44" t="e">
        <f>#REF!/#REF!</f>
        <v>#REF!</v>
      </c>
      <c r="G120" s="44" t="e">
        <f>#REF!/#REF!</f>
        <v>#REF!</v>
      </c>
      <c r="H120" s="44" t="e">
        <f>#REF!/#REF!</f>
        <v>#REF!</v>
      </c>
      <c r="I120" s="52">
        <v>-0.76999999999999957</v>
      </c>
      <c r="J120" s="52" t="e">
        <f>+#REF!</f>
        <v>#REF!</v>
      </c>
      <c r="K120" s="52" t="e">
        <f>+#REF!</f>
        <v>#REF!</v>
      </c>
      <c r="L120" s="44" t="e">
        <f>((#REF!-#REF!))/#REF!</f>
        <v>#REF!</v>
      </c>
    </row>
    <row r="121" spans="1:12" ht="14" x14ac:dyDescent="0.3">
      <c r="A121" s="43">
        <v>2018</v>
      </c>
      <c r="B121" s="43" t="s">
        <v>712</v>
      </c>
      <c r="C121" s="44" t="e">
        <f>#REF!/#REF!</f>
        <v>#REF!</v>
      </c>
      <c r="D121" s="44" t="e">
        <f>#REF!/#REF!</f>
        <v>#REF!</v>
      </c>
      <c r="E121" s="44" t="e">
        <f>#REF!/#REF!</f>
        <v>#REF!</v>
      </c>
      <c r="F121" s="44" t="e">
        <f>#REF!/#REF!</f>
        <v>#REF!</v>
      </c>
      <c r="G121" s="44" t="e">
        <f>#REF!/#REF!</f>
        <v>#REF!</v>
      </c>
      <c r="H121" s="44" t="e">
        <f>#REF!/#REF!</f>
        <v>#REF!</v>
      </c>
      <c r="I121" s="52">
        <v>-0.63000000000000078</v>
      </c>
      <c r="J121" s="52" t="e">
        <f>+#REF!</f>
        <v>#REF!</v>
      </c>
      <c r="K121" s="52" t="e">
        <f>+#REF!</f>
        <v>#REF!</v>
      </c>
      <c r="L121" s="44" t="e">
        <f>((#REF!-#REF!))/#REF!</f>
        <v>#REF!</v>
      </c>
    </row>
    <row r="122" spans="1:12" ht="14" x14ac:dyDescent="0.3">
      <c r="A122" s="43">
        <v>2018</v>
      </c>
      <c r="B122" s="43" t="s">
        <v>710</v>
      </c>
      <c r="C122" s="44" t="e">
        <f>#REF!/#REF!</f>
        <v>#REF!</v>
      </c>
      <c r="D122" s="44" t="e">
        <f>#REF!/#REF!</f>
        <v>#REF!</v>
      </c>
      <c r="E122" s="44" t="e">
        <f>#REF!/#REF!</f>
        <v>#REF!</v>
      </c>
      <c r="F122" s="44" t="e">
        <f>#REF!/#REF!</f>
        <v>#REF!</v>
      </c>
      <c r="G122" s="44" t="e">
        <f>#REF!/#REF!</f>
        <v>#REF!</v>
      </c>
      <c r="H122" s="44" t="e">
        <f>#REF!/#REF!</f>
        <v>#REF!</v>
      </c>
      <c r="I122" s="52">
        <v>-0.42999999999999972</v>
      </c>
      <c r="J122" s="52" t="e">
        <f>+#REF!</f>
        <v>#REF!</v>
      </c>
      <c r="K122" s="52" t="e">
        <f>+#REF!</f>
        <v>#REF!</v>
      </c>
      <c r="L122" s="44" t="e">
        <f>((#REF!-#REF!))/#REF!</f>
        <v>#REF!</v>
      </c>
    </row>
    <row r="123" spans="1:12" ht="14" x14ac:dyDescent="0.3">
      <c r="A123" s="43">
        <v>2018</v>
      </c>
      <c r="B123" s="43" t="s">
        <v>702</v>
      </c>
      <c r="C123" s="44" t="e">
        <f>#REF!/#REF!</f>
        <v>#REF!</v>
      </c>
      <c r="D123" s="44" t="e">
        <f>#REF!/#REF!</f>
        <v>#REF!</v>
      </c>
      <c r="E123" s="44" t="e">
        <f>#REF!/#REF!</f>
        <v>#REF!</v>
      </c>
      <c r="F123" s="44" t="e">
        <f>#REF!/#REF!</f>
        <v>#REF!</v>
      </c>
      <c r="G123" s="44" t="e">
        <f>#REF!/#REF!</f>
        <v>#REF!</v>
      </c>
      <c r="H123" s="44" t="e">
        <f>#REF!/#REF!</f>
        <v>#REF!</v>
      </c>
      <c r="I123" s="52">
        <v>-1.1899999999999995</v>
      </c>
      <c r="J123" s="52" t="e">
        <f>+#REF!</f>
        <v>#REF!</v>
      </c>
      <c r="K123" s="52" t="e">
        <f>+#REF!</f>
        <v>#REF!</v>
      </c>
      <c r="L123" s="44" t="e">
        <f>((#REF!-#REF!))/#REF!</f>
        <v>#REF!</v>
      </c>
    </row>
    <row r="124" spans="1:12" ht="14" x14ac:dyDescent="0.3">
      <c r="A124" s="43">
        <v>2018</v>
      </c>
      <c r="B124" s="43" t="s">
        <v>703</v>
      </c>
      <c r="C124" s="44" t="e">
        <f>#REF!/#REF!</f>
        <v>#REF!</v>
      </c>
      <c r="D124" s="44" t="e">
        <f>#REF!/#REF!</f>
        <v>#REF!</v>
      </c>
      <c r="E124" s="44" t="e">
        <f>#REF!/#REF!</f>
        <v>#REF!</v>
      </c>
      <c r="F124" s="44" t="e">
        <f>#REF!/#REF!</f>
        <v>#REF!</v>
      </c>
      <c r="G124" s="44" t="e">
        <f>#REF!/#REF!</f>
        <v>#REF!</v>
      </c>
      <c r="H124" s="44" t="e">
        <f>#REF!/#REF!</f>
        <v>#REF!</v>
      </c>
      <c r="I124" s="52">
        <v>2.6999999999999993</v>
      </c>
      <c r="J124" s="52" t="e">
        <f>+#REF!</f>
        <v>#REF!</v>
      </c>
      <c r="K124" s="52" t="e">
        <f>+#REF!</f>
        <v>#REF!</v>
      </c>
      <c r="L124" s="44" t="e">
        <f>((#REF!-#REF!))/#REF!</f>
        <v>#REF!</v>
      </c>
    </row>
    <row r="125" spans="1:12" ht="14" x14ac:dyDescent="0.3">
      <c r="A125" s="43">
        <v>2018</v>
      </c>
      <c r="B125" s="43" t="s">
        <v>704</v>
      </c>
      <c r="C125" s="44" t="e">
        <f>#REF!/#REF!</f>
        <v>#REF!</v>
      </c>
      <c r="D125" s="44" t="e">
        <f>#REF!/#REF!</f>
        <v>#REF!</v>
      </c>
      <c r="E125" s="44" t="e">
        <f>#REF!/#REF!</f>
        <v>#REF!</v>
      </c>
      <c r="F125" s="44" t="e">
        <f>#REF!/#REF!</f>
        <v>#REF!</v>
      </c>
      <c r="G125" s="44" t="e">
        <f>#REF!/#REF!</f>
        <v>#REF!</v>
      </c>
      <c r="H125" s="44" t="e">
        <f>#REF!/#REF!</f>
        <v>#REF!</v>
      </c>
      <c r="I125" s="52">
        <v>0.77999999999999936</v>
      </c>
      <c r="J125" s="13">
        <v>3.06</v>
      </c>
      <c r="K125" s="52" t="e">
        <f>+#REF!</f>
        <v>#REF!</v>
      </c>
      <c r="L125" s="44" t="e">
        <f>((#REF!-#REF!))/#REF!</f>
        <v>#REF!</v>
      </c>
    </row>
    <row r="126" spans="1:12" ht="14" x14ac:dyDescent="0.3">
      <c r="A126" s="43">
        <v>2018</v>
      </c>
      <c r="B126" s="43" t="s">
        <v>705</v>
      </c>
      <c r="C126" s="44" t="e">
        <f>#REF!/#REF!</f>
        <v>#REF!</v>
      </c>
      <c r="D126" s="44" t="e">
        <f>#REF!/#REF!</f>
        <v>#REF!</v>
      </c>
      <c r="E126" s="44" t="e">
        <f>#REF!/#REF!</f>
        <v>#REF!</v>
      </c>
      <c r="F126" s="44" t="e">
        <f>#REF!/#REF!</f>
        <v>#REF!</v>
      </c>
      <c r="G126" s="44" t="e">
        <f>#REF!/#REF!</f>
        <v>#REF!</v>
      </c>
      <c r="H126" s="44" t="e">
        <f>#REF!/#REF!</f>
        <v>#REF!</v>
      </c>
      <c r="I126" s="52">
        <v>2.3699999999999992</v>
      </c>
      <c r="J126" s="13">
        <v>7.57</v>
      </c>
      <c r="K126" s="52" t="e">
        <f>+#REF!</f>
        <v>#REF!</v>
      </c>
      <c r="L126" s="44" t="e">
        <f>((#REF!-#REF!))/#REF!</f>
        <v>#REF!</v>
      </c>
    </row>
    <row r="127" spans="1:12" ht="14" x14ac:dyDescent="0.3">
      <c r="A127" s="43">
        <v>2018</v>
      </c>
      <c r="B127" s="43" t="s">
        <v>706</v>
      </c>
      <c r="C127" s="44" t="e">
        <f>#REF!/#REF!</f>
        <v>#REF!</v>
      </c>
      <c r="D127" s="44" t="e">
        <f>#REF!/#REF!</f>
        <v>#REF!</v>
      </c>
      <c r="E127" s="44" t="e">
        <f>#REF!/#REF!</f>
        <v>#REF!</v>
      </c>
      <c r="F127" s="44" t="e">
        <f>#REF!/#REF!</f>
        <v>#REF!</v>
      </c>
      <c r="G127" s="44" t="e">
        <f>#REF!/#REF!</f>
        <v>#REF!</v>
      </c>
      <c r="H127" s="44" t="e">
        <f>#REF!/#REF!</f>
        <v>#REF!</v>
      </c>
      <c r="I127" s="52">
        <v>2.5350000000000001</v>
      </c>
      <c r="J127" s="13">
        <v>5.82</v>
      </c>
      <c r="K127" s="52" t="e">
        <f>+#REF!</f>
        <v>#REF!</v>
      </c>
      <c r="L127" s="44" t="e">
        <f>((#REF!-#REF!))/#REF!</f>
        <v>#REF!</v>
      </c>
    </row>
    <row r="128" spans="1:12" ht="14" x14ac:dyDescent="0.3">
      <c r="A128" s="43">
        <v>2019</v>
      </c>
      <c r="B128" s="43" t="s">
        <v>713</v>
      </c>
      <c r="C128" s="44" t="e">
        <f>#REF!/#REF!</f>
        <v>#REF!</v>
      </c>
      <c r="D128" s="44" t="e">
        <f>#REF!/#REF!</f>
        <v>#REF!</v>
      </c>
      <c r="E128" s="44" t="e">
        <f>#REF!/#REF!</f>
        <v>#REF!</v>
      </c>
      <c r="F128" s="44" t="e">
        <f>#REF!/#REF!</f>
        <v>#REF!</v>
      </c>
      <c r="G128" s="44" t="e">
        <f>#REF!/#REF!</f>
        <v>#REF!</v>
      </c>
      <c r="H128" s="44" t="e">
        <f>#REF!/#REF!</f>
        <v>#REF!</v>
      </c>
      <c r="I128" s="52">
        <v>2.6999999999999993</v>
      </c>
      <c r="J128" s="13">
        <v>2.4900000000000002</v>
      </c>
      <c r="K128" s="52" t="e">
        <f>+#REF!</f>
        <v>#REF!</v>
      </c>
      <c r="L128" s="44" t="e">
        <f>((#REF!-#REF!))/#REF!</f>
        <v>#REF!</v>
      </c>
    </row>
    <row r="129" spans="1:12" ht="14" x14ac:dyDescent="0.3">
      <c r="A129" s="43">
        <v>2019</v>
      </c>
      <c r="B129" s="43" t="s">
        <v>707</v>
      </c>
      <c r="C129" s="44" t="e">
        <f>#REF!/#REF!</f>
        <v>#REF!</v>
      </c>
      <c r="D129" s="44" t="e">
        <f>#REF!/#REF!</f>
        <v>#REF!</v>
      </c>
      <c r="E129" s="44" t="e">
        <f>#REF!/#REF!</f>
        <v>#REF!</v>
      </c>
      <c r="F129" s="44" t="e">
        <f>#REF!/#REF!</f>
        <v>#REF!</v>
      </c>
      <c r="G129" s="44" t="e">
        <f>#REF!/#REF!</f>
        <v>#REF!</v>
      </c>
      <c r="H129" s="44" t="e">
        <f>#REF!/#REF!</f>
        <v>#REF!</v>
      </c>
      <c r="I129" s="52">
        <v>2.6999999999999993</v>
      </c>
      <c r="J129" s="13">
        <v>3.52</v>
      </c>
      <c r="K129" s="52" t="e">
        <f>+#REF!</f>
        <v>#REF!</v>
      </c>
      <c r="L129" s="44" t="e">
        <f>((#REF!-#REF!))/#REF!</f>
        <v>#REF!</v>
      </c>
    </row>
    <row r="130" spans="1:12" ht="14" x14ac:dyDescent="0.3">
      <c r="A130" s="43">
        <v>2019</v>
      </c>
      <c r="B130" s="43" t="s">
        <v>708</v>
      </c>
      <c r="C130" s="44" t="e">
        <f>#REF!/#REF!</f>
        <v>#REF!</v>
      </c>
      <c r="D130" s="44" t="e">
        <f>#REF!/#REF!</f>
        <v>#REF!</v>
      </c>
      <c r="E130" s="44" t="e">
        <f>#REF!/#REF!</f>
        <v>#REF!</v>
      </c>
      <c r="F130" s="44" t="e">
        <f>#REF!/#REF!</f>
        <v>#REF!</v>
      </c>
      <c r="G130" s="44" t="e">
        <f>#REF!/#REF!</f>
        <v>#REF!</v>
      </c>
      <c r="H130" s="44" t="e">
        <f>#REF!/#REF!</f>
        <v>#REF!</v>
      </c>
      <c r="I130" s="52">
        <v>2.5199999999999996</v>
      </c>
      <c r="J130" s="13">
        <v>4</v>
      </c>
      <c r="K130" s="52" t="e">
        <f>+#REF!</f>
        <v>#REF!</v>
      </c>
      <c r="L130" s="44" t="e">
        <f>((#REF!-#REF!))/#REF!</f>
        <v>#REF!</v>
      </c>
    </row>
    <row r="131" spans="1:12" ht="14" x14ac:dyDescent="0.3">
      <c r="A131" s="43">
        <v>2019</v>
      </c>
      <c r="B131" s="43" t="s">
        <v>699</v>
      </c>
      <c r="C131" s="44" t="e">
        <f>#REF!/#REF!</f>
        <v>#REF!</v>
      </c>
      <c r="D131" s="44" t="e">
        <f>#REF!/#REF!</f>
        <v>#REF!</v>
      </c>
      <c r="E131" s="44" t="e">
        <f>#REF!/#REF!</f>
        <v>#REF!</v>
      </c>
      <c r="F131" s="44" t="e">
        <f>#REF!/#REF!</f>
        <v>#REF!</v>
      </c>
      <c r="G131" s="44" t="e">
        <f>#REF!/#REF!</f>
        <v>#REF!</v>
      </c>
      <c r="H131" s="44" t="e">
        <f>#REF!/#REF!</f>
        <v>#REF!</v>
      </c>
      <c r="I131" s="52">
        <v>1.3599999999999994</v>
      </c>
      <c r="J131" s="13">
        <v>2.2400000000000002</v>
      </c>
      <c r="K131" s="52" t="e">
        <f>+#REF!</f>
        <v>#REF!</v>
      </c>
      <c r="L131" s="44" t="e">
        <f>((#REF!-#REF!))/#REF!</f>
        <v>#REF!</v>
      </c>
    </row>
    <row r="132" spans="1:12" ht="14" x14ac:dyDescent="0.3">
      <c r="A132" s="43">
        <v>2019</v>
      </c>
      <c r="B132" s="43" t="s">
        <v>709</v>
      </c>
      <c r="C132" s="44" t="e">
        <f>#REF!/#REF!</f>
        <v>#REF!</v>
      </c>
      <c r="D132" s="44" t="e">
        <f>#REF!/#REF!</f>
        <v>#REF!</v>
      </c>
      <c r="E132" s="44" t="e">
        <f>#REF!/#REF!</f>
        <v>#REF!</v>
      </c>
      <c r="F132" s="44" t="e">
        <f>#REF!/#REF!</f>
        <v>#REF!</v>
      </c>
      <c r="G132" s="44" t="e">
        <f>#REF!/#REF!</f>
        <v>#REF!</v>
      </c>
      <c r="H132" s="44" t="e">
        <f>#REF!/#REF!</f>
        <v>#REF!</v>
      </c>
      <c r="I132" s="52">
        <v>2.8000000000000007</v>
      </c>
      <c r="J132" s="13">
        <v>4.97</v>
      </c>
      <c r="K132" s="52" t="e">
        <f>+#REF!</f>
        <v>#REF!</v>
      </c>
      <c r="L132" s="44" t="e">
        <f>((#REF!-#REF!))/#REF!</f>
        <v>#REF!</v>
      </c>
    </row>
    <row r="133" spans="1:12" ht="14" x14ac:dyDescent="0.3">
      <c r="A133" s="43">
        <v>2019</v>
      </c>
      <c r="B133" s="43" t="s">
        <v>712</v>
      </c>
      <c r="C133" s="44" t="e">
        <f>#REF!/#REF!</f>
        <v>#REF!</v>
      </c>
      <c r="D133" s="44" t="e">
        <f>#REF!/#REF!</f>
        <v>#REF!</v>
      </c>
      <c r="E133" s="44" t="e">
        <f>#REF!/#REF!</f>
        <v>#REF!</v>
      </c>
      <c r="F133" s="44" t="e">
        <f>#REF!/#REF!</f>
        <v>#REF!</v>
      </c>
      <c r="G133" s="44" t="e">
        <f>#REF!/#REF!</f>
        <v>#REF!</v>
      </c>
      <c r="H133" s="44" t="e">
        <f>#REF!/#REF!</f>
        <v>#REF!</v>
      </c>
      <c r="I133" s="52">
        <v>2.5099999999999998</v>
      </c>
      <c r="J133" s="13">
        <v>4.2699999999999996</v>
      </c>
      <c r="K133" s="52" t="e">
        <f>+#REF!</f>
        <v>#REF!</v>
      </c>
      <c r="L133" s="44" t="e">
        <f>((#REF!-#REF!))/#REF!</f>
        <v>#REF!</v>
      </c>
    </row>
    <row r="134" spans="1:12" ht="14" x14ac:dyDescent="0.3">
      <c r="A134" s="43">
        <v>2019</v>
      </c>
      <c r="B134" s="43" t="s">
        <v>710</v>
      </c>
      <c r="C134" s="44" t="e">
        <f>#REF!/#REF!</f>
        <v>#REF!</v>
      </c>
      <c r="D134" s="44" t="e">
        <f>#REF!/#REF!</f>
        <v>#REF!</v>
      </c>
      <c r="E134" s="44" t="e">
        <f>#REF!/#REF!</f>
        <v>#REF!</v>
      </c>
      <c r="F134" s="44" t="e">
        <f>#REF!/#REF!</f>
        <v>#REF!</v>
      </c>
      <c r="G134" s="44" t="e">
        <f>#REF!/#REF!</f>
        <v>#REF!</v>
      </c>
      <c r="H134" s="44" t="e">
        <f>#REF!/#REF!</f>
        <v>#REF!</v>
      </c>
      <c r="I134" s="52">
        <v>2.5999999999999996</v>
      </c>
      <c r="J134" s="13">
        <v>6.49</v>
      </c>
      <c r="K134" s="52" t="e">
        <f>+#REF!</f>
        <v>#REF!</v>
      </c>
      <c r="L134" s="44" t="e">
        <f>((#REF!-#REF!))/#REF!</f>
        <v>#REF!</v>
      </c>
    </row>
    <row r="135" spans="1:12" ht="14" x14ac:dyDescent="0.3">
      <c r="A135" s="43">
        <v>2019</v>
      </c>
      <c r="B135" s="43" t="s">
        <v>702</v>
      </c>
      <c r="C135" s="44" t="e">
        <f>#REF!/#REF!</f>
        <v>#REF!</v>
      </c>
      <c r="D135" s="44" t="e">
        <f>#REF!/#REF!</f>
        <v>#REF!</v>
      </c>
      <c r="E135" s="44" t="e">
        <f>#REF!/#REF!</f>
        <v>#REF!</v>
      </c>
      <c r="F135" s="44" t="e">
        <f>#REF!/#REF!</f>
        <v>#REF!</v>
      </c>
      <c r="G135" s="44" t="e">
        <f>#REF!/#REF!</f>
        <v>#REF!</v>
      </c>
      <c r="H135" s="44" t="e">
        <f>#REF!/#REF!</f>
        <v>#REF!</v>
      </c>
      <c r="I135" s="52">
        <v>-0.94000000000000128</v>
      </c>
      <c r="J135" s="13">
        <v>1.99</v>
      </c>
      <c r="K135" s="52" t="e">
        <f>+#REF!</f>
        <v>#REF!</v>
      </c>
      <c r="L135" s="44" t="e">
        <f>((#REF!-#REF!))/#REF!</f>
        <v>#REF!</v>
      </c>
    </row>
    <row r="136" spans="1:12" ht="14" x14ac:dyDescent="0.3">
      <c r="A136" s="43">
        <v>2019</v>
      </c>
      <c r="B136" s="43" t="s">
        <v>703</v>
      </c>
      <c r="C136" s="44" t="e">
        <f>#REF!/#REF!</f>
        <v>#REF!</v>
      </c>
      <c r="D136" s="44" t="e">
        <f>#REF!/#REF!</f>
        <v>#REF!</v>
      </c>
      <c r="E136" s="44" t="e">
        <f>#REF!/#REF!</f>
        <v>#REF!</v>
      </c>
      <c r="F136" s="44" t="e">
        <f>#REF!/#REF!</f>
        <v>#REF!</v>
      </c>
      <c r="G136" s="44" t="e">
        <f>#REF!/#REF!</f>
        <v>#REF!</v>
      </c>
      <c r="H136" s="44" t="e">
        <f>#REF!/#REF!</f>
        <v>#REF!</v>
      </c>
      <c r="I136" s="52">
        <v>-2.0600000000000005</v>
      </c>
      <c r="J136" s="13">
        <v>0.25</v>
      </c>
      <c r="K136" s="52" t="e">
        <f>+#REF!</f>
        <v>#REF!</v>
      </c>
      <c r="L136" s="44" t="e">
        <f>((#REF!-#REF!))/#REF!</f>
        <v>#REF!</v>
      </c>
    </row>
    <row r="137" spans="1:12" ht="14" x14ac:dyDescent="0.3">
      <c r="A137" s="43">
        <v>2019</v>
      </c>
      <c r="B137" s="43" t="s">
        <v>704</v>
      </c>
      <c r="C137" s="44" t="e">
        <f>#REF!/#REF!</f>
        <v>#REF!</v>
      </c>
      <c r="D137" s="44" t="e">
        <f>#REF!/#REF!</f>
        <v>#REF!</v>
      </c>
      <c r="E137" s="44" t="e">
        <f>#REF!/#REF!</f>
        <v>#REF!</v>
      </c>
      <c r="F137" s="44" t="e">
        <f>#REF!/#REF!</f>
        <v>#REF!</v>
      </c>
      <c r="G137" s="44" t="e">
        <f>#REF!/#REF!</f>
        <v>#REF!</v>
      </c>
      <c r="H137" s="44" t="e">
        <f>#REF!/#REF!</f>
        <v>#REF!</v>
      </c>
      <c r="I137" s="52">
        <v>1.02</v>
      </c>
      <c r="J137" s="52" t="e">
        <f>#REF!</f>
        <v>#REF!</v>
      </c>
      <c r="K137" s="52" t="e">
        <f>+#REF!</f>
        <v>#REF!</v>
      </c>
      <c r="L137" s="44" t="e">
        <f>((#REF!-#REF!))/#REF!</f>
        <v>#REF!</v>
      </c>
    </row>
    <row r="138" spans="1:12" ht="14" x14ac:dyDescent="0.3">
      <c r="A138" s="43">
        <v>2019</v>
      </c>
      <c r="B138" s="43" t="s">
        <v>705</v>
      </c>
      <c r="C138" s="44" t="e">
        <f>#REF!/#REF!</f>
        <v>#REF!</v>
      </c>
      <c r="D138" s="44" t="e">
        <f>#REF!/#REF!</f>
        <v>#REF!</v>
      </c>
      <c r="E138" s="44" t="e">
        <f>#REF!/#REF!</f>
        <v>#REF!</v>
      </c>
      <c r="F138" s="44" t="e">
        <f>#REF!/#REF!</f>
        <v>#REF!</v>
      </c>
      <c r="G138" s="44" t="e">
        <f>#REF!/#REF!</f>
        <v>#REF!</v>
      </c>
      <c r="H138" s="44" t="e">
        <f>#REF!/#REF!</f>
        <v>#REF!</v>
      </c>
      <c r="I138" s="52">
        <v>0.75</v>
      </c>
      <c r="J138" s="52" t="e">
        <f>#REF!</f>
        <v>#REF!</v>
      </c>
      <c r="K138" s="52" t="e">
        <f>+#REF!</f>
        <v>#REF!</v>
      </c>
      <c r="L138" s="44" t="e">
        <f>((#REF!-#REF!))/#REF!</f>
        <v>#REF!</v>
      </c>
    </row>
    <row r="139" spans="1:12" ht="14" x14ac:dyDescent="0.3">
      <c r="A139" s="43">
        <v>2019</v>
      </c>
      <c r="B139" s="43" t="s">
        <v>706</v>
      </c>
      <c r="C139" s="44" t="e">
        <f>#REF!/#REF!</f>
        <v>#REF!</v>
      </c>
      <c r="D139" s="44" t="e">
        <f>#REF!/#REF!</f>
        <v>#REF!</v>
      </c>
      <c r="E139" s="44" t="e">
        <f>#REF!/#REF!</f>
        <v>#REF!</v>
      </c>
      <c r="F139" s="44" t="e">
        <f>#REF!/#REF!</f>
        <v>#REF!</v>
      </c>
      <c r="G139" s="44" t="e">
        <f>#REF!/#REF!</f>
        <v>#REF!</v>
      </c>
      <c r="H139" s="44" t="e">
        <f>#REF!/#REF!</f>
        <v>#REF!</v>
      </c>
      <c r="I139" s="52">
        <v>0.51</v>
      </c>
      <c r="J139" s="52" t="e">
        <f>#REF!</f>
        <v>#REF!</v>
      </c>
      <c r="K139" s="52" t="e">
        <f>+#REF!</f>
        <v>#REF!</v>
      </c>
      <c r="L139" s="44" t="e">
        <f>((#REF!-#REF!))/#REF!</f>
        <v>#REF!</v>
      </c>
    </row>
    <row r="140" spans="1:12" ht="14" x14ac:dyDescent="0.3">
      <c r="A140" s="43">
        <v>2020</v>
      </c>
      <c r="B140" s="43" t="s">
        <v>713</v>
      </c>
      <c r="C140" s="44" t="e">
        <f>#REF!/#REF!</f>
        <v>#REF!</v>
      </c>
      <c r="D140" s="44" t="e">
        <f>#REF!/#REF!</f>
        <v>#REF!</v>
      </c>
      <c r="E140" s="44" t="e">
        <f>#REF!/#REF!</f>
        <v>#REF!</v>
      </c>
      <c r="F140" s="44" t="e">
        <f>#REF!/#REF!</f>
        <v>#REF!</v>
      </c>
      <c r="G140" s="44" t="e">
        <f>#REF!/#REF!</f>
        <v>#REF!</v>
      </c>
      <c r="H140" s="44" t="e">
        <f>#REF!/#REF!</f>
        <v>#REF!</v>
      </c>
      <c r="I140" s="52">
        <v>-2.9</v>
      </c>
      <c r="J140" s="52" t="e">
        <f>#REF!</f>
        <v>#REF!</v>
      </c>
      <c r="K140" s="52" t="e">
        <f>+#REF!</f>
        <v>#REF!</v>
      </c>
      <c r="L140" s="44" t="e">
        <f>((#REF!-#REF!))/#REF!</f>
        <v>#REF!</v>
      </c>
    </row>
    <row r="141" spans="1:12" ht="14" x14ac:dyDescent="0.3">
      <c r="A141" s="43">
        <v>2020</v>
      </c>
      <c r="B141" s="43" t="s">
        <v>707</v>
      </c>
      <c r="C141" s="44" t="e">
        <f>#REF!/#REF!</f>
        <v>#REF!</v>
      </c>
      <c r="D141" s="44" t="e">
        <f>#REF!/#REF!</f>
        <v>#REF!</v>
      </c>
      <c r="E141" s="44" t="e">
        <f>#REF!/#REF!</f>
        <v>#REF!</v>
      </c>
      <c r="F141" s="44" t="e">
        <f>#REF!/#REF!</f>
        <v>#REF!</v>
      </c>
      <c r="G141" s="44" t="e">
        <f>#REF!/#REF!</f>
        <v>#REF!</v>
      </c>
      <c r="H141" s="44" t="e">
        <f>#REF!/#REF!</f>
        <v>#REF!</v>
      </c>
      <c r="I141" s="52">
        <v>-1.9</v>
      </c>
      <c r="J141" s="52" t="e">
        <f>#REF!</f>
        <v>#REF!</v>
      </c>
      <c r="K141" s="52" t="e">
        <f>+#REF!</f>
        <v>#REF!</v>
      </c>
      <c r="L141" s="44" t="e">
        <f>((#REF!-#REF!))/#REF!</f>
        <v>#REF!</v>
      </c>
    </row>
    <row r="142" spans="1:12" ht="14" x14ac:dyDescent="0.3">
      <c r="A142" s="43">
        <v>2020</v>
      </c>
      <c r="B142" s="43" t="s">
        <v>708</v>
      </c>
      <c r="C142" s="44" t="e">
        <f>#REF!/#REF!</f>
        <v>#REF!</v>
      </c>
      <c r="D142" s="44" t="e">
        <f>#REF!/#REF!</f>
        <v>#REF!</v>
      </c>
      <c r="E142" s="44" t="e">
        <f>#REF!/#REF!</f>
        <v>#REF!</v>
      </c>
      <c r="F142" s="44" t="e">
        <f>#REF!/#REF!</f>
        <v>#REF!</v>
      </c>
      <c r="G142" s="44" t="e">
        <f>#REF!/#REF!</f>
        <v>#REF!</v>
      </c>
      <c r="H142" s="44" t="e">
        <f>#REF!/#REF!</f>
        <v>#REF!</v>
      </c>
      <c r="J142" s="13">
        <v>2.31</v>
      </c>
      <c r="K142" s="52" t="e">
        <f>+#REF!</f>
        <v>#REF!</v>
      </c>
      <c r="L142" s="44" t="e">
        <f>((#REF!-#REF!))/#REF!</f>
        <v>#REF!</v>
      </c>
    </row>
    <row r="143" spans="1:12" ht="14" x14ac:dyDescent="0.3">
      <c r="A143" s="43">
        <v>2020</v>
      </c>
      <c r="B143" s="43" t="s">
        <v>699</v>
      </c>
      <c r="C143" s="44" t="e">
        <f>#REF!/#REF!</f>
        <v>#REF!</v>
      </c>
      <c r="D143" s="44" t="e">
        <f>#REF!/#REF!</f>
        <v>#REF!</v>
      </c>
      <c r="E143" s="44" t="e">
        <f>#REF!/#REF!</f>
        <v>#REF!</v>
      </c>
      <c r="F143" s="44" t="e">
        <f>#REF!/#REF!</f>
        <v>#REF!</v>
      </c>
      <c r="G143" s="44" t="e">
        <f>#REF!/#REF!</f>
        <v>#REF!</v>
      </c>
      <c r="H143" s="44" t="e">
        <f>#REF!/#REF!</f>
        <v>#REF!</v>
      </c>
      <c r="J143" s="52" t="e">
        <f>#REF!</f>
        <v>#REF!</v>
      </c>
      <c r="K143" s="52" t="e">
        <f>+#REF!</f>
        <v>#REF!</v>
      </c>
      <c r="L143" s="44" t="e">
        <f>((#REF!-#REF!))/#REF!</f>
        <v>#REF!</v>
      </c>
    </row>
    <row r="144" spans="1:12" ht="14" x14ac:dyDescent="0.3">
      <c r="A144" s="43">
        <v>2020</v>
      </c>
      <c r="B144" s="43" t="s">
        <v>709</v>
      </c>
      <c r="C144" s="44" t="e">
        <f>#REF!/#REF!</f>
        <v>#REF!</v>
      </c>
      <c r="D144" s="44" t="e">
        <f>#REF!/#REF!</f>
        <v>#REF!</v>
      </c>
      <c r="E144" s="44" t="e">
        <f>#REF!/#REF!</f>
        <v>#REF!</v>
      </c>
      <c r="F144" s="44" t="e">
        <f>#REF!/#REF!</f>
        <v>#REF!</v>
      </c>
      <c r="G144" s="44" t="e">
        <f>#REF!/#REF!</f>
        <v>#REF!</v>
      </c>
      <c r="H144" s="44" t="e">
        <f>#REF!/#REF!</f>
        <v>#REF!</v>
      </c>
      <c r="J144" s="52" t="e">
        <f>#REF!</f>
        <v>#REF!</v>
      </c>
      <c r="K144" s="52" t="e">
        <f>+#REF!</f>
        <v>#REF!</v>
      </c>
      <c r="L144" s="44" t="e">
        <f>((#REF!-#REF!))/#REF!</f>
        <v>#REF!</v>
      </c>
    </row>
    <row r="145" spans="1:12" ht="14" x14ac:dyDescent="0.3">
      <c r="A145" s="43">
        <v>2020</v>
      </c>
      <c r="B145" s="43" t="s">
        <v>712</v>
      </c>
      <c r="C145" s="44" t="e">
        <f>#REF!/#REF!</f>
        <v>#REF!</v>
      </c>
      <c r="D145" s="44" t="e">
        <f>#REF!/#REF!</f>
        <v>#REF!</v>
      </c>
      <c r="E145" s="44" t="e">
        <f>#REF!/#REF!</f>
        <v>#REF!</v>
      </c>
      <c r="F145" s="44" t="e">
        <f>#REF!/#REF!</f>
        <v>#REF!</v>
      </c>
      <c r="G145" s="44" t="e">
        <f>#REF!/#REF!</f>
        <v>#REF!</v>
      </c>
      <c r="H145" s="44" t="e">
        <f>#REF!/#REF!</f>
        <v>#REF!</v>
      </c>
      <c r="J145" s="52" t="e">
        <f>#REF!</f>
        <v>#REF!</v>
      </c>
      <c r="K145" s="52" t="e">
        <f>+#REF!</f>
        <v>#REF!</v>
      </c>
      <c r="L145" s="44" t="e">
        <f>((#REF!-#REF!))/#REF!</f>
        <v>#REF!</v>
      </c>
    </row>
    <row r="146" spans="1:12" ht="14" x14ac:dyDescent="0.3">
      <c r="A146" s="43">
        <v>2020</v>
      </c>
      <c r="B146" s="43" t="s">
        <v>710</v>
      </c>
      <c r="C146" s="44" t="e">
        <f>#REF!/#REF!</f>
        <v>#REF!</v>
      </c>
      <c r="D146" s="44" t="e">
        <f>#REF!/#REF!</f>
        <v>#REF!</v>
      </c>
      <c r="E146" s="44" t="e">
        <f>#REF!/#REF!</f>
        <v>#REF!</v>
      </c>
      <c r="F146" s="44" t="e">
        <f>#REF!/#REF!</f>
        <v>#REF!</v>
      </c>
      <c r="G146" s="44" t="e">
        <f>#REF!/#REF!</f>
        <v>#REF!</v>
      </c>
      <c r="H146" s="44" t="e">
        <f>#REF!/#REF!</f>
        <v>#REF!</v>
      </c>
      <c r="I146" s="44" t="e">
        <f>#REF!/#REF!</f>
        <v>#REF!</v>
      </c>
      <c r="J146" s="52" t="e">
        <f>#REF!</f>
        <v>#REF!</v>
      </c>
      <c r="K146" s="52" t="e">
        <f>+#REF!</f>
        <v>#REF!</v>
      </c>
      <c r="L146" s="44" t="e">
        <f>((#REF!-#REF!))/#REF!</f>
        <v>#REF!</v>
      </c>
    </row>
    <row r="147" spans="1:12" ht="14" x14ac:dyDescent="0.3">
      <c r="A147" s="43">
        <v>2020</v>
      </c>
      <c r="B147" s="43" t="s">
        <v>702</v>
      </c>
      <c r="C147" s="44" t="e">
        <f>#REF!/#REF!</f>
        <v>#REF!</v>
      </c>
      <c r="D147" s="44" t="e">
        <f>#REF!/#REF!</f>
        <v>#REF!</v>
      </c>
      <c r="E147" s="44" t="e">
        <f>#REF!/#REF!</f>
        <v>#REF!</v>
      </c>
      <c r="F147" s="44" t="e">
        <f>#REF!/#REF!</f>
        <v>#REF!</v>
      </c>
      <c r="G147" s="44" t="e">
        <f>#REF!/#REF!</f>
        <v>#REF!</v>
      </c>
      <c r="H147" s="44" t="e">
        <f>#REF!/#REF!</f>
        <v>#REF!</v>
      </c>
      <c r="J147" s="52" t="e">
        <f>#REF!</f>
        <v>#REF!</v>
      </c>
      <c r="K147" s="52" t="e">
        <f>+#REF!</f>
        <v>#REF!</v>
      </c>
      <c r="L147" s="44" t="e">
        <f>((#REF!-#REF!))/#REF!</f>
        <v>#REF!</v>
      </c>
    </row>
    <row r="148" spans="1:12" ht="14" x14ac:dyDescent="0.3">
      <c r="A148" s="43">
        <v>2020</v>
      </c>
      <c r="B148" s="43" t="s">
        <v>703</v>
      </c>
      <c r="C148" s="44" t="e">
        <f>#REF!/#REF!</f>
        <v>#REF!</v>
      </c>
      <c r="D148" s="44" t="e">
        <f>#REF!/#REF!</f>
        <v>#REF!</v>
      </c>
      <c r="E148" s="44" t="e">
        <f>#REF!/#REF!</f>
        <v>#REF!</v>
      </c>
      <c r="F148" s="44" t="e">
        <f>#REF!/#REF!</f>
        <v>#REF!</v>
      </c>
      <c r="G148" s="44" t="e">
        <f>#REF!/#REF!</f>
        <v>#REF!</v>
      </c>
      <c r="H148" s="44" t="e">
        <f>#REF!/#REF!</f>
        <v>#REF!</v>
      </c>
      <c r="J148" s="52" t="e">
        <f>#REF!</f>
        <v>#REF!</v>
      </c>
      <c r="K148" s="52" t="e">
        <f>+#REF!</f>
        <v>#REF!</v>
      </c>
      <c r="L148" s="44" t="e">
        <f>((#REF!-#REF!))/#REF!</f>
        <v>#REF!</v>
      </c>
    </row>
    <row r="149" spans="1:12" ht="14" x14ac:dyDescent="0.3">
      <c r="A149" s="43">
        <v>2020</v>
      </c>
      <c r="B149" s="43" t="s">
        <v>704</v>
      </c>
      <c r="C149" s="44" t="e">
        <f>#REF!/#REF!</f>
        <v>#REF!</v>
      </c>
      <c r="D149" s="44" t="e">
        <f>#REF!/#REF!</f>
        <v>#REF!</v>
      </c>
      <c r="E149" s="44" t="e">
        <f>#REF!/#REF!</f>
        <v>#REF!</v>
      </c>
      <c r="F149" s="44" t="e">
        <f>#REF!/#REF!</f>
        <v>#REF!</v>
      </c>
      <c r="G149" s="44" t="e">
        <f>#REF!/#REF!</f>
        <v>#REF!</v>
      </c>
      <c r="H149" s="44" t="e">
        <f>#REF!/#REF!</f>
        <v>#REF!</v>
      </c>
      <c r="I149" s="44" t="e">
        <f>#REF!/#REF!</f>
        <v>#REF!</v>
      </c>
      <c r="J149" s="52" t="e">
        <f>#REF!</f>
        <v>#REF!</v>
      </c>
      <c r="K149" s="52" t="e">
        <f>+#REF!</f>
        <v>#REF!</v>
      </c>
      <c r="L149" s="44" t="e">
        <f>((#REF!-#REF!))/#REF!</f>
        <v>#REF!</v>
      </c>
    </row>
    <row r="150" spans="1:12" ht="14" x14ac:dyDescent="0.3">
      <c r="A150" s="43">
        <v>2020</v>
      </c>
      <c r="B150" s="43" t="s">
        <v>705</v>
      </c>
      <c r="C150" s="44" t="e">
        <f>#REF!/#REF!</f>
        <v>#REF!</v>
      </c>
      <c r="D150" s="44" t="e">
        <f>#REF!/#REF!</f>
        <v>#REF!</v>
      </c>
      <c r="E150" s="44" t="e">
        <f>#REF!/#REF!</f>
        <v>#REF!</v>
      </c>
      <c r="F150" s="44" t="e">
        <f>#REF!/#REF!</f>
        <v>#REF!</v>
      </c>
      <c r="G150" s="44" t="e">
        <f>#REF!/#REF!</f>
        <v>#REF!</v>
      </c>
      <c r="H150" s="44" t="e">
        <f>#REF!/#REF!</f>
        <v>#REF!</v>
      </c>
      <c r="J150" s="52" t="e">
        <f>#REF!</f>
        <v>#REF!</v>
      </c>
      <c r="K150" s="52" t="e">
        <f>+#REF!</f>
        <v>#REF!</v>
      </c>
      <c r="L150" s="44" t="e">
        <f>((#REF!-#REF!))/#REF!</f>
        <v>#REF!</v>
      </c>
    </row>
    <row r="151" spans="1:12" ht="14" x14ac:dyDescent="0.3">
      <c r="A151" s="43">
        <v>2020</v>
      </c>
      <c r="B151" s="43" t="s">
        <v>706</v>
      </c>
      <c r="C151" s="44" t="e">
        <f>#REF!/#REF!</f>
        <v>#REF!</v>
      </c>
      <c r="D151" s="44" t="e">
        <f>#REF!/#REF!</f>
        <v>#REF!</v>
      </c>
      <c r="E151" s="44" t="e">
        <f>#REF!/#REF!</f>
        <v>#REF!</v>
      </c>
      <c r="F151" s="44" t="e">
        <f>#REF!/#REF!</f>
        <v>#REF!</v>
      </c>
      <c r="G151" s="44" t="e">
        <f>#REF!/#REF!</f>
        <v>#REF!</v>
      </c>
      <c r="H151" s="44" t="e">
        <f>#REF!/#REF!</f>
        <v>#REF!</v>
      </c>
      <c r="J151" s="52" t="e">
        <f>#REF!</f>
        <v>#REF!</v>
      </c>
      <c r="K151" s="52" t="e">
        <f>+#REF!</f>
        <v>#REF!</v>
      </c>
      <c r="L151" s="44" t="e">
        <f>((#REF!-#REF!))/#REF!</f>
        <v>#REF!</v>
      </c>
    </row>
    <row r="152" spans="1:12" ht="14" x14ac:dyDescent="0.3">
      <c r="A152" s="43">
        <v>2021</v>
      </c>
      <c r="B152" s="43" t="s">
        <v>713</v>
      </c>
      <c r="C152" s="44" t="e">
        <f>#REF!/#REF!</f>
        <v>#REF!</v>
      </c>
      <c r="D152" s="44" t="e">
        <f>#REF!/#REF!</f>
        <v>#REF!</v>
      </c>
      <c r="E152" s="44" t="e">
        <f>#REF!/#REF!</f>
        <v>#REF!</v>
      </c>
      <c r="F152" s="44" t="e">
        <f>#REF!/#REF!</f>
        <v>#REF!</v>
      </c>
      <c r="G152" s="44" t="e">
        <f>#REF!/#REF!</f>
        <v>#REF!</v>
      </c>
      <c r="H152" s="44" t="e">
        <f>#REF!/#REF!</f>
        <v>#REF!</v>
      </c>
      <c r="J152" s="52" t="e">
        <f>#REF!</f>
        <v>#REF!</v>
      </c>
      <c r="K152" s="52" t="e">
        <f>+#REF!</f>
        <v>#REF!</v>
      </c>
      <c r="L152" s="44" t="e">
        <f>((#REF!-#REF!))/#REF!</f>
        <v>#REF!</v>
      </c>
    </row>
    <row r="153" spans="1:12" ht="14" x14ac:dyDescent="0.3">
      <c r="A153" s="43">
        <v>2021</v>
      </c>
      <c r="B153" s="43" t="s">
        <v>707</v>
      </c>
      <c r="C153" s="44" t="e">
        <f>#REF!/#REF!</f>
        <v>#REF!</v>
      </c>
      <c r="D153" s="44" t="e">
        <f>#REF!/#REF!</f>
        <v>#REF!</v>
      </c>
      <c r="E153" s="44" t="e">
        <f>#REF!/#REF!</f>
        <v>#REF!</v>
      </c>
      <c r="F153" s="44" t="e">
        <f>#REF!/#REF!</f>
        <v>#REF!</v>
      </c>
      <c r="G153" s="44" t="e">
        <f>#REF!/#REF!</f>
        <v>#REF!</v>
      </c>
      <c r="H153" s="44" t="e">
        <f>#REF!/#REF!</f>
        <v>#REF!</v>
      </c>
      <c r="J153" s="52" t="e">
        <f>#REF!</f>
        <v>#REF!</v>
      </c>
      <c r="K153" s="52" t="e">
        <f>+#REF!</f>
        <v>#REF!</v>
      </c>
      <c r="L153" s="44" t="e">
        <f>((#REF!-#REF!))/#REF!</f>
        <v>#REF!</v>
      </c>
    </row>
    <row r="154" spans="1:12" ht="14" x14ac:dyDescent="0.3">
      <c r="A154" s="43">
        <v>2021</v>
      </c>
      <c r="B154" s="43" t="s">
        <v>708</v>
      </c>
      <c r="C154" s="44" t="e">
        <f>#REF!/#REF!</f>
        <v>#REF!</v>
      </c>
      <c r="D154" s="44" t="e">
        <f>#REF!/#REF!</f>
        <v>#REF!</v>
      </c>
      <c r="E154" s="44" t="e">
        <f>#REF!/#REF!</f>
        <v>#REF!</v>
      </c>
      <c r="F154" s="44" t="e">
        <f>#REF!/#REF!</f>
        <v>#REF!</v>
      </c>
      <c r="G154" s="44" t="e">
        <f>#REF!/#REF!</f>
        <v>#REF!</v>
      </c>
      <c r="H154" s="44" t="e">
        <f>#REF!/#REF!</f>
        <v>#REF!</v>
      </c>
      <c r="J154" s="52" t="e">
        <f>#REF!</f>
        <v>#REF!</v>
      </c>
      <c r="K154" s="52" t="e">
        <f>+#REF!</f>
        <v>#REF!</v>
      </c>
      <c r="L154" s="44" t="e">
        <f>((#REF!-#REF!))/#REF!</f>
        <v>#REF!</v>
      </c>
    </row>
    <row r="155" spans="1:12" ht="14" x14ac:dyDescent="0.3">
      <c r="A155" s="43">
        <v>2021</v>
      </c>
      <c r="B155" s="43" t="s">
        <v>699</v>
      </c>
      <c r="C155" s="44" t="e">
        <f>#REF!/#REF!</f>
        <v>#REF!</v>
      </c>
      <c r="D155" s="44" t="e">
        <f>#REF!/#REF!</f>
        <v>#REF!</v>
      </c>
      <c r="E155" s="44" t="e">
        <f>#REF!/#REF!</f>
        <v>#REF!</v>
      </c>
      <c r="F155" s="44" t="e">
        <f>#REF!/#REF!</f>
        <v>#REF!</v>
      </c>
      <c r="G155" s="44" t="e">
        <f>#REF!/#REF!</f>
        <v>#REF!</v>
      </c>
      <c r="H155" s="44" t="e">
        <f>#REF!/#REF!</f>
        <v>#REF!</v>
      </c>
      <c r="J155" s="52" t="e">
        <f>#REF!</f>
        <v>#REF!</v>
      </c>
      <c r="K155" s="52" t="e">
        <f>+#REF!</f>
        <v>#REF!</v>
      </c>
      <c r="L155" s="44" t="e">
        <f>((#REF!-#REF!))/#REF!</f>
        <v>#REF!</v>
      </c>
    </row>
    <row r="156" spans="1:12" ht="14" x14ac:dyDescent="0.3">
      <c r="A156" s="43">
        <v>2021</v>
      </c>
      <c r="B156" s="43" t="s">
        <v>709</v>
      </c>
      <c r="C156" s="44" t="e">
        <f>#REF!/#REF!</f>
        <v>#REF!</v>
      </c>
      <c r="D156" s="44" t="e">
        <f>#REF!/#REF!</f>
        <v>#REF!</v>
      </c>
      <c r="E156" s="44" t="e">
        <f>#REF!/#REF!</f>
        <v>#REF!</v>
      </c>
      <c r="F156" s="44" t="e">
        <f>#REF!/#REF!</f>
        <v>#REF!</v>
      </c>
      <c r="G156" s="44" t="e">
        <f>#REF!/#REF!</f>
        <v>#REF!</v>
      </c>
      <c r="H156" s="44" t="e">
        <f>#REF!/#REF!</f>
        <v>#REF!</v>
      </c>
      <c r="J156" s="52" t="e">
        <f>#REF!</f>
        <v>#REF!</v>
      </c>
      <c r="K156" s="52" t="e">
        <f>+#REF!</f>
        <v>#REF!</v>
      </c>
      <c r="L156" s="44" t="e">
        <f>((#REF!-#REF!))/#REF!</f>
        <v>#REF!</v>
      </c>
    </row>
    <row r="157" spans="1:12" ht="14" x14ac:dyDescent="0.3">
      <c r="A157" s="43">
        <v>2021</v>
      </c>
      <c r="B157" s="43" t="s">
        <v>712</v>
      </c>
      <c r="C157" s="44" t="e">
        <f>#REF!/#REF!</f>
        <v>#REF!</v>
      </c>
      <c r="D157" s="44" t="e">
        <f>#REF!/#REF!</f>
        <v>#REF!</v>
      </c>
      <c r="E157" s="44" t="e">
        <f>#REF!/#REF!</f>
        <v>#REF!</v>
      </c>
      <c r="F157" s="44" t="e">
        <f>#REF!/#REF!</f>
        <v>#REF!</v>
      </c>
      <c r="G157" s="44" t="e">
        <f>#REF!/#REF!</f>
        <v>#REF!</v>
      </c>
      <c r="H157" s="44" t="e">
        <f>#REF!/#REF!</f>
        <v>#REF!</v>
      </c>
      <c r="J157" s="52" t="e">
        <f>#REF!</f>
        <v>#REF!</v>
      </c>
      <c r="K157" s="52" t="e">
        <f>+#REF!</f>
        <v>#REF!</v>
      </c>
      <c r="L157" s="44" t="e">
        <f>((#REF!-#REF!))/#REF!</f>
        <v>#REF!</v>
      </c>
    </row>
    <row r="158" spans="1:12" ht="14" x14ac:dyDescent="0.3">
      <c r="A158" s="43">
        <v>2021</v>
      </c>
      <c r="B158" s="43" t="s">
        <v>710</v>
      </c>
      <c r="C158" s="44" t="e">
        <f>#REF!/#REF!</f>
        <v>#REF!</v>
      </c>
      <c r="D158" s="44" t="e">
        <f>#REF!/#REF!</f>
        <v>#REF!</v>
      </c>
      <c r="E158" s="44" t="e">
        <f>#REF!/#REF!</f>
        <v>#REF!</v>
      </c>
      <c r="F158" s="44" t="e">
        <f>#REF!/#REF!</f>
        <v>#REF!</v>
      </c>
      <c r="G158" s="44" t="e">
        <f>#REF!/#REF!</f>
        <v>#REF!</v>
      </c>
      <c r="H158" s="44" t="e">
        <f>#REF!/#REF!</f>
        <v>#REF!</v>
      </c>
      <c r="J158" s="52" t="e">
        <f>#REF!</f>
        <v>#REF!</v>
      </c>
      <c r="K158" s="52" t="e">
        <f>+#REF!</f>
        <v>#REF!</v>
      </c>
      <c r="L158" s="44" t="e">
        <f>((#REF!-#REF!))/#REF!</f>
        <v>#REF!</v>
      </c>
    </row>
    <row r="159" spans="1:12" ht="14" x14ac:dyDescent="0.3">
      <c r="A159" s="43">
        <v>2021</v>
      </c>
      <c r="B159" s="43" t="s">
        <v>702</v>
      </c>
      <c r="C159" s="44" t="e">
        <f>#REF!/#REF!</f>
        <v>#REF!</v>
      </c>
      <c r="D159" s="44" t="e">
        <f>#REF!/#REF!</f>
        <v>#REF!</v>
      </c>
      <c r="E159" s="44" t="e">
        <f>#REF!/#REF!</f>
        <v>#REF!</v>
      </c>
      <c r="F159" s="44" t="e">
        <f>#REF!/#REF!</f>
        <v>#REF!</v>
      </c>
      <c r="G159" s="44" t="e">
        <f>#REF!/#REF!</f>
        <v>#REF!</v>
      </c>
      <c r="H159" s="44" t="e">
        <f>#REF!/#REF!</f>
        <v>#REF!</v>
      </c>
      <c r="J159" s="52" t="e">
        <f>#REF!</f>
        <v>#REF!</v>
      </c>
      <c r="K159" s="52" t="e">
        <f>+#REF!</f>
        <v>#REF!</v>
      </c>
      <c r="L159" s="44" t="e">
        <f>((#REF!-#REF!))/#REF!</f>
        <v>#REF!</v>
      </c>
    </row>
    <row r="160" spans="1:12" ht="14" x14ac:dyDescent="0.3">
      <c r="A160" s="43">
        <v>2021</v>
      </c>
      <c r="B160" s="43" t="s">
        <v>703</v>
      </c>
      <c r="C160" s="44" t="e">
        <f>#REF!/#REF!</f>
        <v>#REF!</v>
      </c>
      <c r="D160" s="44" t="e">
        <f>#REF!/#REF!</f>
        <v>#REF!</v>
      </c>
      <c r="E160" s="44" t="e">
        <f>#REF!/#REF!</f>
        <v>#REF!</v>
      </c>
      <c r="F160" s="44" t="e">
        <f>#REF!/#REF!</f>
        <v>#REF!</v>
      </c>
      <c r="G160" s="44" t="e">
        <f>#REF!/#REF!</f>
        <v>#REF!</v>
      </c>
      <c r="H160" s="44" t="e">
        <f>#REF!/#REF!</f>
        <v>#REF!</v>
      </c>
      <c r="J160" s="52" t="e">
        <f>#REF!</f>
        <v>#REF!</v>
      </c>
      <c r="K160" s="52" t="e">
        <f>+#REF!</f>
        <v>#REF!</v>
      </c>
      <c r="L160" s="44" t="e">
        <f>((#REF!-#REF!))/#REF!</f>
        <v>#REF!</v>
      </c>
    </row>
    <row r="161" spans="1:12" ht="14" x14ac:dyDescent="0.3">
      <c r="A161" s="43">
        <v>2021</v>
      </c>
      <c r="B161" s="43" t="s">
        <v>704</v>
      </c>
      <c r="C161" s="44" t="e">
        <f>#REF!/#REF!</f>
        <v>#REF!</v>
      </c>
      <c r="D161" s="44" t="e">
        <f>#REF!/#REF!</f>
        <v>#REF!</v>
      </c>
      <c r="E161" s="44" t="e">
        <f>#REF!/#REF!</f>
        <v>#REF!</v>
      </c>
      <c r="F161" s="44" t="e">
        <f>#REF!/#REF!</f>
        <v>#REF!</v>
      </c>
      <c r="G161" s="44" t="e">
        <f>#REF!/#REF!</f>
        <v>#REF!</v>
      </c>
      <c r="H161" s="44" t="e">
        <f>#REF!/#REF!</f>
        <v>#REF!</v>
      </c>
      <c r="J161" s="52" t="e">
        <f>#REF!</f>
        <v>#REF!</v>
      </c>
      <c r="K161" s="52" t="e">
        <f>+#REF!</f>
        <v>#REF!</v>
      </c>
      <c r="L161" s="44" t="e">
        <f>((#REF!-#REF!))/#REF!</f>
        <v>#REF!</v>
      </c>
    </row>
    <row r="162" spans="1:12" ht="14" x14ac:dyDescent="0.3">
      <c r="A162" s="43">
        <v>2021</v>
      </c>
      <c r="B162" s="43" t="s">
        <v>705</v>
      </c>
      <c r="C162" s="44" t="e">
        <f>#REF!/#REF!</f>
        <v>#REF!</v>
      </c>
      <c r="D162" s="44" t="e">
        <f>#REF!/#REF!</f>
        <v>#REF!</v>
      </c>
      <c r="E162" s="44" t="e">
        <f>#REF!/#REF!</f>
        <v>#REF!</v>
      </c>
      <c r="F162" s="44" t="e">
        <f>#REF!/#REF!</f>
        <v>#REF!</v>
      </c>
      <c r="G162" s="44" t="e">
        <f>#REF!/#REF!</f>
        <v>#REF!</v>
      </c>
      <c r="H162" s="44" t="e">
        <f>#REF!/#REF!</f>
        <v>#REF!</v>
      </c>
      <c r="J162" s="52" t="e">
        <f>#REF!</f>
        <v>#REF!</v>
      </c>
      <c r="K162" s="52" t="e">
        <f>+#REF!</f>
        <v>#REF!</v>
      </c>
      <c r="L162" s="44" t="e">
        <f>((#REF!-#REF!))/#REF!</f>
        <v>#REF!</v>
      </c>
    </row>
    <row r="163" spans="1:12" ht="14" x14ac:dyDescent="0.3">
      <c r="A163" s="43">
        <v>2021</v>
      </c>
      <c r="B163" s="43" t="s">
        <v>706</v>
      </c>
      <c r="C163" s="44" t="e">
        <f>#REF!/#REF!</f>
        <v>#REF!</v>
      </c>
      <c r="D163" s="44" t="e">
        <f>#REF!/#REF!</f>
        <v>#REF!</v>
      </c>
      <c r="E163" s="44" t="e">
        <f>#REF!/#REF!</f>
        <v>#REF!</v>
      </c>
      <c r="F163" s="44" t="e">
        <f>#REF!/#REF!</f>
        <v>#REF!</v>
      </c>
      <c r="G163" s="44" t="e">
        <f>#REF!/#REF!</f>
        <v>#REF!</v>
      </c>
      <c r="H163" s="44" t="e">
        <f>#REF!/#REF!</f>
        <v>#REF!</v>
      </c>
      <c r="J163" s="52" t="e">
        <f>#REF!</f>
        <v>#REF!</v>
      </c>
      <c r="K163" s="52" t="e">
        <f>+#REF!</f>
        <v>#REF!</v>
      </c>
      <c r="L163" s="44" t="e">
        <f>((#REF!-#REF!))/#REF!</f>
        <v>#REF!</v>
      </c>
    </row>
  </sheetData>
  <mergeCells count="1">
    <mergeCell ref="L2:L3"/>
  </mergeCells>
  <phoneticPr fontId="27" type="noConversion"/>
  <pageMargins left="0.75" right="0.75" top="1" bottom="1" header="0.5" footer="0.5"/>
  <pageSetup scale="97" fitToHeight="0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3:F149"/>
  <sheetViews>
    <sheetView topLeftCell="A61" workbookViewId="0">
      <selection activeCell="AM240" sqref="AM240"/>
    </sheetView>
  </sheetViews>
  <sheetFormatPr defaultRowHeight="12.5" x14ac:dyDescent="0.25"/>
  <cols>
    <col min="1" max="1" width="7" customWidth="1"/>
    <col min="2" max="2" width="18" customWidth="1"/>
    <col min="3" max="3" width="12.54296875" bestFit="1" customWidth="1"/>
    <col min="5" max="5" width="12" bestFit="1" customWidth="1"/>
  </cols>
  <sheetData>
    <row r="3" spans="1:6" ht="15.5" x14ac:dyDescent="0.35">
      <c r="A3" s="11"/>
      <c r="B3" s="11"/>
    </row>
    <row r="4" spans="1:6" ht="15.5" x14ac:dyDescent="0.35">
      <c r="A4" s="11"/>
      <c r="B4" s="11"/>
    </row>
    <row r="5" spans="1:6" ht="38.5" x14ac:dyDescent="0.35">
      <c r="A5" s="11"/>
      <c r="B5" s="11"/>
      <c r="C5" t="s">
        <v>694</v>
      </c>
      <c r="D5" s="54" t="s">
        <v>755</v>
      </c>
      <c r="E5" s="54" t="s">
        <v>756</v>
      </c>
      <c r="F5" s="54" t="s">
        <v>757</v>
      </c>
    </row>
    <row r="6" spans="1:6" ht="15.5" x14ac:dyDescent="0.35">
      <c r="A6" s="11"/>
      <c r="B6" s="11"/>
      <c r="C6" t="s">
        <v>348</v>
      </c>
    </row>
    <row r="7" spans="1:6" ht="15.5" x14ac:dyDescent="0.35">
      <c r="A7" s="11" t="s">
        <v>695</v>
      </c>
      <c r="B7" s="11" t="s">
        <v>696</v>
      </c>
      <c r="C7" t="s">
        <v>697</v>
      </c>
    </row>
    <row r="8" spans="1:6" ht="15.5" x14ac:dyDescent="0.35">
      <c r="A8" s="12"/>
      <c r="B8" s="11"/>
    </row>
    <row r="9" spans="1:6" ht="15.5" x14ac:dyDescent="0.35">
      <c r="A9" s="38">
        <v>2003</v>
      </c>
      <c r="B9" s="39" t="s">
        <v>698</v>
      </c>
      <c r="C9">
        <v>124.17419354838709</v>
      </c>
      <c r="D9">
        <f>((C9-C10)/C9)*100</f>
        <v>2.0759264894714642</v>
      </c>
    </row>
    <row r="10" spans="1:6" ht="15.5" x14ac:dyDescent="0.35">
      <c r="A10" s="12">
        <v>2003</v>
      </c>
      <c r="B10" s="11" t="s">
        <v>707</v>
      </c>
      <c r="C10">
        <v>121.59642857142856</v>
      </c>
      <c r="D10">
        <f t="shared" ref="D10:D73" si="0">((C10-C11)/C10)*100</f>
        <v>2.9072714473446006</v>
      </c>
    </row>
    <row r="11" spans="1:6" ht="15.5" x14ac:dyDescent="0.35">
      <c r="A11" s="12">
        <v>2003</v>
      </c>
      <c r="B11" s="11" t="s">
        <v>708</v>
      </c>
      <c r="C11">
        <v>118.06129032258065</v>
      </c>
      <c r="D11">
        <f t="shared" si="0"/>
        <v>-1.2496698452598836</v>
      </c>
    </row>
    <row r="12" spans="1:6" ht="15.5" x14ac:dyDescent="0.35">
      <c r="A12" s="12">
        <v>2003</v>
      </c>
      <c r="B12" s="11" t="s">
        <v>699</v>
      </c>
      <c r="C12">
        <v>119.53666666666666</v>
      </c>
      <c r="D12">
        <f t="shared" si="0"/>
        <v>1.7631698016804924</v>
      </c>
    </row>
    <row r="13" spans="1:6" ht="15.5" x14ac:dyDescent="0.35">
      <c r="A13" s="12">
        <v>2003</v>
      </c>
      <c r="B13" s="11" t="s">
        <v>709</v>
      </c>
      <c r="C13">
        <v>117.42903225806452</v>
      </c>
      <c r="D13">
        <f t="shared" si="0"/>
        <v>-8.5421531192484128</v>
      </c>
    </row>
    <row r="14" spans="1:6" ht="15.5" x14ac:dyDescent="0.35">
      <c r="A14" s="12">
        <v>2003</v>
      </c>
      <c r="B14" s="11" t="s">
        <v>700</v>
      </c>
      <c r="C14">
        <v>127.46000000000001</v>
      </c>
      <c r="D14">
        <f t="shared" si="0"/>
        <v>-7.4011834199723427</v>
      </c>
    </row>
    <row r="15" spans="1:6" ht="15.5" x14ac:dyDescent="0.35">
      <c r="A15" s="12">
        <v>2003</v>
      </c>
      <c r="B15" s="11" t="s">
        <v>710</v>
      </c>
      <c r="C15">
        <v>136.89354838709676</v>
      </c>
      <c r="D15">
        <f t="shared" si="0"/>
        <v>0.35346513655535444</v>
      </c>
    </row>
    <row r="16" spans="1:6" ht="15.5" x14ac:dyDescent="0.35">
      <c r="A16" s="12">
        <v>2003</v>
      </c>
      <c r="B16" s="11" t="s">
        <v>702</v>
      </c>
      <c r="C16">
        <v>136.40967741935484</v>
      </c>
      <c r="D16">
        <f t="shared" si="0"/>
        <v>4.9309874587146512</v>
      </c>
    </row>
    <row r="17" spans="1:6" ht="15.5" x14ac:dyDescent="0.35">
      <c r="A17" s="12">
        <v>2003</v>
      </c>
      <c r="B17" s="28">
        <v>40969</v>
      </c>
      <c r="C17">
        <v>129.68333333333334</v>
      </c>
      <c r="D17">
        <f t="shared" si="0"/>
        <v>3.7357334449921433</v>
      </c>
    </row>
    <row r="18" spans="1:6" ht="15.5" x14ac:dyDescent="0.35">
      <c r="A18" s="12">
        <v>2003</v>
      </c>
      <c r="B18" s="11" t="s">
        <v>704</v>
      </c>
      <c r="C18">
        <v>124.83870967741936</v>
      </c>
      <c r="D18">
        <f t="shared" si="0"/>
        <v>1.1230835486649471</v>
      </c>
    </row>
    <row r="19" spans="1:6" ht="15.5" x14ac:dyDescent="0.35">
      <c r="A19" s="12">
        <v>2003</v>
      </c>
      <c r="B19" s="11" t="s">
        <v>705</v>
      </c>
      <c r="C19">
        <v>123.43666666666667</v>
      </c>
      <c r="D19">
        <f t="shared" si="0"/>
        <v>7.0151337893883126</v>
      </c>
    </row>
    <row r="20" spans="1:6" ht="15.5" x14ac:dyDescent="0.35">
      <c r="A20" s="12">
        <v>2003</v>
      </c>
      <c r="B20" s="11" t="s">
        <v>706</v>
      </c>
      <c r="C20">
        <v>114.77741935483871</v>
      </c>
      <c r="D20">
        <f t="shared" si="0"/>
        <v>-5.323065681121947</v>
      </c>
      <c r="E20">
        <f>SUM(C9:C20)</f>
        <v>1494.2969662058372</v>
      </c>
      <c r="F20" s="32" t="s">
        <v>758</v>
      </c>
    </row>
    <row r="21" spans="1:6" ht="15.5" x14ac:dyDescent="0.35">
      <c r="A21" s="12">
        <v>2004</v>
      </c>
      <c r="B21" s="11" t="s">
        <v>698</v>
      </c>
      <c r="C21">
        <v>120.88709677419355</v>
      </c>
      <c r="D21">
        <f t="shared" si="0"/>
        <v>-0.42428285523681486</v>
      </c>
    </row>
    <row r="22" spans="1:6" ht="15.5" x14ac:dyDescent="0.35">
      <c r="A22" s="12">
        <v>2004</v>
      </c>
      <c r="B22" s="11" t="s">
        <v>707</v>
      </c>
      <c r="C22">
        <v>121.39999999999999</v>
      </c>
      <c r="D22">
        <f t="shared" si="0"/>
        <v>-0.39751288728278927</v>
      </c>
    </row>
    <row r="23" spans="1:6" ht="15.5" x14ac:dyDescent="0.35">
      <c r="A23" s="12">
        <v>2004</v>
      </c>
      <c r="B23" s="11" t="s">
        <v>708</v>
      </c>
      <c r="C23">
        <v>121.8825806451613</v>
      </c>
      <c r="D23">
        <f t="shared" si="0"/>
        <v>-4.7951227516700339</v>
      </c>
    </row>
    <row r="24" spans="1:6" ht="15.5" x14ac:dyDescent="0.35">
      <c r="A24" s="12">
        <v>2004</v>
      </c>
      <c r="B24" s="11" t="s">
        <v>699</v>
      </c>
      <c r="C24">
        <v>127.727</v>
      </c>
      <c r="D24">
        <f t="shared" si="0"/>
        <v>-3.5886266500350907</v>
      </c>
    </row>
    <row r="25" spans="1:6" ht="15.5" x14ac:dyDescent="0.35">
      <c r="A25" s="12">
        <v>2004</v>
      </c>
      <c r="B25" s="11" t="s">
        <v>709</v>
      </c>
      <c r="C25">
        <v>132.31064516129032</v>
      </c>
      <c r="D25">
        <f t="shared" si="0"/>
        <v>-2.5629241707971273</v>
      </c>
    </row>
    <row r="26" spans="1:6" ht="15.5" x14ac:dyDescent="0.35">
      <c r="A26" s="12">
        <v>2004</v>
      </c>
      <c r="B26" s="11" t="s">
        <v>700</v>
      </c>
      <c r="C26">
        <v>135.70166666666665</v>
      </c>
      <c r="D26">
        <f t="shared" si="0"/>
        <v>-5.1162595367526214</v>
      </c>
    </row>
    <row r="27" spans="1:6" ht="15.5" x14ac:dyDescent="0.35">
      <c r="A27" s="12">
        <v>2004</v>
      </c>
      <c r="B27" s="11" t="s">
        <v>701</v>
      </c>
      <c r="C27">
        <v>142.64451612903224</v>
      </c>
      <c r="D27">
        <f t="shared" si="0"/>
        <v>4.1108281810410405</v>
      </c>
    </row>
    <row r="28" spans="1:6" ht="15.5" x14ac:dyDescent="0.35">
      <c r="A28" s="12">
        <v>2004</v>
      </c>
      <c r="B28" s="11" t="s">
        <v>702</v>
      </c>
      <c r="C28">
        <v>136.78064516129035</v>
      </c>
      <c r="D28">
        <f t="shared" si="0"/>
        <v>0.72596418407938845</v>
      </c>
    </row>
    <row r="29" spans="1:6" ht="15.5" x14ac:dyDescent="0.35">
      <c r="A29" s="12">
        <v>2004</v>
      </c>
      <c r="B29" s="11" t="s">
        <v>703</v>
      </c>
      <c r="C29">
        <v>135.78766666666667</v>
      </c>
      <c r="D29">
        <f t="shared" si="0"/>
        <v>5.9988741118823015</v>
      </c>
    </row>
    <row r="30" spans="1:6" ht="15.5" x14ac:dyDescent="0.35">
      <c r="A30" s="12">
        <v>2004</v>
      </c>
      <c r="B30" s="11" t="s">
        <v>704</v>
      </c>
      <c r="C30">
        <v>127.64193548387097</v>
      </c>
      <c r="D30">
        <f t="shared" si="0"/>
        <v>6.3471320141187935</v>
      </c>
    </row>
    <row r="31" spans="1:6" ht="15.5" x14ac:dyDescent="0.35">
      <c r="A31" s="12">
        <v>2004</v>
      </c>
      <c r="B31" s="11" t="s">
        <v>711</v>
      </c>
      <c r="C31">
        <v>119.54033333333334</v>
      </c>
      <c r="D31">
        <f t="shared" si="0"/>
        <v>1.9494117745475108</v>
      </c>
    </row>
    <row r="32" spans="1:6" ht="15.5" x14ac:dyDescent="0.35">
      <c r="A32" s="12">
        <v>2004</v>
      </c>
      <c r="B32" s="11" t="s">
        <v>706</v>
      </c>
      <c r="C32">
        <v>117.21</v>
      </c>
      <c r="D32">
        <f t="shared" si="0"/>
        <v>-2.9519665557546353</v>
      </c>
      <c r="E32">
        <f>SUM(C21:C32)</f>
        <v>1539.5140860215056</v>
      </c>
      <c r="F32">
        <f>+((E32-E20)/E20)*100</f>
        <v>3.025979496597587</v>
      </c>
    </row>
    <row r="33" spans="1:6" ht="15.5" x14ac:dyDescent="0.35">
      <c r="A33" s="12">
        <v>2005</v>
      </c>
      <c r="B33" s="11" t="s">
        <v>698</v>
      </c>
      <c r="C33">
        <v>120.67</v>
      </c>
      <c r="D33">
        <f t="shared" si="0"/>
        <v>2.1463495483550208</v>
      </c>
    </row>
    <row r="34" spans="1:6" ht="15.5" x14ac:dyDescent="0.35">
      <c r="A34" s="12">
        <v>2005</v>
      </c>
      <c r="B34" s="11" t="s">
        <v>707</v>
      </c>
      <c r="C34">
        <v>118.08</v>
      </c>
      <c r="D34">
        <f t="shared" si="0"/>
        <v>1.6395663956639506</v>
      </c>
    </row>
    <row r="35" spans="1:6" ht="15.5" x14ac:dyDescent="0.35">
      <c r="A35" s="12">
        <v>2005</v>
      </c>
      <c r="B35" s="11" t="s">
        <v>708</v>
      </c>
      <c r="C35">
        <v>116.14400000000001</v>
      </c>
      <c r="D35">
        <f t="shared" si="0"/>
        <v>-4.190487670478019</v>
      </c>
    </row>
    <row r="36" spans="1:6" ht="15.5" x14ac:dyDescent="0.35">
      <c r="A36" s="12">
        <v>2005</v>
      </c>
      <c r="B36" s="11" t="s">
        <v>699</v>
      </c>
      <c r="C36">
        <v>121.011</v>
      </c>
      <c r="D36">
        <f t="shared" si="0"/>
        <v>3.939311302278302</v>
      </c>
    </row>
    <row r="37" spans="1:6" ht="15.5" x14ac:dyDescent="0.35">
      <c r="A37" s="12">
        <v>2005</v>
      </c>
      <c r="B37" s="11" t="s">
        <v>709</v>
      </c>
      <c r="C37">
        <v>116.244</v>
      </c>
      <c r="D37">
        <f t="shared" si="0"/>
        <v>-10.840129383021917</v>
      </c>
    </row>
    <row r="38" spans="1:6" ht="15.5" x14ac:dyDescent="0.35">
      <c r="A38" s="12">
        <v>2005</v>
      </c>
      <c r="B38" s="11" t="s">
        <v>712</v>
      </c>
      <c r="C38">
        <v>128.845</v>
      </c>
      <c r="D38">
        <f t="shared" si="0"/>
        <v>-1.1083084326128272</v>
      </c>
    </row>
    <row r="39" spans="1:6" ht="15.5" x14ac:dyDescent="0.35">
      <c r="A39" s="12">
        <v>2005</v>
      </c>
      <c r="B39" s="11" t="s">
        <v>710</v>
      </c>
      <c r="C39">
        <v>130.273</v>
      </c>
      <c r="D39">
        <f t="shared" si="0"/>
        <v>-1.3579176038012524</v>
      </c>
    </row>
    <row r="40" spans="1:6" ht="15.5" x14ac:dyDescent="0.35">
      <c r="A40" s="12">
        <v>2005</v>
      </c>
      <c r="B40" s="11" t="s">
        <v>702</v>
      </c>
      <c r="C40">
        <v>132.042</v>
      </c>
      <c r="D40">
        <f t="shared" si="0"/>
        <v>-1.0360339891852555</v>
      </c>
    </row>
    <row r="41" spans="1:6" ht="15.5" x14ac:dyDescent="0.35">
      <c r="A41" s="12">
        <v>2005</v>
      </c>
      <c r="B41" s="11" t="s">
        <v>703</v>
      </c>
      <c r="C41">
        <v>133.41</v>
      </c>
      <c r="D41">
        <f t="shared" si="0"/>
        <v>8.2762161756989681</v>
      </c>
    </row>
    <row r="42" spans="1:6" ht="15.5" x14ac:dyDescent="0.35">
      <c r="A42" s="12">
        <v>2005</v>
      </c>
      <c r="B42" s="11" t="s">
        <v>704</v>
      </c>
      <c r="C42">
        <v>122.3687</v>
      </c>
      <c r="D42">
        <f t="shared" si="0"/>
        <v>6.3845574889657293</v>
      </c>
    </row>
    <row r="43" spans="1:6" ht="15.5" x14ac:dyDescent="0.35">
      <c r="A43" s="12">
        <v>2005</v>
      </c>
      <c r="B43" s="11" t="s">
        <v>705</v>
      </c>
      <c r="C43">
        <v>114.556</v>
      </c>
      <c r="D43">
        <f t="shared" si="0"/>
        <v>5.9411990642131336</v>
      </c>
    </row>
    <row r="44" spans="1:6" ht="15.5" x14ac:dyDescent="0.35">
      <c r="A44" s="12">
        <v>2005</v>
      </c>
      <c r="B44" s="11" t="s">
        <v>706</v>
      </c>
      <c r="C44">
        <v>107.75</v>
      </c>
      <c r="D44">
        <f t="shared" si="0"/>
        <v>3.996751740139211</v>
      </c>
      <c r="E44">
        <f>SUM(C33:C44)</f>
        <v>1461.3937000000001</v>
      </c>
      <c r="F44">
        <f>+((E44-E32)/E32)*100</f>
        <v>-5.0743534424805672</v>
      </c>
    </row>
    <row r="45" spans="1:6" ht="15.5" x14ac:dyDescent="0.35">
      <c r="A45" s="12">
        <v>2006</v>
      </c>
      <c r="B45" s="11" t="s">
        <v>713</v>
      </c>
      <c r="C45">
        <v>103.4435</v>
      </c>
      <c r="D45">
        <f t="shared" si="0"/>
        <v>0.23636091199543918</v>
      </c>
    </row>
    <row r="46" spans="1:6" ht="15.5" x14ac:dyDescent="0.35">
      <c r="A46" s="12">
        <v>2006</v>
      </c>
      <c r="B46" s="11" t="s">
        <v>707</v>
      </c>
      <c r="C46">
        <v>103.199</v>
      </c>
      <c r="D46">
        <f t="shared" si="0"/>
        <v>0.81455246659366665</v>
      </c>
    </row>
    <row r="47" spans="1:6" ht="15.5" x14ac:dyDescent="0.35">
      <c r="A47" s="12">
        <v>2006</v>
      </c>
      <c r="B47" s="11" t="s">
        <v>708</v>
      </c>
      <c r="C47">
        <v>102.35839</v>
      </c>
      <c r="D47">
        <f t="shared" si="0"/>
        <v>-4.3685818036020283</v>
      </c>
    </row>
    <row r="48" spans="1:6" ht="15.5" x14ac:dyDescent="0.35">
      <c r="A48" s="12">
        <v>2006</v>
      </c>
      <c r="B48" s="11" t="s">
        <v>699</v>
      </c>
      <c r="C48">
        <v>106.83</v>
      </c>
      <c r="D48">
        <f t="shared" si="0"/>
        <v>-3.6852943929607767</v>
      </c>
    </row>
    <row r="49" spans="1:6" ht="15.5" x14ac:dyDescent="0.35">
      <c r="A49" s="12">
        <v>2006</v>
      </c>
      <c r="B49" s="11" t="s">
        <v>709</v>
      </c>
      <c r="C49">
        <v>110.767</v>
      </c>
      <c r="D49">
        <f t="shared" si="0"/>
        <v>-8.1414139590311194</v>
      </c>
    </row>
    <row r="50" spans="1:6" ht="15.5" x14ac:dyDescent="0.35">
      <c r="A50" s="12">
        <v>2006</v>
      </c>
      <c r="B50" s="11" t="s">
        <v>712</v>
      </c>
      <c r="C50">
        <v>119.785</v>
      </c>
      <c r="D50">
        <f t="shared" si="0"/>
        <v>-6.6426848102850977</v>
      </c>
    </row>
    <row r="51" spans="1:6" ht="15.5" x14ac:dyDescent="0.35">
      <c r="A51" s="12">
        <v>2006</v>
      </c>
      <c r="B51" s="11" t="s">
        <v>710</v>
      </c>
      <c r="C51">
        <v>127.74194</v>
      </c>
      <c r="D51">
        <f t="shared" si="0"/>
        <v>-4.3956276223768009</v>
      </c>
    </row>
    <row r="52" spans="1:6" ht="15.5" x14ac:dyDescent="0.35">
      <c r="A52" s="12">
        <v>2006</v>
      </c>
      <c r="B52" s="11" t="s">
        <v>702</v>
      </c>
      <c r="C52">
        <v>133.357</v>
      </c>
      <c r="D52">
        <f t="shared" si="0"/>
        <v>12.728990604167755</v>
      </c>
    </row>
    <row r="53" spans="1:6" ht="15.5" x14ac:dyDescent="0.35">
      <c r="A53" s="12">
        <v>2006</v>
      </c>
      <c r="B53" s="11" t="s">
        <v>703</v>
      </c>
      <c r="C53">
        <v>116.38200000000001</v>
      </c>
      <c r="D53">
        <f t="shared" si="0"/>
        <v>5.5352202230585545</v>
      </c>
    </row>
    <row r="54" spans="1:6" ht="15.5" x14ac:dyDescent="0.35">
      <c r="A54" s="12">
        <v>2006</v>
      </c>
      <c r="B54" s="11" t="s">
        <v>704</v>
      </c>
      <c r="C54">
        <v>109.94</v>
      </c>
      <c r="D54">
        <f t="shared" si="0"/>
        <v>5.7434327815171899</v>
      </c>
    </row>
    <row r="55" spans="1:6" ht="15.5" x14ac:dyDescent="0.35">
      <c r="A55" s="12">
        <v>2006</v>
      </c>
      <c r="B55" s="11" t="s">
        <v>705</v>
      </c>
      <c r="C55">
        <v>103.62567</v>
      </c>
      <c r="D55">
        <f t="shared" si="0"/>
        <v>3.3723979782229629</v>
      </c>
    </row>
    <row r="56" spans="1:6" ht="15.5" x14ac:dyDescent="0.35">
      <c r="A56" s="12">
        <v>2006</v>
      </c>
      <c r="B56" s="11" t="s">
        <v>706</v>
      </c>
      <c r="C56">
        <v>100.131</v>
      </c>
      <c r="D56">
        <f t="shared" si="0"/>
        <v>3.9707982542868834</v>
      </c>
      <c r="E56">
        <f>SUM(C45:C56)</f>
        <v>1337.5605</v>
      </c>
      <c r="F56">
        <f>+((E56-E44)/E44)*100</f>
        <v>-8.473637186201092</v>
      </c>
    </row>
    <row r="57" spans="1:6" ht="15.5" x14ac:dyDescent="0.35">
      <c r="A57" s="12">
        <v>2007</v>
      </c>
      <c r="B57" s="11" t="s">
        <v>713</v>
      </c>
      <c r="C57">
        <v>96.155000000000001</v>
      </c>
      <c r="D57">
        <f t="shared" si="0"/>
        <v>-13.552077375071505</v>
      </c>
    </row>
    <row r="58" spans="1:6" ht="15.5" x14ac:dyDescent="0.35">
      <c r="A58" s="12">
        <v>2007</v>
      </c>
      <c r="B58" s="11" t="s">
        <v>707</v>
      </c>
      <c r="C58">
        <v>109.18600000000001</v>
      </c>
      <c r="D58">
        <f t="shared" si="0"/>
        <v>4.5729305954975992</v>
      </c>
    </row>
    <row r="59" spans="1:6" ht="15.5" x14ac:dyDescent="0.35">
      <c r="A59" s="12">
        <v>2007</v>
      </c>
      <c r="B59" s="11" t="s">
        <v>708</v>
      </c>
      <c r="C59">
        <v>104.193</v>
      </c>
      <c r="D59">
        <f t="shared" si="0"/>
        <v>-1.5202556793642599</v>
      </c>
    </row>
    <row r="60" spans="1:6" ht="15.5" x14ac:dyDescent="0.35">
      <c r="A60" s="12">
        <v>2007</v>
      </c>
      <c r="B60" s="11" t="s">
        <v>699</v>
      </c>
      <c r="C60">
        <v>105.777</v>
      </c>
      <c r="D60">
        <f t="shared" si="0"/>
        <v>-11.881599969747676</v>
      </c>
    </row>
    <row r="61" spans="1:6" ht="15.5" x14ac:dyDescent="0.35">
      <c r="A61" s="12">
        <v>2007</v>
      </c>
      <c r="B61" s="11" t="s">
        <v>709</v>
      </c>
      <c r="C61">
        <v>118.345</v>
      </c>
      <c r="D61">
        <f t="shared" si="0"/>
        <v>-12.243018293971021</v>
      </c>
    </row>
    <row r="62" spans="1:6" ht="15.5" x14ac:dyDescent="0.35">
      <c r="A62" s="12">
        <v>2007</v>
      </c>
      <c r="B62" s="11" t="s">
        <v>712</v>
      </c>
      <c r="C62">
        <v>132.834</v>
      </c>
      <c r="D62">
        <f t="shared" si="0"/>
        <v>-0.41028652302873325</v>
      </c>
    </row>
    <row r="63" spans="1:6" ht="15.5" x14ac:dyDescent="0.35">
      <c r="A63" s="12">
        <v>2007</v>
      </c>
      <c r="B63" s="11" t="s">
        <v>710</v>
      </c>
      <c r="C63">
        <v>133.37899999999999</v>
      </c>
      <c r="D63">
        <f t="shared" si="0"/>
        <v>1.0174015399725589</v>
      </c>
    </row>
    <row r="64" spans="1:6" ht="15.5" x14ac:dyDescent="0.35">
      <c r="A64" s="12">
        <v>2007</v>
      </c>
      <c r="B64" s="11" t="s">
        <v>702</v>
      </c>
      <c r="C64">
        <v>132.02199999999999</v>
      </c>
      <c r="D64">
        <f t="shared" si="0"/>
        <v>5.4695429549620442</v>
      </c>
    </row>
    <row r="65" spans="1:6" ht="15.5" x14ac:dyDescent="0.35">
      <c r="A65" s="12">
        <v>2007</v>
      </c>
      <c r="B65" s="11" t="s">
        <v>703</v>
      </c>
      <c r="C65">
        <v>124.801</v>
      </c>
      <c r="D65">
        <f t="shared" si="0"/>
        <v>4.6281680435252897</v>
      </c>
    </row>
    <row r="66" spans="1:6" ht="15.5" x14ac:dyDescent="0.35">
      <c r="A66" s="12">
        <v>2007</v>
      </c>
      <c r="B66" s="11" t="s">
        <v>704</v>
      </c>
      <c r="C66">
        <v>119.02500000000001</v>
      </c>
      <c r="D66">
        <f t="shared" si="0"/>
        <v>13.007351396765385</v>
      </c>
    </row>
    <row r="67" spans="1:6" ht="15.5" x14ac:dyDescent="0.35">
      <c r="A67" s="12">
        <v>2007</v>
      </c>
      <c r="B67" s="11" t="s">
        <v>705</v>
      </c>
      <c r="C67">
        <v>103.54300000000001</v>
      </c>
      <c r="D67">
        <f t="shared" si="0"/>
        <v>4.7332992090242794</v>
      </c>
    </row>
    <row r="68" spans="1:6" ht="15.5" x14ac:dyDescent="0.35">
      <c r="A68" s="12">
        <v>2007</v>
      </c>
      <c r="B68" s="11" t="s">
        <v>706</v>
      </c>
      <c r="C68">
        <v>98.641999999999996</v>
      </c>
      <c r="D68">
        <f t="shared" si="0"/>
        <v>-0.23418016666329633</v>
      </c>
      <c r="E68">
        <f>SUM(C57:C68)</f>
        <v>1377.9020000000003</v>
      </c>
      <c r="F68">
        <f>+((E68-E56)/E56)*100</f>
        <v>3.0160504889311714</v>
      </c>
    </row>
    <row r="69" spans="1:6" ht="15.5" x14ac:dyDescent="0.35">
      <c r="A69" s="12">
        <v>2008</v>
      </c>
      <c r="B69" s="11" t="s">
        <v>713</v>
      </c>
      <c r="C69">
        <v>98.873000000000005</v>
      </c>
      <c r="D69">
        <f t="shared" si="0"/>
        <v>-6.2322373145347987</v>
      </c>
    </row>
    <row r="70" spans="1:6" ht="15.5" x14ac:dyDescent="0.35">
      <c r="A70" s="12">
        <v>2008</v>
      </c>
      <c r="B70" s="11" t="s">
        <v>707</v>
      </c>
      <c r="C70">
        <v>105.035</v>
      </c>
      <c r="D70">
        <f t="shared" si="0"/>
        <v>-0.40653115628124603</v>
      </c>
    </row>
    <row r="71" spans="1:6" ht="15.5" x14ac:dyDescent="0.35">
      <c r="A71" s="12">
        <v>2008</v>
      </c>
      <c r="B71" s="11" t="s">
        <v>708</v>
      </c>
      <c r="C71">
        <v>105.462</v>
      </c>
      <c r="D71">
        <f t="shared" si="0"/>
        <v>-2.6843792076767015</v>
      </c>
    </row>
    <row r="72" spans="1:6" ht="15.5" x14ac:dyDescent="0.35">
      <c r="A72" s="12">
        <v>2008</v>
      </c>
      <c r="B72" s="11" t="s">
        <v>699</v>
      </c>
      <c r="C72">
        <v>108.29300000000001</v>
      </c>
      <c r="D72">
        <f t="shared" si="0"/>
        <v>-0.92526756115353281</v>
      </c>
    </row>
    <row r="73" spans="1:6" ht="15.5" x14ac:dyDescent="0.35">
      <c r="A73" s="12">
        <v>2008</v>
      </c>
      <c r="B73" s="11" t="s">
        <v>709</v>
      </c>
      <c r="C73">
        <v>109.295</v>
      </c>
      <c r="D73">
        <f t="shared" si="0"/>
        <v>-13.792945697424406</v>
      </c>
    </row>
    <row r="74" spans="1:6" ht="15.5" x14ac:dyDescent="0.35">
      <c r="A74" s="12">
        <v>2008</v>
      </c>
      <c r="B74" s="11" t="s">
        <v>712</v>
      </c>
      <c r="C74">
        <v>124.37</v>
      </c>
      <c r="D74">
        <f t="shared" ref="D74:D129" si="1">((C74-C75)/C74)*100</f>
        <v>-1.5188550293479102</v>
      </c>
    </row>
    <row r="75" spans="1:6" ht="15.5" x14ac:dyDescent="0.35">
      <c r="A75" s="12">
        <v>2008</v>
      </c>
      <c r="B75" s="11" t="s">
        <v>710</v>
      </c>
      <c r="C75">
        <v>126.259</v>
      </c>
      <c r="D75">
        <f t="shared" si="1"/>
        <v>5.9354184652183211</v>
      </c>
    </row>
    <row r="76" spans="1:6" ht="15.5" x14ac:dyDescent="0.35">
      <c r="A76" s="12">
        <v>2008</v>
      </c>
      <c r="B76" s="11" t="s">
        <v>702</v>
      </c>
      <c r="C76">
        <v>118.765</v>
      </c>
      <c r="D76">
        <f t="shared" si="1"/>
        <v>-3.6222792910369268</v>
      </c>
    </row>
    <row r="77" spans="1:6" ht="15.5" x14ac:dyDescent="0.35">
      <c r="A77" s="12">
        <v>2008</v>
      </c>
      <c r="B77" s="11" t="s">
        <v>703</v>
      </c>
      <c r="C77">
        <v>123.06700000000001</v>
      </c>
      <c r="D77">
        <f t="shared" si="1"/>
        <v>11.375917183322915</v>
      </c>
    </row>
    <row r="78" spans="1:6" ht="15.5" x14ac:dyDescent="0.35">
      <c r="A78" s="12">
        <v>2008</v>
      </c>
      <c r="B78" s="11" t="s">
        <v>704</v>
      </c>
      <c r="C78">
        <v>109.06699999999999</v>
      </c>
      <c r="D78">
        <f t="shared" si="1"/>
        <v>6.9709444653286461</v>
      </c>
    </row>
    <row r="79" spans="1:6" ht="15.5" x14ac:dyDescent="0.35">
      <c r="A79" s="12">
        <v>2008</v>
      </c>
      <c r="B79" s="11" t="s">
        <v>705</v>
      </c>
      <c r="C79">
        <v>101.464</v>
      </c>
      <c r="D79">
        <f t="shared" si="1"/>
        <v>-0.98557123708901684</v>
      </c>
    </row>
    <row r="80" spans="1:6" ht="15.5" x14ac:dyDescent="0.35">
      <c r="A80" s="12">
        <v>2008</v>
      </c>
      <c r="B80" s="11" t="s">
        <v>706</v>
      </c>
      <c r="C80">
        <v>102.464</v>
      </c>
      <c r="D80">
        <f t="shared" si="1"/>
        <v>-5.2467207995003173</v>
      </c>
      <c r="E80">
        <f>SUM(C69:C80)</f>
        <v>1332.4139999999998</v>
      </c>
      <c r="F80">
        <f>+((E80-E68)/E68)*100</f>
        <v>-3.3012507420702275</v>
      </c>
    </row>
    <row r="81" spans="1:6" ht="15.5" x14ac:dyDescent="0.35">
      <c r="A81" s="12">
        <v>2009</v>
      </c>
      <c r="B81" s="11" t="s">
        <v>713</v>
      </c>
      <c r="C81">
        <v>107.84</v>
      </c>
      <c r="D81">
        <f t="shared" si="1"/>
        <v>3.47108149639678</v>
      </c>
    </row>
    <row r="82" spans="1:6" ht="15.5" x14ac:dyDescent="0.35">
      <c r="A82" s="12">
        <v>2009</v>
      </c>
      <c r="B82" s="11" t="s">
        <v>707</v>
      </c>
      <c r="C82">
        <v>104.09678571428572</v>
      </c>
      <c r="D82">
        <f t="shared" si="1"/>
        <v>-1.6016001591925046</v>
      </c>
    </row>
    <row r="83" spans="1:6" ht="15.5" x14ac:dyDescent="0.35">
      <c r="A83" s="12">
        <v>2009</v>
      </c>
      <c r="B83" s="11" t="s">
        <v>708</v>
      </c>
      <c r="C83">
        <v>105.764</v>
      </c>
      <c r="D83">
        <f t="shared" si="1"/>
        <v>0.47369615370068319</v>
      </c>
    </row>
    <row r="84" spans="1:6" ht="15.5" x14ac:dyDescent="0.35">
      <c r="A84" s="12">
        <v>2009</v>
      </c>
      <c r="B84" s="11" t="s">
        <v>699</v>
      </c>
      <c r="C84">
        <v>105.26300000000001</v>
      </c>
      <c r="D84">
        <f t="shared" si="1"/>
        <v>-6.8419102628653921</v>
      </c>
    </row>
    <row r="85" spans="1:6" ht="15.5" x14ac:dyDescent="0.35">
      <c r="A85" s="12">
        <v>2009</v>
      </c>
      <c r="B85" s="11" t="s">
        <v>709</v>
      </c>
      <c r="C85">
        <v>112.465</v>
      </c>
      <c r="D85">
        <f t="shared" si="1"/>
        <v>-1.3630907393411293</v>
      </c>
    </row>
    <row r="86" spans="1:6" ht="15.5" x14ac:dyDescent="0.35">
      <c r="A86" s="12">
        <v>2009</v>
      </c>
      <c r="B86" s="50" t="s">
        <v>712</v>
      </c>
      <c r="C86">
        <v>113.998</v>
      </c>
      <c r="D86">
        <f t="shared" si="1"/>
        <v>-3.4860260706328092</v>
      </c>
    </row>
    <row r="87" spans="1:6" ht="15.5" x14ac:dyDescent="0.35">
      <c r="A87" s="12">
        <v>2009</v>
      </c>
      <c r="B87" s="50" t="s">
        <v>710</v>
      </c>
      <c r="C87">
        <v>117.97199999999999</v>
      </c>
      <c r="D87">
        <f t="shared" si="1"/>
        <v>-8.2078798358932694</v>
      </c>
    </row>
    <row r="88" spans="1:6" ht="15.5" x14ac:dyDescent="0.35">
      <c r="A88" s="12">
        <v>2009</v>
      </c>
      <c r="B88" s="50" t="s">
        <v>702</v>
      </c>
      <c r="C88">
        <v>127.655</v>
      </c>
      <c r="D88">
        <f t="shared" si="1"/>
        <v>11.115898319689787</v>
      </c>
    </row>
    <row r="89" spans="1:6" ht="15.5" x14ac:dyDescent="0.35">
      <c r="A89" s="12">
        <v>2009</v>
      </c>
      <c r="B89" s="50" t="s">
        <v>703</v>
      </c>
      <c r="C89">
        <v>113.465</v>
      </c>
      <c r="D89">
        <f t="shared" si="1"/>
        <v>8.2765610540695409</v>
      </c>
    </row>
    <row r="90" spans="1:6" ht="15.5" x14ac:dyDescent="0.35">
      <c r="A90" s="12">
        <v>2009</v>
      </c>
      <c r="B90" s="50" t="s">
        <v>704</v>
      </c>
      <c r="C90">
        <v>104.074</v>
      </c>
      <c r="D90">
        <f t="shared" si="1"/>
        <v>6.0530968349443679</v>
      </c>
    </row>
    <row r="91" spans="1:6" ht="15.5" x14ac:dyDescent="0.35">
      <c r="A91" s="12">
        <v>2009</v>
      </c>
      <c r="B91" s="50" t="s">
        <v>705</v>
      </c>
      <c r="C91">
        <v>97.774299999999997</v>
      </c>
      <c r="D91">
        <f t="shared" si="1"/>
        <v>1.8800441424791592</v>
      </c>
    </row>
    <row r="92" spans="1:6" ht="15.5" x14ac:dyDescent="0.35">
      <c r="A92" s="12">
        <v>2009</v>
      </c>
      <c r="B92" s="50" t="s">
        <v>706</v>
      </c>
      <c r="C92">
        <v>95.936099999999996</v>
      </c>
      <c r="D92">
        <f t="shared" si="1"/>
        <v>-1.0370131785636543</v>
      </c>
      <c r="E92">
        <f>SUM(C81:C92)</f>
        <v>1306.3031857142857</v>
      </c>
      <c r="F92">
        <f>+((E92-E80)/E80)*100</f>
        <v>-1.9596622585558257</v>
      </c>
    </row>
    <row r="93" spans="1:6" ht="15.5" x14ac:dyDescent="0.35">
      <c r="A93" s="12">
        <v>2010</v>
      </c>
      <c r="B93" s="50" t="s">
        <v>713</v>
      </c>
      <c r="C93">
        <v>96.930970000000002</v>
      </c>
      <c r="D93">
        <f t="shared" si="1"/>
        <v>0.63178981908466203</v>
      </c>
    </row>
    <row r="94" spans="1:6" ht="15.5" x14ac:dyDescent="0.35">
      <c r="A94" s="12">
        <v>2010.3333333333301</v>
      </c>
      <c r="B94" s="50" t="s">
        <v>707</v>
      </c>
      <c r="C94">
        <v>96.318569999999994</v>
      </c>
      <c r="D94">
        <f t="shared" si="1"/>
        <v>0.37538970937795318</v>
      </c>
    </row>
    <row r="95" spans="1:6" ht="15.5" x14ac:dyDescent="0.35">
      <c r="A95" s="12">
        <v>2010</v>
      </c>
      <c r="B95" s="50" t="s">
        <v>708</v>
      </c>
      <c r="C95">
        <v>95.956999999999994</v>
      </c>
      <c r="D95">
        <f t="shared" si="1"/>
        <v>-1.6965932657336102</v>
      </c>
    </row>
    <row r="96" spans="1:6" ht="15.5" x14ac:dyDescent="0.35">
      <c r="A96" s="12">
        <v>2009.6666666666699</v>
      </c>
      <c r="B96" s="50" t="s">
        <v>699</v>
      </c>
      <c r="C96">
        <v>97.584999999999994</v>
      </c>
      <c r="D96">
        <f t="shared" si="1"/>
        <v>-5.3988830250550839</v>
      </c>
    </row>
    <row r="97" spans="1:6" ht="15.5" x14ac:dyDescent="0.35">
      <c r="A97" s="12">
        <v>2009.6666666666699</v>
      </c>
      <c r="B97" s="50" t="s">
        <v>709</v>
      </c>
      <c r="C97">
        <v>102.8535</v>
      </c>
      <c r="D97">
        <f t="shared" si="1"/>
        <v>-18.059822952062881</v>
      </c>
    </row>
    <row r="98" spans="1:6" ht="15.5" x14ac:dyDescent="0.35">
      <c r="A98" s="12">
        <v>2009.5333333333399</v>
      </c>
      <c r="B98" s="50" t="s">
        <v>712</v>
      </c>
      <c r="C98">
        <v>121.42865999999999</v>
      </c>
      <c r="D98">
        <f t="shared" si="1"/>
        <v>-7.5236407121679507</v>
      </c>
    </row>
    <row r="99" spans="1:6" ht="15.5" x14ac:dyDescent="0.35">
      <c r="A99" s="12">
        <v>2010</v>
      </c>
      <c r="B99" s="50" t="s">
        <v>710</v>
      </c>
      <c r="C99">
        <v>130.56451609999999</v>
      </c>
      <c r="D99">
        <f t="shared" si="1"/>
        <v>11.031253843095275</v>
      </c>
    </row>
    <row r="100" spans="1:6" ht="15.5" x14ac:dyDescent="0.35">
      <c r="A100" s="12">
        <v>2010.4666666666601</v>
      </c>
      <c r="B100" s="50" t="s">
        <v>702</v>
      </c>
      <c r="C100">
        <v>116.16161289999999</v>
      </c>
      <c r="D100">
        <f t="shared" si="1"/>
        <v>4.9387631221501342</v>
      </c>
    </row>
    <row r="101" spans="1:6" ht="15.5" x14ac:dyDescent="0.35">
      <c r="A101" s="12">
        <v>2010</v>
      </c>
      <c r="B101" s="50" t="s">
        <v>703</v>
      </c>
      <c r="C101">
        <v>110.424666</v>
      </c>
      <c r="D101">
        <f t="shared" si="1"/>
        <v>11.112367774786845</v>
      </c>
    </row>
    <row r="102" spans="1:6" ht="15.5" x14ac:dyDescent="0.35">
      <c r="A102" s="12">
        <v>2010.4666666666601</v>
      </c>
      <c r="B102" s="50" t="s">
        <v>704</v>
      </c>
      <c r="C102">
        <v>98.153870999999995</v>
      </c>
      <c r="D102">
        <f t="shared" si="1"/>
        <v>-8.0741889436026408</v>
      </c>
    </row>
    <row r="103" spans="1:6" ht="15.5" x14ac:dyDescent="0.35">
      <c r="A103" s="12">
        <v>2010</v>
      </c>
      <c r="B103" s="50" t="s">
        <v>705</v>
      </c>
      <c r="C103">
        <v>106.07899999999999</v>
      </c>
      <c r="D103">
        <f t="shared" si="1"/>
        <v>11.780899141206074</v>
      </c>
    </row>
    <row r="104" spans="1:6" ht="15.5" x14ac:dyDescent="0.35">
      <c r="A104" s="12">
        <v>2010</v>
      </c>
      <c r="B104" s="50" t="s">
        <v>706</v>
      </c>
      <c r="C104">
        <v>93.581940000000003</v>
      </c>
      <c r="D104">
        <f t="shared" si="1"/>
        <v>-1.5783921555804505</v>
      </c>
      <c r="E104">
        <f>SUM(C93:C104)</f>
        <v>1266.0393060000001</v>
      </c>
      <c r="F104">
        <f>+((E104-E92)/E92)*100</f>
        <v>-3.0822767757600897</v>
      </c>
    </row>
    <row r="105" spans="1:6" ht="15.5" x14ac:dyDescent="0.35">
      <c r="A105" s="12">
        <v>2011</v>
      </c>
      <c r="B105" s="50" t="s">
        <v>713</v>
      </c>
      <c r="C105">
        <v>95.059030000000007</v>
      </c>
      <c r="D105">
        <f t="shared" si="1"/>
        <v>-1.903596112857451</v>
      </c>
    </row>
    <row r="106" spans="1:6" ht="15.5" x14ac:dyDescent="0.35">
      <c r="A106" s="12">
        <v>2011</v>
      </c>
      <c r="B106" s="50" t="s">
        <v>707</v>
      </c>
      <c r="C106">
        <v>96.868570000000005</v>
      </c>
      <c r="D106">
        <f t="shared" si="1"/>
        <v>3.5970077807486969</v>
      </c>
    </row>
    <row r="107" spans="1:6" ht="15.5" x14ac:dyDescent="0.35">
      <c r="A107" s="12">
        <v>2011</v>
      </c>
      <c r="B107" s="50" t="s">
        <v>708</v>
      </c>
      <c r="C107">
        <v>93.384200000000007</v>
      </c>
      <c r="D107">
        <f t="shared" si="1"/>
        <v>-2.986372427027264</v>
      </c>
    </row>
    <row r="108" spans="1:6" ht="15.5" x14ac:dyDescent="0.35">
      <c r="A108" s="12">
        <v>2011</v>
      </c>
      <c r="B108" s="50" t="s">
        <v>699</v>
      </c>
      <c r="C108">
        <v>96.173000000000002</v>
      </c>
      <c r="D108">
        <f t="shared" si="1"/>
        <v>-8.8663138302850086</v>
      </c>
    </row>
    <row r="109" spans="1:6" ht="15.5" x14ac:dyDescent="0.35">
      <c r="A109" s="12">
        <v>2011</v>
      </c>
      <c r="B109" s="50" t="s">
        <v>709</v>
      </c>
      <c r="C109">
        <v>104.7</v>
      </c>
      <c r="D109">
        <f t="shared" si="1"/>
        <v>-8.909901337153773</v>
      </c>
    </row>
    <row r="110" spans="1:6" ht="15.5" x14ac:dyDescent="0.35">
      <c r="A110" s="12">
        <v>2011</v>
      </c>
      <c r="B110" s="50" t="s">
        <v>712</v>
      </c>
      <c r="C110">
        <v>114.0286667</v>
      </c>
      <c r="D110">
        <f t="shared" si="1"/>
        <v>-6.5888986668297118</v>
      </c>
    </row>
    <row r="111" spans="1:6" ht="15.5" x14ac:dyDescent="0.35">
      <c r="A111" s="12">
        <v>2011</v>
      </c>
      <c r="B111" s="50" t="s">
        <v>710</v>
      </c>
      <c r="C111">
        <v>121.5419</v>
      </c>
      <c r="D111">
        <f t="shared" si="1"/>
        <v>4.1672048898363396</v>
      </c>
    </row>
    <row r="112" spans="1:6" ht="15.5" x14ac:dyDescent="0.35">
      <c r="A112" s="12">
        <v>2011</v>
      </c>
      <c r="B112" s="50" t="s">
        <v>702</v>
      </c>
      <c r="C112">
        <v>116.477</v>
      </c>
      <c r="D112">
        <f t="shared" si="1"/>
        <v>4.0454338624792907</v>
      </c>
    </row>
    <row r="113" spans="1:6" ht="15.5" x14ac:dyDescent="0.35">
      <c r="A113" s="12">
        <v>2011</v>
      </c>
      <c r="B113" s="50" t="s">
        <v>703</v>
      </c>
      <c r="C113">
        <v>111.765</v>
      </c>
      <c r="D113">
        <f t="shared" si="1"/>
        <v>11.453612490493446</v>
      </c>
    </row>
    <row r="114" spans="1:6" ht="15.5" x14ac:dyDescent="0.35">
      <c r="A114" s="12">
        <v>2011</v>
      </c>
      <c r="B114" s="50" t="s">
        <v>704</v>
      </c>
      <c r="C114">
        <v>98.96387</v>
      </c>
      <c r="D114">
        <f t="shared" si="1"/>
        <v>2.7126465446430079</v>
      </c>
    </row>
    <row r="115" spans="1:6" ht="15.5" x14ac:dyDescent="0.35">
      <c r="A115" s="12">
        <v>2011</v>
      </c>
      <c r="B115" s="50" t="s">
        <v>705</v>
      </c>
      <c r="C115">
        <v>96.279330000000002</v>
      </c>
      <c r="D115">
        <f t="shared" si="1"/>
        <v>6.6559769371058213</v>
      </c>
    </row>
    <row r="116" spans="1:6" ht="15.5" x14ac:dyDescent="0.35">
      <c r="A116" s="12">
        <v>2011</v>
      </c>
      <c r="B116" s="50" t="s">
        <v>706</v>
      </c>
      <c r="C116">
        <v>89.870999999999995</v>
      </c>
      <c r="D116">
        <f t="shared" si="1"/>
        <v>-2.0651823168764216</v>
      </c>
      <c r="E116">
        <f>SUM(C105:C116)</f>
        <v>1235.1115667000001</v>
      </c>
      <c r="F116">
        <f>+((E116-E104)/E104)*100</f>
        <v>-2.4428735469291962</v>
      </c>
    </row>
    <row r="117" spans="1:6" ht="15.5" x14ac:dyDescent="0.35">
      <c r="A117" s="12">
        <v>2012</v>
      </c>
      <c r="B117" s="50" t="s">
        <v>713</v>
      </c>
      <c r="C117">
        <v>91.727000000000004</v>
      </c>
      <c r="D117">
        <f t="shared" si="1"/>
        <v>3.6477809151067881</v>
      </c>
    </row>
    <row r="118" spans="1:6" ht="15.5" x14ac:dyDescent="0.35">
      <c r="A118" s="12">
        <v>2012.3333333333301</v>
      </c>
      <c r="B118" s="50" t="s">
        <v>707</v>
      </c>
      <c r="C118">
        <v>88.381</v>
      </c>
      <c r="D118">
        <f t="shared" si="1"/>
        <v>-2.3347778368653951</v>
      </c>
    </row>
    <row r="119" spans="1:6" ht="15.5" x14ac:dyDescent="0.35">
      <c r="A119" s="12">
        <v>2012</v>
      </c>
      <c r="B119" s="50" t="s">
        <v>708</v>
      </c>
      <c r="C119">
        <v>90.444500000000005</v>
      </c>
      <c r="D119">
        <f t="shared" si="1"/>
        <v>-8.4819972469304314</v>
      </c>
    </row>
    <row r="120" spans="1:6" ht="15.5" x14ac:dyDescent="0.35">
      <c r="A120" s="12">
        <v>2012.1111111111099</v>
      </c>
      <c r="B120" s="50" t="s">
        <v>699</v>
      </c>
      <c r="C120">
        <v>98.116</v>
      </c>
      <c r="D120">
        <f t="shared" si="1"/>
        <v>-3.8395631701251638</v>
      </c>
    </row>
    <row r="121" spans="1:6" ht="15.5" x14ac:dyDescent="0.35">
      <c r="A121" s="12">
        <v>2011.92592592593</v>
      </c>
      <c r="B121" s="50" t="s">
        <v>709</v>
      </c>
      <c r="C121">
        <v>101.88322580000001</v>
      </c>
      <c r="D121">
        <f t="shared" si="1"/>
        <v>-8.5036316154803089</v>
      </c>
    </row>
    <row r="122" spans="1:6" ht="15.5" x14ac:dyDescent="0.35">
      <c r="A122" s="12">
        <v>2011.74074074075</v>
      </c>
      <c r="B122" s="50" t="s">
        <v>712</v>
      </c>
      <c r="C122">
        <v>110.547</v>
      </c>
      <c r="D122">
        <f t="shared" si="1"/>
        <v>-12.922015070513002</v>
      </c>
    </row>
    <row r="123" spans="1:6" ht="15.5" x14ac:dyDescent="0.35">
      <c r="A123" s="12">
        <v>2011.7037037037101</v>
      </c>
      <c r="B123" s="50" t="s">
        <v>710</v>
      </c>
      <c r="C123">
        <v>124.8319</v>
      </c>
      <c r="D123">
        <f t="shared" si="1"/>
        <v>7.8815384529114754</v>
      </c>
    </row>
    <row r="124" spans="1:6" ht="15.5" x14ac:dyDescent="0.35">
      <c r="A124" s="12">
        <v>2011.5679012345799</v>
      </c>
      <c r="B124" s="50" t="s">
        <v>702</v>
      </c>
      <c r="C124">
        <v>114.9932258</v>
      </c>
      <c r="D124">
        <f t="shared" si="1"/>
        <v>8.2667702674360584</v>
      </c>
    </row>
    <row r="125" spans="1:6" ht="15.5" x14ac:dyDescent="0.35">
      <c r="A125" s="12">
        <v>2011.5679012345799</v>
      </c>
      <c r="B125" s="50" t="s">
        <v>703</v>
      </c>
      <c r="C125">
        <v>105.48699999999999</v>
      </c>
      <c r="D125">
        <f t="shared" si="1"/>
        <v>10.769099509892214</v>
      </c>
    </row>
    <row r="126" spans="1:6" ht="15.5" x14ac:dyDescent="0.35">
      <c r="A126" s="12">
        <v>2012</v>
      </c>
      <c r="B126" s="50" t="s">
        <v>704</v>
      </c>
      <c r="C126">
        <v>94.126999999999995</v>
      </c>
      <c r="D126">
        <f t="shared" si="1"/>
        <v>6.1841979453291813</v>
      </c>
    </row>
    <row r="127" spans="1:6" ht="15.5" x14ac:dyDescent="0.35">
      <c r="A127" s="12">
        <v>2012.1440329218101</v>
      </c>
      <c r="B127" s="50" t="s">
        <v>705</v>
      </c>
      <c r="C127">
        <v>88.305999999999997</v>
      </c>
      <c r="D127">
        <f t="shared" si="1"/>
        <v>6.9644191787647403</v>
      </c>
    </row>
    <row r="128" spans="1:6" ht="15.5" x14ac:dyDescent="0.35">
      <c r="A128" s="12">
        <v>2012.28806584362</v>
      </c>
      <c r="B128" s="50" t="s">
        <v>706</v>
      </c>
      <c r="C128">
        <v>82.156000000000006</v>
      </c>
      <c r="D128">
        <f t="shared" si="1"/>
        <v>-6.6142460684551301</v>
      </c>
      <c r="E128">
        <f>SUM(C117:C128)</f>
        <v>1190.9998515999998</v>
      </c>
      <c r="F128">
        <f>+((E128-E116)/E116)*100</f>
        <v>-3.5714761556204206</v>
      </c>
    </row>
    <row r="129" spans="1:4" ht="15.5" x14ac:dyDescent="0.35">
      <c r="A129" s="12">
        <v>2013</v>
      </c>
      <c r="B129" s="50" t="s">
        <v>713</v>
      </c>
      <c r="C129">
        <v>87.59</v>
      </c>
      <c r="D129">
        <f t="shared" si="1"/>
        <v>100</v>
      </c>
    </row>
    <row r="130" spans="1:4" ht="15.5" x14ac:dyDescent="0.35">
      <c r="A130" s="12"/>
      <c r="B130" s="50"/>
    </row>
    <row r="131" spans="1:4" x14ac:dyDescent="0.25">
      <c r="A131" s="53"/>
    </row>
    <row r="134" spans="1:4" ht="15.5" x14ac:dyDescent="0.35">
      <c r="A134" s="11"/>
      <c r="B134" s="11"/>
    </row>
    <row r="135" spans="1:4" ht="15.5" x14ac:dyDescent="0.35">
      <c r="A135" s="11"/>
      <c r="B135" s="11"/>
    </row>
    <row r="136" spans="1:4" ht="15.5" x14ac:dyDescent="0.35">
      <c r="A136" s="11"/>
      <c r="B136" s="11"/>
    </row>
    <row r="137" spans="1:4" ht="15.5" x14ac:dyDescent="0.35">
      <c r="A137" s="11"/>
      <c r="B137" s="11"/>
    </row>
    <row r="138" spans="1:4" ht="15.5" x14ac:dyDescent="0.35">
      <c r="A138" s="11"/>
      <c r="B138" s="11"/>
    </row>
    <row r="139" spans="1:4" ht="15.5" x14ac:dyDescent="0.35">
      <c r="A139" s="11"/>
      <c r="B139" s="11"/>
    </row>
    <row r="140" spans="1:4" ht="15.5" x14ac:dyDescent="0.35">
      <c r="A140" s="11"/>
      <c r="B140" s="11"/>
    </row>
    <row r="141" spans="1:4" ht="15.5" x14ac:dyDescent="0.35">
      <c r="A141" s="11"/>
      <c r="B141" s="11"/>
    </row>
    <row r="142" spans="1:4" ht="15.5" x14ac:dyDescent="0.35">
      <c r="A142" s="11"/>
      <c r="B142" s="11"/>
    </row>
    <row r="143" spans="1:4" ht="15.5" x14ac:dyDescent="0.35">
      <c r="A143" s="11"/>
      <c r="B143" s="11"/>
    </row>
    <row r="144" spans="1:4" ht="15.5" x14ac:dyDescent="0.35">
      <c r="A144" s="11"/>
      <c r="B144" s="11"/>
    </row>
    <row r="145" spans="1:2" ht="15.5" x14ac:dyDescent="0.35">
      <c r="A145" s="11"/>
      <c r="B145" s="11"/>
    </row>
    <row r="146" spans="1:2" ht="15.5" x14ac:dyDescent="0.35">
      <c r="A146" s="11"/>
      <c r="B146" s="11"/>
    </row>
    <row r="147" spans="1:2" ht="15.5" x14ac:dyDescent="0.35">
      <c r="A147" s="11"/>
      <c r="B147" s="11"/>
    </row>
    <row r="148" spans="1:2" ht="15.5" x14ac:dyDescent="0.35">
      <c r="A148" s="12"/>
      <c r="B148" s="11"/>
    </row>
    <row r="149" spans="1:2" ht="15.5" x14ac:dyDescent="0.35">
      <c r="A149" s="11"/>
      <c r="B149" s="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/>
  <dimension ref="A1"/>
  <sheetViews>
    <sheetView zoomScale="70" zoomScaleNormal="70" workbookViewId="0">
      <selection activeCell="AM240" sqref="AM240"/>
    </sheetView>
  </sheetViews>
  <sheetFormatPr defaultRowHeight="12.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0"/>
  <dimension ref="B3:O21"/>
  <sheetViews>
    <sheetView workbookViewId="0">
      <selection activeCell="AM240" sqref="AM240"/>
    </sheetView>
  </sheetViews>
  <sheetFormatPr defaultRowHeight="12.5" x14ac:dyDescent="0.25"/>
  <cols>
    <col min="2" max="2" width="13.6328125" bestFit="1" customWidth="1"/>
    <col min="3" max="3" width="8.36328125" bestFit="1" customWidth="1"/>
    <col min="4" max="4" width="10.90625" bestFit="1" customWidth="1"/>
    <col min="6" max="6" width="9.54296875" bestFit="1" customWidth="1"/>
    <col min="7" max="7" width="19.54296875" customWidth="1"/>
    <col min="8" max="8" width="11.6328125" customWidth="1"/>
    <col min="11" max="11" width="13.08984375" bestFit="1" customWidth="1"/>
    <col min="12" max="12" width="20.36328125" customWidth="1"/>
    <col min="14" max="14" width="14" bestFit="1" customWidth="1"/>
    <col min="15" max="15" width="18" bestFit="1" customWidth="1"/>
  </cols>
  <sheetData>
    <row r="3" spans="2:15" ht="13" thickBot="1" x14ac:dyDescent="0.3"/>
    <row r="4" spans="2:15" ht="14" x14ac:dyDescent="0.3">
      <c r="B4" s="59"/>
      <c r="C4" s="73" t="s">
        <v>0</v>
      </c>
      <c r="D4" s="74"/>
      <c r="E4" s="74"/>
      <c r="F4" s="74"/>
      <c r="G4" s="74"/>
      <c r="H4" s="74"/>
      <c r="I4" s="67" t="s">
        <v>1</v>
      </c>
      <c r="J4" s="68"/>
      <c r="K4" s="68"/>
      <c r="L4" s="68"/>
      <c r="M4" s="60"/>
    </row>
    <row r="5" spans="2:15" ht="14" x14ac:dyDescent="0.3">
      <c r="B5" s="66" t="s">
        <v>2</v>
      </c>
      <c r="C5" s="61" t="s">
        <v>3</v>
      </c>
      <c r="D5" s="58" t="s">
        <v>4</v>
      </c>
      <c r="E5" s="58" t="s">
        <v>5</v>
      </c>
      <c r="F5" s="58" t="s">
        <v>6</v>
      </c>
      <c r="G5" s="58" t="s">
        <v>7</v>
      </c>
      <c r="H5" s="58" t="s">
        <v>8</v>
      </c>
      <c r="I5" s="61" t="s">
        <v>9</v>
      </c>
      <c r="J5" s="58" t="s">
        <v>10</v>
      </c>
      <c r="K5" s="58" t="s">
        <v>11</v>
      </c>
      <c r="L5" s="58" t="s">
        <v>12</v>
      </c>
      <c r="M5" s="69" t="s">
        <v>13</v>
      </c>
      <c r="N5" s="58" t="s">
        <v>14</v>
      </c>
      <c r="O5" s="58" t="s">
        <v>15</v>
      </c>
    </row>
    <row r="6" spans="2:15" ht="14.5" thickBot="1" x14ac:dyDescent="0.35">
      <c r="B6" s="62">
        <v>291.40920832450519</v>
      </c>
      <c r="C6" s="62">
        <v>118.58322052355349</v>
      </c>
      <c r="D6" s="65">
        <v>27.768098911268265</v>
      </c>
      <c r="E6" s="65">
        <v>12.866963805498171</v>
      </c>
      <c r="F6" s="65">
        <v>0.96088661789113128</v>
      </c>
      <c r="G6" s="65">
        <v>0.9623597965993963</v>
      </c>
      <c r="H6" s="65">
        <v>130.20480406969466</v>
      </c>
      <c r="I6" s="62">
        <v>56</v>
      </c>
      <c r="J6" s="63">
        <v>55.54911666666667</v>
      </c>
      <c r="K6" s="64">
        <v>4.0734000000000012</v>
      </c>
      <c r="L6" s="63">
        <v>25.105770523553524</v>
      </c>
      <c r="M6" s="70">
        <v>5.6110666666666695</v>
      </c>
      <c r="N6">
        <v>5.523316666666668</v>
      </c>
      <c r="O6">
        <v>6.8899499999999971</v>
      </c>
    </row>
    <row r="9" spans="2:15" x14ac:dyDescent="0.25">
      <c r="B9" s="2">
        <f>+C6+D6+E6+F6+G6+H6</f>
        <v>291.34633372450514</v>
      </c>
    </row>
    <row r="21" spans="11:11" x14ac:dyDescent="0.25">
      <c r="K21">
        <f>265-106</f>
        <v>159</v>
      </c>
    </row>
  </sheetData>
  <mergeCells count="1">
    <mergeCell ref="C4:H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43C6E52B0A0940A745E860ECC58F5E" ma:contentTypeVersion="2" ma:contentTypeDescription="Create a new document." ma:contentTypeScope="" ma:versionID="a7b5fa15107c5dc02d3ae0389d87775f">
  <xsd:schema xmlns:xsd="http://www.w3.org/2001/XMLSchema" xmlns:xs="http://www.w3.org/2001/XMLSchema" xmlns:p="http://schemas.microsoft.com/office/2006/metadata/properties" xmlns:ns2="457e86d8-e6fd-4aed-92d4-f4e24905c720" targetNamespace="http://schemas.microsoft.com/office/2006/metadata/properties" ma:root="true" ma:fieldsID="9c0b5cffd8723416cc13acd6faa92768" ns2:_="">
    <xsd:import namespace="457e86d8-e6fd-4aed-92d4-f4e24905c72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7e86d8-e6fd-4aed-92d4-f4e24905c72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9CC394-55F2-4ED5-B295-8E5BFE9F2CF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9A0170-F016-497F-8805-66917C2F6AA0}">
  <ds:schemaRefs>
    <ds:schemaRef ds:uri="457e86d8-e6fd-4aed-92d4-f4e24905c720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4D6EF31-38AE-4F23-B0D4-2BFD31014E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7e86d8-e6fd-4aed-92d4-f4e24905c72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d05cdc4-bf69-4e6a-b5d3-428050a7f00f}" enabled="0" method="" siteId="{8d05cdc4-bf69-4e6a-b5d3-428050a7f0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Sheet2 (2)</vt:lpstr>
      <vt:lpstr>RPT_FLOW_CHRT</vt:lpstr>
      <vt:lpstr>S.O.P.</vt:lpstr>
      <vt:lpstr>YR_FLOW_RPT</vt:lpstr>
      <vt:lpstr>YR_HC_RPT</vt:lpstr>
      <vt:lpstr>LOUDOUN</vt:lpstr>
      <vt:lpstr>Flow Ratios</vt:lpstr>
      <vt:lpstr>Sheet1</vt:lpstr>
      <vt:lpstr>Fairfax Charts</vt:lpstr>
      <vt:lpstr>Sheet2</vt:lpstr>
      <vt:lpstr>Chart1</vt:lpstr>
      <vt:lpstr>'Flow Ratios'!Print_Area</vt:lpstr>
      <vt:lpstr>RPT_FLOW_CHRT!Print_Area</vt:lpstr>
      <vt:lpstr>S.O.P.!Print_Area</vt:lpstr>
      <vt:lpstr>YR_FLOW_RPT!Print_Area</vt:lpstr>
      <vt:lpstr>YR_HC_RPT!Print_Area</vt:lpstr>
      <vt:lpstr>YR_FLOW_RPT!Print_Titles</vt:lpstr>
      <vt:lpstr>YR_HC_RPT!Print_Titles</vt:lpstr>
    </vt:vector>
  </TitlesOfParts>
  <Manager/>
  <Company>Unknown Organization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M. Ramos-Izquierdo</dc:creator>
  <cp:keywords/>
  <dc:description/>
  <cp:lastModifiedBy>Eyasu M. Yilma</cp:lastModifiedBy>
  <cp:revision/>
  <dcterms:created xsi:type="dcterms:W3CDTF">1998-09-29T01:49:53Z</dcterms:created>
  <dcterms:modified xsi:type="dcterms:W3CDTF">2024-01-22T17:33:00Z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0x0101005D43C6E52B0A0940A745E860ECC58F5E</vt:lpwstr>
  </property>
</Properties>
</file>