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yasu\Data Analytic Boot Camp\Module 24 Additional Resources\mjuf_om_costshare\mjuf\users_flow_data\"/>
    </mc:Choice>
  </mc:AlternateContent>
  <xr:revisionPtr revIDLastSave="0" documentId="13_ncr:1_{6DAD919E-4D2F-4A2C-945B-983D86C2AC1C}" xr6:coauthVersionLast="47" xr6:coauthVersionMax="47" xr10:uidLastSave="{00000000-0000-0000-0000-000000000000}"/>
  <bookViews>
    <workbookView xWindow="-110" yWindow="-110" windowWidth="19420" windowHeight="11500" tabRatio="529" firstSheet="7" activeTab="7" xr2:uid="{00000000-000D-0000-FFFF-FFFF00000000}"/>
  </bookViews>
  <sheets>
    <sheet name="Sheet2 (2)" sheetId="169" state="hidden" r:id="rId1"/>
    <sheet name="RPT_FLOW_CHRT" sheetId="38" state="hidden" r:id="rId2"/>
    <sheet name="S.O.P." sheetId="39" state="hidden" r:id="rId3"/>
    <sheet name="YR_FLOW_RPT" sheetId="97" state="hidden" r:id="rId4"/>
    <sheet name="YR_HC_RPT" sheetId="98" state="hidden" r:id="rId5"/>
    <sheet name="WSSC_ALL" sheetId="1" r:id="rId6"/>
    <sheet name="Chart1" sheetId="163" state="hidden" r:id="rId7"/>
    <sheet name="VIENNA" sheetId="5" r:id="rId8"/>
    <sheet name="Flow Ratios" sheetId="153" state="hidden" r:id="rId9"/>
    <sheet name="Sheet1" sheetId="156" state="hidden" r:id="rId10"/>
    <sheet name="Fairfax Charts" sheetId="166" state="hidden" r:id="rId11"/>
    <sheet name="Sheet2" sheetId="167" state="hidden" r:id="rId12"/>
  </sheets>
  <definedNames>
    <definedName name="_xlnm._FilterDatabase" localSheetId="7" hidden="1">VIENNA!$A$1:$E$958</definedName>
    <definedName name="_xlnm.Print_Area" localSheetId="8">'Flow Ratios'!$A$1:$J$29</definedName>
    <definedName name="_xlnm.Print_Area" localSheetId="1">RPT_FLOW_CHRT!$A$1:$AB$64</definedName>
    <definedName name="_xlnm.Print_Area" localSheetId="2">'S.O.P.'!$A$1:$J$77</definedName>
    <definedName name="_xlnm.Print_Area" localSheetId="5">WSSC_ALL!$A$65:$EB$91</definedName>
    <definedName name="_xlnm.Print_Area" localSheetId="3">YR_FLOW_RPT!$A$7:$M$191</definedName>
    <definedName name="_xlnm.Print_Area" localSheetId="4">YR_HC_RPT!$A$1:$S$161</definedName>
    <definedName name="_xlnm.Print_Titles" localSheetId="5">WSSC_ALL!$A:$B,WSSC_ALL!$1:$3</definedName>
    <definedName name="_xlnm.Print_Titles" localSheetId="3">YR_FLOW_RPT!$1:$6</definedName>
    <definedName name="_xlnm.Print_Titles" localSheetId="4">YR_HC_RPT!$1:$5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6" i="1" l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182" i="1"/>
  <c r="F187" i="1"/>
  <c r="DT316" i="1" l="1"/>
  <c r="DS316" i="1"/>
  <c r="DR316" i="1" s="1"/>
  <c r="DI316" i="1"/>
  <c r="DH316" i="1" s="1"/>
  <c r="DN316" i="1" l="1"/>
  <c r="DM316" i="1" l="1"/>
  <c r="DX316" i="1"/>
  <c r="DW316" i="1" s="1"/>
  <c r="DT315" i="1" l="1"/>
  <c r="DS315" i="1"/>
  <c r="DR315" i="1" s="1"/>
  <c r="DI315" i="1"/>
  <c r="DH315" i="1" s="1"/>
  <c r="DN315" i="1" l="1"/>
  <c r="DX315" i="1" s="1"/>
  <c r="DW315" i="1" s="1"/>
  <c r="DT314" i="1"/>
  <c r="DS314" i="1"/>
  <c r="DR314" i="1" s="1"/>
  <c r="DI314" i="1"/>
  <c r="DN314" i="1" s="1"/>
  <c r="DM315" i="1" l="1"/>
  <c r="DH314" i="1"/>
  <c r="DM314" i="1"/>
  <c r="DX314" i="1"/>
  <c r="DW314" i="1" l="1"/>
  <c r="DT313" i="1" l="1"/>
  <c r="DS313" i="1"/>
  <c r="DR313" i="1" s="1"/>
  <c r="DI313" i="1"/>
  <c r="DN313" i="1" s="1"/>
  <c r="DH313" i="1" l="1"/>
  <c r="DM313" i="1"/>
  <c r="DX313" i="1"/>
  <c r="DW313" i="1" l="1"/>
  <c r="DT312" i="1" l="1"/>
  <c r="DS312" i="1"/>
  <c r="DR312" i="1" s="1"/>
  <c r="DI312" i="1"/>
  <c r="DH312" i="1" s="1"/>
  <c r="DN312" i="1" l="1"/>
  <c r="DM312" i="1" l="1"/>
  <c r="DX312" i="1"/>
  <c r="DW312" i="1" l="1"/>
  <c r="DT311" i="1" l="1"/>
  <c r="DS311" i="1"/>
  <c r="DR311" i="1" s="1"/>
  <c r="DI311" i="1"/>
  <c r="DH311" i="1" s="1"/>
  <c r="DN311" i="1" l="1"/>
  <c r="DM311" i="1" l="1"/>
  <c r="DX311" i="1"/>
  <c r="DW311" i="1" l="1"/>
  <c r="DT310" i="1"/>
  <c r="DS310" i="1"/>
  <c r="DR310" i="1" s="1"/>
  <c r="DI310" i="1"/>
  <c r="DH310" i="1" s="1"/>
  <c r="DN310" i="1" l="1"/>
  <c r="DM310" i="1" l="1"/>
  <c r="DX310" i="1"/>
  <c r="DW310" i="1" l="1"/>
  <c r="DT309" i="1" l="1"/>
  <c r="DS309" i="1"/>
  <c r="DR309" i="1" s="1"/>
  <c r="DI309" i="1"/>
  <c r="DH309" i="1" s="1"/>
  <c r="DN309" i="1" l="1"/>
  <c r="DM309" i="1" l="1"/>
  <c r="DX309" i="1"/>
  <c r="DT308" i="1"/>
  <c r="DS308" i="1"/>
  <c r="DR308" i="1" s="1"/>
  <c r="DI308" i="1"/>
  <c r="DH308" i="1" s="1"/>
  <c r="DW309" i="1" l="1"/>
  <c r="DN308" i="1"/>
  <c r="DM308" i="1" l="1"/>
  <c r="DX308" i="1"/>
  <c r="DW308" i="1" l="1"/>
  <c r="DT307" i="1" l="1"/>
  <c r="DS307" i="1"/>
  <c r="DR307" i="1" s="1"/>
  <c r="DI307" i="1"/>
  <c r="DH307" i="1" s="1"/>
  <c r="DN307" i="1" l="1"/>
  <c r="DT306" i="1"/>
  <c r="DS305" i="1"/>
  <c r="DS306" i="1"/>
  <c r="DR306" i="1" s="1"/>
  <c r="DI306" i="1"/>
  <c r="DH306" i="1" s="1"/>
  <c r="DM307" i="1" l="1"/>
  <c r="DX307" i="1"/>
  <c r="DN306" i="1"/>
  <c r="DT302" i="1"/>
  <c r="DT303" i="1"/>
  <c r="DT304" i="1"/>
  <c r="DT305" i="1"/>
  <c r="DR305" i="1"/>
  <c r="DS302" i="1"/>
  <c r="DR302" i="1" s="1"/>
  <c r="DS303" i="1"/>
  <c r="DR303" i="1" s="1"/>
  <c r="DS304" i="1"/>
  <c r="DR304" i="1" s="1"/>
  <c r="DI299" i="1"/>
  <c r="DI300" i="1"/>
  <c r="DI301" i="1"/>
  <c r="DI302" i="1"/>
  <c r="DI303" i="1"/>
  <c r="DI304" i="1"/>
  <c r="DI305" i="1"/>
  <c r="DJ316" i="1" s="1"/>
  <c r="DN304" i="1" l="1"/>
  <c r="DJ315" i="1"/>
  <c r="DN303" i="1"/>
  <c r="DM303" i="1" s="1"/>
  <c r="DJ314" i="1"/>
  <c r="DH302" i="1"/>
  <c r="DJ313" i="1"/>
  <c r="DH301" i="1"/>
  <c r="DJ312" i="1"/>
  <c r="DH300" i="1"/>
  <c r="DJ311" i="1"/>
  <c r="DH299" i="1"/>
  <c r="DJ310" i="1"/>
  <c r="DW307" i="1"/>
  <c r="DH305" i="1"/>
  <c r="DN305" i="1"/>
  <c r="DO316" i="1" s="1"/>
  <c r="DH304" i="1"/>
  <c r="DN302" i="1"/>
  <c r="DH303" i="1"/>
  <c r="DX306" i="1"/>
  <c r="DM306" i="1"/>
  <c r="DX303" i="1" l="1"/>
  <c r="DW303" i="1" s="1"/>
  <c r="DO313" i="1"/>
  <c r="DO315" i="1"/>
  <c r="DX304" i="1"/>
  <c r="DM304" i="1"/>
  <c r="DO314" i="1"/>
  <c r="DX302" i="1"/>
  <c r="DM302" i="1"/>
  <c r="DX305" i="1"/>
  <c r="DY316" i="1" s="1"/>
  <c r="DM305" i="1"/>
  <c r="DW306" i="1"/>
  <c r="DW304" i="1" l="1"/>
  <c r="DY315" i="1"/>
  <c r="DY314" i="1"/>
  <c r="DW302" i="1"/>
  <c r="DY313" i="1"/>
  <c r="DW305" i="1"/>
  <c r="DT301" i="1" l="1"/>
  <c r="DS301" i="1"/>
  <c r="DR301" i="1" s="1"/>
  <c r="DN301" i="1"/>
  <c r="DM301" i="1" l="1"/>
  <c r="DO312" i="1"/>
  <c r="DX301" i="1"/>
  <c r="DY312" i="1" s="1"/>
  <c r="DW301" i="1" l="1"/>
  <c r="DT300" i="1" l="1"/>
  <c r="DS300" i="1"/>
  <c r="DR300" i="1" s="1"/>
  <c r="DN300" i="1"/>
  <c r="DM300" i="1" l="1"/>
  <c r="DO311" i="1"/>
  <c r="DX300" i="1"/>
  <c r="DY311" i="1" s="1"/>
  <c r="DW300" i="1" l="1"/>
  <c r="DT299" i="1"/>
  <c r="DS299" i="1"/>
  <c r="DR299" i="1" s="1"/>
  <c r="DN299" i="1"/>
  <c r="DM299" i="1" l="1"/>
  <c r="DO310" i="1"/>
  <c r="DX299" i="1"/>
  <c r="DY310" i="1" s="1"/>
  <c r="DS298" i="1"/>
  <c r="DR298" i="1" s="1"/>
  <c r="DT298" i="1"/>
  <c r="DI296" i="1"/>
  <c r="DI297" i="1"/>
  <c r="DI298" i="1"/>
  <c r="DH298" i="1" l="1"/>
  <c r="DJ309" i="1"/>
  <c r="DH297" i="1"/>
  <c r="DJ308" i="1"/>
  <c r="DH296" i="1"/>
  <c r="DJ307" i="1"/>
  <c r="DW299" i="1"/>
  <c r="DN298" i="1"/>
  <c r="DO309" i="1" s="1"/>
  <c r="DT297" i="1"/>
  <c r="DS297" i="1"/>
  <c r="DR297" i="1" s="1"/>
  <c r="DN297" i="1"/>
  <c r="DM297" i="1" l="1"/>
  <c r="DO308" i="1"/>
  <c r="DX297" i="1"/>
  <c r="DM298" i="1"/>
  <c r="DX298" i="1"/>
  <c r="DY309" i="1" s="1"/>
  <c r="DY308" i="1" l="1"/>
  <c r="DW298" i="1"/>
  <c r="DW297" i="1"/>
  <c r="DS296" i="1"/>
  <c r="DR296" i="1" s="1"/>
  <c r="DT296" i="1"/>
  <c r="DN296" i="1"/>
  <c r="DO307" i="1" s="1"/>
  <c r="DX296" i="1" l="1"/>
  <c r="DY307" i="1" s="1"/>
  <c r="DM296" i="1"/>
  <c r="DW296" i="1" l="1"/>
  <c r="J162" i="153" l="1"/>
  <c r="J163" i="153"/>
  <c r="K163" i="153" l="1"/>
  <c r="DT295" i="1" l="1"/>
  <c r="DS295" i="1"/>
  <c r="DR295" i="1" s="1"/>
  <c r="DI295" i="1"/>
  <c r="DH295" i="1" l="1"/>
  <c r="DJ306" i="1"/>
  <c r="E163" i="153"/>
  <c r="G163" i="153"/>
  <c r="DN295" i="1"/>
  <c r="DO306" i="1" s="1"/>
  <c r="F163" i="153"/>
  <c r="D163" i="153" l="1"/>
  <c r="DX295" i="1"/>
  <c r="DY306" i="1" s="1"/>
  <c r="DM295" i="1"/>
  <c r="K162" i="153"/>
  <c r="G162" i="153" l="1"/>
  <c r="E162" i="153"/>
  <c r="DW295" i="1"/>
  <c r="DT294" i="1"/>
  <c r="DS294" i="1"/>
  <c r="DR294" i="1" s="1"/>
  <c r="DI294" i="1"/>
  <c r="DH294" i="1" l="1"/>
  <c r="DJ305" i="1"/>
  <c r="D162" i="153"/>
  <c r="DN294" i="1"/>
  <c r="C163" i="153"/>
  <c r="J161" i="153"/>
  <c r="F162" i="153" l="1"/>
  <c r="DM294" i="1"/>
  <c r="DO305" i="1"/>
  <c r="DX294" i="1"/>
  <c r="H163" i="153"/>
  <c r="L163" i="153"/>
  <c r="DT293" i="1"/>
  <c r="DS293" i="1"/>
  <c r="DR293" i="1" s="1"/>
  <c r="DI293" i="1"/>
  <c r="K161" i="153"/>
  <c r="DW294" i="1" l="1"/>
  <c r="DY305" i="1"/>
  <c r="DH293" i="1"/>
  <c r="DJ304" i="1"/>
  <c r="C162" i="153"/>
  <c r="DN293" i="1"/>
  <c r="DO304" i="1" s="1"/>
  <c r="G161" i="153" l="1"/>
  <c r="L162" i="153"/>
  <c r="H162" i="153"/>
  <c r="DM293" i="1"/>
  <c r="DX293" i="1"/>
  <c r="DY304" i="1" s="1"/>
  <c r="D161" i="153" l="1"/>
  <c r="E161" i="153"/>
  <c r="DW293" i="1"/>
  <c r="J160" i="153"/>
  <c r="F161" i="153" l="1"/>
  <c r="C161" i="153"/>
  <c r="F160" i="153"/>
  <c r="D160" i="153" l="1"/>
  <c r="L161" i="153"/>
  <c r="H161" i="153"/>
  <c r="DT292" i="1"/>
  <c r="DS292" i="1"/>
  <c r="DR292" i="1" s="1"/>
  <c r="DI292" i="1"/>
  <c r="G160" i="153" l="1"/>
  <c r="DH292" i="1"/>
  <c r="DJ303" i="1"/>
  <c r="DN292" i="1"/>
  <c r="K160" i="153"/>
  <c r="J159" i="153"/>
  <c r="DM292" i="1" l="1"/>
  <c r="DO303" i="1"/>
  <c r="DX292" i="1"/>
  <c r="DW292" i="1" l="1"/>
  <c r="DY303" i="1"/>
  <c r="E160" i="153"/>
  <c r="DS291" i="1"/>
  <c r="DR291" i="1" s="1"/>
  <c r="DT291" i="1"/>
  <c r="DI291" i="1"/>
  <c r="DH291" i="1" l="1"/>
  <c r="DJ302" i="1"/>
  <c r="C160" i="153"/>
  <c r="DN291" i="1"/>
  <c r="K159" i="153"/>
  <c r="H160" i="153" l="1"/>
  <c r="DM291" i="1"/>
  <c r="DO302" i="1"/>
  <c r="L160" i="153"/>
  <c r="G159" i="153"/>
  <c r="F159" i="153"/>
  <c r="DX291" i="1"/>
  <c r="D159" i="153"/>
  <c r="DW291" i="1" l="1"/>
  <c r="DY302" i="1"/>
  <c r="E159" i="153"/>
  <c r="C159" i="153" l="1"/>
  <c r="H159" i="153"/>
  <c r="L159" i="153"/>
  <c r="J156" i="153" l="1"/>
  <c r="J157" i="153"/>
  <c r="D158" i="153"/>
  <c r="F158" i="153"/>
  <c r="J158" i="153"/>
  <c r="K158" i="153" l="1"/>
  <c r="E158" i="153" l="1"/>
  <c r="G158" i="153"/>
  <c r="DT290" i="1"/>
  <c r="DS290" i="1"/>
  <c r="DR290" i="1" s="1"/>
  <c r="DI290" i="1"/>
  <c r="DN290" i="1" l="1"/>
  <c r="DO301" i="1" s="1"/>
  <c r="DJ301" i="1"/>
  <c r="DH290" i="1"/>
  <c r="DX290" i="1" l="1"/>
  <c r="DY301" i="1" s="1"/>
  <c r="DM290" i="1"/>
  <c r="DW290" i="1" l="1"/>
  <c r="C158" i="153"/>
  <c r="H158" i="153" l="1"/>
  <c r="L158" i="153"/>
  <c r="K157" i="153"/>
  <c r="G157" i="153" l="1"/>
  <c r="DT289" i="1"/>
  <c r="DS289" i="1"/>
  <c r="DR289" i="1" s="1"/>
  <c r="DI289" i="1"/>
  <c r="DH289" i="1" l="1"/>
  <c r="DJ300" i="1"/>
  <c r="E157" i="153"/>
  <c r="D157" i="153"/>
  <c r="DN289" i="1"/>
  <c r="DO300" i="1" s="1"/>
  <c r="F157" i="153" l="1"/>
  <c r="DM289" i="1"/>
  <c r="DX289" i="1"/>
  <c r="DY300" i="1" s="1"/>
  <c r="K156" i="153"/>
  <c r="J155" i="153"/>
  <c r="DT288" i="1"/>
  <c r="DS288" i="1"/>
  <c r="DR288" i="1" s="1"/>
  <c r="DI288" i="1"/>
  <c r="DH288" i="1" l="1"/>
  <c r="DJ299" i="1"/>
  <c r="D156" i="153"/>
  <c r="F156" i="153"/>
  <c r="DW289" i="1"/>
  <c r="DN288" i="1"/>
  <c r="DO299" i="1" s="1"/>
  <c r="C157" i="153" l="1"/>
  <c r="DM288" i="1"/>
  <c r="DX288" i="1"/>
  <c r="DY299" i="1" s="1"/>
  <c r="G156" i="153" l="1"/>
  <c r="E156" i="153"/>
  <c r="L157" i="153"/>
  <c r="H157" i="153"/>
  <c r="DW288" i="1"/>
  <c r="D155" i="153" l="1"/>
  <c r="C156" i="153"/>
  <c r="G155" i="153"/>
  <c r="F155" i="153"/>
  <c r="K155" i="153"/>
  <c r="DT287" i="1"/>
  <c r="DS287" i="1"/>
  <c r="DR287" i="1" s="1"/>
  <c r="DI287" i="1"/>
  <c r="DH287" i="1" l="1"/>
  <c r="DJ298" i="1"/>
  <c r="L156" i="153"/>
  <c r="H156" i="153"/>
  <c r="DN287" i="1"/>
  <c r="J154" i="153"/>
  <c r="E155" i="153" l="1"/>
  <c r="DM287" i="1"/>
  <c r="DO298" i="1"/>
  <c r="DX287" i="1"/>
  <c r="DY298" i="1" l="1"/>
  <c r="DW287" i="1"/>
  <c r="C155" i="153"/>
  <c r="H155" i="153" l="1"/>
  <c r="L155" i="153"/>
  <c r="K154" i="153"/>
  <c r="G154" i="153" l="1"/>
  <c r="DT286" i="1"/>
  <c r="DS286" i="1"/>
  <c r="DR286" i="1" s="1"/>
  <c r="DI286" i="1"/>
  <c r="J153" i="153"/>
  <c r="F154" i="153" l="1"/>
  <c r="D153" i="153"/>
  <c r="D154" i="153"/>
  <c r="DH286" i="1"/>
  <c r="DJ297" i="1"/>
  <c r="DN286" i="1"/>
  <c r="K153" i="153"/>
  <c r="E154" i="153" l="1"/>
  <c r="DM286" i="1"/>
  <c r="DO297" i="1"/>
  <c r="DX286" i="1"/>
  <c r="DY297" i="1" s="1"/>
  <c r="DW286" i="1" l="1"/>
  <c r="DT285" i="1"/>
  <c r="DS285" i="1"/>
  <c r="DR285" i="1" s="1"/>
  <c r="DI285" i="1"/>
  <c r="C154" i="153" l="1"/>
  <c r="E153" i="153"/>
  <c r="DH285" i="1"/>
  <c r="DJ296" i="1"/>
  <c r="G153" i="153"/>
  <c r="F153" i="153"/>
  <c r="DN285" i="1"/>
  <c r="DX285" i="1" s="1"/>
  <c r="DY296" i="1" s="1"/>
  <c r="J152" i="153"/>
  <c r="L154" i="153" l="1"/>
  <c r="H154" i="153"/>
  <c r="DM285" i="1"/>
  <c r="DO296" i="1"/>
  <c r="F152" i="153"/>
  <c r="DW285" i="1"/>
  <c r="C153" i="153" l="1"/>
  <c r="L153" i="153" l="1"/>
  <c r="H153" i="153"/>
  <c r="K152" i="153" l="1"/>
  <c r="G152" i="153" l="1"/>
  <c r="D152" i="153"/>
  <c r="DT284" i="1"/>
  <c r="DS284" i="1"/>
  <c r="DR284" i="1" s="1"/>
  <c r="DI284" i="1"/>
  <c r="DN284" i="1" l="1"/>
  <c r="DO295" i="1" s="1"/>
  <c r="DJ295" i="1"/>
  <c r="DH284" i="1"/>
  <c r="J151" i="153"/>
  <c r="DM284" i="1" l="1"/>
  <c r="DX284" i="1"/>
  <c r="DY295" i="1" s="1"/>
  <c r="E152" i="153"/>
  <c r="DW284" i="1" l="1"/>
  <c r="K151" i="153"/>
  <c r="C152" i="153" l="1"/>
  <c r="H152" i="153"/>
  <c r="L152" i="153"/>
  <c r="DT283" i="1"/>
  <c r="DS283" i="1"/>
  <c r="DR283" i="1" s="1"/>
  <c r="DI283" i="1"/>
  <c r="F151" i="153" l="1"/>
  <c r="DH283" i="1"/>
  <c r="DJ294" i="1"/>
  <c r="DN283" i="1"/>
  <c r="DO294" i="1" s="1"/>
  <c r="D151" i="153" l="1"/>
  <c r="DM283" i="1"/>
  <c r="DX283" i="1"/>
  <c r="DY294" i="1" s="1"/>
  <c r="E151" i="153" l="1"/>
  <c r="G151" i="153"/>
  <c r="DW283" i="1"/>
  <c r="C151" i="153" l="1"/>
  <c r="L151" i="153" l="1"/>
  <c r="H151" i="153"/>
  <c r="J150" i="153" l="1"/>
  <c r="K150" i="153"/>
  <c r="F150" i="153" l="1"/>
  <c r="G150" i="153"/>
  <c r="DT282" i="1"/>
  <c r="DS282" i="1"/>
  <c r="DR282" i="1" s="1"/>
  <c r="DI282" i="1"/>
  <c r="E150" i="153" l="1"/>
  <c r="DH282" i="1"/>
  <c r="DJ293" i="1"/>
  <c r="DN282" i="1"/>
  <c r="J149" i="153"/>
  <c r="I149" i="153"/>
  <c r="D150" i="153" l="1"/>
  <c r="DM282" i="1"/>
  <c r="DO293" i="1"/>
  <c r="DX282" i="1"/>
  <c r="DW282" i="1" l="1"/>
  <c r="DY293" i="1"/>
  <c r="C150" i="153" l="1"/>
  <c r="K149" i="153"/>
  <c r="H150" i="153" l="1"/>
  <c r="L150" i="153"/>
  <c r="DT281" i="1"/>
  <c r="DS281" i="1"/>
  <c r="DR281" i="1" s="1"/>
  <c r="DI281" i="1"/>
  <c r="D149" i="153" l="1"/>
  <c r="E149" i="153"/>
  <c r="DH281" i="1"/>
  <c r="DJ292" i="1"/>
  <c r="G149" i="153"/>
  <c r="DN281" i="1"/>
  <c r="DO292" i="1" s="1"/>
  <c r="J148" i="153"/>
  <c r="DM281" i="1" l="1"/>
  <c r="DX281" i="1"/>
  <c r="DY292" i="1" s="1"/>
  <c r="DW281" i="1" l="1"/>
  <c r="C149" i="153" l="1"/>
  <c r="F148" i="153" l="1"/>
  <c r="DT280" i="1"/>
  <c r="DS280" i="1"/>
  <c r="DR280" i="1" s="1"/>
  <c r="DI280" i="1"/>
  <c r="DN280" i="1" l="1"/>
  <c r="DO291" i="1" s="1"/>
  <c r="DJ291" i="1"/>
  <c r="DH280" i="1"/>
  <c r="DX280" i="1" l="1"/>
  <c r="DY291" i="1" s="1"/>
  <c r="DM280" i="1"/>
  <c r="DW280" i="1" l="1"/>
  <c r="K148" i="153"/>
  <c r="E148" i="153" l="1"/>
  <c r="C148" i="153"/>
  <c r="J147" i="153" l="1"/>
  <c r="H148" i="153" l="1"/>
  <c r="G148" i="153"/>
  <c r="D148" i="153" l="1"/>
  <c r="L148" i="153"/>
  <c r="K147" i="153" l="1"/>
  <c r="K21" i="167" l="1"/>
  <c r="G147" i="153" l="1"/>
  <c r="D147" i="153" l="1"/>
  <c r="DT279" i="1" l="1"/>
  <c r="DS279" i="1"/>
  <c r="DR279" i="1" s="1"/>
  <c r="DI279" i="1"/>
  <c r="F147" i="153" l="1"/>
  <c r="DH279" i="1"/>
  <c r="DJ290" i="1"/>
  <c r="DN279" i="1"/>
  <c r="DO290" i="1" s="1"/>
  <c r="E147" i="153" l="1"/>
  <c r="DM279" i="1"/>
  <c r="DX279" i="1"/>
  <c r="DY290" i="1" s="1"/>
  <c r="J146" i="153"/>
  <c r="I146" i="153"/>
  <c r="F146" i="153" l="1"/>
  <c r="DW279" i="1"/>
  <c r="C147" i="153" l="1"/>
  <c r="DT278" i="1"/>
  <c r="DS278" i="1"/>
  <c r="DR278" i="1" s="1"/>
  <c r="DI278" i="1"/>
  <c r="DH278" i="1" l="1"/>
  <c r="DJ289" i="1"/>
  <c r="DN278" i="1"/>
  <c r="DO289" i="1" s="1"/>
  <c r="L147" i="153"/>
  <c r="H147" i="153"/>
  <c r="K146" i="153"/>
  <c r="G146" i="153" l="1"/>
  <c r="DM278" i="1"/>
  <c r="DX278" i="1"/>
  <c r="DY289" i="1" s="1"/>
  <c r="D146" i="153" l="1"/>
  <c r="DW278" i="1"/>
  <c r="E146" i="153" l="1"/>
  <c r="C146" i="153"/>
  <c r="J144" i="153"/>
  <c r="J145" i="153"/>
  <c r="H146" i="153" l="1"/>
  <c r="L146" i="153"/>
  <c r="K145" i="153" l="1"/>
  <c r="E145" i="153" l="1"/>
  <c r="D145" i="153"/>
  <c r="DS277" i="1"/>
  <c r="DR277" i="1" s="1"/>
  <c r="DT277" i="1"/>
  <c r="DI277" i="1"/>
  <c r="DH277" i="1" l="1"/>
  <c r="DJ288" i="1"/>
  <c r="DN277" i="1"/>
  <c r="F145" i="153" l="1"/>
  <c r="DX277" i="1"/>
  <c r="DY288" i="1" s="1"/>
  <c r="DO288" i="1"/>
  <c r="DM277" i="1"/>
  <c r="G145" i="153"/>
  <c r="DW277" i="1" l="1"/>
  <c r="C145" i="153"/>
  <c r="H145" i="153" l="1"/>
  <c r="L145" i="153"/>
  <c r="K144" i="153" l="1"/>
  <c r="E144" i="153" l="1"/>
  <c r="G144" i="153"/>
  <c r="DS276" i="1"/>
  <c r="DR276" i="1" s="1"/>
  <c r="DT276" i="1"/>
  <c r="DM273" i="1"/>
  <c r="DI276" i="1"/>
  <c r="DH273" i="1"/>
  <c r="D144" i="153" l="1"/>
  <c r="DN276" i="1"/>
  <c r="DO287" i="1" s="1"/>
  <c r="DJ287" i="1"/>
  <c r="F144" i="153"/>
  <c r="DH276" i="1"/>
  <c r="J143" i="153"/>
  <c r="DX276" i="1" l="1"/>
  <c r="DY287" i="1" s="1"/>
  <c r="DM276" i="1"/>
  <c r="DW276" i="1" l="1"/>
  <c r="C144" i="153"/>
  <c r="K143" i="153"/>
  <c r="H144" i="153" l="1"/>
  <c r="L144" i="153"/>
  <c r="DS275" i="1"/>
  <c r="DR275" i="1" s="1"/>
  <c r="DT275" i="1"/>
  <c r="DI275" i="1"/>
  <c r="DJ286" i="1" s="1"/>
  <c r="AF275" i="1"/>
  <c r="AC275" i="1"/>
  <c r="AD275" i="1" s="1"/>
  <c r="DH275" i="1" l="1"/>
  <c r="F143" i="153"/>
  <c r="G143" i="153"/>
  <c r="DN275" i="1"/>
  <c r="AE275" i="1"/>
  <c r="E143" i="153" l="1"/>
  <c r="DM275" i="1"/>
  <c r="DO286" i="1"/>
  <c r="DX275" i="1"/>
  <c r="DY286" i="1" s="1"/>
  <c r="D143" i="153" l="1"/>
  <c r="DW275" i="1"/>
  <c r="C143" i="153" l="1"/>
  <c r="K142" i="153"/>
  <c r="DI274" i="1"/>
  <c r="DJ285" i="1" s="1"/>
  <c r="DS274" i="1"/>
  <c r="DR274" i="1" s="1"/>
  <c r="DT274" i="1"/>
  <c r="L143" i="153" l="1"/>
  <c r="F142" i="153"/>
  <c r="DH274" i="1"/>
  <c r="DJ284" i="1"/>
  <c r="DN274" i="1"/>
  <c r="H143" i="153"/>
  <c r="D142" i="153"/>
  <c r="G142" i="153" l="1"/>
  <c r="DO284" i="1"/>
  <c r="DO285" i="1"/>
  <c r="DM274" i="1"/>
  <c r="DX274" i="1"/>
  <c r="J141" i="153"/>
  <c r="E142" i="153" l="1"/>
  <c r="DY284" i="1"/>
  <c r="DY285" i="1"/>
  <c r="DW274" i="1"/>
  <c r="G141" i="153" l="1"/>
  <c r="C142" i="153"/>
  <c r="L142" i="153" l="1"/>
  <c r="H142" i="153"/>
  <c r="E141" i="153" l="1"/>
  <c r="K141" i="153"/>
  <c r="F141" i="153"/>
  <c r="D141" i="153" l="1"/>
  <c r="J140" i="153"/>
  <c r="G140" i="153" l="1"/>
  <c r="C141" i="153"/>
  <c r="L141" i="153" l="1"/>
  <c r="H141" i="153"/>
  <c r="K140" i="153" l="1"/>
  <c r="F140" i="153" l="1"/>
  <c r="E140" i="153"/>
  <c r="DS272" i="1" l="1"/>
  <c r="DR272" i="1" s="1"/>
  <c r="DI272" i="1"/>
  <c r="DJ283" i="1" s="1"/>
  <c r="D140" i="153" l="1"/>
  <c r="DH272" i="1"/>
  <c r="DN272" i="1"/>
  <c r="DO283" i="1" s="1"/>
  <c r="J138" i="153"/>
  <c r="J139" i="153"/>
  <c r="J137" i="153"/>
  <c r="DX272" i="1" l="1"/>
  <c r="DY283" i="1" s="1"/>
  <c r="DM272" i="1"/>
  <c r="DT272" i="1"/>
  <c r="DW272" i="1" l="1"/>
  <c r="C140" i="153" l="1"/>
  <c r="L140" i="153" l="1"/>
  <c r="H140" i="153"/>
  <c r="K137" i="153"/>
  <c r="K138" i="153"/>
  <c r="K139" i="153"/>
  <c r="D137" i="153" l="1"/>
  <c r="D138" i="153"/>
  <c r="F137" i="153"/>
  <c r="E139" i="153"/>
  <c r="F138" i="153"/>
  <c r="DS269" i="1"/>
  <c r="DR269" i="1" s="1"/>
  <c r="DT269" i="1"/>
  <c r="DS270" i="1"/>
  <c r="DR270" i="1" s="1"/>
  <c r="DT270" i="1"/>
  <c r="DS271" i="1"/>
  <c r="DR271" i="1" s="1"/>
  <c r="DT271" i="1"/>
  <c r="DI269" i="1"/>
  <c r="DI270" i="1"/>
  <c r="DI271" i="1"/>
  <c r="DJ282" i="1" s="1"/>
  <c r="DH270" i="1" l="1"/>
  <c r="DJ281" i="1"/>
  <c r="DN269" i="1"/>
  <c r="DX269" i="1" s="1"/>
  <c r="DJ280" i="1"/>
  <c r="DN270" i="1"/>
  <c r="DX270" i="1" s="1"/>
  <c r="E138" i="153"/>
  <c r="E137" i="153"/>
  <c r="DH269" i="1"/>
  <c r="DH271" i="1"/>
  <c r="DN271" i="1"/>
  <c r="DO282" i="1" s="1"/>
  <c r="D139" i="153" l="1"/>
  <c r="DO280" i="1"/>
  <c r="DM269" i="1"/>
  <c r="DM270" i="1"/>
  <c r="DO281" i="1"/>
  <c r="DW270" i="1"/>
  <c r="DW269" i="1"/>
  <c r="DM271" i="1"/>
  <c r="DX271" i="1"/>
  <c r="DY282" i="1" s="1"/>
  <c r="DY281" i="1" l="1"/>
  <c r="DY280" i="1"/>
  <c r="F139" i="153"/>
  <c r="G137" i="153"/>
  <c r="C137" i="153"/>
  <c r="DW271" i="1"/>
  <c r="C138" i="153"/>
  <c r="G139" i="153" l="1"/>
  <c r="L137" i="153"/>
  <c r="L138" i="153"/>
  <c r="G138" i="153"/>
  <c r="C139" i="153"/>
  <c r="H137" i="153" l="1"/>
  <c r="H138" i="153"/>
  <c r="L139" i="153"/>
  <c r="H139" i="153"/>
  <c r="K135" i="153" l="1"/>
  <c r="K136" i="153" l="1"/>
  <c r="E135" i="153" l="1"/>
  <c r="E136" i="153"/>
  <c r="DI267" i="1"/>
  <c r="DN267" i="1" s="1"/>
  <c r="DS267" i="1"/>
  <c r="DR267" i="1" s="1"/>
  <c r="DT267" i="1"/>
  <c r="DI268" i="1"/>
  <c r="DN268" i="1" s="1"/>
  <c r="DS268" i="1"/>
  <c r="DR268" i="1" s="1"/>
  <c r="DT268" i="1"/>
  <c r="DM268" i="1" l="1"/>
  <c r="DO279" i="1"/>
  <c r="DM267" i="1"/>
  <c r="DO278" i="1"/>
  <c r="DH268" i="1"/>
  <c r="DJ279" i="1"/>
  <c r="DH267" i="1"/>
  <c r="DJ278" i="1"/>
  <c r="DX268" i="1"/>
  <c r="DW268" i="1" s="1"/>
  <c r="DX267" i="1"/>
  <c r="DY278" i="1" l="1"/>
  <c r="DY279" i="1"/>
  <c r="DW267" i="1"/>
  <c r="C135" i="153" l="1"/>
  <c r="C136" i="153"/>
  <c r="G135" i="153" l="1"/>
  <c r="D136" i="153"/>
  <c r="D135" i="153"/>
  <c r="G136" i="153" l="1"/>
  <c r="B9" i="169"/>
  <c r="B9" i="167"/>
  <c r="L136" i="153" l="1"/>
  <c r="F136" i="153"/>
  <c r="L135" i="153"/>
  <c r="F135" i="153"/>
  <c r="K132" i="153"/>
  <c r="K133" i="153"/>
  <c r="H136" i="153" l="1"/>
  <c r="H135" i="153"/>
  <c r="K134" i="153"/>
  <c r="DI264" i="1" l="1"/>
  <c r="DS264" i="1"/>
  <c r="DR264" i="1" s="1"/>
  <c r="DT264" i="1"/>
  <c r="DI265" i="1"/>
  <c r="DS265" i="1"/>
  <c r="DR265" i="1" s="1"/>
  <c r="DT265" i="1"/>
  <c r="DI266" i="1"/>
  <c r="DS266" i="1"/>
  <c r="DR266" i="1" s="1"/>
  <c r="DT266" i="1"/>
  <c r="DH265" i="1" l="1"/>
  <c r="DJ276" i="1"/>
  <c r="DH266" i="1"/>
  <c r="DJ277" i="1"/>
  <c r="DH264" i="1"/>
  <c r="DJ275" i="1"/>
  <c r="DN266" i="1"/>
  <c r="DN265" i="1"/>
  <c r="DN264" i="1"/>
  <c r="DO276" i="1" l="1"/>
  <c r="DM266" i="1"/>
  <c r="DO277" i="1"/>
  <c r="DM264" i="1"/>
  <c r="DO275" i="1"/>
  <c r="DX266" i="1"/>
  <c r="DY277" i="1" s="1"/>
  <c r="DM265" i="1"/>
  <c r="DX265" i="1"/>
  <c r="DX264" i="1"/>
  <c r="DW265" i="1" l="1"/>
  <c r="DY276" i="1"/>
  <c r="DY275" i="1"/>
  <c r="DW264" i="1"/>
  <c r="DW266" i="1"/>
  <c r="C133" i="153" l="1"/>
  <c r="C134" i="153"/>
  <c r="C132" i="153"/>
  <c r="E133" i="153" l="1"/>
  <c r="F134" i="153"/>
  <c r="E134" i="153" l="1"/>
  <c r="E132" i="153" l="1"/>
  <c r="D134" i="153" l="1"/>
  <c r="D133" i="153"/>
  <c r="G132" i="153"/>
  <c r="D132" i="153" l="1"/>
  <c r="G133" i="153"/>
  <c r="G134" i="153"/>
  <c r="L134" i="153" l="1"/>
  <c r="F133" i="153"/>
  <c r="H134" i="153"/>
  <c r="L133" i="153" l="1"/>
  <c r="H133" i="153"/>
  <c r="K129" i="153"/>
  <c r="K130" i="153"/>
  <c r="K131" i="153" l="1"/>
  <c r="E131" i="153" l="1"/>
  <c r="F131" i="153"/>
  <c r="E130" i="153"/>
  <c r="F132" i="153" l="1"/>
  <c r="L132" i="153"/>
  <c r="D130" i="153"/>
  <c r="DS263" i="1"/>
  <c r="DR263" i="1" s="1"/>
  <c r="DT263" i="1"/>
  <c r="DI263" i="1"/>
  <c r="H132" i="153" l="1"/>
  <c r="DH263" i="1"/>
  <c r="DJ274" i="1"/>
  <c r="D131" i="153"/>
  <c r="D129" i="153"/>
  <c r="DN263" i="1"/>
  <c r="DM263" i="1" s="1"/>
  <c r="DS261" i="1"/>
  <c r="DR261" i="1" s="1"/>
  <c r="DT261" i="1"/>
  <c r="DS262" i="1"/>
  <c r="DR262" i="1" s="1"/>
  <c r="DT262" i="1"/>
  <c r="DI261" i="1"/>
  <c r="DI262" i="1"/>
  <c r="DN262" i="1" s="1"/>
  <c r="DM262" i="1" s="1"/>
  <c r="DX263" i="1" l="1"/>
  <c r="DY274" i="1" s="1"/>
  <c r="DO274" i="1"/>
  <c r="DN261" i="1"/>
  <c r="DJ272" i="1"/>
  <c r="DH261" i="1"/>
  <c r="DX262" i="1"/>
  <c r="DH262" i="1"/>
  <c r="C131" i="153" l="1"/>
  <c r="DW263" i="1"/>
  <c r="DM261" i="1"/>
  <c r="DO272" i="1"/>
  <c r="DX261" i="1"/>
  <c r="DY272" i="1" s="1"/>
  <c r="G130" i="153"/>
  <c r="DW262" i="1"/>
  <c r="F130" i="153" l="1"/>
  <c r="DW261" i="1"/>
  <c r="H131" i="153"/>
  <c r="G131" i="153"/>
  <c r="C130" i="153"/>
  <c r="L130" i="153" l="1"/>
  <c r="C129" i="153"/>
  <c r="F129" i="153"/>
  <c r="L131" i="153"/>
  <c r="H130" i="153" l="1"/>
  <c r="K128" i="153"/>
  <c r="E129" i="153" l="1"/>
  <c r="DS260" i="1" l="1"/>
  <c r="DR260" i="1" s="1"/>
  <c r="DT260" i="1"/>
  <c r="DI260" i="1"/>
  <c r="DN260" i="1" l="1"/>
  <c r="DX260" i="1" s="1"/>
  <c r="DY271" i="1" s="1"/>
  <c r="DJ271" i="1"/>
  <c r="DH260" i="1"/>
  <c r="G129" i="153" l="1"/>
  <c r="G128" i="153"/>
  <c r="E128" i="153"/>
  <c r="DM260" i="1"/>
  <c r="DO271" i="1"/>
  <c r="DW260" i="1"/>
  <c r="D128" i="153"/>
  <c r="L129" i="153" l="1"/>
  <c r="H129" i="153"/>
  <c r="C128" i="153"/>
  <c r="K125" i="153" l="1"/>
  <c r="K126" i="153"/>
  <c r="E126" i="153" l="1"/>
  <c r="E127" i="153" l="1"/>
  <c r="E125" i="153"/>
  <c r="DS257" i="1" l="1"/>
  <c r="DR257" i="1" s="1"/>
  <c r="DT257" i="1"/>
  <c r="DS258" i="1"/>
  <c r="DR258" i="1" s="1"/>
  <c r="DT258" i="1"/>
  <c r="DS259" i="1"/>
  <c r="DR259" i="1" s="1"/>
  <c r="DT259" i="1"/>
  <c r="DI257" i="1"/>
  <c r="DI258" i="1"/>
  <c r="DI259" i="1"/>
  <c r="DH258" i="1" l="1"/>
  <c r="DJ269" i="1"/>
  <c r="DH259" i="1"/>
  <c r="DJ270" i="1"/>
  <c r="DN257" i="1"/>
  <c r="DM257" i="1" s="1"/>
  <c r="DJ268" i="1"/>
  <c r="DN259" i="1"/>
  <c r="DN258" i="1"/>
  <c r="DH257" i="1"/>
  <c r="DX257" i="1" l="1"/>
  <c r="DW257" i="1" s="1"/>
  <c r="DM259" i="1"/>
  <c r="DO270" i="1"/>
  <c r="DM258" i="1"/>
  <c r="DO269" i="1"/>
  <c r="DX259" i="1"/>
  <c r="DO268" i="1"/>
  <c r="DX258" i="1"/>
  <c r="DW258" i="1" l="1"/>
  <c r="DY269" i="1"/>
  <c r="DW259" i="1"/>
  <c r="DY270" i="1"/>
  <c r="DY268" i="1"/>
  <c r="C125" i="153"/>
  <c r="C127" i="153"/>
  <c r="D126" i="153" l="1"/>
  <c r="C126" i="153"/>
  <c r="G126" i="153" l="1"/>
  <c r="F127" i="153"/>
  <c r="G127" i="153"/>
  <c r="L125" i="153"/>
  <c r="G125" i="153"/>
  <c r="F125" i="153"/>
  <c r="K127" i="153"/>
  <c r="D127" i="153" l="1"/>
  <c r="L127" i="153"/>
  <c r="D125" i="153"/>
  <c r="L126" i="153"/>
  <c r="F126" i="153"/>
  <c r="H125" i="153"/>
  <c r="AC229" i="1"/>
  <c r="AD229" i="1" s="1"/>
  <c r="AC230" i="1"/>
  <c r="AD230" i="1" s="1"/>
  <c r="AC231" i="1"/>
  <c r="AD231" i="1" s="1"/>
  <c r="AC232" i="1"/>
  <c r="AD232" i="1" s="1"/>
  <c r="AC234" i="1"/>
  <c r="AD234" i="1" s="1"/>
  <c r="AC236" i="1"/>
  <c r="AD236" i="1" s="1"/>
  <c r="AC237" i="1"/>
  <c r="AD237" i="1" s="1"/>
  <c r="AC239" i="1"/>
  <c r="AD239" i="1" s="1"/>
  <c r="AC240" i="1"/>
  <c r="AD240" i="1" s="1"/>
  <c r="AC241" i="1"/>
  <c r="AD241" i="1" s="1"/>
  <c r="AC242" i="1"/>
  <c r="AD242" i="1" s="1"/>
  <c r="AC243" i="1"/>
  <c r="AD243" i="1" s="1"/>
  <c r="AC244" i="1"/>
  <c r="AD244" i="1" s="1"/>
  <c r="AC245" i="1"/>
  <c r="AD245" i="1" s="1"/>
  <c r="AC228" i="1"/>
  <c r="AD228" i="1" s="1"/>
  <c r="Y245" i="1"/>
  <c r="Y244" i="1"/>
  <c r="Y243" i="1"/>
  <c r="Y242" i="1"/>
  <c r="Y241" i="1"/>
  <c r="Y240" i="1"/>
  <c r="Y239" i="1"/>
  <c r="X238" i="1"/>
  <c r="AC238" i="1" s="1"/>
  <c r="AD238" i="1" s="1"/>
  <c r="Y237" i="1"/>
  <c r="Y236" i="1"/>
  <c r="X235" i="1"/>
  <c r="Y235" i="1" s="1"/>
  <c r="Y234" i="1"/>
  <c r="X233" i="1"/>
  <c r="Y232" i="1"/>
  <c r="Y231" i="1"/>
  <c r="Y230" i="1"/>
  <c r="Y229" i="1"/>
  <c r="Y228" i="1"/>
  <c r="H126" i="153" l="1"/>
  <c r="H127" i="153"/>
  <c r="Y233" i="1"/>
  <c r="AC233" i="1"/>
  <c r="AD233" i="1" s="1"/>
  <c r="AE233" i="1" s="1"/>
  <c r="AE230" i="1"/>
  <c r="AC235" i="1"/>
  <c r="AD235" i="1" s="1"/>
  <c r="AE245" i="1" s="1"/>
  <c r="AE231" i="1"/>
  <c r="Y238" i="1"/>
  <c r="AE228" i="1"/>
  <c r="AE232" i="1"/>
  <c r="AE229" i="1"/>
  <c r="AE244" i="1" l="1"/>
  <c r="AE234" i="1"/>
  <c r="AE235" i="1"/>
  <c r="AE240" i="1"/>
  <c r="AE237" i="1"/>
  <c r="AE241" i="1"/>
  <c r="AE236" i="1"/>
  <c r="AE239" i="1"/>
  <c r="AE238" i="1"/>
  <c r="AE243" i="1"/>
  <c r="AE242" i="1"/>
  <c r="J121" i="153"/>
  <c r="J122" i="153"/>
  <c r="J123" i="153"/>
  <c r="J124" i="153"/>
  <c r="J120" i="153"/>
  <c r="K124" i="153" l="1"/>
  <c r="E124" i="153" l="1"/>
  <c r="DS256" i="1"/>
  <c r="DR256" i="1" s="1"/>
  <c r="DT256" i="1"/>
  <c r="DI256" i="1"/>
  <c r="DN256" i="1" s="1"/>
  <c r="G124" i="153" l="1"/>
  <c r="DM256" i="1"/>
  <c r="DJ267" i="1"/>
  <c r="DH256" i="1"/>
  <c r="F124" i="153" l="1"/>
  <c r="D124" i="153"/>
  <c r="DX256" i="1"/>
  <c r="DO267" i="1"/>
  <c r="K123" i="153"/>
  <c r="DY267" i="1" l="1"/>
  <c r="DW256" i="1"/>
  <c r="L124" i="153" l="1"/>
  <c r="C124" i="153"/>
  <c r="DS255" i="1"/>
  <c r="DR255" i="1" s="1"/>
  <c r="DT255" i="1"/>
  <c r="DI255" i="1"/>
  <c r="DH255" i="1" l="1"/>
  <c r="DJ266" i="1"/>
  <c r="H124" i="153"/>
  <c r="G123" i="153"/>
  <c r="E123" i="153"/>
  <c r="F123" i="153"/>
  <c r="DN255" i="1"/>
  <c r="DO266" i="1" s="1"/>
  <c r="D123" i="153" l="1"/>
  <c r="DM255" i="1"/>
  <c r="DX255" i="1"/>
  <c r="DY266" i="1" s="1"/>
  <c r="DW255" i="1" l="1"/>
  <c r="K121" i="153"/>
  <c r="K122" i="153"/>
  <c r="G122" i="153" l="1"/>
  <c r="L123" i="153"/>
  <c r="C123" i="153"/>
  <c r="E122" i="153" l="1"/>
  <c r="E121" i="153"/>
  <c r="H123" i="153"/>
  <c r="DS253" i="1"/>
  <c r="DR253" i="1" s="1"/>
  <c r="DT253" i="1"/>
  <c r="DS254" i="1"/>
  <c r="DT254" i="1"/>
  <c r="DI253" i="1"/>
  <c r="DI254" i="1"/>
  <c r="DJ265" i="1" s="1"/>
  <c r="D121" i="153" l="1"/>
  <c r="DH253" i="1"/>
  <c r="DJ264" i="1"/>
  <c r="D122" i="153"/>
  <c r="DN253" i="1"/>
  <c r="DN254" i="1"/>
  <c r="DR254" i="1"/>
  <c r="DH254" i="1"/>
  <c r="F122" i="153" l="1"/>
  <c r="DM254" i="1"/>
  <c r="DO265" i="1"/>
  <c r="DM253" i="1"/>
  <c r="DO264" i="1"/>
  <c r="DX253" i="1"/>
  <c r="DW253" i="1" s="1"/>
  <c r="DX254" i="1"/>
  <c r="DY265" i="1" s="1"/>
  <c r="DW254" i="1" l="1"/>
  <c r="L122" i="153"/>
  <c r="C121" i="153"/>
  <c r="DY264" i="1"/>
  <c r="C122" i="153" l="1"/>
  <c r="F121" i="153"/>
  <c r="H122" i="153"/>
  <c r="G121" i="153" l="1"/>
  <c r="K120" i="153"/>
  <c r="L121" i="153" l="1"/>
  <c r="H121" i="153"/>
  <c r="DI252" i="1" l="1"/>
  <c r="DJ263" i="1" s="1"/>
  <c r="DS252" i="1"/>
  <c r="DR252" i="1" s="1"/>
  <c r="DT252" i="1"/>
  <c r="DH252" i="1" l="1"/>
  <c r="E120" i="153"/>
  <c r="G120" i="153"/>
  <c r="F120" i="153"/>
  <c r="DN252" i="1"/>
  <c r="DO263" i="1" s="1"/>
  <c r="DM252" i="1" l="1"/>
  <c r="DX252" i="1"/>
  <c r="D120" i="153" l="1"/>
  <c r="C120" i="153"/>
  <c r="DY263" i="1"/>
  <c r="DW252" i="1"/>
  <c r="H120" i="153" l="1"/>
  <c r="L120" i="153"/>
  <c r="DS251" i="1"/>
  <c r="DR251" i="1" s="1"/>
  <c r="DT251" i="1"/>
  <c r="DI251" i="1"/>
  <c r="DJ262" i="1" s="1"/>
  <c r="G119" i="153" l="1"/>
  <c r="E119" i="153"/>
  <c r="DN251" i="1"/>
  <c r="DO262" i="1" s="1"/>
  <c r="F119" i="153"/>
  <c r="DH251" i="1"/>
  <c r="DM251" i="1" l="1"/>
  <c r="DX251" i="1"/>
  <c r="DY262" i="1" s="1"/>
  <c r="D119" i="153" l="1"/>
  <c r="DW251" i="1"/>
  <c r="C119" i="153"/>
  <c r="L119" i="153" l="1"/>
  <c r="DS250" i="1"/>
  <c r="DR250" i="1" s="1"/>
  <c r="DT250" i="1"/>
  <c r="DI250" i="1"/>
  <c r="DJ261" i="1" s="1"/>
  <c r="H119" i="153" l="1"/>
  <c r="F118" i="153"/>
  <c r="DH250" i="1"/>
  <c r="DN250" i="1"/>
  <c r="DO261" i="1" s="1"/>
  <c r="EP138" i="1"/>
  <c r="EP139" i="1"/>
  <c r="EP140" i="1"/>
  <c r="EP141" i="1"/>
  <c r="EP142" i="1"/>
  <c r="EP143" i="1"/>
  <c r="EP144" i="1"/>
  <c r="EP145" i="1"/>
  <c r="EP146" i="1"/>
  <c r="EP147" i="1"/>
  <c r="EP148" i="1"/>
  <c r="EP149" i="1"/>
  <c r="EP150" i="1"/>
  <c r="EP151" i="1"/>
  <c r="EP152" i="1"/>
  <c r="EP153" i="1"/>
  <c r="EP154" i="1"/>
  <c r="EP155" i="1"/>
  <c r="EP156" i="1"/>
  <c r="EP157" i="1"/>
  <c r="EP158" i="1"/>
  <c r="EP159" i="1"/>
  <c r="EP160" i="1"/>
  <c r="EP161" i="1"/>
  <c r="EP162" i="1"/>
  <c r="EP163" i="1"/>
  <c r="EP164" i="1"/>
  <c r="EP165" i="1"/>
  <c r="EP166" i="1"/>
  <c r="EP167" i="1"/>
  <c r="EP168" i="1"/>
  <c r="EP169" i="1"/>
  <c r="EP170" i="1"/>
  <c r="EP171" i="1"/>
  <c r="EP172" i="1"/>
  <c r="EP173" i="1"/>
  <c r="EP174" i="1"/>
  <c r="EP175" i="1"/>
  <c r="EP176" i="1"/>
  <c r="EP177" i="1"/>
  <c r="EP178" i="1"/>
  <c r="EP179" i="1"/>
  <c r="EP180" i="1"/>
  <c r="EP181" i="1"/>
  <c r="EP182" i="1"/>
  <c r="EP183" i="1"/>
  <c r="EP184" i="1"/>
  <c r="EP185" i="1"/>
  <c r="EP186" i="1"/>
  <c r="EP187" i="1"/>
  <c r="EP188" i="1"/>
  <c r="EP189" i="1"/>
  <c r="EP190" i="1"/>
  <c r="EP191" i="1"/>
  <c r="EP192" i="1"/>
  <c r="EP193" i="1"/>
  <c r="EP194" i="1"/>
  <c r="EP195" i="1"/>
  <c r="EP196" i="1"/>
  <c r="EP197" i="1"/>
  <c r="EP198" i="1"/>
  <c r="EP199" i="1"/>
  <c r="EP200" i="1"/>
  <c r="EP201" i="1"/>
  <c r="EP202" i="1"/>
  <c r="EP203" i="1"/>
  <c r="EP204" i="1"/>
  <c r="EP205" i="1"/>
  <c r="EP206" i="1"/>
  <c r="EP207" i="1"/>
  <c r="EP208" i="1"/>
  <c r="EP209" i="1"/>
  <c r="EP210" i="1"/>
  <c r="EP211" i="1"/>
  <c r="EP212" i="1"/>
  <c r="EP213" i="1"/>
  <c r="EP214" i="1"/>
  <c r="EP215" i="1"/>
  <c r="EP216" i="1"/>
  <c r="EP217" i="1"/>
  <c r="EP218" i="1"/>
  <c r="EP219" i="1"/>
  <c r="EP220" i="1"/>
  <c r="EP221" i="1"/>
  <c r="EP222" i="1"/>
  <c r="EP223" i="1"/>
  <c r="EP224" i="1"/>
  <c r="EP225" i="1"/>
  <c r="EP226" i="1"/>
  <c r="EP227" i="1"/>
  <c r="EP228" i="1"/>
  <c r="EP229" i="1"/>
  <c r="EP230" i="1"/>
  <c r="EP231" i="1"/>
  <c r="EP232" i="1"/>
  <c r="EP233" i="1"/>
  <c r="EP234" i="1"/>
  <c r="EP235" i="1"/>
  <c r="EP236" i="1"/>
  <c r="EP237" i="1"/>
  <c r="EP238" i="1"/>
  <c r="EP239" i="1"/>
  <c r="EP240" i="1"/>
  <c r="EP241" i="1"/>
  <c r="EP242" i="1"/>
  <c r="EP243" i="1"/>
  <c r="EP244" i="1"/>
  <c r="EP245" i="1"/>
  <c r="EP246" i="1"/>
  <c r="EP247" i="1"/>
  <c r="EP248" i="1"/>
  <c r="EP137" i="1"/>
  <c r="D118" i="153" l="1"/>
  <c r="G118" i="153"/>
  <c r="E118" i="153"/>
  <c r="DX250" i="1"/>
  <c r="DY261" i="1" s="1"/>
  <c r="DM250" i="1"/>
  <c r="DS249" i="1"/>
  <c r="DR249" i="1" s="1"/>
  <c r="DT249" i="1"/>
  <c r="DI249" i="1"/>
  <c r="E117" i="153" l="1"/>
  <c r="DH249" i="1"/>
  <c r="DJ260" i="1"/>
  <c r="DW250" i="1"/>
  <c r="D117" i="153"/>
  <c r="DN249" i="1"/>
  <c r="DO260" i="1" s="1"/>
  <c r="L118" i="153" l="1"/>
  <c r="F117" i="153"/>
  <c r="C118" i="153"/>
  <c r="DM249" i="1"/>
  <c r="DX249" i="1"/>
  <c r="DY260" i="1" s="1"/>
  <c r="H118" i="153" l="1"/>
  <c r="G117" i="153"/>
  <c r="DW249" i="1"/>
  <c r="H117" i="153" l="1"/>
  <c r="C117" i="153"/>
  <c r="DI248" i="1" l="1"/>
  <c r="DJ259" i="1" s="1"/>
  <c r="DS248" i="1"/>
  <c r="DR248" i="1" s="1"/>
  <c r="DT248" i="1"/>
  <c r="E116" i="153" l="1"/>
  <c r="G116" i="153"/>
  <c r="F116" i="153"/>
  <c r="DN248" i="1"/>
  <c r="DO259" i="1" s="1"/>
  <c r="DH248" i="1"/>
  <c r="D116" i="153" l="1"/>
  <c r="DX248" i="1"/>
  <c r="DM248" i="1"/>
  <c r="DY259" i="1" l="1"/>
  <c r="DW248" i="1"/>
  <c r="C116" i="153" l="1"/>
  <c r="G115" i="153" l="1"/>
  <c r="H116" i="153"/>
  <c r="DS247" i="1"/>
  <c r="DR247" i="1" s="1"/>
  <c r="DT247" i="1"/>
  <c r="DI247" i="1"/>
  <c r="E115" i="153" l="1"/>
  <c r="F115" i="153"/>
  <c r="DN247" i="1"/>
  <c r="DX247" i="1" s="1"/>
  <c r="DJ258" i="1"/>
  <c r="DH247" i="1"/>
  <c r="D115" i="153" l="1"/>
  <c r="DY258" i="1"/>
  <c r="DW247" i="1"/>
  <c r="DM247" i="1"/>
  <c r="DO258" i="1"/>
  <c r="C115" i="153" l="1"/>
  <c r="G114" i="153" l="1"/>
  <c r="H115" i="153"/>
  <c r="F114" i="153" l="1"/>
  <c r="E114" i="153"/>
  <c r="DS246" i="1"/>
  <c r="DR246" i="1" s="1"/>
  <c r="DT246" i="1"/>
  <c r="DI246" i="1"/>
  <c r="DH246" i="1" l="1"/>
  <c r="DJ257" i="1"/>
  <c r="DN246" i="1"/>
  <c r="DS245" i="1"/>
  <c r="DR245" i="1" s="1"/>
  <c r="DT245" i="1"/>
  <c r="DI245" i="1"/>
  <c r="D114" i="153" l="1"/>
  <c r="DM246" i="1"/>
  <c r="DO257" i="1"/>
  <c r="DN245" i="1"/>
  <c r="DX245" i="1" s="1"/>
  <c r="DJ256" i="1"/>
  <c r="DH245" i="1"/>
  <c r="DX246" i="1"/>
  <c r="DW246" i="1" l="1"/>
  <c r="DY257" i="1"/>
  <c r="DO256" i="1"/>
  <c r="DM245" i="1"/>
  <c r="DW245" i="1"/>
  <c r="DY256" i="1"/>
  <c r="C114" i="153" l="1"/>
  <c r="L128" i="153"/>
  <c r="F128" i="153"/>
  <c r="G113" i="153"/>
  <c r="E113" i="153"/>
  <c r="C113" i="153"/>
  <c r="F113" i="153"/>
  <c r="H128" i="153" l="1"/>
  <c r="H114" i="153"/>
  <c r="D113" i="153" l="1"/>
  <c r="J110" i="153"/>
  <c r="J111" i="153"/>
  <c r="J112" i="153"/>
  <c r="J109" i="153"/>
  <c r="H113" i="153" l="1"/>
  <c r="K119" i="153"/>
  <c r="K109" i="153"/>
  <c r="K113" i="153"/>
  <c r="K117" i="153"/>
  <c r="K114" i="153"/>
  <c r="K118" i="153"/>
  <c r="K115" i="153"/>
  <c r="K116" i="153"/>
  <c r="K112" i="153"/>
  <c r="K111" i="153"/>
  <c r="K110" i="153"/>
  <c r="DS244" i="1" l="1"/>
  <c r="DR244" i="1" s="1"/>
  <c r="DT244" i="1"/>
  <c r="DI244" i="1"/>
  <c r="DJ255" i="1" s="1"/>
  <c r="G112" i="153" l="1"/>
  <c r="F112" i="153"/>
  <c r="DH244" i="1"/>
  <c r="DN244" i="1"/>
  <c r="DS243" i="1"/>
  <c r="DR243" i="1" s="1"/>
  <c r="DT243" i="1"/>
  <c r="DI243" i="1"/>
  <c r="E112" i="153" l="1"/>
  <c r="DH243" i="1"/>
  <c r="DJ254" i="1"/>
  <c r="DM244" i="1"/>
  <c r="DO255" i="1"/>
  <c r="E111" i="153"/>
  <c r="DX244" i="1"/>
  <c r="DY255" i="1" s="1"/>
  <c r="DN243" i="1"/>
  <c r="G111" i="153" l="1"/>
  <c r="F111" i="153"/>
  <c r="C112" i="153"/>
  <c r="DM243" i="1"/>
  <c r="DO254" i="1"/>
  <c r="DW244" i="1"/>
  <c r="DX243" i="1"/>
  <c r="D112" i="153"/>
  <c r="DW243" i="1" l="1"/>
  <c r="DY254" i="1"/>
  <c r="D111" i="153"/>
  <c r="H112" i="153" l="1"/>
  <c r="C111" i="153"/>
  <c r="H111" i="153" l="1"/>
  <c r="F110" i="153" l="1"/>
  <c r="E110" i="153" l="1"/>
  <c r="G110" i="153"/>
  <c r="DS242" i="1" l="1"/>
  <c r="DR242" i="1" s="1"/>
  <c r="DT242" i="1"/>
  <c r="DI242" i="1"/>
  <c r="DH242" i="1" l="1"/>
  <c r="DJ253" i="1"/>
  <c r="D110" i="153"/>
  <c r="DN242" i="1"/>
  <c r="DO253" i="1" s="1"/>
  <c r="DM242" i="1" l="1"/>
  <c r="DX242" i="1"/>
  <c r="DY253" i="1" s="1"/>
  <c r="DW242" i="1" l="1"/>
  <c r="G109" i="153" l="1"/>
  <c r="C110" i="153"/>
  <c r="E109" i="153" l="1"/>
  <c r="H110" i="153"/>
  <c r="DS241" i="1"/>
  <c r="DR241" i="1" s="1"/>
  <c r="DT241" i="1"/>
  <c r="DI241" i="1"/>
  <c r="F109" i="153" l="1"/>
  <c r="DH241" i="1"/>
  <c r="DJ252" i="1"/>
  <c r="DN241" i="1"/>
  <c r="K108" i="153"/>
  <c r="DM241" i="1" l="1"/>
  <c r="DO252" i="1"/>
  <c r="DX241" i="1"/>
  <c r="D109" i="153" l="1"/>
  <c r="DW241" i="1"/>
  <c r="DY252" i="1"/>
  <c r="C109" i="153" l="1"/>
  <c r="H109" i="153" l="1"/>
  <c r="G108" i="153"/>
  <c r="F108" i="153"/>
  <c r="DS240" i="1"/>
  <c r="DR240" i="1" s="1"/>
  <c r="DT240" i="1"/>
  <c r="DI240" i="1"/>
  <c r="DN240" i="1" l="1"/>
  <c r="DO251" i="1" s="1"/>
  <c r="DJ251" i="1"/>
  <c r="E108" i="153"/>
  <c r="DH240" i="1"/>
  <c r="DX240" i="1" l="1"/>
  <c r="DY251" i="1" s="1"/>
  <c r="D108" i="153"/>
  <c r="DM240" i="1"/>
  <c r="DW240" i="1" l="1"/>
  <c r="C108" i="153" l="1"/>
  <c r="H108" i="153"/>
  <c r="DS239" i="1" l="1"/>
  <c r="DR239" i="1" s="1"/>
  <c r="DT239" i="1"/>
  <c r="DI239" i="1"/>
  <c r="DH239" i="1" l="1"/>
  <c r="DJ250" i="1"/>
  <c r="E107" i="153"/>
  <c r="DN239" i="1"/>
  <c r="DO250" i="1" s="1"/>
  <c r="G107" i="153" l="1"/>
  <c r="D107" i="153"/>
  <c r="F107" i="153"/>
  <c r="DX239" i="1"/>
  <c r="DY250" i="1" s="1"/>
  <c r="DM239" i="1"/>
  <c r="DW239" i="1" l="1"/>
  <c r="F106" i="153" l="1"/>
  <c r="G106" i="153"/>
  <c r="C107" i="153"/>
  <c r="DS238" i="1"/>
  <c r="DR238" i="1" s="1"/>
  <c r="DT238" i="1"/>
  <c r="DI238" i="1"/>
  <c r="E106" i="153" l="1"/>
  <c r="DN238" i="1"/>
  <c r="DO249" i="1" s="1"/>
  <c r="DJ249" i="1"/>
  <c r="H107" i="153"/>
  <c r="DH238" i="1"/>
  <c r="DM238" i="1" l="1"/>
  <c r="DX238" i="1"/>
  <c r="D106" i="153"/>
  <c r="DY249" i="1" l="1"/>
  <c r="C106" i="153"/>
  <c r="DW238" i="1"/>
  <c r="H106" i="153" l="1"/>
  <c r="DS237" i="1"/>
  <c r="DR237" i="1" s="1"/>
  <c r="DT237" i="1"/>
  <c r="DI237" i="1"/>
  <c r="DH237" i="1" l="1"/>
  <c r="DJ248" i="1"/>
  <c r="G105" i="153"/>
  <c r="F105" i="153"/>
  <c r="DN237" i="1"/>
  <c r="DO248" i="1" s="1"/>
  <c r="E105" i="153"/>
  <c r="DM237" i="1" l="1"/>
  <c r="DX237" i="1"/>
  <c r="DY248" i="1" s="1"/>
  <c r="D105" i="153" l="1"/>
  <c r="E104" i="153"/>
  <c r="DW237" i="1"/>
  <c r="F104" i="153" l="1"/>
  <c r="G104" i="153"/>
  <c r="C105" i="153"/>
  <c r="D104" i="153" l="1"/>
  <c r="H105" i="153"/>
  <c r="DS236" i="1"/>
  <c r="DR236" i="1" s="1"/>
  <c r="DT236" i="1"/>
  <c r="DI236" i="1"/>
  <c r="DN236" i="1" l="1"/>
  <c r="DO247" i="1" s="1"/>
  <c r="DJ247" i="1"/>
  <c r="DH236" i="1"/>
  <c r="DM236" i="1" l="1"/>
  <c r="DX236" i="1"/>
  <c r="DY247" i="1" s="1"/>
  <c r="DW236" i="1" l="1"/>
  <c r="DS235" i="1"/>
  <c r="DR235" i="1" s="1"/>
  <c r="DT235" i="1"/>
  <c r="DI235" i="1"/>
  <c r="DJ246" i="1" s="1"/>
  <c r="C104" i="153" l="1"/>
  <c r="G103" i="153"/>
  <c r="F103" i="153"/>
  <c r="E103" i="153"/>
  <c r="DN235" i="1"/>
  <c r="DO246" i="1" s="1"/>
  <c r="DH235" i="1"/>
  <c r="H104" i="153" l="1"/>
  <c r="D103" i="153"/>
  <c r="DX235" i="1"/>
  <c r="DY246" i="1" s="1"/>
  <c r="DM235" i="1"/>
  <c r="F102" i="153" l="1"/>
  <c r="DW235" i="1"/>
  <c r="DS234" i="1"/>
  <c r="DR234" i="1" s="1"/>
  <c r="DT234" i="1"/>
  <c r="DI234" i="1"/>
  <c r="G102" i="153" l="1"/>
  <c r="E102" i="153"/>
  <c r="DN234" i="1"/>
  <c r="DX234" i="1" s="1"/>
  <c r="DJ245" i="1"/>
  <c r="DH234" i="1"/>
  <c r="C103" i="153"/>
  <c r="DO245" i="1" l="1"/>
  <c r="DW234" i="1"/>
  <c r="DM234" i="1"/>
  <c r="DY245" i="1"/>
  <c r="H103" i="153"/>
  <c r="D102" i="153" l="1"/>
  <c r="C102" i="153"/>
  <c r="H102" i="153" l="1"/>
  <c r="E101" i="153" l="1"/>
  <c r="DS233" i="1"/>
  <c r="DR233" i="1" s="1"/>
  <c r="DT233" i="1"/>
  <c r="DI233" i="1"/>
  <c r="D101" i="153" l="1"/>
  <c r="DN233" i="1"/>
  <c r="DO244" i="1" s="1"/>
  <c r="DJ244" i="1"/>
  <c r="DH233" i="1"/>
  <c r="DM233" i="1" l="1"/>
  <c r="DX233" i="1"/>
  <c r="DW233" i="1" l="1"/>
  <c r="DY244" i="1"/>
  <c r="F101" i="153"/>
  <c r="G101" i="153"/>
  <c r="C101" i="153"/>
  <c r="H101" i="153" l="1"/>
  <c r="DS232" i="1" l="1"/>
  <c r="DR232" i="1" s="1"/>
  <c r="DT232" i="1"/>
  <c r="DI232" i="1"/>
  <c r="DH232" i="1" l="1"/>
  <c r="DJ243" i="1"/>
  <c r="DN232" i="1"/>
  <c r="E100" i="153" l="1"/>
  <c r="D100" i="153"/>
  <c r="F100" i="153"/>
  <c r="DM232" i="1"/>
  <c r="DO243" i="1"/>
  <c r="DX232" i="1"/>
  <c r="DW232" i="1" l="1"/>
  <c r="DY243" i="1"/>
  <c r="C100" i="153" l="1"/>
  <c r="G100" i="153" l="1"/>
  <c r="H100" i="153" l="1"/>
  <c r="DS231" i="1"/>
  <c r="DR231" i="1" s="1"/>
  <c r="DT231" i="1"/>
  <c r="DI231" i="1"/>
  <c r="DN231" i="1" s="1"/>
  <c r="DX231" i="1" s="1"/>
  <c r="DY242" i="1" l="1"/>
  <c r="DW231" i="1"/>
  <c r="DM231" i="1"/>
  <c r="DO242" i="1"/>
  <c r="DH231" i="1"/>
  <c r="DJ242" i="1"/>
  <c r="F99" i="153"/>
  <c r="G99" i="153"/>
  <c r="E99" i="153"/>
  <c r="D99" i="153" l="1"/>
  <c r="C99" i="153"/>
  <c r="H99" i="153" l="1"/>
  <c r="E98" i="153" l="1"/>
  <c r="DI230" i="1" l="1"/>
  <c r="DJ241" i="1" s="1"/>
  <c r="DS230" i="1"/>
  <c r="DR230" i="1" s="1"/>
  <c r="DT230" i="1"/>
  <c r="F98" i="153" l="1"/>
  <c r="G98" i="153"/>
  <c r="DN230" i="1"/>
  <c r="DO241" i="1" s="1"/>
  <c r="DH230" i="1"/>
  <c r="D98" i="153" l="1"/>
  <c r="DM230" i="1"/>
  <c r="DX230" i="1"/>
  <c r="DY241" i="1" l="1"/>
  <c r="DW230" i="1"/>
  <c r="C98" i="153" l="1"/>
  <c r="H98" i="153" l="1"/>
  <c r="E97" i="153" l="1"/>
  <c r="DS229" i="1"/>
  <c r="DR229" i="1" s="1"/>
  <c r="DT229" i="1"/>
  <c r="DI229" i="1"/>
  <c r="DH229" i="1" l="1"/>
  <c r="DJ240" i="1"/>
  <c r="DN229" i="1"/>
  <c r="DO240" i="1" s="1"/>
  <c r="F97" i="153" l="1"/>
  <c r="G97" i="153"/>
  <c r="D97" i="153"/>
  <c r="DM229" i="1"/>
  <c r="DX229" i="1"/>
  <c r="DY240" i="1" s="1"/>
  <c r="DW229" i="1" l="1"/>
  <c r="C97" i="153" l="1"/>
  <c r="G96" i="153" l="1"/>
  <c r="E96" i="153"/>
  <c r="F96" i="153"/>
  <c r="H97" i="153"/>
  <c r="DI228" i="1"/>
  <c r="DS228" i="1"/>
  <c r="DR228" i="1" s="1"/>
  <c r="DT228" i="1"/>
  <c r="DJ239" i="1" l="1"/>
  <c r="DH228" i="1"/>
  <c r="DN228" i="1"/>
  <c r="D96" i="153" l="1"/>
  <c r="DO239" i="1"/>
  <c r="DM228" i="1"/>
  <c r="DX228" i="1"/>
  <c r="DS227" i="1"/>
  <c r="DR227" i="1" s="1"/>
  <c r="DT227" i="1"/>
  <c r="DI227" i="1"/>
  <c r="DN227" i="1" s="1"/>
  <c r="F95" i="153" l="1"/>
  <c r="G95" i="153"/>
  <c r="E95" i="153"/>
  <c r="DX227" i="1"/>
  <c r="DY238" i="1" s="1"/>
  <c r="DO238" i="1"/>
  <c r="DH227" i="1"/>
  <c r="DJ238" i="1"/>
  <c r="DY239" i="1"/>
  <c r="DW228" i="1"/>
  <c r="DM227" i="1"/>
  <c r="D95" i="153" l="1"/>
  <c r="DW227" i="1"/>
  <c r="C96" i="153"/>
  <c r="E94" i="153" l="1"/>
  <c r="C95" i="153"/>
  <c r="H96" i="153"/>
  <c r="H95" i="153" l="1"/>
  <c r="DS226" i="1"/>
  <c r="DR226" i="1" s="1"/>
  <c r="DT226" i="1"/>
  <c r="DI226" i="1"/>
  <c r="F94" i="153" l="1"/>
  <c r="DH226" i="1"/>
  <c r="DJ237" i="1"/>
  <c r="DN226" i="1"/>
  <c r="DO237" i="1" s="1"/>
  <c r="G94" i="153" l="1"/>
  <c r="D94" i="153"/>
  <c r="DX226" i="1"/>
  <c r="DY237" i="1" s="1"/>
  <c r="DM226" i="1"/>
  <c r="DW226" i="1" l="1"/>
  <c r="C94" i="153" l="1"/>
  <c r="H94" i="153" l="1"/>
  <c r="DS225" i="1"/>
  <c r="DR225" i="1" s="1"/>
  <c r="DT225" i="1"/>
  <c r="DI225" i="1"/>
  <c r="DH225" i="1" l="1"/>
  <c r="DJ236" i="1"/>
  <c r="G93" i="153"/>
  <c r="DN225" i="1"/>
  <c r="DO236" i="1" s="1"/>
  <c r="E93" i="153" l="1"/>
  <c r="F93" i="153"/>
  <c r="D93" i="153"/>
  <c r="DX225" i="1"/>
  <c r="DY236" i="1" s="1"/>
  <c r="DM225" i="1"/>
  <c r="DW225" i="1" l="1"/>
  <c r="DS224" i="1"/>
  <c r="DR224" i="1" s="1"/>
  <c r="DT224" i="1"/>
  <c r="DI224" i="1"/>
  <c r="DN224" i="1" s="1"/>
  <c r="DX224" i="1" l="1"/>
  <c r="DY235" i="1" s="1"/>
  <c r="DO235" i="1"/>
  <c r="DH224" i="1"/>
  <c r="DJ235" i="1"/>
  <c r="F92" i="153"/>
  <c r="E92" i="153"/>
  <c r="G92" i="153"/>
  <c r="DM224" i="1"/>
  <c r="C93" i="153"/>
  <c r="DS223" i="1"/>
  <c r="DR223" i="1" s="1"/>
  <c r="DT223" i="1"/>
  <c r="DI223" i="1"/>
  <c r="DJ234" i="1" s="1"/>
  <c r="DW224" i="1" l="1"/>
  <c r="D92" i="153"/>
  <c r="H93" i="153"/>
  <c r="DH223" i="1"/>
  <c r="DN223" i="1"/>
  <c r="C92" i="153" l="1"/>
  <c r="DM223" i="1"/>
  <c r="DO234" i="1"/>
  <c r="G91" i="153"/>
  <c r="F91" i="153"/>
  <c r="E91" i="153"/>
  <c r="DX223" i="1"/>
  <c r="DY234" i="1" s="1"/>
  <c r="D91" i="153" l="1"/>
  <c r="H92" i="153"/>
  <c r="DW223" i="1"/>
  <c r="C91" i="153" l="1"/>
  <c r="F90" i="153"/>
  <c r="DS222" i="1"/>
  <c r="DR222" i="1" s="1"/>
  <c r="DT222" i="1"/>
  <c r="DI222" i="1"/>
  <c r="DJ233" i="1" s="1"/>
  <c r="H91" i="153" l="1"/>
  <c r="E90" i="153"/>
  <c r="DH222" i="1"/>
  <c r="DN222" i="1"/>
  <c r="DO233" i="1" s="1"/>
  <c r="DX222" i="1" l="1"/>
  <c r="DY233" i="1" s="1"/>
  <c r="DM222" i="1"/>
  <c r="F89" i="153" l="1"/>
  <c r="D90" i="153"/>
  <c r="DW222" i="1"/>
  <c r="G90" i="153"/>
  <c r="DS221" i="1"/>
  <c r="DR221" i="1" s="1"/>
  <c r="DT221" i="1"/>
  <c r="DI221" i="1"/>
  <c r="G89" i="153" l="1"/>
  <c r="DH221" i="1"/>
  <c r="DJ232" i="1"/>
  <c r="E89" i="153"/>
  <c r="C90" i="153"/>
  <c r="DN221" i="1"/>
  <c r="DO232" i="1" s="1"/>
  <c r="DX221" i="1" l="1"/>
  <c r="DM221" i="1"/>
  <c r="H90" i="153"/>
  <c r="DY232" i="1" l="1"/>
  <c r="D89" i="153"/>
  <c r="DW221" i="1"/>
  <c r="DS220" i="1"/>
  <c r="DR220" i="1" s="1"/>
  <c r="DT220" i="1"/>
  <c r="DI220" i="1"/>
  <c r="DJ231" i="1" s="1"/>
  <c r="G88" i="153" l="1"/>
  <c r="C89" i="153"/>
  <c r="DN220" i="1"/>
  <c r="DO231" i="1" s="1"/>
  <c r="DH220" i="1"/>
  <c r="DS219" i="1"/>
  <c r="DR219" i="1" s="1"/>
  <c r="DT219" i="1"/>
  <c r="DI219" i="1"/>
  <c r="DJ230" i="1" s="1"/>
  <c r="DH219" i="1" l="1"/>
  <c r="E88" i="153"/>
  <c r="DM220" i="1"/>
  <c r="DX220" i="1"/>
  <c r="DY231" i="1" s="1"/>
  <c r="H89" i="153"/>
  <c r="DN219" i="1"/>
  <c r="DO230" i="1" s="1"/>
  <c r="D88" i="153"/>
  <c r="F88" i="153"/>
  <c r="E87" i="153" l="1"/>
  <c r="DW220" i="1"/>
  <c r="DM219" i="1"/>
  <c r="DX219" i="1"/>
  <c r="DY230" i="1" s="1"/>
  <c r="G87" i="153" l="1"/>
  <c r="F87" i="153"/>
  <c r="DW219" i="1"/>
  <c r="C88" i="153"/>
  <c r="H88" i="153" l="1"/>
  <c r="C87" i="153"/>
  <c r="DS218" i="1"/>
  <c r="DR218" i="1" s="1"/>
  <c r="DT218" i="1"/>
  <c r="DI218" i="1"/>
  <c r="D87" i="153" l="1"/>
  <c r="E86" i="153"/>
  <c r="DN218" i="1"/>
  <c r="DO229" i="1" s="1"/>
  <c r="DJ229" i="1"/>
  <c r="G86" i="153"/>
  <c r="DH218" i="1"/>
  <c r="F86" i="153"/>
  <c r="DM218" i="1" l="1"/>
  <c r="H87" i="153"/>
  <c r="DX218" i="1"/>
  <c r="DY229" i="1" s="1"/>
  <c r="DS217" i="1"/>
  <c r="DR217" i="1" s="1"/>
  <c r="DT217" i="1"/>
  <c r="DI217" i="1"/>
  <c r="DJ228" i="1" s="1"/>
  <c r="D86" i="153" l="1"/>
  <c r="C86" i="153"/>
  <c r="DW218" i="1"/>
  <c r="F85" i="153"/>
  <c r="E85" i="153"/>
  <c r="DN217" i="1"/>
  <c r="DO228" i="1" s="1"/>
  <c r="DH217" i="1"/>
  <c r="G85" i="153"/>
  <c r="DM217" i="1" l="1"/>
  <c r="DX217" i="1"/>
  <c r="DY228" i="1" s="1"/>
  <c r="D85" i="153" l="1"/>
  <c r="H86" i="153"/>
  <c r="DW217" i="1"/>
  <c r="DS216" i="1"/>
  <c r="DR216" i="1" s="1"/>
  <c r="DT216" i="1"/>
  <c r="DI216" i="1"/>
  <c r="G84" i="153" l="1"/>
  <c r="DN216" i="1"/>
  <c r="DO227" i="1" s="1"/>
  <c r="DJ227" i="1"/>
  <c r="E84" i="153"/>
  <c r="F84" i="153"/>
  <c r="DH216" i="1"/>
  <c r="C85" i="153"/>
  <c r="DM216" i="1" l="1"/>
  <c r="DX216" i="1"/>
  <c r="DY227" i="1" s="1"/>
  <c r="D84" i="153"/>
  <c r="H85" i="153"/>
  <c r="DW216" i="1" l="1"/>
  <c r="G83" i="153"/>
  <c r="DS215" i="1"/>
  <c r="DR215" i="1" s="1"/>
  <c r="DT215" i="1"/>
  <c r="DI215" i="1"/>
  <c r="C84" i="153" l="1"/>
  <c r="F83" i="153"/>
  <c r="DN215" i="1"/>
  <c r="DO226" i="1" s="1"/>
  <c r="DJ226" i="1"/>
  <c r="E83" i="153"/>
  <c r="DH215" i="1"/>
  <c r="H84" i="153" l="1"/>
  <c r="DX215" i="1"/>
  <c r="DY226" i="1" s="1"/>
  <c r="DM215" i="1"/>
  <c r="D83" i="153"/>
  <c r="DS214" i="1"/>
  <c r="DR214" i="1" s="1"/>
  <c r="DT214" i="1"/>
  <c r="DI214" i="1"/>
  <c r="DW215" i="1" l="1"/>
  <c r="DH214" i="1"/>
  <c r="DJ225" i="1"/>
  <c r="DN214" i="1"/>
  <c r="DO225" i="1" s="1"/>
  <c r="G82" i="153"/>
  <c r="F82" i="153"/>
  <c r="E82" i="153"/>
  <c r="DS213" i="1"/>
  <c r="DR213" i="1" s="1"/>
  <c r="DT213" i="1"/>
  <c r="DI213" i="1"/>
  <c r="C83" i="153" l="1"/>
  <c r="E81" i="153"/>
  <c r="F81" i="153"/>
  <c r="G81" i="153"/>
  <c r="DM214" i="1"/>
  <c r="DX214" i="1"/>
  <c r="DY225" i="1" s="1"/>
  <c r="DH213" i="1"/>
  <c r="DJ224" i="1"/>
  <c r="D82" i="153"/>
  <c r="DN213" i="1"/>
  <c r="DO224" i="1" s="1"/>
  <c r="DS212" i="1"/>
  <c r="DR212" i="1" s="1"/>
  <c r="DT212" i="1"/>
  <c r="DI212" i="1"/>
  <c r="DJ223" i="1" s="1"/>
  <c r="H83" i="153" l="1"/>
  <c r="DW214" i="1"/>
  <c r="C82" i="153"/>
  <c r="D81" i="153"/>
  <c r="DX213" i="1"/>
  <c r="DY224" i="1" s="1"/>
  <c r="DM213" i="1"/>
  <c r="DN212" i="1"/>
  <c r="DO223" i="1" s="1"/>
  <c r="DH212" i="1"/>
  <c r="F80" i="153" l="1"/>
  <c r="G80" i="153"/>
  <c r="E80" i="153"/>
  <c r="DX212" i="1"/>
  <c r="DY223" i="1" s="1"/>
  <c r="DM212" i="1"/>
  <c r="DW213" i="1"/>
  <c r="DS211" i="1"/>
  <c r="DR211" i="1" s="1"/>
  <c r="DT211" i="1"/>
  <c r="DI211" i="1"/>
  <c r="DS210" i="1"/>
  <c r="DR210" i="1" s="1"/>
  <c r="DT210" i="1"/>
  <c r="DI210" i="1"/>
  <c r="DS209" i="1"/>
  <c r="DR209" i="1" s="1"/>
  <c r="DT209" i="1"/>
  <c r="DI209" i="1"/>
  <c r="D80" i="153" l="1"/>
  <c r="H82" i="153"/>
  <c r="DJ221" i="1"/>
  <c r="DJ220" i="1"/>
  <c r="DH210" i="1"/>
  <c r="DN210" i="1"/>
  <c r="DM210" i="1" s="1"/>
  <c r="DN211" i="1"/>
  <c r="DO222" i="1" s="1"/>
  <c r="DJ222" i="1"/>
  <c r="E79" i="153"/>
  <c r="G79" i="153"/>
  <c r="G78" i="153"/>
  <c r="G77" i="153"/>
  <c r="F77" i="153"/>
  <c r="DW212" i="1"/>
  <c r="C81" i="153"/>
  <c r="DN209" i="1"/>
  <c r="DH209" i="1"/>
  <c r="DH211" i="1"/>
  <c r="F79" i="153"/>
  <c r="F78" i="153"/>
  <c r="DO220" i="1" l="1"/>
  <c r="DX210" i="1"/>
  <c r="DM211" i="1"/>
  <c r="DX211" i="1"/>
  <c r="DY222" i="1" s="1"/>
  <c r="DO221" i="1"/>
  <c r="D78" i="153"/>
  <c r="E78" i="153"/>
  <c r="E77" i="153"/>
  <c r="C80" i="153"/>
  <c r="DM209" i="1"/>
  <c r="DX209" i="1"/>
  <c r="H81" i="153"/>
  <c r="DS208" i="1"/>
  <c r="DR208" i="1" s="1"/>
  <c r="DT208" i="1"/>
  <c r="DI208" i="1"/>
  <c r="DY220" i="1" l="1"/>
  <c r="DW211" i="1"/>
  <c r="DW210" i="1"/>
  <c r="DY221" i="1"/>
  <c r="DN208" i="1"/>
  <c r="DO219" i="1" s="1"/>
  <c r="DJ219" i="1"/>
  <c r="D79" i="153"/>
  <c r="C78" i="153"/>
  <c r="H80" i="153"/>
  <c r="DW209" i="1"/>
  <c r="DH208" i="1"/>
  <c r="D77" i="153"/>
  <c r="C79" i="153" l="1"/>
  <c r="DM208" i="1"/>
  <c r="DX208" i="1"/>
  <c r="H78" i="153"/>
  <c r="C77" i="153"/>
  <c r="D76" i="153"/>
  <c r="F76" i="153"/>
  <c r="G76" i="153"/>
  <c r="E76" i="153"/>
  <c r="H79" i="153" l="1"/>
  <c r="C76" i="153"/>
  <c r="DY219" i="1"/>
  <c r="DW208" i="1"/>
  <c r="H77" i="153"/>
  <c r="H76" i="153" l="1"/>
  <c r="DS207" i="1" l="1"/>
  <c r="DR207" i="1" s="1"/>
  <c r="DT207" i="1"/>
  <c r="DI207" i="1"/>
  <c r="G75" i="153" l="1"/>
  <c r="E75" i="153"/>
  <c r="F75" i="153"/>
  <c r="DH207" i="1"/>
  <c r="DJ218" i="1"/>
  <c r="DN207" i="1"/>
  <c r="DS205" i="1"/>
  <c r="DR205" i="1" s="1"/>
  <c r="DT205" i="1"/>
  <c r="DI205" i="1"/>
  <c r="DH205" i="1" s="1"/>
  <c r="J71" i="153"/>
  <c r="J72" i="153"/>
  <c r="J73" i="153"/>
  <c r="J74" i="153"/>
  <c r="J70" i="153"/>
  <c r="DO218" i="1" l="1"/>
  <c r="DM207" i="1"/>
  <c r="DX207" i="1"/>
  <c r="DY218" i="1" s="1"/>
  <c r="DN205" i="1"/>
  <c r="DM205" i="1" s="1"/>
  <c r="D75" i="153" l="1"/>
  <c r="DX205" i="1"/>
  <c r="DW205" i="1" s="1"/>
  <c r="DW207" i="1"/>
  <c r="DI206" i="1"/>
  <c r="DJ217" i="1" s="1"/>
  <c r="DS206" i="1"/>
  <c r="DR206" i="1" s="1"/>
  <c r="DT206" i="1"/>
  <c r="C75" i="153" l="1"/>
  <c r="DN206" i="1"/>
  <c r="DH206" i="1"/>
  <c r="F74" i="153"/>
  <c r="G74" i="153"/>
  <c r="E74" i="153"/>
  <c r="DJ216" i="1"/>
  <c r="D74" i="153" l="1"/>
  <c r="H75" i="153"/>
  <c r="DX206" i="1"/>
  <c r="DO217" i="1"/>
  <c r="DM206" i="1"/>
  <c r="DO216" i="1"/>
  <c r="E73" i="153"/>
  <c r="G73" i="153"/>
  <c r="F73" i="153"/>
  <c r="DS204" i="1"/>
  <c r="DR204" i="1" s="1"/>
  <c r="DT204" i="1"/>
  <c r="DI204" i="1"/>
  <c r="DN204" i="1" s="1"/>
  <c r="DY217" i="1" l="1"/>
  <c r="DY216" i="1"/>
  <c r="DW206" i="1"/>
  <c r="DO215" i="1"/>
  <c r="DX204" i="1"/>
  <c r="DM204" i="1"/>
  <c r="DJ215" i="1"/>
  <c r="DH204" i="1"/>
  <c r="F72" i="153"/>
  <c r="G72" i="153"/>
  <c r="C73" i="153"/>
  <c r="E72" i="153"/>
  <c r="D73" i="153" l="1"/>
  <c r="C74" i="153"/>
  <c r="DY215" i="1"/>
  <c r="DW204" i="1"/>
  <c r="DI203" i="1"/>
  <c r="DS203" i="1"/>
  <c r="DR203" i="1" s="1"/>
  <c r="DT203" i="1"/>
  <c r="H73" i="153" l="1"/>
  <c r="H74" i="153"/>
  <c r="DJ214" i="1"/>
  <c r="DH203" i="1"/>
  <c r="C72" i="153"/>
  <c r="DN203" i="1"/>
  <c r="G71" i="153"/>
  <c r="E71" i="153"/>
  <c r="F71" i="153"/>
  <c r="D72" i="153"/>
  <c r="DO214" i="1" l="1"/>
  <c r="DX203" i="1"/>
  <c r="DM203" i="1"/>
  <c r="D71" i="153"/>
  <c r="H72" i="153"/>
  <c r="DI202" i="1"/>
  <c r="DS202" i="1"/>
  <c r="DR202" i="1" s="1"/>
  <c r="DT202" i="1"/>
  <c r="DJ213" i="1" l="1"/>
  <c r="DY214" i="1"/>
  <c r="DW203" i="1"/>
  <c r="DN202" i="1"/>
  <c r="DH202" i="1"/>
  <c r="G70" i="153"/>
  <c r="E70" i="153"/>
  <c r="F70" i="153"/>
  <c r="DO213" i="1" l="1"/>
  <c r="DX202" i="1"/>
  <c r="DM202" i="1"/>
  <c r="C71" i="153"/>
  <c r="H71" i="153" l="1"/>
  <c r="DY213" i="1"/>
  <c r="DW202" i="1"/>
  <c r="D70" i="153"/>
  <c r="DS201" i="1"/>
  <c r="DR201" i="1" s="1"/>
  <c r="DT201" i="1"/>
  <c r="DI201" i="1"/>
  <c r="C70" i="153" l="1"/>
  <c r="DJ212" i="1"/>
  <c r="DJ211" i="1"/>
  <c r="DN201" i="1"/>
  <c r="DH201" i="1"/>
  <c r="E69" i="153"/>
  <c r="F69" i="153"/>
  <c r="G69" i="153"/>
  <c r="H70" i="153" l="1"/>
  <c r="DO212" i="1"/>
  <c r="DO211" i="1"/>
  <c r="DX201" i="1"/>
  <c r="DM201" i="1"/>
  <c r="D69" i="153"/>
  <c r="DY212" i="1" l="1"/>
  <c r="DY211" i="1"/>
  <c r="DW201" i="1"/>
  <c r="C69" i="153" l="1"/>
  <c r="F68" i="153"/>
  <c r="E68" i="153"/>
  <c r="G68" i="153"/>
  <c r="E66" i="153" l="1"/>
  <c r="H69" i="153"/>
  <c r="C68" i="153"/>
  <c r="D68" i="153" l="1"/>
  <c r="H68" i="153" l="1"/>
  <c r="DI199" i="1"/>
  <c r="DH199" i="1" s="1"/>
  <c r="DS199" i="1"/>
  <c r="DR199" i="1" s="1"/>
  <c r="DT199" i="1"/>
  <c r="DI198" i="1"/>
  <c r="DN198" i="1" s="1"/>
  <c r="DS198" i="1"/>
  <c r="G66" i="153" l="1"/>
  <c r="F66" i="153"/>
  <c r="DN199" i="1"/>
  <c r="DO210" i="1" s="1"/>
  <c r="DJ209" i="1"/>
  <c r="DJ210" i="1"/>
  <c r="DM199" i="1" l="1"/>
  <c r="DX199" i="1"/>
  <c r="DO209" i="1"/>
  <c r="D66" i="153"/>
  <c r="DY210" i="1" l="1"/>
  <c r="DW199" i="1"/>
  <c r="C66" i="153"/>
  <c r="DS197" i="1"/>
  <c r="H66" i="153" l="1"/>
  <c r="DR198" i="1" l="1"/>
  <c r="DT198" i="1"/>
  <c r="F65" i="153" l="1"/>
  <c r="G65" i="153"/>
  <c r="E65" i="153"/>
  <c r="DM198" i="1"/>
  <c r="DH198" i="1"/>
  <c r="D65" i="153" l="1"/>
  <c r="DX198" i="1"/>
  <c r="DI197" i="1"/>
  <c r="DJ208" i="1" s="1"/>
  <c r="DR197" i="1"/>
  <c r="DT197" i="1"/>
  <c r="DW198" i="1" l="1"/>
  <c r="DY209" i="1"/>
  <c r="F64" i="153"/>
  <c r="G64" i="153"/>
  <c r="DN197" i="1"/>
  <c r="DX197" i="1" s="1"/>
  <c r="DY208" i="1" s="1"/>
  <c r="DH197" i="1"/>
  <c r="E64" i="153" l="1"/>
  <c r="DM197" i="1"/>
  <c r="DO208" i="1"/>
  <c r="D64" i="153"/>
  <c r="C65" i="153"/>
  <c r="DW197" i="1"/>
  <c r="DI196" i="1"/>
  <c r="DS196" i="1"/>
  <c r="DR196" i="1" s="1"/>
  <c r="DT196" i="1"/>
  <c r="DH196" i="1" l="1"/>
  <c r="DJ207" i="1"/>
  <c r="H65" i="153"/>
  <c r="E63" i="153"/>
  <c r="F63" i="153"/>
  <c r="G63" i="153"/>
  <c r="C64" i="153"/>
  <c r="DN196" i="1"/>
  <c r="DM196" i="1" l="1"/>
  <c r="DO207" i="1"/>
  <c r="H64" i="153"/>
  <c r="DX196" i="1"/>
  <c r="DI195" i="1"/>
  <c r="DS195" i="1"/>
  <c r="DR195" i="1" s="1"/>
  <c r="DT195" i="1"/>
  <c r="DH195" i="1" l="1"/>
  <c r="DJ206" i="1"/>
  <c r="DW196" i="1"/>
  <c r="DY207" i="1"/>
  <c r="D63" i="153"/>
  <c r="E62" i="153"/>
  <c r="F62" i="153"/>
  <c r="G62" i="153"/>
  <c r="DN195" i="1"/>
  <c r="DO206" i="1" s="1"/>
  <c r="C63" i="153" l="1"/>
  <c r="DM195" i="1"/>
  <c r="DX195" i="1"/>
  <c r="DY206" i="1" s="1"/>
  <c r="D62" i="153" l="1"/>
  <c r="H63" i="153"/>
  <c r="DW195" i="1"/>
  <c r="C62" i="153" l="1"/>
  <c r="H62" i="153" l="1"/>
  <c r="E61" i="153" l="1"/>
  <c r="DS194" i="1"/>
  <c r="DR194" i="1" s="1"/>
  <c r="DT194" i="1"/>
  <c r="DI194" i="1"/>
  <c r="DN194" i="1" s="1"/>
  <c r="G61" i="153" l="1"/>
  <c r="F61" i="153"/>
  <c r="DM194" i="1"/>
  <c r="DO205" i="1"/>
  <c r="DH194" i="1"/>
  <c r="DJ205" i="1"/>
  <c r="DX194" i="1"/>
  <c r="DY205" i="1" s="1"/>
  <c r="D129" i="156"/>
  <c r="E128" i="156"/>
  <c r="D128" i="156"/>
  <c r="D127" i="156"/>
  <c r="D126" i="156"/>
  <c r="D125" i="156"/>
  <c r="D124" i="156"/>
  <c r="D123" i="156"/>
  <c r="D122" i="156"/>
  <c r="D121" i="156"/>
  <c r="D120" i="156"/>
  <c r="D119" i="156"/>
  <c r="D118" i="156"/>
  <c r="D117" i="156"/>
  <c r="E116" i="156"/>
  <c r="D116" i="156"/>
  <c r="D115" i="156"/>
  <c r="D114" i="156"/>
  <c r="D113" i="156"/>
  <c r="D112" i="156"/>
  <c r="D111" i="156"/>
  <c r="D110" i="156"/>
  <c r="D109" i="156"/>
  <c r="D108" i="156"/>
  <c r="D107" i="156"/>
  <c r="D106" i="156"/>
  <c r="D105" i="156"/>
  <c r="E104" i="156"/>
  <c r="D104" i="156"/>
  <c r="D103" i="156"/>
  <c r="D102" i="156"/>
  <c r="D101" i="156"/>
  <c r="D100" i="156"/>
  <c r="D99" i="156"/>
  <c r="D98" i="156"/>
  <c r="D97" i="156"/>
  <c r="D96" i="156"/>
  <c r="D95" i="156"/>
  <c r="D94" i="156"/>
  <c r="D93" i="156"/>
  <c r="E92" i="156"/>
  <c r="D92" i="156"/>
  <c r="D91" i="156"/>
  <c r="D90" i="156"/>
  <c r="D89" i="156"/>
  <c r="D88" i="156"/>
  <c r="D87" i="156"/>
  <c r="D86" i="156"/>
  <c r="D85" i="156"/>
  <c r="D84" i="156"/>
  <c r="D83" i="156"/>
  <c r="D82" i="156"/>
  <c r="D81" i="156"/>
  <c r="E80" i="156"/>
  <c r="D80" i="156"/>
  <c r="D79" i="156"/>
  <c r="D78" i="156"/>
  <c r="D77" i="156"/>
  <c r="D76" i="156"/>
  <c r="D75" i="156"/>
  <c r="D74" i="156"/>
  <c r="D73" i="156"/>
  <c r="D72" i="156"/>
  <c r="D71" i="156"/>
  <c r="D70" i="156"/>
  <c r="D69" i="156"/>
  <c r="E68" i="156"/>
  <c r="D68" i="156"/>
  <c r="D67" i="156"/>
  <c r="D66" i="156"/>
  <c r="D65" i="156"/>
  <c r="D64" i="156"/>
  <c r="D63" i="156"/>
  <c r="D62" i="156"/>
  <c r="D61" i="156"/>
  <c r="D60" i="156"/>
  <c r="D59" i="156"/>
  <c r="D58" i="156"/>
  <c r="D57" i="156"/>
  <c r="E56" i="156"/>
  <c r="D56" i="156"/>
  <c r="D55" i="156"/>
  <c r="D54" i="156"/>
  <c r="D53" i="156"/>
  <c r="D52" i="156"/>
  <c r="D51" i="156"/>
  <c r="D50" i="156"/>
  <c r="D49" i="156"/>
  <c r="D48" i="156"/>
  <c r="D47" i="156"/>
  <c r="D46" i="156"/>
  <c r="D45" i="156"/>
  <c r="E44" i="156"/>
  <c r="D44" i="156"/>
  <c r="D43" i="156"/>
  <c r="D42" i="156"/>
  <c r="D41" i="156"/>
  <c r="D40" i="156"/>
  <c r="D39" i="156"/>
  <c r="D38" i="156"/>
  <c r="D37" i="156"/>
  <c r="D36" i="156"/>
  <c r="D35" i="156"/>
  <c r="D34" i="156"/>
  <c r="D33" i="156"/>
  <c r="E32" i="156"/>
  <c r="D32" i="156"/>
  <c r="D31" i="156"/>
  <c r="D30" i="156"/>
  <c r="D29" i="156"/>
  <c r="D28" i="156"/>
  <c r="D27" i="156"/>
  <c r="D26" i="156"/>
  <c r="D25" i="156"/>
  <c r="D24" i="156"/>
  <c r="D23" i="156"/>
  <c r="D22" i="156"/>
  <c r="D21" i="156"/>
  <c r="E20" i="156"/>
  <c r="D20" i="156"/>
  <c r="D19" i="156"/>
  <c r="D18" i="156"/>
  <c r="D17" i="156"/>
  <c r="D16" i="156"/>
  <c r="D15" i="156"/>
  <c r="D14" i="156"/>
  <c r="D13" i="156"/>
  <c r="D12" i="156"/>
  <c r="D11" i="156"/>
  <c r="D10" i="156"/>
  <c r="D9" i="156"/>
  <c r="F80" i="156" l="1"/>
  <c r="F128" i="156"/>
  <c r="F32" i="156"/>
  <c r="F68" i="156"/>
  <c r="F116" i="156"/>
  <c r="F44" i="156"/>
  <c r="F92" i="156"/>
  <c r="F56" i="156"/>
  <c r="F104" i="156"/>
  <c r="D61" i="153"/>
  <c r="DW194" i="1"/>
  <c r="C61" i="153" l="1"/>
  <c r="H61" i="153" l="1"/>
  <c r="DT193" i="1" l="1"/>
  <c r="DS193" i="1"/>
  <c r="DR193" i="1" s="1"/>
  <c r="DI193" i="1"/>
  <c r="DN193" i="1" l="1"/>
  <c r="DO204" i="1" s="1"/>
  <c r="DJ204" i="1"/>
  <c r="DH193" i="1"/>
  <c r="DT192" i="1"/>
  <c r="DM193" i="1" l="1"/>
  <c r="DX193" i="1"/>
  <c r="DS192" i="1"/>
  <c r="DR192" i="1" s="1"/>
  <c r="DI192" i="1"/>
  <c r="DH192" i="1" l="1"/>
  <c r="DJ203" i="1"/>
  <c r="DW193" i="1"/>
  <c r="DY204" i="1"/>
  <c r="DT191" i="1"/>
  <c r="DS191" i="1"/>
  <c r="DR191" i="1" s="1"/>
  <c r="DI191" i="1"/>
  <c r="DN191" i="1" s="1"/>
  <c r="DT190" i="1"/>
  <c r="DS190" i="1"/>
  <c r="DR190" i="1" s="1"/>
  <c r="DI190" i="1"/>
  <c r="DM191" i="1" l="1"/>
  <c r="DH190" i="1"/>
  <c r="DJ201" i="1"/>
  <c r="DH191" i="1"/>
  <c r="DJ202" i="1"/>
  <c r="DX191" i="1"/>
  <c r="DT189" i="1"/>
  <c r="DS189" i="1"/>
  <c r="DR189" i="1" s="1"/>
  <c r="DW191" i="1" l="1"/>
  <c r="DI189" i="1"/>
  <c r="DH189" i="1" s="1"/>
  <c r="DT188" i="1" l="1"/>
  <c r="DS188" i="1"/>
  <c r="DR188" i="1" s="1"/>
  <c r="DI188" i="1"/>
  <c r="AF187" i="1"/>
  <c r="AC187" i="1"/>
  <c r="DH188" i="1" l="1"/>
  <c r="DJ199" i="1"/>
  <c r="DT186" i="1"/>
  <c r="DS186" i="1"/>
  <c r="DR186" i="1" s="1"/>
  <c r="DI186" i="1" l="1"/>
  <c r="DH186" i="1" s="1"/>
  <c r="DN186" i="1" l="1"/>
  <c r="DM186" i="1" s="1"/>
  <c r="DT185" i="1"/>
  <c r="DS185" i="1"/>
  <c r="DR185" i="1" s="1"/>
  <c r="DI185" i="1"/>
  <c r="DH185" i="1" s="1"/>
  <c r="DT184" i="1"/>
  <c r="DS184" i="1"/>
  <c r="DR184" i="1" s="1"/>
  <c r="DI184" i="1"/>
  <c r="DH184" i="1" s="1"/>
  <c r="DT183" i="1"/>
  <c r="DS183" i="1"/>
  <c r="DR183" i="1" s="1"/>
  <c r="DX186" i="1" l="1"/>
  <c r="DW186" i="1" s="1"/>
  <c r="DN185" i="1"/>
  <c r="DX185" i="1" s="1"/>
  <c r="DW185" i="1" s="1"/>
  <c r="DN184" i="1"/>
  <c r="DI183" i="1"/>
  <c r="CW187" i="1"/>
  <c r="CR187" i="1"/>
  <c r="CM187" i="1"/>
  <c r="CH182" i="1"/>
  <c r="CC187" i="1"/>
  <c r="BX187" i="1"/>
  <c r="BS187" i="1"/>
  <c r="BI187" i="1"/>
  <c r="BD187" i="1"/>
  <c r="AY187" i="1"/>
  <c r="AT187" i="1"/>
  <c r="AO187" i="1"/>
  <c r="AJ187" i="1"/>
  <c r="AF182" i="1"/>
  <c r="AC182" i="1"/>
  <c r="U187" i="1"/>
  <c r="P187" i="1"/>
  <c r="DT181" i="1"/>
  <c r="DS181" i="1"/>
  <c r="DR181" i="1" s="1"/>
  <c r="DI181" i="1"/>
  <c r="DN181" i="1" s="1"/>
  <c r="DT180" i="1"/>
  <c r="DS180" i="1"/>
  <c r="DR180" i="1" s="1"/>
  <c r="DI180" i="1"/>
  <c r="Z187" i="1" l="1"/>
  <c r="DM185" i="1"/>
  <c r="U182" i="1"/>
  <c r="DM181" i="1"/>
  <c r="DX181" i="1"/>
  <c r="DW181" i="1" s="1"/>
  <c r="DH183" i="1"/>
  <c r="DN183" i="1"/>
  <c r="DM184" i="1"/>
  <c r="DX184" i="1"/>
  <c r="DW184" i="1" s="1"/>
  <c r="DH181" i="1"/>
  <c r="P182" i="1"/>
  <c r="Z182" i="1"/>
  <c r="BS182" i="1"/>
  <c r="CC182" i="1"/>
  <c r="BX182" i="1"/>
  <c r="BN182" i="1"/>
  <c r="DE182" i="1"/>
  <c r="AJ182" i="1"/>
  <c r="AT182" i="1"/>
  <c r="BD182" i="1"/>
  <c r="CM182" i="1"/>
  <c r="CW182" i="1"/>
  <c r="AO182" i="1"/>
  <c r="AY182" i="1"/>
  <c r="BI182" i="1"/>
  <c r="CR182" i="1"/>
  <c r="DI182" i="1"/>
  <c r="DS182" i="1"/>
  <c r="DR182" i="1" s="1"/>
  <c r="DH180" i="1"/>
  <c r="DT179" i="1"/>
  <c r="DS179" i="1"/>
  <c r="DR179" i="1" s="1"/>
  <c r="DI179" i="1"/>
  <c r="DN179" i="1" s="1"/>
  <c r="DT178" i="1"/>
  <c r="DS178" i="1"/>
  <c r="DR178" i="1" s="1"/>
  <c r="DH179" i="1" l="1"/>
  <c r="DM179" i="1"/>
  <c r="DX179" i="1"/>
  <c r="DW179" i="1" s="1"/>
  <c r="DX183" i="1"/>
  <c r="DW183" i="1" s="1"/>
  <c r="DM183" i="1"/>
  <c r="DH182" i="1"/>
  <c r="DT182" i="1"/>
  <c r="DI178" i="1"/>
  <c r="DN178" i="1" s="1"/>
  <c r="DX178" i="1" l="1"/>
  <c r="DW178" i="1" s="1"/>
  <c r="DM178" i="1"/>
  <c r="DH178" i="1"/>
  <c r="DT177" i="1"/>
  <c r="DS177" i="1"/>
  <c r="DR177" i="1" s="1"/>
  <c r="DI177" i="1" l="1"/>
  <c r="DH177" i="1" s="1"/>
  <c r="DT176" i="1"/>
  <c r="DS176" i="1"/>
  <c r="DR176" i="1" s="1"/>
  <c r="DI176" i="1"/>
  <c r="DH176" i="1" s="1"/>
  <c r="DT175" i="1"/>
  <c r="DS175" i="1"/>
  <c r="DR175" i="1" s="1"/>
  <c r="DI175" i="1"/>
  <c r="DT174" i="1"/>
  <c r="DS174" i="1"/>
  <c r="DR174" i="1" s="1"/>
  <c r="DN177" i="1" l="1"/>
  <c r="DX177" i="1" s="1"/>
  <c r="DW177" i="1" s="1"/>
  <c r="DJ186" i="1"/>
  <c r="DH175" i="1"/>
  <c r="DN175" i="1"/>
  <c r="DI174" i="1"/>
  <c r="DT173" i="1"/>
  <c r="DS173" i="1"/>
  <c r="DR173" i="1" s="1"/>
  <c r="DI173" i="1"/>
  <c r="DU172" i="1"/>
  <c r="DT172" i="1"/>
  <c r="DS172" i="1"/>
  <c r="DR172" i="1" s="1"/>
  <c r="DI172" i="1"/>
  <c r="DM177" i="1" l="1"/>
  <c r="DH174" i="1"/>
  <c r="DJ185" i="1"/>
  <c r="DN174" i="1"/>
  <c r="DM175" i="1"/>
  <c r="DX175" i="1"/>
  <c r="DW175" i="1" s="1"/>
  <c r="DJ183" i="1"/>
  <c r="DJ184" i="1"/>
  <c r="DN172" i="1"/>
  <c r="DH173" i="1"/>
  <c r="DN173" i="1"/>
  <c r="DH172" i="1"/>
  <c r="DT171" i="1"/>
  <c r="DS171" i="1"/>
  <c r="DR171" i="1" s="1"/>
  <c r="DI171" i="1"/>
  <c r="DH171" i="1" s="1"/>
  <c r="DT170" i="1"/>
  <c r="DS170" i="1"/>
  <c r="DR170" i="1" s="1"/>
  <c r="DI170" i="1"/>
  <c r="DH170" i="1" s="1"/>
  <c r="DT169" i="1"/>
  <c r="DS169" i="1"/>
  <c r="DR169" i="1" s="1"/>
  <c r="DI169" i="1"/>
  <c r="DT168" i="1"/>
  <c r="DS168" i="1"/>
  <c r="DR168" i="1" s="1"/>
  <c r="DI168" i="1"/>
  <c r="DH168" i="1" s="1"/>
  <c r="DT167" i="1"/>
  <c r="DS167" i="1"/>
  <c r="DR167" i="1" s="1"/>
  <c r="DI167" i="1"/>
  <c r="DT166" i="1"/>
  <c r="DS166" i="1"/>
  <c r="DR166" i="1" s="1"/>
  <c r="DI166" i="1"/>
  <c r="DN166" i="1" s="1"/>
  <c r="DT165" i="1"/>
  <c r="DS165" i="1"/>
  <c r="DR165" i="1" s="1"/>
  <c r="DI165" i="1"/>
  <c r="DH165" i="1" s="1"/>
  <c r="DT164" i="1"/>
  <c r="DS164" i="1"/>
  <c r="DR164" i="1" s="1"/>
  <c r="DI164" i="1"/>
  <c r="DT163" i="1"/>
  <c r="DS163" i="1"/>
  <c r="DR163" i="1" s="1"/>
  <c r="DI163" i="1"/>
  <c r="DT162" i="1"/>
  <c r="DS162" i="1"/>
  <c r="DR162" i="1" s="1"/>
  <c r="DI162" i="1"/>
  <c r="DN162" i="1" s="1"/>
  <c r="DT161" i="1"/>
  <c r="DS161" i="1"/>
  <c r="DR161" i="1" s="1"/>
  <c r="DI161" i="1"/>
  <c r="DH161" i="1" s="1"/>
  <c r="DT160" i="1"/>
  <c r="DS160" i="1"/>
  <c r="DR160" i="1" s="1"/>
  <c r="DI160" i="1"/>
  <c r="DT159" i="1"/>
  <c r="DS159" i="1"/>
  <c r="DR159" i="1" s="1"/>
  <c r="DI159" i="1"/>
  <c r="DN159" i="1" s="1"/>
  <c r="DT158" i="1"/>
  <c r="DS158" i="1"/>
  <c r="DR158" i="1" s="1"/>
  <c r="DI158" i="1"/>
  <c r="DN158" i="1" s="1"/>
  <c r="DT157" i="1"/>
  <c r="DS157" i="1"/>
  <c r="DR157" i="1" s="1"/>
  <c r="DI157" i="1"/>
  <c r="DH157" i="1" s="1"/>
  <c r="DT156" i="1"/>
  <c r="DS156" i="1"/>
  <c r="DR156" i="1" s="1"/>
  <c r="DI156" i="1"/>
  <c r="DT155" i="1"/>
  <c r="DS155" i="1"/>
  <c r="DR155" i="1" s="1"/>
  <c r="DI155" i="1"/>
  <c r="DT154" i="1"/>
  <c r="DS154" i="1"/>
  <c r="DR154" i="1" s="1"/>
  <c r="DI154" i="1"/>
  <c r="DN154" i="1" s="1"/>
  <c r="DT153" i="1"/>
  <c r="DS153" i="1"/>
  <c r="DR153" i="1" s="1"/>
  <c r="DI153" i="1"/>
  <c r="DN153" i="1" s="1"/>
  <c r="DT152" i="1"/>
  <c r="DS152" i="1"/>
  <c r="DR152" i="1" s="1"/>
  <c r="DI152" i="1"/>
  <c r="DT151" i="1"/>
  <c r="DS151" i="1"/>
  <c r="DR151" i="1" s="1"/>
  <c r="DI151" i="1"/>
  <c r="DT150" i="1"/>
  <c r="DS150" i="1"/>
  <c r="DR150" i="1" s="1"/>
  <c r="DI150" i="1"/>
  <c r="DN150" i="1" s="1"/>
  <c r="DT149" i="1"/>
  <c r="DS149" i="1"/>
  <c r="DR149" i="1" s="1"/>
  <c r="DI149" i="1"/>
  <c r="DH149" i="1" s="1"/>
  <c r="DT148" i="1"/>
  <c r="DS148" i="1"/>
  <c r="DR148" i="1" s="1"/>
  <c r="DI148" i="1"/>
  <c r="DT147" i="1"/>
  <c r="DS147" i="1"/>
  <c r="DR147" i="1" s="1"/>
  <c r="DI147" i="1"/>
  <c r="DH147" i="1" s="1"/>
  <c r="DT146" i="1"/>
  <c r="DS146" i="1"/>
  <c r="DR146" i="1" s="1"/>
  <c r="DI146" i="1"/>
  <c r="DH146" i="1" s="1"/>
  <c r="DT145" i="1"/>
  <c r="DS145" i="1"/>
  <c r="DR145" i="1" s="1"/>
  <c r="DI145" i="1"/>
  <c r="DH145" i="1" s="1"/>
  <c r="DT144" i="1"/>
  <c r="DS144" i="1"/>
  <c r="DR144" i="1" s="1"/>
  <c r="DI144" i="1"/>
  <c r="DH144" i="1" s="1"/>
  <c r="DT143" i="1"/>
  <c r="DS143" i="1"/>
  <c r="DR143" i="1" s="1"/>
  <c r="DI143" i="1"/>
  <c r="DH143" i="1" s="1"/>
  <c r="DT142" i="1"/>
  <c r="DS142" i="1"/>
  <c r="DR142" i="1" s="1"/>
  <c r="DI142" i="1"/>
  <c r="DH142" i="1" s="1"/>
  <c r="DT141" i="1"/>
  <c r="DS141" i="1"/>
  <c r="DR141" i="1" s="1"/>
  <c r="DI141" i="1"/>
  <c r="DH141" i="1" s="1"/>
  <c r="DT140" i="1"/>
  <c r="DS140" i="1"/>
  <c r="DR140" i="1" s="1"/>
  <c r="DI140" i="1"/>
  <c r="DT139" i="1"/>
  <c r="DS139" i="1"/>
  <c r="DR139" i="1" s="1"/>
  <c r="DI139" i="1"/>
  <c r="DH139" i="1" s="1"/>
  <c r="DT138" i="1"/>
  <c r="DS138" i="1"/>
  <c r="DR138" i="1" s="1"/>
  <c r="DI138" i="1"/>
  <c r="DH138" i="1" s="1"/>
  <c r="DT137" i="1"/>
  <c r="DS137" i="1"/>
  <c r="DR137" i="1" s="1"/>
  <c r="DI137" i="1"/>
  <c r="DH137" i="1" s="1"/>
  <c r="DT136" i="1"/>
  <c r="DS136" i="1"/>
  <c r="DR136" i="1" s="1"/>
  <c r="DI136" i="1"/>
  <c r="DH136" i="1" s="1"/>
  <c r="DT135" i="1"/>
  <c r="DS135" i="1"/>
  <c r="DR135" i="1" s="1"/>
  <c r="DI135" i="1"/>
  <c r="DH135" i="1" s="1"/>
  <c r="DT134" i="1"/>
  <c r="DS134" i="1"/>
  <c r="DR134" i="1" s="1"/>
  <c r="DI134" i="1"/>
  <c r="DH134" i="1" s="1"/>
  <c r="DT133" i="1"/>
  <c r="DS133" i="1"/>
  <c r="DR133" i="1" s="1"/>
  <c r="DI133" i="1"/>
  <c r="DH133" i="1" s="1"/>
  <c r="DT132" i="1"/>
  <c r="DS132" i="1"/>
  <c r="DR132" i="1" s="1"/>
  <c r="DI132" i="1"/>
  <c r="DT131" i="1"/>
  <c r="DS131" i="1"/>
  <c r="DR131" i="1" s="1"/>
  <c r="DI131" i="1"/>
  <c r="DH131" i="1" s="1"/>
  <c r="DT130" i="1"/>
  <c r="DS130" i="1"/>
  <c r="DR130" i="1" s="1"/>
  <c r="DI130" i="1"/>
  <c r="DH130" i="1" s="1"/>
  <c r="DT129" i="1"/>
  <c r="DS129" i="1"/>
  <c r="DR129" i="1" s="1"/>
  <c r="DI129" i="1"/>
  <c r="DH129" i="1" s="1"/>
  <c r="DT128" i="1"/>
  <c r="DS128" i="1"/>
  <c r="DR128" i="1" s="1"/>
  <c r="DI128" i="1"/>
  <c r="DH128" i="1" s="1"/>
  <c r="DT127" i="1"/>
  <c r="DS127" i="1"/>
  <c r="DR127" i="1" s="1"/>
  <c r="DI127" i="1"/>
  <c r="DH127" i="1" s="1"/>
  <c r="DT126" i="1"/>
  <c r="DS126" i="1"/>
  <c r="DR126" i="1" s="1"/>
  <c r="DI126" i="1"/>
  <c r="DH126" i="1" s="1"/>
  <c r="DS125" i="1"/>
  <c r="DR125" i="1" s="1"/>
  <c r="DI125" i="1"/>
  <c r="DE125" i="1"/>
  <c r="DT124" i="1"/>
  <c r="DS124" i="1"/>
  <c r="DR124" i="1" s="1"/>
  <c r="DI124" i="1"/>
  <c r="DT123" i="1"/>
  <c r="DS123" i="1"/>
  <c r="DR123" i="1" s="1"/>
  <c r="DI123" i="1"/>
  <c r="DH123" i="1" s="1"/>
  <c r="DT122" i="1"/>
  <c r="DS122" i="1"/>
  <c r="DR122" i="1" s="1"/>
  <c r="DI122" i="1"/>
  <c r="DH122" i="1" s="1"/>
  <c r="DT121" i="1"/>
  <c r="DS121" i="1"/>
  <c r="DR121" i="1" s="1"/>
  <c r="DI121" i="1"/>
  <c r="DT120" i="1"/>
  <c r="DS120" i="1"/>
  <c r="DR120" i="1" s="1"/>
  <c r="DI120" i="1"/>
  <c r="DH120" i="1" s="1"/>
  <c r="DT119" i="1"/>
  <c r="DS119" i="1"/>
  <c r="DR119" i="1" s="1"/>
  <c r="DI119" i="1"/>
  <c r="DH119" i="1" s="1"/>
  <c r="DT118" i="1"/>
  <c r="DS118" i="1"/>
  <c r="DR118" i="1" s="1"/>
  <c r="DI118" i="1"/>
  <c r="DT117" i="1"/>
  <c r="DS117" i="1"/>
  <c r="DR117" i="1" s="1"/>
  <c r="DI117" i="1"/>
  <c r="DH117" i="1" s="1"/>
  <c r="DT116" i="1"/>
  <c r="DS116" i="1"/>
  <c r="DR116" i="1" s="1"/>
  <c r="DI116" i="1"/>
  <c r="DH116" i="1" s="1"/>
  <c r="DT115" i="1"/>
  <c r="DS115" i="1"/>
  <c r="DR115" i="1" s="1"/>
  <c r="DI115" i="1"/>
  <c r="DH115" i="1" s="1"/>
  <c r="DT114" i="1"/>
  <c r="DS114" i="1"/>
  <c r="DR114" i="1" s="1"/>
  <c r="DI114" i="1"/>
  <c r="DH114" i="1" s="1"/>
  <c r="DT113" i="1"/>
  <c r="DS113" i="1"/>
  <c r="DR113" i="1" s="1"/>
  <c r="DI113" i="1"/>
  <c r="DT112" i="1"/>
  <c r="DS112" i="1"/>
  <c r="DR112" i="1" s="1"/>
  <c r="DI112" i="1"/>
  <c r="DH112" i="1" s="1"/>
  <c r="DT111" i="1"/>
  <c r="DS111" i="1"/>
  <c r="DR111" i="1" s="1"/>
  <c r="DI111" i="1"/>
  <c r="DN111" i="1" s="1"/>
  <c r="DT110" i="1"/>
  <c r="DS110" i="1"/>
  <c r="DR110" i="1" s="1"/>
  <c r="DI110" i="1"/>
  <c r="DT109" i="1"/>
  <c r="DS109" i="1"/>
  <c r="DR109" i="1" s="1"/>
  <c r="DI109" i="1"/>
  <c r="DH109" i="1" s="1"/>
  <c r="EJ108" i="1"/>
  <c r="EI108" i="1"/>
  <c r="DT108" i="1"/>
  <c r="DS108" i="1"/>
  <c r="DR108" i="1" s="1"/>
  <c r="DI108" i="1"/>
  <c r="DN108" i="1" s="1"/>
  <c r="DM108" i="1" s="1"/>
  <c r="EJ107" i="1"/>
  <c r="EI107" i="1"/>
  <c r="DT107" i="1"/>
  <c r="DS107" i="1"/>
  <c r="DR107" i="1" s="1"/>
  <c r="DI107" i="1"/>
  <c r="DH107" i="1" s="1"/>
  <c r="EJ106" i="1"/>
  <c r="EI106" i="1"/>
  <c r="DT106" i="1"/>
  <c r="DS106" i="1"/>
  <c r="DR106" i="1" s="1"/>
  <c r="DI106" i="1"/>
  <c r="DH106" i="1" s="1"/>
  <c r="EJ105" i="1"/>
  <c r="EI105" i="1"/>
  <c r="DT105" i="1"/>
  <c r="DS105" i="1"/>
  <c r="DR105" i="1" s="1"/>
  <c r="DI105" i="1"/>
  <c r="DH105" i="1" s="1"/>
  <c r="EJ104" i="1"/>
  <c r="EI104" i="1"/>
  <c r="DT104" i="1"/>
  <c r="DS104" i="1"/>
  <c r="DR104" i="1" s="1"/>
  <c r="DI104" i="1"/>
  <c r="DH104" i="1" s="1"/>
  <c r="EJ103" i="1"/>
  <c r="EI103" i="1"/>
  <c r="DT103" i="1"/>
  <c r="DS103" i="1"/>
  <c r="DR103" i="1" s="1"/>
  <c r="DI103" i="1"/>
  <c r="DN103" i="1" s="1"/>
  <c r="DM103" i="1" s="1"/>
  <c r="EJ102" i="1"/>
  <c r="EI102" i="1"/>
  <c r="DT102" i="1"/>
  <c r="DS102" i="1"/>
  <c r="DR102" i="1" s="1"/>
  <c r="DI102" i="1"/>
  <c r="DH102" i="1" s="1"/>
  <c r="EJ101" i="1"/>
  <c r="EI101" i="1"/>
  <c r="DT101" i="1"/>
  <c r="DS101" i="1"/>
  <c r="DR101" i="1" s="1"/>
  <c r="DI101" i="1"/>
  <c r="DH101" i="1" s="1"/>
  <c r="EJ100" i="1"/>
  <c r="EI100" i="1"/>
  <c r="DT100" i="1"/>
  <c r="DS100" i="1"/>
  <c r="DR100" i="1" s="1"/>
  <c r="DI100" i="1"/>
  <c r="DN100" i="1" s="1"/>
  <c r="EJ99" i="1"/>
  <c r="EI99" i="1"/>
  <c r="DT99" i="1"/>
  <c r="DS99" i="1"/>
  <c r="DR99" i="1" s="1"/>
  <c r="DI99" i="1"/>
  <c r="DH99" i="1" s="1"/>
  <c r="EJ98" i="1"/>
  <c r="EI98" i="1"/>
  <c r="DT98" i="1"/>
  <c r="DS98" i="1"/>
  <c r="DR98" i="1" s="1"/>
  <c r="DI98" i="1"/>
  <c r="EJ97" i="1"/>
  <c r="EI97" i="1"/>
  <c r="DT97" i="1"/>
  <c r="DS97" i="1"/>
  <c r="DR97" i="1" s="1"/>
  <c r="DI97" i="1"/>
  <c r="EJ96" i="1"/>
  <c r="EI96" i="1"/>
  <c r="DT96" i="1"/>
  <c r="DS96" i="1"/>
  <c r="DR96" i="1" s="1"/>
  <c r="DI96" i="1"/>
  <c r="EJ95" i="1"/>
  <c r="EI95" i="1"/>
  <c r="DT95" i="1"/>
  <c r="DS95" i="1"/>
  <c r="DR95" i="1" s="1"/>
  <c r="DI95" i="1"/>
  <c r="DH95" i="1" s="1"/>
  <c r="EJ94" i="1"/>
  <c r="EI94" i="1"/>
  <c r="DT94" i="1"/>
  <c r="DS94" i="1"/>
  <c r="DR94" i="1" s="1"/>
  <c r="DI94" i="1"/>
  <c r="EJ93" i="1"/>
  <c r="EI93" i="1"/>
  <c r="DT93" i="1"/>
  <c r="DS93" i="1"/>
  <c r="DR93" i="1" s="1"/>
  <c r="DI93" i="1"/>
  <c r="DH93" i="1" s="1"/>
  <c r="EJ92" i="1"/>
  <c r="EI92" i="1"/>
  <c r="DT92" i="1"/>
  <c r="DS92" i="1"/>
  <c r="DR92" i="1" s="1"/>
  <c r="DI92" i="1"/>
  <c r="EJ91" i="1"/>
  <c r="DT91" i="1"/>
  <c r="EI91" i="1"/>
  <c r="EJ90" i="1"/>
  <c r="DT90" i="1"/>
  <c r="EJ89" i="1"/>
  <c r="DT89" i="1"/>
  <c r="AE89" i="1"/>
  <c r="EI88" i="1"/>
  <c r="DS88" i="1"/>
  <c r="DR88" i="1" s="1"/>
  <c r="DI88" i="1"/>
  <c r="AE88" i="1"/>
  <c r="EI87" i="1"/>
  <c r="DS87" i="1"/>
  <c r="DR87" i="1" s="1"/>
  <c r="DI87" i="1"/>
  <c r="DH87" i="1" s="1"/>
  <c r="EI86" i="1"/>
  <c r="DS86" i="1"/>
  <c r="DI86" i="1"/>
  <c r="EI85" i="1"/>
  <c r="DS85" i="1"/>
  <c r="DR85" i="1" s="1"/>
  <c r="DI85" i="1"/>
  <c r="DH85" i="1" s="1"/>
  <c r="EI84" i="1"/>
  <c r="DS84" i="1"/>
  <c r="DR84" i="1" s="1"/>
  <c r="DI84" i="1"/>
  <c r="DH84" i="1" s="1"/>
  <c r="EI83" i="1"/>
  <c r="DS83" i="1"/>
  <c r="DR83" i="1" s="1"/>
  <c r="DI83" i="1"/>
  <c r="DH83" i="1" s="1"/>
  <c r="EI82" i="1"/>
  <c r="DS82" i="1"/>
  <c r="DR82" i="1" s="1"/>
  <c r="DI82" i="1"/>
  <c r="EI81" i="1"/>
  <c r="DS81" i="1"/>
  <c r="DR81" i="1" s="1"/>
  <c r="DI81" i="1"/>
  <c r="DN81" i="1" s="1"/>
  <c r="EI79" i="1"/>
  <c r="EI78" i="1"/>
  <c r="S77" i="1"/>
  <c r="P77" i="1"/>
  <c r="DS76" i="1"/>
  <c r="DR76" i="1" s="1"/>
  <c r="DI76" i="1"/>
  <c r="DH76" i="1" s="1"/>
  <c r="DE76" i="1"/>
  <c r="DC76" i="1"/>
  <c r="CZ76" i="1"/>
  <c r="CW76" i="1"/>
  <c r="CU76" i="1"/>
  <c r="CR76" i="1"/>
  <c r="CP76" i="1"/>
  <c r="CM76" i="1"/>
  <c r="CK76" i="1"/>
  <c r="CH76" i="1"/>
  <c r="CF76" i="1"/>
  <c r="CC76" i="1"/>
  <c r="CA76" i="1"/>
  <c r="BX76" i="1"/>
  <c r="BV76" i="1"/>
  <c r="BS76" i="1"/>
  <c r="BQ76" i="1"/>
  <c r="BN76" i="1"/>
  <c r="BL76" i="1"/>
  <c r="BI76" i="1"/>
  <c r="BG76" i="1"/>
  <c r="BD76" i="1"/>
  <c r="BB76" i="1"/>
  <c r="AY76" i="1"/>
  <c r="AW76" i="1"/>
  <c r="AT76" i="1"/>
  <c r="AR76" i="1"/>
  <c r="AO76" i="1"/>
  <c r="AM76" i="1"/>
  <c r="AJ76" i="1"/>
  <c r="AH76" i="1"/>
  <c r="AD76" i="1"/>
  <c r="AC76" i="1" s="1"/>
  <c r="Z76" i="1"/>
  <c r="X76" i="1"/>
  <c r="U76" i="1"/>
  <c r="S76" i="1"/>
  <c r="P76" i="1"/>
  <c r="N76" i="1"/>
  <c r="D76" i="1"/>
  <c r="DS75" i="1"/>
  <c r="DR75" i="1" s="1"/>
  <c r="DI75" i="1"/>
  <c r="DE75" i="1"/>
  <c r="DC75" i="1"/>
  <c r="CZ75" i="1"/>
  <c r="CW75" i="1"/>
  <c r="CU75" i="1"/>
  <c r="CR75" i="1"/>
  <c r="CP75" i="1"/>
  <c r="CM75" i="1"/>
  <c r="CK75" i="1"/>
  <c r="CH75" i="1"/>
  <c r="CF75" i="1"/>
  <c r="CC75" i="1"/>
  <c r="CA75" i="1"/>
  <c r="BX75" i="1"/>
  <c r="BV75" i="1"/>
  <c r="BS75" i="1"/>
  <c r="BQ75" i="1"/>
  <c r="BN75" i="1"/>
  <c r="BL75" i="1"/>
  <c r="BI75" i="1"/>
  <c r="BG75" i="1"/>
  <c r="BD75" i="1"/>
  <c r="BB75" i="1"/>
  <c r="AY75" i="1"/>
  <c r="AW75" i="1"/>
  <c r="AT75" i="1"/>
  <c r="AR75" i="1"/>
  <c r="AO75" i="1"/>
  <c r="AM75" i="1"/>
  <c r="AJ75" i="1"/>
  <c r="AH75" i="1"/>
  <c r="AD75" i="1"/>
  <c r="AC75" i="1" s="1"/>
  <c r="Z75" i="1"/>
  <c r="X75" i="1"/>
  <c r="U75" i="1"/>
  <c r="S75" i="1"/>
  <c r="P75" i="1"/>
  <c r="N75" i="1"/>
  <c r="D75" i="1"/>
  <c r="DS74" i="1"/>
  <c r="DR74" i="1" s="1"/>
  <c r="DI74" i="1"/>
  <c r="DH74" i="1" s="1"/>
  <c r="DE74" i="1"/>
  <c r="DC74" i="1"/>
  <c r="CZ74" i="1"/>
  <c r="CW74" i="1"/>
  <c r="CU74" i="1"/>
  <c r="CR74" i="1"/>
  <c r="CP74" i="1"/>
  <c r="CM74" i="1"/>
  <c r="CK74" i="1"/>
  <c r="CH74" i="1"/>
  <c r="CF74" i="1"/>
  <c r="CC74" i="1"/>
  <c r="CA74" i="1"/>
  <c r="BX74" i="1"/>
  <c r="BV74" i="1"/>
  <c r="BS74" i="1"/>
  <c r="BQ74" i="1"/>
  <c r="BN74" i="1"/>
  <c r="BL74" i="1"/>
  <c r="BI74" i="1"/>
  <c r="BG74" i="1"/>
  <c r="BD74" i="1"/>
  <c r="BB74" i="1"/>
  <c r="AY74" i="1"/>
  <c r="AW74" i="1"/>
  <c r="AT74" i="1"/>
  <c r="AR74" i="1"/>
  <c r="AO74" i="1"/>
  <c r="AM74" i="1"/>
  <c r="AJ74" i="1"/>
  <c r="AH74" i="1"/>
  <c r="AD74" i="1"/>
  <c r="Z74" i="1"/>
  <c r="X74" i="1"/>
  <c r="U74" i="1"/>
  <c r="S74" i="1"/>
  <c r="P74" i="1"/>
  <c r="N74" i="1"/>
  <c r="D74" i="1"/>
  <c r="DS73" i="1"/>
  <c r="DR73" i="1" s="1"/>
  <c r="DI73" i="1"/>
  <c r="DH73" i="1" s="1"/>
  <c r="DE73" i="1"/>
  <c r="DC73" i="1"/>
  <c r="CZ73" i="1"/>
  <c r="CW73" i="1"/>
  <c r="CU73" i="1"/>
  <c r="CR73" i="1"/>
  <c r="CP73" i="1"/>
  <c r="CM73" i="1"/>
  <c r="CK73" i="1"/>
  <c r="CH73" i="1"/>
  <c r="CF73" i="1"/>
  <c r="CC73" i="1"/>
  <c r="CA73" i="1"/>
  <c r="BX73" i="1"/>
  <c r="BV73" i="1"/>
  <c r="BS73" i="1"/>
  <c r="BQ73" i="1"/>
  <c r="BN73" i="1"/>
  <c r="BL73" i="1"/>
  <c r="BI73" i="1"/>
  <c r="BG73" i="1"/>
  <c r="BD73" i="1"/>
  <c r="BB73" i="1"/>
  <c r="AY73" i="1"/>
  <c r="AW73" i="1"/>
  <c r="AT73" i="1"/>
  <c r="AR73" i="1"/>
  <c r="AO73" i="1"/>
  <c r="AM73" i="1"/>
  <c r="AJ73" i="1"/>
  <c r="AH73" i="1"/>
  <c r="AD73" i="1"/>
  <c r="AC73" i="1" s="1"/>
  <c r="Z73" i="1"/>
  <c r="X73" i="1"/>
  <c r="U73" i="1"/>
  <c r="S73" i="1"/>
  <c r="P73" i="1"/>
  <c r="N73" i="1"/>
  <c r="D73" i="1"/>
  <c r="DS72" i="1"/>
  <c r="DR72" i="1" s="1"/>
  <c r="DI72" i="1"/>
  <c r="DH72" i="1" s="1"/>
  <c r="DE72" i="1"/>
  <c r="DC72" i="1"/>
  <c r="CZ72" i="1"/>
  <c r="CW72" i="1"/>
  <c r="CU72" i="1"/>
  <c r="CR72" i="1"/>
  <c r="CP72" i="1"/>
  <c r="CM72" i="1"/>
  <c r="CK72" i="1"/>
  <c r="CH72" i="1"/>
  <c r="CF72" i="1"/>
  <c r="CC72" i="1"/>
  <c r="CA72" i="1"/>
  <c r="BX72" i="1"/>
  <c r="BV72" i="1"/>
  <c r="BS72" i="1"/>
  <c r="BQ72" i="1"/>
  <c r="BN72" i="1"/>
  <c r="BL72" i="1"/>
  <c r="BI72" i="1"/>
  <c r="BG72" i="1"/>
  <c r="BD72" i="1"/>
  <c r="BB72" i="1"/>
  <c r="AY72" i="1"/>
  <c r="AW72" i="1"/>
  <c r="AT72" i="1"/>
  <c r="AR72" i="1"/>
  <c r="AO72" i="1"/>
  <c r="AM72" i="1"/>
  <c r="AJ72" i="1"/>
  <c r="AH72" i="1"/>
  <c r="AF72" i="1"/>
  <c r="AD72" i="1"/>
  <c r="Z72" i="1"/>
  <c r="X72" i="1"/>
  <c r="U72" i="1"/>
  <c r="S72" i="1"/>
  <c r="P72" i="1"/>
  <c r="N72" i="1"/>
  <c r="D72" i="1"/>
  <c r="DS71" i="1"/>
  <c r="DR71" i="1" s="1"/>
  <c r="DI71" i="1"/>
  <c r="DE71" i="1"/>
  <c r="DC71" i="1"/>
  <c r="CZ71" i="1"/>
  <c r="CW71" i="1"/>
  <c r="CU71" i="1"/>
  <c r="CR71" i="1"/>
  <c r="CP71" i="1"/>
  <c r="CM71" i="1"/>
  <c r="CK71" i="1"/>
  <c r="CH71" i="1"/>
  <c r="CF71" i="1"/>
  <c r="CC71" i="1"/>
  <c r="CA71" i="1"/>
  <c r="BX71" i="1"/>
  <c r="BV71" i="1"/>
  <c r="BS71" i="1"/>
  <c r="BQ71" i="1"/>
  <c r="BN71" i="1"/>
  <c r="BL71" i="1"/>
  <c r="BI71" i="1"/>
  <c r="BG71" i="1"/>
  <c r="BD71" i="1"/>
  <c r="BB71" i="1"/>
  <c r="AY71" i="1"/>
  <c r="AW71" i="1"/>
  <c r="AT71" i="1"/>
  <c r="AR71" i="1"/>
  <c r="AO71" i="1"/>
  <c r="AM71" i="1"/>
  <c r="AJ71" i="1"/>
  <c r="AH71" i="1"/>
  <c r="AF71" i="1"/>
  <c r="AD71" i="1"/>
  <c r="AC71" i="1" s="1"/>
  <c r="Z71" i="1"/>
  <c r="X71" i="1"/>
  <c r="U71" i="1"/>
  <c r="S71" i="1"/>
  <c r="P71" i="1"/>
  <c r="N71" i="1"/>
  <c r="D71" i="1"/>
  <c r="DS70" i="1"/>
  <c r="DR70" i="1" s="1"/>
  <c r="DI70" i="1"/>
  <c r="DH70" i="1" s="1"/>
  <c r="DE70" i="1"/>
  <c r="DC70" i="1"/>
  <c r="CZ70" i="1"/>
  <c r="CW70" i="1"/>
  <c r="CU70" i="1"/>
  <c r="CR70" i="1"/>
  <c r="CP70" i="1"/>
  <c r="CM70" i="1"/>
  <c r="CK70" i="1"/>
  <c r="CH70" i="1"/>
  <c r="CF70" i="1"/>
  <c r="CC70" i="1"/>
  <c r="CA70" i="1"/>
  <c r="BX70" i="1"/>
  <c r="BV70" i="1"/>
  <c r="BS70" i="1"/>
  <c r="BQ70" i="1"/>
  <c r="BN70" i="1"/>
  <c r="BL70" i="1"/>
  <c r="BI70" i="1"/>
  <c r="BG70" i="1"/>
  <c r="BD70" i="1"/>
  <c r="BB70" i="1"/>
  <c r="AY70" i="1"/>
  <c r="AW70" i="1"/>
  <c r="AT70" i="1"/>
  <c r="AR70" i="1"/>
  <c r="AO70" i="1"/>
  <c r="AM70" i="1"/>
  <c r="AJ70" i="1"/>
  <c r="AH70" i="1"/>
  <c r="AF70" i="1"/>
  <c r="AD70" i="1"/>
  <c r="AC70" i="1" s="1"/>
  <c r="Z70" i="1"/>
  <c r="X70" i="1"/>
  <c r="U70" i="1"/>
  <c r="S70" i="1"/>
  <c r="P70" i="1"/>
  <c r="N70" i="1"/>
  <c r="D70" i="1"/>
  <c r="DS69" i="1"/>
  <c r="DR69" i="1" s="1"/>
  <c r="DI69" i="1"/>
  <c r="DH69" i="1" s="1"/>
  <c r="DE69" i="1"/>
  <c r="DC69" i="1"/>
  <c r="CZ69" i="1"/>
  <c r="CW69" i="1"/>
  <c r="CU69" i="1"/>
  <c r="CR69" i="1"/>
  <c r="CP69" i="1"/>
  <c r="CM69" i="1"/>
  <c r="CK69" i="1"/>
  <c r="CH69" i="1"/>
  <c r="CF69" i="1"/>
  <c r="CC69" i="1"/>
  <c r="CA69" i="1"/>
  <c r="BX69" i="1"/>
  <c r="BV69" i="1"/>
  <c r="BS69" i="1"/>
  <c r="BQ69" i="1"/>
  <c r="BN69" i="1"/>
  <c r="BL69" i="1"/>
  <c r="BI69" i="1"/>
  <c r="BG69" i="1"/>
  <c r="BD69" i="1"/>
  <c r="BB69" i="1"/>
  <c r="AY69" i="1"/>
  <c r="AW69" i="1"/>
  <c r="AT69" i="1"/>
  <c r="AR69" i="1"/>
  <c r="AO69" i="1"/>
  <c r="AM69" i="1"/>
  <c r="AJ69" i="1"/>
  <c r="AH69" i="1"/>
  <c r="AF69" i="1"/>
  <c r="AD69" i="1"/>
  <c r="Z69" i="1"/>
  <c r="X69" i="1"/>
  <c r="U69" i="1"/>
  <c r="S69" i="1"/>
  <c r="P69" i="1"/>
  <c r="N69" i="1"/>
  <c r="D69" i="1"/>
  <c r="DS68" i="1"/>
  <c r="DR68" i="1" s="1"/>
  <c r="DI68" i="1"/>
  <c r="DH68" i="1" s="1"/>
  <c r="DE68" i="1"/>
  <c r="DC68" i="1"/>
  <c r="CZ68" i="1"/>
  <c r="CW68" i="1"/>
  <c r="CU68" i="1"/>
  <c r="CR68" i="1"/>
  <c r="CP68" i="1"/>
  <c r="CM68" i="1"/>
  <c r="CK68" i="1"/>
  <c r="CH68" i="1"/>
  <c r="CF68" i="1"/>
  <c r="CC68" i="1"/>
  <c r="CA68" i="1"/>
  <c r="BX68" i="1"/>
  <c r="BV68" i="1"/>
  <c r="BS68" i="1"/>
  <c r="BQ68" i="1"/>
  <c r="BN68" i="1"/>
  <c r="BL68" i="1"/>
  <c r="BI68" i="1"/>
  <c r="BG68" i="1"/>
  <c r="BD68" i="1"/>
  <c r="BB68" i="1"/>
  <c r="AY68" i="1"/>
  <c r="AW68" i="1"/>
  <c r="AT68" i="1"/>
  <c r="AR68" i="1"/>
  <c r="AO68" i="1"/>
  <c r="AM68" i="1"/>
  <c r="AJ68" i="1"/>
  <c r="AH68" i="1"/>
  <c r="AF68" i="1"/>
  <c r="AD68" i="1"/>
  <c r="AC68" i="1" s="1"/>
  <c r="Z68" i="1"/>
  <c r="X68" i="1"/>
  <c r="U68" i="1"/>
  <c r="S68" i="1"/>
  <c r="P68" i="1"/>
  <c r="N68" i="1"/>
  <c r="D68" i="1"/>
  <c r="DS67" i="1"/>
  <c r="DR67" i="1" s="1"/>
  <c r="DI67" i="1"/>
  <c r="DH67" i="1" s="1"/>
  <c r="DE67" i="1"/>
  <c r="DC67" i="1"/>
  <c r="CZ67" i="1"/>
  <c r="CW67" i="1"/>
  <c r="CU67" i="1"/>
  <c r="CR67" i="1"/>
  <c r="CP67" i="1"/>
  <c r="CM67" i="1"/>
  <c r="CK67" i="1"/>
  <c r="CH67" i="1"/>
  <c r="CF67" i="1"/>
  <c r="CC67" i="1"/>
  <c r="CA67" i="1"/>
  <c r="BX67" i="1"/>
  <c r="BV67" i="1"/>
  <c r="BS67" i="1"/>
  <c r="BQ67" i="1"/>
  <c r="BN67" i="1"/>
  <c r="BL67" i="1"/>
  <c r="BI67" i="1"/>
  <c r="BG67" i="1"/>
  <c r="BD67" i="1"/>
  <c r="BB67" i="1"/>
  <c r="AY67" i="1"/>
  <c r="AW67" i="1"/>
  <c r="AT67" i="1"/>
  <c r="AR67" i="1"/>
  <c r="AO67" i="1"/>
  <c r="AM67" i="1"/>
  <c r="AJ67" i="1"/>
  <c r="AH67" i="1"/>
  <c r="AF67" i="1"/>
  <c r="AD67" i="1"/>
  <c r="AC67" i="1" s="1"/>
  <c r="Z67" i="1"/>
  <c r="X67" i="1"/>
  <c r="U67" i="1"/>
  <c r="S67" i="1"/>
  <c r="P67" i="1"/>
  <c r="N67" i="1"/>
  <c r="D67" i="1"/>
  <c r="DS66" i="1"/>
  <c r="DR66" i="1" s="1"/>
  <c r="DI66" i="1"/>
  <c r="DH66" i="1" s="1"/>
  <c r="DE66" i="1"/>
  <c r="DC66" i="1"/>
  <c r="CZ66" i="1"/>
  <c r="CW66" i="1"/>
  <c r="CU66" i="1"/>
  <c r="CR66" i="1"/>
  <c r="CP66" i="1"/>
  <c r="CM66" i="1"/>
  <c r="CK66" i="1"/>
  <c r="CH66" i="1"/>
  <c r="CF66" i="1"/>
  <c r="CC66" i="1"/>
  <c r="CA66" i="1"/>
  <c r="BX66" i="1"/>
  <c r="BV66" i="1"/>
  <c r="BS66" i="1"/>
  <c r="BQ66" i="1"/>
  <c r="BN66" i="1"/>
  <c r="BL66" i="1"/>
  <c r="BI66" i="1"/>
  <c r="BG66" i="1"/>
  <c r="BD66" i="1"/>
  <c r="BB66" i="1"/>
  <c r="AY66" i="1"/>
  <c r="AW66" i="1"/>
  <c r="AT66" i="1"/>
  <c r="AR66" i="1"/>
  <c r="AO66" i="1"/>
  <c r="AM66" i="1"/>
  <c r="AJ66" i="1"/>
  <c r="AH66" i="1"/>
  <c r="AF66" i="1"/>
  <c r="AD66" i="1"/>
  <c r="AC66" i="1" s="1"/>
  <c r="Z66" i="1"/>
  <c r="X66" i="1"/>
  <c r="U66" i="1"/>
  <c r="S66" i="1"/>
  <c r="P66" i="1"/>
  <c r="N66" i="1"/>
  <c r="D66" i="1"/>
  <c r="DS65" i="1"/>
  <c r="DI65" i="1"/>
  <c r="DE65" i="1"/>
  <c r="DC65" i="1"/>
  <c r="CZ65" i="1"/>
  <c r="CW65" i="1"/>
  <c r="CU65" i="1"/>
  <c r="CR65" i="1"/>
  <c r="CP65" i="1"/>
  <c r="CM65" i="1"/>
  <c r="CK65" i="1"/>
  <c r="CH65" i="1"/>
  <c r="CF65" i="1"/>
  <c r="CC65" i="1"/>
  <c r="CA65" i="1"/>
  <c r="BX65" i="1"/>
  <c r="BV65" i="1"/>
  <c r="BS65" i="1"/>
  <c r="BQ65" i="1"/>
  <c r="BN65" i="1"/>
  <c r="BL65" i="1"/>
  <c r="BI65" i="1"/>
  <c r="BG65" i="1"/>
  <c r="BD65" i="1"/>
  <c r="BB65" i="1"/>
  <c r="AY65" i="1"/>
  <c r="AW65" i="1"/>
  <c r="AT65" i="1"/>
  <c r="AR65" i="1"/>
  <c r="AO65" i="1"/>
  <c r="AM65" i="1"/>
  <c r="AJ65" i="1"/>
  <c r="AH65" i="1"/>
  <c r="AF65" i="1"/>
  <c r="AD65" i="1"/>
  <c r="AC65" i="1" s="1"/>
  <c r="Z65" i="1"/>
  <c r="X65" i="1"/>
  <c r="U65" i="1"/>
  <c r="S65" i="1"/>
  <c r="P65" i="1"/>
  <c r="N65" i="1"/>
  <c r="D65" i="1"/>
  <c r="DS64" i="1"/>
  <c r="DR64" i="1" s="1"/>
  <c r="DI64" i="1"/>
  <c r="DH64" i="1" s="1"/>
  <c r="DE64" i="1"/>
  <c r="DC64" i="1"/>
  <c r="CZ64" i="1"/>
  <c r="CW64" i="1"/>
  <c r="CU64" i="1"/>
  <c r="CR64" i="1"/>
  <c r="CP64" i="1"/>
  <c r="CM64" i="1"/>
  <c r="CK64" i="1"/>
  <c r="CH64" i="1"/>
  <c r="CF64" i="1"/>
  <c r="CC64" i="1"/>
  <c r="CA64" i="1"/>
  <c r="BX64" i="1"/>
  <c r="BV64" i="1"/>
  <c r="BS64" i="1"/>
  <c r="BQ64" i="1"/>
  <c r="BN64" i="1"/>
  <c r="BL64" i="1"/>
  <c r="BI64" i="1"/>
  <c r="BG64" i="1"/>
  <c r="BD64" i="1"/>
  <c r="BB64" i="1"/>
  <c r="AY64" i="1"/>
  <c r="AW64" i="1"/>
  <c r="AT64" i="1"/>
  <c r="AR64" i="1"/>
  <c r="AO64" i="1"/>
  <c r="AM64" i="1"/>
  <c r="AJ64" i="1"/>
  <c r="AH64" i="1"/>
  <c r="AF64" i="1"/>
  <c r="AD64" i="1"/>
  <c r="AC64" i="1" s="1"/>
  <c r="Z64" i="1"/>
  <c r="X64" i="1"/>
  <c r="U64" i="1"/>
  <c r="S64" i="1"/>
  <c r="P64" i="1"/>
  <c r="N64" i="1"/>
  <c r="D64" i="1"/>
  <c r="DS63" i="1"/>
  <c r="DR63" i="1" s="1"/>
  <c r="DI63" i="1"/>
  <c r="DE63" i="1"/>
  <c r="DC63" i="1"/>
  <c r="CZ63" i="1"/>
  <c r="CW63" i="1"/>
  <c r="CU63" i="1"/>
  <c r="CR63" i="1"/>
  <c r="CP63" i="1"/>
  <c r="CM63" i="1"/>
  <c r="CK63" i="1"/>
  <c r="CH63" i="1"/>
  <c r="CF63" i="1"/>
  <c r="CC63" i="1"/>
  <c r="CA63" i="1"/>
  <c r="BX63" i="1"/>
  <c r="BV63" i="1"/>
  <c r="BS63" i="1"/>
  <c r="BQ63" i="1"/>
  <c r="BN63" i="1"/>
  <c r="BL63" i="1"/>
  <c r="BI63" i="1"/>
  <c r="BG63" i="1"/>
  <c r="BD63" i="1"/>
  <c r="BB63" i="1"/>
  <c r="AY63" i="1"/>
  <c r="AW63" i="1"/>
  <c r="AT63" i="1"/>
  <c r="AR63" i="1"/>
  <c r="AO63" i="1"/>
  <c r="AM63" i="1"/>
  <c r="AJ63" i="1"/>
  <c r="AH63" i="1"/>
  <c r="AF63" i="1"/>
  <c r="AD63" i="1"/>
  <c r="AC63" i="1" s="1"/>
  <c r="Z63" i="1"/>
  <c r="X63" i="1"/>
  <c r="U63" i="1"/>
  <c r="S63" i="1"/>
  <c r="P63" i="1"/>
  <c r="N63" i="1"/>
  <c r="D63" i="1"/>
  <c r="DS62" i="1"/>
  <c r="DR62" i="1" s="1"/>
  <c r="DI62" i="1"/>
  <c r="DH62" i="1" s="1"/>
  <c r="DE62" i="1"/>
  <c r="DC62" i="1"/>
  <c r="CZ62" i="1"/>
  <c r="CW62" i="1"/>
  <c r="CU62" i="1"/>
  <c r="CR62" i="1"/>
  <c r="CP62" i="1"/>
  <c r="CM62" i="1"/>
  <c r="CK62" i="1"/>
  <c r="CH62" i="1"/>
  <c r="CF62" i="1"/>
  <c r="CC62" i="1"/>
  <c r="CA62" i="1"/>
  <c r="BX62" i="1"/>
  <c r="BV62" i="1"/>
  <c r="BS62" i="1"/>
  <c r="BQ62" i="1"/>
  <c r="BN62" i="1"/>
  <c r="BL62" i="1"/>
  <c r="BI62" i="1"/>
  <c r="BG62" i="1"/>
  <c r="BD62" i="1"/>
  <c r="BB62" i="1"/>
  <c r="AY62" i="1"/>
  <c r="AW62" i="1"/>
  <c r="AT62" i="1"/>
  <c r="AR62" i="1"/>
  <c r="AO62" i="1"/>
  <c r="AM62" i="1"/>
  <c r="AJ62" i="1"/>
  <c r="AH62" i="1"/>
  <c r="AF62" i="1"/>
  <c r="AD62" i="1"/>
  <c r="AC62" i="1" s="1"/>
  <c r="Z62" i="1"/>
  <c r="X62" i="1"/>
  <c r="U62" i="1"/>
  <c r="S62" i="1"/>
  <c r="P62" i="1"/>
  <c r="N62" i="1"/>
  <c r="D62" i="1"/>
  <c r="DS61" i="1"/>
  <c r="DR61" i="1" s="1"/>
  <c r="DI61" i="1"/>
  <c r="DH61" i="1" s="1"/>
  <c r="DE61" i="1"/>
  <c r="DC61" i="1"/>
  <c r="CZ61" i="1"/>
  <c r="CW61" i="1"/>
  <c r="CU61" i="1"/>
  <c r="CR61" i="1"/>
  <c r="CP61" i="1"/>
  <c r="CM61" i="1"/>
  <c r="CK61" i="1"/>
  <c r="CH61" i="1"/>
  <c r="CF61" i="1"/>
  <c r="CC61" i="1"/>
  <c r="CA61" i="1"/>
  <c r="BX61" i="1"/>
  <c r="BV61" i="1"/>
  <c r="BS61" i="1"/>
  <c r="BQ61" i="1"/>
  <c r="BN61" i="1"/>
  <c r="BL61" i="1"/>
  <c r="BI61" i="1"/>
  <c r="BG61" i="1"/>
  <c r="BD61" i="1"/>
  <c r="BB61" i="1"/>
  <c r="AY61" i="1"/>
  <c r="AW61" i="1"/>
  <c r="AT61" i="1"/>
  <c r="AR61" i="1"/>
  <c r="AO61" i="1"/>
  <c r="AM61" i="1"/>
  <c r="AJ61" i="1"/>
  <c r="AH61" i="1"/>
  <c r="AF61" i="1"/>
  <c r="AD61" i="1"/>
  <c r="AC61" i="1" s="1"/>
  <c r="Z61" i="1"/>
  <c r="X61" i="1"/>
  <c r="U61" i="1"/>
  <c r="S61" i="1"/>
  <c r="P61" i="1"/>
  <c r="N61" i="1"/>
  <c r="D61" i="1"/>
  <c r="DS60" i="1"/>
  <c r="DR60" i="1" s="1"/>
  <c r="DI60" i="1"/>
  <c r="DE60" i="1"/>
  <c r="DC60" i="1"/>
  <c r="CZ60" i="1"/>
  <c r="CW60" i="1"/>
  <c r="CU60" i="1"/>
  <c r="CR60" i="1"/>
  <c r="CP60" i="1"/>
  <c r="CM60" i="1"/>
  <c r="CK60" i="1"/>
  <c r="CH60" i="1"/>
  <c r="CF60" i="1"/>
  <c r="CC60" i="1"/>
  <c r="CA60" i="1"/>
  <c r="BX60" i="1"/>
  <c r="BV60" i="1"/>
  <c r="BS60" i="1"/>
  <c r="BQ60" i="1"/>
  <c r="BN60" i="1"/>
  <c r="BL60" i="1"/>
  <c r="BI60" i="1"/>
  <c r="BG60" i="1"/>
  <c r="BD60" i="1"/>
  <c r="BB60" i="1"/>
  <c r="AY60" i="1"/>
  <c r="AW60" i="1"/>
  <c r="AT60" i="1"/>
  <c r="AR60" i="1"/>
  <c r="AO60" i="1"/>
  <c r="AM60" i="1"/>
  <c r="AJ60" i="1"/>
  <c r="AH60" i="1"/>
  <c r="AF60" i="1"/>
  <c r="AD60" i="1"/>
  <c r="AC60" i="1" s="1"/>
  <c r="Z60" i="1"/>
  <c r="X60" i="1"/>
  <c r="U60" i="1"/>
  <c r="S60" i="1"/>
  <c r="P60" i="1"/>
  <c r="N60" i="1"/>
  <c r="D60" i="1"/>
  <c r="DS59" i="1"/>
  <c r="DR59" i="1" s="1"/>
  <c r="DI59" i="1"/>
  <c r="DH59" i="1" s="1"/>
  <c r="DE59" i="1"/>
  <c r="DC59" i="1"/>
  <c r="CZ59" i="1"/>
  <c r="CW59" i="1"/>
  <c r="CU59" i="1"/>
  <c r="CR59" i="1"/>
  <c r="CP59" i="1"/>
  <c r="CM59" i="1"/>
  <c r="CK59" i="1"/>
  <c r="CH59" i="1"/>
  <c r="CF59" i="1"/>
  <c r="CC59" i="1"/>
  <c r="CA59" i="1"/>
  <c r="BX59" i="1"/>
  <c r="BV59" i="1"/>
  <c r="BS59" i="1"/>
  <c r="BQ59" i="1"/>
  <c r="BN59" i="1"/>
  <c r="BL59" i="1"/>
  <c r="BI59" i="1"/>
  <c r="BG59" i="1"/>
  <c r="BD59" i="1"/>
  <c r="BB59" i="1"/>
  <c r="AY59" i="1"/>
  <c r="AW59" i="1"/>
  <c r="AT59" i="1"/>
  <c r="AR59" i="1"/>
  <c r="AO59" i="1"/>
  <c r="AM59" i="1"/>
  <c r="AJ59" i="1"/>
  <c r="AH59" i="1"/>
  <c r="AD59" i="1"/>
  <c r="Z59" i="1"/>
  <c r="X59" i="1"/>
  <c r="U59" i="1"/>
  <c r="S59" i="1"/>
  <c r="P59" i="1"/>
  <c r="N59" i="1"/>
  <c r="D59" i="1"/>
  <c r="DS58" i="1"/>
  <c r="DR58" i="1" s="1"/>
  <c r="DI58" i="1"/>
  <c r="DH58" i="1" s="1"/>
  <c r="DE58" i="1"/>
  <c r="DC58" i="1"/>
  <c r="CZ58" i="1"/>
  <c r="CW58" i="1"/>
  <c r="CU58" i="1"/>
  <c r="CR58" i="1"/>
  <c r="CP58" i="1"/>
  <c r="CM58" i="1"/>
  <c r="CK58" i="1"/>
  <c r="CH58" i="1"/>
  <c r="CF58" i="1"/>
  <c r="CC58" i="1"/>
  <c r="CA58" i="1"/>
  <c r="BX58" i="1"/>
  <c r="BV58" i="1"/>
  <c r="BS58" i="1"/>
  <c r="BQ58" i="1"/>
  <c r="BN58" i="1"/>
  <c r="BL58" i="1"/>
  <c r="BI58" i="1"/>
  <c r="BG58" i="1"/>
  <c r="BD58" i="1"/>
  <c r="BB58" i="1"/>
  <c r="AY58" i="1"/>
  <c r="AW58" i="1"/>
  <c r="AT58" i="1"/>
  <c r="AR58" i="1"/>
  <c r="AO58" i="1"/>
  <c r="AM58" i="1"/>
  <c r="AJ58" i="1"/>
  <c r="AH58" i="1"/>
  <c r="AD58" i="1"/>
  <c r="AC58" i="1" s="1"/>
  <c r="Z58" i="1"/>
  <c r="X58" i="1"/>
  <c r="U58" i="1"/>
  <c r="S58" i="1"/>
  <c r="P58" i="1"/>
  <c r="N58" i="1"/>
  <c r="D58" i="1"/>
  <c r="DS57" i="1"/>
  <c r="DR57" i="1" s="1"/>
  <c r="DI57" i="1"/>
  <c r="DE57" i="1"/>
  <c r="DC57" i="1"/>
  <c r="CZ57" i="1"/>
  <c r="CW57" i="1"/>
  <c r="CU57" i="1"/>
  <c r="CR57" i="1"/>
  <c r="CP57" i="1"/>
  <c r="CM57" i="1"/>
  <c r="CK57" i="1"/>
  <c r="CH57" i="1"/>
  <c r="CF57" i="1"/>
  <c r="CC57" i="1"/>
  <c r="CA57" i="1"/>
  <c r="BX57" i="1"/>
  <c r="BV57" i="1"/>
  <c r="BS57" i="1"/>
  <c r="BQ57" i="1"/>
  <c r="BN57" i="1"/>
  <c r="BL57" i="1"/>
  <c r="BI57" i="1"/>
  <c r="BG57" i="1"/>
  <c r="BD57" i="1"/>
  <c r="BB57" i="1"/>
  <c r="AY57" i="1"/>
  <c r="AW57" i="1"/>
  <c r="AT57" i="1"/>
  <c r="AR57" i="1"/>
  <c r="AO57" i="1"/>
  <c r="AM57" i="1"/>
  <c r="AJ57" i="1"/>
  <c r="AH57" i="1"/>
  <c r="AD57" i="1"/>
  <c r="AC57" i="1" s="1"/>
  <c r="Z57" i="1"/>
  <c r="X57" i="1"/>
  <c r="U57" i="1"/>
  <c r="S57" i="1"/>
  <c r="P57" i="1"/>
  <c r="N57" i="1"/>
  <c r="D57" i="1"/>
  <c r="DS56" i="1"/>
  <c r="DI56" i="1"/>
  <c r="DH56" i="1" s="1"/>
  <c r="DE56" i="1"/>
  <c r="DC56" i="1"/>
  <c r="CZ56" i="1"/>
  <c r="CW56" i="1"/>
  <c r="CU56" i="1"/>
  <c r="CR56" i="1"/>
  <c r="CP56" i="1"/>
  <c r="CM56" i="1"/>
  <c r="CK56" i="1"/>
  <c r="CH56" i="1"/>
  <c r="CF56" i="1"/>
  <c r="CC56" i="1"/>
  <c r="CA56" i="1"/>
  <c r="BX56" i="1"/>
  <c r="BV56" i="1"/>
  <c r="BS56" i="1"/>
  <c r="BQ56" i="1"/>
  <c r="BN56" i="1"/>
  <c r="BL56" i="1"/>
  <c r="BI56" i="1"/>
  <c r="BG56" i="1"/>
  <c r="BD56" i="1"/>
  <c r="BB56" i="1"/>
  <c r="AY56" i="1"/>
  <c r="AW56" i="1"/>
  <c r="AT56" i="1"/>
  <c r="AR56" i="1"/>
  <c r="AO56" i="1"/>
  <c r="AM56" i="1"/>
  <c r="AJ56" i="1"/>
  <c r="AH56" i="1"/>
  <c r="AD56" i="1"/>
  <c r="AC56" i="1" s="1"/>
  <c r="Z56" i="1"/>
  <c r="X56" i="1"/>
  <c r="U56" i="1"/>
  <c r="S56" i="1"/>
  <c r="P56" i="1"/>
  <c r="N56" i="1"/>
  <c r="D56" i="1"/>
  <c r="DS55" i="1"/>
  <c r="DR55" i="1" s="1"/>
  <c r="DI55" i="1"/>
  <c r="DE55" i="1"/>
  <c r="DC55" i="1"/>
  <c r="CZ55" i="1"/>
  <c r="CW55" i="1"/>
  <c r="CU55" i="1"/>
  <c r="CR55" i="1"/>
  <c r="CP55" i="1"/>
  <c r="CM55" i="1"/>
  <c r="CK55" i="1"/>
  <c r="CH55" i="1"/>
  <c r="CF55" i="1"/>
  <c r="CC55" i="1"/>
  <c r="CA55" i="1"/>
  <c r="BX55" i="1"/>
  <c r="BV55" i="1"/>
  <c r="BS55" i="1"/>
  <c r="BQ55" i="1"/>
  <c r="BN55" i="1"/>
  <c r="BL55" i="1"/>
  <c r="BI55" i="1"/>
  <c r="BG55" i="1"/>
  <c r="BD55" i="1"/>
  <c r="BB55" i="1"/>
  <c r="AY55" i="1"/>
  <c r="AW55" i="1"/>
  <c r="AT55" i="1"/>
  <c r="AR55" i="1"/>
  <c r="AO55" i="1"/>
  <c r="AM55" i="1"/>
  <c r="AJ55" i="1"/>
  <c r="AH55" i="1"/>
  <c r="AD55" i="1"/>
  <c r="AC55" i="1" s="1"/>
  <c r="Z55" i="1"/>
  <c r="X55" i="1"/>
  <c r="U55" i="1"/>
  <c r="S55" i="1"/>
  <c r="P55" i="1"/>
  <c r="N55" i="1"/>
  <c r="D55" i="1"/>
  <c r="DS54" i="1"/>
  <c r="DR54" i="1" s="1"/>
  <c r="DI54" i="1"/>
  <c r="DH54" i="1" s="1"/>
  <c r="DE54" i="1"/>
  <c r="DC54" i="1"/>
  <c r="CZ54" i="1"/>
  <c r="CW54" i="1"/>
  <c r="CU54" i="1"/>
  <c r="CR54" i="1"/>
  <c r="CP54" i="1"/>
  <c r="CM54" i="1"/>
  <c r="CK54" i="1"/>
  <c r="CH54" i="1"/>
  <c r="CF54" i="1"/>
  <c r="CC54" i="1"/>
  <c r="CA54" i="1"/>
  <c r="BX54" i="1"/>
  <c r="BV54" i="1"/>
  <c r="BS54" i="1"/>
  <c r="BQ54" i="1"/>
  <c r="BN54" i="1"/>
  <c r="BL54" i="1"/>
  <c r="BI54" i="1"/>
  <c r="BG54" i="1"/>
  <c r="BD54" i="1"/>
  <c r="BB54" i="1"/>
  <c r="AY54" i="1"/>
  <c r="AW54" i="1"/>
  <c r="AT54" i="1"/>
  <c r="AR54" i="1"/>
  <c r="AO54" i="1"/>
  <c r="AM54" i="1"/>
  <c r="AJ54" i="1"/>
  <c r="AH54" i="1"/>
  <c r="AD54" i="1"/>
  <c r="AC54" i="1" s="1"/>
  <c r="Z54" i="1"/>
  <c r="X54" i="1"/>
  <c r="U54" i="1"/>
  <c r="S54" i="1"/>
  <c r="P54" i="1"/>
  <c r="N54" i="1"/>
  <c r="D54" i="1"/>
  <c r="DS53" i="1"/>
  <c r="DI53" i="1"/>
  <c r="DE53" i="1"/>
  <c r="DC53" i="1"/>
  <c r="CZ53" i="1"/>
  <c r="CW53" i="1"/>
  <c r="CU53" i="1"/>
  <c r="CR53" i="1"/>
  <c r="CP53" i="1"/>
  <c r="CM53" i="1"/>
  <c r="CK53" i="1"/>
  <c r="CH53" i="1"/>
  <c r="CF53" i="1"/>
  <c r="CC53" i="1"/>
  <c r="CA53" i="1"/>
  <c r="BX53" i="1"/>
  <c r="BV53" i="1"/>
  <c r="BS53" i="1"/>
  <c r="BQ53" i="1"/>
  <c r="BN53" i="1"/>
  <c r="BL53" i="1"/>
  <c r="BI53" i="1"/>
  <c r="BG53" i="1"/>
  <c r="BD53" i="1"/>
  <c r="BB53" i="1"/>
  <c r="AY53" i="1"/>
  <c r="AW53" i="1"/>
  <c r="AT53" i="1"/>
  <c r="AR53" i="1"/>
  <c r="AO53" i="1"/>
  <c r="AM53" i="1"/>
  <c r="AJ53" i="1"/>
  <c r="AH53" i="1"/>
  <c r="AD53" i="1"/>
  <c r="AC53" i="1" s="1"/>
  <c r="Z53" i="1"/>
  <c r="X53" i="1"/>
  <c r="U53" i="1"/>
  <c r="S53" i="1"/>
  <c r="P53" i="1"/>
  <c r="N53" i="1"/>
  <c r="D53" i="1"/>
  <c r="DS52" i="1"/>
  <c r="DR52" i="1" s="1"/>
  <c r="DI52" i="1"/>
  <c r="DH52" i="1" s="1"/>
  <c r="DE52" i="1"/>
  <c r="DC52" i="1"/>
  <c r="CZ52" i="1"/>
  <c r="CW52" i="1"/>
  <c r="CU52" i="1"/>
  <c r="CR52" i="1"/>
  <c r="CP52" i="1"/>
  <c r="CM52" i="1"/>
  <c r="CK52" i="1"/>
  <c r="CH52" i="1"/>
  <c r="CF52" i="1"/>
  <c r="CC52" i="1"/>
  <c r="CA52" i="1"/>
  <c r="BX52" i="1"/>
  <c r="BV52" i="1"/>
  <c r="BS52" i="1"/>
  <c r="BQ52" i="1"/>
  <c r="BN52" i="1"/>
  <c r="BL52" i="1"/>
  <c r="BI52" i="1"/>
  <c r="BG52" i="1"/>
  <c r="BD52" i="1"/>
  <c r="BB52" i="1"/>
  <c r="AY52" i="1"/>
  <c r="AW52" i="1"/>
  <c r="AT52" i="1"/>
  <c r="AR52" i="1"/>
  <c r="AO52" i="1"/>
  <c r="AM52" i="1"/>
  <c r="AJ52" i="1"/>
  <c r="AH52" i="1"/>
  <c r="AD52" i="1"/>
  <c r="Z52" i="1"/>
  <c r="X52" i="1"/>
  <c r="U52" i="1"/>
  <c r="S52" i="1"/>
  <c r="P52" i="1"/>
  <c r="N52" i="1"/>
  <c r="D52" i="1"/>
  <c r="DS51" i="1"/>
  <c r="DR51" i="1" s="1"/>
  <c r="DI51" i="1"/>
  <c r="DH51" i="1" s="1"/>
  <c r="DE51" i="1"/>
  <c r="DC51" i="1"/>
  <c r="CZ51" i="1"/>
  <c r="CW51" i="1"/>
  <c r="CU51" i="1"/>
  <c r="CR51" i="1"/>
  <c r="CP51" i="1"/>
  <c r="CM51" i="1"/>
  <c r="CK51" i="1"/>
  <c r="CH51" i="1"/>
  <c r="CF51" i="1"/>
  <c r="CC51" i="1"/>
  <c r="CA51" i="1"/>
  <c r="BX51" i="1"/>
  <c r="BV51" i="1"/>
  <c r="BS51" i="1"/>
  <c r="BQ51" i="1"/>
  <c r="BN51" i="1"/>
  <c r="BL51" i="1"/>
  <c r="BI51" i="1"/>
  <c r="BG51" i="1"/>
  <c r="BD51" i="1"/>
  <c r="BB51" i="1"/>
  <c r="AY51" i="1"/>
  <c r="AW51" i="1"/>
  <c r="AT51" i="1"/>
  <c r="AR51" i="1"/>
  <c r="AO51" i="1"/>
  <c r="AM51" i="1"/>
  <c r="AJ51" i="1"/>
  <c r="AH51" i="1"/>
  <c r="AD51" i="1"/>
  <c r="AC51" i="1" s="1"/>
  <c r="Z51" i="1"/>
  <c r="X51" i="1"/>
  <c r="U51" i="1"/>
  <c r="S51" i="1"/>
  <c r="P51" i="1"/>
  <c r="N51" i="1"/>
  <c r="D51" i="1"/>
  <c r="DS50" i="1"/>
  <c r="DR50" i="1" s="1"/>
  <c r="DI50" i="1"/>
  <c r="DE50" i="1"/>
  <c r="DC50" i="1"/>
  <c r="CZ50" i="1"/>
  <c r="CW50" i="1"/>
  <c r="CU50" i="1"/>
  <c r="CR50" i="1"/>
  <c r="CP50" i="1"/>
  <c r="CM50" i="1"/>
  <c r="CK50" i="1"/>
  <c r="CH50" i="1"/>
  <c r="CF50" i="1"/>
  <c r="CC50" i="1"/>
  <c r="CA50" i="1"/>
  <c r="BX50" i="1"/>
  <c r="BV50" i="1"/>
  <c r="BS50" i="1"/>
  <c r="BQ50" i="1"/>
  <c r="BN50" i="1"/>
  <c r="BL50" i="1"/>
  <c r="BI50" i="1"/>
  <c r="BG50" i="1"/>
  <c r="BD50" i="1"/>
  <c r="BB50" i="1"/>
  <c r="AY50" i="1"/>
  <c r="AW50" i="1"/>
  <c r="AT50" i="1"/>
  <c r="AR50" i="1"/>
  <c r="AO50" i="1"/>
  <c r="AM50" i="1"/>
  <c r="AJ50" i="1"/>
  <c r="AH50" i="1"/>
  <c r="AD50" i="1"/>
  <c r="AC50" i="1" s="1"/>
  <c r="Z50" i="1"/>
  <c r="X50" i="1"/>
  <c r="U50" i="1"/>
  <c r="S50" i="1"/>
  <c r="P50" i="1"/>
  <c r="N50" i="1"/>
  <c r="D50" i="1"/>
  <c r="DS49" i="1"/>
  <c r="DR49" i="1" s="1"/>
  <c r="DI49" i="1"/>
  <c r="DH49" i="1" s="1"/>
  <c r="DE49" i="1"/>
  <c r="DC49" i="1"/>
  <c r="CZ49" i="1"/>
  <c r="CW49" i="1"/>
  <c r="CU49" i="1"/>
  <c r="CR49" i="1"/>
  <c r="CP49" i="1"/>
  <c r="CM49" i="1"/>
  <c r="CK49" i="1"/>
  <c r="CH49" i="1"/>
  <c r="CF49" i="1"/>
  <c r="CC49" i="1"/>
  <c r="CA49" i="1"/>
  <c r="BX49" i="1"/>
  <c r="BV49" i="1"/>
  <c r="BS49" i="1"/>
  <c r="BQ49" i="1"/>
  <c r="BN49" i="1"/>
  <c r="BL49" i="1"/>
  <c r="BI49" i="1"/>
  <c r="BG49" i="1"/>
  <c r="BD49" i="1"/>
  <c r="BB49" i="1"/>
  <c r="AY49" i="1"/>
  <c r="AW49" i="1"/>
  <c r="AT49" i="1"/>
  <c r="AR49" i="1"/>
  <c r="AO49" i="1"/>
  <c r="AM49" i="1"/>
  <c r="AJ49" i="1"/>
  <c r="AH49" i="1"/>
  <c r="AD49" i="1"/>
  <c r="Z49" i="1"/>
  <c r="X49" i="1"/>
  <c r="U49" i="1"/>
  <c r="S49" i="1"/>
  <c r="P49" i="1"/>
  <c r="N49" i="1"/>
  <c r="D49" i="1"/>
  <c r="DS48" i="1"/>
  <c r="DR48" i="1" s="1"/>
  <c r="DI48" i="1"/>
  <c r="DH48" i="1" s="1"/>
  <c r="DE48" i="1"/>
  <c r="DC48" i="1"/>
  <c r="CZ48" i="1"/>
  <c r="CW48" i="1"/>
  <c r="CU48" i="1"/>
  <c r="CR48" i="1"/>
  <c r="CP48" i="1"/>
  <c r="CM48" i="1"/>
  <c r="CK48" i="1"/>
  <c r="CH48" i="1"/>
  <c r="CF48" i="1"/>
  <c r="CC48" i="1"/>
  <c r="CA48" i="1"/>
  <c r="BX48" i="1"/>
  <c r="BV48" i="1"/>
  <c r="BS48" i="1"/>
  <c r="BQ48" i="1"/>
  <c r="BN48" i="1"/>
  <c r="BL48" i="1"/>
  <c r="BI48" i="1"/>
  <c r="BG48" i="1"/>
  <c r="BD48" i="1"/>
  <c r="BB48" i="1"/>
  <c r="AY48" i="1"/>
  <c r="AW48" i="1"/>
  <c r="AT48" i="1"/>
  <c r="AR48" i="1"/>
  <c r="AO48" i="1"/>
  <c r="AM48" i="1"/>
  <c r="AJ48" i="1"/>
  <c r="AH48" i="1"/>
  <c r="AD48" i="1"/>
  <c r="AC48" i="1" s="1"/>
  <c r="Z48" i="1"/>
  <c r="X48" i="1"/>
  <c r="U48" i="1"/>
  <c r="S48" i="1"/>
  <c r="P48" i="1"/>
  <c r="N48" i="1"/>
  <c r="D48" i="1"/>
  <c r="DS47" i="1"/>
  <c r="DR47" i="1" s="1"/>
  <c r="DI47" i="1"/>
  <c r="DE47" i="1"/>
  <c r="DC47" i="1"/>
  <c r="CZ47" i="1"/>
  <c r="CW47" i="1"/>
  <c r="CU47" i="1"/>
  <c r="CR47" i="1"/>
  <c r="CP47" i="1"/>
  <c r="CM47" i="1"/>
  <c r="CK47" i="1"/>
  <c r="CH47" i="1"/>
  <c r="CF47" i="1"/>
  <c r="CC47" i="1"/>
  <c r="CA47" i="1"/>
  <c r="BX47" i="1"/>
  <c r="BV47" i="1"/>
  <c r="BS47" i="1"/>
  <c r="BQ47" i="1"/>
  <c r="BN47" i="1"/>
  <c r="BL47" i="1"/>
  <c r="BI47" i="1"/>
  <c r="BG47" i="1"/>
  <c r="BD47" i="1"/>
  <c r="BB47" i="1"/>
  <c r="AY47" i="1"/>
  <c r="AW47" i="1"/>
  <c r="AT47" i="1"/>
  <c r="AR47" i="1"/>
  <c r="AO47" i="1"/>
  <c r="AM47" i="1"/>
  <c r="AJ47" i="1"/>
  <c r="AH47" i="1"/>
  <c r="AD47" i="1"/>
  <c r="AC47" i="1" s="1"/>
  <c r="Z47" i="1"/>
  <c r="X47" i="1"/>
  <c r="U47" i="1"/>
  <c r="S47" i="1"/>
  <c r="P47" i="1"/>
  <c r="N47" i="1"/>
  <c r="D47" i="1"/>
  <c r="DS46" i="1"/>
  <c r="DR46" i="1" s="1"/>
  <c r="DI46" i="1"/>
  <c r="DE46" i="1"/>
  <c r="DC46" i="1"/>
  <c r="CZ46" i="1"/>
  <c r="CW46" i="1"/>
  <c r="CU46" i="1"/>
  <c r="CR46" i="1"/>
  <c r="CP46" i="1"/>
  <c r="CM46" i="1"/>
  <c r="CK46" i="1"/>
  <c r="CH46" i="1"/>
  <c r="CF46" i="1"/>
  <c r="CC46" i="1"/>
  <c r="CA46" i="1"/>
  <c r="BX46" i="1"/>
  <c r="BV46" i="1"/>
  <c r="BS46" i="1"/>
  <c r="BQ46" i="1"/>
  <c r="BN46" i="1"/>
  <c r="BL46" i="1"/>
  <c r="BI46" i="1"/>
  <c r="BG46" i="1"/>
  <c r="BD46" i="1"/>
  <c r="BB46" i="1"/>
  <c r="AY46" i="1"/>
  <c r="AW46" i="1"/>
  <c r="AT46" i="1"/>
  <c r="AR46" i="1"/>
  <c r="AO46" i="1"/>
  <c r="AM46" i="1"/>
  <c r="AJ46" i="1"/>
  <c r="AH46" i="1"/>
  <c r="AD46" i="1"/>
  <c r="AC46" i="1" s="1"/>
  <c r="Z46" i="1"/>
  <c r="X46" i="1"/>
  <c r="U46" i="1"/>
  <c r="S46" i="1"/>
  <c r="P46" i="1"/>
  <c r="N46" i="1"/>
  <c r="D46" i="1"/>
  <c r="DS45" i="1"/>
  <c r="DR45" i="1" s="1"/>
  <c r="DI45" i="1"/>
  <c r="DH45" i="1" s="1"/>
  <c r="DE45" i="1"/>
  <c r="DC45" i="1"/>
  <c r="CZ45" i="1"/>
  <c r="CW45" i="1"/>
  <c r="CU45" i="1"/>
  <c r="CR45" i="1"/>
  <c r="CP45" i="1"/>
  <c r="CM45" i="1"/>
  <c r="CK45" i="1"/>
  <c r="CH45" i="1"/>
  <c r="CF45" i="1"/>
  <c r="CC45" i="1"/>
  <c r="CA45" i="1"/>
  <c r="BX45" i="1"/>
  <c r="BV45" i="1"/>
  <c r="BS45" i="1"/>
  <c r="BQ45" i="1"/>
  <c r="BN45" i="1"/>
  <c r="BL45" i="1"/>
  <c r="BI45" i="1"/>
  <c r="BG45" i="1"/>
  <c r="BD45" i="1"/>
  <c r="BB45" i="1"/>
  <c r="AY45" i="1"/>
  <c r="AW45" i="1"/>
  <c r="AT45" i="1"/>
  <c r="AR45" i="1"/>
  <c r="AO45" i="1"/>
  <c r="AM45" i="1"/>
  <c r="AJ45" i="1"/>
  <c r="AH45" i="1"/>
  <c r="AD45" i="1"/>
  <c r="Z45" i="1"/>
  <c r="X45" i="1"/>
  <c r="U45" i="1"/>
  <c r="S45" i="1"/>
  <c r="P45" i="1"/>
  <c r="N45" i="1"/>
  <c r="D45" i="1"/>
  <c r="DS44" i="1"/>
  <c r="DI44" i="1"/>
  <c r="DH44" i="1" s="1"/>
  <c r="DE44" i="1"/>
  <c r="DC44" i="1"/>
  <c r="CZ44" i="1"/>
  <c r="CW44" i="1"/>
  <c r="CU44" i="1"/>
  <c r="CR44" i="1"/>
  <c r="CP44" i="1"/>
  <c r="CM44" i="1"/>
  <c r="CK44" i="1"/>
  <c r="CH44" i="1"/>
  <c r="CF44" i="1"/>
  <c r="CC44" i="1"/>
  <c r="CA44" i="1"/>
  <c r="BX44" i="1"/>
  <c r="BV44" i="1"/>
  <c r="BS44" i="1"/>
  <c r="BQ44" i="1"/>
  <c r="BN44" i="1"/>
  <c r="BL44" i="1"/>
  <c r="BI44" i="1"/>
  <c r="BG44" i="1"/>
  <c r="BD44" i="1"/>
  <c r="BB44" i="1"/>
  <c r="AY44" i="1"/>
  <c r="AW44" i="1"/>
  <c r="AT44" i="1"/>
  <c r="AR44" i="1"/>
  <c r="AO44" i="1"/>
  <c r="AM44" i="1"/>
  <c r="AJ44" i="1"/>
  <c r="AH44" i="1"/>
  <c r="AD44" i="1"/>
  <c r="AC44" i="1" s="1"/>
  <c r="Z44" i="1"/>
  <c r="X44" i="1"/>
  <c r="U44" i="1"/>
  <c r="S44" i="1"/>
  <c r="P44" i="1"/>
  <c r="N44" i="1"/>
  <c r="D44" i="1"/>
  <c r="DS43" i="1"/>
  <c r="DR43" i="1" s="1"/>
  <c r="DI43" i="1"/>
  <c r="DE43" i="1"/>
  <c r="DC43" i="1"/>
  <c r="CZ43" i="1"/>
  <c r="CW43" i="1"/>
  <c r="CU43" i="1"/>
  <c r="CR43" i="1"/>
  <c r="CP43" i="1"/>
  <c r="CM43" i="1"/>
  <c r="CK43" i="1"/>
  <c r="CH43" i="1"/>
  <c r="CF43" i="1"/>
  <c r="CC43" i="1"/>
  <c r="CA43" i="1"/>
  <c r="BX43" i="1"/>
  <c r="BV43" i="1"/>
  <c r="BS43" i="1"/>
  <c r="BQ43" i="1"/>
  <c r="BN43" i="1"/>
  <c r="BL43" i="1"/>
  <c r="BI43" i="1"/>
  <c r="BG43" i="1"/>
  <c r="BD43" i="1"/>
  <c r="BB43" i="1"/>
  <c r="AY43" i="1"/>
  <c r="AW43" i="1"/>
  <c r="AT43" i="1"/>
  <c r="AR43" i="1"/>
  <c r="AO43" i="1"/>
  <c r="AM43" i="1"/>
  <c r="AJ43" i="1"/>
  <c r="AH43" i="1"/>
  <c r="AD43" i="1"/>
  <c r="AC43" i="1" s="1"/>
  <c r="Z43" i="1"/>
  <c r="X43" i="1"/>
  <c r="U43" i="1"/>
  <c r="S43" i="1"/>
  <c r="P43" i="1"/>
  <c r="N43" i="1"/>
  <c r="D43" i="1"/>
  <c r="DS42" i="1"/>
  <c r="DR42" i="1" s="1"/>
  <c r="DI42" i="1"/>
  <c r="DC42" i="1"/>
  <c r="CZ42" i="1"/>
  <c r="CW42" i="1"/>
  <c r="CU42" i="1"/>
  <c r="CR42" i="1"/>
  <c r="CP42" i="1"/>
  <c r="CM42" i="1"/>
  <c r="CK42" i="1"/>
  <c r="CH42" i="1"/>
  <c r="CF42" i="1"/>
  <c r="CC42" i="1"/>
  <c r="CA42" i="1"/>
  <c r="BX42" i="1"/>
  <c r="BV42" i="1"/>
  <c r="BS42" i="1"/>
  <c r="BQ42" i="1"/>
  <c r="BN42" i="1"/>
  <c r="BL42" i="1"/>
  <c r="BI42" i="1"/>
  <c r="BG42" i="1"/>
  <c r="BD42" i="1"/>
  <c r="BB42" i="1"/>
  <c r="AY42" i="1"/>
  <c r="AW42" i="1"/>
  <c r="AT42" i="1"/>
  <c r="AR42" i="1"/>
  <c r="AO42" i="1"/>
  <c r="AM42" i="1"/>
  <c r="AJ42" i="1"/>
  <c r="AH42" i="1"/>
  <c r="AD42" i="1"/>
  <c r="AC42" i="1" s="1"/>
  <c r="Z42" i="1"/>
  <c r="X42" i="1"/>
  <c r="U42" i="1"/>
  <c r="S42" i="1"/>
  <c r="P42" i="1"/>
  <c r="N42" i="1"/>
  <c r="D42" i="1"/>
  <c r="DS41" i="1"/>
  <c r="DR41" i="1" s="1"/>
  <c r="DI41" i="1"/>
  <c r="DC41" i="1"/>
  <c r="CZ41" i="1"/>
  <c r="CW41" i="1"/>
  <c r="CU41" i="1"/>
  <c r="CR41" i="1"/>
  <c r="CP41" i="1"/>
  <c r="CM41" i="1"/>
  <c r="CK41" i="1"/>
  <c r="CH41" i="1"/>
  <c r="CF41" i="1"/>
  <c r="CC41" i="1"/>
  <c r="CA41" i="1"/>
  <c r="BX41" i="1"/>
  <c r="BV41" i="1"/>
  <c r="BS41" i="1"/>
  <c r="BQ41" i="1"/>
  <c r="BN41" i="1"/>
  <c r="BL41" i="1"/>
  <c r="BI41" i="1"/>
  <c r="BG41" i="1"/>
  <c r="BD41" i="1"/>
  <c r="BB41" i="1"/>
  <c r="AY41" i="1"/>
  <c r="AW41" i="1"/>
  <c r="AT41" i="1"/>
  <c r="AR41" i="1"/>
  <c r="AO41" i="1"/>
  <c r="AM41" i="1"/>
  <c r="AJ41" i="1"/>
  <c r="AH41" i="1"/>
  <c r="AD41" i="1"/>
  <c r="AC41" i="1" s="1"/>
  <c r="Z41" i="1"/>
  <c r="X41" i="1"/>
  <c r="U41" i="1"/>
  <c r="S41" i="1"/>
  <c r="P41" i="1"/>
  <c r="N41" i="1"/>
  <c r="D41" i="1"/>
  <c r="DS40" i="1"/>
  <c r="DR40" i="1" s="1"/>
  <c r="DI40" i="1"/>
  <c r="DH40" i="1" s="1"/>
  <c r="DC40" i="1"/>
  <c r="CZ40" i="1"/>
  <c r="CW40" i="1"/>
  <c r="CU40" i="1"/>
  <c r="CR40" i="1"/>
  <c r="CP40" i="1"/>
  <c r="CM40" i="1"/>
  <c r="CK40" i="1"/>
  <c r="CH40" i="1"/>
  <c r="CF40" i="1"/>
  <c r="CC40" i="1"/>
  <c r="CA40" i="1"/>
  <c r="BX40" i="1"/>
  <c r="BV40" i="1"/>
  <c r="BS40" i="1"/>
  <c r="BQ40" i="1"/>
  <c r="BN40" i="1"/>
  <c r="BL40" i="1"/>
  <c r="BI40" i="1"/>
  <c r="BG40" i="1"/>
  <c r="BD40" i="1"/>
  <c r="BB40" i="1"/>
  <c r="AY40" i="1"/>
  <c r="AW40" i="1"/>
  <c r="AT40" i="1"/>
  <c r="AR40" i="1"/>
  <c r="AO40" i="1"/>
  <c r="AM40" i="1"/>
  <c r="AJ40" i="1"/>
  <c r="AH40" i="1"/>
  <c r="AD40" i="1"/>
  <c r="AC40" i="1" s="1"/>
  <c r="Z40" i="1"/>
  <c r="X40" i="1"/>
  <c r="U40" i="1"/>
  <c r="S40" i="1"/>
  <c r="P40" i="1"/>
  <c r="N40" i="1"/>
  <c r="D40" i="1"/>
  <c r="DS39" i="1"/>
  <c r="DR39" i="1" s="1"/>
  <c r="DI39" i="1"/>
  <c r="DH39" i="1" s="1"/>
  <c r="DC39" i="1"/>
  <c r="CZ39" i="1"/>
  <c r="CW39" i="1"/>
  <c r="CU39" i="1"/>
  <c r="CR39" i="1"/>
  <c r="CP39" i="1"/>
  <c r="CM39" i="1"/>
  <c r="CK39" i="1"/>
  <c r="CF39" i="1"/>
  <c r="CC39" i="1"/>
  <c r="CA39" i="1"/>
  <c r="BX39" i="1"/>
  <c r="BV39" i="1"/>
  <c r="BS39" i="1"/>
  <c r="BQ39" i="1"/>
  <c r="BN39" i="1"/>
  <c r="BL39" i="1"/>
  <c r="BI39" i="1"/>
  <c r="BG39" i="1"/>
  <c r="BD39" i="1"/>
  <c r="BB39" i="1"/>
  <c r="AY39" i="1"/>
  <c r="AW39" i="1"/>
  <c r="AT39" i="1"/>
  <c r="AR39" i="1"/>
  <c r="AO39" i="1"/>
  <c r="AM39" i="1"/>
  <c r="AJ39" i="1"/>
  <c r="AH39" i="1"/>
  <c r="AD39" i="1"/>
  <c r="AC39" i="1" s="1"/>
  <c r="Z39" i="1"/>
  <c r="X39" i="1"/>
  <c r="U39" i="1"/>
  <c r="S39" i="1"/>
  <c r="P39" i="1"/>
  <c r="N39" i="1"/>
  <c r="D39" i="1"/>
  <c r="DS38" i="1"/>
  <c r="DR38" i="1" s="1"/>
  <c r="DI38" i="1"/>
  <c r="DH38" i="1" s="1"/>
  <c r="DC38" i="1"/>
  <c r="CZ38" i="1"/>
  <c r="CW38" i="1"/>
  <c r="CU38" i="1"/>
  <c r="CR38" i="1"/>
  <c r="CP38" i="1"/>
  <c r="CM38" i="1"/>
  <c r="CK38" i="1"/>
  <c r="CF38" i="1"/>
  <c r="CC38" i="1"/>
  <c r="CA38" i="1"/>
  <c r="BX38" i="1"/>
  <c r="BV38" i="1"/>
  <c r="BS38" i="1"/>
  <c r="BQ38" i="1"/>
  <c r="BN38" i="1"/>
  <c r="BL38" i="1"/>
  <c r="BI38" i="1"/>
  <c r="BG38" i="1"/>
  <c r="BD38" i="1"/>
  <c r="BB38" i="1"/>
  <c r="AY38" i="1"/>
  <c r="AW38" i="1"/>
  <c r="AT38" i="1"/>
  <c r="AR38" i="1"/>
  <c r="AO38" i="1"/>
  <c r="AM38" i="1"/>
  <c r="AJ38" i="1"/>
  <c r="AH38" i="1"/>
  <c r="AD38" i="1"/>
  <c r="Z38" i="1"/>
  <c r="X38" i="1"/>
  <c r="U38" i="1"/>
  <c r="S38" i="1"/>
  <c r="P38" i="1"/>
  <c r="N38" i="1"/>
  <c r="D38" i="1"/>
  <c r="DS37" i="1"/>
  <c r="DR37" i="1" s="1"/>
  <c r="DI37" i="1"/>
  <c r="DC37" i="1"/>
  <c r="CZ37" i="1"/>
  <c r="CW37" i="1"/>
  <c r="CU37" i="1"/>
  <c r="CR37" i="1"/>
  <c r="CP37" i="1"/>
  <c r="CM37" i="1"/>
  <c r="CK37" i="1"/>
  <c r="CF37" i="1"/>
  <c r="CC37" i="1"/>
  <c r="CA37" i="1"/>
  <c r="BX37" i="1"/>
  <c r="BV37" i="1"/>
  <c r="BS37" i="1"/>
  <c r="BQ37" i="1"/>
  <c r="BN37" i="1"/>
  <c r="BL37" i="1"/>
  <c r="BI37" i="1"/>
  <c r="BG37" i="1"/>
  <c r="BD37" i="1"/>
  <c r="BB37" i="1"/>
  <c r="AY37" i="1"/>
  <c r="AW37" i="1"/>
  <c r="AT37" i="1"/>
  <c r="AR37" i="1"/>
  <c r="AO37" i="1"/>
  <c r="AM37" i="1"/>
  <c r="AJ37" i="1"/>
  <c r="AH37" i="1"/>
  <c r="AD37" i="1"/>
  <c r="Z37" i="1"/>
  <c r="X37" i="1"/>
  <c r="U37" i="1"/>
  <c r="S37" i="1"/>
  <c r="P37" i="1"/>
  <c r="N37" i="1"/>
  <c r="D37" i="1"/>
  <c r="DS36" i="1"/>
  <c r="DR36" i="1" s="1"/>
  <c r="DI36" i="1"/>
  <c r="DC36" i="1"/>
  <c r="CZ36" i="1"/>
  <c r="CW36" i="1"/>
  <c r="CU36" i="1"/>
  <c r="CR36" i="1"/>
  <c r="CP36" i="1"/>
  <c r="CM36" i="1"/>
  <c r="CK36" i="1"/>
  <c r="CF36" i="1"/>
  <c r="CC36" i="1"/>
  <c r="CA36" i="1"/>
  <c r="BX36" i="1"/>
  <c r="BV36" i="1"/>
  <c r="BS36" i="1"/>
  <c r="BQ36" i="1"/>
  <c r="BN36" i="1"/>
  <c r="BL36" i="1"/>
  <c r="BI36" i="1"/>
  <c r="BG36" i="1"/>
  <c r="BD36" i="1"/>
  <c r="BB36" i="1"/>
  <c r="AY36" i="1"/>
  <c r="AW36" i="1"/>
  <c r="AT36" i="1"/>
  <c r="AR36" i="1"/>
  <c r="AO36" i="1"/>
  <c r="AM36" i="1"/>
  <c r="AJ36" i="1"/>
  <c r="AH36" i="1"/>
  <c r="AD36" i="1"/>
  <c r="Z36" i="1"/>
  <c r="X36" i="1"/>
  <c r="U36" i="1"/>
  <c r="S36" i="1"/>
  <c r="P36" i="1"/>
  <c r="N36" i="1"/>
  <c r="D36" i="1"/>
  <c r="DS35" i="1"/>
  <c r="DI35" i="1"/>
  <c r="DC35" i="1"/>
  <c r="CZ35" i="1"/>
  <c r="CW35" i="1"/>
  <c r="CU35" i="1"/>
  <c r="CR35" i="1"/>
  <c r="CP35" i="1"/>
  <c r="CM35" i="1"/>
  <c r="CK35" i="1"/>
  <c r="CF35" i="1"/>
  <c r="CC35" i="1"/>
  <c r="CA35" i="1"/>
  <c r="BX35" i="1"/>
  <c r="BV35" i="1"/>
  <c r="BS35" i="1"/>
  <c r="BQ35" i="1"/>
  <c r="BN35" i="1"/>
  <c r="BL35" i="1"/>
  <c r="BI35" i="1"/>
  <c r="BG35" i="1"/>
  <c r="BD35" i="1"/>
  <c r="BB35" i="1"/>
  <c r="AY35" i="1"/>
  <c r="AW35" i="1"/>
  <c r="AT35" i="1"/>
  <c r="AR35" i="1"/>
  <c r="AO35" i="1"/>
  <c r="AM35" i="1"/>
  <c r="AJ35" i="1"/>
  <c r="AH35" i="1"/>
  <c r="AD35" i="1"/>
  <c r="AC35" i="1" s="1"/>
  <c r="Z35" i="1"/>
  <c r="X35" i="1"/>
  <c r="U35" i="1"/>
  <c r="S35" i="1"/>
  <c r="P35" i="1"/>
  <c r="N35" i="1"/>
  <c r="D35" i="1"/>
  <c r="DS34" i="1"/>
  <c r="DR34" i="1" s="1"/>
  <c r="DI34" i="1"/>
  <c r="DH34" i="1" s="1"/>
  <c r="DC34" i="1"/>
  <c r="CZ34" i="1"/>
  <c r="CW34" i="1"/>
  <c r="CU34" i="1"/>
  <c r="CR34" i="1"/>
  <c r="CP34" i="1"/>
  <c r="CM34" i="1"/>
  <c r="CK34" i="1"/>
  <c r="CF34" i="1"/>
  <c r="CC34" i="1"/>
  <c r="CA34" i="1"/>
  <c r="BX34" i="1"/>
  <c r="BV34" i="1"/>
  <c r="BS34" i="1"/>
  <c r="BQ34" i="1"/>
  <c r="BN34" i="1"/>
  <c r="BL34" i="1"/>
  <c r="BI34" i="1"/>
  <c r="BG34" i="1"/>
  <c r="BD34" i="1"/>
  <c r="BB34" i="1"/>
  <c r="AY34" i="1"/>
  <c r="AW34" i="1"/>
  <c r="AT34" i="1"/>
  <c r="AR34" i="1"/>
  <c r="AO34" i="1"/>
  <c r="AM34" i="1"/>
  <c r="AJ34" i="1"/>
  <c r="AH34" i="1"/>
  <c r="AF34" i="1"/>
  <c r="AD34" i="1"/>
  <c r="AC34" i="1" s="1"/>
  <c r="Z34" i="1"/>
  <c r="X34" i="1"/>
  <c r="U34" i="1"/>
  <c r="S34" i="1"/>
  <c r="P34" i="1"/>
  <c r="N34" i="1"/>
  <c r="D34" i="1"/>
  <c r="DS33" i="1"/>
  <c r="DR33" i="1" s="1"/>
  <c r="DI33" i="1"/>
  <c r="DC33" i="1"/>
  <c r="CZ33" i="1"/>
  <c r="CW33" i="1"/>
  <c r="CU33" i="1"/>
  <c r="CR33" i="1"/>
  <c r="CP33" i="1"/>
  <c r="CM33" i="1"/>
  <c r="CK33" i="1"/>
  <c r="CF33" i="1"/>
  <c r="CC33" i="1"/>
  <c r="CA33" i="1"/>
  <c r="BX33" i="1"/>
  <c r="BV33" i="1"/>
  <c r="BS33" i="1"/>
  <c r="BQ33" i="1"/>
  <c r="BN33" i="1"/>
  <c r="BL33" i="1"/>
  <c r="BI33" i="1"/>
  <c r="BG33" i="1"/>
  <c r="BD33" i="1"/>
  <c r="BB33" i="1"/>
  <c r="AY33" i="1"/>
  <c r="AW33" i="1"/>
  <c r="AT33" i="1"/>
  <c r="AR33" i="1"/>
  <c r="AO33" i="1"/>
  <c r="AM33" i="1"/>
  <c r="AJ33" i="1"/>
  <c r="AH33" i="1"/>
  <c r="AF33" i="1"/>
  <c r="AD33" i="1"/>
  <c r="AC33" i="1" s="1"/>
  <c r="Z33" i="1"/>
  <c r="X33" i="1"/>
  <c r="U33" i="1"/>
  <c r="S33" i="1"/>
  <c r="P33" i="1"/>
  <c r="N33" i="1"/>
  <c r="D33" i="1"/>
  <c r="DS32" i="1"/>
  <c r="DI32" i="1"/>
  <c r="DC32" i="1"/>
  <c r="CZ32" i="1"/>
  <c r="CW32" i="1"/>
  <c r="CU32" i="1"/>
  <c r="CR32" i="1"/>
  <c r="CP32" i="1"/>
  <c r="CM32" i="1"/>
  <c r="CK32" i="1"/>
  <c r="CF32" i="1"/>
  <c r="CC32" i="1"/>
  <c r="CA32" i="1"/>
  <c r="BX32" i="1"/>
  <c r="BV32" i="1"/>
  <c r="BS32" i="1"/>
  <c r="BQ32" i="1"/>
  <c r="BN32" i="1"/>
  <c r="BL32" i="1"/>
  <c r="BI32" i="1"/>
  <c r="BG32" i="1"/>
  <c r="BD32" i="1"/>
  <c r="BB32" i="1"/>
  <c r="AY32" i="1"/>
  <c r="AW32" i="1"/>
  <c r="AT32" i="1"/>
  <c r="AR32" i="1"/>
  <c r="AO32" i="1"/>
  <c r="AM32" i="1"/>
  <c r="AJ32" i="1"/>
  <c r="AH32" i="1"/>
  <c r="AF32" i="1"/>
  <c r="AD32" i="1"/>
  <c r="AC32" i="1" s="1"/>
  <c r="Z32" i="1"/>
  <c r="X32" i="1"/>
  <c r="U32" i="1"/>
  <c r="S32" i="1"/>
  <c r="P32" i="1"/>
  <c r="N32" i="1"/>
  <c r="D32" i="1"/>
  <c r="DS31" i="1"/>
  <c r="DR31" i="1" s="1"/>
  <c r="DI31" i="1"/>
  <c r="DH31" i="1" s="1"/>
  <c r="DC31" i="1"/>
  <c r="CZ31" i="1"/>
  <c r="CW31" i="1"/>
  <c r="CU31" i="1"/>
  <c r="CR31" i="1"/>
  <c r="CP31" i="1"/>
  <c r="CM31" i="1"/>
  <c r="CK31" i="1"/>
  <c r="CF31" i="1"/>
  <c r="CC31" i="1"/>
  <c r="CA31" i="1"/>
  <c r="BX31" i="1"/>
  <c r="BV31" i="1"/>
  <c r="BS31" i="1"/>
  <c r="BQ31" i="1"/>
  <c r="BN31" i="1"/>
  <c r="BL31" i="1"/>
  <c r="BI31" i="1"/>
  <c r="BG31" i="1"/>
  <c r="BD31" i="1"/>
  <c r="BB31" i="1"/>
  <c r="AY31" i="1"/>
  <c r="AW31" i="1"/>
  <c r="AT31" i="1"/>
  <c r="AR31" i="1"/>
  <c r="AO31" i="1"/>
  <c r="AM31" i="1"/>
  <c r="AJ31" i="1"/>
  <c r="AH31" i="1"/>
  <c r="AF31" i="1"/>
  <c r="AD31" i="1"/>
  <c r="Z31" i="1"/>
  <c r="X31" i="1"/>
  <c r="U31" i="1"/>
  <c r="S31" i="1"/>
  <c r="P31" i="1"/>
  <c r="N31" i="1"/>
  <c r="D31" i="1"/>
  <c r="DS30" i="1"/>
  <c r="DR30" i="1" s="1"/>
  <c r="DI30" i="1"/>
  <c r="DH30" i="1" s="1"/>
  <c r="DC30" i="1"/>
  <c r="CZ30" i="1"/>
  <c r="CW30" i="1"/>
  <c r="CU30" i="1"/>
  <c r="CR30" i="1"/>
  <c r="CP30" i="1"/>
  <c r="CM30" i="1"/>
  <c r="CK30" i="1"/>
  <c r="CF30" i="1"/>
  <c r="CC30" i="1"/>
  <c r="CA30" i="1"/>
  <c r="BX30" i="1"/>
  <c r="BV30" i="1"/>
  <c r="BS30" i="1"/>
  <c r="BQ30" i="1"/>
  <c r="BL30" i="1"/>
  <c r="BI30" i="1"/>
  <c r="BG30" i="1"/>
  <c r="BD30" i="1"/>
  <c r="BB30" i="1"/>
  <c r="AY30" i="1"/>
  <c r="AW30" i="1"/>
  <c r="AT30" i="1"/>
  <c r="AR30" i="1"/>
  <c r="AO30" i="1"/>
  <c r="AM30" i="1"/>
  <c r="AJ30" i="1"/>
  <c r="AH30" i="1"/>
  <c r="AD30" i="1"/>
  <c r="Z30" i="1"/>
  <c r="X30" i="1"/>
  <c r="U30" i="1"/>
  <c r="S30" i="1"/>
  <c r="P30" i="1"/>
  <c r="N30" i="1"/>
  <c r="D30" i="1"/>
  <c r="DS29" i="1"/>
  <c r="DR29" i="1" s="1"/>
  <c r="DI29" i="1"/>
  <c r="DH29" i="1" s="1"/>
  <c r="DC29" i="1"/>
  <c r="CZ29" i="1"/>
  <c r="CW29" i="1"/>
  <c r="CU29" i="1"/>
  <c r="CR29" i="1"/>
  <c r="CP29" i="1"/>
  <c r="CM29" i="1"/>
  <c r="CK29" i="1"/>
  <c r="CF29" i="1"/>
  <c r="CC29" i="1"/>
  <c r="CA29" i="1"/>
  <c r="BX29" i="1"/>
  <c r="BV29" i="1"/>
  <c r="BS29" i="1"/>
  <c r="BQ29" i="1"/>
  <c r="BL29" i="1"/>
  <c r="BI29" i="1"/>
  <c r="BG29" i="1"/>
  <c r="BD29" i="1"/>
  <c r="BB29" i="1"/>
  <c r="AY29" i="1"/>
  <c r="AW29" i="1"/>
  <c r="AT29" i="1"/>
  <c r="AR29" i="1"/>
  <c r="AO29" i="1"/>
  <c r="AM29" i="1"/>
  <c r="AJ29" i="1"/>
  <c r="AH29" i="1"/>
  <c r="AD29" i="1"/>
  <c r="Z29" i="1"/>
  <c r="X29" i="1"/>
  <c r="U29" i="1"/>
  <c r="S29" i="1"/>
  <c r="P29" i="1"/>
  <c r="N29" i="1"/>
  <c r="D29" i="1"/>
  <c r="DS28" i="1"/>
  <c r="DR28" i="1" s="1"/>
  <c r="DI28" i="1"/>
  <c r="DH28" i="1" s="1"/>
  <c r="DC28" i="1"/>
  <c r="CZ28" i="1"/>
  <c r="CW28" i="1"/>
  <c r="CU28" i="1"/>
  <c r="CR28" i="1"/>
  <c r="CP28" i="1"/>
  <c r="CM28" i="1"/>
  <c r="CK28" i="1"/>
  <c r="CF28" i="1"/>
  <c r="CC28" i="1"/>
  <c r="CA28" i="1"/>
  <c r="BX28" i="1"/>
  <c r="BV28" i="1"/>
  <c r="BS28" i="1"/>
  <c r="BQ28" i="1"/>
  <c r="BL28" i="1"/>
  <c r="BI28" i="1"/>
  <c r="BG28" i="1"/>
  <c r="BD28" i="1"/>
  <c r="BB28" i="1"/>
  <c r="AY28" i="1"/>
  <c r="AW28" i="1"/>
  <c r="AT28" i="1"/>
  <c r="AR28" i="1"/>
  <c r="AO28" i="1"/>
  <c r="AM28" i="1"/>
  <c r="AJ28" i="1"/>
  <c r="AH28" i="1"/>
  <c r="AD28" i="1"/>
  <c r="Z28" i="1"/>
  <c r="X28" i="1"/>
  <c r="U28" i="1"/>
  <c r="S28" i="1"/>
  <c r="P28" i="1"/>
  <c r="N28" i="1"/>
  <c r="D28" i="1"/>
  <c r="DS27" i="1"/>
  <c r="DR27" i="1" s="1"/>
  <c r="DI27" i="1"/>
  <c r="DH27" i="1" s="1"/>
  <c r="DE27" i="1"/>
  <c r="DC27" i="1"/>
  <c r="CZ27" i="1"/>
  <c r="CW27" i="1"/>
  <c r="CU27" i="1"/>
  <c r="CR27" i="1"/>
  <c r="CP27" i="1"/>
  <c r="CM27" i="1"/>
  <c r="CK27" i="1"/>
  <c r="CF27" i="1"/>
  <c r="CC27" i="1"/>
  <c r="CA27" i="1"/>
  <c r="BX27" i="1"/>
  <c r="BV27" i="1"/>
  <c r="BS27" i="1"/>
  <c r="BQ27" i="1"/>
  <c r="BL27" i="1"/>
  <c r="BI27" i="1"/>
  <c r="BG27" i="1"/>
  <c r="BD27" i="1"/>
  <c r="BB27" i="1"/>
  <c r="AY27" i="1"/>
  <c r="AW27" i="1"/>
  <c r="AT27" i="1"/>
  <c r="AR27" i="1"/>
  <c r="AO27" i="1"/>
  <c r="AM27" i="1"/>
  <c r="AJ27" i="1"/>
  <c r="AH27" i="1"/>
  <c r="AD27" i="1"/>
  <c r="Z27" i="1"/>
  <c r="X27" i="1"/>
  <c r="U27" i="1"/>
  <c r="S27" i="1"/>
  <c r="P27" i="1"/>
  <c r="N27" i="1"/>
  <c r="D27" i="1"/>
  <c r="DS26" i="1"/>
  <c r="DI26" i="1"/>
  <c r="DH26" i="1" s="1"/>
  <c r="DE26" i="1"/>
  <c r="DC26" i="1"/>
  <c r="CZ26" i="1"/>
  <c r="CW26" i="1"/>
  <c r="CU26" i="1"/>
  <c r="CR26" i="1"/>
  <c r="CP26" i="1"/>
  <c r="CM26" i="1"/>
  <c r="CK26" i="1"/>
  <c r="CF26" i="1"/>
  <c r="CC26" i="1"/>
  <c r="CA26" i="1"/>
  <c r="BX26" i="1"/>
  <c r="BV26" i="1"/>
  <c r="BS26" i="1"/>
  <c r="BQ26" i="1"/>
  <c r="BL26" i="1"/>
  <c r="BI26" i="1"/>
  <c r="BG26" i="1"/>
  <c r="BD26" i="1"/>
  <c r="BB26" i="1"/>
  <c r="AY26" i="1"/>
  <c r="AW26" i="1"/>
  <c r="AT26" i="1"/>
  <c r="AR26" i="1"/>
  <c r="AO26" i="1"/>
  <c r="AM26" i="1"/>
  <c r="AJ26" i="1"/>
  <c r="AH26" i="1"/>
  <c r="AD26" i="1"/>
  <c r="AC26" i="1" s="1"/>
  <c r="Z26" i="1"/>
  <c r="X26" i="1"/>
  <c r="U26" i="1"/>
  <c r="S26" i="1"/>
  <c r="P26" i="1"/>
  <c r="N26" i="1"/>
  <c r="D26" i="1"/>
  <c r="DS25" i="1"/>
  <c r="DR25" i="1" s="1"/>
  <c r="DI25" i="1"/>
  <c r="DH25" i="1" s="1"/>
  <c r="DE25" i="1"/>
  <c r="DC25" i="1"/>
  <c r="CZ25" i="1"/>
  <c r="CW25" i="1"/>
  <c r="CU25" i="1"/>
  <c r="CR25" i="1"/>
  <c r="CP25" i="1"/>
  <c r="CM25" i="1"/>
  <c r="CK25" i="1"/>
  <c r="CF25" i="1"/>
  <c r="CC25" i="1"/>
  <c r="CA25" i="1"/>
  <c r="BX25" i="1"/>
  <c r="BV25" i="1"/>
  <c r="BS25" i="1"/>
  <c r="BQ25" i="1"/>
  <c r="BL25" i="1"/>
  <c r="BI25" i="1"/>
  <c r="BG25" i="1"/>
  <c r="BD25" i="1"/>
  <c r="BB25" i="1"/>
  <c r="AY25" i="1"/>
  <c r="AW25" i="1"/>
  <c r="AT25" i="1"/>
  <c r="AR25" i="1"/>
  <c r="AO25" i="1"/>
  <c r="AM25" i="1"/>
  <c r="AJ25" i="1"/>
  <c r="AH25" i="1"/>
  <c r="AD25" i="1"/>
  <c r="AC25" i="1" s="1"/>
  <c r="Z25" i="1"/>
  <c r="X25" i="1"/>
  <c r="U25" i="1"/>
  <c r="S25" i="1"/>
  <c r="P25" i="1"/>
  <c r="N25" i="1"/>
  <c r="D25" i="1"/>
  <c r="DS24" i="1"/>
  <c r="DR24" i="1" s="1"/>
  <c r="DI24" i="1"/>
  <c r="DH24" i="1" s="1"/>
  <c r="DE24" i="1"/>
  <c r="DC24" i="1"/>
  <c r="CZ24" i="1"/>
  <c r="CW24" i="1"/>
  <c r="CU24" i="1"/>
  <c r="CR24" i="1"/>
  <c r="CP24" i="1"/>
  <c r="CM24" i="1"/>
  <c r="CK24" i="1"/>
  <c r="CF24" i="1"/>
  <c r="CC24" i="1"/>
  <c r="CA24" i="1"/>
  <c r="BX24" i="1"/>
  <c r="BV24" i="1"/>
  <c r="BS24" i="1"/>
  <c r="BQ24" i="1"/>
  <c r="BL24" i="1"/>
  <c r="BI24" i="1"/>
  <c r="BG24" i="1"/>
  <c r="BD24" i="1"/>
  <c r="BB24" i="1"/>
  <c r="AY24" i="1"/>
  <c r="AW24" i="1"/>
  <c r="AT24" i="1"/>
  <c r="AR24" i="1"/>
  <c r="AO24" i="1"/>
  <c r="AM24" i="1"/>
  <c r="AJ24" i="1"/>
  <c r="AH24" i="1"/>
  <c r="AD24" i="1"/>
  <c r="Z24" i="1"/>
  <c r="X24" i="1"/>
  <c r="U24" i="1"/>
  <c r="S24" i="1"/>
  <c r="P24" i="1"/>
  <c r="N24" i="1"/>
  <c r="D24" i="1"/>
  <c r="DS23" i="1"/>
  <c r="DI23" i="1"/>
  <c r="DH23" i="1" s="1"/>
  <c r="DE23" i="1"/>
  <c r="DC23" i="1"/>
  <c r="CZ23" i="1"/>
  <c r="CW23" i="1"/>
  <c r="CU23" i="1"/>
  <c r="CR23" i="1"/>
  <c r="CP23" i="1"/>
  <c r="CM23" i="1"/>
  <c r="CK23" i="1"/>
  <c r="CF23" i="1"/>
  <c r="CC23" i="1"/>
  <c r="CA23" i="1"/>
  <c r="BX23" i="1"/>
  <c r="BV23" i="1"/>
  <c r="BS23" i="1"/>
  <c r="BQ23" i="1"/>
  <c r="BL23" i="1"/>
  <c r="BI23" i="1"/>
  <c r="BG23" i="1"/>
  <c r="BD23" i="1"/>
  <c r="BB23" i="1"/>
  <c r="AY23" i="1"/>
  <c r="AW23" i="1"/>
  <c r="AT23" i="1"/>
  <c r="AR23" i="1"/>
  <c r="AO23" i="1"/>
  <c r="AM23" i="1"/>
  <c r="AJ23" i="1"/>
  <c r="AH23" i="1"/>
  <c r="AD23" i="1"/>
  <c r="Z23" i="1"/>
  <c r="X23" i="1"/>
  <c r="U23" i="1"/>
  <c r="S23" i="1"/>
  <c r="P23" i="1"/>
  <c r="N23" i="1"/>
  <c r="D23" i="1"/>
  <c r="DS22" i="1"/>
  <c r="DR22" i="1" s="1"/>
  <c r="DI22" i="1"/>
  <c r="DH22" i="1" s="1"/>
  <c r="DE22" i="1"/>
  <c r="DC22" i="1"/>
  <c r="CZ22" i="1"/>
  <c r="CW22" i="1"/>
  <c r="CU22" i="1"/>
  <c r="CR22" i="1"/>
  <c r="CP22" i="1"/>
  <c r="CM22" i="1"/>
  <c r="CK22" i="1"/>
  <c r="CH22" i="1"/>
  <c r="CF22" i="1"/>
  <c r="CC22" i="1"/>
  <c r="CA22" i="1"/>
  <c r="BX22" i="1"/>
  <c r="BV22" i="1"/>
  <c r="BS22" i="1"/>
  <c r="BQ22" i="1"/>
  <c r="BL22" i="1"/>
  <c r="BI22" i="1"/>
  <c r="BG22" i="1"/>
  <c r="BD22" i="1"/>
  <c r="BB22" i="1"/>
  <c r="AY22" i="1"/>
  <c r="AW22" i="1"/>
  <c r="AT22" i="1"/>
  <c r="AR22" i="1"/>
  <c r="AO22" i="1"/>
  <c r="AM22" i="1"/>
  <c r="AJ22" i="1"/>
  <c r="AH22" i="1"/>
  <c r="AF22" i="1"/>
  <c r="AD22" i="1"/>
  <c r="Z22" i="1"/>
  <c r="X22" i="1"/>
  <c r="U22" i="1"/>
  <c r="S22" i="1"/>
  <c r="P22" i="1"/>
  <c r="N22" i="1"/>
  <c r="D22" i="1"/>
  <c r="DS21" i="1"/>
  <c r="DR21" i="1" s="1"/>
  <c r="DI21" i="1"/>
  <c r="DH21" i="1" s="1"/>
  <c r="DE21" i="1"/>
  <c r="DC21" i="1"/>
  <c r="CZ21" i="1"/>
  <c r="CW21" i="1"/>
  <c r="CU21" i="1"/>
  <c r="CR21" i="1"/>
  <c r="CP21" i="1"/>
  <c r="CM21" i="1"/>
  <c r="CK21" i="1"/>
  <c r="CF21" i="1"/>
  <c r="CC21" i="1"/>
  <c r="CA21" i="1"/>
  <c r="BX21" i="1"/>
  <c r="BV21" i="1"/>
  <c r="BS21" i="1"/>
  <c r="BQ21" i="1"/>
  <c r="BL21" i="1"/>
  <c r="BI21" i="1"/>
  <c r="BG21" i="1"/>
  <c r="BD21" i="1"/>
  <c r="BB21" i="1"/>
  <c r="AY21" i="1"/>
  <c r="AW21" i="1"/>
  <c r="AT21" i="1"/>
  <c r="AR21" i="1"/>
  <c r="AO21" i="1"/>
  <c r="AM21" i="1"/>
  <c r="AJ21" i="1"/>
  <c r="AH21" i="1"/>
  <c r="AF21" i="1"/>
  <c r="AD21" i="1"/>
  <c r="AC21" i="1" s="1"/>
  <c r="Z21" i="1"/>
  <c r="X21" i="1"/>
  <c r="U21" i="1"/>
  <c r="S21" i="1"/>
  <c r="P21" i="1"/>
  <c r="N21" i="1"/>
  <c r="D21" i="1"/>
  <c r="DS20" i="1"/>
  <c r="DI20" i="1"/>
  <c r="DH20" i="1" s="1"/>
  <c r="DE20" i="1"/>
  <c r="DC20" i="1"/>
  <c r="CZ20" i="1"/>
  <c r="CW20" i="1"/>
  <c r="CU20" i="1"/>
  <c r="CR20" i="1"/>
  <c r="CP20" i="1"/>
  <c r="CM20" i="1"/>
  <c r="CK20" i="1"/>
  <c r="CF20" i="1"/>
  <c r="CC20" i="1"/>
  <c r="CA20" i="1"/>
  <c r="BX20" i="1"/>
  <c r="BV20" i="1"/>
  <c r="BS20" i="1"/>
  <c r="BQ20" i="1"/>
  <c r="BL20" i="1"/>
  <c r="BI20" i="1"/>
  <c r="BG20" i="1"/>
  <c r="BD20" i="1"/>
  <c r="BB20" i="1"/>
  <c r="AY20" i="1"/>
  <c r="AW20" i="1"/>
  <c r="AT20" i="1"/>
  <c r="AR20" i="1"/>
  <c r="AO20" i="1"/>
  <c r="AM20" i="1"/>
  <c r="AJ20" i="1"/>
  <c r="AH20" i="1"/>
  <c r="AF20" i="1"/>
  <c r="AD20" i="1"/>
  <c r="Z20" i="1"/>
  <c r="X20" i="1"/>
  <c r="U20" i="1"/>
  <c r="S20" i="1"/>
  <c r="P20" i="1"/>
  <c r="N20" i="1"/>
  <c r="D20" i="1"/>
  <c r="DS19" i="1"/>
  <c r="DR19" i="1" s="1"/>
  <c r="DI19" i="1"/>
  <c r="DH19" i="1" s="1"/>
  <c r="DC19" i="1"/>
  <c r="CZ19" i="1"/>
  <c r="CW19" i="1"/>
  <c r="CU19" i="1"/>
  <c r="CR19" i="1"/>
  <c r="CP19" i="1"/>
  <c r="CM19" i="1"/>
  <c r="CK19" i="1"/>
  <c r="CF19" i="1"/>
  <c r="CC19" i="1"/>
  <c r="CA19" i="1"/>
  <c r="BX19" i="1"/>
  <c r="BV19" i="1"/>
  <c r="BS19" i="1"/>
  <c r="BQ19" i="1"/>
  <c r="BL19" i="1"/>
  <c r="BI19" i="1"/>
  <c r="BG19" i="1"/>
  <c r="BD19" i="1"/>
  <c r="BB19" i="1"/>
  <c r="AY19" i="1"/>
  <c r="AW19" i="1"/>
  <c r="AT19" i="1"/>
  <c r="AR19" i="1"/>
  <c r="AO19" i="1"/>
  <c r="AM19" i="1"/>
  <c r="AJ19" i="1"/>
  <c r="AH19" i="1"/>
  <c r="AF19" i="1"/>
  <c r="AD19" i="1"/>
  <c r="Z19" i="1"/>
  <c r="X19" i="1"/>
  <c r="U19" i="1"/>
  <c r="S19" i="1"/>
  <c r="P19" i="1"/>
  <c r="N19" i="1"/>
  <c r="D19" i="1"/>
  <c r="DS18" i="1"/>
  <c r="DR18" i="1" s="1"/>
  <c r="DI18" i="1"/>
  <c r="DH18" i="1" s="1"/>
  <c r="DC18" i="1"/>
  <c r="CZ18" i="1"/>
  <c r="CW18" i="1"/>
  <c r="CU18" i="1"/>
  <c r="CR18" i="1"/>
  <c r="CP18" i="1"/>
  <c r="CM18" i="1"/>
  <c r="CK18" i="1"/>
  <c r="CF18" i="1"/>
  <c r="CC18" i="1"/>
  <c r="CA18" i="1"/>
  <c r="BX18" i="1"/>
  <c r="BV18" i="1"/>
  <c r="BS18" i="1"/>
  <c r="BQ18" i="1"/>
  <c r="BL18" i="1"/>
  <c r="BI18" i="1"/>
  <c r="BG18" i="1"/>
  <c r="BD18" i="1"/>
  <c r="BB18" i="1"/>
  <c r="AY18" i="1"/>
  <c r="AW18" i="1"/>
  <c r="AT18" i="1"/>
  <c r="AR18" i="1"/>
  <c r="AO18" i="1"/>
  <c r="AM18" i="1"/>
  <c r="AJ18" i="1"/>
  <c r="AH18" i="1"/>
  <c r="AF18" i="1"/>
  <c r="AD18" i="1"/>
  <c r="AC18" i="1" s="1"/>
  <c r="Z18" i="1"/>
  <c r="X18" i="1"/>
  <c r="U18" i="1"/>
  <c r="S18" i="1"/>
  <c r="P18" i="1"/>
  <c r="N18" i="1"/>
  <c r="D18" i="1"/>
  <c r="DS17" i="1"/>
  <c r="DI17" i="1"/>
  <c r="DH17" i="1" s="1"/>
  <c r="DC17" i="1"/>
  <c r="CZ17" i="1"/>
  <c r="CW17" i="1"/>
  <c r="CU17" i="1"/>
  <c r="CR17" i="1"/>
  <c r="CP17" i="1"/>
  <c r="CM17" i="1"/>
  <c r="CK17" i="1"/>
  <c r="CF17" i="1"/>
  <c r="CC17" i="1"/>
  <c r="CA17" i="1"/>
  <c r="BX17" i="1"/>
  <c r="BV17" i="1"/>
  <c r="BS17" i="1"/>
  <c r="BQ17" i="1"/>
  <c r="BL17" i="1"/>
  <c r="BI17" i="1"/>
  <c r="BG17" i="1"/>
  <c r="BD17" i="1"/>
  <c r="BB17" i="1"/>
  <c r="AY17" i="1"/>
  <c r="AW17" i="1"/>
  <c r="AT17" i="1"/>
  <c r="AR17" i="1"/>
  <c r="AO17" i="1"/>
  <c r="AM17" i="1"/>
  <c r="AJ17" i="1"/>
  <c r="AH17" i="1"/>
  <c r="AF17" i="1"/>
  <c r="AD17" i="1"/>
  <c r="AC17" i="1" s="1"/>
  <c r="Z17" i="1"/>
  <c r="X17" i="1"/>
  <c r="U17" i="1"/>
  <c r="S17" i="1"/>
  <c r="P17" i="1"/>
  <c r="N17" i="1"/>
  <c r="D17" i="1"/>
  <c r="DS16" i="1"/>
  <c r="DR16" i="1" s="1"/>
  <c r="DI16" i="1"/>
  <c r="DH16" i="1" s="1"/>
  <c r="DC16" i="1"/>
  <c r="CZ16" i="1"/>
  <c r="CW16" i="1"/>
  <c r="CU16" i="1"/>
  <c r="CR16" i="1"/>
  <c r="CP16" i="1"/>
  <c r="CM16" i="1"/>
  <c r="CK16" i="1"/>
  <c r="CF16" i="1"/>
  <c r="CC16" i="1"/>
  <c r="CA16" i="1"/>
  <c r="BX16" i="1"/>
  <c r="BV16" i="1"/>
  <c r="BS16" i="1"/>
  <c r="BQ16" i="1"/>
  <c r="BL16" i="1"/>
  <c r="BI16" i="1"/>
  <c r="BG16" i="1"/>
  <c r="BD16" i="1"/>
  <c r="BB16" i="1"/>
  <c r="AY16" i="1"/>
  <c r="AW16" i="1"/>
  <c r="AT16" i="1"/>
  <c r="AR16" i="1"/>
  <c r="AO16" i="1"/>
  <c r="AM16" i="1"/>
  <c r="AJ16" i="1"/>
  <c r="AH16" i="1"/>
  <c r="AD16" i="1"/>
  <c r="AC16" i="1" s="1"/>
  <c r="Z16" i="1"/>
  <c r="X16" i="1"/>
  <c r="U16" i="1"/>
  <c r="S16" i="1"/>
  <c r="P16" i="1"/>
  <c r="N16" i="1"/>
  <c r="D16" i="1"/>
  <c r="DT15" i="1"/>
  <c r="DS15" i="1"/>
  <c r="DR15" i="1" s="1"/>
  <c r="DJ15" i="1"/>
  <c r="DI15" i="1"/>
  <c r="DH15" i="1" s="1"/>
  <c r="DC15" i="1"/>
  <c r="CZ15" i="1"/>
  <c r="CU15" i="1"/>
  <c r="CP15" i="1"/>
  <c r="CK15" i="1"/>
  <c r="CF15" i="1"/>
  <c r="CA15" i="1"/>
  <c r="BV15" i="1"/>
  <c r="BQ15" i="1"/>
  <c r="BL15" i="1"/>
  <c r="BG15" i="1"/>
  <c r="BB15" i="1"/>
  <c r="AW15" i="1"/>
  <c r="AR15" i="1"/>
  <c r="AM15" i="1"/>
  <c r="AH15" i="1"/>
  <c r="AD15" i="1"/>
  <c r="AC15" i="1" s="1"/>
  <c r="X15" i="1"/>
  <c r="S15" i="1"/>
  <c r="N15" i="1"/>
  <c r="D15" i="1"/>
  <c r="DT14" i="1"/>
  <c r="DS14" i="1"/>
  <c r="DR14" i="1" s="1"/>
  <c r="DJ14" i="1"/>
  <c r="DI14" i="1"/>
  <c r="DH14" i="1" s="1"/>
  <c r="DC14" i="1"/>
  <c r="CZ14" i="1"/>
  <c r="CU14" i="1"/>
  <c r="CP14" i="1"/>
  <c r="CK14" i="1"/>
  <c r="CF14" i="1"/>
  <c r="CA14" i="1"/>
  <c r="BV14" i="1"/>
  <c r="BQ14" i="1"/>
  <c r="BL14" i="1"/>
  <c r="BG14" i="1"/>
  <c r="BB14" i="1"/>
  <c r="AW14" i="1"/>
  <c r="AR14" i="1"/>
  <c r="AM14" i="1"/>
  <c r="AH14" i="1"/>
  <c r="AD14" i="1"/>
  <c r="X14" i="1"/>
  <c r="S14" i="1"/>
  <c r="N14" i="1"/>
  <c r="D14" i="1"/>
  <c r="DT13" i="1"/>
  <c r="DS13" i="1"/>
  <c r="DR13" i="1" s="1"/>
  <c r="DJ13" i="1"/>
  <c r="DI13" i="1"/>
  <c r="DH13" i="1" s="1"/>
  <c r="DC13" i="1"/>
  <c r="CZ13" i="1"/>
  <c r="CU13" i="1"/>
  <c r="CP13" i="1"/>
  <c r="CK13" i="1"/>
  <c r="CF13" i="1"/>
  <c r="CA13" i="1"/>
  <c r="BV13" i="1"/>
  <c r="BQ13" i="1"/>
  <c r="BL13" i="1"/>
  <c r="BG13" i="1"/>
  <c r="BB13" i="1"/>
  <c r="AW13" i="1"/>
  <c r="AR13" i="1"/>
  <c r="AM13" i="1"/>
  <c r="AH13" i="1"/>
  <c r="AD13" i="1"/>
  <c r="X13" i="1"/>
  <c r="S13" i="1"/>
  <c r="N13" i="1"/>
  <c r="D13" i="1"/>
  <c r="DT12" i="1"/>
  <c r="DS12" i="1"/>
  <c r="DR12" i="1" s="1"/>
  <c r="DJ12" i="1"/>
  <c r="DI12" i="1"/>
  <c r="DH12" i="1" s="1"/>
  <c r="DC12" i="1"/>
  <c r="CZ12" i="1"/>
  <c r="CU12" i="1"/>
  <c r="CP12" i="1"/>
  <c r="CK12" i="1"/>
  <c r="CF12" i="1"/>
  <c r="CA12" i="1"/>
  <c r="BV12" i="1"/>
  <c r="BQ12" i="1"/>
  <c r="BL12" i="1"/>
  <c r="BG12" i="1"/>
  <c r="BB12" i="1"/>
  <c r="AW12" i="1"/>
  <c r="AR12" i="1"/>
  <c r="AM12" i="1"/>
  <c r="AH12" i="1"/>
  <c r="AD12" i="1"/>
  <c r="X12" i="1"/>
  <c r="S12" i="1"/>
  <c r="N12" i="1"/>
  <c r="D12" i="1"/>
  <c r="DT11" i="1"/>
  <c r="DS11" i="1"/>
  <c r="DR11" i="1" s="1"/>
  <c r="DJ11" i="1"/>
  <c r="DI11" i="1"/>
  <c r="DH11" i="1" s="1"/>
  <c r="DC11" i="1"/>
  <c r="CZ11" i="1"/>
  <c r="CU11" i="1"/>
  <c r="CP11" i="1"/>
  <c r="CK11" i="1"/>
  <c r="CF11" i="1"/>
  <c r="CA11" i="1"/>
  <c r="BV11" i="1"/>
  <c r="BQ11" i="1"/>
  <c r="BL11" i="1"/>
  <c r="BG11" i="1"/>
  <c r="BB11" i="1"/>
  <c r="AW11" i="1"/>
  <c r="AR11" i="1"/>
  <c r="AM11" i="1"/>
  <c r="AH11" i="1"/>
  <c r="AD11" i="1"/>
  <c r="AC11" i="1" s="1"/>
  <c r="X11" i="1"/>
  <c r="S11" i="1"/>
  <c r="N11" i="1"/>
  <c r="D11" i="1"/>
  <c r="DT10" i="1"/>
  <c r="DS10" i="1"/>
  <c r="DR10" i="1" s="1"/>
  <c r="DJ10" i="1"/>
  <c r="DI10" i="1"/>
  <c r="DH10" i="1" s="1"/>
  <c r="DC10" i="1"/>
  <c r="CZ10" i="1"/>
  <c r="CU10" i="1"/>
  <c r="CP10" i="1"/>
  <c r="CK10" i="1"/>
  <c r="CF10" i="1"/>
  <c r="CA10" i="1"/>
  <c r="BV10" i="1"/>
  <c r="BQ10" i="1"/>
  <c r="BL10" i="1"/>
  <c r="BG10" i="1"/>
  <c r="BB10" i="1"/>
  <c r="AW10" i="1"/>
  <c r="AR10" i="1"/>
  <c r="AM10" i="1"/>
  <c r="AH10" i="1"/>
  <c r="AD10" i="1"/>
  <c r="AC10" i="1" s="1"/>
  <c r="X10" i="1"/>
  <c r="S10" i="1"/>
  <c r="N10" i="1"/>
  <c r="D10" i="1"/>
  <c r="DT9" i="1"/>
  <c r="DS9" i="1"/>
  <c r="DR9" i="1" s="1"/>
  <c r="DJ9" i="1"/>
  <c r="DI9" i="1"/>
  <c r="DH9" i="1" s="1"/>
  <c r="DC9" i="1"/>
  <c r="CZ9" i="1"/>
  <c r="CU9" i="1"/>
  <c r="CP9" i="1"/>
  <c r="CK9" i="1"/>
  <c r="CF9" i="1"/>
  <c r="CA9" i="1"/>
  <c r="BV9" i="1"/>
  <c r="BQ9" i="1"/>
  <c r="BL9" i="1"/>
  <c r="BG9" i="1"/>
  <c r="BB9" i="1"/>
  <c r="AW9" i="1"/>
  <c r="AR9" i="1"/>
  <c r="AM9" i="1"/>
  <c r="AH9" i="1"/>
  <c r="AD9" i="1"/>
  <c r="X9" i="1"/>
  <c r="S9" i="1"/>
  <c r="N9" i="1"/>
  <c r="D9" i="1"/>
  <c r="DT8" i="1"/>
  <c r="DS8" i="1"/>
  <c r="DJ8" i="1"/>
  <c r="DO8" i="1" s="1"/>
  <c r="DI8" i="1"/>
  <c r="DH8" i="1" s="1"/>
  <c r="DC8" i="1"/>
  <c r="CZ8" i="1"/>
  <c r="CU8" i="1"/>
  <c r="CP8" i="1"/>
  <c r="CK8" i="1"/>
  <c r="CF8" i="1"/>
  <c r="CA8" i="1"/>
  <c r="BV8" i="1"/>
  <c r="BQ8" i="1"/>
  <c r="BL8" i="1"/>
  <c r="BG8" i="1"/>
  <c r="BB8" i="1"/>
  <c r="AW8" i="1"/>
  <c r="AR8" i="1"/>
  <c r="AM8" i="1"/>
  <c r="AH8" i="1"/>
  <c r="AD8" i="1"/>
  <c r="AC8" i="1" s="1"/>
  <c r="X8" i="1"/>
  <c r="S8" i="1"/>
  <c r="N8" i="1"/>
  <c r="D8" i="1"/>
  <c r="DT7" i="1"/>
  <c r="DS7" i="1"/>
  <c r="DR7" i="1" s="1"/>
  <c r="DJ7" i="1"/>
  <c r="DO7" i="1" s="1"/>
  <c r="DI7" i="1"/>
  <c r="DH7" i="1" s="1"/>
  <c r="DC7" i="1"/>
  <c r="CZ7" i="1"/>
  <c r="CU7" i="1"/>
  <c r="CP7" i="1"/>
  <c r="CK7" i="1"/>
  <c r="CF7" i="1"/>
  <c r="CA7" i="1"/>
  <c r="BV7" i="1"/>
  <c r="BQ7" i="1"/>
  <c r="BL7" i="1"/>
  <c r="BG7" i="1"/>
  <c r="BB7" i="1"/>
  <c r="AW7" i="1"/>
  <c r="AR7" i="1"/>
  <c r="AM7" i="1"/>
  <c r="AH7" i="1"/>
  <c r="AC7" i="1"/>
  <c r="X7" i="1"/>
  <c r="S7" i="1"/>
  <c r="N7" i="1"/>
  <c r="D7" i="1"/>
  <c r="DT6" i="1"/>
  <c r="DS6" i="1"/>
  <c r="DR6" i="1" s="1"/>
  <c r="DJ6" i="1"/>
  <c r="DI6" i="1"/>
  <c r="DC6" i="1"/>
  <c r="CZ6" i="1"/>
  <c r="CU6" i="1"/>
  <c r="CP6" i="1"/>
  <c r="CK6" i="1"/>
  <c r="CF6" i="1"/>
  <c r="CA6" i="1"/>
  <c r="BV6" i="1"/>
  <c r="BQ6" i="1"/>
  <c r="BL6" i="1"/>
  <c r="BG6" i="1"/>
  <c r="BB6" i="1"/>
  <c r="AW6" i="1"/>
  <c r="AR6" i="1"/>
  <c r="AM6" i="1"/>
  <c r="AH6" i="1"/>
  <c r="AC6" i="1"/>
  <c r="X6" i="1"/>
  <c r="S6" i="1"/>
  <c r="N6" i="1"/>
  <c r="D6" i="1"/>
  <c r="DT5" i="1"/>
  <c r="DS5" i="1"/>
  <c r="DJ5" i="1"/>
  <c r="DI5" i="1"/>
  <c r="DC5" i="1"/>
  <c r="CZ5" i="1"/>
  <c r="CU5" i="1"/>
  <c r="CP5" i="1"/>
  <c r="CK5" i="1"/>
  <c r="CF5" i="1"/>
  <c r="CA5" i="1"/>
  <c r="BV5" i="1"/>
  <c r="BQ5" i="1"/>
  <c r="BL5" i="1"/>
  <c r="BG5" i="1"/>
  <c r="BB5" i="1"/>
  <c r="AW5" i="1"/>
  <c r="AR5" i="1"/>
  <c r="AM5" i="1"/>
  <c r="AH5" i="1"/>
  <c r="AC5" i="1"/>
  <c r="X5" i="1"/>
  <c r="S5" i="1"/>
  <c r="N5" i="1"/>
  <c r="D5" i="1"/>
  <c r="DN157" i="1" l="1"/>
  <c r="DX157" i="1" s="1"/>
  <c r="DT75" i="1"/>
  <c r="DJ17" i="1"/>
  <c r="DT21" i="1"/>
  <c r="DJ26" i="1"/>
  <c r="DT53" i="1"/>
  <c r="DT74" i="1"/>
  <c r="DN139" i="1"/>
  <c r="DX139" i="1" s="1"/>
  <c r="DJ28" i="1"/>
  <c r="DJ29" i="1"/>
  <c r="DJ30" i="1"/>
  <c r="DJ38" i="1"/>
  <c r="DT41" i="1"/>
  <c r="DY7" i="1"/>
  <c r="DN69" i="1"/>
  <c r="DM69" i="1" s="1"/>
  <c r="EK92" i="1"/>
  <c r="DJ22" i="1"/>
  <c r="DN29" i="1"/>
  <c r="DM29" i="1" s="1"/>
  <c r="DT43" i="1"/>
  <c r="DT61" i="1"/>
  <c r="AE60" i="1"/>
  <c r="DT55" i="1"/>
  <c r="DJ103" i="1"/>
  <c r="EK93" i="1"/>
  <c r="DJ106" i="1"/>
  <c r="DT23" i="1"/>
  <c r="DT25" i="1"/>
  <c r="DJ27" i="1"/>
  <c r="DJ37" i="1"/>
  <c r="DT45" i="1"/>
  <c r="DT46" i="1"/>
  <c r="DT50" i="1"/>
  <c r="DT66" i="1"/>
  <c r="DT67" i="1"/>
  <c r="DT69" i="1"/>
  <c r="DT71" i="1"/>
  <c r="EK102" i="1"/>
  <c r="EK107" i="1"/>
  <c r="DN135" i="1"/>
  <c r="DM135" i="1" s="1"/>
  <c r="DT62" i="1"/>
  <c r="EK94" i="1"/>
  <c r="EK108" i="1"/>
  <c r="EE52" i="1"/>
  <c r="ED52" i="1" s="1"/>
  <c r="DO12" i="1"/>
  <c r="DY12" i="1" s="1"/>
  <c r="DJ16" i="1"/>
  <c r="DN16" i="1"/>
  <c r="DX16" i="1" s="1"/>
  <c r="DW16" i="1" s="1"/>
  <c r="DT28" i="1"/>
  <c r="DT30" i="1"/>
  <c r="AE48" i="1"/>
  <c r="DT38" i="1"/>
  <c r="DT42" i="1"/>
  <c r="DN59" i="1"/>
  <c r="DM59" i="1" s="1"/>
  <c r="DN109" i="1"/>
  <c r="DM109" i="1" s="1"/>
  <c r="DN114" i="1"/>
  <c r="DX114" i="1" s="1"/>
  <c r="DN115" i="1"/>
  <c r="DM115" i="1" s="1"/>
  <c r="DN116" i="1"/>
  <c r="DX116" i="1" s="1"/>
  <c r="DN117" i="1"/>
  <c r="DX117" i="1" s="1"/>
  <c r="DN165" i="1"/>
  <c r="DM165" i="1" s="1"/>
  <c r="DN168" i="1"/>
  <c r="DM168" i="1" s="1"/>
  <c r="DN170" i="1"/>
  <c r="DX170" i="1" s="1"/>
  <c r="DW170" i="1" s="1"/>
  <c r="DY8" i="1"/>
  <c r="DT19" i="1"/>
  <c r="DJ31" i="1"/>
  <c r="DJ33" i="1"/>
  <c r="DJ36" i="1"/>
  <c r="DT37" i="1"/>
  <c r="DT39" i="1"/>
  <c r="DT40" i="1"/>
  <c r="DT47" i="1"/>
  <c r="DT70" i="1"/>
  <c r="DT73" i="1"/>
  <c r="DN120" i="1"/>
  <c r="DM120" i="1" s="1"/>
  <c r="DN143" i="1"/>
  <c r="DM143" i="1" s="1"/>
  <c r="DN7" i="1"/>
  <c r="DM7" i="1" s="1"/>
  <c r="EE22" i="1"/>
  <c r="ED22" i="1" s="1"/>
  <c r="DT33" i="1"/>
  <c r="DT48" i="1"/>
  <c r="DN52" i="1"/>
  <c r="DM52" i="1" s="1"/>
  <c r="DT59" i="1"/>
  <c r="DN61" i="1"/>
  <c r="DM61" i="1" s="1"/>
  <c r="DT72" i="1"/>
  <c r="DX100" i="1"/>
  <c r="DW100" i="1" s="1"/>
  <c r="EK100" i="1"/>
  <c r="DN122" i="1"/>
  <c r="DX122" i="1" s="1"/>
  <c r="DW122" i="1" s="1"/>
  <c r="DN131" i="1"/>
  <c r="DM131" i="1" s="1"/>
  <c r="DN149" i="1"/>
  <c r="DM149" i="1" s="1"/>
  <c r="EE16" i="1"/>
  <c r="ED16" i="1" s="1"/>
  <c r="DJ18" i="1"/>
  <c r="DJ19" i="1"/>
  <c r="DT20" i="1"/>
  <c r="DT24" i="1"/>
  <c r="DT26" i="1"/>
  <c r="DT44" i="1"/>
  <c r="DN68" i="1"/>
  <c r="DN70" i="1"/>
  <c r="DM70" i="1" s="1"/>
  <c r="AE72" i="1"/>
  <c r="DN102" i="1"/>
  <c r="DM102" i="1" s="1"/>
  <c r="DN145" i="1"/>
  <c r="DX145" i="1" s="1"/>
  <c r="DO13" i="1"/>
  <c r="DT16" i="1"/>
  <c r="DT18" i="1"/>
  <c r="DJ20" i="1"/>
  <c r="DT27" i="1"/>
  <c r="DN32" i="1"/>
  <c r="DM32" i="1" s="1"/>
  <c r="DN36" i="1"/>
  <c r="DX36" i="1" s="1"/>
  <c r="DW36" i="1" s="1"/>
  <c r="AC49" i="1"/>
  <c r="EE49" i="1"/>
  <c r="ED49" i="1" s="1"/>
  <c r="DT56" i="1"/>
  <c r="DN56" i="1"/>
  <c r="DX56" i="1" s="1"/>
  <c r="DN62" i="1"/>
  <c r="DX62" i="1" s="1"/>
  <c r="DN66" i="1"/>
  <c r="DX66" i="1" s="1"/>
  <c r="AE67" i="1"/>
  <c r="AE70" i="1"/>
  <c r="AE87" i="1"/>
  <c r="DN96" i="1"/>
  <c r="DX96" i="1" s="1"/>
  <c r="EK97" i="1"/>
  <c r="EK99" i="1"/>
  <c r="EK103" i="1"/>
  <c r="DN105" i="1"/>
  <c r="DN106" i="1"/>
  <c r="DM106" i="1" s="1"/>
  <c r="EK106" i="1"/>
  <c r="DX108" i="1"/>
  <c r="DN112" i="1"/>
  <c r="DM112" i="1" s="1"/>
  <c r="DN123" i="1"/>
  <c r="DM123" i="1" s="1"/>
  <c r="DN127" i="1"/>
  <c r="DM127" i="1" s="1"/>
  <c r="DN128" i="1"/>
  <c r="DM128" i="1" s="1"/>
  <c r="DN129" i="1"/>
  <c r="DM129" i="1" s="1"/>
  <c r="DN136" i="1"/>
  <c r="DX136" i="1" s="1"/>
  <c r="DN137" i="1"/>
  <c r="DX137" i="1" s="1"/>
  <c r="DN144" i="1"/>
  <c r="DM144" i="1" s="1"/>
  <c r="DJ145" i="1"/>
  <c r="DN147" i="1"/>
  <c r="DM147" i="1" s="1"/>
  <c r="DH153" i="1"/>
  <c r="DN161" i="1"/>
  <c r="DX161" i="1" s="1"/>
  <c r="DN18" i="1"/>
  <c r="DX18" i="1" s="1"/>
  <c r="DW18" i="1" s="1"/>
  <c r="DT22" i="1"/>
  <c r="DT34" i="1"/>
  <c r="DJ35" i="1"/>
  <c r="DT36" i="1"/>
  <c r="DN47" i="1"/>
  <c r="DX47" i="1" s="1"/>
  <c r="DT49" i="1"/>
  <c r="AE50" i="1"/>
  <c r="DT52" i="1"/>
  <c r="AE57" i="1"/>
  <c r="AE58" i="1"/>
  <c r="DT58" i="1"/>
  <c r="DT63" i="1"/>
  <c r="DN67" i="1"/>
  <c r="DX67" i="1" s="1"/>
  <c r="AE86" i="1"/>
  <c r="DO6" i="1"/>
  <c r="DY6" i="1" s="1"/>
  <c r="DO11" i="1"/>
  <c r="DY11" i="1" s="1"/>
  <c r="DN14" i="1"/>
  <c r="DM14" i="1" s="1"/>
  <c r="DJ21" i="1"/>
  <c r="DN26" i="1"/>
  <c r="DX26" i="1" s="1"/>
  <c r="DW26" i="1" s="1"/>
  <c r="DT35" i="1"/>
  <c r="DN40" i="1"/>
  <c r="DX40" i="1" s="1"/>
  <c r="DW40" i="1" s="1"/>
  <c r="AC59" i="1"/>
  <c r="DN64" i="1"/>
  <c r="DM64" i="1" s="1"/>
  <c r="EE76" i="1"/>
  <c r="ED76" i="1" s="1"/>
  <c r="DN83" i="1"/>
  <c r="DM83" i="1" s="1"/>
  <c r="DN87" i="1"/>
  <c r="EK95" i="1"/>
  <c r="EK98" i="1"/>
  <c r="DN104" i="1"/>
  <c r="DX104" i="1" s="1"/>
  <c r="EK104" i="1"/>
  <c r="EK105" i="1"/>
  <c r="DN107" i="1"/>
  <c r="DX107" i="1" s="1"/>
  <c r="DN119" i="1"/>
  <c r="DN126" i="1"/>
  <c r="DX126" i="1" s="1"/>
  <c r="DW126" i="1" s="1"/>
  <c r="DN133" i="1"/>
  <c r="DM133" i="1" s="1"/>
  <c r="DN134" i="1"/>
  <c r="DX134" i="1" s="1"/>
  <c r="DW134" i="1" s="1"/>
  <c r="DN141" i="1"/>
  <c r="DX141" i="1" s="1"/>
  <c r="DN142" i="1"/>
  <c r="DX142" i="1" s="1"/>
  <c r="DW142" i="1" s="1"/>
  <c r="DH6" i="1"/>
  <c r="DN6" i="1"/>
  <c r="AC9" i="1"/>
  <c r="AE20" i="1"/>
  <c r="AC13" i="1"/>
  <c r="AE24" i="1"/>
  <c r="AC19" i="1"/>
  <c r="DN19" i="1"/>
  <c r="AC24" i="1"/>
  <c r="DN24" i="1"/>
  <c r="DX24" i="1" s="1"/>
  <c r="DW24" i="1" s="1"/>
  <c r="AC31" i="1"/>
  <c r="DN31" i="1"/>
  <c r="DX31" i="1" s="1"/>
  <c r="DH50" i="1"/>
  <c r="DJ61" i="1"/>
  <c r="DJ59" i="1"/>
  <c r="DR53" i="1"/>
  <c r="EE55" i="1"/>
  <c r="DR56" i="1"/>
  <c r="EE58" i="1"/>
  <c r="DM111" i="1"/>
  <c r="DX111" i="1"/>
  <c r="DR17" i="1"/>
  <c r="EE19" i="1"/>
  <c r="AC22" i="1"/>
  <c r="AE33" i="1"/>
  <c r="DN22" i="1"/>
  <c r="DM22" i="1" s="1"/>
  <c r="DH63" i="1"/>
  <c r="DJ74" i="1"/>
  <c r="DJ73" i="1"/>
  <c r="DN82" i="1"/>
  <c r="DH82" i="1"/>
  <c r="DH86" i="1"/>
  <c r="DN86" i="1"/>
  <c r="DN9" i="1"/>
  <c r="DN10" i="1"/>
  <c r="AE16" i="1"/>
  <c r="AE22" i="1"/>
  <c r="AE26" i="1"/>
  <c r="DN13" i="1"/>
  <c r="EE40" i="1"/>
  <c r="AE44" i="1"/>
  <c r="DJ55" i="1"/>
  <c r="DJ65" i="1"/>
  <c r="DJ72" i="1"/>
  <c r="AC23" i="1"/>
  <c r="AE34" i="1"/>
  <c r="DR32" i="1"/>
  <c r="EE34" i="1"/>
  <c r="DJ46" i="1"/>
  <c r="DJ45" i="1"/>
  <c r="DH35" i="1"/>
  <c r="DR65" i="1"/>
  <c r="EE67" i="1"/>
  <c r="EE88" i="1"/>
  <c r="ED88" i="1" s="1"/>
  <c r="DR86" i="1"/>
  <c r="DH88" i="1"/>
  <c r="DN88" i="1"/>
  <c r="DH110" i="1"/>
  <c r="DN110" i="1"/>
  <c r="DJ121" i="1"/>
  <c r="DJ120" i="1"/>
  <c r="DJ118" i="1"/>
  <c r="DJ117" i="1"/>
  <c r="DH148" i="1"/>
  <c r="DN148" i="1"/>
  <c r="DX154" i="1"/>
  <c r="DM154" i="1"/>
  <c r="DN156" i="1"/>
  <c r="DH156" i="1"/>
  <c r="DJ167" i="1"/>
  <c r="DX162" i="1"/>
  <c r="DM162" i="1"/>
  <c r="DJ175" i="1"/>
  <c r="DN164" i="1"/>
  <c r="DH164" i="1"/>
  <c r="DH5" i="1"/>
  <c r="DN5" i="1"/>
  <c r="AC14" i="1"/>
  <c r="AE25" i="1"/>
  <c r="AC27" i="1"/>
  <c r="DN27" i="1"/>
  <c r="DM27" i="1" s="1"/>
  <c r="AC28" i="1"/>
  <c r="AE39" i="1"/>
  <c r="DN28" i="1"/>
  <c r="DH36" i="1"/>
  <c r="DJ47" i="1"/>
  <c r="AC37" i="1"/>
  <c r="DN37" i="1"/>
  <c r="DM37" i="1" s="1"/>
  <c r="DH43" i="1"/>
  <c r="DJ54" i="1"/>
  <c r="AC45" i="1"/>
  <c r="AE56" i="1"/>
  <c r="DH71" i="1"/>
  <c r="DN71" i="1"/>
  <c r="AC72" i="1"/>
  <c r="AE81" i="1"/>
  <c r="DN72" i="1"/>
  <c r="AE83" i="1"/>
  <c r="DH75" i="1"/>
  <c r="DN75" i="1"/>
  <c r="DH111" i="1"/>
  <c r="DJ122" i="1"/>
  <c r="DH124" i="1"/>
  <c r="DJ134" i="1"/>
  <c r="DJ133" i="1"/>
  <c r="DN124" i="1"/>
  <c r="DJ135" i="1"/>
  <c r="DJ128" i="1"/>
  <c r="DJ127" i="1"/>
  <c r="DJ125" i="1"/>
  <c r="DX153" i="1"/>
  <c r="DM153" i="1"/>
  <c r="AC12" i="1"/>
  <c r="AE23" i="1"/>
  <c r="AC29" i="1"/>
  <c r="AE40" i="1"/>
  <c r="DH37" i="1"/>
  <c r="DJ48" i="1"/>
  <c r="DR44" i="1"/>
  <c r="EE46" i="1"/>
  <c r="DH46" i="1"/>
  <c r="DJ57" i="1"/>
  <c r="DN46" i="1"/>
  <c r="AE63" i="1"/>
  <c r="AE62" i="1"/>
  <c r="AC52" i="1"/>
  <c r="DH53" i="1"/>
  <c r="DJ64" i="1"/>
  <c r="DJ63" i="1"/>
  <c r="DN53" i="1"/>
  <c r="DH55" i="1"/>
  <c r="DJ66" i="1"/>
  <c r="DH65" i="1"/>
  <c r="DJ76" i="1"/>
  <c r="DJ75" i="1"/>
  <c r="DH132" i="1"/>
  <c r="DJ142" i="1"/>
  <c r="DN132" i="1"/>
  <c r="DJ143" i="1"/>
  <c r="DX150" i="1"/>
  <c r="DM150" i="1"/>
  <c r="DN152" i="1"/>
  <c r="DH152" i="1"/>
  <c r="DX158" i="1"/>
  <c r="DM158" i="1"/>
  <c r="DM159" i="1"/>
  <c r="DX159" i="1"/>
  <c r="DN160" i="1"/>
  <c r="DH160" i="1"/>
  <c r="DM166" i="1"/>
  <c r="DR5" i="1"/>
  <c r="DO5" i="1" s="1"/>
  <c r="DY5" i="1" s="1"/>
  <c r="EE7" i="1"/>
  <c r="DR8" i="1"/>
  <c r="EE10" i="1"/>
  <c r="AC20" i="1"/>
  <c r="AE31" i="1"/>
  <c r="AC30" i="1"/>
  <c r="DN30" i="1"/>
  <c r="AE41" i="1"/>
  <c r="DJ44" i="1"/>
  <c r="DH33" i="1"/>
  <c r="AE45" i="1"/>
  <c r="DN34" i="1"/>
  <c r="DM34" i="1" s="1"/>
  <c r="DJ52" i="1"/>
  <c r="DH41" i="1"/>
  <c r="DH60" i="1"/>
  <c r="DJ71" i="1"/>
  <c r="DJ69" i="1"/>
  <c r="DJ67" i="1"/>
  <c r="DM100" i="1"/>
  <c r="DH113" i="1"/>
  <c r="DN113" i="1"/>
  <c r="DJ124" i="1"/>
  <c r="DJ123" i="1"/>
  <c r="DH140" i="1"/>
  <c r="DN140" i="1"/>
  <c r="DM157" i="1"/>
  <c r="DJ180" i="1"/>
  <c r="DN169" i="1"/>
  <c r="DH169" i="1"/>
  <c r="AE27" i="1"/>
  <c r="DJ40" i="1"/>
  <c r="AE29" i="1"/>
  <c r="AC36" i="1"/>
  <c r="AE38" i="1"/>
  <c r="AE66" i="1"/>
  <c r="DJ70" i="1"/>
  <c r="EE85" i="1"/>
  <c r="ED85" i="1" s="1"/>
  <c r="DJ130" i="1"/>
  <c r="DJ151" i="1"/>
  <c r="DJ164" i="1"/>
  <c r="DJ159" i="1"/>
  <c r="EE13" i="1"/>
  <c r="AE30" i="1"/>
  <c r="DJ53" i="1"/>
  <c r="AE43" i="1"/>
  <c r="AE55" i="1"/>
  <c r="DJ56" i="1"/>
  <c r="DN58" i="1"/>
  <c r="DJ60" i="1"/>
  <c r="AE61" i="1"/>
  <c r="EE61" i="1"/>
  <c r="AE69" i="1"/>
  <c r="EE73" i="1"/>
  <c r="ED73" i="1" s="1"/>
  <c r="AE75" i="1"/>
  <c r="AE78" i="1"/>
  <c r="AE79" i="1"/>
  <c r="DJ113" i="1"/>
  <c r="DJ129" i="1"/>
  <c r="DJ138" i="1"/>
  <c r="DN12" i="1"/>
  <c r="AE17" i="1"/>
  <c r="AE19" i="1"/>
  <c r="DN23" i="1"/>
  <c r="DT29" i="1"/>
  <c r="AE35" i="1"/>
  <c r="DN44" i="1"/>
  <c r="AE46" i="1"/>
  <c r="DJ50" i="1"/>
  <c r="AE53" i="1"/>
  <c r="AE68" i="1"/>
  <c r="AE73" i="1"/>
  <c r="DN74" i="1"/>
  <c r="DN76" i="1"/>
  <c r="DM76" i="1" s="1"/>
  <c r="AE77" i="1"/>
  <c r="AE80" i="1"/>
  <c r="EK96" i="1"/>
  <c r="DJ112" i="1"/>
  <c r="DJ115" i="1"/>
  <c r="DJ137" i="1"/>
  <c r="DJ146" i="1"/>
  <c r="DJ160" i="1"/>
  <c r="DJ155" i="1"/>
  <c r="DJ169" i="1"/>
  <c r="DJ163" i="1"/>
  <c r="DX166" i="1"/>
  <c r="DJ168" i="1"/>
  <c r="DX173" i="1"/>
  <c r="DW173" i="1" s="1"/>
  <c r="DM173" i="1"/>
  <c r="AC38" i="1"/>
  <c r="DN38" i="1"/>
  <c r="DM38" i="1" s="1"/>
  <c r="DH96" i="1"/>
  <c r="DJ107" i="1"/>
  <c r="DH98" i="1"/>
  <c r="DN98" i="1"/>
  <c r="DH118" i="1"/>
  <c r="DN118" i="1"/>
  <c r="DH121" i="1"/>
  <c r="DN121" i="1"/>
  <c r="DH125" i="1"/>
  <c r="DN125" i="1"/>
  <c r="DJ178" i="1"/>
  <c r="DN167" i="1"/>
  <c r="DH167" i="1"/>
  <c r="DM174" i="1"/>
  <c r="DX174" i="1"/>
  <c r="DW174" i="1" s="1"/>
  <c r="DR23" i="1"/>
  <c r="EE25" i="1"/>
  <c r="DR26" i="1"/>
  <c r="EE28" i="1"/>
  <c r="DH32" i="1"/>
  <c r="DJ43" i="1"/>
  <c r="DR35" i="1"/>
  <c r="EE37" i="1"/>
  <c r="DH47" i="1"/>
  <c r="DJ58" i="1"/>
  <c r="DJ68" i="1"/>
  <c r="DH57" i="1"/>
  <c r="AC74" i="1"/>
  <c r="AE85" i="1"/>
  <c r="DJ108" i="1"/>
  <c r="DH97" i="1"/>
  <c r="DH100" i="1"/>
  <c r="DJ111" i="1"/>
  <c r="DH103" i="1"/>
  <c r="DJ114" i="1"/>
  <c r="DH108" i="1"/>
  <c r="DJ119" i="1"/>
  <c r="DJ182" i="1"/>
  <c r="DN171" i="1"/>
  <c r="DJ136" i="1"/>
  <c r="DJ144" i="1"/>
  <c r="DJ162" i="1"/>
  <c r="DJ166" i="1"/>
  <c r="DJ174" i="1"/>
  <c r="DN8" i="1"/>
  <c r="DN11" i="1"/>
  <c r="DO15" i="1"/>
  <c r="DY15" i="1" s="1"/>
  <c r="AE18" i="1"/>
  <c r="DJ23" i="1"/>
  <c r="DN25" i="1"/>
  <c r="DX25" i="1" s="1"/>
  <c r="DW25" i="1" s="1"/>
  <c r="DJ32" i="1"/>
  <c r="DJ34" i="1"/>
  <c r="DJ39" i="1"/>
  <c r="DN39" i="1"/>
  <c r="DM39" i="1" s="1"/>
  <c r="AE42" i="1"/>
  <c r="DN43" i="1"/>
  <c r="EE43" i="1"/>
  <c r="DJ49" i="1"/>
  <c r="DN50" i="1"/>
  <c r="AE51" i="1"/>
  <c r="DN55" i="1"/>
  <c r="DT60" i="1"/>
  <c r="DN63" i="1"/>
  <c r="DT65" i="1"/>
  <c r="AE74" i="1"/>
  <c r="EE94" i="1"/>
  <c r="ED94" i="1" s="1"/>
  <c r="DX103" i="1"/>
  <c r="DJ116" i="1"/>
  <c r="DJ126" i="1"/>
  <c r="DJ141" i="1"/>
  <c r="DJ149" i="1"/>
  <c r="DH151" i="1"/>
  <c r="DJ153" i="1"/>
  <c r="DH155" i="1"/>
  <c r="DJ157" i="1"/>
  <c r="DH159" i="1"/>
  <c r="DJ161" i="1"/>
  <c r="DJ173" i="1"/>
  <c r="DH163" i="1"/>
  <c r="DJ165" i="1"/>
  <c r="DJ177" i="1"/>
  <c r="DO9" i="1"/>
  <c r="DY9" i="1" s="1"/>
  <c r="DO10" i="1"/>
  <c r="DY10" i="1" s="1"/>
  <c r="DO14" i="1"/>
  <c r="DY14" i="1" s="1"/>
  <c r="DN15" i="1"/>
  <c r="DN17" i="1"/>
  <c r="DR20" i="1"/>
  <c r="DJ25" i="1"/>
  <c r="AE28" i="1"/>
  <c r="DT32" i="1"/>
  <c r="AE36" i="1"/>
  <c r="AE37" i="1"/>
  <c r="DH42" i="1"/>
  <c r="AE47" i="1"/>
  <c r="AE49" i="1"/>
  <c r="DJ51" i="1"/>
  <c r="AE54" i="1"/>
  <c r="DT54" i="1"/>
  <c r="AE59" i="1"/>
  <c r="DN60" i="1"/>
  <c r="AE64" i="1"/>
  <c r="DN65" i="1"/>
  <c r="AC69" i="1"/>
  <c r="AE71" i="1"/>
  <c r="AE76" i="1"/>
  <c r="DT76" i="1"/>
  <c r="AE84" i="1"/>
  <c r="DJ109" i="1"/>
  <c r="DJ110" i="1"/>
  <c r="DN130" i="1"/>
  <c r="DJ131" i="1"/>
  <c r="DJ132" i="1"/>
  <c r="DN138" i="1"/>
  <c r="DJ139" i="1"/>
  <c r="DJ140" i="1"/>
  <c r="DN146" i="1"/>
  <c r="DJ147" i="1"/>
  <c r="DJ148" i="1"/>
  <c r="DH150" i="1"/>
  <c r="DN151" i="1"/>
  <c r="DJ152" i="1"/>
  <c r="DH154" i="1"/>
  <c r="DN155" i="1"/>
  <c r="DJ156" i="1"/>
  <c r="DH158" i="1"/>
  <c r="DH162" i="1"/>
  <c r="DN163" i="1"/>
  <c r="DH166" i="1"/>
  <c r="DM172" i="1"/>
  <c r="DX172" i="1"/>
  <c r="DW172" i="1" s="1"/>
  <c r="AE21" i="1"/>
  <c r="EE31" i="1"/>
  <c r="AE32" i="1"/>
  <c r="DN41" i="1"/>
  <c r="DJ42" i="1"/>
  <c r="DN49" i="1"/>
  <c r="AE52" i="1"/>
  <c r="AE65" i="1"/>
  <c r="AE82" i="1"/>
  <c r="DJ105" i="1"/>
  <c r="EK101" i="1"/>
  <c r="DJ150" i="1"/>
  <c r="DJ154" i="1"/>
  <c r="DJ158" i="1"/>
  <c r="DJ172" i="1"/>
  <c r="DJ176" i="1"/>
  <c r="DJ179" i="1"/>
  <c r="DJ181" i="1"/>
  <c r="AT77" i="1"/>
  <c r="AJ88" i="1"/>
  <c r="BD87" i="1"/>
  <c r="CR86" i="1"/>
  <c r="BS80" i="1"/>
  <c r="DI90" i="1"/>
  <c r="U77" i="1"/>
  <c r="AJ77" i="1"/>
  <c r="BD77" i="1"/>
  <c r="CR77" i="1"/>
  <c r="P88" i="1"/>
  <c r="AT87" i="1"/>
  <c r="U87" i="1"/>
  <c r="CC87" i="1"/>
  <c r="BS77" i="1"/>
  <c r="DM81" i="1"/>
  <c r="DX81" i="1"/>
  <c r="DS77" i="1"/>
  <c r="AJ78" i="1"/>
  <c r="AT78" i="1"/>
  <c r="BD78" i="1"/>
  <c r="BX78" i="1"/>
  <c r="CR78" i="1"/>
  <c r="DS78" i="1"/>
  <c r="DR78" i="1" s="1"/>
  <c r="P79" i="1"/>
  <c r="AO79" i="1"/>
  <c r="AY79" i="1"/>
  <c r="BI79" i="1"/>
  <c r="BS79" i="1"/>
  <c r="CC79" i="1"/>
  <c r="CM79" i="1"/>
  <c r="DS79" i="1"/>
  <c r="DR79" i="1" s="1"/>
  <c r="P80" i="1"/>
  <c r="Z80" i="1"/>
  <c r="U81" i="1"/>
  <c r="AO81" i="1"/>
  <c r="BI81" i="1"/>
  <c r="CC81" i="1"/>
  <c r="CW81" i="1"/>
  <c r="P82" i="1"/>
  <c r="AJ82" i="1"/>
  <c r="BD82" i="1"/>
  <c r="BX82" i="1"/>
  <c r="CR82" i="1"/>
  <c r="P83" i="1"/>
  <c r="AJ83" i="1"/>
  <c r="BD83" i="1"/>
  <c r="BX83" i="1"/>
  <c r="CR83" i="1"/>
  <c r="AY84" i="1"/>
  <c r="BS84" i="1"/>
  <c r="CM84" i="1"/>
  <c r="AY85" i="1"/>
  <c r="BS85" i="1"/>
  <c r="CM85" i="1"/>
  <c r="U86" i="1"/>
  <c r="AO86" i="1"/>
  <c r="BI86" i="1"/>
  <c r="CC86" i="1"/>
  <c r="CW86" i="1"/>
  <c r="P87" i="1"/>
  <c r="AJ87" i="1"/>
  <c r="BX87" i="1"/>
  <c r="CR87" i="1"/>
  <c r="AY88" i="1"/>
  <c r="BS88" i="1"/>
  <c r="CM88" i="1"/>
  <c r="DH94" i="1"/>
  <c r="AY77" i="1"/>
  <c r="CC77" i="1"/>
  <c r="CW77" i="1"/>
  <c r="U78" i="1"/>
  <c r="Z79" i="1"/>
  <c r="AJ80" i="1"/>
  <c r="AT80" i="1"/>
  <c r="BD80" i="1"/>
  <c r="BX80" i="1"/>
  <c r="CR80" i="1"/>
  <c r="P81" i="1"/>
  <c r="AJ81" i="1"/>
  <c r="BD81" i="1"/>
  <c r="BX81" i="1"/>
  <c r="CR81" i="1"/>
  <c r="DH81" i="1"/>
  <c r="AY82" i="1"/>
  <c r="BS82" i="1"/>
  <c r="CM82" i="1"/>
  <c r="AY83" i="1"/>
  <c r="BS83" i="1"/>
  <c r="CM83" i="1"/>
  <c r="Z84" i="1"/>
  <c r="AT84" i="1"/>
  <c r="Z85" i="1"/>
  <c r="AT85" i="1"/>
  <c r="P86" i="1"/>
  <c r="AJ86" i="1"/>
  <c r="BD86" i="1"/>
  <c r="BX86" i="1"/>
  <c r="AY87" i="1"/>
  <c r="BS87" i="1"/>
  <c r="CM87" i="1"/>
  <c r="Z88" i="1"/>
  <c r="AT88" i="1"/>
  <c r="AO78" i="1"/>
  <c r="AY78" i="1"/>
  <c r="BI78" i="1"/>
  <c r="BS78" i="1"/>
  <c r="CC78" i="1"/>
  <c r="CM78" i="1"/>
  <c r="CW78" i="1"/>
  <c r="DE78" i="1"/>
  <c r="AJ79" i="1"/>
  <c r="AT79" i="1"/>
  <c r="BD79" i="1"/>
  <c r="BX79" i="1"/>
  <c r="CW79" i="1"/>
  <c r="DE79" i="1"/>
  <c r="U80" i="1"/>
  <c r="AY81" i="1"/>
  <c r="BS81" i="1"/>
  <c r="CM81" i="1"/>
  <c r="Z82" i="1"/>
  <c r="AT82" i="1"/>
  <c r="Z83" i="1"/>
  <c r="AT83" i="1"/>
  <c r="U84" i="1"/>
  <c r="AO84" i="1"/>
  <c r="BI84" i="1"/>
  <c r="CC84" i="1"/>
  <c r="CW84" i="1"/>
  <c r="U85" i="1"/>
  <c r="AO85" i="1"/>
  <c r="BI85" i="1"/>
  <c r="CC85" i="1"/>
  <c r="CW85" i="1"/>
  <c r="AY86" i="1"/>
  <c r="BS86" i="1"/>
  <c r="CM86" i="1"/>
  <c r="Z87" i="1"/>
  <c r="U88" i="1"/>
  <c r="AO88" i="1"/>
  <c r="BI88" i="1"/>
  <c r="CC88" i="1"/>
  <c r="CW88" i="1"/>
  <c r="EI89" i="1"/>
  <c r="EK89" i="1" s="1"/>
  <c r="DH92" i="1"/>
  <c r="EK91" i="1" s="1"/>
  <c r="DN93" i="1"/>
  <c r="Z77" i="1"/>
  <c r="AO77" i="1"/>
  <c r="BI77" i="1"/>
  <c r="BX77" i="1"/>
  <c r="CM77" i="1"/>
  <c r="EI77" i="1"/>
  <c r="P78" i="1"/>
  <c r="Z78" i="1"/>
  <c r="U79" i="1"/>
  <c r="CR79" i="1"/>
  <c r="AO80" i="1"/>
  <c r="AY80" i="1"/>
  <c r="BI80" i="1"/>
  <c r="CC80" i="1"/>
  <c r="CM80" i="1"/>
  <c r="CW80" i="1"/>
  <c r="Z81" i="1"/>
  <c r="AT81" i="1"/>
  <c r="U82" i="1"/>
  <c r="AO82" i="1"/>
  <c r="BI82" i="1"/>
  <c r="CC82" i="1"/>
  <c r="CW82" i="1"/>
  <c r="U83" i="1"/>
  <c r="AO83" i="1"/>
  <c r="BI83" i="1"/>
  <c r="CC83" i="1"/>
  <c r="CW83" i="1"/>
  <c r="P84" i="1"/>
  <c r="AJ84" i="1"/>
  <c r="BD84" i="1"/>
  <c r="BX84" i="1"/>
  <c r="CR84" i="1"/>
  <c r="P85" i="1"/>
  <c r="AJ85" i="1"/>
  <c r="BD85" i="1"/>
  <c r="BX85" i="1"/>
  <c r="CR85" i="1"/>
  <c r="Z86" i="1"/>
  <c r="AT86" i="1"/>
  <c r="AO87" i="1"/>
  <c r="BI87" i="1"/>
  <c r="CW87" i="1"/>
  <c r="BD88" i="1"/>
  <c r="BX88" i="1"/>
  <c r="CR88" i="1"/>
  <c r="DI89" i="1"/>
  <c r="EI90" i="1"/>
  <c r="EK90" i="1" s="1"/>
  <c r="DI91" i="1"/>
  <c r="DJ104" i="1"/>
  <c r="DO36" i="1" l="1"/>
  <c r="DO17" i="1"/>
  <c r="DX34" i="1"/>
  <c r="DW34" i="1" s="1"/>
  <c r="DX64" i="1"/>
  <c r="DX129" i="1"/>
  <c r="DW129" i="1" s="1"/>
  <c r="DX38" i="1"/>
  <c r="DW38" i="1" s="1"/>
  <c r="DX61" i="1"/>
  <c r="DW61" i="1" s="1"/>
  <c r="DO18" i="1"/>
  <c r="DY18" i="1" s="1"/>
  <c r="DM170" i="1"/>
  <c r="DJ170" i="1" s="1"/>
  <c r="DM116" i="1"/>
  <c r="DM25" i="1"/>
  <c r="DX29" i="1"/>
  <c r="DW29" i="1" s="1"/>
  <c r="DO39" i="1"/>
  <c r="DY39" i="1" s="1"/>
  <c r="DX120" i="1"/>
  <c r="DW120" i="1" s="1"/>
  <c r="DO38" i="1"/>
  <c r="DY38" i="1" s="1"/>
  <c r="DX106" i="1"/>
  <c r="DW106" i="1" s="1"/>
  <c r="DM141" i="1"/>
  <c r="DX144" i="1"/>
  <c r="DW144" i="1" s="1"/>
  <c r="DO33" i="1"/>
  <c r="DY33" i="1" s="1"/>
  <c r="DM139" i="1"/>
  <c r="DX123" i="1"/>
  <c r="DW123" i="1" s="1"/>
  <c r="DX147" i="1"/>
  <c r="DW147" i="1" s="1"/>
  <c r="DX131" i="1"/>
  <c r="DW131" i="1" s="1"/>
  <c r="DO30" i="1"/>
  <c r="DY30" i="1" s="1"/>
  <c r="DX109" i="1"/>
  <c r="DW109" i="1" s="1"/>
  <c r="DX32" i="1"/>
  <c r="DW32" i="1" s="1"/>
  <c r="DX143" i="1"/>
  <c r="DW143" i="1" s="1"/>
  <c r="DX135" i="1"/>
  <c r="DW135" i="1" s="1"/>
  <c r="DW67" i="1"/>
  <c r="DX83" i="1"/>
  <c r="DW83" i="1" s="1"/>
  <c r="DM136" i="1"/>
  <c r="DM16" i="1"/>
  <c r="DM117" i="1"/>
  <c r="DX14" i="1"/>
  <c r="DW14" i="1" s="1"/>
  <c r="DX69" i="1"/>
  <c r="DO28" i="1"/>
  <c r="DY28" i="1" s="1"/>
  <c r="DX39" i="1"/>
  <c r="DW39" i="1" s="1"/>
  <c r="DO32" i="1"/>
  <c r="DY32" i="1" s="1"/>
  <c r="DX112" i="1"/>
  <c r="DW112" i="1" s="1"/>
  <c r="DO29" i="1"/>
  <c r="DY29" i="1" s="1"/>
  <c r="DM96" i="1"/>
  <c r="DO16" i="1"/>
  <c r="DY16" i="1" s="1"/>
  <c r="DM107" i="1"/>
  <c r="DM145" i="1"/>
  <c r="DY36" i="1"/>
  <c r="DM122" i="1"/>
  <c r="DM161" i="1"/>
  <c r="DX133" i="1"/>
  <c r="DW133" i="1" s="1"/>
  <c r="DO22" i="1"/>
  <c r="DY22" i="1" s="1"/>
  <c r="DO27" i="1"/>
  <c r="DY27" i="1" s="1"/>
  <c r="DO26" i="1"/>
  <c r="DY26" i="1" s="1"/>
  <c r="DX59" i="1"/>
  <c r="DW59" i="1" s="1"/>
  <c r="DX149" i="1"/>
  <c r="DW149" i="1" s="1"/>
  <c r="DM26" i="1"/>
  <c r="DX165" i="1"/>
  <c r="DW165" i="1" s="1"/>
  <c r="DX128" i="1"/>
  <c r="DW128" i="1" s="1"/>
  <c r="DO37" i="1"/>
  <c r="DY37" i="1" s="1"/>
  <c r="DX168" i="1"/>
  <c r="DW168" i="1" s="1"/>
  <c r="DM126" i="1"/>
  <c r="DO31" i="1"/>
  <c r="DX115" i="1"/>
  <c r="DW115" i="1" s="1"/>
  <c r="DO116" i="1"/>
  <c r="DO131" i="1"/>
  <c r="DO113" i="1"/>
  <c r="DM66" i="1"/>
  <c r="DM114" i="1"/>
  <c r="DX52" i="1"/>
  <c r="DW52" i="1" s="1"/>
  <c r="DM104" i="1"/>
  <c r="DM47" i="1"/>
  <c r="DM18" i="1"/>
  <c r="DO172" i="1"/>
  <c r="DM40" i="1"/>
  <c r="DM134" i="1"/>
  <c r="DX70" i="1"/>
  <c r="DW66" i="1"/>
  <c r="DM67" i="1"/>
  <c r="DO133" i="1"/>
  <c r="DX7" i="1"/>
  <c r="DW7" i="1" s="1"/>
  <c r="DM87" i="1"/>
  <c r="DX87" i="1"/>
  <c r="DM119" i="1"/>
  <c r="DX119" i="1"/>
  <c r="DO165" i="1"/>
  <c r="DM31" i="1"/>
  <c r="DM36" i="1"/>
  <c r="DO155" i="1"/>
  <c r="DX127" i="1"/>
  <c r="DW127" i="1" s="1"/>
  <c r="DO130" i="1"/>
  <c r="DX37" i="1"/>
  <c r="DW37" i="1" s="1"/>
  <c r="DM137" i="1"/>
  <c r="DM56" i="1"/>
  <c r="DW108" i="1"/>
  <c r="DO114" i="1"/>
  <c r="DM62" i="1"/>
  <c r="DJ62" i="1" s="1"/>
  <c r="DX68" i="1"/>
  <c r="DM68" i="1"/>
  <c r="DM105" i="1"/>
  <c r="DX105" i="1"/>
  <c r="DX102" i="1"/>
  <c r="DW102" i="1" s="1"/>
  <c r="DO170" i="1"/>
  <c r="DX27" i="1"/>
  <c r="DW27" i="1" s="1"/>
  <c r="DO21" i="1"/>
  <c r="DY21" i="1" s="1"/>
  <c r="DO20" i="1"/>
  <c r="DO35" i="1"/>
  <c r="DN35" i="1" s="1"/>
  <c r="DX35" i="1" s="1"/>
  <c r="DW35" i="1" s="1"/>
  <c r="DM142" i="1"/>
  <c r="DO19" i="1"/>
  <c r="DY19" i="1" s="1"/>
  <c r="DO25" i="1"/>
  <c r="DY25" i="1" s="1"/>
  <c r="DO34" i="1"/>
  <c r="DY34" i="1" s="1"/>
  <c r="DN21" i="1"/>
  <c r="DN33" i="1"/>
  <c r="ED31" i="1"/>
  <c r="EF40" i="1"/>
  <c r="DM151" i="1"/>
  <c r="DO162" i="1"/>
  <c r="DX151" i="1"/>
  <c r="DM65" i="1"/>
  <c r="DX65" i="1"/>
  <c r="DM17" i="1"/>
  <c r="DX17" i="1"/>
  <c r="DW17" i="1" s="1"/>
  <c r="DT17" i="1" s="1"/>
  <c r="DO129" i="1"/>
  <c r="DX118" i="1"/>
  <c r="DM118" i="1"/>
  <c r="DW56" i="1"/>
  <c r="DX49" i="1"/>
  <c r="DM49" i="1"/>
  <c r="DO141" i="1"/>
  <c r="DM130" i="1"/>
  <c r="DX130" i="1"/>
  <c r="DO140" i="1"/>
  <c r="DX55" i="1"/>
  <c r="DM55" i="1"/>
  <c r="EF46" i="1"/>
  <c r="ED37" i="1"/>
  <c r="DO149" i="1"/>
  <c r="DM138" i="1"/>
  <c r="DX138" i="1"/>
  <c r="DO148" i="1"/>
  <c r="DX15" i="1"/>
  <c r="DW15" i="1" s="1"/>
  <c r="DM15" i="1"/>
  <c r="DW137" i="1"/>
  <c r="DX11" i="1"/>
  <c r="DW11" i="1" s="1"/>
  <c r="DM11" i="1"/>
  <c r="DX167" i="1"/>
  <c r="DM167" i="1"/>
  <c r="DW116" i="1"/>
  <c r="DW107" i="1"/>
  <c r="DX44" i="1"/>
  <c r="DM44" i="1"/>
  <c r="DM169" i="1"/>
  <c r="DX169" i="1"/>
  <c r="DM113" i="1"/>
  <c r="DO124" i="1"/>
  <c r="DX113" i="1"/>
  <c r="DX30" i="1"/>
  <c r="DW30" i="1" s="1"/>
  <c r="DM30" i="1"/>
  <c r="ED7" i="1"/>
  <c r="EF16" i="1"/>
  <c r="DO163" i="1"/>
  <c r="DX152" i="1"/>
  <c r="DM152" i="1"/>
  <c r="DO143" i="1"/>
  <c r="DM132" i="1"/>
  <c r="DX132" i="1"/>
  <c r="DO142" i="1"/>
  <c r="DM53" i="1"/>
  <c r="DX53" i="1"/>
  <c r="DM75" i="1"/>
  <c r="DX75" i="1"/>
  <c r="DW136" i="1"/>
  <c r="DW62" i="1"/>
  <c r="ED40" i="1"/>
  <c r="EF49" i="1"/>
  <c r="DX13" i="1"/>
  <c r="DW13" i="1" s="1"/>
  <c r="DM13" i="1"/>
  <c r="ED19" i="1"/>
  <c r="EF28" i="1"/>
  <c r="ED58" i="1"/>
  <c r="DO169" i="1"/>
  <c r="DO137" i="1"/>
  <c r="DX22" i="1"/>
  <c r="DW22" i="1" s="1"/>
  <c r="DO23" i="1"/>
  <c r="DY23" i="1" s="1"/>
  <c r="DO160" i="1"/>
  <c r="DO138" i="1"/>
  <c r="DO144" i="1"/>
  <c r="DO127" i="1"/>
  <c r="DM155" i="1"/>
  <c r="DX155" i="1"/>
  <c r="DX43" i="1"/>
  <c r="DM43" i="1"/>
  <c r="DX125" i="1"/>
  <c r="DO136" i="1"/>
  <c r="DM125" i="1"/>
  <c r="DX98" i="1"/>
  <c r="DM98" i="1"/>
  <c r="ED61" i="1"/>
  <c r="DM58" i="1"/>
  <c r="DO69" i="1"/>
  <c r="DX58" i="1"/>
  <c r="DW157" i="1"/>
  <c r="DM140" i="1"/>
  <c r="DO151" i="1"/>
  <c r="DX140" i="1"/>
  <c r="ED10" i="1"/>
  <c r="EF19" i="1"/>
  <c r="DW158" i="1"/>
  <c r="DW150" i="1"/>
  <c r="DW141" i="1"/>
  <c r="ED46" i="1"/>
  <c r="EF55" i="1"/>
  <c r="DO135" i="1"/>
  <c r="DM124" i="1"/>
  <c r="DX124" i="1"/>
  <c r="DO134" i="1"/>
  <c r="DX71" i="1"/>
  <c r="DM71" i="1"/>
  <c r="DM28" i="1"/>
  <c r="DX28" i="1"/>
  <c r="DW28" i="1" s="1"/>
  <c r="DO175" i="1"/>
  <c r="DX164" i="1"/>
  <c r="DM164" i="1"/>
  <c r="DW117" i="1"/>
  <c r="DX86" i="1"/>
  <c r="DM86" i="1"/>
  <c r="ED55" i="1"/>
  <c r="DO174" i="1"/>
  <c r="DM163" i="1"/>
  <c r="DX163" i="1"/>
  <c r="DW145" i="1"/>
  <c r="ED43" i="1"/>
  <c r="EF52" i="1"/>
  <c r="DM8" i="1"/>
  <c r="DX8" i="1"/>
  <c r="DW8" i="1" s="1"/>
  <c r="EF37" i="1"/>
  <c r="ED28" i="1"/>
  <c r="DW166" i="1"/>
  <c r="DX23" i="1"/>
  <c r="DW23" i="1" s="1"/>
  <c r="DM23" i="1"/>
  <c r="DX12" i="1"/>
  <c r="DW12" i="1" s="1"/>
  <c r="DM12" i="1"/>
  <c r="ED13" i="1"/>
  <c r="DY13" i="1" s="1"/>
  <c r="EF22" i="1"/>
  <c r="DX160" i="1"/>
  <c r="DM160" i="1"/>
  <c r="DW64" i="1"/>
  <c r="DT64" i="1" s="1"/>
  <c r="DW162" i="1"/>
  <c r="DO167" i="1"/>
  <c r="DX156" i="1"/>
  <c r="DM156" i="1"/>
  <c r="DM148" i="1"/>
  <c r="DO159" i="1"/>
  <c r="DX148" i="1"/>
  <c r="DM110" i="1"/>
  <c r="DX110" i="1"/>
  <c r="DO121" i="1"/>
  <c r="DX88" i="1"/>
  <c r="DM88" i="1"/>
  <c r="ED67" i="1"/>
  <c r="DM9" i="1"/>
  <c r="DX9" i="1"/>
  <c r="DW9" i="1" s="1"/>
  <c r="DX82" i="1"/>
  <c r="DM82" i="1"/>
  <c r="DW114" i="1"/>
  <c r="DW47" i="1"/>
  <c r="DX6" i="1"/>
  <c r="DW6" i="1" s="1"/>
  <c r="DM6" i="1"/>
  <c r="DM60" i="1"/>
  <c r="DX60" i="1"/>
  <c r="DO71" i="1"/>
  <c r="DM121" i="1"/>
  <c r="DO132" i="1"/>
  <c r="DX121" i="1"/>
  <c r="DX41" i="1"/>
  <c r="DM41" i="1"/>
  <c r="DJ41" i="1" s="1"/>
  <c r="DO157" i="1"/>
  <c r="DM146" i="1"/>
  <c r="DX146" i="1"/>
  <c r="DO156" i="1"/>
  <c r="DW103" i="1"/>
  <c r="DM63" i="1"/>
  <c r="DX63" i="1"/>
  <c r="DX50" i="1"/>
  <c r="DM50" i="1"/>
  <c r="DW139" i="1"/>
  <c r="DX171" i="1"/>
  <c r="DM171" i="1"/>
  <c r="DJ171" i="1" s="1"/>
  <c r="ED25" i="1"/>
  <c r="EF34" i="1"/>
  <c r="DM74" i="1"/>
  <c r="DX74" i="1"/>
  <c r="DW96" i="1"/>
  <c r="DW159" i="1"/>
  <c r="DM46" i="1"/>
  <c r="DX46" i="1"/>
  <c r="DW161" i="1"/>
  <c r="DW153" i="1"/>
  <c r="DX72" i="1"/>
  <c r="DM72" i="1"/>
  <c r="DX5" i="1"/>
  <c r="DW5" i="1" s="1"/>
  <c r="DM5" i="1"/>
  <c r="DW154" i="1"/>
  <c r="ED34" i="1"/>
  <c r="EF43" i="1"/>
  <c r="DX10" i="1"/>
  <c r="DW10" i="1" s="1"/>
  <c r="DM10" i="1"/>
  <c r="DW104" i="1"/>
  <c r="DW111" i="1"/>
  <c r="DX19" i="1"/>
  <c r="DW19" i="1" s="1"/>
  <c r="DM19" i="1"/>
  <c r="DO126" i="1"/>
  <c r="EF31" i="1"/>
  <c r="DO164" i="1"/>
  <c r="DO173" i="1"/>
  <c r="DO147" i="1"/>
  <c r="DO125" i="1"/>
  <c r="DO168" i="1"/>
  <c r="DO123" i="1"/>
  <c r="DO153" i="1"/>
  <c r="EF61" i="1"/>
  <c r="DO152" i="1"/>
  <c r="DO72" i="1"/>
  <c r="DO120" i="1"/>
  <c r="DO115" i="1"/>
  <c r="DO118" i="1"/>
  <c r="DX76" i="1"/>
  <c r="DM24" i="1"/>
  <c r="DJ24" i="1" s="1"/>
  <c r="DO24" i="1" s="1"/>
  <c r="DY24" i="1" s="1"/>
  <c r="DO166" i="1"/>
  <c r="DO158" i="1"/>
  <c r="DO154" i="1"/>
  <c r="DO150" i="1"/>
  <c r="DO171" i="1"/>
  <c r="DO145" i="1"/>
  <c r="DO119" i="1"/>
  <c r="DO70" i="1"/>
  <c r="DO139" i="1"/>
  <c r="DO117" i="1"/>
  <c r="DO161" i="1"/>
  <c r="EF25" i="1"/>
  <c r="DO146" i="1"/>
  <c r="DO122" i="1"/>
  <c r="DO128" i="1"/>
  <c r="EF58" i="1"/>
  <c r="DN91" i="1"/>
  <c r="DM91" i="1" s="1"/>
  <c r="DW31" i="1"/>
  <c r="DT31" i="1" s="1"/>
  <c r="DN89" i="1"/>
  <c r="DM89" i="1" s="1"/>
  <c r="DJ98" i="1"/>
  <c r="DJ97" i="1"/>
  <c r="DJ94" i="1"/>
  <c r="DH89" i="1"/>
  <c r="DS89" i="1" s="1"/>
  <c r="DJ100" i="1"/>
  <c r="DJ99" i="1"/>
  <c r="DJ96" i="1"/>
  <c r="DJ95" i="1"/>
  <c r="DJ93" i="1"/>
  <c r="DJ92" i="1"/>
  <c r="DH91" i="1"/>
  <c r="DS91" i="1" s="1"/>
  <c r="DR91" i="1" s="1"/>
  <c r="DJ102" i="1"/>
  <c r="DH90" i="1"/>
  <c r="DS90" i="1" s="1"/>
  <c r="DR90" i="1" s="1"/>
  <c r="DJ101" i="1"/>
  <c r="EJ85" i="1"/>
  <c r="EK85" i="1" s="1"/>
  <c r="DW81" i="1"/>
  <c r="DT78" i="1"/>
  <c r="EJ83" i="1"/>
  <c r="EK83" i="1" s="1"/>
  <c r="DN90" i="1"/>
  <c r="EJ79" i="1"/>
  <c r="EK79" i="1" s="1"/>
  <c r="DT79" i="1"/>
  <c r="EJ80" i="1"/>
  <c r="DM93" i="1"/>
  <c r="DX93" i="1"/>
  <c r="EJ87" i="1"/>
  <c r="EK87" i="1" s="1"/>
  <c r="EJ84" i="1"/>
  <c r="EK84" i="1" s="1"/>
  <c r="EE79" i="1"/>
  <c r="DR77" i="1"/>
  <c r="DY17" i="1" l="1"/>
  <c r="DW69" i="1"/>
  <c r="DW70" i="1"/>
  <c r="DW76" i="1"/>
  <c r="DY142" i="1"/>
  <c r="DY31" i="1"/>
  <c r="DY173" i="1"/>
  <c r="DY123" i="1"/>
  <c r="DY160" i="1"/>
  <c r="DY35" i="1"/>
  <c r="DM35" i="1"/>
  <c r="DY158" i="1"/>
  <c r="DY137" i="1"/>
  <c r="DY117" i="1"/>
  <c r="DW105" i="1"/>
  <c r="DW87" i="1"/>
  <c r="DY165" i="1"/>
  <c r="DY131" i="1"/>
  <c r="DY125" i="1"/>
  <c r="DN20" i="1"/>
  <c r="DY20" i="1"/>
  <c r="DW68" i="1"/>
  <c r="DT68" i="1" s="1"/>
  <c r="DY146" i="1"/>
  <c r="DW119" i="1"/>
  <c r="DY120" i="1"/>
  <c r="DY128" i="1"/>
  <c r="DY174" i="1"/>
  <c r="DW163" i="1"/>
  <c r="DW71" i="1"/>
  <c r="DW98" i="1"/>
  <c r="DY136" i="1"/>
  <c r="DW125" i="1"/>
  <c r="DT125" i="1" s="1"/>
  <c r="DW138" i="1"/>
  <c r="DY149" i="1"/>
  <c r="DX33" i="1"/>
  <c r="DM33" i="1"/>
  <c r="DO41" i="1"/>
  <c r="DW86" i="1"/>
  <c r="DY135" i="1"/>
  <c r="DW124" i="1"/>
  <c r="DW140" i="1"/>
  <c r="DY151" i="1"/>
  <c r="DY166" i="1"/>
  <c r="DW155" i="1"/>
  <c r="DY143" i="1"/>
  <c r="DW132" i="1"/>
  <c r="DW152" i="1"/>
  <c r="DY163" i="1"/>
  <c r="DW167" i="1"/>
  <c r="DW118" i="1"/>
  <c r="DY129" i="1"/>
  <c r="DY162" i="1"/>
  <c r="DW151" i="1"/>
  <c r="DY155" i="1"/>
  <c r="DY156" i="1"/>
  <c r="DY152" i="1"/>
  <c r="DY169" i="1"/>
  <c r="DY127" i="1"/>
  <c r="DY168" i="1"/>
  <c r="DY148" i="1"/>
  <c r="DY133" i="1"/>
  <c r="DW74" i="1"/>
  <c r="DW146" i="1"/>
  <c r="DY157" i="1"/>
  <c r="DY153" i="1"/>
  <c r="DW41" i="1"/>
  <c r="DW113" i="1"/>
  <c r="DY124" i="1"/>
  <c r="DW130" i="1"/>
  <c r="DY141" i="1"/>
  <c r="DX21" i="1"/>
  <c r="DW21" i="1" s="1"/>
  <c r="DM21" i="1"/>
  <c r="DW63" i="1"/>
  <c r="DW82" i="1"/>
  <c r="DW110" i="1"/>
  <c r="DY121" i="1"/>
  <c r="DY119" i="1"/>
  <c r="DY175" i="1"/>
  <c r="DW164" i="1"/>
  <c r="DY69" i="1"/>
  <c r="DW58" i="1"/>
  <c r="DW75" i="1"/>
  <c r="DW169" i="1"/>
  <c r="DW44" i="1"/>
  <c r="DW65" i="1"/>
  <c r="DW46" i="1"/>
  <c r="DW50" i="1"/>
  <c r="DW121" i="1"/>
  <c r="DY132" i="1"/>
  <c r="DY71" i="1"/>
  <c r="DW60" i="1"/>
  <c r="DW72" i="1"/>
  <c r="DW171" i="1"/>
  <c r="DW88" i="1"/>
  <c r="DW148" i="1"/>
  <c r="DY159" i="1"/>
  <c r="DW156" i="1"/>
  <c r="DY167" i="1"/>
  <c r="DW160" i="1"/>
  <c r="DY171" i="1"/>
  <c r="DW43" i="1"/>
  <c r="DW53" i="1"/>
  <c r="DW55" i="1"/>
  <c r="DW49" i="1"/>
  <c r="DY115" i="1"/>
  <c r="DY164" i="1"/>
  <c r="DY150" i="1"/>
  <c r="DY114" i="1"/>
  <c r="DY139" i="1"/>
  <c r="DY154" i="1"/>
  <c r="DY145" i="1"/>
  <c r="DY170" i="1"/>
  <c r="DY126" i="1"/>
  <c r="DO40" i="1"/>
  <c r="DY122" i="1"/>
  <c r="DY172" i="1"/>
  <c r="DY140" i="1"/>
  <c r="DY138" i="1"/>
  <c r="DY113" i="1"/>
  <c r="DY144" i="1"/>
  <c r="DY161" i="1"/>
  <c r="DY134" i="1"/>
  <c r="DY130" i="1"/>
  <c r="DY147" i="1"/>
  <c r="DY72" i="1"/>
  <c r="DY70" i="1"/>
  <c r="DY118" i="1"/>
  <c r="DY116" i="1"/>
  <c r="DX89" i="1"/>
  <c r="DW93" i="1"/>
  <c r="EI80" i="1"/>
  <c r="EK80" i="1" s="1"/>
  <c r="DM90" i="1"/>
  <c r="DX90" i="1"/>
  <c r="EE91" i="1"/>
  <c r="DR89" i="1"/>
  <c r="ED79" i="1"/>
  <c r="DX91" i="1"/>
  <c r="DW89" i="1" l="1"/>
  <c r="DM20" i="1"/>
  <c r="DX20" i="1"/>
  <c r="DW20" i="1" s="1"/>
  <c r="DW33" i="1"/>
  <c r="DY41" i="1"/>
  <c r="DY40" i="1"/>
  <c r="ED91" i="1"/>
  <c r="EF94" i="1"/>
  <c r="DW91" i="1"/>
  <c r="DW90" i="1"/>
  <c r="C60" i="153" l="1"/>
  <c r="G60" i="153"/>
  <c r="E60" i="153"/>
  <c r="D60" i="153"/>
  <c r="F60" i="153"/>
  <c r="H60" i="153" l="1"/>
  <c r="E57" i="153" l="1"/>
  <c r="D56" i="153"/>
  <c r="D57" i="153"/>
  <c r="C58" i="153"/>
  <c r="H58" i="153" l="1"/>
  <c r="G58" i="153" s="1"/>
  <c r="F58" i="153" s="1"/>
  <c r="E58" i="153" s="1"/>
  <c r="D58" i="153" s="1"/>
  <c r="G54" i="153" l="1"/>
  <c r="F54" i="153"/>
  <c r="E54" i="153"/>
  <c r="F52" i="153" l="1"/>
  <c r="E52" i="153"/>
  <c r="C52" i="153"/>
  <c r="C50" i="153" l="1"/>
  <c r="F49" i="153" l="1"/>
  <c r="E49" i="153"/>
  <c r="D49" i="153"/>
  <c r="H51" i="153"/>
  <c r="G51" i="153" s="1"/>
  <c r="F51" i="153" s="1"/>
  <c r="E51" i="153" s="1"/>
  <c r="D51" i="153" s="1"/>
  <c r="C51" i="153" s="1"/>
  <c r="H50" i="153"/>
  <c r="G50" i="153" s="1"/>
  <c r="F50" i="153" s="1"/>
  <c r="E50" i="153" s="1"/>
  <c r="D50" i="153" s="1"/>
  <c r="G48" i="153"/>
  <c r="F48" i="153"/>
  <c r="E48" i="153"/>
  <c r="F47" i="153" l="1"/>
  <c r="E47" i="153"/>
  <c r="D47" i="153"/>
  <c r="G47" i="153"/>
  <c r="C48" i="153"/>
  <c r="C46" i="153" l="1"/>
  <c r="E46" i="153"/>
  <c r="D46" i="153"/>
  <c r="G46" i="153"/>
  <c r="F46" i="153"/>
  <c r="F45" i="153" l="1"/>
  <c r="E45" i="153"/>
  <c r="H46" i="153"/>
  <c r="C45" i="153"/>
  <c r="D45" i="153"/>
  <c r="G45" i="153"/>
  <c r="N151" i="98"/>
  <c r="F151" i="98"/>
  <c r="L143" i="98"/>
  <c r="J143" i="98"/>
  <c r="H143" i="98"/>
  <c r="N141" i="98"/>
  <c r="F140" i="98"/>
  <c r="N139" i="98"/>
  <c r="N138" i="98"/>
  <c r="N137" i="98"/>
  <c r="N136" i="98"/>
  <c r="F135" i="98"/>
  <c r="N134" i="98"/>
  <c r="F133" i="98"/>
  <c r="N132" i="98"/>
  <c r="L130" i="98"/>
  <c r="J130" i="98"/>
  <c r="H130" i="98"/>
  <c r="F128" i="98"/>
  <c r="N127" i="98"/>
  <c r="N126" i="98"/>
  <c r="N125" i="98"/>
  <c r="F124" i="98"/>
  <c r="N123" i="98"/>
  <c r="F120" i="98"/>
  <c r="L118" i="98"/>
  <c r="J118" i="98"/>
  <c r="H118" i="98"/>
  <c r="F118" i="98"/>
  <c r="N116" i="98"/>
  <c r="N115" i="98"/>
  <c r="N114" i="98"/>
  <c r="N113" i="98"/>
  <c r="N112" i="98"/>
  <c r="N111" i="98"/>
  <c r="N109" i="98"/>
  <c r="L106" i="98"/>
  <c r="J106" i="98"/>
  <c r="H106" i="98"/>
  <c r="N104" i="98"/>
  <c r="N103" i="98"/>
  <c r="N102" i="98"/>
  <c r="F101" i="98"/>
  <c r="F106" i="98" s="1"/>
  <c r="N100" i="98"/>
  <c r="N99" i="98"/>
  <c r="N98" i="98"/>
  <c r="N97" i="98"/>
  <c r="N96" i="98"/>
  <c r="N95" i="98"/>
  <c r="N94" i="98"/>
  <c r="N93" i="98"/>
  <c r="L91" i="98"/>
  <c r="J91" i="98"/>
  <c r="H91" i="98"/>
  <c r="F91" i="98"/>
  <c r="N90" i="98"/>
  <c r="N89" i="98"/>
  <c r="N88" i="98"/>
  <c r="N87" i="98"/>
  <c r="N86" i="98"/>
  <c r="N85" i="98"/>
  <c r="N84" i="98"/>
  <c r="N83" i="98"/>
  <c r="N82" i="98"/>
  <c r="F80" i="98"/>
  <c r="L78" i="98"/>
  <c r="J78" i="98"/>
  <c r="H78" i="98"/>
  <c r="P76" i="98"/>
  <c r="N74" i="98"/>
  <c r="N73" i="98"/>
  <c r="N72" i="98"/>
  <c r="N71" i="98"/>
  <c r="F70" i="98"/>
  <c r="F78" i="98" s="1"/>
  <c r="R76" i="98" s="1"/>
  <c r="N69" i="98"/>
  <c r="N68" i="98"/>
  <c r="N67" i="98"/>
  <c r="N66" i="98"/>
  <c r="N65" i="98"/>
  <c r="L63" i="98"/>
  <c r="J63" i="98"/>
  <c r="H63" i="98"/>
  <c r="F63" i="98"/>
  <c r="N61" i="98"/>
  <c r="N60" i="98"/>
  <c r="L57" i="98"/>
  <c r="J57" i="98"/>
  <c r="H57" i="98"/>
  <c r="F57" i="98"/>
  <c r="N55" i="98"/>
  <c r="N53" i="98"/>
  <c r="N52" i="98"/>
  <c r="N51" i="98"/>
  <c r="N50" i="98"/>
  <c r="N49" i="98"/>
  <c r="N48" i="98"/>
  <c r="N47" i="98"/>
  <c r="N46" i="98"/>
  <c r="N45" i="98"/>
  <c r="F43" i="98"/>
  <c r="L41" i="98"/>
  <c r="J41" i="98"/>
  <c r="N41" i="98" s="1"/>
  <c r="H41" i="98"/>
  <c r="F41" i="98"/>
  <c r="N39" i="98"/>
  <c r="N38" i="98"/>
  <c r="N37" i="98"/>
  <c r="N36" i="98"/>
  <c r="L34" i="98"/>
  <c r="J34" i="98"/>
  <c r="H34" i="98"/>
  <c r="F34" i="98"/>
  <c r="N32" i="98"/>
  <c r="N31" i="98"/>
  <c r="N30" i="98"/>
  <c r="N29" i="98"/>
  <c r="L27" i="98"/>
  <c r="J27" i="98"/>
  <c r="H27" i="98"/>
  <c r="F27" i="98"/>
  <c r="N25" i="98"/>
  <c r="N24" i="98"/>
  <c r="N23" i="98"/>
  <c r="N22" i="98"/>
  <c r="L20" i="98"/>
  <c r="J20" i="98"/>
  <c r="J158" i="98" s="1"/>
  <c r="H20" i="98"/>
  <c r="F20" i="98"/>
  <c r="N17" i="98"/>
  <c r="N16" i="98"/>
  <c r="N15" i="98"/>
  <c r="L13" i="98"/>
  <c r="J13" i="98"/>
  <c r="H13" i="98"/>
  <c r="H157" i="98" s="1"/>
  <c r="N11" i="98"/>
  <c r="N10" i="98"/>
  <c r="N9" i="98"/>
  <c r="N8" i="98"/>
  <c r="F8" i="98"/>
  <c r="N6" i="98"/>
  <c r="F6" i="98"/>
  <c r="E189" i="97"/>
  <c r="J186" i="97"/>
  <c r="J185" i="97"/>
  <c r="J184" i="97"/>
  <c r="J183" i="97"/>
  <c r="J182" i="97"/>
  <c r="J181" i="97"/>
  <c r="I181" i="97"/>
  <c r="J180" i="97"/>
  <c r="I180" i="97"/>
  <c r="X173" i="97"/>
  <c r="AF167" i="97"/>
  <c r="AE167" i="97"/>
  <c r="AD167" i="97"/>
  <c r="AC167" i="97"/>
  <c r="AB167" i="97"/>
  <c r="AA167" i="97"/>
  <c r="Z167" i="97"/>
  <c r="Y167" i="97"/>
  <c r="AF166" i="97"/>
  <c r="AE166" i="97"/>
  <c r="AD166" i="97"/>
  <c r="AC166" i="97"/>
  <c r="AB166" i="97"/>
  <c r="AA166" i="97"/>
  <c r="Z166" i="97"/>
  <c r="Y166" i="97"/>
  <c r="M164" i="97"/>
  <c r="T164" i="97" s="1"/>
  <c r="F130" i="98" l="1"/>
  <c r="N143" i="98"/>
  <c r="L157" i="98"/>
  <c r="P41" i="98"/>
  <c r="N57" i="98"/>
  <c r="H158" i="98"/>
  <c r="G29" i="153"/>
  <c r="C30" i="153"/>
  <c r="G32" i="153"/>
  <c r="F4" i="153"/>
  <c r="G25" i="153"/>
  <c r="C26" i="153"/>
  <c r="G26" i="153"/>
  <c r="C27" i="153"/>
  <c r="D30" i="153"/>
  <c r="G31" i="153"/>
  <c r="C32" i="153"/>
  <c r="H35" i="153"/>
  <c r="C36" i="153"/>
  <c r="F37" i="153"/>
  <c r="C39" i="153"/>
  <c r="F25" i="153"/>
  <c r="G4" i="153"/>
  <c r="C25" i="153"/>
  <c r="D26" i="153"/>
  <c r="C29" i="153"/>
  <c r="D35" i="153"/>
  <c r="E41" i="153"/>
  <c r="E4" i="153"/>
  <c r="F26" i="153"/>
  <c r="D4" i="153"/>
  <c r="E25" i="153"/>
  <c r="E26" i="153"/>
  <c r="G27" i="153"/>
  <c r="C28" i="153"/>
  <c r="C31" i="153"/>
  <c r="H32" i="153"/>
  <c r="C37" i="153"/>
  <c r="F41" i="153"/>
  <c r="E43" i="153"/>
  <c r="F44" i="153"/>
  <c r="N13" i="98"/>
  <c r="N106" i="98"/>
  <c r="H160" i="98"/>
  <c r="J157" i="98"/>
  <c r="N157" i="98" s="1"/>
  <c r="P164" i="97"/>
  <c r="U164" i="97"/>
  <c r="R164" i="97"/>
  <c r="V164" i="97"/>
  <c r="AF164" i="97" s="1"/>
  <c r="AE164" i="97" s="1"/>
  <c r="AD164" i="97" s="1"/>
  <c r="R41" i="98"/>
  <c r="P106" i="98"/>
  <c r="R106" i="98" s="1"/>
  <c r="S164" i="97"/>
  <c r="O164" i="97"/>
  <c r="N34" i="98"/>
  <c r="F143" i="98"/>
  <c r="D32" i="153"/>
  <c r="F13" i="98"/>
  <c r="F32" i="153"/>
  <c r="C4" i="153"/>
  <c r="C5" i="153"/>
  <c r="C13" i="153"/>
  <c r="C17" i="153"/>
  <c r="C21" i="153"/>
  <c r="F27" i="153"/>
  <c r="G33" i="153"/>
  <c r="G34" i="153"/>
  <c r="E35" i="153"/>
  <c r="E39" i="153"/>
  <c r="D40" i="153"/>
  <c r="C41" i="153"/>
  <c r="G41" i="153"/>
  <c r="G42" i="153"/>
  <c r="F43" i="153"/>
  <c r="C10" i="153"/>
  <c r="C12" i="153"/>
  <c r="C14" i="153"/>
  <c r="C15" i="153"/>
  <c r="C16" i="153"/>
  <c r="C20" i="153"/>
  <c r="C24" i="153"/>
  <c r="F33" i="153"/>
  <c r="F34" i="153"/>
  <c r="G36" i="153"/>
  <c r="E37" i="153"/>
  <c r="C38" i="153"/>
  <c r="G38" i="153"/>
  <c r="D39" i="153"/>
  <c r="C40" i="153"/>
  <c r="E42" i="153"/>
  <c r="C44" i="153"/>
  <c r="G44" i="153"/>
  <c r="C8" i="153"/>
  <c r="C9" i="153"/>
  <c r="C11" i="153"/>
  <c r="C19" i="153"/>
  <c r="C23" i="153"/>
  <c r="F30" i="153"/>
  <c r="F31" i="153"/>
  <c r="D34" i="153"/>
  <c r="C35" i="153"/>
  <c r="G35" i="153"/>
  <c r="F36" i="153"/>
  <c r="F38" i="153"/>
  <c r="G39" i="153"/>
  <c r="G40" i="153"/>
  <c r="D43" i="153"/>
  <c r="H45" i="153"/>
  <c r="C6" i="153"/>
  <c r="C7" i="153"/>
  <c r="C18" i="153"/>
  <c r="C22" i="153"/>
  <c r="F28" i="153"/>
  <c r="F29" i="153"/>
  <c r="C33" i="153"/>
  <c r="C34" i="153"/>
  <c r="F35" i="153"/>
  <c r="G37" i="153"/>
  <c r="E38" i="153"/>
  <c r="F39" i="153"/>
  <c r="E40" i="153"/>
  <c r="D41" i="153"/>
  <c r="C42" i="153"/>
  <c r="G43" i="153"/>
  <c r="E44" i="153"/>
  <c r="X155" i="97"/>
  <c r="P13" i="98" l="1"/>
  <c r="R13" i="98" s="1"/>
  <c r="E32" i="153"/>
  <c r="Q164" i="97"/>
  <c r="AB164" i="97"/>
  <c r="AC164" i="97"/>
  <c r="H41" i="153"/>
  <c r="H30" i="153"/>
  <c r="G30" i="153" s="1"/>
  <c r="H4" i="153"/>
  <c r="F40" i="153"/>
  <c r="E28" i="153"/>
  <c r="D28" i="153" s="1"/>
  <c r="E31" i="153"/>
  <c r="E34" i="153"/>
  <c r="E36" i="153"/>
  <c r="E27" i="153"/>
  <c r="E29" i="153"/>
  <c r="H26" i="153"/>
  <c r="E30" i="153"/>
  <c r="E33" i="153"/>
  <c r="H39" i="153"/>
  <c r="F42" i="153"/>
  <c r="AA164" i="97" l="1"/>
  <c r="Z164" i="97" s="1"/>
  <c r="Y164" i="97" s="1"/>
  <c r="H40" i="153"/>
  <c r="H28" i="153"/>
  <c r="G28" i="153" s="1"/>
  <c r="H34" i="153"/>
  <c r="X153" i="97" l="1"/>
  <c r="X171" i="97" s="1"/>
  <c r="X150" i="97"/>
  <c r="X147" i="97"/>
  <c r="X144" i="97"/>
  <c r="L144" i="97"/>
  <c r="X141" i="97"/>
  <c r="U141" i="97"/>
  <c r="Q141" i="97"/>
  <c r="P141" i="97" s="1"/>
  <c r="Z141" i="97" s="1"/>
  <c r="M141" i="97"/>
  <c r="T141" i="97" s="1"/>
  <c r="X138" i="97"/>
  <c r="X134" i="97"/>
  <c r="M130" i="97"/>
  <c r="L130" i="97" s="1"/>
  <c r="X129" i="97"/>
  <c r="M129" i="97"/>
  <c r="L129" i="97" s="1"/>
  <c r="M128" i="97"/>
  <c r="L128" i="97" s="1"/>
  <c r="X127" i="97"/>
  <c r="M127" i="97"/>
  <c r="P127" i="97" s="1"/>
  <c r="M126" i="97"/>
  <c r="R126" i="97" s="1"/>
  <c r="AB126" i="97" s="1"/>
  <c r="E125" i="97"/>
  <c r="E124" i="97"/>
  <c r="E123" i="97"/>
  <c r="X122" i="97"/>
  <c r="M122" i="97"/>
  <c r="U122" i="97" s="1"/>
  <c r="X121" i="97"/>
  <c r="X120" i="97"/>
  <c r="X119" i="97"/>
  <c r="M119" i="97"/>
  <c r="L119" i="97" s="1"/>
  <c r="F118" i="97"/>
  <c r="M118" i="97" s="1"/>
  <c r="AF116" i="97"/>
  <c r="AE116" i="97"/>
  <c r="AD116" i="97"/>
  <c r="AC116" i="97"/>
  <c r="AB116" i="97"/>
  <c r="AA116" i="97"/>
  <c r="Z116" i="97"/>
  <c r="X111" i="97"/>
  <c r="M111" i="97"/>
  <c r="S111" i="97" s="1"/>
  <c r="X108" i="97"/>
  <c r="M107" i="97"/>
  <c r="T107" i="97" s="1"/>
  <c r="M102" i="97"/>
  <c r="S102" i="97" s="1"/>
  <c r="P102" i="97" l="1"/>
  <c r="T102" i="97"/>
  <c r="Q107" i="97"/>
  <c r="U107" i="97"/>
  <c r="P111" i="97"/>
  <c r="T111" i="97"/>
  <c r="S126" i="97"/>
  <c r="AC126" i="97" s="1"/>
  <c r="Q102" i="97"/>
  <c r="U102" i="97"/>
  <c r="R107" i="97"/>
  <c r="V107" i="97"/>
  <c r="Q111" i="97"/>
  <c r="U111" i="97"/>
  <c r="P126" i="97"/>
  <c r="T126" i="97"/>
  <c r="R141" i="97"/>
  <c r="R102" i="97"/>
  <c r="AB102" i="97" s="1"/>
  <c r="V102" i="97"/>
  <c r="AF102" i="97" s="1"/>
  <c r="AE102" i="97" s="1"/>
  <c r="AD102" i="97" s="1"/>
  <c r="AC102" i="97" s="1"/>
  <c r="S107" i="97"/>
  <c r="R111" i="97"/>
  <c r="V111" i="97"/>
  <c r="AF111" i="97" s="1"/>
  <c r="AE111" i="97" s="1"/>
  <c r="AD111" i="97" s="1"/>
  <c r="AC111" i="97" s="1"/>
  <c r="Q126" i="97"/>
  <c r="AA126" i="97" s="1"/>
  <c r="Z126" i="97" s="1"/>
  <c r="U126" i="97"/>
  <c r="M138" i="97"/>
  <c r="S141" i="97"/>
  <c r="P107" i="97"/>
  <c r="O107" i="97" s="1"/>
  <c r="X172" i="97"/>
  <c r="X175" i="97" s="1"/>
  <c r="R119" i="97"/>
  <c r="T127" i="97"/>
  <c r="S128" i="97"/>
  <c r="Q119" i="97"/>
  <c r="P119" i="97" s="1"/>
  <c r="T122" i="97"/>
  <c r="S127" i="97"/>
  <c r="O128" i="97"/>
  <c r="S129" i="97"/>
  <c r="U119" i="97"/>
  <c r="AE119" i="97" s="1"/>
  <c r="O129" i="97"/>
  <c r="E119" i="97"/>
  <c r="O119" i="97" s="1"/>
  <c r="T119" i="97"/>
  <c r="S119" i="97"/>
  <c r="AC119" i="97" s="1"/>
  <c r="R122" i="97"/>
  <c r="R127" i="97"/>
  <c r="Q128" i="97"/>
  <c r="U128" i="97"/>
  <c r="Q129" i="97"/>
  <c r="U129" i="97"/>
  <c r="P130" i="97"/>
  <c r="T130" i="97"/>
  <c r="V119" i="97"/>
  <c r="P122" i="97"/>
  <c r="Q127" i="97"/>
  <c r="U127" i="97"/>
  <c r="P128" i="97"/>
  <c r="T128" i="97"/>
  <c r="P129" i="97"/>
  <c r="T129" i="97"/>
  <c r="O130" i="97"/>
  <c r="S130" i="97"/>
  <c r="R130" i="97"/>
  <c r="S122" i="97"/>
  <c r="R128" i="97"/>
  <c r="R129" i="97"/>
  <c r="V129" i="97"/>
  <c r="AF129" i="97" s="1"/>
  <c r="Q130" i="97"/>
  <c r="U130" i="97"/>
  <c r="X96" i="97"/>
  <c r="X93" i="97"/>
  <c r="T91" i="97"/>
  <c r="M91" i="97"/>
  <c r="S91" i="97" s="1"/>
  <c r="M87" i="97"/>
  <c r="M85" i="97"/>
  <c r="X81" i="97"/>
  <c r="X75" i="97"/>
  <c r="M75" i="97"/>
  <c r="R75" i="97" s="1"/>
  <c r="X63" i="97"/>
  <c r="X62" i="97"/>
  <c r="R91" i="97" l="1"/>
  <c r="AB111" i="97"/>
  <c r="AA111" i="97" s="1"/>
  <c r="AA102" i="97"/>
  <c r="AB119" i="97"/>
  <c r="Q91" i="97"/>
  <c r="P91" i="97"/>
  <c r="U91" i="97"/>
  <c r="Q75" i="97"/>
  <c r="P75" i="97" s="1"/>
  <c r="S75" i="97"/>
  <c r="O111" i="97"/>
  <c r="Y111" i="97" s="1"/>
  <c r="Z111" i="97"/>
  <c r="O102" i="97"/>
  <c r="Z102" i="97"/>
  <c r="T75" i="97"/>
  <c r="U75" i="97"/>
  <c r="U138" i="97"/>
  <c r="AE138" i="97" s="1"/>
  <c r="P138" i="97"/>
  <c r="T138" i="97"/>
  <c r="S138" i="97"/>
  <c r="Q138" i="97"/>
  <c r="AA119" i="97"/>
  <c r="Z119" i="97" s="1"/>
  <c r="Y119" i="97" s="1"/>
  <c r="AD119" i="97"/>
  <c r="Q122" i="97"/>
  <c r="AB122" i="97"/>
  <c r="AE129" i="97"/>
  <c r="AD129" i="97" s="1"/>
  <c r="AC129" i="97" s="1"/>
  <c r="AB129" i="97" s="1"/>
  <c r="AA129" i="97" s="1"/>
  <c r="Z129" i="97" s="1"/>
  <c r="Y129" i="97" s="1"/>
  <c r="Y102" i="97" l="1"/>
  <c r="R138" i="97"/>
  <c r="AC138" i="97"/>
  <c r="AB138" i="97" s="1"/>
  <c r="AA138" i="97" s="1"/>
  <c r="Z138" i="97" s="1"/>
  <c r="AD138" i="97"/>
  <c r="AA122" i="97"/>
  <c r="Z122" i="97" s="1"/>
  <c r="M48" i="97"/>
  <c r="V48" i="97" s="1"/>
  <c r="X45" i="97"/>
  <c r="M44" i="97"/>
  <c r="S44" i="97" s="1"/>
  <c r="V44" i="97" l="1"/>
  <c r="T44" i="97"/>
  <c r="O44" i="97"/>
  <c r="P44" i="97"/>
  <c r="R44" i="97"/>
  <c r="Q44" i="97" s="1"/>
  <c r="U44" i="97"/>
  <c r="S48" i="97"/>
  <c r="O48" i="97"/>
  <c r="T48" i="97"/>
  <c r="P48" i="97"/>
  <c r="U48" i="97"/>
  <c r="R48" i="97"/>
  <c r="Q48" i="97" s="1"/>
  <c r="E40" i="97"/>
  <c r="M40" i="97" s="1"/>
  <c r="X36" i="97"/>
  <c r="M36" i="97"/>
  <c r="U36" i="97" s="1"/>
  <c r="M30" i="97"/>
  <c r="E27" i="97"/>
  <c r="X19" i="97"/>
  <c r="E19" i="97"/>
  <c r="X14" i="97"/>
  <c r="X10" i="97"/>
  <c r="J20" i="97"/>
  <c r="F10" i="97"/>
  <c r="F23" i="97" s="1"/>
  <c r="R36" i="97" l="1"/>
  <c r="Q36" i="97" s="1"/>
  <c r="V36" i="97"/>
  <c r="AF36" i="97" s="1"/>
  <c r="AE36" i="97" s="1"/>
  <c r="AD36" i="97" s="1"/>
  <c r="S36" i="97"/>
  <c r="AC36" i="97" s="1"/>
  <c r="AB36" i="97" s="1"/>
  <c r="AA36" i="97" s="1"/>
  <c r="O36" i="97"/>
  <c r="Y36" i="97" s="1"/>
  <c r="T36" i="97"/>
  <c r="P36" i="97"/>
  <c r="K160" i="97"/>
  <c r="K155" i="97"/>
  <c r="K150" i="97"/>
  <c r="K154" i="97"/>
  <c r="K135" i="97"/>
  <c r="K153" i="97"/>
  <c r="K134" i="97"/>
  <c r="K67" i="97"/>
  <c r="K97" i="97"/>
  <c r="K93" i="97"/>
  <c r="K63" i="97"/>
  <c r="J31" i="97"/>
  <c r="K28" i="97"/>
  <c r="J28" i="97" s="1"/>
  <c r="K31" i="97"/>
  <c r="K23" i="97"/>
  <c r="I10" i="97"/>
  <c r="I154" i="97" s="1"/>
  <c r="J160" i="97"/>
  <c r="J155" i="97"/>
  <c r="J154" i="97"/>
  <c r="J135" i="97"/>
  <c r="J153" i="97"/>
  <c r="J134" i="97"/>
  <c r="J150" i="97"/>
  <c r="J67" i="97"/>
  <c r="J97" i="97"/>
  <c r="J93" i="97"/>
  <c r="J63" i="97"/>
  <c r="J23" i="97"/>
  <c r="U40" i="97"/>
  <c r="Q40" i="97"/>
  <c r="S40" i="97"/>
  <c r="R40" i="97"/>
  <c r="T40" i="97"/>
  <c r="P40" i="97"/>
  <c r="O40" i="97" s="1"/>
  <c r="V40" i="97"/>
  <c r="H10" i="97"/>
  <c r="E116" i="97"/>
  <c r="M116" i="97" s="1"/>
  <c r="E10" i="97"/>
  <c r="Z36" i="97" l="1"/>
  <c r="I31" i="97"/>
  <c r="I150" i="97"/>
  <c r="I67" i="97"/>
  <c r="I134" i="97"/>
  <c r="I20" i="97"/>
  <c r="I97" i="97"/>
  <c r="I155" i="97"/>
  <c r="I23" i="97"/>
  <c r="I28" i="97"/>
  <c r="I63" i="97"/>
  <c r="I135" i="97"/>
  <c r="I160" i="97"/>
  <c r="I93" i="97"/>
  <c r="I153" i="97"/>
  <c r="G10" i="97"/>
  <c r="H160" i="97"/>
  <c r="H155" i="97"/>
  <c r="H154" i="97"/>
  <c r="H150" i="97"/>
  <c r="H135" i="97"/>
  <c r="H134" i="97"/>
  <c r="H153" i="97"/>
  <c r="H67" i="97"/>
  <c r="H63" i="97"/>
  <c r="H97" i="97"/>
  <c r="H93" i="97"/>
  <c r="H28" i="97"/>
  <c r="H31" i="97"/>
  <c r="H23" i="97"/>
  <c r="H20" i="97"/>
  <c r="E20" i="97"/>
  <c r="G160" i="97" l="1"/>
  <c r="G155" i="97"/>
  <c r="G153" i="97"/>
  <c r="G154" i="97"/>
  <c r="G150" i="97"/>
  <c r="G135" i="97"/>
  <c r="G134" i="97"/>
  <c r="G97" i="97"/>
  <c r="G93" i="97"/>
  <c r="G67" i="97"/>
  <c r="G63" i="97"/>
  <c r="G31" i="97"/>
  <c r="G23" i="97"/>
  <c r="G20" i="97"/>
  <c r="G28" i="97"/>
  <c r="F20" i="97" l="1"/>
  <c r="K20" i="97" l="1"/>
  <c r="M20" i="97" s="1"/>
  <c r="P20" i="97" s="1"/>
  <c r="Q20" i="97" l="1"/>
  <c r="T20" i="97"/>
  <c r="R20" i="97"/>
  <c r="U20" i="97"/>
  <c r="O20" i="97"/>
  <c r="S20" i="97"/>
  <c r="V20" i="97"/>
  <c r="F25" i="97" l="1"/>
  <c r="F67" i="97" s="1"/>
  <c r="M19" i="97"/>
  <c r="V19" i="97" s="1"/>
  <c r="AF19" i="97" s="1"/>
  <c r="M117" i="97"/>
  <c r="S117" i="97" s="1"/>
  <c r="AC117" i="97" s="1"/>
  <c r="M10" i="97"/>
  <c r="O10" i="97" s="1"/>
  <c r="Y10" i="97" s="1"/>
  <c r="M121" i="97"/>
  <c r="U121" i="97" s="1"/>
  <c r="AE121" i="97" s="1"/>
  <c r="M79" i="97"/>
  <c r="R79" i="97" s="1"/>
  <c r="AB79" i="97" s="1"/>
  <c r="AE141" i="97"/>
  <c r="AD141" i="97"/>
  <c r="AC141" i="97"/>
  <c r="AB141" i="97"/>
  <c r="AA141" i="97"/>
  <c r="AE127" i="97"/>
  <c r="AD127" i="97"/>
  <c r="AC127" i="97"/>
  <c r="AB127" i="97"/>
  <c r="AA127" i="97"/>
  <c r="Z127" i="97"/>
  <c r="AE122" i="97"/>
  <c r="AD122" i="97"/>
  <c r="AC122" i="97"/>
  <c r="V128" i="97"/>
  <c r="AF128" i="97" s="1"/>
  <c r="AE128" i="97"/>
  <c r="AD128" i="97"/>
  <c r="AC128" i="97"/>
  <c r="AB128" i="97"/>
  <c r="AA128" i="97"/>
  <c r="Z128" i="97"/>
  <c r="Y128" i="97"/>
  <c r="M124" i="97"/>
  <c r="U124" i="97" s="1"/>
  <c r="AE124" i="97" s="1"/>
  <c r="M123" i="97"/>
  <c r="V123" i="97" s="1"/>
  <c r="AF123" i="97" s="1"/>
  <c r="P143" i="98"/>
  <c r="R143" i="98" s="1"/>
  <c r="E108" i="97" s="1"/>
  <c r="M67" i="97"/>
  <c r="AF119" i="97"/>
  <c r="V130" i="97"/>
  <c r="AF130" i="97" s="1"/>
  <c r="AE130" i="97"/>
  <c r="AD130" i="97"/>
  <c r="AC130" i="97"/>
  <c r="AB130" i="97"/>
  <c r="AA130" i="97"/>
  <c r="Z130" i="97"/>
  <c r="Y130" i="97"/>
  <c r="M125" i="97"/>
  <c r="Q125" i="97" s="1"/>
  <c r="AA125" i="97" s="1"/>
  <c r="AE126" i="97"/>
  <c r="AD126" i="97"/>
  <c r="P133" i="98"/>
  <c r="R133" i="98" s="1"/>
  <c r="P120" i="98"/>
  <c r="R120" i="98" s="1"/>
  <c r="P6" i="98"/>
  <c r="R6" i="98" s="1"/>
  <c r="P43" i="98"/>
  <c r="R43" i="98" s="1"/>
  <c r="P80" i="98"/>
  <c r="R80" i="98" s="1"/>
  <c r="P151" i="98"/>
  <c r="R151" i="98" s="1"/>
  <c r="P124" i="98"/>
  <c r="R124" i="98" s="1"/>
  <c r="E23" i="153"/>
  <c r="F23" i="153"/>
  <c r="G23" i="153"/>
  <c r="P128" i="98"/>
  <c r="R128" i="98" s="1"/>
  <c r="P140" i="98"/>
  <c r="R140" i="98" s="1"/>
  <c r="N130" i="98"/>
  <c r="P130" i="98" s="1"/>
  <c r="R130" i="98" s="1"/>
  <c r="L122" i="97" s="1"/>
  <c r="P101" i="98"/>
  <c r="R101" i="98" s="1"/>
  <c r="X158" i="97"/>
  <c r="X162" i="97" s="1"/>
  <c r="X169" i="97" s="1"/>
  <c r="P70" i="98"/>
  <c r="R70" i="98" s="1"/>
  <c r="P135" i="98"/>
  <c r="R135" i="98" s="1"/>
  <c r="N156" i="98"/>
  <c r="N78" i="98"/>
  <c r="P78" i="98" s="1"/>
  <c r="R78" i="98" s="1"/>
  <c r="L127" i="97" s="1"/>
  <c r="E59" i="153"/>
  <c r="D59" i="153"/>
  <c r="M71" i="97" l="1"/>
  <c r="Q71" i="97" s="1"/>
  <c r="F21" i="153"/>
  <c r="E19" i="153"/>
  <c r="D18" i="153"/>
  <c r="E14" i="153"/>
  <c r="E13" i="153"/>
  <c r="D12" i="153"/>
  <c r="E6" i="153"/>
  <c r="D24" i="153"/>
  <c r="E22" i="153"/>
  <c r="E21" i="153"/>
  <c r="D20" i="153"/>
  <c r="G18" i="153"/>
  <c r="G17" i="153"/>
  <c r="E16" i="153"/>
  <c r="E15" i="153"/>
  <c r="D14" i="153"/>
  <c r="H14" i="153"/>
  <c r="F10" i="153"/>
  <c r="F9" i="153"/>
  <c r="E8" i="153"/>
  <c r="E7" i="153"/>
  <c r="D6" i="153"/>
  <c r="H6" i="153"/>
  <c r="D22" i="153"/>
  <c r="D16" i="153"/>
  <c r="G14" i="153"/>
  <c r="F12" i="153"/>
  <c r="F11" i="153"/>
  <c r="E9" i="153"/>
  <c r="D8" i="153"/>
  <c r="F22" i="153"/>
  <c r="E20" i="153"/>
  <c r="F15" i="153"/>
  <c r="F7" i="153"/>
  <c r="G20" i="153"/>
  <c r="G19" i="153"/>
  <c r="F18" i="153"/>
  <c r="F17" i="153"/>
  <c r="F24" i="153"/>
  <c r="G22" i="153"/>
  <c r="G21" i="153"/>
  <c r="F19" i="153"/>
  <c r="E18" i="153"/>
  <c r="E17" i="153"/>
  <c r="G16" i="153"/>
  <c r="G15" i="153"/>
  <c r="F14" i="153"/>
  <c r="F13" i="153"/>
  <c r="E12" i="153"/>
  <c r="E11" i="153"/>
  <c r="D10" i="153"/>
  <c r="H10" i="153"/>
  <c r="F6" i="153"/>
  <c r="P67" i="97"/>
  <c r="Z67" i="97" s="1"/>
  <c r="T67" i="97"/>
  <c r="AD67" i="97" s="1"/>
  <c r="U67" i="97"/>
  <c r="AE67" i="97" s="1"/>
  <c r="R67" i="97"/>
  <c r="AB67" i="97" s="1"/>
  <c r="S67" i="97"/>
  <c r="AC67" i="97" s="1"/>
  <c r="Q67" i="97"/>
  <c r="AA67" i="97" s="1"/>
  <c r="F20" i="153"/>
  <c r="F8" i="153"/>
  <c r="G59" i="153"/>
  <c r="F153" i="97"/>
  <c r="M25" i="97"/>
  <c r="V25" i="97" s="1"/>
  <c r="E5" i="153"/>
  <c r="E10" i="153"/>
  <c r="G24" i="153"/>
  <c r="P121" i="97"/>
  <c r="Z121" i="97" s="1"/>
  <c r="Q117" i="97"/>
  <c r="AA117" i="97" s="1"/>
  <c r="U117" i="97"/>
  <c r="AE117" i="97" s="1"/>
  <c r="S121" i="97"/>
  <c r="AC121" i="97" s="1"/>
  <c r="R117" i="97"/>
  <c r="AB117" i="97" s="1"/>
  <c r="U79" i="97"/>
  <c r="AE79" i="97" s="1"/>
  <c r="P79" i="97"/>
  <c r="Z79" i="97" s="1"/>
  <c r="T117" i="97"/>
  <c r="AD117" i="97" s="1"/>
  <c r="S79" i="97"/>
  <c r="AC79" i="97" s="1"/>
  <c r="F5" i="153"/>
  <c r="S71" i="97"/>
  <c r="Q121" i="97"/>
  <c r="AA121" i="97" s="1"/>
  <c r="T121" i="97"/>
  <c r="AD121" i="97" s="1"/>
  <c r="Q79" i="97"/>
  <c r="AA79" i="97" s="1"/>
  <c r="P71" i="97"/>
  <c r="R121" i="97"/>
  <c r="AB121" i="97" s="1"/>
  <c r="P117" i="97"/>
  <c r="Z117" i="97" s="1"/>
  <c r="T79" i="97"/>
  <c r="AD79" i="97" s="1"/>
  <c r="G13" i="153"/>
  <c r="G9" i="153"/>
  <c r="G5" i="153"/>
  <c r="G12" i="153"/>
  <c r="G10" i="153"/>
  <c r="G6" i="153"/>
  <c r="T125" i="97"/>
  <c r="AD125" i="97" s="1"/>
  <c r="G11" i="153"/>
  <c r="G7" i="153"/>
  <c r="G8" i="153"/>
  <c r="F16" i="153"/>
  <c r="Q123" i="97"/>
  <c r="AA123" i="97" s="1"/>
  <c r="F59" i="153"/>
  <c r="E24" i="153"/>
  <c r="P123" i="97"/>
  <c r="Z123" i="97" s="1"/>
  <c r="F160" i="97"/>
  <c r="O123" i="97"/>
  <c r="Y123" i="97" s="1"/>
  <c r="U123" i="97"/>
  <c r="AE123" i="97" s="1"/>
  <c r="R124" i="97"/>
  <c r="AB124" i="97" s="1"/>
  <c r="F97" i="97"/>
  <c r="P124" i="97"/>
  <c r="Z124" i="97" s="1"/>
  <c r="T124" i="97"/>
  <c r="AD124" i="97" s="1"/>
  <c r="R19" i="97"/>
  <c r="AB19" i="97" s="1"/>
  <c r="L79" i="97"/>
  <c r="L81" i="97" s="1"/>
  <c r="V127" i="97"/>
  <c r="AF127" i="97" s="1"/>
  <c r="E127" i="97"/>
  <c r="R125" i="97"/>
  <c r="AB125" i="97" s="1"/>
  <c r="Q124" i="97"/>
  <c r="AA124" i="97" s="1"/>
  <c r="V124" i="97"/>
  <c r="AF124" i="97" s="1"/>
  <c r="F63" i="97"/>
  <c r="P19" i="97"/>
  <c r="Z19" i="97" s="1"/>
  <c r="V125" i="97"/>
  <c r="AF125" i="97" s="1"/>
  <c r="S123" i="97"/>
  <c r="AC123" i="97" s="1"/>
  <c r="O124" i="97"/>
  <c r="Y124" i="97" s="1"/>
  <c r="S124" i="97"/>
  <c r="AC124" i="97" s="1"/>
  <c r="F154" i="97"/>
  <c r="F135" i="97"/>
  <c r="T10" i="97"/>
  <c r="AD10" i="97" s="1"/>
  <c r="M108" i="97"/>
  <c r="O108" i="97" s="1"/>
  <c r="Y108" i="97" s="1"/>
  <c r="V122" i="97"/>
  <c r="AF122" i="97" s="1"/>
  <c r="E122" i="97"/>
  <c r="S125" i="97"/>
  <c r="AC125" i="97" s="1"/>
  <c r="U125" i="97"/>
  <c r="AE125" i="97" s="1"/>
  <c r="U71" i="97"/>
  <c r="R71" i="97"/>
  <c r="R123" i="97"/>
  <c r="AB123" i="97" s="1"/>
  <c r="T123" i="97"/>
  <c r="AD123" i="97" s="1"/>
  <c r="F155" i="97"/>
  <c r="F93" i="97"/>
  <c r="P10" i="97"/>
  <c r="Z10" i="97" s="1"/>
  <c r="F28" i="97"/>
  <c r="F31" i="97"/>
  <c r="O19" i="97"/>
  <c r="Y19" i="97" s="1"/>
  <c r="Q19" i="97"/>
  <c r="AA19" i="97" s="1"/>
  <c r="S19" i="97"/>
  <c r="AC19" i="97" s="1"/>
  <c r="U19" i="97"/>
  <c r="AE19" i="97" s="1"/>
  <c r="P125" i="97"/>
  <c r="Z125" i="97" s="1"/>
  <c r="U10" i="97"/>
  <c r="AE10" i="97" s="1"/>
  <c r="T19" i="97"/>
  <c r="AD19" i="97" s="1"/>
  <c r="O125" i="97"/>
  <c r="Y125" i="97" s="1"/>
  <c r="F134" i="97"/>
  <c r="F150" i="97"/>
  <c r="R10" i="97"/>
  <c r="AB10" i="97" s="1"/>
  <c r="S10" i="97"/>
  <c r="AC10" i="97" s="1"/>
  <c r="Q10" i="97"/>
  <c r="AA10" i="97" s="1"/>
  <c r="V10" i="97"/>
  <c r="AF10" i="97" s="1"/>
  <c r="T71" i="97" l="1"/>
  <c r="T25" i="97"/>
  <c r="R25" i="97"/>
  <c r="P25" i="97"/>
  <c r="U25" i="97"/>
  <c r="Q25" i="97"/>
  <c r="S25" i="97"/>
  <c r="O25" i="97"/>
  <c r="H22" i="153"/>
  <c r="V79" i="97"/>
  <c r="AF79" i="97" s="1"/>
  <c r="H18" i="153"/>
  <c r="E79" i="97"/>
  <c r="O127" i="97"/>
  <c r="Y127" i="97" s="1"/>
  <c r="H20" i="153"/>
  <c r="H16" i="153"/>
  <c r="H8" i="153"/>
  <c r="H12" i="153"/>
  <c r="L147" i="97"/>
  <c r="O122" i="97"/>
  <c r="Y122" i="97" s="1"/>
  <c r="E103" i="97"/>
  <c r="U108" i="97"/>
  <c r="AE108" i="97" s="1"/>
  <c r="S108" i="97"/>
  <c r="AC108" i="97" s="1"/>
  <c r="Q108" i="97"/>
  <c r="AA108" i="97" s="1"/>
  <c r="V108" i="97"/>
  <c r="AF108" i="97" s="1"/>
  <c r="T108" i="97"/>
  <c r="AD108" i="97" s="1"/>
  <c r="R108" i="97"/>
  <c r="AB108" i="97" s="1"/>
  <c r="P108" i="97"/>
  <c r="Z108" i="97" s="1"/>
  <c r="H24" i="153"/>
  <c r="O79" i="97" l="1"/>
  <c r="Y79" i="97" s="1"/>
  <c r="E81" i="97"/>
  <c r="M103" i="97"/>
  <c r="O103" i="97" s="1"/>
  <c r="E112" i="97"/>
  <c r="M81" i="97" l="1"/>
  <c r="E147" i="97"/>
  <c r="M147" i="97" s="1"/>
  <c r="T147" i="97" s="1"/>
  <c r="AD147" i="97" s="1"/>
  <c r="S103" i="97"/>
  <c r="U103" i="97"/>
  <c r="T103" i="97"/>
  <c r="Q103" i="97"/>
  <c r="P103" i="97"/>
  <c r="V103" i="97"/>
  <c r="R103" i="97"/>
  <c r="M112" i="97"/>
  <c r="O112" i="97" s="1"/>
  <c r="O147" i="97" l="1"/>
  <c r="Y147" i="97" s="1"/>
  <c r="U147" i="97"/>
  <c r="AE147" i="97" s="1"/>
  <c r="V147" i="97"/>
  <c r="AF147" i="97" s="1"/>
  <c r="R147" i="97"/>
  <c r="AB147" i="97" s="1"/>
  <c r="P147" i="97"/>
  <c r="Z147" i="97" s="1"/>
  <c r="Q147" i="97"/>
  <c r="AA147" i="97" s="1"/>
  <c r="V81" i="97"/>
  <c r="AF81" i="97" s="1"/>
  <c r="S81" i="97"/>
  <c r="AC81" i="97" s="1"/>
  <c r="P81" i="97"/>
  <c r="Z81" i="97" s="1"/>
  <c r="U81" i="97"/>
  <c r="AE81" i="97" s="1"/>
  <c r="R81" i="97"/>
  <c r="AB81" i="97" s="1"/>
  <c r="T81" i="97"/>
  <c r="AD81" i="97" s="1"/>
  <c r="O81" i="97"/>
  <c r="Y81" i="97" s="1"/>
  <c r="Q81" i="97"/>
  <c r="AA81" i="97" s="1"/>
  <c r="S147" i="97"/>
  <c r="AC147" i="97" s="1"/>
  <c r="R112" i="97"/>
  <c r="U112" i="97"/>
  <c r="S112" i="97"/>
  <c r="P112" i="97"/>
  <c r="V112" i="97"/>
  <c r="Q112" i="97"/>
  <c r="T112" i="97"/>
  <c r="BN187" i="1"/>
  <c r="DI187" i="1"/>
  <c r="DJ198" i="1" s="1"/>
  <c r="DE187" i="1"/>
  <c r="DT187" i="1" s="1"/>
  <c r="DN92" i="1"/>
  <c r="DM92" i="1" s="1"/>
  <c r="DN94" i="1"/>
  <c r="DX94" i="1" s="1"/>
  <c r="DI78" i="1"/>
  <c r="DI80" i="1"/>
  <c r="DJ91" i="1" s="1"/>
  <c r="DS80" i="1"/>
  <c r="DE77" i="1"/>
  <c r="DT77" i="1" s="1"/>
  <c r="EJ86" i="1"/>
  <c r="EK86" i="1" s="1"/>
  <c r="EJ81" i="1"/>
  <c r="EK81" i="1" s="1"/>
  <c r="EJ82" i="1"/>
  <c r="EK82" i="1" s="1"/>
  <c r="EJ88" i="1"/>
  <c r="EK88" i="1" s="1"/>
  <c r="EJ77" i="1"/>
  <c r="EK77" i="1" s="1"/>
  <c r="EJ78" i="1"/>
  <c r="EK78" i="1" s="1"/>
  <c r="DN85" i="1"/>
  <c r="DX85" i="1" s="1"/>
  <c r="DN84" i="1"/>
  <c r="DN99" i="1"/>
  <c r="DN95" i="1"/>
  <c r="DN97" i="1"/>
  <c r="DN101" i="1"/>
  <c r="DN188" i="1"/>
  <c r="DN189" i="1"/>
  <c r="DN190" i="1"/>
  <c r="DN192" i="1"/>
  <c r="DO203" i="1" l="1"/>
  <c r="DO202" i="1"/>
  <c r="DM188" i="1"/>
  <c r="DO199" i="1"/>
  <c r="DO201" i="1"/>
  <c r="DX188" i="1"/>
  <c r="DO105" i="1"/>
  <c r="BN87" i="1"/>
  <c r="DO103" i="1"/>
  <c r="DO102" i="1"/>
  <c r="DO104" i="1"/>
  <c r="DM94" i="1"/>
  <c r="DW94" i="1"/>
  <c r="DX190" i="1"/>
  <c r="DM190" i="1"/>
  <c r="DX192" i="1"/>
  <c r="DM192" i="1"/>
  <c r="DO112" i="1"/>
  <c r="DM101" i="1"/>
  <c r="DX101" i="1"/>
  <c r="DO111" i="1"/>
  <c r="DO110" i="1"/>
  <c r="DX99" i="1"/>
  <c r="DM99" i="1"/>
  <c r="DO109" i="1"/>
  <c r="DX97" i="1"/>
  <c r="DM97" i="1"/>
  <c r="DO108" i="1"/>
  <c r="DO107" i="1"/>
  <c r="DO101" i="1"/>
  <c r="DO100" i="1"/>
  <c r="DO96" i="1"/>
  <c r="DO93" i="1"/>
  <c r="DO98" i="1"/>
  <c r="DM85" i="1"/>
  <c r="DX92" i="1"/>
  <c r="DO106" i="1"/>
  <c r="DX95" i="1"/>
  <c r="DW85" i="1"/>
  <c r="DX189" i="1"/>
  <c r="DM189" i="1"/>
  <c r="DX84" i="1"/>
  <c r="DM84" i="1"/>
  <c r="DO99" i="1"/>
  <c r="DO97" i="1"/>
  <c r="DM95" i="1"/>
  <c r="CH88" i="1"/>
  <c r="DO92" i="1"/>
  <c r="DO94" i="1"/>
  <c r="DO95" i="1"/>
  <c r="BN80" i="1"/>
  <c r="AE187" i="1"/>
  <c r="DJ188" i="1"/>
  <c r="DJ189" i="1"/>
  <c r="CH82" i="1"/>
  <c r="CH187" i="1"/>
  <c r="DN182" i="1"/>
  <c r="DM182" i="1" s="1"/>
  <c r="AE182" i="1"/>
  <c r="BN82" i="1"/>
  <c r="DH78" i="1"/>
  <c r="BN85" i="1"/>
  <c r="DH80" i="1"/>
  <c r="CH80" i="1"/>
  <c r="DI79" i="1"/>
  <c r="DJ90" i="1" s="1"/>
  <c r="BN86" i="1"/>
  <c r="DJ191" i="1"/>
  <c r="CH87" i="1"/>
  <c r="CH78" i="1"/>
  <c r="BN77" i="1"/>
  <c r="DN80" i="1"/>
  <c r="DX80" i="1" s="1"/>
  <c r="DN187" i="1"/>
  <c r="BN84" i="1"/>
  <c r="DJ192" i="1"/>
  <c r="DJ187" i="1"/>
  <c r="CH86" i="1"/>
  <c r="CH84" i="1"/>
  <c r="EE82" i="1"/>
  <c r="DR80" i="1"/>
  <c r="DH187" i="1"/>
  <c r="CH83" i="1"/>
  <c r="CH85" i="1"/>
  <c r="CH77" i="1"/>
  <c r="BN83" i="1"/>
  <c r="BN88" i="1"/>
  <c r="BN78" i="1"/>
  <c r="DE80" i="1"/>
  <c r="DT80" i="1" s="1"/>
  <c r="DE85" i="1"/>
  <c r="DT85" i="1" s="1"/>
  <c r="DE88" i="1"/>
  <c r="DT88" i="1" s="1"/>
  <c r="DE84" i="1"/>
  <c r="DT84" i="1" s="1"/>
  <c r="DI77" i="1"/>
  <c r="DN78" i="1"/>
  <c r="DS187" i="1"/>
  <c r="DR187" i="1" s="1"/>
  <c r="DJ197" i="1"/>
  <c r="DJ196" i="1"/>
  <c r="DJ195" i="1"/>
  <c r="DJ194" i="1"/>
  <c r="DJ190" i="1"/>
  <c r="DJ193" i="1"/>
  <c r="CH81" i="1"/>
  <c r="CH79" i="1"/>
  <c r="BN81" i="1"/>
  <c r="BN79" i="1"/>
  <c r="DE81" i="1"/>
  <c r="DT81" i="1" s="1"/>
  <c r="DE83" i="1"/>
  <c r="DT83" i="1" s="1"/>
  <c r="DE87" i="1"/>
  <c r="DT87" i="1" s="1"/>
  <c r="DE82" i="1"/>
  <c r="DT82" i="1" s="1"/>
  <c r="DE86" i="1"/>
  <c r="DT86" i="1" s="1"/>
  <c r="DX182" i="1" l="1"/>
  <c r="DY203" i="1"/>
  <c r="DY202" i="1"/>
  <c r="DW188" i="1"/>
  <c r="DY199" i="1"/>
  <c r="DY201" i="1"/>
  <c r="DO196" i="1"/>
  <c r="DO198" i="1"/>
  <c r="DO195" i="1"/>
  <c r="DO193" i="1"/>
  <c r="DY105" i="1"/>
  <c r="DY96" i="1"/>
  <c r="DY104" i="1"/>
  <c r="DO91" i="1"/>
  <c r="DW189" i="1"/>
  <c r="DW95" i="1"/>
  <c r="DY106" i="1"/>
  <c r="DY100" i="1"/>
  <c r="DY103" i="1"/>
  <c r="DY98" i="1"/>
  <c r="DY97" i="1"/>
  <c r="DW92" i="1"/>
  <c r="DY101" i="1"/>
  <c r="DY99" i="1"/>
  <c r="DY102" i="1"/>
  <c r="DW101" i="1"/>
  <c r="DY112" i="1"/>
  <c r="DY111" i="1"/>
  <c r="DW192" i="1"/>
  <c r="DW84" i="1"/>
  <c r="DY94" i="1"/>
  <c r="DY95" i="1"/>
  <c r="DY93" i="1"/>
  <c r="DY92" i="1"/>
  <c r="DY108" i="1"/>
  <c r="DW97" i="1"/>
  <c r="DY107" i="1"/>
  <c r="DW190" i="1"/>
  <c r="DW99" i="1"/>
  <c r="DY110" i="1"/>
  <c r="DY109" i="1"/>
  <c r="DO192" i="1"/>
  <c r="DH79" i="1"/>
  <c r="DM187" i="1"/>
  <c r="DO197" i="1"/>
  <c r="DN79" i="1"/>
  <c r="DO90" i="1" s="1"/>
  <c r="DO194" i="1"/>
  <c r="DJ89" i="1"/>
  <c r="DM80" i="1"/>
  <c r="DX187" i="1"/>
  <c r="DJ83" i="1"/>
  <c r="DJ78" i="1"/>
  <c r="DJ88" i="1"/>
  <c r="DN77" i="1"/>
  <c r="DJ82" i="1"/>
  <c r="DJ80" i="1"/>
  <c r="DJ87" i="1"/>
  <c r="DJ81" i="1"/>
  <c r="DJ84" i="1"/>
  <c r="DJ79" i="1"/>
  <c r="DJ86" i="1"/>
  <c r="DJ85" i="1"/>
  <c r="DJ77" i="1"/>
  <c r="DH77" i="1"/>
  <c r="DW80" i="1"/>
  <c r="DY91" i="1"/>
  <c r="DX78" i="1"/>
  <c r="DM78" i="1"/>
  <c r="EF88" i="1"/>
  <c r="EF91" i="1"/>
  <c r="ED82" i="1"/>
  <c r="EF85" i="1"/>
  <c r="EF82" i="1"/>
  <c r="DW182" i="1" l="1"/>
  <c r="DO89" i="1"/>
  <c r="DY193" i="1"/>
  <c r="DY198" i="1"/>
  <c r="C59" i="153"/>
  <c r="C57" i="153"/>
  <c r="C56" i="153"/>
  <c r="DX79" i="1"/>
  <c r="DM79" i="1"/>
  <c r="DY192" i="1"/>
  <c r="DW78" i="1"/>
  <c r="DX77" i="1"/>
  <c r="DO85" i="1"/>
  <c r="DM77" i="1"/>
  <c r="DO87" i="1"/>
  <c r="DO86" i="1"/>
  <c r="DO88" i="1"/>
  <c r="DY197" i="1"/>
  <c r="DY196" i="1"/>
  <c r="DY195" i="1"/>
  <c r="DY194" i="1"/>
  <c r="DW187" i="1"/>
  <c r="C49" i="153"/>
  <c r="DY89" i="1" l="1"/>
  <c r="H57" i="153"/>
  <c r="G57" i="153" s="1"/>
  <c r="F57" i="153" s="1"/>
  <c r="H56" i="153"/>
  <c r="G56" i="153" s="1"/>
  <c r="F56" i="153" s="1"/>
  <c r="E56" i="153" s="1"/>
  <c r="H59" i="153"/>
  <c r="DW79" i="1"/>
  <c r="DY90" i="1"/>
  <c r="C54" i="153"/>
  <c r="DY86" i="1"/>
  <c r="DW77" i="1"/>
  <c r="DY87" i="1"/>
  <c r="DY85" i="1"/>
  <c r="DY88" i="1"/>
  <c r="DN73" i="1" l="1"/>
  <c r="DX73" i="1" s="1"/>
  <c r="DN176" i="1"/>
  <c r="DX176" i="1" s="1"/>
  <c r="DN180" i="1"/>
  <c r="DX180" i="1" s="1"/>
  <c r="DN57" i="1"/>
  <c r="DX57" i="1" s="1"/>
  <c r="EE70" i="1"/>
  <c r="EF79" i="1" s="1"/>
  <c r="DN51" i="1"/>
  <c r="DX51" i="1" s="1"/>
  <c r="DN54" i="1"/>
  <c r="DT51" i="1"/>
  <c r="DN48" i="1"/>
  <c r="DX48" i="1" s="1"/>
  <c r="DN42" i="1"/>
  <c r="DO44" i="1" s="1"/>
  <c r="DN45" i="1"/>
  <c r="DX45" i="1" s="1"/>
  <c r="EE64" i="1"/>
  <c r="EF64" i="1" s="1"/>
  <c r="DT57" i="1"/>
  <c r="DM176" i="1" l="1"/>
  <c r="DO179" i="1"/>
  <c r="DM180" i="1"/>
  <c r="DO81" i="1"/>
  <c r="DO176" i="1"/>
  <c r="DO177" i="1"/>
  <c r="DO42" i="1"/>
  <c r="DO74" i="1"/>
  <c r="DO82" i="1"/>
  <c r="DO178" i="1"/>
  <c r="DO73" i="1"/>
  <c r="DO78" i="1"/>
  <c r="DO63" i="1"/>
  <c r="DO79" i="1"/>
  <c r="DM48" i="1"/>
  <c r="DO55" i="1"/>
  <c r="DO182" i="1"/>
  <c r="DO76" i="1"/>
  <c r="DO84" i="1"/>
  <c r="DO80" i="1"/>
  <c r="DO48" i="1"/>
  <c r="DO191" i="1"/>
  <c r="DM73" i="1"/>
  <c r="DO75" i="1"/>
  <c r="DO77" i="1"/>
  <c r="DO83" i="1"/>
  <c r="DO43" i="1"/>
  <c r="DO190" i="1"/>
  <c r="DO185" i="1"/>
  <c r="DO51" i="1"/>
  <c r="DM42" i="1"/>
  <c r="DO47" i="1"/>
  <c r="DM54" i="1"/>
  <c r="DX42" i="1"/>
  <c r="DY45" i="1" s="1"/>
  <c r="DO181" i="1"/>
  <c r="DO189" i="1"/>
  <c r="DO188" i="1"/>
  <c r="DO187" i="1"/>
  <c r="DO53" i="1"/>
  <c r="DO52" i="1"/>
  <c r="EF76" i="1"/>
  <c r="DW57" i="1"/>
  <c r="DY66" i="1"/>
  <c r="DY68" i="1"/>
  <c r="DY67" i="1"/>
  <c r="DW45" i="1"/>
  <c r="DW51" i="1"/>
  <c r="DY191" i="1"/>
  <c r="DY190" i="1"/>
  <c r="DW180" i="1"/>
  <c r="DY189" i="1"/>
  <c r="DY188" i="1"/>
  <c r="DY80" i="1"/>
  <c r="DY78" i="1"/>
  <c r="DY75" i="1"/>
  <c r="DY81" i="1"/>
  <c r="DY84" i="1"/>
  <c r="DY74" i="1"/>
  <c r="DY83" i="1"/>
  <c r="DY82" i="1"/>
  <c r="DY79" i="1"/>
  <c r="DY76" i="1"/>
  <c r="DW73" i="1"/>
  <c r="DY77" i="1"/>
  <c r="DY73" i="1"/>
  <c r="DY187" i="1"/>
  <c r="DY185" i="1"/>
  <c r="DY178" i="1"/>
  <c r="DW176" i="1"/>
  <c r="DY186" i="1"/>
  <c r="DY180" i="1"/>
  <c r="DY176" i="1"/>
  <c r="DY182" i="1"/>
  <c r="DY183" i="1"/>
  <c r="DY179" i="1"/>
  <c r="DY184" i="1"/>
  <c r="DY181" i="1"/>
  <c r="DY177" i="1"/>
  <c r="DM57" i="1"/>
  <c r="DO184" i="1"/>
  <c r="ED64" i="1"/>
  <c r="EF70" i="1"/>
  <c r="DM45" i="1"/>
  <c r="DO49" i="1"/>
  <c r="DO46" i="1"/>
  <c r="DO68" i="1"/>
  <c r="DM51" i="1"/>
  <c r="DO65" i="1"/>
  <c r="DX54" i="1"/>
  <c r="DY54" i="1" s="1"/>
  <c r="ED70" i="1"/>
  <c r="EF73" i="1"/>
  <c r="DO62" i="1"/>
  <c r="DO59" i="1"/>
  <c r="DW48" i="1"/>
  <c r="EF67" i="1"/>
  <c r="DO56" i="1"/>
  <c r="DO66" i="1"/>
  <c r="DO60" i="1"/>
  <c r="DO64" i="1"/>
  <c r="DO57" i="1"/>
  <c r="DO180" i="1"/>
  <c r="DO186" i="1"/>
  <c r="DO183" i="1"/>
  <c r="DO54" i="1"/>
  <c r="DO50" i="1"/>
  <c r="DO45" i="1"/>
  <c r="DO67" i="1"/>
  <c r="DO61" i="1"/>
  <c r="DO58" i="1"/>
  <c r="DY58" i="1" l="1"/>
  <c r="DY61" i="1"/>
  <c r="DY46" i="1"/>
  <c r="DY52" i="1"/>
  <c r="DY48" i="1"/>
  <c r="DY49" i="1"/>
  <c r="DY42" i="1"/>
  <c r="DY47" i="1"/>
  <c r="DW42" i="1"/>
  <c r="DY53" i="1"/>
  <c r="DY43" i="1"/>
  <c r="DY44" i="1"/>
  <c r="DY50" i="1"/>
  <c r="DY51" i="1"/>
  <c r="DY57" i="1"/>
  <c r="DY59" i="1"/>
  <c r="DY63" i="1"/>
  <c r="DY64" i="1"/>
  <c r="DW54" i="1"/>
  <c r="DY65" i="1"/>
  <c r="C43" i="153"/>
  <c r="C47" i="153"/>
  <c r="DY62" i="1"/>
  <c r="DY56" i="1"/>
  <c r="DY55" i="1"/>
  <c r="DY60" i="1"/>
  <c r="H47" i="153" l="1"/>
  <c r="H43" i="153"/>
  <c r="G55" i="153" l="1"/>
  <c r="F55" i="153"/>
  <c r="E55" i="153"/>
  <c r="C55" i="153"/>
  <c r="G53" i="153"/>
  <c r="F53" i="153"/>
  <c r="E53" i="153"/>
  <c r="C53" i="153"/>
  <c r="G52" i="153"/>
  <c r="H31" i="153" l="1"/>
  <c r="D52" i="153"/>
  <c r="H5" i="153"/>
  <c r="H23" i="153"/>
  <c r="D55" i="153"/>
  <c r="D38" i="153"/>
  <c r="H15" i="153"/>
  <c r="H29" i="153"/>
  <c r="H54" i="153"/>
  <c r="H13" i="153"/>
  <c r="H48" i="153"/>
  <c r="D53" i="153"/>
  <c r="D5" i="153"/>
  <c r="D11" i="153"/>
  <c r="D37" i="153"/>
  <c r="D25" i="153"/>
  <c r="D44" i="153"/>
  <c r="D13" i="153"/>
  <c r="D29" i="153"/>
  <c r="D42" i="153"/>
  <c r="D31" i="153"/>
  <c r="D17" i="153"/>
  <c r="D23" i="153"/>
  <c r="D21" i="153"/>
  <c r="D7" i="153"/>
  <c r="D48" i="153"/>
  <c r="D36" i="153"/>
  <c r="D33" i="153"/>
  <c r="D27" i="153"/>
  <c r="D9" i="153"/>
  <c r="D19" i="153"/>
  <c r="D54" i="153"/>
  <c r="D15" i="153"/>
  <c r="H25" i="153" l="1"/>
  <c r="H36" i="153"/>
  <c r="H44" i="153"/>
  <c r="H33" i="153"/>
  <c r="H53" i="153"/>
  <c r="H42" i="153"/>
  <c r="H37" i="153"/>
  <c r="H11" i="153"/>
  <c r="H55" i="153"/>
  <c r="H21" i="153"/>
  <c r="H17" i="153"/>
  <c r="H52" i="153"/>
  <c r="H19" i="153"/>
  <c r="H9" i="153"/>
  <c r="H7" i="153"/>
  <c r="H38" i="153"/>
  <c r="H27" i="153"/>
  <c r="N20" i="98" l="1"/>
  <c r="P20" i="98" s="1"/>
  <c r="P57" i="98"/>
  <c r="R57" i="98" s="1"/>
  <c r="E120" i="97" s="1"/>
  <c r="P34" i="98"/>
  <c r="R34" i="98" s="1"/>
  <c r="N27" i="98"/>
  <c r="P27" i="98" s="1"/>
  <c r="R27" i="98" s="1"/>
  <c r="P109" i="98"/>
  <c r="R109" i="98" s="1"/>
  <c r="L121" i="97" s="1"/>
  <c r="N118" i="98"/>
  <c r="P118" i="98" s="1"/>
  <c r="R118" i="98" s="1"/>
  <c r="N91" i="98"/>
  <c r="P91" i="98" s="1"/>
  <c r="R91" i="98" s="1"/>
  <c r="E141" i="97" s="1"/>
  <c r="M144" i="97"/>
  <c r="P144" i="97" s="1"/>
  <c r="Z144" i="97" s="1"/>
  <c r="N63" i="98"/>
  <c r="P63" i="98" s="1"/>
  <c r="R63" i="98" s="1"/>
  <c r="L158" i="98"/>
  <c r="N158" i="98" s="1"/>
  <c r="J160" i="98"/>
  <c r="L160" i="98" l="1"/>
  <c r="N160" i="98" s="1"/>
  <c r="P160" i="98" s="1"/>
  <c r="R160" i="98" s="1"/>
  <c r="N159" i="98"/>
  <c r="P159" i="98" s="1"/>
  <c r="R159" i="98" s="1"/>
  <c r="P158" i="98"/>
  <c r="R158" i="98" s="1"/>
  <c r="E121" i="97"/>
  <c r="O121" i="97" s="1"/>
  <c r="Y121" i="97" s="1"/>
  <c r="V121" i="97"/>
  <c r="AF121" i="97" s="1"/>
  <c r="L141" i="97"/>
  <c r="V141" i="97" s="1"/>
  <c r="AF141" i="97" s="1"/>
  <c r="O141" i="97"/>
  <c r="Y141" i="97" s="1"/>
  <c r="E38" i="97"/>
  <c r="R20" i="98"/>
  <c r="L117" i="97" s="1"/>
  <c r="P149" i="98"/>
  <c r="P153" i="98" s="1"/>
  <c r="R153" i="98" s="1"/>
  <c r="P146" i="98"/>
  <c r="R146" i="98" s="1"/>
  <c r="T144" i="97"/>
  <c r="AD144" i="97" s="1"/>
  <c r="S144" i="97"/>
  <c r="AC144" i="97" s="1"/>
  <c r="V144" i="97"/>
  <c r="AF144" i="97" s="1"/>
  <c r="U144" i="97"/>
  <c r="AE144" i="97" s="1"/>
  <c r="R144" i="97"/>
  <c r="AB144" i="97" s="1"/>
  <c r="O144" i="97"/>
  <c r="Y144" i="97" s="1"/>
  <c r="Q144" i="97"/>
  <c r="AA144" i="97" s="1"/>
  <c r="G49" i="153"/>
  <c r="R149" i="98" l="1"/>
  <c r="E71" i="97"/>
  <c r="E75" i="97" s="1"/>
  <c r="P156" i="98"/>
  <c r="P157" i="98" s="1"/>
  <c r="R157" i="98" s="1"/>
  <c r="V117" i="97"/>
  <c r="AF117" i="97" s="1"/>
  <c r="E117" i="97"/>
  <c r="E41" i="97"/>
  <c r="L38" i="97"/>
  <c r="H49" i="153"/>
  <c r="L71" i="97" l="1"/>
  <c r="V71" i="97" s="1"/>
  <c r="O71" i="97"/>
  <c r="L120" i="97"/>
  <c r="M38" i="97"/>
  <c r="O117" i="97"/>
  <c r="Y117" i="97" s="1"/>
  <c r="E14" i="97"/>
  <c r="E43" i="97"/>
  <c r="E47" i="97"/>
  <c r="L41" i="97"/>
  <c r="M41" i="97" s="1"/>
  <c r="E45" i="97"/>
  <c r="L45" i="97" s="1"/>
  <c r="L75" i="97"/>
  <c r="V75" i="97" s="1"/>
  <c r="E91" i="97"/>
  <c r="O75" i="97"/>
  <c r="M45" i="97" l="1"/>
  <c r="P45" i="97" s="1"/>
  <c r="Z45" i="97" s="1"/>
  <c r="V41" i="97"/>
  <c r="R41" i="97"/>
  <c r="S41" i="97"/>
  <c r="T41" i="97"/>
  <c r="O41" i="97"/>
  <c r="P41" i="97"/>
  <c r="U41" i="97"/>
  <c r="Q41" i="97"/>
  <c r="L43" i="97"/>
  <c r="M43" i="97" s="1"/>
  <c r="M120" i="97"/>
  <c r="V120" i="97" s="1"/>
  <c r="AF120" i="97" s="1"/>
  <c r="R38" i="97"/>
  <c r="T38" i="97"/>
  <c r="P38" i="97"/>
  <c r="S38" i="97"/>
  <c r="Q38" i="97"/>
  <c r="U38" i="97"/>
  <c r="O38" i="97"/>
  <c r="E23" i="97"/>
  <c r="L14" i="97"/>
  <c r="E49" i="97"/>
  <c r="L47" i="97"/>
  <c r="V38" i="97"/>
  <c r="E92" i="97"/>
  <c r="E126" i="97"/>
  <c r="L91" i="97"/>
  <c r="O91" i="97"/>
  <c r="O45" i="97" l="1"/>
  <c r="Y45" i="97" s="1"/>
  <c r="S45" i="97"/>
  <c r="AC45" i="97" s="1"/>
  <c r="U45" i="97"/>
  <c r="AE45" i="97" s="1"/>
  <c r="T45" i="97"/>
  <c r="AD45" i="97" s="1"/>
  <c r="R45" i="97"/>
  <c r="AB45" i="97" s="1"/>
  <c r="Q45" i="97"/>
  <c r="AA45" i="97" s="1"/>
  <c r="V45" i="97"/>
  <c r="AF45" i="97" s="1"/>
  <c r="T43" i="97"/>
  <c r="O43" i="97"/>
  <c r="U43" i="97"/>
  <c r="R43" i="97"/>
  <c r="P43" i="97"/>
  <c r="S43" i="97"/>
  <c r="Q43" i="97"/>
  <c r="M23" i="97"/>
  <c r="E28" i="97"/>
  <c r="M47" i="97"/>
  <c r="V47" i="97" s="1"/>
  <c r="U120" i="97"/>
  <c r="AE120" i="97" s="1"/>
  <c r="O120" i="97"/>
  <c r="Y120" i="97" s="1"/>
  <c r="Q120" i="97"/>
  <c r="AA120" i="97" s="1"/>
  <c r="R120" i="97"/>
  <c r="AB120" i="97" s="1"/>
  <c r="P120" i="97"/>
  <c r="Z120" i="97" s="1"/>
  <c r="S120" i="97"/>
  <c r="AC120" i="97" s="1"/>
  <c r="T120" i="97"/>
  <c r="AD120" i="97" s="1"/>
  <c r="E52" i="97"/>
  <c r="L49" i="97"/>
  <c r="M49" i="97" s="1"/>
  <c r="S49" i="97" s="1"/>
  <c r="M14" i="97"/>
  <c r="V14" i="97" s="1"/>
  <c r="AF14" i="97" s="1"/>
  <c r="L22" i="97"/>
  <c r="M22" i="97" s="1"/>
  <c r="V22" i="97" s="1"/>
  <c r="V43" i="97"/>
  <c r="M92" i="97"/>
  <c r="O92" i="97" s="1"/>
  <c r="Y92" i="97" s="1"/>
  <c r="E138" i="97"/>
  <c r="O138" i="97" s="1"/>
  <c r="Y138" i="97" s="1"/>
  <c r="L126" i="97"/>
  <c r="O126" i="97"/>
  <c r="Y126" i="97" s="1"/>
  <c r="L94" i="97"/>
  <c r="V91" i="97"/>
  <c r="P22" i="97" l="1"/>
  <c r="S22" i="97"/>
  <c r="V49" i="97"/>
  <c r="Q22" i="97"/>
  <c r="T49" i="97"/>
  <c r="U49" i="97"/>
  <c r="P49" i="97"/>
  <c r="O49" i="97"/>
  <c r="R22" i="97"/>
  <c r="R49" i="97"/>
  <c r="Q49" i="97"/>
  <c r="O22" i="97"/>
  <c r="U22" i="97"/>
  <c r="O23" i="97"/>
  <c r="T23" i="97"/>
  <c r="V23" i="97"/>
  <c r="Q23" i="97"/>
  <c r="R23" i="97"/>
  <c r="P23" i="97"/>
  <c r="U23" i="97"/>
  <c r="S23" i="97"/>
  <c r="L51" i="97"/>
  <c r="M51" i="97" s="1"/>
  <c r="V51" i="97" s="1"/>
  <c r="E55" i="97"/>
  <c r="M52" i="97"/>
  <c r="T22" i="97"/>
  <c r="O47" i="97"/>
  <c r="P47" i="97"/>
  <c r="R47" i="97"/>
  <c r="S47" i="97"/>
  <c r="Q47" i="97"/>
  <c r="T47" i="97"/>
  <c r="U47" i="97"/>
  <c r="P14" i="97"/>
  <c r="Z14" i="97" s="1"/>
  <c r="R14" i="97"/>
  <c r="AB14" i="97" s="1"/>
  <c r="S14" i="97"/>
  <c r="AC14" i="97" s="1"/>
  <c r="T14" i="97"/>
  <c r="AD14" i="97" s="1"/>
  <c r="O14" i="97"/>
  <c r="Y14" i="97" s="1"/>
  <c r="U14" i="97"/>
  <c r="AE14" i="97" s="1"/>
  <c r="Q14" i="97"/>
  <c r="AA14" i="97" s="1"/>
  <c r="L27" i="97"/>
  <c r="M27" i="97" s="1"/>
  <c r="V27" i="97" s="1"/>
  <c r="M28" i="97"/>
  <c r="E31" i="97"/>
  <c r="L96" i="97"/>
  <c r="M94" i="97"/>
  <c r="V94" i="97" s="1"/>
  <c r="AF94" i="97" s="1"/>
  <c r="L138" i="97"/>
  <c r="V138" i="97" s="1"/>
  <c r="AF138" i="97" s="1"/>
  <c r="V126" i="97"/>
  <c r="AF126" i="97" s="1"/>
  <c r="V92" i="97"/>
  <c r="AF92" i="97" s="1"/>
  <c r="S92" i="97"/>
  <c r="AC92" i="97" s="1"/>
  <c r="R92" i="97"/>
  <c r="AB92" i="97" s="1"/>
  <c r="T92" i="97"/>
  <c r="AD92" i="97" s="1"/>
  <c r="U92" i="97"/>
  <c r="AE92" i="97" s="1"/>
  <c r="P92" i="97"/>
  <c r="Z92" i="97" s="1"/>
  <c r="Q92" i="97"/>
  <c r="AA92" i="97" s="1"/>
  <c r="T27" i="97" l="1"/>
  <c r="R27" i="97"/>
  <c r="T51" i="97"/>
  <c r="O27" i="97"/>
  <c r="R51" i="97"/>
  <c r="S27" i="97"/>
  <c r="U51" i="97"/>
  <c r="P27" i="97"/>
  <c r="S51" i="97"/>
  <c r="O51" i="97"/>
  <c r="E59" i="97"/>
  <c r="M55" i="97"/>
  <c r="L54" i="97"/>
  <c r="M54" i="97" s="1"/>
  <c r="S54" i="97" s="1"/>
  <c r="E63" i="97"/>
  <c r="L63" i="97" s="1"/>
  <c r="L31" i="97"/>
  <c r="Q27" i="97"/>
  <c r="U27" i="97"/>
  <c r="P51" i="97"/>
  <c r="Q51" i="97"/>
  <c r="O28" i="97"/>
  <c r="S28" i="97"/>
  <c r="V28" i="97"/>
  <c r="U28" i="97"/>
  <c r="T28" i="97"/>
  <c r="R28" i="97"/>
  <c r="P28" i="97"/>
  <c r="Q28" i="97"/>
  <c r="O52" i="97"/>
  <c r="Y52" i="97" s="1"/>
  <c r="V52" i="97"/>
  <c r="AF52" i="97" s="1"/>
  <c r="U52" i="97"/>
  <c r="AE52" i="97" s="1"/>
  <c r="S52" i="97"/>
  <c r="AC52" i="97" s="1"/>
  <c r="T52" i="97"/>
  <c r="AD52" i="97" s="1"/>
  <c r="P52" i="97"/>
  <c r="Z52" i="97" s="1"/>
  <c r="Q52" i="97"/>
  <c r="AA52" i="97" s="1"/>
  <c r="R52" i="97"/>
  <c r="AB52" i="97" s="1"/>
  <c r="P94" i="97"/>
  <c r="Z94" i="97" s="1"/>
  <c r="Q94" i="97"/>
  <c r="AA94" i="97" s="1"/>
  <c r="O94" i="97"/>
  <c r="Y94" i="97" s="1"/>
  <c r="T94" i="97"/>
  <c r="AD94" i="97" s="1"/>
  <c r="R94" i="97"/>
  <c r="AB94" i="97" s="1"/>
  <c r="U94" i="97"/>
  <c r="AE94" i="97" s="1"/>
  <c r="S94" i="97"/>
  <c r="AC94" i="97" s="1"/>
  <c r="M96" i="97"/>
  <c r="V96" i="97" s="1"/>
  <c r="AF96" i="97" s="1"/>
  <c r="U54" i="97" l="1"/>
  <c r="Q54" i="97"/>
  <c r="P54" i="97"/>
  <c r="T54" i="97"/>
  <c r="O54" i="97"/>
  <c r="R54" i="97"/>
  <c r="M63" i="97"/>
  <c r="P63" i="97" s="1"/>
  <c r="Z63" i="97" s="1"/>
  <c r="V54" i="97"/>
  <c r="M31" i="97"/>
  <c r="L58" i="97"/>
  <c r="M58" i="97" s="1"/>
  <c r="V58" i="97" s="1"/>
  <c r="E60" i="97"/>
  <c r="M59" i="97"/>
  <c r="O55" i="97"/>
  <c r="T55" i="97"/>
  <c r="S55" i="97"/>
  <c r="V55" i="97"/>
  <c r="P55" i="97"/>
  <c r="Q55" i="97"/>
  <c r="R55" i="97"/>
  <c r="U55" i="97"/>
  <c r="S96" i="97"/>
  <c r="AC96" i="97" s="1"/>
  <c r="R96" i="97"/>
  <c r="AB96" i="97" s="1"/>
  <c r="T96" i="97"/>
  <c r="AD96" i="97" s="1"/>
  <c r="Q96" i="97"/>
  <c r="AA96" i="97" s="1"/>
  <c r="P96" i="97"/>
  <c r="Z96" i="97" s="1"/>
  <c r="O96" i="97"/>
  <c r="Y96" i="97" s="1"/>
  <c r="U96" i="97"/>
  <c r="AE96" i="97" s="1"/>
  <c r="U58" i="97" l="1"/>
  <c r="R58" i="97"/>
  <c r="O58" i="97"/>
  <c r="U63" i="97"/>
  <c r="AE63" i="97" s="1"/>
  <c r="R63" i="97"/>
  <c r="AB63" i="97" s="1"/>
  <c r="V63" i="97"/>
  <c r="AF63" i="97" s="1"/>
  <c r="S63" i="97"/>
  <c r="AC63" i="97" s="1"/>
  <c r="T63" i="97"/>
  <c r="AD63" i="97" s="1"/>
  <c r="O63" i="97"/>
  <c r="Y63" i="97" s="1"/>
  <c r="T58" i="97"/>
  <c r="Q63" i="97"/>
  <c r="AA63" i="97" s="1"/>
  <c r="O59" i="97"/>
  <c r="P59" i="97"/>
  <c r="Q59" i="97"/>
  <c r="T59" i="97"/>
  <c r="U59" i="97"/>
  <c r="R59" i="97"/>
  <c r="S59" i="97"/>
  <c r="V59" i="97"/>
  <c r="O31" i="97"/>
  <c r="Q31" i="97"/>
  <c r="P31" i="97"/>
  <c r="R31" i="97"/>
  <c r="U31" i="97"/>
  <c r="S31" i="97"/>
  <c r="T31" i="97"/>
  <c r="Q58" i="97"/>
  <c r="P58" i="97"/>
  <c r="E62" i="97"/>
  <c r="L60" i="97"/>
  <c r="S58" i="97"/>
  <c r="V31" i="97"/>
  <c r="M60" i="97" l="1"/>
  <c r="E134" i="97"/>
  <c r="E67" i="97"/>
  <c r="L62" i="97"/>
  <c r="M62" i="97" s="1"/>
  <c r="P62" i="97" s="1"/>
  <c r="Z62" i="97" s="1"/>
  <c r="E135" i="97"/>
  <c r="O62" i="97" l="1"/>
  <c r="Y62" i="97" s="1"/>
  <c r="Q60" i="97"/>
  <c r="U60" i="97"/>
  <c r="T60" i="97"/>
  <c r="O60" i="97"/>
  <c r="R60" i="97"/>
  <c r="S60" i="97"/>
  <c r="P60" i="97"/>
  <c r="S62" i="97"/>
  <c r="AC62" i="97" s="1"/>
  <c r="T62" i="97"/>
  <c r="AD62" i="97" s="1"/>
  <c r="O67" i="97"/>
  <c r="Y67" i="97" s="1"/>
  <c r="E93" i="97"/>
  <c r="L67" i="97"/>
  <c r="U62" i="97"/>
  <c r="AE62" i="97" s="1"/>
  <c r="R62" i="97"/>
  <c r="AB62" i="97" s="1"/>
  <c r="Q62" i="97"/>
  <c r="AA62" i="97" s="1"/>
  <c r="V62" i="97"/>
  <c r="AF62" i="97" s="1"/>
  <c r="V60" i="97"/>
  <c r="L93" i="97" l="1"/>
  <c r="L134" i="97"/>
  <c r="M134" i="97" s="1"/>
  <c r="R134" i="97" s="1"/>
  <c r="AB134" i="97" s="1"/>
  <c r="V67" i="97"/>
  <c r="AF67" i="97" s="1"/>
  <c r="L150" i="97"/>
  <c r="L135" i="97"/>
  <c r="M135" i="97" s="1"/>
  <c r="V135" i="97" s="1"/>
  <c r="AF135" i="97" s="1"/>
  <c r="L97" i="97"/>
  <c r="L153" i="97" s="1"/>
  <c r="L160" i="97" s="1"/>
  <c r="E150" i="97"/>
  <c r="E97" i="97"/>
  <c r="V134" i="97" l="1"/>
  <c r="AF134" i="97" s="1"/>
  <c r="T134" i="97"/>
  <c r="AD134" i="97" s="1"/>
  <c r="T135" i="97"/>
  <c r="AD135" i="97" s="1"/>
  <c r="S135" i="97"/>
  <c r="AC135" i="97" s="1"/>
  <c r="Q135" i="97"/>
  <c r="AA135" i="97" s="1"/>
  <c r="P135" i="97"/>
  <c r="Z135" i="97" s="1"/>
  <c r="S134" i="97"/>
  <c r="AC134" i="97" s="1"/>
  <c r="O135" i="97"/>
  <c r="Y135" i="97" s="1"/>
  <c r="R135" i="97"/>
  <c r="AB135" i="97" s="1"/>
  <c r="L155" i="97"/>
  <c r="U134" i="97"/>
  <c r="AE134" i="97" s="1"/>
  <c r="L154" i="97"/>
  <c r="P134" i="97"/>
  <c r="Z134" i="97" s="1"/>
  <c r="Q134" i="97"/>
  <c r="AA134" i="97" s="1"/>
  <c r="M150" i="97"/>
  <c r="T150" i="97" s="1"/>
  <c r="AD150" i="97" s="1"/>
  <c r="M93" i="97"/>
  <c r="V93" i="97" s="1"/>
  <c r="AF93" i="97" s="1"/>
  <c r="U135" i="97"/>
  <c r="AE135" i="97" s="1"/>
  <c r="O134" i="97"/>
  <c r="Y134" i="97" s="1"/>
  <c r="E155" i="97"/>
  <c r="E153" i="97"/>
  <c r="M153" i="97" s="1"/>
  <c r="O153" i="97" s="1"/>
  <c r="Y153" i="97" s="1"/>
  <c r="M97" i="97"/>
  <c r="E154" i="97"/>
  <c r="E160" i="97"/>
  <c r="M160" i="97" s="1"/>
  <c r="M155" i="97" l="1"/>
  <c r="Q155" i="97" s="1"/>
  <c r="AA155" i="97" s="1"/>
  <c r="M154" i="97"/>
  <c r="P154" i="97" s="1"/>
  <c r="Z154" i="97" s="1"/>
  <c r="R153" i="97"/>
  <c r="AB153" i="97" s="1"/>
  <c r="U153" i="97"/>
  <c r="AE153" i="97" s="1"/>
  <c r="Q153" i="97"/>
  <c r="AA153" i="97" s="1"/>
  <c r="T153" i="97"/>
  <c r="AD153" i="97" s="1"/>
  <c r="O150" i="97"/>
  <c r="Y150" i="97" s="1"/>
  <c r="Q150" i="97"/>
  <c r="AA150" i="97" s="1"/>
  <c r="R150" i="97"/>
  <c r="AB150" i="97" s="1"/>
  <c r="U150" i="97"/>
  <c r="AE150" i="97" s="1"/>
  <c r="P150" i="97"/>
  <c r="Z150" i="97" s="1"/>
  <c r="S150" i="97"/>
  <c r="AC150" i="97" s="1"/>
  <c r="V150" i="97"/>
  <c r="AF150" i="97" s="1"/>
  <c r="O160" i="97"/>
  <c r="Y160" i="97" s="1"/>
  <c r="U160" i="97"/>
  <c r="AE160" i="97" s="1"/>
  <c r="V160" i="97"/>
  <c r="AF160" i="97" s="1"/>
  <c r="Q160" i="97"/>
  <c r="AA160" i="97" s="1"/>
  <c r="S160" i="97"/>
  <c r="AC160" i="97" s="1"/>
  <c r="P160" i="97"/>
  <c r="Z160" i="97" s="1"/>
  <c r="T160" i="97"/>
  <c r="AD160" i="97" s="1"/>
  <c r="R160" i="97"/>
  <c r="AB160" i="97" s="1"/>
  <c r="O97" i="97"/>
  <c r="Y97" i="97" s="1"/>
  <c r="T97" i="97"/>
  <c r="AD97" i="97" s="1"/>
  <c r="R97" i="97"/>
  <c r="AB97" i="97" s="1"/>
  <c r="P97" i="97"/>
  <c r="Z97" i="97" s="1"/>
  <c r="V97" i="97"/>
  <c r="AF97" i="97" s="1"/>
  <c r="U97" i="97"/>
  <c r="AE97" i="97" s="1"/>
  <c r="S97" i="97"/>
  <c r="AC97" i="97" s="1"/>
  <c r="Q97" i="97"/>
  <c r="AA97" i="97" s="1"/>
  <c r="T93" i="97"/>
  <c r="AD93" i="97" s="1"/>
  <c r="R93" i="97"/>
  <c r="AB93" i="97" s="1"/>
  <c r="P93" i="97"/>
  <c r="Z93" i="97" s="1"/>
  <c r="Q93" i="97"/>
  <c r="AA93" i="97" s="1"/>
  <c r="S93" i="97"/>
  <c r="AC93" i="97" s="1"/>
  <c r="U93" i="97"/>
  <c r="AE93" i="97" s="1"/>
  <c r="O93" i="97"/>
  <c r="Y93" i="97" s="1"/>
  <c r="P153" i="97"/>
  <c r="Z153" i="97" s="1"/>
  <c r="V153" i="97"/>
  <c r="AF153" i="97" s="1"/>
  <c r="S153" i="97"/>
  <c r="AC153" i="97" s="1"/>
  <c r="S154" i="97" l="1"/>
  <c r="AC154" i="97" s="1"/>
  <c r="U154" i="97"/>
  <c r="AE154" i="97" s="1"/>
  <c r="P155" i="97"/>
  <c r="Z155" i="97" s="1"/>
  <c r="Z158" i="97" s="1"/>
  <c r="Z162" i="97" s="1"/>
  <c r="Z169" i="97" s="1"/>
  <c r="S155" i="97"/>
  <c r="AC155" i="97" s="1"/>
  <c r="T154" i="97"/>
  <c r="AD154" i="97" s="1"/>
  <c r="V155" i="97"/>
  <c r="AF155" i="97" s="1"/>
  <c r="V154" i="97"/>
  <c r="AF154" i="97" s="1"/>
  <c r="T155" i="97"/>
  <c r="AD155" i="97" s="1"/>
  <c r="Q154" i="97"/>
  <c r="AA154" i="97" s="1"/>
  <c r="AA158" i="97" s="1"/>
  <c r="AA162" i="97" s="1"/>
  <c r="AA169" i="97" s="1"/>
  <c r="O154" i="97"/>
  <c r="Y154" i="97" s="1"/>
  <c r="R154" i="97"/>
  <c r="AB154" i="97" s="1"/>
  <c r="AC158" i="97"/>
  <c r="AC162" i="97" s="1"/>
  <c r="AC169" i="97" s="1"/>
  <c r="R155" i="97"/>
  <c r="AB155" i="97" s="1"/>
  <c r="O155" i="97"/>
  <c r="Y155" i="97" s="1"/>
  <c r="U155" i="97"/>
  <c r="AE155" i="97" s="1"/>
  <c r="AE158" i="97" l="1"/>
  <c r="AE162" i="97" s="1"/>
  <c r="AE169" i="97" s="1"/>
  <c r="Y158" i="97"/>
  <c r="Y162" i="97" s="1"/>
  <c r="Y169" i="97" s="1"/>
  <c r="AD158" i="97"/>
  <c r="AD162" i="97" s="1"/>
  <c r="AD169" i="97" s="1"/>
  <c r="AF158" i="97"/>
  <c r="AF162" i="97" s="1"/>
  <c r="AF169" i="97" s="1"/>
  <c r="AB158" i="97"/>
  <c r="AB162" i="97" s="1"/>
  <c r="AB169" i="97" s="1"/>
  <c r="F149" i="153" l="1"/>
  <c r="L149" i="153" l="1"/>
  <c r="H149" i="1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DCWASA</author>
    <author>Antonio M. Ramos-Izquierdo</author>
    <author>Preferred Customer</author>
  </authors>
  <commentList>
    <comment ref="D1" authorId="0" shapeId="0" xr:uid="{00000000-0006-0000-0400-000001000000}">
      <text>
        <r>
          <rPr>
            <b/>
            <sz val="8"/>
            <color indexed="81"/>
            <rFont val="Tahoma"/>
            <family val="2"/>
          </rPr>
          <t xml:space="preserve">DCWASA: </t>
        </r>
        <r>
          <rPr>
            <sz val="8"/>
            <color indexed="81"/>
            <rFont val="Tahoma"/>
            <family val="2"/>
          </rPr>
          <t xml:space="preserve">THE </t>
        </r>
        <r>
          <rPr>
            <b/>
            <sz val="8"/>
            <color indexed="81"/>
            <rFont val="Tahoma"/>
            <family val="2"/>
          </rPr>
          <t>YR_HC_RPT</t>
        </r>
        <r>
          <rPr>
            <sz val="8"/>
            <color indexed="81"/>
            <rFont val="Tahoma"/>
            <family val="2"/>
          </rPr>
          <t xml:space="preserve"> MUST BE COMPLETED PRIOR TO DOING THIS </t>
        </r>
        <r>
          <rPr>
            <b/>
            <sz val="8"/>
            <color indexed="81"/>
            <rFont val="Tahoma"/>
            <family val="2"/>
          </rPr>
          <t>YR_FLOW_RPT</t>
        </r>
        <r>
          <rPr>
            <sz val="8"/>
            <color indexed="81"/>
            <rFont val="Tahoma"/>
            <family val="2"/>
          </rPr>
          <t xml:space="preserve">, SINCE THE CELLS SHOWN IN </t>
        </r>
        <r>
          <rPr>
            <sz val="8"/>
            <color indexed="10"/>
            <rFont val="Tahoma"/>
            <family val="2"/>
          </rPr>
          <t>RED</t>
        </r>
        <r>
          <rPr>
            <sz val="8"/>
            <color indexed="81"/>
            <rFont val="Tahoma"/>
            <family val="2"/>
          </rPr>
          <t xml:space="preserve"> ARE LINKED TO THE </t>
        </r>
        <r>
          <rPr>
            <b/>
            <sz val="8"/>
            <color indexed="81"/>
            <rFont val="Tahoma"/>
            <family val="2"/>
          </rPr>
          <t>YR_HC_RPT</t>
        </r>
        <r>
          <rPr>
            <sz val="8"/>
            <color indexed="81"/>
            <rFont val="Tahoma"/>
            <family val="2"/>
          </rPr>
          <t xml:space="preserve"> SPREADSHEET.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6" authorId="0" shapeId="0" xr:uid="{00000000-0006-0000-0400-000002000000}">
      <text>
        <r>
          <rPr>
            <b/>
            <sz val="8"/>
            <color indexed="81"/>
            <rFont val="Tahoma"/>
            <family val="2"/>
          </rPr>
          <t xml:space="preserve">DCWASA: AFTER YOU CREATE A WORKBOOK FOR THE NEW FISCAL YEAR.
</t>
        </r>
        <r>
          <rPr>
            <sz val="8"/>
            <color indexed="81"/>
            <rFont val="Tahoma"/>
            <family val="2"/>
          </rPr>
          <t xml:space="preserve">IN THE </t>
        </r>
        <r>
          <rPr>
            <b/>
            <sz val="8"/>
            <color indexed="81"/>
            <rFont val="Tahoma"/>
            <family val="2"/>
          </rPr>
          <t>LINKED</t>
        </r>
        <r>
          <rPr>
            <sz val="8"/>
            <color indexed="81"/>
            <rFont val="Tahoma"/>
            <family val="2"/>
          </rPr>
          <t xml:space="preserve"> CELLS SHOWN IN </t>
        </r>
        <r>
          <rPr>
            <sz val="8"/>
            <color indexed="12"/>
            <rFont val="Tahoma"/>
            <family val="2"/>
          </rPr>
          <t>BLUE</t>
        </r>
        <r>
          <rPr>
            <sz val="8"/>
            <color indexed="81"/>
            <rFont val="Tahoma"/>
            <family val="2"/>
          </rPr>
          <t xml:space="preserve">, REPLACE THE </t>
        </r>
        <r>
          <rPr>
            <b/>
            <sz val="8"/>
            <color indexed="81"/>
            <rFont val="Tahoma"/>
            <family val="2"/>
          </rPr>
          <t>ROW</t>
        </r>
        <r>
          <rPr>
            <sz val="8"/>
            <color indexed="81"/>
            <rFont val="Tahoma"/>
            <family val="2"/>
          </rPr>
          <t xml:space="preserve"> NUMBER FOR THE</t>
        </r>
        <r>
          <rPr>
            <b/>
            <sz val="8"/>
            <color indexed="81"/>
            <rFont val="Tahoma"/>
            <family val="2"/>
          </rPr>
          <t xml:space="preserve"> PREVIOUS</t>
        </r>
        <r>
          <rPr>
            <sz val="8"/>
            <color indexed="81"/>
            <rFont val="Tahoma"/>
            <family val="2"/>
          </rPr>
          <t xml:space="preserve"> YEAR SEPTEMBER WITH THE </t>
        </r>
        <r>
          <rPr>
            <b/>
            <sz val="8"/>
            <color indexed="81"/>
            <rFont val="Tahoma"/>
            <family val="2"/>
          </rPr>
          <t>ROW</t>
        </r>
        <r>
          <rPr>
            <sz val="8"/>
            <color indexed="81"/>
            <rFont val="Tahoma"/>
            <family val="2"/>
          </rPr>
          <t xml:space="preserve"> NUMBER FOR THE </t>
        </r>
        <r>
          <rPr>
            <b/>
            <sz val="8"/>
            <color indexed="81"/>
            <rFont val="Tahoma"/>
            <family val="2"/>
          </rPr>
          <t>CURRENT</t>
        </r>
        <r>
          <rPr>
            <sz val="8"/>
            <color indexed="81"/>
            <rFont val="Tahoma"/>
            <family val="2"/>
          </rPr>
          <t xml:space="preserve"> YEAR SEPTEMBER SHOWN ON THE CORRESPONDING SPREADSHEET.</t>
        </r>
        <r>
          <rPr>
            <sz val="8"/>
            <color indexed="81"/>
            <rFont val="Tahoma"/>
            <family val="2"/>
          </rPr>
          <t xml:space="preserve">
F</t>
        </r>
        <r>
          <rPr>
            <b/>
            <sz val="8"/>
            <color indexed="81"/>
            <rFont val="Tahoma"/>
            <family val="2"/>
          </rPr>
          <t>OR THE FISCAL YEAR REPORT WSSC USES TOTAL MG FROM OCTOBER TO SEPTEMBER DIVIDED BY DAYS IN THE YEAR (365 OR 366) FOR EACH METER,</t>
        </r>
        <r>
          <rPr>
            <sz val="8"/>
            <color indexed="81"/>
            <rFont val="Tahoma"/>
            <family val="2"/>
          </rPr>
          <t xml:space="preserve">
SO IT IS BETTER TO CREATE A NEW ROW IN THE WSSC SPREADSHEET WITH THE INFORMATION AND USE IT AS THE
REPLACEMENT CELLS.</t>
        </r>
      </text>
    </comment>
    <comment ref="F6" authorId="0" shapeId="0" xr:uid="{00000000-0006-0000-0400-000003000000}">
      <text>
        <r>
          <rPr>
            <b/>
            <sz val="8"/>
            <color indexed="81"/>
            <rFont val="Tahoma"/>
            <family val="2"/>
          </rPr>
          <t xml:space="preserve">DCWASA: </t>
        </r>
        <r>
          <rPr>
            <sz val="8"/>
            <color indexed="81"/>
            <rFont val="Tahoma"/>
            <family val="2"/>
          </rPr>
          <t xml:space="preserve">IN THE </t>
        </r>
        <r>
          <rPr>
            <b/>
            <sz val="8"/>
            <color indexed="81"/>
            <rFont val="Tahoma"/>
            <family val="2"/>
          </rPr>
          <t>LINKED</t>
        </r>
        <r>
          <rPr>
            <sz val="8"/>
            <color indexed="81"/>
            <rFont val="Tahoma"/>
            <family val="2"/>
          </rPr>
          <t xml:space="preserve"> CELLS SHOWN IN </t>
        </r>
        <r>
          <rPr>
            <sz val="8"/>
            <color indexed="12"/>
            <rFont val="Tahoma"/>
            <family val="2"/>
          </rPr>
          <t>BLUE</t>
        </r>
        <r>
          <rPr>
            <sz val="8"/>
            <color indexed="81"/>
            <rFont val="Tahoma"/>
            <family val="2"/>
          </rPr>
          <t xml:space="preserve">, REPLACE THE </t>
        </r>
        <r>
          <rPr>
            <b/>
            <sz val="8"/>
            <color indexed="81"/>
            <rFont val="Tahoma"/>
            <family val="2"/>
          </rPr>
          <t>ROW</t>
        </r>
        <r>
          <rPr>
            <sz val="8"/>
            <color indexed="81"/>
            <rFont val="Tahoma"/>
            <family val="2"/>
          </rPr>
          <t xml:space="preserve"> NUMBER FOR THE</t>
        </r>
        <r>
          <rPr>
            <b/>
            <sz val="8"/>
            <color indexed="81"/>
            <rFont val="Tahoma"/>
            <family val="2"/>
          </rPr>
          <t xml:space="preserve"> PREVIOUS</t>
        </r>
        <r>
          <rPr>
            <sz val="8"/>
            <color indexed="81"/>
            <rFont val="Tahoma"/>
            <family val="2"/>
          </rPr>
          <t xml:space="preserve"> YEAR SEPTEMBER WITH THE </t>
        </r>
        <r>
          <rPr>
            <b/>
            <sz val="8"/>
            <color indexed="81"/>
            <rFont val="Tahoma"/>
            <family val="2"/>
          </rPr>
          <t>ROW</t>
        </r>
        <r>
          <rPr>
            <sz val="8"/>
            <color indexed="81"/>
            <rFont val="Tahoma"/>
            <family val="2"/>
          </rPr>
          <t xml:space="preserve"> NUMBER FOR THE </t>
        </r>
        <r>
          <rPr>
            <b/>
            <sz val="8"/>
            <color indexed="81"/>
            <rFont val="Tahoma"/>
            <family val="2"/>
          </rPr>
          <t>CURRENT</t>
        </r>
        <r>
          <rPr>
            <sz val="8"/>
            <color indexed="81"/>
            <rFont val="Tahoma"/>
            <family val="2"/>
          </rPr>
          <t xml:space="preserve"> YEAR SEPTEMBER SHOWN ON THE CORRESPONDING SPREADSHEET.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6" authorId="0" shapeId="0" xr:uid="{00000000-0006-0000-0400-000004000000}">
      <text>
        <r>
          <rPr>
            <b/>
            <sz val="8"/>
            <color indexed="81"/>
            <rFont val="Tahoma"/>
            <family val="2"/>
          </rPr>
          <t xml:space="preserve">DCWASA: </t>
        </r>
        <r>
          <rPr>
            <sz val="8"/>
            <color indexed="81"/>
            <rFont val="Tahoma"/>
            <family val="2"/>
          </rPr>
          <t xml:space="preserve">IN THE </t>
        </r>
        <r>
          <rPr>
            <b/>
            <sz val="8"/>
            <color indexed="81"/>
            <rFont val="Tahoma"/>
            <family val="2"/>
          </rPr>
          <t>LINKED</t>
        </r>
        <r>
          <rPr>
            <sz val="8"/>
            <color indexed="81"/>
            <rFont val="Tahoma"/>
            <family val="2"/>
          </rPr>
          <t xml:space="preserve"> CELLS SHOWN IN </t>
        </r>
        <r>
          <rPr>
            <sz val="8"/>
            <color indexed="12"/>
            <rFont val="Tahoma"/>
            <family val="2"/>
          </rPr>
          <t>BLUE</t>
        </r>
        <r>
          <rPr>
            <sz val="8"/>
            <color indexed="81"/>
            <rFont val="Tahoma"/>
            <family val="2"/>
          </rPr>
          <t xml:space="preserve">, REPLACE THE </t>
        </r>
        <r>
          <rPr>
            <b/>
            <sz val="8"/>
            <color indexed="81"/>
            <rFont val="Tahoma"/>
            <family val="2"/>
          </rPr>
          <t>ROW</t>
        </r>
        <r>
          <rPr>
            <sz val="8"/>
            <color indexed="81"/>
            <rFont val="Tahoma"/>
            <family val="2"/>
          </rPr>
          <t xml:space="preserve"> NUMBER FOR THE</t>
        </r>
        <r>
          <rPr>
            <b/>
            <sz val="8"/>
            <color indexed="81"/>
            <rFont val="Tahoma"/>
            <family val="2"/>
          </rPr>
          <t xml:space="preserve"> PREVIOUS</t>
        </r>
        <r>
          <rPr>
            <sz val="8"/>
            <color indexed="81"/>
            <rFont val="Tahoma"/>
            <family val="2"/>
          </rPr>
          <t xml:space="preserve"> YEAR SEPTEMBER WITH THE </t>
        </r>
        <r>
          <rPr>
            <b/>
            <sz val="8"/>
            <color indexed="81"/>
            <rFont val="Tahoma"/>
            <family val="2"/>
          </rPr>
          <t>ROW</t>
        </r>
        <r>
          <rPr>
            <sz val="8"/>
            <color indexed="81"/>
            <rFont val="Tahoma"/>
            <family val="2"/>
          </rPr>
          <t xml:space="preserve"> NUMBER FOR THE </t>
        </r>
        <r>
          <rPr>
            <b/>
            <sz val="8"/>
            <color indexed="81"/>
            <rFont val="Tahoma"/>
            <family val="2"/>
          </rPr>
          <t>CURRENT</t>
        </r>
        <r>
          <rPr>
            <sz val="8"/>
            <color indexed="81"/>
            <rFont val="Tahoma"/>
            <family val="2"/>
          </rPr>
          <t xml:space="preserve"> YEAR SEPTEMBER SHOWN ON THE CORRESPONDING SPREADSHEET.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6" authorId="0" shapeId="0" xr:uid="{00000000-0006-0000-0400-000005000000}">
      <text>
        <r>
          <rPr>
            <b/>
            <sz val="8"/>
            <color indexed="81"/>
            <rFont val="Tahoma"/>
            <family val="2"/>
          </rPr>
          <t xml:space="preserve">DCWASA: </t>
        </r>
        <r>
          <rPr>
            <sz val="8"/>
            <color indexed="81"/>
            <rFont val="Tahoma"/>
            <family val="2"/>
          </rPr>
          <t xml:space="preserve">IN THE </t>
        </r>
        <r>
          <rPr>
            <b/>
            <sz val="8"/>
            <color indexed="81"/>
            <rFont val="Tahoma"/>
            <family val="2"/>
          </rPr>
          <t>LINKED</t>
        </r>
        <r>
          <rPr>
            <sz val="8"/>
            <color indexed="81"/>
            <rFont val="Tahoma"/>
            <family val="2"/>
          </rPr>
          <t xml:space="preserve"> CELLS SHOWN IN </t>
        </r>
        <r>
          <rPr>
            <sz val="8"/>
            <color indexed="12"/>
            <rFont val="Tahoma"/>
            <family val="2"/>
          </rPr>
          <t>BLUE</t>
        </r>
        <r>
          <rPr>
            <sz val="8"/>
            <color indexed="81"/>
            <rFont val="Tahoma"/>
            <family val="2"/>
          </rPr>
          <t xml:space="preserve">, REPLACE THE </t>
        </r>
        <r>
          <rPr>
            <b/>
            <sz val="8"/>
            <color indexed="81"/>
            <rFont val="Tahoma"/>
            <family val="2"/>
          </rPr>
          <t>ROW</t>
        </r>
        <r>
          <rPr>
            <sz val="8"/>
            <color indexed="81"/>
            <rFont val="Tahoma"/>
            <family val="2"/>
          </rPr>
          <t xml:space="preserve"> NUMBER FOR THE</t>
        </r>
        <r>
          <rPr>
            <b/>
            <sz val="8"/>
            <color indexed="81"/>
            <rFont val="Tahoma"/>
            <family val="2"/>
          </rPr>
          <t xml:space="preserve"> PREVIOUS</t>
        </r>
        <r>
          <rPr>
            <sz val="8"/>
            <color indexed="81"/>
            <rFont val="Tahoma"/>
            <family val="2"/>
          </rPr>
          <t xml:space="preserve"> YEAR SEPTEMBER WITH THE </t>
        </r>
        <r>
          <rPr>
            <b/>
            <sz val="8"/>
            <color indexed="81"/>
            <rFont val="Tahoma"/>
            <family val="2"/>
          </rPr>
          <t>ROW</t>
        </r>
        <r>
          <rPr>
            <sz val="8"/>
            <color indexed="81"/>
            <rFont val="Tahoma"/>
            <family val="2"/>
          </rPr>
          <t xml:space="preserve"> NUMBER FOR THE </t>
        </r>
        <r>
          <rPr>
            <b/>
            <sz val="8"/>
            <color indexed="81"/>
            <rFont val="Tahoma"/>
            <family val="2"/>
          </rPr>
          <t>CURRENT</t>
        </r>
        <r>
          <rPr>
            <sz val="8"/>
            <color indexed="81"/>
            <rFont val="Tahoma"/>
            <family val="2"/>
          </rPr>
          <t xml:space="preserve"> YEAR SEPTEMBER SHOWN ON THE CORRESPONDING SPREADSHEET.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6" authorId="0" shapeId="0" xr:uid="{00000000-0006-0000-0400-000006000000}">
      <text>
        <r>
          <rPr>
            <b/>
            <sz val="8"/>
            <color indexed="81"/>
            <rFont val="Tahoma"/>
            <family val="2"/>
          </rPr>
          <t xml:space="preserve">DCWASA: </t>
        </r>
        <r>
          <rPr>
            <sz val="8"/>
            <color indexed="81"/>
            <rFont val="Tahoma"/>
            <family val="2"/>
          </rPr>
          <t xml:space="preserve">IN THE </t>
        </r>
        <r>
          <rPr>
            <b/>
            <sz val="8"/>
            <color indexed="81"/>
            <rFont val="Tahoma"/>
            <family val="2"/>
          </rPr>
          <t>LINKED</t>
        </r>
        <r>
          <rPr>
            <sz val="8"/>
            <color indexed="81"/>
            <rFont val="Tahoma"/>
            <family val="2"/>
          </rPr>
          <t xml:space="preserve"> CELLS SHOWN IN </t>
        </r>
        <r>
          <rPr>
            <sz val="8"/>
            <color indexed="12"/>
            <rFont val="Tahoma"/>
            <family val="2"/>
          </rPr>
          <t>BLUE</t>
        </r>
        <r>
          <rPr>
            <sz val="8"/>
            <color indexed="81"/>
            <rFont val="Tahoma"/>
            <family val="2"/>
          </rPr>
          <t xml:space="preserve">, REPLACE THE </t>
        </r>
        <r>
          <rPr>
            <b/>
            <sz val="8"/>
            <color indexed="81"/>
            <rFont val="Tahoma"/>
            <family val="2"/>
          </rPr>
          <t>ROW</t>
        </r>
        <r>
          <rPr>
            <sz val="8"/>
            <color indexed="81"/>
            <rFont val="Tahoma"/>
            <family val="2"/>
          </rPr>
          <t xml:space="preserve"> NUMBER FOR THE</t>
        </r>
        <r>
          <rPr>
            <b/>
            <sz val="8"/>
            <color indexed="81"/>
            <rFont val="Tahoma"/>
            <family val="2"/>
          </rPr>
          <t xml:space="preserve"> PREVIOUS</t>
        </r>
        <r>
          <rPr>
            <sz val="8"/>
            <color indexed="81"/>
            <rFont val="Tahoma"/>
            <family val="2"/>
          </rPr>
          <t xml:space="preserve"> YEAR SEPTEMBER WITH THE </t>
        </r>
        <r>
          <rPr>
            <b/>
            <sz val="8"/>
            <color indexed="81"/>
            <rFont val="Tahoma"/>
            <family val="2"/>
          </rPr>
          <t>ROW</t>
        </r>
        <r>
          <rPr>
            <sz val="8"/>
            <color indexed="81"/>
            <rFont val="Tahoma"/>
            <family val="2"/>
          </rPr>
          <t xml:space="preserve"> NUMBER FOR THE </t>
        </r>
        <r>
          <rPr>
            <b/>
            <sz val="8"/>
            <color indexed="81"/>
            <rFont val="Tahoma"/>
            <family val="2"/>
          </rPr>
          <t>CURRENT</t>
        </r>
        <r>
          <rPr>
            <sz val="8"/>
            <color indexed="81"/>
            <rFont val="Tahoma"/>
            <family val="2"/>
          </rPr>
          <t xml:space="preserve"> YEAR SEPTEMBER SHOWN ON THE CORRESPONDING SPREADSHEET.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6" authorId="0" shapeId="0" xr:uid="{00000000-0006-0000-0400-000007000000}">
      <text>
        <r>
          <rPr>
            <b/>
            <sz val="8"/>
            <color indexed="81"/>
            <rFont val="Tahoma"/>
            <family val="2"/>
          </rPr>
          <t xml:space="preserve">DCWASA: </t>
        </r>
        <r>
          <rPr>
            <sz val="8"/>
            <color indexed="81"/>
            <rFont val="Tahoma"/>
            <family val="2"/>
          </rPr>
          <t xml:space="preserve">IN THE </t>
        </r>
        <r>
          <rPr>
            <b/>
            <sz val="8"/>
            <color indexed="81"/>
            <rFont val="Tahoma"/>
            <family val="2"/>
          </rPr>
          <t>LINKED</t>
        </r>
        <r>
          <rPr>
            <sz val="8"/>
            <color indexed="81"/>
            <rFont val="Tahoma"/>
            <family val="2"/>
          </rPr>
          <t xml:space="preserve"> CELLS SHOWN IN </t>
        </r>
        <r>
          <rPr>
            <sz val="8"/>
            <color indexed="12"/>
            <rFont val="Tahoma"/>
            <family val="2"/>
          </rPr>
          <t>BLUE</t>
        </r>
        <r>
          <rPr>
            <sz val="8"/>
            <color indexed="81"/>
            <rFont val="Tahoma"/>
            <family val="2"/>
          </rPr>
          <t xml:space="preserve">, REPLACE THE </t>
        </r>
        <r>
          <rPr>
            <b/>
            <sz val="8"/>
            <color indexed="81"/>
            <rFont val="Tahoma"/>
            <family val="2"/>
          </rPr>
          <t>ROW</t>
        </r>
        <r>
          <rPr>
            <sz val="8"/>
            <color indexed="81"/>
            <rFont val="Tahoma"/>
            <family val="2"/>
          </rPr>
          <t xml:space="preserve"> NUMBER FOR THE</t>
        </r>
        <r>
          <rPr>
            <b/>
            <sz val="8"/>
            <color indexed="81"/>
            <rFont val="Tahoma"/>
            <family val="2"/>
          </rPr>
          <t xml:space="preserve"> PREVIOUS</t>
        </r>
        <r>
          <rPr>
            <sz val="8"/>
            <color indexed="81"/>
            <rFont val="Tahoma"/>
            <family val="2"/>
          </rPr>
          <t xml:space="preserve"> YEAR SEPTEMBER WITH THE </t>
        </r>
        <r>
          <rPr>
            <b/>
            <sz val="8"/>
            <color indexed="81"/>
            <rFont val="Tahoma"/>
            <family val="2"/>
          </rPr>
          <t>ROW</t>
        </r>
        <r>
          <rPr>
            <sz val="8"/>
            <color indexed="81"/>
            <rFont val="Tahoma"/>
            <family val="2"/>
          </rPr>
          <t xml:space="preserve"> NUMBER FOR THE </t>
        </r>
        <r>
          <rPr>
            <b/>
            <sz val="8"/>
            <color indexed="81"/>
            <rFont val="Tahoma"/>
            <family val="2"/>
          </rPr>
          <t>CURRENT</t>
        </r>
        <r>
          <rPr>
            <sz val="8"/>
            <color indexed="81"/>
            <rFont val="Tahoma"/>
            <family val="2"/>
          </rPr>
          <t xml:space="preserve"> YEAR SEPTEMBER SHOWN ON THE CORRESPONDING SPREADSHEET.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6" authorId="0" shapeId="0" xr:uid="{00000000-0006-0000-0400-000008000000}">
      <text>
        <r>
          <rPr>
            <b/>
            <sz val="8"/>
            <color indexed="81"/>
            <rFont val="Tahoma"/>
            <family val="2"/>
          </rPr>
          <t xml:space="preserve">DCWASA: </t>
        </r>
        <r>
          <rPr>
            <sz val="8"/>
            <color indexed="81"/>
            <rFont val="Tahoma"/>
            <family val="2"/>
          </rPr>
          <t xml:space="preserve">IN THE </t>
        </r>
        <r>
          <rPr>
            <b/>
            <sz val="8"/>
            <color indexed="81"/>
            <rFont val="Tahoma"/>
            <family val="2"/>
          </rPr>
          <t>LINKED</t>
        </r>
        <r>
          <rPr>
            <sz val="8"/>
            <color indexed="81"/>
            <rFont val="Tahoma"/>
            <family val="2"/>
          </rPr>
          <t xml:space="preserve"> CELLS SHOWN IN </t>
        </r>
        <r>
          <rPr>
            <sz val="8"/>
            <color indexed="12"/>
            <rFont val="Tahoma"/>
            <family val="2"/>
          </rPr>
          <t>BLUE</t>
        </r>
        <r>
          <rPr>
            <sz val="8"/>
            <color indexed="81"/>
            <rFont val="Tahoma"/>
            <family val="2"/>
          </rPr>
          <t xml:space="preserve">, REPLACE THE </t>
        </r>
        <r>
          <rPr>
            <b/>
            <sz val="8"/>
            <color indexed="81"/>
            <rFont val="Tahoma"/>
            <family val="2"/>
          </rPr>
          <t>ROW</t>
        </r>
        <r>
          <rPr>
            <sz val="8"/>
            <color indexed="81"/>
            <rFont val="Tahoma"/>
            <family val="2"/>
          </rPr>
          <t xml:space="preserve"> NUMBER FOR THE</t>
        </r>
        <r>
          <rPr>
            <b/>
            <sz val="8"/>
            <color indexed="81"/>
            <rFont val="Tahoma"/>
            <family val="2"/>
          </rPr>
          <t xml:space="preserve"> PREVIOUS</t>
        </r>
        <r>
          <rPr>
            <sz val="8"/>
            <color indexed="81"/>
            <rFont val="Tahoma"/>
            <family val="2"/>
          </rPr>
          <t xml:space="preserve"> YEAR SEPTEMBER WITH THE </t>
        </r>
        <r>
          <rPr>
            <b/>
            <sz val="8"/>
            <color indexed="81"/>
            <rFont val="Tahoma"/>
            <family val="2"/>
          </rPr>
          <t>ROW</t>
        </r>
        <r>
          <rPr>
            <sz val="8"/>
            <color indexed="81"/>
            <rFont val="Tahoma"/>
            <family val="2"/>
          </rPr>
          <t xml:space="preserve"> NUMBER FOR THE </t>
        </r>
        <r>
          <rPr>
            <b/>
            <sz val="8"/>
            <color indexed="81"/>
            <rFont val="Tahoma"/>
            <family val="2"/>
          </rPr>
          <t>CURRENT</t>
        </r>
        <r>
          <rPr>
            <sz val="8"/>
            <color indexed="81"/>
            <rFont val="Tahoma"/>
            <family val="2"/>
          </rPr>
          <t xml:space="preserve"> YEAR SEPTEMBER SHOWN ON THE CORRESPONDING SPREADSHEET.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14" authorId="1" shapeId="0" xr:uid="{00000000-0006-0000-0400-000009000000}">
      <text>
        <r>
          <rPr>
            <sz val="8"/>
            <color indexed="81"/>
            <rFont val="Tahoma"/>
            <family val="2"/>
          </rPr>
          <t xml:space="preserve">D.C. FLOW = 35.7% OF REPORTED LITTLE FALLS FLOW.
</t>
        </r>
      </text>
    </comment>
    <comment ref="E19" authorId="1" shapeId="0" xr:uid="{00000000-0006-0000-0400-00000A000000}">
      <text>
        <r>
          <rPr>
            <sz val="8"/>
            <color indexed="81"/>
            <rFont val="Tahoma"/>
            <family val="2"/>
          </rPr>
          <t xml:space="preserve">MD UPI METERED FLOW 100% WSSC FLOW.
</t>
        </r>
      </text>
    </comment>
    <comment ref="L27" authorId="1" shapeId="0" xr:uid="{00000000-0006-0000-0400-00000B000000}">
      <text>
        <r>
          <rPr>
            <sz val="8"/>
            <color indexed="81"/>
            <rFont val="Tahoma"/>
            <family val="2"/>
          </rPr>
          <t xml:space="preserve">D.C. FLOW = 11% OF WSSC REPORTED FLOW.
</t>
        </r>
      </text>
    </comment>
    <comment ref="L31" authorId="1" shapeId="0" xr:uid="{00000000-0006-0000-0400-00000C000000}">
      <text>
        <r>
          <rPr>
            <sz val="8"/>
            <color indexed="81"/>
            <rFont val="Tahoma"/>
            <family val="2"/>
          </rPr>
          <t xml:space="preserve">D.C. FLOW = 19% OF WSSC REPORTED FLOW.
</t>
        </r>
      </text>
    </comment>
    <comment ref="L36" authorId="1" shapeId="0" xr:uid="{00000000-0006-0000-0400-00000D000000}">
      <text>
        <r>
          <rPr>
            <sz val="8"/>
            <color indexed="81"/>
            <rFont val="Tahoma"/>
            <family val="2"/>
          </rPr>
          <t xml:space="preserve">0.050 MGD CONSTANT
</t>
        </r>
      </text>
    </comment>
    <comment ref="L38" authorId="1" shapeId="0" xr:uid="{00000000-0006-0000-0400-00000E000000}">
      <text>
        <r>
          <rPr>
            <sz val="8"/>
            <color indexed="81"/>
            <rFont val="Tahoma"/>
            <family val="2"/>
          </rPr>
          <t xml:space="preserve">D.C. FLOW = 75% OF WSSC REPORTED FLOW.
</t>
        </r>
      </text>
    </comment>
    <comment ref="E41" authorId="1" shapeId="0" xr:uid="{00000000-0006-0000-0400-00000F000000}">
      <text>
        <r>
          <rPr>
            <sz val="8"/>
            <color indexed="81"/>
            <rFont val="Tahoma"/>
            <family val="2"/>
          </rPr>
          <t xml:space="preserve">0.195 MGD FROM YR_HC_RPT WSSC FLOW - PINEHURST RUN/ROCK CREEK (SUM OF LINES 8+9+10)
</t>
        </r>
      </text>
    </comment>
    <comment ref="L41" authorId="1" shapeId="0" xr:uid="{00000000-0006-0000-0400-000010000000}">
      <text>
        <r>
          <rPr>
            <sz val="8"/>
            <color indexed="81"/>
            <rFont val="Tahoma"/>
            <family val="2"/>
          </rPr>
          <t xml:space="preserve">D.C. FLOW = 12% OF WSSC REPORTED FLOW.
</t>
        </r>
      </text>
    </comment>
    <comment ref="L43" authorId="1" shapeId="0" xr:uid="{00000000-0006-0000-0400-000011000000}">
      <text>
        <r>
          <rPr>
            <sz val="8"/>
            <color indexed="81"/>
            <rFont val="Tahoma"/>
            <family val="2"/>
          </rPr>
          <t xml:space="preserve">D.C. FLOW = 18% OF WSSC REPORTED FLOW.
</t>
        </r>
      </text>
    </comment>
    <comment ref="E44" authorId="1" shapeId="0" xr:uid="{00000000-0006-0000-0400-000012000000}">
      <text>
        <r>
          <rPr>
            <sz val="8"/>
            <color indexed="81"/>
            <rFont val="Tahoma"/>
            <family val="2"/>
          </rPr>
          <t>6.970 MGD FIXED FLOW
FOR WSSC THRU RELIEF SEWER.</t>
        </r>
      </text>
    </comment>
    <comment ref="L45" authorId="1" shapeId="0" xr:uid="{00000000-0006-0000-0400-000013000000}">
      <text>
        <r>
          <rPr>
            <sz val="8"/>
            <color indexed="81"/>
            <rFont val="Tahoma"/>
            <family val="2"/>
          </rPr>
          <t xml:space="preserve">D.C. FLOW = 18% OF WSSC REPORTED FLOW.
</t>
        </r>
      </text>
    </comment>
    <comment ref="E47" authorId="1" shapeId="0" xr:uid="{00000000-0006-0000-0400-000014000000}">
      <text>
        <r>
          <rPr>
            <sz val="8"/>
            <color indexed="81"/>
            <rFont val="Tahoma"/>
            <family val="2"/>
          </rPr>
          <t xml:space="preserve"> 0.082 MGD FROM   YR_HC_RPT WSSC FLOW - BROAD BRANCH/ ROCK CREEK CELL R27
</t>
        </r>
      </text>
    </comment>
    <comment ref="L47" authorId="1" shapeId="0" xr:uid="{00000000-0006-0000-0400-000015000000}">
      <text>
        <r>
          <rPr>
            <sz val="8"/>
            <color indexed="81"/>
            <rFont val="Tahoma"/>
            <family val="2"/>
          </rPr>
          <t xml:space="preserve">D.C. FLOW = 31% OF WSSC REPORTED FLOW.
</t>
        </r>
      </text>
    </comment>
    <comment ref="E48" authorId="1" shapeId="0" xr:uid="{00000000-0006-0000-0400-000016000000}">
      <text>
        <r>
          <rPr>
            <sz val="8"/>
            <color indexed="81"/>
            <rFont val="Tahoma"/>
            <family val="2"/>
          </rPr>
          <t>17.180 MGD FIXED FLOW
FOR WSSC THRU RELIEF SEWER</t>
        </r>
      </text>
    </comment>
    <comment ref="L49" authorId="1" shapeId="0" xr:uid="{00000000-0006-0000-0400-000017000000}">
      <text>
        <r>
          <rPr>
            <sz val="8"/>
            <color indexed="81"/>
            <rFont val="Tahoma"/>
            <family val="2"/>
          </rPr>
          <t xml:space="preserve">D.C. FLOW = 32% OF WSSC REPORTED FLOW.
</t>
        </r>
      </text>
    </comment>
    <comment ref="L51" authorId="1" shapeId="0" xr:uid="{00000000-0006-0000-0400-000018000000}">
      <text>
        <r>
          <rPr>
            <sz val="8"/>
            <color indexed="81"/>
            <rFont val="Tahoma"/>
            <family val="2"/>
          </rPr>
          <t xml:space="preserve">D.C. FLOW = 37% OF WSSC REPORTED FLOW.
</t>
        </r>
      </text>
    </comment>
    <comment ref="L54" authorId="1" shapeId="0" xr:uid="{00000000-0006-0000-0400-000019000000}">
      <text>
        <r>
          <rPr>
            <sz val="8"/>
            <color indexed="81"/>
            <rFont val="Tahoma"/>
            <family val="2"/>
          </rPr>
          <t xml:space="preserve">D.C. FLOW = 52% OF WSSC REPORTED FLOW.
</t>
        </r>
      </text>
    </comment>
    <comment ref="L58" authorId="1" shapeId="0" xr:uid="{00000000-0006-0000-0400-00001A000000}">
      <text>
        <r>
          <rPr>
            <sz val="8"/>
            <color indexed="81"/>
            <rFont val="Tahoma"/>
            <family val="2"/>
          </rPr>
          <t xml:space="preserve">D.C. FLOW = 52% OF WSSC REPORTED FLOW.
</t>
        </r>
      </text>
    </comment>
    <comment ref="L60" authorId="1" shapeId="0" xr:uid="{00000000-0006-0000-0400-00001B000000}">
      <text>
        <r>
          <rPr>
            <sz val="8"/>
            <color indexed="81"/>
            <rFont val="Tahoma"/>
            <family val="2"/>
          </rPr>
          <t xml:space="preserve">D.C. FLOW = 85% OF WSSC REPORTED FLOW.
</t>
        </r>
      </text>
    </comment>
    <comment ref="L62" authorId="1" shapeId="0" xr:uid="{00000000-0006-0000-0400-00001C000000}">
      <text>
        <r>
          <rPr>
            <sz val="8"/>
            <color indexed="81"/>
            <rFont val="Tahoma"/>
            <family val="2"/>
          </rPr>
          <t xml:space="preserve">D.C. FLOW = 85% OF WSSC REPORTED FLOW + ROCK CREEK PSTA FLOW.
</t>
        </r>
      </text>
    </comment>
    <comment ref="L63" authorId="1" shapeId="0" xr:uid="{00000000-0006-0000-0400-00001D000000}">
      <text>
        <r>
          <rPr>
            <sz val="8"/>
            <color indexed="81"/>
            <rFont val="Tahoma"/>
            <family val="2"/>
          </rPr>
          <t xml:space="preserve">D.C. FLOW = 19% OF WSSC REPORTED FLOW.
</t>
        </r>
      </text>
    </comment>
    <comment ref="L75" authorId="1" shapeId="0" xr:uid="{00000000-0006-0000-0400-00001E000000}">
      <text>
        <r>
          <rPr>
            <sz val="8"/>
            <color indexed="81"/>
            <rFont val="Tahoma"/>
            <family val="2"/>
          </rPr>
          <t xml:space="preserve">D.C. FLOW = AVG. OF UPPER ANACOSTIA &amp; POPLAR POINT PSTA. FLOWS LESS(-) WSSC FLOW.
</t>
        </r>
      </text>
    </comment>
    <comment ref="L79" authorId="1" shapeId="0" xr:uid="{00000000-0006-0000-0400-00001F000000}">
      <text>
        <r>
          <rPr>
            <sz val="8"/>
            <color indexed="81"/>
            <rFont val="Tahoma"/>
            <family val="2"/>
          </rPr>
          <t xml:space="preserve">D.C. FLOW - ANACOSTIA FORCEMAIN = VALLEY DR. METER FLOW + HOUSE COUNT FLOW. FROM YR_HC_RPT
</t>
        </r>
      </text>
    </comment>
    <comment ref="L91" authorId="1" shapeId="0" xr:uid="{00000000-0006-0000-0400-000020000000}">
      <text>
        <r>
          <rPr>
            <b/>
            <sz val="8"/>
            <color indexed="81"/>
            <rFont val="Tahoma"/>
            <family val="2"/>
          </rPr>
          <t>D.C. FLOW = SUM OF MAIN + "O" ST + POPLAR POINT PSTA. FLOWS LESS(-) WSSC FLOW</t>
        </r>
        <r>
          <rPr>
            <sz val="8"/>
            <color indexed="81"/>
            <rFont val="Arial"/>
            <family val="2"/>
          </rPr>
          <t xml:space="preserve">
</t>
        </r>
      </text>
    </comment>
    <comment ref="L117" authorId="1" shapeId="0" xr:uid="{00000000-0006-0000-0400-000021000000}">
      <text>
        <r>
          <rPr>
            <sz val="8"/>
            <color indexed="81"/>
            <rFont val="Tahoma"/>
            <family val="2"/>
          </rPr>
          <t>0.044  MGD (FIXED) - ARMY MAP NOT PART OF THIS FLOW. FROM YR_HC_RPT D.C. FLOW - LITTLE FALLS BRANCH.
T. RAMOS 5/08/08.</t>
        </r>
      </text>
    </comment>
    <comment ref="L119" authorId="1" shapeId="0" xr:uid="{00000000-0006-0000-0400-000022000000}">
      <text>
        <r>
          <rPr>
            <sz val="8"/>
            <color indexed="81"/>
            <rFont val="Tahoma"/>
            <family val="2"/>
          </rPr>
          <t>0.039 MGD FROM YR_HC_RPT 
D.C. FLOW - ROCK CREEK MAIN INTERCEPTOR. (SUM OF LINES 101D THRU 101G)</t>
        </r>
      </text>
    </comment>
    <comment ref="E120" authorId="1" shapeId="0" xr:uid="{00000000-0006-0000-0400-000023000000}">
      <text>
        <r>
          <rPr>
            <sz val="8"/>
            <color indexed="81"/>
            <rFont val="Tahoma"/>
            <family val="2"/>
          </rPr>
          <t xml:space="preserve">2.465 MGD FROM YR_HC_RPT WSSC FLOW - BEACH DRIVES/ ROCK CREEK. (SUM OF LINES 12 THRU 20)
</t>
        </r>
      </text>
    </comment>
    <comment ref="L121" authorId="1" shapeId="0" xr:uid="{00000000-0006-0000-0400-000024000000}">
      <text>
        <r>
          <rPr>
            <sz val="8"/>
            <color indexed="81"/>
            <rFont val="Tahoma"/>
            <family val="2"/>
          </rPr>
          <t>.028 MGD FROM YR_HC_RPT 
D.C. FLOW - WATTS BRANCH METER.</t>
        </r>
      </text>
    </comment>
    <comment ref="L127" authorId="0" shapeId="0" xr:uid="{00000000-0006-0000-0400-000025000000}">
      <text>
        <r>
          <rPr>
            <sz val="8"/>
            <color indexed="81"/>
            <rFont val="Tahoma"/>
            <family val="2"/>
          </rPr>
          <t xml:space="preserve">YR_HC_RPT$R$78
</t>
        </r>
      </text>
    </comment>
    <comment ref="D164" authorId="2" shapeId="0" xr:uid="{00000000-0006-0000-0400-000026000000}">
      <text>
        <r>
          <rPr>
            <sz val="8"/>
            <color indexed="81"/>
            <rFont val="Tahoma"/>
            <family val="2"/>
          </rPr>
          <t xml:space="preserve">BASED ON ALLOCATED ANNUAL AVERAGE FLOWS TO BLUE PLAINS. ALLOCATED FLOWS CHANGED WHEN BLUE PLAINS CERTIFIED CAPACITY CHANGED FROM 309 MGD to 370 MGD.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DCWASA</author>
    <author>tramos</author>
    <author>EWoldemariam</author>
    <author>Preferred Customer</author>
    <author>Antonio M. Ramos-Izquierdo</author>
  </authors>
  <commentList>
    <comment ref="F2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DCWASA:</t>
        </r>
        <r>
          <rPr>
            <sz val="8"/>
            <color indexed="81"/>
            <rFont val="Tahoma"/>
            <family val="2"/>
          </rPr>
          <t xml:space="preserve"> IN THE METERED FLOWS IN </t>
        </r>
        <r>
          <rPr>
            <sz val="8"/>
            <color indexed="12"/>
            <rFont val="Tahoma"/>
            <family val="2"/>
          </rPr>
          <t>BLUE</t>
        </r>
        <r>
          <rPr>
            <sz val="8"/>
            <color indexed="81"/>
            <rFont val="Tahoma"/>
            <family val="2"/>
          </rPr>
          <t xml:space="preserve"> REPLACE THE </t>
        </r>
        <r>
          <rPr>
            <b/>
            <sz val="8"/>
            <color indexed="81"/>
            <rFont val="Tahoma"/>
            <family val="2"/>
          </rPr>
          <t>ROW</t>
        </r>
        <r>
          <rPr>
            <sz val="8"/>
            <color indexed="81"/>
            <rFont val="Tahoma"/>
            <family val="2"/>
          </rPr>
          <t xml:space="preserve"> NUMBER FOR THE </t>
        </r>
        <r>
          <rPr>
            <b/>
            <sz val="8"/>
            <color indexed="81"/>
            <rFont val="Tahoma"/>
            <family val="2"/>
          </rPr>
          <t>PREVIOUS</t>
        </r>
        <r>
          <rPr>
            <sz val="8"/>
            <color indexed="81"/>
            <rFont val="Tahoma"/>
            <family val="2"/>
          </rPr>
          <t xml:space="preserve"> YEAR SEPTEMBER WITH THE </t>
        </r>
        <r>
          <rPr>
            <b/>
            <sz val="8"/>
            <color indexed="81"/>
            <rFont val="Tahoma"/>
            <family val="2"/>
          </rPr>
          <t>ROW</t>
        </r>
        <r>
          <rPr>
            <sz val="8"/>
            <color indexed="81"/>
            <rFont val="Tahoma"/>
            <family val="2"/>
          </rPr>
          <t xml:space="preserve"> NUMBER FOR THE </t>
        </r>
        <r>
          <rPr>
            <b/>
            <sz val="8"/>
            <color indexed="81"/>
            <rFont val="Tahoma"/>
            <family val="2"/>
          </rPr>
          <t>CURRENT</t>
        </r>
        <r>
          <rPr>
            <sz val="8"/>
            <color indexed="81"/>
            <rFont val="Tahoma"/>
            <family val="2"/>
          </rPr>
          <t xml:space="preserve"> YEAR SEPTEMBER SHOWN ON THE </t>
        </r>
        <r>
          <rPr>
            <b/>
            <sz val="8"/>
            <color indexed="81"/>
            <rFont val="Tahoma"/>
            <family val="2"/>
          </rPr>
          <t>WSSC_ALL</t>
        </r>
        <r>
          <rPr>
            <sz val="8"/>
            <color indexed="81"/>
            <rFont val="Tahoma"/>
            <family val="2"/>
          </rPr>
          <t xml:space="preserve"> SPREADSHEET.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1" shapeId="0" xr:uid="{00000000-0006-0000-0500-000002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317</t>
        </r>
      </text>
    </comment>
    <comment ref="L8" authorId="1" shapeId="0" xr:uid="{00000000-0006-0000-0500-000003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28.956
</t>
        </r>
      </text>
    </comment>
    <comment ref="N8" authorId="1" shapeId="0" xr:uid="{00000000-0006-0000-0500-000004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345.065</t>
        </r>
      </text>
    </comment>
    <comment ref="H9" authorId="2" shapeId="0" xr:uid="{00000000-0006-0000-0500-000005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0</t>
        </r>
      </text>
    </comment>
    <comment ref="L9" authorId="2" shapeId="0" xr:uid="{00000000-0006-0000-0500-000006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0</t>
        </r>
      </text>
    </comment>
    <comment ref="J10" authorId="2" shapeId="0" xr:uid="{00000000-0006-0000-0500-000007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1.332</t>
        </r>
      </text>
    </comment>
    <comment ref="N10" authorId="1" shapeId="0" xr:uid="{00000000-0006-0000-0500-000008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24.332
</t>
        </r>
      </text>
    </comment>
    <comment ref="L11" authorId="1" shapeId="0" xr:uid="{00000000-0006-0000-0500-000009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 5.196</t>
        </r>
      </text>
    </comment>
    <comment ref="N11" authorId="1" shapeId="0" xr:uid="{00000000-0006-0000-0500-00000A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32.966</t>
        </r>
      </text>
    </comment>
    <comment ref="C18" authorId="1" shapeId="0" xr:uid="{00000000-0006-0000-0500-00000B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5/08/08 - ARMY MAP SERVICE LINE CHANGED TO MACARTHUR BLVD. CONN. SINCE ARMY MAP SERVICE  IS BILLED FOR WATER &amp; SEWER BY DCWASA, NO LONGER WILL BE SHOWN IN REPORT. FLOW HAS BEEN DEDUCTED FROM WSSC'S FLOWS SINCE 1987, PER SHARI D.(WSSC).</t>
        </r>
      </text>
    </comment>
    <comment ref="L18" authorId="3" shapeId="0" xr:uid="{00000000-0006-0000-0500-00000C000000}">
      <text>
        <r>
          <rPr>
            <sz val="8"/>
            <color indexed="81"/>
            <rFont val="Tahoma"/>
            <family val="2"/>
          </rPr>
          <t>FROM WATER/METERING/MILITARY ARMY MAP SERVICE.
TOTAL CONSUMPTION FOR THE YEAR (IN GALLONS)/ 125000 GLS PER UNIT = HOUSE COUNT (HC)</t>
        </r>
      </text>
    </comment>
    <comment ref="H22" authorId="1" shapeId="0" xr:uid="{00000000-0006-0000-0500-00000D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47</t>
        </r>
      </text>
    </comment>
    <comment ref="J22" authorId="2" shapeId="0" xr:uid="{00000000-0006-0000-0500-00000E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135</t>
        </r>
      </text>
    </comment>
    <comment ref="L22" authorId="1" shapeId="0" xr:uid="{00000000-0006-0000-0500-00000F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 247.54</t>
        </r>
      </text>
    </comment>
    <comment ref="N22" authorId="1" shapeId="0" xr:uid="{00000000-0006-0000-0500-000010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200.02</t>
        </r>
      </text>
    </comment>
    <comment ref="H23" authorId="2" shapeId="0" xr:uid="{00000000-0006-0000-0500-000011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0</t>
        </r>
      </text>
    </comment>
    <comment ref="J23" authorId="2" shapeId="0" xr:uid="{00000000-0006-0000-0500-000012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0</t>
        </r>
      </text>
    </comment>
    <comment ref="L23" authorId="2" shapeId="0" xr:uid="{00000000-0006-0000-0500-000013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0</t>
        </r>
      </text>
    </comment>
    <comment ref="H24" authorId="1" shapeId="0" xr:uid="{00000000-0006-0000-0500-000014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36
</t>
        </r>
      </text>
    </comment>
    <comment ref="N24" authorId="1" shapeId="0" xr:uid="{00000000-0006-0000-0500-000015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37</t>
        </r>
      </text>
    </comment>
    <comment ref="H29" authorId="1" shapeId="0" xr:uid="{00000000-0006-0000-0500-000016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493</t>
        </r>
      </text>
    </comment>
    <comment ref="L29" authorId="1" shapeId="0" xr:uid="{00000000-0006-0000-0500-000017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16.46</t>
        </r>
      </text>
    </comment>
    <comment ref="N29" authorId="1" shapeId="0" xr:uid="{00000000-0006-0000-0500-000018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502.95</t>
        </r>
      </text>
    </comment>
    <comment ref="H45" authorId="2" shapeId="0" xr:uid="{00000000-0006-0000-0500-000019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88</t>
        </r>
      </text>
    </comment>
    <comment ref="L45" authorId="2" shapeId="0" xr:uid="{00000000-0006-0000-0500-00001A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6.38
</t>
        </r>
      </text>
    </comment>
    <comment ref="N45" authorId="1" shapeId="0" xr:uid="{00000000-0006-0000-0500-00001B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159.02</t>
        </r>
      </text>
    </comment>
    <comment ref="H46" authorId="2" shapeId="0" xr:uid="{00000000-0006-0000-0500-00001C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348.64</t>
        </r>
      </text>
    </comment>
    <comment ref="L46" authorId="1" shapeId="0" xr:uid="{00000000-0006-0000-0500-00001D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20.93</t>
        </r>
      </text>
    </comment>
    <comment ref="N46" authorId="1" shapeId="0" xr:uid="{00000000-0006-0000-0500-00001E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792.94</t>
        </r>
      </text>
    </comment>
    <comment ref="H47" authorId="1" shapeId="0" xr:uid="{00000000-0006-0000-0500-00001F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479</t>
        </r>
      </text>
    </comment>
    <comment ref="L47" authorId="1" shapeId="0" xr:uid="{00000000-0006-0000-0500-000020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325</t>
        </r>
      </text>
    </comment>
    <comment ref="N47" authorId="1" shapeId="0" xr:uid="{00000000-0006-0000-0500-000021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2380.24</t>
        </r>
      </text>
    </comment>
    <comment ref="J48" authorId="2" shapeId="0" xr:uid="{00000000-0006-0000-0500-000022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286
</t>
        </r>
      </text>
    </comment>
    <comment ref="H49" authorId="2" shapeId="0" xr:uid="{00000000-0006-0000-0500-000023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65</t>
        </r>
      </text>
    </comment>
    <comment ref="L49" authorId="1" shapeId="0" xr:uid="{00000000-0006-0000-0500-000024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1275.41</t>
        </r>
      </text>
    </comment>
    <comment ref="N49" authorId="1" shapeId="0" xr:uid="{00000000-0006-0000-0500-000025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2011.81</t>
        </r>
      </text>
    </comment>
    <comment ref="L50" authorId="2" shapeId="0" xr:uid="{00000000-0006-0000-0500-000026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Was215.36
</t>
        </r>
      </text>
    </comment>
    <comment ref="J51" authorId="2" shapeId="0" xr:uid="{00000000-0006-0000-0500-000027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0</t>
        </r>
      </text>
    </comment>
    <comment ref="L51" authorId="2" shapeId="0" xr:uid="{00000000-0006-0000-0500-000028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0</t>
        </r>
      </text>
    </comment>
    <comment ref="J52" authorId="1" shapeId="0" xr:uid="{00000000-0006-0000-0500-000029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112</t>
        </r>
      </text>
    </comment>
    <comment ref="L52" authorId="1" shapeId="0" xr:uid="{00000000-0006-0000-0500-00002A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98.75
</t>
        </r>
      </text>
    </comment>
    <comment ref="N52" authorId="1" shapeId="0" xr:uid="{00000000-0006-0000-0500-00002B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324.489</t>
        </r>
      </text>
    </comment>
    <comment ref="J53" authorId="2" shapeId="0" xr:uid="{00000000-0006-0000-0500-00002C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0 </t>
        </r>
      </text>
    </comment>
    <comment ref="L53" authorId="2" shapeId="0" xr:uid="{00000000-0006-0000-0500-00002D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0</t>
        </r>
      </text>
    </comment>
    <comment ref="L60" authorId="1" shapeId="0" xr:uid="{00000000-0006-0000-0500-00002E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42.46
</t>
        </r>
      </text>
    </comment>
    <comment ref="N60" authorId="1" shapeId="0" xr:uid="{00000000-0006-0000-0500-00002F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160.41</t>
        </r>
      </text>
    </comment>
    <comment ref="L68" authorId="0" shapeId="0" xr:uid="{00000000-0006-0000-0500-000030000000}">
      <text>
        <r>
          <rPr>
            <b/>
            <sz val="8"/>
            <color indexed="81"/>
            <rFont val="Tahoma"/>
            <family val="2"/>
          </rPr>
          <t>DCWASA: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71" authorId="0" shapeId="0" xr:uid="{00000000-0006-0000-0500-000031000000}">
      <text>
        <r>
          <rPr>
            <b/>
            <sz val="8"/>
            <color indexed="81"/>
            <rFont val="Tahoma"/>
            <family val="2"/>
          </rPr>
          <t>DCWASA: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6" authorId="2" shapeId="0" xr:uid="{00000000-0006-0000-0500-000032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409</t>
        </r>
      </text>
    </comment>
    <comment ref="L86" authorId="1" shapeId="0" xr:uid="{00000000-0006-0000-0500-000033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53.585</t>
        </r>
      </text>
    </comment>
    <comment ref="L89" authorId="1" shapeId="0" xr:uid="{00000000-0006-0000-0500-000034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 28.956</t>
        </r>
      </text>
    </comment>
    <comment ref="L90" authorId="2" shapeId="0" xr:uid="{00000000-0006-0000-0500-000035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55.044</t>
        </r>
      </text>
    </comment>
    <comment ref="L93" authorId="1" shapeId="0" xr:uid="{00000000-0006-0000-0500-000036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6.827</t>
        </r>
      </text>
    </comment>
    <comment ref="N93" authorId="1" shapeId="0" xr:uid="{00000000-0006-0000-0500-000037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26.827</t>
        </r>
      </text>
    </comment>
    <comment ref="L94" authorId="1" shapeId="0" xr:uid="{00000000-0006-0000-0500-000038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2.628</t>
        </r>
      </text>
    </comment>
    <comment ref="N94" authorId="1" shapeId="0" xr:uid="{00000000-0006-0000-0500-000039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88.628</t>
        </r>
      </text>
    </comment>
    <comment ref="L95" authorId="1" shapeId="0" xr:uid="{00000000-0006-0000-0500-00003A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1.572</t>
        </r>
      </text>
    </comment>
    <comment ref="N95" authorId="1" shapeId="0" xr:uid="{00000000-0006-0000-0500-00003B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16.572</t>
        </r>
      </text>
    </comment>
    <comment ref="J97" authorId="1" shapeId="0" xr:uid="{00000000-0006-0000-0500-00003C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36</t>
        </r>
      </text>
    </comment>
    <comment ref="L97" authorId="1" shapeId="0" xr:uid="{00000000-0006-0000-0500-00003D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3.3</t>
        </r>
      </text>
    </comment>
    <comment ref="N97" authorId="1" shapeId="0" xr:uid="{00000000-0006-0000-0500-00003E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40.3</t>
        </r>
      </text>
    </comment>
    <comment ref="L98" authorId="1" shapeId="0" xr:uid="{00000000-0006-0000-0500-00003F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3.12</t>
        </r>
      </text>
    </comment>
    <comment ref="N98" authorId="1" shapeId="0" xr:uid="{00000000-0006-0000-0500-000040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3.12</t>
        </r>
      </text>
    </comment>
    <comment ref="L99" authorId="1" shapeId="0" xr:uid="{00000000-0006-0000-0500-000041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4.2</t>
        </r>
      </text>
    </comment>
    <comment ref="N99" authorId="1" shapeId="0" xr:uid="{00000000-0006-0000-0500-000042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4.2</t>
        </r>
      </text>
    </comment>
    <comment ref="H103" authorId="2" shapeId="0" xr:uid="{00000000-0006-0000-0500-000043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0</t>
        </r>
      </text>
    </comment>
    <comment ref="H111" authorId="1" shapeId="0" xr:uid="{00000000-0006-0000-0500-000044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330</t>
        </r>
      </text>
    </comment>
    <comment ref="J111" authorId="2" shapeId="0" xr:uid="{00000000-0006-0000-0500-000045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 Blank</t>
        </r>
      </text>
    </comment>
    <comment ref="L111" authorId="1" shapeId="0" xr:uid="{00000000-0006-0000-0500-000046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5.194</t>
        </r>
      </text>
    </comment>
    <comment ref="N111" authorId="1" shapeId="0" xr:uid="{00000000-0006-0000-0500-000047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330</t>
        </r>
      </text>
    </comment>
    <comment ref="L113" authorId="1" shapeId="0" xr:uid="{00000000-0006-0000-0500-000048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0.132</t>
        </r>
      </text>
    </comment>
    <comment ref="N113" authorId="1" shapeId="0" xr:uid="{00000000-0006-0000-0500-000049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151.524</t>
        </r>
      </text>
    </comment>
    <comment ref="J115" authorId="1" shapeId="0" xr:uid="{00000000-0006-0000-0500-00004A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0
</t>
        </r>
      </text>
    </comment>
    <comment ref="L115" authorId="1" shapeId="0" xr:uid="{00000000-0006-0000-0500-00004B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6.366</t>
        </r>
      </text>
    </comment>
    <comment ref="N115" authorId="1" shapeId="0" xr:uid="{00000000-0006-0000-0500-00004C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148.96</t>
        </r>
      </text>
    </comment>
    <comment ref="H132" authorId="1" shapeId="0" xr:uid="{00000000-0006-0000-0500-00004D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2</t>
        </r>
      </text>
    </comment>
    <comment ref="L132" authorId="1" shapeId="0" xr:uid="{00000000-0006-0000-0500-00004E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5.832</t>
        </r>
      </text>
    </comment>
    <comment ref="H134" authorId="2" shapeId="0" xr:uid="{00000000-0006-0000-0500-00004F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94</t>
        </r>
      </text>
    </comment>
    <comment ref="J134" authorId="1" shapeId="0" xr:uid="{00000000-0006-0000-0500-000050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50</t>
        </r>
      </text>
    </comment>
    <comment ref="H137" authorId="2" shapeId="0" xr:uid="{00000000-0006-0000-0500-000051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20 6</t>
        </r>
      </text>
    </comment>
    <comment ref="L137" authorId="1" shapeId="0" xr:uid="{00000000-0006-0000-0500-000052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 0.504</t>
        </r>
      </text>
    </comment>
    <comment ref="H138" authorId="1" shapeId="0" xr:uid="{00000000-0006-0000-0500-000053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112</t>
        </r>
      </text>
    </comment>
    <comment ref="L138" authorId="1" shapeId="0" xr:uid="{00000000-0006-0000-0500-000054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3.78</t>
        </r>
      </text>
    </comment>
    <comment ref="H139" authorId="2" shapeId="0" xr:uid="{00000000-0006-0000-0500-000055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211</t>
        </r>
      </text>
    </comment>
    <comment ref="L139" authorId="1" shapeId="0" xr:uid="{00000000-0006-0000-0500-000056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WAS 51.468</t>
        </r>
      </text>
    </comment>
    <comment ref="R157" authorId="4" shapeId="0" xr:uid="{00000000-0006-0000-0500-000057000000}">
      <text>
        <r>
          <rPr>
            <sz val="8"/>
            <color indexed="81"/>
            <rFont val="Tahoma"/>
            <family val="2"/>
          </rPr>
          <t>= TOTAL WSSC FLOW - 
DC METERED FLOW THRU WSSC. THIS FLOW MINUS (-) DC H.C = NET WSSC FLOW TO B.P.</t>
        </r>
      </text>
    </comment>
    <comment ref="N158" authorId="3" shapeId="0" xr:uid="{00000000-0006-0000-0500-000058000000}">
      <text>
        <r>
          <rPr>
            <sz val="8"/>
            <color indexed="81"/>
            <rFont val="Tahoma"/>
            <family val="2"/>
          </rPr>
          <t xml:space="preserve">INCLUDES ARMY MAP SERVICE LINE N18
</t>
        </r>
      </text>
    </comment>
    <comment ref="N159" authorId="3" shapeId="0" xr:uid="{00000000-0006-0000-0500-000059000000}">
      <text>
        <r>
          <rPr>
            <sz val="8"/>
            <color indexed="81"/>
            <rFont val="Tahoma"/>
            <family val="2"/>
          </rPr>
          <t xml:space="preserve">D.C. H.C. LESS "ARMY MAP SERVICE" EQUIVALENT FROM WATER METERING (VARIES)=FIXED H.C.
</t>
        </r>
      </text>
    </comment>
    <comment ref="R159" authorId="3" shapeId="0" xr:uid="{00000000-0006-0000-0500-00005A000000}">
      <text>
        <r>
          <rPr>
            <sz val="8"/>
            <color indexed="81"/>
            <rFont val="Tahoma"/>
            <family val="2"/>
          </rPr>
          <t xml:space="preserve">FIXED FLOW, DOES NOT INCLUDE "ARMY MAP SERVICE" WATER METERING WHICH VARIES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Preferred Customer</author>
    <author>Antonio M. Ramos-Izquierdo</author>
    <author>DCWASA</author>
    <author>tramos</author>
    <author>EWoldemariam</author>
  </authors>
  <commentList>
    <comment ref="AH1" authorId="0" shapeId="0" xr:uid="{00000000-0006-0000-0B00-000001000000}">
      <text>
        <r>
          <rPr>
            <sz val="8"/>
            <color indexed="81"/>
            <rFont val="Tahoma"/>
            <family val="2"/>
          </rPr>
          <t xml:space="preserve">FLOW = SUM OF WSSC
ANACOSTIA PSTA 1&amp;2 FLOWS
</t>
        </r>
      </text>
    </comment>
    <comment ref="AW1" authorId="0" shapeId="0" xr:uid="{00000000-0006-0000-0B00-000002000000}">
      <text>
        <r>
          <rPr>
            <sz val="8"/>
            <color indexed="81"/>
            <rFont val="Tahoma"/>
            <family val="2"/>
          </rPr>
          <t>HOUSE COUNT FLOW = 1.535 MGD
HC #56 (HOUSE COUNT REPORT)
METERED FLOW REPORTED
BEGINNING - FEB. 1997</t>
        </r>
      </text>
    </comment>
    <comment ref="BB1" authorId="0" shapeId="0" xr:uid="{00000000-0006-0000-0B00-000003000000}">
      <text>
        <r>
          <rPr>
            <sz val="8"/>
            <color indexed="81"/>
            <rFont val="Tahoma"/>
            <family val="2"/>
          </rPr>
          <t xml:space="preserve">HOUSE COUNT FLOW = 0.664 MGD
HC #58 (HOUSE COUNT REPORT)
METERED FLOW REPORTED
BEGINNING - FEB. 1997
</t>
        </r>
      </text>
    </comment>
    <comment ref="BG1" authorId="0" shapeId="0" xr:uid="{00000000-0006-0000-0B00-000004000000}">
      <text>
        <r>
          <rPr>
            <sz val="8"/>
            <color indexed="81"/>
            <rFont val="Tahoma"/>
            <family val="2"/>
          </rPr>
          <t xml:space="preserve">HOUSE COUNT FLOW =0.718 MGD
HC #63 (HOUSE COUNT REPORT)
METERED FLOW REPORTED
BEGINNING - FEB. 1997
</t>
        </r>
      </text>
    </comment>
    <comment ref="BL1" authorId="0" shapeId="0" xr:uid="{00000000-0006-0000-0B00-000005000000}">
      <text>
        <r>
          <rPr>
            <sz val="8"/>
            <color indexed="81"/>
            <rFont val="Tahoma"/>
            <family val="2"/>
          </rPr>
          <t xml:space="preserve">"DOWN" REFERS TO AREAS FOR WHICH PROVISIONS WERE NOT MADE IN THE PLANNING OF THE POTOMAC INTERCEPTOR (P.I.)
ESSENTIALLY SEWERAGE SYSTEM AS EXISTED WITHIN THE D.C.  
</t>
        </r>
      </text>
    </comment>
    <comment ref="BQ1" authorId="0" shapeId="0" xr:uid="{00000000-0006-0000-0B00-000006000000}">
      <text>
        <r>
          <rPr>
            <sz val="8"/>
            <color indexed="81"/>
            <rFont val="Tahoma"/>
            <family val="2"/>
          </rPr>
          <t xml:space="preserve">HOUSE COUNT FLOW = 0.534 MGD
HC #607 (HOUSE COUNT REPORT)
METERED FLOW REPORTED
BEGINNING - FEB. 1997
</t>
        </r>
      </text>
    </comment>
    <comment ref="BV1" authorId="0" shapeId="0" xr:uid="{00000000-0006-0000-0B00-000007000000}">
      <text>
        <r>
          <rPr>
            <sz val="8"/>
            <color indexed="81"/>
            <rFont val="Tahoma"/>
            <family val="2"/>
          </rPr>
          <t xml:space="preserve">HOUSE COUNT FLOW = 0.283 MGD
HC #402 (HOUSE COUNT REPORT)
METERED FLOW REPORTED
BEGINNING - FEB. 1997
</t>
        </r>
      </text>
    </comment>
    <comment ref="CA1" authorId="0" shapeId="0" xr:uid="{00000000-0006-0000-0B00-000008000000}">
      <text>
        <r>
          <rPr>
            <sz val="8"/>
            <color indexed="81"/>
            <rFont val="Tahoma"/>
            <family val="2"/>
          </rPr>
          <t>HOUSE COUNT FLOW = 0.403 MGD
HC #406 (HOUSE COUNT REPORT)
METERED FLOW REPORTED BEGINNING - FEB.1997</t>
        </r>
      </text>
    </comment>
    <comment ref="CF1" authorId="0" shapeId="0" xr:uid="{00000000-0006-0000-0B00-000009000000}">
      <text>
        <r>
          <rPr>
            <sz val="8"/>
            <color indexed="81"/>
            <rFont val="Tahoma"/>
            <family val="2"/>
          </rPr>
          <t xml:space="preserve">BASED ON HOUSE COUNT EXCEPT FOR WATER METERING FOR "ARMY MAP SERVICE" WHICH IS CONVERTED FROM GALLONS (MONTHLY READINGS) TO H.C. INFO. IN YR_HC_RPT.
</t>
        </r>
      </text>
    </comment>
    <comment ref="CK1" authorId="1" shapeId="0" xr:uid="{00000000-0006-0000-0B00-00000A000000}">
      <text>
        <r>
          <rPr>
            <sz val="8"/>
            <color indexed="81"/>
            <rFont val="Tahoma"/>
            <family val="2"/>
          </rPr>
          <t xml:space="preserve">IN WSSC MONTHLY FLOW REPORT IS CALLED  "CJ DULLES"
</t>
        </r>
      </text>
    </comment>
    <comment ref="DC1" authorId="1" shapeId="0" xr:uid="{00000000-0006-0000-0B00-00000B000000}">
      <text>
        <r>
          <rPr>
            <sz val="8"/>
            <color indexed="81"/>
            <rFont val="Tahoma"/>
            <family val="2"/>
          </rPr>
          <t xml:space="preserve">IN WSSC MONTHLY REPORT IS CALLED PI COUNT (DIR. CONNECTIONS)
</t>
        </r>
      </text>
    </comment>
    <comment ref="DM1" authorId="0" shapeId="0" xr:uid="{00000000-0006-0000-0B00-00000C000000}">
      <text>
        <r>
          <rPr>
            <sz val="8"/>
            <color indexed="81"/>
            <rFont val="Tahoma"/>
            <family val="2"/>
          </rPr>
          <t xml:space="preserve">"DOWN" REFERS TO AREAS FOR WHICH PROVISIONS WERE NOT MADE IN THE PLANNING OF THE POTOMAC INTERCEPTOR (P.I.)
ESSENTIALLY SEWERAGE SYSTEM AS EXISTED WITHIN THE D.C.  
</t>
        </r>
      </text>
    </comment>
    <comment ref="BN16" authorId="1" shapeId="0" xr:uid="{00000000-0006-0000-0B00-00000D000000}">
      <text>
        <r>
          <rPr>
            <sz val="8"/>
            <color indexed="81"/>
            <rFont val="Tahoma"/>
            <family val="2"/>
          </rPr>
          <t>WSSC REPORTED FLOW IS 3.443 MGD AND IS BASED ON 364 DAYS (52 WEEKS) NOT 365 DAYS. SINCE THIS IS A FLOW BASED ON SEWAGE UNITS (H.C.), THE AVERAGE FLOW FOR THE YEAR IS= 3.443x364/365= 3.433 .</t>
        </r>
      </text>
    </comment>
    <comment ref="CG16" authorId="0" shapeId="0" xr:uid="{00000000-0006-0000-0B00-00000E000000}">
      <text>
        <r>
          <rPr>
            <sz val="8"/>
            <color indexed="81"/>
            <rFont val="Tahoma"/>
            <family val="2"/>
          </rPr>
          <t>ARMY MAP  MO. AVG. FROM WATER METERING REFLECTED. FIXED FLOW(H.C.) IS 1.376 MGD
FLOW FROM ARMY MAP = .158 MGD</t>
        </r>
      </text>
    </comment>
    <comment ref="CH16" authorId="0" shapeId="0" xr:uid="{00000000-0006-0000-0B00-00000F000000}">
      <text>
        <r>
          <rPr>
            <sz val="8"/>
            <color indexed="81"/>
            <rFont val="Tahoma"/>
            <family val="2"/>
          </rPr>
          <t>ARMY MAP 12 MO. AVG. FROM WATER METERING REFLECTED. FIXED FLOW(H.C.) IS 1.376 MGD
FLOW FROM ARMY MAP = .158 MGD</t>
        </r>
      </text>
    </comment>
    <comment ref="CG17" authorId="1" shapeId="0" xr:uid="{00000000-0006-0000-0B00-000010000000}">
      <text>
        <r>
          <rPr>
            <sz val="8"/>
            <color indexed="81"/>
            <rFont val="Tahoma"/>
            <family val="2"/>
          </rPr>
          <t>WSSC REPORTED FLOW IS 1.536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H17" authorId="1" shapeId="0" xr:uid="{00000000-0006-0000-0B00-000011000000}">
      <text>
        <r>
          <rPr>
            <sz val="8"/>
            <color indexed="81"/>
            <rFont val="Tahoma"/>
            <family val="2"/>
          </rPr>
          <t xml:space="preserve">WSSC REPORTED FLOW IS 1.536 MGD AND IS BASED ON 364 DAYS (52 WEEKS) NOT 365 DAYS. SINCE THIS IS A FLOW BASED ON SEWAGE UNITS (H.C.), THE AVERAGE FLOW FOR THE YEAR IS= 1.536x364/365= 1.532. </t>
        </r>
        <r>
          <rPr>
            <b/>
            <sz val="8"/>
            <color indexed="81"/>
            <rFont val="Tahoma"/>
            <family val="2"/>
          </rPr>
          <t>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G18" authorId="1" shapeId="0" xr:uid="{00000000-0006-0000-0B00-000012000000}">
      <text>
        <r>
          <rPr>
            <sz val="8"/>
            <color indexed="81"/>
            <rFont val="Tahoma"/>
            <family val="2"/>
          </rPr>
          <t>WSSC REPORTED FLOW IS 1.536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H18" authorId="1" shapeId="0" xr:uid="{00000000-0006-0000-0B00-000013000000}">
      <text>
        <r>
          <rPr>
            <sz val="8"/>
            <color indexed="81"/>
            <rFont val="Tahoma"/>
            <family val="2"/>
          </rPr>
          <t xml:space="preserve">WSSC REPORTED FLOW IS 1.536 MGD AND IS BASED ON 364 DAYS (52 WEEKS) NOT 365 DAYS. SINCE THIS IS A FLOW BASED ON SEWAGE UNITS (H.C.), THE AVERAGE FLOW FOR THE YEAR IS= 1.536x364/365= 1.532. </t>
        </r>
        <r>
          <rPr>
            <b/>
            <sz val="8"/>
            <color indexed="81"/>
            <rFont val="Tahoma"/>
            <family val="2"/>
          </rPr>
          <t>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G19" authorId="1" shapeId="0" xr:uid="{00000000-0006-0000-0B00-000014000000}">
      <text>
        <r>
          <rPr>
            <sz val="8"/>
            <color indexed="81"/>
            <rFont val="Tahoma"/>
            <family val="2"/>
          </rPr>
          <t>WSSC REPORTED FLOW IS 1.536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H19" authorId="1" shapeId="0" xr:uid="{00000000-0006-0000-0B00-000015000000}">
      <text>
        <r>
          <rPr>
            <sz val="8"/>
            <color indexed="81"/>
            <rFont val="Tahoma"/>
            <family val="2"/>
          </rPr>
          <t xml:space="preserve">WSSC REPORTED FLOW IS 1.536 MGD AND IS BASED ON 364 DAYS (52 WEEKS) NOT 365 DAYS. SINCE THIS IS A FLOW BASED ON SEWAGE UNITS (H.C.), THE AVERAGE FLOW FOR THE YEAR IS= 1.536x364/365= 1.532. </t>
        </r>
        <r>
          <rPr>
            <b/>
            <sz val="8"/>
            <color indexed="81"/>
            <rFont val="Tahoma"/>
            <family val="2"/>
          </rPr>
          <t>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E20" authorId="0" shapeId="0" xr:uid="{00000000-0006-0000-0B00-000016000000}">
      <text>
        <r>
          <rPr>
            <sz val="8"/>
            <color indexed="81"/>
            <rFont val="Tahoma"/>
            <family val="2"/>
          </rPr>
          <t xml:space="preserve">
0.573 MGD REFLECTED IN 199RECAP REPORT PER FAXED ADVANCED COPY OF WSSC MONTHLY REPORT. OFFICIAL REPORT DATED MARCH 17,1999 REVISED THE FLOW. </t>
        </r>
      </text>
    </comment>
    <comment ref="F20" authorId="0" shapeId="0" xr:uid="{00000000-0006-0000-0B00-000017000000}">
      <text>
        <r>
          <rPr>
            <sz val="8"/>
            <color indexed="81"/>
            <rFont val="Tahoma"/>
            <family val="2"/>
          </rPr>
          <t xml:space="preserve">
0.682 MGD REFLECTED IN 199RECAP REPORT PER FAXED ADVANCED COPY OF WSSC MONTHLY REPORT. OFFICIAL REPORT DATED MARCH 17,1999 REVISED THE FLOW. </t>
        </r>
      </text>
    </comment>
    <comment ref="G20" authorId="0" shapeId="0" xr:uid="{00000000-0006-0000-0B00-000018000000}">
      <text>
        <r>
          <rPr>
            <sz val="8"/>
            <color indexed="81"/>
            <rFont val="Tahoma"/>
            <family val="2"/>
          </rPr>
          <t xml:space="preserve">
9.000 MGD REFLECTED IN 199RECAP REPORT PER FAXED ADVANCED COPY OF WSSC MONTHLY REPORT. OFFICIAL REPORT DATED MARCH 17,1999 REVISED THE FLOW. </t>
        </r>
      </text>
    </comment>
    <comment ref="O20" authorId="0" shapeId="0" xr:uid="{00000000-0006-0000-0B00-000019000000}">
      <text>
        <r>
          <rPr>
            <sz val="8"/>
            <color indexed="81"/>
            <rFont val="Tahoma"/>
            <family val="2"/>
          </rPr>
          <t xml:space="preserve">
3.134 MGD REFLECTED IN 199RECAP REPORT PER FAXED ADVANCED COPY OF WSSC MONTHLY REPORT. OFFICIAL REPORT DATED MARCH 17,1999 REVISED THE FLOW. </t>
        </r>
      </text>
    </comment>
    <comment ref="P20" authorId="0" shapeId="0" xr:uid="{00000000-0006-0000-0B00-00001A000000}">
      <text>
        <r>
          <rPr>
            <sz val="8"/>
            <color indexed="81"/>
            <rFont val="Tahoma"/>
            <family val="2"/>
          </rPr>
          <t xml:space="preserve">
4.217 MGD REFLECTED IN 199RECAP REPORT PER FAXED ADVANCED COPY OF WSSC MONTHLY REPORT. OFFICIAL REPORT DATED MARCH 17,1999 REVISED THE FLOW. </t>
        </r>
      </text>
    </comment>
    <comment ref="T20" authorId="0" shapeId="0" xr:uid="{00000000-0006-0000-0B00-00001B000000}">
      <text>
        <r>
          <rPr>
            <sz val="8"/>
            <color indexed="81"/>
            <rFont val="Tahoma"/>
            <family val="2"/>
          </rPr>
          <t xml:space="preserve">
4.844 MGD REFLECTED IN 199RECAP REPORT PER FAXED ADVANCED COPY OF WSSC MONTHLY REPORT. OFFICIAL REPORT DATED MARCH 17,1999 REVISED THE FLOW. </t>
        </r>
      </text>
    </comment>
    <comment ref="U20" authorId="0" shapeId="0" xr:uid="{00000000-0006-0000-0B00-00001C000000}">
      <text>
        <r>
          <rPr>
            <sz val="8"/>
            <color indexed="81"/>
            <rFont val="Tahoma"/>
            <family val="2"/>
          </rPr>
          <t xml:space="preserve">
5.138 MGD REFLECTED IN 199RECAP REPORT PER FAXED ADVANCED COPY OF WSSC MONTHLY REPORT. OFFICIAL REPORT DATED MARCH 17,1999 REVISED THE FLOW. </t>
        </r>
      </text>
    </comment>
    <comment ref="Y20" authorId="0" shapeId="0" xr:uid="{00000000-0006-0000-0B00-00001D000000}">
      <text>
        <r>
          <rPr>
            <sz val="8"/>
            <color indexed="81"/>
            <rFont val="Tahoma"/>
            <family val="2"/>
          </rPr>
          <t xml:space="preserve">
19.529 MGD REFLECTED IN 199RECAP REPORT PER FAXED ADVANCED COPY OF WSSC MONTHLY REPORT. OFFICIAL REPORT DATED MARCH 17,1999 REVISED THE FLOW. </t>
        </r>
      </text>
    </comment>
    <comment ref="Z20" authorId="0" shapeId="0" xr:uid="{00000000-0006-0000-0B00-00001E000000}">
      <text>
        <r>
          <rPr>
            <sz val="8"/>
            <color indexed="81"/>
            <rFont val="Tahoma"/>
            <family val="2"/>
          </rPr>
          <t xml:space="preserve">
21.384 MGD REFLECTED IN 199RECAP REPORT PER FAXED ADVANCED COPY OF WSSC MONTHLY REPORT. OFFICIAL REPORT DATED MARCH 17,1999 REVISED THE FLOW. </t>
        </r>
      </text>
    </comment>
    <comment ref="AD20" authorId="0" shapeId="0" xr:uid="{00000000-0006-0000-0B00-00001F000000}">
      <text>
        <r>
          <rPr>
            <sz val="8"/>
            <color indexed="81"/>
            <rFont val="Tahoma"/>
            <family val="2"/>
          </rPr>
          <t xml:space="preserve">
24.372 MGD REFLECTED IN 199RECAP REPORT PER FAXED ADVANCED COPY OF WSSC MONTHLY REPORT. OFFICIAL REPORT DATED MARCH 17,1999 REVISED THE FLOW. </t>
        </r>
      </text>
    </comment>
    <comment ref="AE20" authorId="0" shapeId="0" xr:uid="{00000000-0006-0000-0B00-000020000000}">
      <text>
        <r>
          <rPr>
            <sz val="8"/>
            <color indexed="81"/>
            <rFont val="Tahoma"/>
            <family val="2"/>
          </rPr>
          <t xml:space="preserve">
26.587 MGD REFLECTED IN 199RECAP REPORT PER FAXED ADVANCED COPY OF WSSC MONTHLY REPORT. OFFICIAL REPORT DATED MARCH 17,1999 REVISED THE FLOW. </t>
        </r>
      </text>
    </comment>
    <comment ref="BC20" authorId="0" shapeId="0" xr:uid="{00000000-0006-0000-0B00-000021000000}">
      <text>
        <r>
          <rPr>
            <sz val="8"/>
            <color indexed="81"/>
            <rFont val="Tahoma"/>
            <family val="2"/>
          </rPr>
          <t xml:space="preserve">
.978 MGD REFLECTED IN 199RECAP REPORT PER FAXED ADVANCED COPY OF WSSC MONTHLY REPORT. OFFICIAL REPORT DATED MARCH 17,1999 REVISED THE FLOW. </t>
        </r>
      </text>
    </comment>
    <comment ref="BD20" authorId="0" shapeId="0" xr:uid="{00000000-0006-0000-0B00-000022000000}">
      <text>
        <r>
          <rPr>
            <sz val="8"/>
            <color indexed="81"/>
            <rFont val="Tahoma"/>
            <family val="2"/>
          </rPr>
          <t xml:space="preserve">
.889 MGD REFLECTED IN 199RECAP REPORT PER FAXED ADVANCED COPY OF WSSC MONTHLY REPORT. OFFICIAL REPORT DATED MARCH 17,1999 REVISED THE FLOW. </t>
        </r>
      </text>
    </comment>
    <comment ref="CB20" authorId="0" shapeId="0" xr:uid="{00000000-0006-0000-0B00-000023000000}">
      <text>
        <r>
          <rPr>
            <sz val="8"/>
            <color indexed="81"/>
            <rFont val="Tahoma"/>
            <family val="2"/>
          </rPr>
          <t xml:space="preserve">
.475 MGD REFLECTED IN 199RECAP REPORT PER FAXED ADVANCED COPY OF WSSC MONTHLY REPORT. OFFICIAL REPORT DATED MARCH 17,1999 REVISED THE FLOW. </t>
        </r>
      </text>
    </comment>
    <comment ref="CC20" authorId="0" shapeId="0" xr:uid="{00000000-0006-0000-0B00-000024000000}">
      <text>
        <r>
          <rPr>
            <sz val="8"/>
            <color indexed="81"/>
            <rFont val="Tahoma"/>
            <family val="2"/>
          </rPr>
          <t xml:space="preserve">
.541 MGD REFLECTED IN 199RECAP REPORT PER FAXED ADVANCED COPY OF WSSC MONTHLY REPORT. OFFICIAL REPORT DATED MARCH 17,1999 REVISED THE FLOW. </t>
        </r>
      </text>
    </comment>
    <comment ref="CG20" authorId="1" shapeId="0" xr:uid="{00000000-0006-0000-0B00-000025000000}">
      <text>
        <r>
          <rPr>
            <sz val="8"/>
            <color indexed="81"/>
            <rFont val="Tahoma"/>
            <family val="2"/>
          </rPr>
          <t>WSSC REPORTED FLOW IS 1.536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H20" authorId="1" shapeId="0" xr:uid="{00000000-0006-0000-0B00-000026000000}">
      <text>
        <r>
          <rPr>
            <sz val="8"/>
            <color indexed="81"/>
            <rFont val="Tahoma"/>
            <family val="2"/>
          </rPr>
          <t xml:space="preserve">WSSC REPORTED FLOW IS 1.536 MGD AND IS BASED ON 364 DAYS (52 WEEKS) NOT 365 DAYS. SINCE THIS IS A FLOW BASED ON SEWAGE UNITS (H.C.), THE AVERAGE FLOW FOR THE YEAR IS= 1.536x364/365= 1.532. </t>
        </r>
        <r>
          <rPr>
            <b/>
            <sz val="8"/>
            <color indexed="81"/>
            <rFont val="Tahoma"/>
            <family val="2"/>
          </rPr>
          <t>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L20" authorId="0" shapeId="0" xr:uid="{00000000-0006-0000-0B00-000027000000}">
      <text>
        <r>
          <rPr>
            <sz val="8"/>
            <color indexed="81"/>
            <rFont val="Tahoma"/>
            <family val="2"/>
          </rPr>
          <t xml:space="preserve">
7.488 MGD REFLECTED IN 199RECAP REPORT PER FAXED ADVANCED COPY OF WSSC MONTHLY REPORT. OFFICIAL REPORT DATED MARCH 17,1999 REVISED THE FLOW. </t>
        </r>
      </text>
    </comment>
    <comment ref="CM20" authorId="0" shapeId="0" xr:uid="{00000000-0006-0000-0B00-000028000000}">
      <text>
        <r>
          <rPr>
            <sz val="8"/>
            <color indexed="81"/>
            <rFont val="Tahoma"/>
            <family val="2"/>
          </rPr>
          <t xml:space="preserve">
8.526 MGD REFLECTED IN 199RECAP REPORT PER FAXED ADVANCED COPY OF WSSC MONTHLY REPORT. OFFICIAL REPORT DATED MARCH 17,1999 REVISED THE FLOW. </t>
        </r>
      </text>
    </comment>
    <comment ref="CQ20" authorId="0" shapeId="0" xr:uid="{00000000-0006-0000-0B00-000029000000}">
      <text>
        <r>
          <rPr>
            <sz val="8"/>
            <color indexed="81"/>
            <rFont val="Tahoma"/>
            <family val="2"/>
          </rPr>
          <t xml:space="preserve">
12.961 MGD REFLECTED IN 199RECAP REPORT PER FAXED ADVANCED COPY OF WSSC MONTHLY REPORT. OFFICIAL REPORT DATED MARCH 17,1999 REVISED THE FLOW. </t>
        </r>
      </text>
    </comment>
    <comment ref="CR20" authorId="0" shapeId="0" xr:uid="{00000000-0006-0000-0B00-00002A000000}">
      <text>
        <r>
          <rPr>
            <sz val="8"/>
            <color indexed="81"/>
            <rFont val="Tahoma"/>
            <family val="2"/>
          </rPr>
          <t xml:space="preserve">
14.051 MGD REFLECTED IN 199RECAP REPORT PER FAXED ADVANCED COPY OF WSSC MONTHLY REPORT. OFFICIAL REPORT DATED MARCH 17,1999 REVISED THE FLOW. </t>
        </r>
      </text>
    </comment>
    <comment ref="CS20" authorId="0" shapeId="0" xr:uid="{00000000-0006-0000-0B00-00002B000000}">
      <text>
        <r>
          <rPr>
            <sz val="8"/>
            <color indexed="81"/>
            <rFont val="Tahoma"/>
            <family val="2"/>
          </rPr>
          <t xml:space="preserve">
24.000 MGD REFLECTED IN 199RECAP REPORT PER FAXED ADVANCED COPY OF WSSC MONTHLY REPORT. OFFICIAL REPORT DATED MARCH 17,1999 REVISED THE FLOW. </t>
        </r>
      </text>
    </comment>
    <comment ref="CV20" authorId="0" shapeId="0" xr:uid="{00000000-0006-0000-0B00-00002C000000}">
      <text>
        <r>
          <rPr>
            <sz val="8"/>
            <color indexed="81"/>
            <rFont val="Tahoma"/>
            <family val="2"/>
          </rPr>
          <t xml:space="preserve">3.990 MGD REFLECTED IN 199RECAP REPORT PER FAXED ADVANCED COPY OF WSSC MONTHLY REPORT. OFFICIAL REPORT DATED MARCH 17,1999 REVISED THE FLOW. </t>
        </r>
      </text>
    </comment>
    <comment ref="CW20" authorId="0" shapeId="0" xr:uid="{00000000-0006-0000-0B00-00002D000000}">
      <text>
        <r>
          <rPr>
            <sz val="8"/>
            <color indexed="81"/>
            <rFont val="Tahoma"/>
            <family val="2"/>
          </rPr>
          <t xml:space="preserve">
4.054 MGD REFLECTED IN 199RECAP REPORT PER FAXED ADVANCED COPY OF WSSC MONTHLY REPORT. OFFICIAL REPORT DATED MARCH 17,1999 REVISED THE FLOW. </t>
        </r>
      </text>
    </comment>
    <comment ref="DA20" authorId="0" shapeId="0" xr:uid="{00000000-0006-0000-0B00-00002E000000}">
      <text>
        <r>
          <rPr>
            <sz val="8"/>
            <color indexed="81"/>
            <rFont val="Tahoma"/>
            <family val="2"/>
          </rPr>
          <t xml:space="preserve">.727 MGD REFLECTED IN 199RECAP REPORT PER FAXED ADVANCED COPY OF WSSC MONTHLY REPORT. OFFICIAL REPORT DATED MARCH 17,1999 REVISED THE FLOW. </t>
        </r>
      </text>
    </comment>
    <comment ref="DE20" authorId="0" shapeId="0" xr:uid="{00000000-0006-0000-0B00-00002F000000}">
      <text>
        <r>
          <rPr>
            <sz val="8"/>
            <color indexed="81"/>
            <rFont val="Tahoma"/>
            <family val="2"/>
          </rPr>
          <t xml:space="preserve">
.377 MGD REFLECTED IN 199RECAP REPORT PER FAXED ADVANCED COPY OF WSSC MONTHLY REPORT. OFFICIAL REPORT DATED MARCH 17,1999 REVISED THE FLOW. </t>
        </r>
      </text>
    </comment>
    <comment ref="DI20" authorId="0" shapeId="0" xr:uid="{00000000-0006-0000-0B00-000030000000}">
      <text>
        <r>
          <rPr>
            <sz val="8"/>
            <color indexed="81"/>
            <rFont val="Tahoma"/>
            <family val="2"/>
          </rPr>
          <t xml:space="preserve">2.935 MGD REFLECTED IN 199RECAP REPORT PER FAXED ADVANCED COPY OF WSSC MONTHLY REPORT. OFFICIAL REPORT DATED MARCH 17,1999 REVISED THE FLOW. </t>
        </r>
      </text>
    </comment>
    <comment ref="DJ20" authorId="0" shapeId="0" xr:uid="{00000000-0006-0000-0B00-000031000000}">
      <text>
        <r>
          <rPr>
            <sz val="8"/>
            <color indexed="81"/>
            <rFont val="Tahoma"/>
            <family val="2"/>
          </rPr>
          <t xml:space="preserve">
2.980 MGD REFLECTED IN 199RECAP REPORT PER FAXED ADVANCED COPY OF WSSC MONTHLY REPORT. OFFICIAL REPORT DATED MARCH 17,1999 REVISED THE FLOW. </t>
        </r>
      </text>
    </comment>
    <comment ref="DN20" authorId="0" shapeId="0" xr:uid="{00000000-0006-0000-0B00-000032000000}">
      <text>
        <r>
          <rPr>
            <sz val="8"/>
            <color indexed="81"/>
            <rFont val="Tahoma"/>
            <family val="2"/>
          </rPr>
          <t>86.883 MGD REFLECTED IN 199RECAP REPORT PER FAXED ADVANCED COPY OF WSSC MONTHLY REPORT. OFFICIAL REPORT DATED MARCH 17,1999 REVISED THE FLOW.</t>
        </r>
      </text>
    </comment>
    <comment ref="DO20" authorId="0" shapeId="0" xr:uid="{00000000-0006-0000-0B00-000033000000}">
      <text>
        <r>
          <rPr>
            <sz val="8"/>
            <color indexed="81"/>
            <rFont val="Tahoma"/>
            <family val="2"/>
          </rPr>
          <t xml:space="preserve">
96.716 MGD REFLECTED IN 199RECAP REPORT PER FAXED ADVANCED COPY OF WSSC MONTHLY REPORT. OFFICIAL REPORT DATED MARCH 17,1999 REVISED THE FLOW. </t>
        </r>
      </text>
    </comment>
    <comment ref="DS20" authorId="0" shapeId="0" xr:uid="{00000000-0006-0000-0B00-000034000000}">
      <text>
        <r>
          <rPr>
            <sz val="8"/>
            <color indexed="81"/>
            <rFont val="Tahoma"/>
            <family val="2"/>
          </rPr>
          <t xml:space="preserve">25.546 MGD REFLECTED IN 199RECAP REPORT PER FAXED ADVANCED COPY OF WSSC MONTHLY REPORT. OFFICIAL REPORT DATED MARCH 17,1999 REVISED THE FLOW. </t>
        </r>
      </text>
    </comment>
    <comment ref="DT20" authorId="0" shapeId="0" xr:uid="{00000000-0006-0000-0B00-000035000000}">
      <text>
        <r>
          <rPr>
            <sz val="8"/>
            <color indexed="81"/>
            <rFont val="Tahoma"/>
            <family val="2"/>
          </rPr>
          <t xml:space="preserve">
27.852 MGD REFLECTED IN 199RECAP REPORT PER FAXED ADVANCED COPY OF WSSC MONTHLY REPORT. OFFICIAL REPORT DATED MARCH 17,1999 REVISED THE FLOW. </t>
        </r>
      </text>
    </comment>
    <comment ref="DX20" authorId="0" shapeId="0" xr:uid="{00000000-0006-0000-0B00-000036000000}">
      <text>
        <r>
          <rPr>
            <sz val="8"/>
            <color indexed="81"/>
            <rFont val="Tahoma"/>
            <family val="2"/>
          </rPr>
          <t xml:space="preserve">112.429 MGD REFLECTED IN 199RECAP REPORT PER FAXED ADVANCED COPY OF WSSC MONTHLY REPORT. OFFICIAL REPORT DATED MARCH 17,1999 REVISED THE FLOW. </t>
        </r>
      </text>
    </comment>
    <comment ref="DY20" authorId="0" shapeId="0" xr:uid="{00000000-0006-0000-0B00-000037000000}">
      <text>
        <r>
          <rPr>
            <sz val="8"/>
            <color indexed="81"/>
            <rFont val="Tahoma"/>
            <family val="2"/>
          </rPr>
          <t xml:space="preserve">
124.571 MGD REFLECTED IN 199RECAP REPORT PER FAXED ADVANCED COPY OF WSSC MONTHLY REPORT. OFFICIAL REPORT DATED MARCH 17,1999 REVISED THE FLOW. </t>
        </r>
      </text>
    </comment>
    <comment ref="CG21" authorId="1" shapeId="0" xr:uid="{00000000-0006-0000-0B00-000038000000}">
      <text>
        <r>
          <rPr>
            <sz val="8"/>
            <color indexed="81"/>
            <rFont val="Tahoma"/>
            <family val="2"/>
          </rPr>
          <t>WSSC REPORTED FLOW IS 1.536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H21" authorId="1" shapeId="0" xr:uid="{00000000-0006-0000-0B00-000039000000}">
      <text>
        <r>
          <rPr>
            <sz val="8"/>
            <color indexed="81"/>
            <rFont val="Tahoma"/>
            <family val="2"/>
          </rPr>
          <t xml:space="preserve">WSSC REPORTED FLOW IS 1.536 MGD AND IS BASED ON 364 DAYS (52 WEEKS) NOT 365 DAYS. SINCE THIS IS A FLOW BASED ON SEWAGE UNITS (H.C.), THE AVERAGE FLOW FOR THE YEAR IS= 1.536x364/365= 1.532. </t>
        </r>
        <r>
          <rPr>
            <b/>
            <sz val="8"/>
            <color indexed="81"/>
            <rFont val="Tahoma"/>
            <family val="2"/>
          </rPr>
          <t>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L21" authorId="0" shapeId="0" xr:uid="{00000000-0006-0000-0B00-00003A000000}">
      <text>
        <r>
          <rPr>
            <sz val="8"/>
            <color indexed="81"/>
            <rFont val="Tahoma"/>
            <family val="2"/>
          </rPr>
          <t xml:space="preserve">
10.302 MGD REFLECTED IN 299RECAP REPORT PER FAXED ADVANCED COPY OF WSSC MONTHLY REPORT. OFFICIAL REPORT DATED, APRIL 27 1999 REVISED THE FLOW. </t>
        </r>
      </text>
    </comment>
    <comment ref="CQ21" authorId="0" shapeId="0" xr:uid="{00000000-0006-0000-0B00-00003B000000}">
      <text>
        <r>
          <rPr>
            <sz val="8"/>
            <color indexed="81"/>
            <rFont val="Tahoma"/>
            <family val="2"/>
          </rPr>
          <t xml:space="preserve">
14.693 MGD REFLECTED IN 299RECAP REPORT PER FAXED ADVANCED COPY OF WSSC MONTHLY REPORT. OFFICIAL REPORT DATED APRIL 27,1999 REVISED THE FLOW. </t>
        </r>
      </text>
    </comment>
    <comment ref="CS21" authorId="0" shapeId="0" xr:uid="{00000000-0006-0000-0B00-00003C000000}">
      <text>
        <r>
          <rPr>
            <sz val="8"/>
            <color indexed="81"/>
            <rFont val="Tahoma"/>
            <family val="2"/>
          </rPr>
          <t xml:space="preserve">
20.300 MGD REFLECTED IN 299RECAP REPORT PER FAXED ADVANCED COPY OF WSSC MONTHLY REPORT. OFFICIAL REPORT DATED APRIL 27,1999 REVISED THE FLOW. </t>
        </r>
      </text>
    </comment>
    <comment ref="CX21" authorId="0" shapeId="0" xr:uid="{00000000-0006-0000-0B00-00003D000000}">
      <text>
        <r>
          <rPr>
            <sz val="8"/>
            <color indexed="81"/>
            <rFont val="Tahoma"/>
            <family val="2"/>
          </rPr>
          <t xml:space="preserve">
6.30 MGD REFLECTED IN 299RECAP REPORT PER FAXED ADVANCED COPY OF WSSC MONTHLY REPORT. OFFICIAL REPORT DATED APRIL 27,1999 REVISED THE FLOW. </t>
        </r>
      </text>
    </comment>
    <comment ref="DS21" authorId="0" shapeId="0" xr:uid="{00000000-0006-0000-0B00-00003F000000}">
      <text>
        <r>
          <rPr>
            <sz val="8"/>
            <color indexed="81"/>
            <rFont val="Tahoma"/>
            <family val="2"/>
          </rPr>
          <t xml:space="preserve">29.920 MGD REFLECTED IN 299RECAP REPORT PER FAXED ADVANCED COPY OF WSSC MONTHLY REPORT. OFFICIAL REPORT DATED APRIL 27,1999 REVISED THE FLOW. </t>
        </r>
      </text>
    </comment>
    <comment ref="DX21" authorId="0" shapeId="0" xr:uid="{00000000-0006-0000-0B00-000040000000}">
      <text>
        <r>
          <rPr>
            <sz val="8"/>
            <color indexed="81"/>
            <rFont val="Tahoma"/>
            <family val="2"/>
          </rPr>
          <t xml:space="preserve">115.576 MGD REFLECTED IN 199RECAP REPORT PER FAXED ADVANCED COPY OF WSSC MONTHLY REPORT. OFFICIAL REPORT DATED APRIL 27,1999 REVISED THE FLOW. </t>
        </r>
      </text>
    </comment>
    <comment ref="DY21" authorId="0" shapeId="0" xr:uid="{00000000-0006-0000-0B00-000041000000}">
      <text>
        <r>
          <rPr>
            <sz val="8"/>
            <color indexed="81"/>
            <rFont val="Tahoma"/>
            <family val="2"/>
          </rPr>
          <t xml:space="preserve">
121.428 MGD REFLECTED IN 299 MORPT REPORT PER FAXED ADVANCED COPY OF WSSC MONTHLY REPORT. OFFICIAL REPORT DATED APRIL 27,1999 REVISED THE FLOW. </t>
        </r>
      </text>
    </comment>
    <comment ref="E22" authorId="0" shapeId="0" xr:uid="{00000000-0006-0000-0B00-000042000000}">
      <text>
        <r>
          <rPr>
            <sz val="8"/>
            <color indexed="81"/>
            <rFont val="Tahoma"/>
            <family val="2"/>
          </rPr>
          <t xml:space="preserve">
0.447 MGD REFLECTED IN 399RECAP REPORT PER E-MAILED ADVANCED COPY OF WSSC MONTHLY REPORT. OFFICIAL REPORT DATED MAY 4,1999 REVISED THE FLOW. </t>
        </r>
      </text>
    </comment>
    <comment ref="G22" authorId="0" shapeId="0" xr:uid="{00000000-0006-0000-0B00-000043000000}">
      <text>
        <r>
          <rPr>
            <sz val="8"/>
            <color indexed="81"/>
            <rFont val="Tahoma"/>
            <family val="2"/>
          </rPr>
          <t xml:space="preserve">
B.D (BAD DATA) REFLECTED IN 399RECAP REPORT PER E-MAILED ADVANCED COPY OF WSSC MONTHLY REPORT. OFFICIAL REPORT DATED MAY 4,1999 REVISED THE FLOW. </t>
        </r>
      </text>
    </comment>
    <comment ref="V22" authorId="0" shapeId="0" xr:uid="{00000000-0006-0000-0B00-000044000000}">
      <text>
        <r>
          <rPr>
            <sz val="8"/>
            <color indexed="81"/>
            <rFont val="Tahoma"/>
            <family val="2"/>
          </rPr>
          <t xml:space="preserve">
8.450 MGD REFLECTED IN 399RECAP REPORT PER E-MAILED ADVANCED COPY OF WSSC MONTHLY REPORT. OFFICIAL REPORT DATED MAY 4,1999 REVISED THE FLOW. </t>
        </r>
      </text>
    </comment>
    <comment ref="AA22" authorId="0" shapeId="0" xr:uid="{00000000-0006-0000-0B00-000045000000}">
      <text>
        <r>
          <rPr>
            <sz val="8"/>
            <color indexed="81"/>
            <rFont val="Tahoma"/>
            <family val="2"/>
          </rPr>
          <t xml:space="preserve">
27.680 MGD REFLECTED IN 399RECAP REPORT PER E-MAILED ADVANCED COPY OF WSSC MONTHLY REPORT. OFFICIAL REPORT DATED MAY 4,1999 REVISED THE FLOW. </t>
        </r>
      </text>
    </comment>
    <comment ref="CG22" authorId="1" shapeId="0" xr:uid="{00000000-0006-0000-0B00-000046000000}">
      <text>
        <r>
          <rPr>
            <sz val="8"/>
            <color indexed="81"/>
            <rFont val="Tahoma"/>
            <family val="2"/>
          </rPr>
          <t>WSSC REPORTED FLOW IS 1.536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H22" authorId="1" shapeId="0" xr:uid="{00000000-0006-0000-0B00-000047000000}">
      <text>
        <r>
          <rPr>
            <sz val="8"/>
            <color indexed="81"/>
            <rFont val="Tahoma"/>
            <family val="2"/>
          </rPr>
          <t xml:space="preserve">WSSC REPORTED FLOW IS 1.536 MGD AND IS BASED ON 364 DAYS (52 WEEKS) NOT 365 DAYS. SINCE THIS IS A FLOW BASED ON SEWAGE UNITS (H.C.), THE AVERAGE FLOW FOR THE YEAR IS= 1.536x364/365= 1.532. </t>
        </r>
        <r>
          <rPr>
            <b/>
            <sz val="8"/>
            <color indexed="81"/>
            <rFont val="Tahoma"/>
            <family val="2"/>
          </rPr>
          <t>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L22" authorId="0" shapeId="0" xr:uid="{00000000-0006-0000-0B00-000048000000}">
      <text>
        <r>
          <rPr>
            <sz val="8"/>
            <color indexed="81"/>
            <rFont val="Tahoma"/>
            <family val="2"/>
          </rPr>
          <t xml:space="preserve">
9.366 MGD REFLECTED IN 399RECAP REPORT PER E-MAILED ADVANCED COPY OF WSSC MONTHLY REPORT. OFFICIAL REPORT DATED, MAY 4, 1999 REVISED THE FLOW. </t>
        </r>
      </text>
    </comment>
    <comment ref="CN22" authorId="0" shapeId="0" xr:uid="{00000000-0006-0000-0B00-000049000000}">
      <text>
        <r>
          <rPr>
            <sz val="8"/>
            <color indexed="81"/>
            <rFont val="Tahoma"/>
            <family val="2"/>
          </rPr>
          <t xml:space="preserve">
17.130 MGD REFLECTED IN 399RECAP REPORT PER E-MAILED ADVANCED COPY OF WSSC MONTHLY REPORT. OFFICIAL REPORT DATED, MAY 4, 1999 REVISED THE FLOW. </t>
        </r>
      </text>
    </comment>
    <comment ref="CS22" authorId="0" shapeId="0" xr:uid="{00000000-0006-0000-0B00-00004A000000}">
      <text>
        <r>
          <rPr>
            <sz val="8"/>
            <color indexed="81"/>
            <rFont val="Tahoma"/>
            <family val="2"/>
          </rPr>
          <t xml:space="preserve">
20.440 MGD REFLECTED IN 399RECAP REPORT PER E-MAILED ADVANCED COPY OF WSSC MONTHLY REPORT. OFFICIAL REPORT DATED, MAY 4, 1999 REVISED THE FLOW. </t>
        </r>
      </text>
    </comment>
    <comment ref="CX22" authorId="0" shapeId="0" xr:uid="{00000000-0006-0000-0B00-00004B000000}">
      <text>
        <r>
          <rPr>
            <sz val="8"/>
            <color indexed="81"/>
            <rFont val="Tahoma"/>
            <family val="2"/>
          </rPr>
          <t xml:space="preserve">
6.650 MGD REFLECTED IN 399RECAP REPORT PER E-MAILED ADVANCED COPY OF WSSC MONTHLY REPORT. OFFICIAL REPORT DATED, MAY 4, 1999 REVISED THE FLOW. </t>
        </r>
      </text>
    </comment>
    <comment ref="DA22" authorId="0" shapeId="0" xr:uid="{00000000-0006-0000-0B00-00004C000000}">
      <text>
        <r>
          <rPr>
            <sz val="8"/>
            <color indexed="81"/>
            <rFont val="Tahoma"/>
            <family val="2"/>
          </rPr>
          <t xml:space="preserve">
0.740 MGD REFLECTED IN 399RECAP REPORT PER E-MAILED ADVANCED COPY OF WSSC MONTHLY REPORT. OFFICIAL REPORT DATED, MAY 4, 1999 REVISED THE FLOW. </t>
        </r>
      </text>
    </comment>
    <comment ref="DN22" authorId="0" shapeId="0" xr:uid="{00000000-0006-0000-0B00-00004E000000}">
      <text>
        <r>
          <rPr>
            <sz val="8"/>
            <color indexed="81"/>
            <rFont val="Tahoma"/>
            <family val="2"/>
          </rPr>
          <t xml:space="preserve">
96.335 MGD REFLECTED IN 399RECAP REPORT PER E-MAILED ADVANCED COPY OF WSSC MONTHLY REPORT. OFFICIAL REPORT DATED, MAY 4, 1999 REVISED THE FLOW. </t>
        </r>
      </text>
    </comment>
    <comment ref="DS22" authorId="0" shapeId="0" xr:uid="{00000000-0006-0000-0B00-00004F000000}">
      <text>
        <r>
          <rPr>
            <sz val="8"/>
            <color indexed="81"/>
            <rFont val="Tahoma"/>
            <family val="2"/>
          </rPr>
          <t xml:space="preserve">
29.540 MGD REFLECTED IN 399RECAP REPORT PER E-MAILED ADVANCED COPY OF WSSC MONTHLY REPORT. OFFICIAL REPORT DATED, MAY 4, 1999 REVISED THE FLOW. </t>
        </r>
      </text>
    </comment>
    <comment ref="DX22" authorId="0" shapeId="0" xr:uid="{00000000-0006-0000-0B00-000050000000}">
      <text>
        <r>
          <rPr>
            <sz val="8"/>
            <color indexed="81"/>
            <rFont val="Tahoma"/>
            <family val="2"/>
          </rPr>
          <t xml:space="preserve">
125.875 MGD REFLECTED IN 399MORPT REPORT PER E-MAILED ADVANCED COPY OF WSSC MONTHLY REPORT. OFFICIAL REPORT DATED, MAY 4, 1999 REVISED THE FLOW. </t>
        </r>
      </text>
    </comment>
    <comment ref="DY22" authorId="0" shapeId="0" xr:uid="{00000000-0006-0000-0B00-000051000000}">
      <text>
        <r>
          <rPr>
            <sz val="8"/>
            <color indexed="81"/>
            <rFont val="Tahoma"/>
            <family val="2"/>
          </rPr>
          <t xml:space="preserve">
118.015 MGD REFLECTED IN 399MORPT REPORT PER E-MAILED ADVANCED COPY OF WSSC MONTHLY REPORT. OFFICIAL REPORT DATED, MAY 4, 1999 REVISED THE FLOW. </t>
        </r>
      </text>
    </comment>
    <comment ref="CG23" authorId="1" shapeId="0" xr:uid="{00000000-0006-0000-0B00-000052000000}">
      <text>
        <r>
          <rPr>
            <sz val="8"/>
            <color indexed="81"/>
            <rFont val="Tahoma"/>
            <family val="2"/>
          </rPr>
          <t>WSSC REPORTED FLOW IS 1.536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H23" authorId="1" shapeId="0" xr:uid="{00000000-0006-0000-0B00-000053000000}">
      <text>
        <r>
          <rPr>
            <sz val="8"/>
            <color indexed="81"/>
            <rFont val="Tahoma"/>
            <family val="2"/>
          </rPr>
          <t xml:space="preserve">WSSC REPORTED FLOW IS 1.536 MGD AND IS BASED ON 364 DAYS (52 WEEKS) NOT 365 DAYS. SINCE THIS IS A FLOW BASED ON SEWAGE UNITS (H.C.), THE AVERAGE FLOW FOR THE YEAR IS= 1.536x364/365= 1.532. </t>
        </r>
        <r>
          <rPr>
            <b/>
            <sz val="8"/>
            <color indexed="81"/>
            <rFont val="Tahoma"/>
            <family val="2"/>
          </rPr>
          <t>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G24" authorId="1" shapeId="0" xr:uid="{00000000-0006-0000-0B00-000054000000}">
      <text>
        <r>
          <rPr>
            <sz val="8"/>
            <color indexed="81"/>
            <rFont val="Tahoma"/>
            <family val="2"/>
          </rPr>
          <t>WSSC REPORTED FLOW IS 1.536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H24" authorId="1" shapeId="0" xr:uid="{00000000-0006-0000-0B00-000055000000}">
      <text>
        <r>
          <rPr>
            <sz val="8"/>
            <color indexed="81"/>
            <rFont val="Tahoma"/>
            <family val="2"/>
          </rPr>
          <t xml:space="preserve">WSSC REPORTED FLOW IS 1.536 MGD AND IS BASED ON 364 DAYS (52 WEEKS) NOT 365 DAYS. SINCE THIS IS A FLOW BASED ON SEWAGE UNITS (H.C.), THE AVERAGE FLOW FOR THE YEAR IS= 1.536x364/365= 1.532. </t>
        </r>
        <r>
          <rPr>
            <b/>
            <sz val="8"/>
            <color indexed="81"/>
            <rFont val="Tahoma"/>
            <family val="2"/>
          </rPr>
          <t>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G25" authorId="1" shapeId="0" xr:uid="{00000000-0006-0000-0B00-000056000000}">
      <text>
        <r>
          <rPr>
            <sz val="8"/>
            <color indexed="81"/>
            <rFont val="Tahoma"/>
            <family val="2"/>
          </rPr>
          <t>WSSC REPORTED FLOW IS 1.536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H25" authorId="1" shapeId="0" xr:uid="{00000000-0006-0000-0B00-000057000000}">
      <text>
        <r>
          <rPr>
            <sz val="8"/>
            <color indexed="81"/>
            <rFont val="Tahoma"/>
            <family val="2"/>
          </rPr>
          <t xml:space="preserve">WSSC REPORTED FLOW IS 1.536 MGD AND IS BASED ON 364 DAYS (52 WEEKS) NOT 365 DAYS. SINCE THIS IS A FLOW BASED ON SEWAGE UNITS (H.C.), THE AVERAGE FLOW FOR THE YEAR IS= 1.536x364/365= 1.532. </t>
        </r>
        <r>
          <rPr>
            <b/>
            <sz val="8"/>
            <color indexed="81"/>
            <rFont val="Tahoma"/>
            <family val="2"/>
          </rPr>
          <t>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G26" authorId="1" shapeId="0" xr:uid="{00000000-0006-0000-0B00-000058000000}">
      <text>
        <r>
          <rPr>
            <sz val="8"/>
            <color indexed="81"/>
            <rFont val="Tahoma"/>
            <family val="2"/>
          </rPr>
          <t>WSSC REPORTED FLOW IS 1.536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T27" authorId="0" shapeId="0" xr:uid="{00000000-0006-0000-0B00-000059000000}">
      <text>
        <r>
          <rPr>
            <sz val="8"/>
            <color indexed="81"/>
            <rFont val="Tahoma"/>
            <family val="2"/>
          </rPr>
          <t xml:space="preserve">3.839 MGD REFLECTED IN 899RECAP REPORT.
REVISED FIGURE REC'D.11/4/99 SHOWN.
</t>
        </r>
      </text>
    </comment>
    <comment ref="Y27" authorId="0" shapeId="0" xr:uid="{00000000-0006-0000-0B00-00005A000000}">
      <text>
        <r>
          <rPr>
            <sz val="8"/>
            <color indexed="81"/>
            <rFont val="Tahoma"/>
            <family val="2"/>
          </rPr>
          <t xml:space="preserve">16.834 MGD REFLECTED IN 899RECAP REPORT.
REVISED FIGURE REC'D.11/4/99 SHOWN.
</t>
        </r>
      </text>
    </comment>
    <comment ref="AD27" authorId="0" shapeId="0" xr:uid="{00000000-0006-0000-0B00-00005B000000}">
      <text>
        <r>
          <rPr>
            <sz val="8"/>
            <color indexed="81"/>
            <rFont val="Tahoma"/>
            <family val="2"/>
          </rPr>
          <t xml:space="preserve">20.673 MGD REFLECTED IN 899RECAP REPORT.
REVISED FIGURE REC'D 11/4/99 SHOWN.
</t>
        </r>
      </text>
    </comment>
    <comment ref="CG27" authorId="1" shapeId="0" xr:uid="{00000000-0006-0000-0B00-00005C000000}">
      <text>
        <r>
          <rPr>
            <sz val="8"/>
            <color indexed="81"/>
            <rFont val="Tahoma"/>
            <family val="2"/>
          </rPr>
          <t>WSSC REPORTED FLOW IS 1.507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H27" authorId="1" shapeId="0" xr:uid="{00000000-0006-0000-0B00-00005D000000}">
      <text>
        <r>
          <rPr>
            <sz val="8"/>
            <color indexed="81"/>
            <rFont val="Tahoma"/>
            <family val="2"/>
          </rPr>
          <t xml:space="preserve">WSSC REPORTED FLOW IS 1.531 MGD AND IS BASED ON 364 DAYS (52 WEEKS) NOT 365 DAYS. SINCE THIS IS A FLOW BASED ON SEWAGE UNITS (H.C.), THE AVERAGE FLOW FOR THE YEAR IS= 1.536x364/365= 1.532. </t>
        </r>
        <r>
          <rPr>
            <b/>
            <sz val="8"/>
            <color indexed="81"/>
            <rFont val="Tahoma"/>
            <family val="2"/>
          </rPr>
          <t>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G28" authorId="1" shapeId="0" xr:uid="{00000000-0006-0000-0B00-00005E000000}">
      <text>
        <r>
          <rPr>
            <sz val="8"/>
            <color indexed="81"/>
            <rFont val="Tahoma"/>
            <family val="2"/>
          </rPr>
          <t>WSSC REPORTED FLOW IS 1.507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H28" authorId="1" shapeId="0" xr:uid="{00000000-0006-0000-0B00-00005F000000}">
      <text>
        <r>
          <rPr>
            <sz val="8"/>
            <color indexed="81"/>
            <rFont val="Tahoma"/>
            <family val="2"/>
          </rPr>
          <t xml:space="preserve">WSSC REPORTED FLOW IS 1.529 MGD AND IS BASED ON 364 DAYS (52 WEEKS) NOT 365 DAYS. SINCE THIS IS A FLOW BASED ON SEWAGE UNITS (H.C.), THE AVERAGE FLOW FOR THE YEAR IS= 1.536x364/365= 1.532. </t>
        </r>
        <r>
          <rPr>
            <b/>
            <sz val="8"/>
            <color indexed="81"/>
            <rFont val="Tahoma"/>
            <family val="2"/>
          </rPr>
          <t>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E29" authorId="0" shapeId="0" xr:uid="{00000000-0006-0000-0B00-000060000000}">
      <text>
        <r>
          <rPr>
            <sz val="8"/>
            <color indexed="81"/>
            <rFont val="Tahoma"/>
            <family val="2"/>
          </rPr>
          <t xml:space="preserve">5.483 MGD REFLECTED IN 1099RECAP REPORT PER E-MAIL ADVANCED COPY FROM WSSC. CORRECTED PER OFFICIAL REPORT DATED 12/2/1999.
</t>
        </r>
      </text>
    </comment>
    <comment ref="T29" authorId="0" shapeId="0" xr:uid="{00000000-0006-0000-0B00-000061000000}">
      <text>
        <r>
          <rPr>
            <sz val="8"/>
            <color indexed="81"/>
            <rFont val="Tahoma"/>
            <family val="2"/>
          </rPr>
          <t xml:space="preserve">5.246 MGD REFLECTED IN 1099RECAP REPORT. REVISED FIGURE 12/17/99.
</t>
        </r>
      </text>
    </comment>
    <comment ref="AD29" authorId="0" shapeId="0" xr:uid="{00000000-0006-0000-0B00-000062000000}">
      <text>
        <r>
          <rPr>
            <sz val="8"/>
            <color indexed="81"/>
            <rFont val="Tahoma"/>
            <family val="2"/>
          </rPr>
          <t xml:space="preserve">25.015 MGD REFLECTED IN 1099RECAP REPORT. REVISED FIGURE 12/17/99.
</t>
        </r>
      </text>
    </comment>
    <comment ref="AN29" authorId="0" shapeId="0" xr:uid="{00000000-0006-0000-0B00-000063000000}">
      <text>
        <r>
          <rPr>
            <sz val="8"/>
            <color indexed="81"/>
            <rFont val="Tahoma"/>
            <family val="2"/>
          </rPr>
          <t xml:space="preserve">0.962 MGD REFLECTED IN 1099RECAP REPORT PER E-MAIL ADVANCED COPY FROM WSSC. CORRECTED PER OFFICIAL REPORT DATED 12/2/1999.
</t>
        </r>
      </text>
    </comment>
    <comment ref="CG29" authorId="1" shapeId="0" xr:uid="{00000000-0006-0000-0B00-000064000000}">
      <text>
        <r>
          <rPr>
            <sz val="8"/>
            <color indexed="81"/>
            <rFont val="Tahoma"/>
            <family val="2"/>
          </rPr>
          <t>WSSC REPORTED FLOW IS 1.507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H29" authorId="1" shapeId="0" xr:uid="{00000000-0006-0000-0B00-000065000000}">
      <text>
        <r>
          <rPr>
            <sz val="8"/>
            <color indexed="81"/>
            <rFont val="Tahoma"/>
            <family val="2"/>
          </rPr>
          <t xml:space="preserve">WSSC REPORTED FLOW IS 1.529 MGD AND IS BASED ON 364 DAYS (52 WEEKS) NOT 365 DAYS. SINCE THIS IS A FLOW BASED ON SEWAGE UNITS (H.C.), THE AVERAGE FLOW FOR THE YEAR IS= 1.536x364/365= 1.532. </t>
        </r>
        <r>
          <rPr>
            <b/>
            <sz val="8"/>
            <color indexed="81"/>
            <rFont val="Tahoma"/>
            <family val="2"/>
          </rPr>
          <t>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L29" authorId="0" shapeId="0" xr:uid="{00000000-0006-0000-0B00-000066000000}">
      <text>
        <r>
          <rPr>
            <sz val="8"/>
            <color indexed="81"/>
            <rFont val="Tahoma"/>
            <family val="2"/>
          </rPr>
          <t xml:space="preserve">10.705
 MGD REFLECTED IN 1099RECAP REPORT. REVISED FIGURE 12/17/99.
</t>
        </r>
      </text>
    </comment>
    <comment ref="CQ29" authorId="0" shapeId="0" xr:uid="{00000000-0006-0000-0B00-000067000000}">
      <text>
        <r>
          <rPr>
            <sz val="8"/>
            <color indexed="81"/>
            <rFont val="Tahoma"/>
            <family val="2"/>
          </rPr>
          <t xml:space="preserve">11.987 MGD REFLECTED IN 1099RECAP REPORT PER E-MAIL ADVANCED COPY FROM WSSC. CORRECTED PER OFFICIAL REPORT DATED 12/2/1999.
</t>
        </r>
      </text>
    </comment>
    <comment ref="DA29" authorId="0" shapeId="0" xr:uid="{00000000-0006-0000-0B00-000068000000}">
      <text>
        <r>
          <rPr>
            <sz val="8"/>
            <color indexed="81"/>
            <rFont val="Tahoma"/>
            <family val="2"/>
          </rPr>
          <t xml:space="preserve">0.743 MGD REFLECTED IN 1099RECAP REPORT PER E-MAIL ADVANCED COPY FROM WSSC. CORRECTED PER OFFICIAL REPORT DATED 12/2/1999.
</t>
        </r>
      </text>
    </comment>
    <comment ref="CG30" authorId="1" shapeId="0" xr:uid="{00000000-0006-0000-0B00-000069000000}">
      <text>
        <r>
          <rPr>
            <sz val="8"/>
            <color indexed="81"/>
            <rFont val="Tahoma"/>
            <family val="2"/>
          </rPr>
          <t>WSSC REPORTED FLOW IS 1.507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H30" authorId="1" shapeId="0" xr:uid="{00000000-0006-0000-0B00-00006A000000}">
      <text>
        <r>
          <rPr>
            <sz val="8"/>
            <color indexed="81"/>
            <rFont val="Tahoma"/>
            <family val="2"/>
          </rPr>
          <t xml:space="preserve">WSSC REPORTED FLOW IS 1.529 MGD AND IS BASED ON 364 DAYS (52 WEEKS) NOT 365 DAYS. SINCE THIS IS A FLOW BASED ON SEWAGE UNITS (H.C.), THE AVERAGE FLOW FOR THE YEAR IS= 1.536x364/365= 1.532. </t>
        </r>
        <r>
          <rPr>
            <b/>
            <sz val="8"/>
            <color indexed="81"/>
            <rFont val="Tahoma"/>
            <family val="2"/>
          </rPr>
          <t>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E31" authorId="0" shapeId="0" xr:uid="{00000000-0006-0000-0B00-00006B000000}">
      <text>
        <r>
          <rPr>
            <sz val="8"/>
            <color indexed="81"/>
            <rFont val="Tahoma"/>
            <family val="2"/>
          </rPr>
          <t xml:space="preserve">9.751 MGD REFLECTED IN 1299RECAP REPORT PER E-MAIL ADVANCED COPY FROM WSSC. CORRECTED PER OFFICIAL REPORT DATED 03/2/2000.
</t>
        </r>
      </text>
    </comment>
    <comment ref="O31" authorId="0" shapeId="0" xr:uid="{00000000-0006-0000-0B00-00006C000000}">
      <text>
        <r>
          <rPr>
            <sz val="8"/>
            <color indexed="81"/>
            <rFont val="Tahoma"/>
            <family val="2"/>
          </rPr>
          <t xml:space="preserve">3.259 MGD REFLECTED IN 1299RECAP REPORT PER E-MAIL ADVANCED COPY FROM WSSC. CORRECTED PER OFFICIAL REPORT DATED 03/2/2000.
</t>
        </r>
      </text>
    </comment>
    <comment ref="T31" authorId="0" shapeId="0" xr:uid="{00000000-0006-0000-0B00-00006D000000}">
      <text>
        <r>
          <rPr>
            <sz val="8"/>
            <color indexed="81"/>
            <rFont val="Tahoma"/>
            <family val="2"/>
          </rPr>
          <t xml:space="preserve">5.277 MGD REFLECTED IN 1299RECAP REPORT PER E-MAIL ADVANCED COPY FROM WSSC. CORRECTED PER OFFICIAL REPORT DATED 03/2/2000.
</t>
        </r>
      </text>
    </comment>
    <comment ref="Y31" authorId="0" shapeId="0" xr:uid="{00000000-0006-0000-0B00-00006E000000}">
      <text>
        <r>
          <rPr>
            <sz val="8"/>
            <color indexed="81"/>
            <rFont val="Tahoma"/>
            <family val="2"/>
          </rPr>
          <t xml:space="preserve">19.579 MGD REFLECTED IN 1299RECAP REPORT PER E-MAIL ADVANCED COPY FROM WSSC. CORRECTED PER OFFICIAL REPORT DATED 03/2/2000.
</t>
        </r>
      </text>
    </comment>
    <comment ref="CG31" authorId="1" shapeId="0" xr:uid="{00000000-0006-0000-0B00-00006F000000}">
      <text>
        <r>
          <rPr>
            <sz val="8"/>
            <color indexed="81"/>
            <rFont val="Tahoma"/>
            <family val="2"/>
          </rPr>
          <t>WSSC REPORTED FLOW IS 1.507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H31" authorId="1" shapeId="0" xr:uid="{00000000-0006-0000-0B00-000070000000}">
      <text>
        <r>
          <rPr>
            <sz val="8"/>
            <color indexed="81"/>
            <rFont val="Tahoma"/>
            <family val="2"/>
          </rPr>
          <t xml:space="preserve">WSSC REPORTED FLOW IS 1.529 MGD AND IS BASED ON 364 DAYS (52 WEEKS) NOT 365 DAYS. SINCE THIS IS A FLOW BASED ON SEWAGE UNITS (H.C.), THE AVERAGE FLOW FOR THE YEAR IS= 1.536x364/365= 1.532. </t>
        </r>
        <r>
          <rPr>
            <b/>
            <sz val="8"/>
            <color indexed="81"/>
            <rFont val="Tahoma"/>
            <family val="2"/>
          </rPr>
          <t>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V31" authorId="0" shapeId="0" xr:uid="{00000000-0006-0000-0B00-000071000000}">
      <text>
        <r>
          <rPr>
            <sz val="8"/>
            <color indexed="81"/>
            <rFont val="Tahoma"/>
            <family val="2"/>
          </rPr>
          <t xml:space="preserve">4.181 MGD REFLECTED IN 1299RECAP REPORT PER E-MAIL ADVANCED COPY FROM WSSC. CORRECTED PER OFFICIAL REPORT DATED 03/2/2000.
</t>
        </r>
      </text>
    </comment>
    <comment ref="DA31" authorId="0" shapeId="0" xr:uid="{00000000-0006-0000-0B00-000072000000}">
      <text>
        <r>
          <rPr>
            <sz val="8"/>
            <color indexed="81"/>
            <rFont val="Tahoma"/>
            <family val="2"/>
          </rPr>
          <t xml:space="preserve">0.774 MGD REFLECTED IN 1299RECAP REPORT PER E-MAIL ADVANCED COPY FROM WSSC. CORRECTED PER OFFICIAL REPORT DATED 03/2/2000.
</t>
        </r>
      </text>
    </comment>
    <comment ref="T32" authorId="0" shapeId="0" xr:uid="{00000000-0006-0000-0B00-000073000000}">
      <text>
        <r>
          <rPr>
            <sz val="8"/>
            <color indexed="81"/>
            <rFont val="Tahoma"/>
            <family val="2"/>
          </rPr>
          <t xml:space="preserve">5.204 MGD REFLECTED IN 0100RECAP REPORT PER E-MAIL ADVANCED COPY FROM WSSC. CORRECTED PER OFFICIAL REPORT DATED 03/15/2000.
</t>
        </r>
      </text>
    </comment>
    <comment ref="Y32" authorId="0" shapeId="0" xr:uid="{00000000-0006-0000-0B00-000074000000}">
      <text>
        <r>
          <rPr>
            <sz val="8"/>
            <color indexed="81"/>
            <rFont val="Tahoma"/>
            <family val="2"/>
          </rPr>
          <t xml:space="preserve">19.647 MGD REFLECTED IN 0100RECAP REPORT PER E-MAIL ADVANCED COPY FROM WSSC. CORRECTED PER OFFICIAL REPORT DATED 03/15/2000.
</t>
        </r>
      </text>
    </comment>
    <comment ref="CG32" authorId="1" shapeId="0" xr:uid="{00000000-0006-0000-0B00-000075000000}">
      <text>
        <r>
          <rPr>
            <sz val="8"/>
            <color indexed="81"/>
            <rFont val="Tahoma"/>
            <family val="2"/>
          </rPr>
          <t>WSSC REPORTED FLOW IS 1.507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H32" authorId="1" shapeId="0" xr:uid="{00000000-0006-0000-0B00-000076000000}">
      <text>
        <r>
          <rPr>
            <sz val="8"/>
            <color indexed="81"/>
            <rFont val="Tahoma"/>
            <family val="2"/>
          </rPr>
          <t xml:space="preserve">WSSC REPORTED FLOW IS 1.529 MGD AND IS BASED ON 364 DAYS (52 WEEKS) NOT 365 DAYS. SINCE THIS IS A FLOW BASED ON SEWAGE UNITS (H.C.), THE AVERAGE FLOW FOR THE YEAR IS= 1.536x364/365= 1.532. </t>
        </r>
        <r>
          <rPr>
            <b/>
            <sz val="8"/>
            <color indexed="81"/>
            <rFont val="Tahoma"/>
            <family val="2"/>
          </rPr>
          <t>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L32" authorId="0" shapeId="0" xr:uid="{00000000-0006-0000-0B00-000077000000}">
      <text>
        <r>
          <rPr>
            <sz val="8"/>
            <color indexed="81"/>
            <rFont val="Tahoma"/>
            <family val="2"/>
          </rPr>
          <t xml:space="preserve">3.367 MGD REFLECTED IN 0100RECAP REPORT PER E-MAIL ADVANCED COPY FROM WSSC. CORRECTED PER OFFICIAL REPORT DATED 03/15/2000.
</t>
        </r>
      </text>
    </comment>
    <comment ref="CV32" authorId="0" shapeId="0" xr:uid="{00000000-0006-0000-0B00-000078000000}">
      <text>
        <r>
          <rPr>
            <sz val="8"/>
            <color indexed="81"/>
            <rFont val="Tahoma"/>
            <family val="2"/>
          </rPr>
          <t xml:space="preserve">4.061 MGD REFLECTED IN 0100RECAP REPORT PER E-MAIL ADVANCED COPY FROM WSSC. CORRECTED PER OFFICIAL REPORT DATED 03/15/2000.
</t>
        </r>
      </text>
    </comment>
    <comment ref="DD32" authorId="0" shapeId="0" xr:uid="{00000000-0006-0000-0B00-000079000000}">
      <text>
        <r>
          <rPr>
            <sz val="8"/>
            <color indexed="81"/>
            <rFont val="Tahoma"/>
            <family val="2"/>
          </rPr>
          <t xml:space="preserve">0.373 MGD REFLECTED IN 0100RECAP REPORT PER E-MAIL ADVANCED COPY FROM WSSC. CORRECTED PER OFFICIAL REPORT DATED 03/15/2000.
</t>
        </r>
      </text>
    </comment>
    <comment ref="CG33" authorId="1" shapeId="0" xr:uid="{00000000-0006-0000-0B00-00007A000000}">
      <text>
        <r>
          <rPr>
            <sz val="8"/>
            <color indexed="81"/>
            <rFont val="Tahoma"/>
            <family val="2"/>
          </rPr>
          <t>WSSC REPORTED FLOW IS 1.507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H33" authorId="1" shapeId="0" xr:uid="{00000000-0006-0000-0B00-00007B000000}">
      <text>
        <r>
          <rPr>
            <sz val="8"/>
            <color indexed="81"/>
            <rFont val="Tahoma"/>
            <family val="2"/>
          </rPr>
          <t xml:space="preserve">WSSC REPORTED FLOW IS 1.529 MGD AND IS BASED ON 364 DAYS (52 WEEKS) NOT 365 DAYS. SINCE THIS IS A FLOW BASED ON SEWAGE UNITS (H.C.), THE AVERAGE FLOW FOR THE YEAR IS= 1.536x364/365= 1.532. </t>
        </r>
        <r>
          <rPr>
            <b/>
            <sz val="8"/>
            <color indexed="81"/>
            <rFont val="Tahoma"/>
            <family val="2"/>
          </rPr>
          <t>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G34" authorId="1" shapeId="0" xr:uid="{00000000-0006-0000-0B00-00007C000000}">
      <text>
        <r>
          <rPr>
            <sz val="8"/>
            <color indexed="81"/>
            <rFont val="Tahoma"/>
            <family val="2"/>
          </rPr>
          <t>WSSC REPORTED FLOW IS 1.507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H34" authorId="1" shapeId="0" xr:uid="{00000000-0006-0000-0B00-00007D000000}">
      <text>
        <r>
          <rPr>
            <sz val="8"/>
            <color indexed="81"/>
            <rFont val="Tahoma"/>
            <family val="2"/>
          </rPr>
          <t xml:space="preserve">WSSC REPORTED FLOW IS 1.529 MGD AND IS BASED ON 364 DAYS (52 WEEKS) NOT 365 DAYS. SINCE THIS IS A FLOW BASED ON SEWAGE UNITS (H.C.), THE AVERAGE FLOW FOR THE YEAR IS= 1.536x364/365= 1.532. </t>
        </r>
        <r>
          <rPr>
            <b/>
            <sz val="8"/>
            <color indexed="81"/>
            <rFont val="Tahoma"/>
            <family val="2"/>
          </rPr>
          <t>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T35" authorId="0" shapeId="0" xr:uid="{00000000-0006-0000-0B00-00007E000000}">
      <text>
        <r>
          <rPr>
            <sz val="8"/>
            <color indexed="81"/>
            <rFont val="Tahoma"/>
            <family val="2"/>
          </rPr>
          <t xml:space="preserve">8.889 MGD REFLECTED IN 0400RECAP REPORT PER E-MAIL ADVANCED COPY FROM WSSC. CORRECTED PER OFFICIAL REPORT DATED 05/15/2000.
</t>
        </r>
      </text>
    </comment>
    <comment ref="Y35" authorId="0" shapeId="0" xr:uid="{00000000-0006-0000-0B00-00007F000000}">
      <text>
        <r>
          <rPr>
            <sz val="8"/>
            <color indexed="81"/>
            <rFont val="Tahoma"/>
            <family val="2"/>
          </rPr>
          <t xml:space="preserve">12.151 MGD REFLECTED IN 0400RECAP REPORT PER E-MAIL ADVANCED COPY FROM WSSC. CORRECTED PER OFFICIAL REPORT DATED 05/15/2000.
</t>
        </r>
      </text>
    </comment>
    <comment ref="CG35" authorId="1" shapeId="0" xr:uid="{00000000-0006-0000-0B00-000080000000}">
      <text>
        <r>
          <rPr>
            <sz val="8"/>
            <color indexed="81"/>
            <rFont val="Tahoma"/>
            <family val="2"/>
          </rPr>
          <t>WSSC REPORTED FLOW IS 1.507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H35" authorId="1" shapeId="0" xr:uid="{00000000-0006-0000-0B00-000081000000}">
      <text>
        <r>
          <rPr>
            <sz val="8"/>
            <color indexed="81"/>
            <rFont val="Tahoma"/>
            <family val="2"/>
          </rPr>
          <t xml:space="preserve">WSSC REPORTED FLOW IS 1.529 MGD AND IS BASED ON 364 DAYS (52 WEEKS) NOT 365 DAYS. SINCE THIS IS A FLOW BASED ON SEWAGE UNITS (H.C.), THE AVERAGE FLOW FOR THE YEAR IS= 1.536x364/365= 1.532. </t>
        </r>
        <r>
          <rPr>
            <b/>
            <sz val="8"/>
            <color indexed="81"/>
            <rFont val="Tahoma"/>
            <family val="2"/>
          </rPr>
          <t>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G36" authorId="1" shapeId="0" xr:uid="{00000000-0006-0000-0B00-000082000000}">
      <text>
        <r>
          <rPr>
            <sz val="8"/>
            <color indexed="81"/>
            <rFont val="Tahoma"/>
            <family val="2"/>
          </rPr>
          <t>WSSC REPORTED FLOW IS 1.507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H36" authorId="1" shapeId="0" xr:uid="{00000000-0006-0000-0B00-000083000000}">
      <text>
        <r>
          <rPr>
            <sz val="8"/>
            <color indexed="81"/>
            <rFont val="Tahoma"/>
            <family val="2"/>
          </rPr>
          <t xml:space="preserve">WSSC REPORTED FLOW IS 1.529 MGD AND IS BASED ON 364 DAYS (52 WEEKS) NOT 365 DAYS. SINCE THIS IS A FLOW BASED ON SEWAGE UNITS (H.C.), THE AVERAGE FLOW FOR THE YEAR IS= 1.536x364/365= 1.532. </t>
        </r>
        <r>
          <rPr>
            <b/>
            <sz val="8"/>
            <color indexed="81"/>
            <rFont val="Tahoma"/>
            <family val="2"/>
          </rPr>
          <t>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G37" authorId="1" shapeId="0" xr:uid="{00000000-0006-0000-0B00-000084000000}">
      <text>
        <r>
          <rPr>
            <sz val="8"/>
            <color indexed="81"/>
            <rFont val="Tahoma"/>
            <family val="2"/>
          </rPr>
          <t>WSSC REPORTED FLOW IS 1.507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H37" authorId="1" shapeId="0" xr:uid="{00000000-0006-0000-0B00-000085000000}">
      <text>
        <r>
          <rPr>
            <sz val="8"/>
            <color indexed="81"/>
            <rFont val="Tahoma"/>
            <family val="2"/>
          </rPr>
          <t xml:space="preserve">WSSC REPORTED FLOW IS 1.529 MGD AND IS BASED ON 364 DAYS (52 WEEKS) NOT 365 DAYS. SINCE THIS IS A FLOW BASED ON SEWAGE UNITS (H.C.), THE AVERAGE FLOW FOR THE YEAR IS= 1.536x364/365= 1.532. </t>
        </r>
        <r>
          <rPr>
            <b/>
            <sz val="8"/>
            <color indexed="81"/>
            <rFont val="Tahoma"/>
            <family val="2"/>
          </rPr>
          <t>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G38" authorId="1" shapeId="0" xr:uid="{00000000-0006-0000-0B00-000086000000}">
      <text>
        <r>
          <rPr>
            <sz val="8"/>
            <color indexed="81"/>
            <rFont val="Tahoma"/>
            <family val="2"/>
          </rPr>
          <t>WSSC REPORTED FLOW IS 1.536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H38" authorId="1" shapeId="0" xr:uid="{00000000-0006-0000-0B00-000087000000}">
      <text>
        <r>
          <rPr>
            <sz val="8"/>
            <color indexed="81"/>
            <rFont val="Tahoma"/>
            <family val="2"/>
          </rPr>
          <t xml:space="preserve">WSSC REPORTED FLOW IS 1.529 MGD AND IS BASED ON 364 DAYS (52 WEEKS) NOT 365 DAYS. SINCE THIS IS A FLOW BASED ON SEWAGE UNITS (H.C.), THE AVERAGE FLOW FOR THE YEAR IS= 1.536x364/365= 1.532. </t>
        </r>
        <r>
          <rPr>
            <b/>
            <sz val="8"/>
            <color indexed="81"/>
            <rFont val="Tahoma"/>
            <family val="2"/>
          </rPr>
          <t>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G39" authorId="1" shapeId="0" xr:uid="{00000000-0006-0000-0B00-000088000000}">
      <text>
        <r>
          <rPr>
            <sz val="8"/>
            <color indexed="81"/>
            <rFont val="Tahoma"/>
            <family val="2"/>
          </rPr>
          <t>WSSC REPORTED FLOW IS 1.536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H39" authorId="1" shapeId="0" xr:uid="{00000000-0006-0000-0B00-000089000000}">
      <text>
        <r>
          <rPr>
            <sz val="8"/>
            <color indexed="81"/>
            <rFont val="Tahoma"/>
            <family val="2"/>
          </rPr>
          <t xml:space="preserve">WSSC REPORTED FLOW IS 1.529 MGD AND IS BASED ON 364 DAYS (52 WEEKS) NOT 365 DAYS. SINCE THIS IS A FLOW BASED ON SEWAGE UNITS (H.C.), THE AVERAGE FLOW FOR THE YEAR IS= 1.536x364/365= 1.532. </t>
        </r>
        <r>
          <rPr>
            <b/>
            <sz val="8"/>
            <color indexed="81"/>
            <rFont val="Tahoma"/>
            <family val="2"/>
          </rPr>
          <t>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G40" authorId="1" shapeId="0" xr:uid="{00000000-0006-0000-0B00-00008A000000}">
      <text>
        <r>
          <rPr>
            <sz val="8"/>
            <color indexed="81"/>
            <rFont val="Tahoma"/>
            <family val="2"/>
          </rPr>
          <t>WSSC REPORTED FLOW IS 1.536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G41" authorId="1" shapeId="0" xr:uid="{00000000-0006-0000-0B00-00008B000000}">
      <text>
        <r>
          <rPr>
            <sz val="8"/>
            <color indexed="81"/>
            <rFont val="Tahoma"/>
            <family val="2"/>
          </rPr>
          <t>WSSC REPORTED FLOW IS 1.536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G42" authorId="1" shapeId="0" xr:uid="{00000000-0006-0000-0B00-00008C000000}">
      <text>
        <r>
          <rPr>
            <sz val="8"/>
            <color indexed="81"/>
            <rFont val="Tahoma"/>
            <family val="2"/>
          </rPr>
          <t>WSSC REPORTED FLOW IS 1.536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G43" authorId="1" shapeId="0" xr:uid="{00000000-0006-0000-0B00-00008D000000}">
      <text>
        <r>
          <rPr>
            <sz val="8"/>
            <color indexed="81"/>
            <rFont val="Tahoma"/>
            <family val="2"/>
          </rPr>
          <t>WSSC REPORTED FLOW IS 1.536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CG44" authorId="1" shapeId="0" xr:uid="{00000000-0006-0000-0B00-00008E000000}">
      <text>
        <r>
          <rPr>
            <sz val="8"/>
            <color indexed="81"/>
            <rFont val="Tahoma"/>
            <family val="2"/>
          </rPr>
          <t>WSSC REPORTED FLOW IS 1.536 MGD AND IS BASED ON 364 DAYS (52 WEEKS) NOT 365 DAYS. SINCE THIS IS A FLOW BASED ON SEWAGE UNITS (H.C.), THE AVERAGE FLOW FOR THE YEAR IS= 1.536x364/365= 1.532.</t>
        </r>
        <r>
          <rPr>
            <b/>
            <sz val="8"/>
            <color indexed="81"/>
            <rFont val="Tahoma"/>
            <family val="2"/>
          </rPr>
          <t xml:space="preserve"> FLOW REPORTED FROM WSSC IS SHOWN.</t>
        </r>
        <r>
          <rPr>
            <sz val="8"/>
            <color indexed="81"/>
            <rFont val="Tahoma"/>
            <family val="2"/>
          </rPr>
          <t xml:space="preserve">
.</t>
        </r>
      </text>
    </comment>
    <comment ref="N77" authorId="2" shapeId="0" xr:uid="{00000000-0006-0000-0B00-00008F000000}">
      <text>
        <r>
          <rPr>
            <b/>
            <sz val="8"/>
            <color indexed="81"/>
            <rFont val="Tahoma"/>
            <family val="2"/>
          </rPr>
          <t>DCWASA: 12/30/04</t>
        </r>
        <r>
          <rPr>
            <sz val="8"/>
            <color indexed="81"/>
            <rFont val="Tahoma"/>
            <family val="2"/>
          </rPr>
          <t xml:space="preserve">
99.509 MG originally reported. Corrected per WSSC Annual Repot of 12/16/04. Tony</t>
        </r>
      </text>
    </comment>
    <comment ref="O77" authorId="2" shapeId="0" xr:uid="{00000000-0006-0000-0B00-000090000000}">
      <text>
        <r>
          <rPr>
            <b/>
            <sz val="8"/>
            <color indexed="81"/>
            <rFont val="Tahoma"/>
            <family val="2"/>
          </rPr>
          <t>DCWASA: 12/30/04</t>
        </r>
        <r>
          <rPr>
            <sz val="8"/>
            <color indexed="81"/>
            <rFont val="Tahoma"/>
            <family val="2"/>
          </rPr>
          <t xml:space="preserve">
Comment on cell I77 applies.</t>
        </r>
      </text>
    </comment>
    <comment ref="N79" authorId="2" shapeId="0" xr:uid="{00000000-0006-0000-0B00-000091000000}">
      <text>
        <r>
          <rPr>
            <b/>
            <sz val="8"/>
            <color indexed="81"/>
            <rFont val="Tahoma"/>
            <family val="2"/>
          </rPr>
          <t>DCWASA: 12/30/04</t>
        </r>
        <r>
          <rPr>
            <sz val="8"/>
            <color indexed="81"/>
            <rFont val="Tahoma"/>
            <family val="2"/>
          </rPr>
          <t xml:space="preserve">
130.704 MG originally reported. Corrected per WSSC Annual Repot of 12/16/04. Tony</t>
        </r>
      </text>
    </comment>
    <comment ref="O79" authorId="2" shapeId="0" xr:uid="{00000000-0006-0000-0B00-000092000000}">
      <text>
        <r>
          <rPr>
            <b/>
            <sz val="8"/>
            <color indexed="81"/>
            <rFont val="Tahoma"/>
            <family val="2"/>
          </rPr>
          <t>DCWASA: 12/30/04</t>
        </r>
        <r>
          <rPr>
            <sz val="8"/>
            <color indexed="81"/>
            <rFont val="Tahoma"/>
            <family val="2"/>
          </rPr>
          <t xml:space="preserve">
Comment on cell I79 applies.</t>
        </r>
      </text>
    </comment>
    <comment ref="CP79" authorId="2" shapeId="0" xr:uid="{00000000-0006-0000-0B00-000093000000}">
      <text>
        <r>
          <rPr>
            <b/>
            <sz val="8"/>
            <color indexed="81"/>
            <rFont val="Tahoma"/>
            <family val="2"/>
          </rPr>
          <t>DCWASA: 12/30/04</t>
        </r>
        <r>
          <rPr>
            <sz val="8"/>
            <color indexed="81"/>
            <rFont val="Tahoma"/>
            <family val="2"/>
          </rPr>
          <t xml:space="preserve">
389.368 MG originally reported. Corrected per WSSC Annual Repot of 12/16/04. Tony</t>
        </r>
      </text>
    </comment>
    <comment ref="CQ79" authorId="2" shapeId="0" xr:uid="{00000000-0006-0000-0B00-000094000000}">
      <text>
        <r>
          <rPr>
            <b/>
            <sz val="8"/>
            <color indexed="81"/>
            <rFont val="Tahoma"/>
            <family val="2"/>
          </rPr>
          <t>DCWASA: 12/30/04</t>
        </r>
        <r>
          <rPr>
            <sz val="8"/>
            <color indexed="81"/>
            <rFont val="Tahoma"/>
            <family val="2"/>
          </rPr>
          <t xml:space="preserve">
Comment on cell CK79 applies.</t>
        </r>
      </text>
    </comment>
    <comment ref="CU79" authorId="2" shapeId="0" xr:uid="{00000000-0006-0000-0B00-000095000000}">
      <text>
        <r>
          <rPr>
            <b/>
            <sz val="8"/>
            <color indexed="81"/>
            <rFont val="Tahoma"/>
            <family val="2"/>
          </rPr>
          <t>DCWASA: 12/30/04</t>
        </r>
        <r>
          <rPr>
            <sz val="8"/>
            <color indexed="81"/>
            <rFont val="Tahoma"/>
            <family val="2"/>
          </rPr>
          <t xml:space="preserve">
163.271 MG originally reported. Corrected per WSSC Annual Repot of 12/16/04. Tony</t>
        </r>
      </text>
    </comment>
    <comment ref="CV79" authorId="2" shapeId="0" xr:uid="{00000000-0006-0000-0B00-000096000000}">
      <text>
        <r>
          <rPr>
            <b/>
            <sz val="8"/>
            <color indexed="81"/>
            <rFont val="Tahoma"/>
            <family val="2"/>
          </rPr>
          <t>DCWASA: 12/30/04</t>
        </r>
        <r>
          <rPr>
            <sz val="8"/>
            <color indexed="81"/>
            <rFont val="Tahoma"/>
            <family val="2"/>
          </rPr>
          <t xml:space="preserve">
Comment on cell CP79 applies.</t>
        </r>
      </text>
    </comment>
    <comment ref="CZ79" authorId="2" shapeId="0" xr:uid="{00000000-0006-0000-0B00-000097000000}">
      <text>
        <r>
          <rPr>
            <b/>
            <sz val="8"/>
            <color indexed="81"/>
            <rFont val="Tahoma"/>
            <family val="2"/>
          </rPr>
          <t>DCWASA: 12/29/04</t>
        </r>
        <r>
          <rPr>
            <sz val="8"/>
            <color indexed="81"/>
            <rFont val="Tahoma"/>
            <family val="2"/>
          </rPr>
          <t xml:space="preserve">
42.241 MG originally reported. Corrected on this date as requested by Shari Djourshari. Tony</t>
        </r>
      </text>
    </comment>
    <comment ref="DA79" authorId="2" shapeId="0" xr:uid="{00000000-0006-0000-0B00-000098000000}">
      <text>
        <r>
          <rPr>
            <b/>
            <sz val="8"/>
            <color indexed="81"/>
            <rFont val="Tahoma"/>
            <family val="2"/>
          </rPr>
          <t>DCWASA:</t>
        </r>
        <r>
          <rPr>
            <sz val="8"/>
            <color indexed="81"/>
            <rFont val="Tahoma"/>
            <family val="2"/>
          </rPr>
          <t xml:space="preserve">
Comment on cell CU79 applies.</t>
        </r>
      </text>
    </comment>
    <comment ref="AH90" authorId="2" shapeId="0" xr:uid="{00000000-0006-0000-0B00-000099000000}">
      <text>
        <r>
          <rPr>
            <b/>
            <sz val="8"/>
            <color indexed="81"/>
            <rFont val="Tahoma"/>
            <family val="2"/>
          </rPr>
          <t>DCWASA: 1/10/05</t>
        </r>
        <r>
          <rPr>
            <sz val="8"/>
            <color indexed="81"/>
            <rFont val="Tahoma"/>
            <family val="2"/>
          </rPr>
          <t xml:space="preserve">
1603.990 MG REPORTED IN NOVEMBER, REVISED PER SHARI D.'S E_MAIL. T.R.
</t>
        </r>
      </text>
    </comment>
    <comment ref="AI90" authorId="2" shapeId="0" xr:uid="{00000000-0006-0000-0B00-00009A000000}">
      <text>
        <r>
          <rPr>
            <b/>
            <sz val="8"/>
            <color indexed="81"/>
            <rFont val="Tahoma"/>
            <family val="2"/>
          </rPr>
          <t>DCWASA: 1/10/05</t>
        </r>
        <r>
          <rPr>
            <sz val="8"/>
            <color indexed="81"/>
            <rFont val="Tahoma"/>
            <family val="2"/>
          </rPr>
          <t xml:space="preserve">
53.466 MGD, REPORTED IN NOVEMBER, REVISED PER SHARI D.'S E_MAIL.
T.R.
</t>
        </r>
      </text>
    </comment>
    <comment ref="DM90" authorId="2" shapeId="0" xr:uid="{00000000-0006-0000-0B00-00009B000000}">
      <text>
        <r>
          <rPr>
            <b/>
            <sz val="8"/>
            <color indexed="81"/>
            <rFont val="Tahoma"/>
            <family val="2"/>
          </rPr>
          <t>DCWASA: 1/10/05</t>
        </r>
        <r>
          <rPr>
            <sz val="8"/>
            <color indexed="81"/>
            <rFont val="Tahoma"/>
            <family val="2"/>
          </rPr>
          <t xml:space="preserve">
CHANGED FROM 3178.29 MG DUE TO CHANGE IN CELL DK90. SEE COMMENT ON DK90. T.R.
</t>
        </r>
      </text>
    </comment>
    <comment ref="DN90" authorId="2" shapeId="0" xr:uid="{00000000-0006-0000-0B00-00009C000000}">
      <text>
        <r>
          <rPr>
            <b/>
            <sz val="8"/>
            <color indexed="81"/>
            <rFont val="Tahoma"/>
            <family val="2"/>
          </rPr>
          <t>DCWASA: 1/10/05</t>
        </r>
        <r>
          <rPr>
            <sz val="8"/>
            <color indexed="81"/>
            <rFont val="Tahoma"/>
            <family val="2"/>
          </rPr>
          <t xml:space="preserve">
CHANGED FROM 105.943 MGD DUE TO CHANGE IN ANACOSTIA (CELL AD90) 
T.R.</t>
        </r>
      </text>
    </comment>
    <comment ref="DW90" authorId="2" shapeId="0" xr:uid="{00000000-0006-0000-0B00-00009D000000}">
      <text>
        <r>
          <rPr>
            <b/>
            <sz val="8"/>
            <color indexed="81"/>
            <rFont val="Tahoma"/>
            <family val="2"/>
          </rPr>
          <t>DCWASA: 1/10/05</t>
        </r>
        <r>
          <rPr>
            <sz val="8"/>
            <color indexed="81"/>
            <rFont val="Tahoma"/>
            <family val="2"/>
          </rPr>
          <t xml:space="preserve">
SEE COMMENT ON CELL DU90. T.R.</t>
        </r>
      </text>
    </comment>
    <comment ref="DX90" authorId="2" shapeId="0" xr:uid="{00000000-0006-0000-0B00-00009E000000}">
      <text>
        <r>
          <rPr>
            <b/>
            <sz val="8"/>
            <color indexed="81"/>
            <rFont val="Tahoma"/>
            <family val="2"/>
          </rPr>
          <t>DCWASA: 1/10/05</t>
        </r>
        <r>
          <rPr>
            <sz val="8"/>
            <color indexed="81"/>
            <rFont val="Tahoma"/>
            <family val="2"/>
          </rPr>
          <t xml:space="preserve">
CHANGED FROM 118.900 MGD DUE TO CHANGE IN CELL AD90(ANACOSTIA) WHICH CHANGE CELL DK90.T.R.</t>
        </r>
      </text>
    </comment>
    <comment ref="AK112" authorId="2" shapeId="0" xr:uid="{00000000-0006-0000-0B00-00009F000000}">
      <text>
        <r>
          <rPr>
            <b/>
            <sz val="8"/>
            <color indexed="81"/>
            <rFont val="Tahoma"/>
            <family val="2"/>
          </rPr>
          <t>DCWASA:</t>
        </r>
        <r>
          <rPr>
            <sz val="8"/>
            <color indexed="81"/>
            <rFont val="Tahoma"/>
            <family val="2"/>
          </rPr>
          <t xml:space="preserve">
187.040 originally reported. Changed by e_mail from Shari 11/01/06</t>
        </r>
      </text>
    </comment>
    <comment ref="CG113" authorId="2" shapeId="0" xr:uid="{00000000-0006-0000-0B00-0000A0000000}">
      <text>
        <r>
          <rPr>
            <b/>
            <sz val="8"/>
            <color indexed="81"/>
            <rFont val="Tahoma"/>
            <family val="2"/>
          </rPr>
          <t>DCWASA:</t>
        </r>
        <r>
          <rPr>
            <sz val="8"/>
            <color indexed="81"/>
            <rFont val="Tahoma"/>
            <family val="2"/>
          </rPr>
          <t xml:space="preserve">
CORRECTED FROM 1.376MGD 12/1/06. ARI</t>
        </r>
      </text>
    </comment>
    <comment ref="BL125" authorId="3" shapeId="0" xr:uid="{00000000-0006-0000-0B00-0000A1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USE FOR FY2007 FINAL BILL. USE FOR 08JUSER.XLS TO BE REPLACED FOR FY2008 FINAL BILL, WITH INFO
PROVIDED BY WSSC(SDJOURS)  1420.071MG WAS THE FLOW REPLACED.</t>
        </r>
      </text>
    </comment>
    <comment ref="BN125" authorId="3" shapeId="0" xr:uid="{00000000-0006-0000-0B00-0000A2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USE FOR FY2007 FINAL BILL. USE FOR 08JUSER.XLS TO BE REPLACED FOR FY2008 FINAL BILL, WITH INFO
PROVIDED BY WSSC(SDJOURS)  3.891MGD WAS THE FLOW REPLACED.</t>
        </r>
      </text>
    </comment>
    <comment ref="CF125" authorId="3" shapeId="0" xr:uid="{00000000-0006-0000-0B00-0000A3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FROM YR_HC_RPT CELL P158/1000</t>
        </r>
      </text>
    </comment>
    <comment ref="CH125" authorId="3" shapeId="0" xr:uid="{00000000-0006-0000-0B00-0000A4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FROM YR_HC_RPT CELL R158</t>
        </r>
      </text>
    </comment>
    <comment ref="DC125" authorId="3" shapeId="0" xr:uid="{00000000-0006-0000-0B00-0000A5000000}">
      <text>
        <r>
          <rPr>
            <b/>
            <sz val="8"/>
            <color indexed="81"/>
            <rFont val="Tahoma"/>
            <family val="2"/>
          </rPr>
          <t>tramos:</t>
        </r>
        <r>
          <rPr>
            <sz val="8"/>
            <color indexed="81"/>
            <rFont val="Tahoma"/>
            <family val="2"/>
          </rPr>
          <t xml:space="preserve">
USE FOR FY2007 FINAL BILL. USE FOR 08JUSER.XLS TO BE REPLACED FOR FY2008 FINAL BILL, WITH INFO
PROVIDED BY WSSC(SDJOURS)  162.469MG WAS THE FLOW REPLACED.</t>
        </r>
      </text>
    </comment>
    <comment ref="BB140" authorId="4" shapeId="0" xr:uid="{00000000-0006-0000-0B00-0000A6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incorrectly entered as 28.823. Revised on 18 May 2009.</t>
        </r>
      </text>
    </comment>
    <comment ref="X142" authorId="4" shapeId="0" xr:uid="{00000000-0006-0000-0B00-0000A7000000}">
      <text>
        <r>
          <rPr>
            <b/>
            <sz val="8"/>
            <color indexed="81"/>
            <rFont val="Tahoma"/>
            <family val="2"/>
          </rPr>
          <t>EWoldemariam:</t>
        </r>
        <r>
          <rPr>
            <sz val="8"/>
            <color indexed="81"/>
            <rFont val="Tahoma"/>
            <family val="2"/>
          </rPr>
          <t xml:space="preserve">
Was incorrectly entered as 606.986 MG and corrected on May 18, 2009. </t>
        </r>
      </text>
    </comment>
  </commentList>
</comments>
</file>

<file path=xl/sharedStrings.xml><?xml version="1.0" encoding="utf-8"?>
<sst xmlns="http://schemas.openxmlformats.org/spreadsheetml/2006/main" count="24604" uniqueCount="867">
  <si>
    <t>5 YEAR AVERAGE TOTAL JURISDICTIONAL FLOW</t>
  </si>
  <si>
    <t>MAJOR INTERCEPTOR 5 YEAR AVERAGE FLOW</t>
  </si>
  <si>
    <t xml:space="preserve">BLUE PLAINS </t>
  </si>
  <si>
    <t>WSSC</t>
  </si>
  <si>
    <t>FAIRFAX</t>
  </si>
  <si>
    <t>LCSA</t>
  </si>
  <si>
    <t>VIENNA</t>
  </si>
  <si>
    <t>DULLES</t>
  </si>
  <si>
    <t>DC</t>
  </si>
  <si>
    <t>PI</t>
  </si>
  <si>
    <t>AFM</t>
  </si>
  <si>
    <t>OXON RUN</t>
  </si>
  <si>
    <t>ROCK CREEK</t>
  </si>
  <si>
    <t>MD UPI</t>
  </si>
  <si>
    <t xml:space="preserve">CABIN JOHN </t>
  </si>
  <si>
    <t>MUDDY BRANCH</t>
  </si>
  <si>
    <t>MGD</t>
  </si>
  <si>
    <t>feb</t>
  </si>
  <si>
    <t>apr</t>
  </si>
  <si>
    <t>MONTHLY FLOW REPORT</t>
  </si>
  <si>
    <t>FLOW CHART</t>
  </si>
  <si>
    <t>Mr. John R. Butcher</t>
  </si>
  <si>
    <t>Cherry Conway Appel</t>
  </si>
  <si>
    <t>Assistant Attorney General</t>
  </si>
  <si>
    <t>Programs and Planning Division</t>
  </si>
  <si>
    <t>5th Floor</t>
  </si>
  <si>
    <t>Suite 610</t>
  </si>
  <si>
    <t>101 North 8th Street</t>
  </si>
  <si>
    <t>9400 Peppercorn Place</t>
  </si>
  <si>
    <t>Richmond, Virginia  23219</t>
  </si>
  <si>
    <t>Largo, Maryland  20774</t>
  </si>
  <si>
    <t>Mr. Kenneth O. Shelton</t>
  </si>
  <si>
    <t>Office of the Corporation Counsel</t>
  </si>
  <si>
    <t>Loudoun County Sanitation Authority</t>
  </si>
  <si>
    <t>Department of Public Works</t>
  </si>
  <si>
    <t>880 Harrison Street, S.E.</t>
  </si>
  <si>
    <t>10th Floor</t>
  </si>
  <si>
    <t>P.O. Box 4000</t>
  </si>
  <si>
    <t>One Judiciary Square</t>
  </si>
  <si>
    <t>Leesburg, Virginia   22075-1403</t>
  </si>
  <si>
    <t>441 - 4th Street, N.W.  20001</t>
  </si>
  <si>
    <t>Mr. R. J. Gozikowski</t>
  </si>
  <si>
    <t>Mr. Cy Jones</t>
  </si>
  <si>
    <t>Bureau of Operations</t>
  </si>
  <si>
    <t>County of Fairfax</t>
  </si>
  <si>
    <t>W.S.S.C.</t>
  </si>
  <si>
    <t>12000 Government Center Parkway</t>
  </si>
  <si>
    <t>14501 Sweitzer Lane</t>
  </si>
  <si>
    <t>Fairfax, Virginia  22035-0050</t>
  </si>
  <si>
    <t>Laurel, Maryland  20707-5903</t>
  </si>
  <si>
    <t>Mr. Ed Jones</t>
  </si>
  <si>
    <t>Mr. Paul Michaels</t>
  </si>
  <si>
    <t>Metro. Washington Airports Authority</t>
  </si>
  <si>
    <t>Washington Dulles International Airport</t>
  </si>
  <si>
    <t>P.O. Box 17045</t>
  </si>
  <si>
    <t>Washington, D.C.  20041-0045</t>
  </si>
  <si>
    <t>Metering Section</t>
  </si>
  <si>
    <t>Mr. Dennis W. King</t>
  </si>
  <si>
    <t>Director of Public Works</t>
  </si>
  <si>
    <t>Town of Vienna</t>
  </si>
  <si>
    <t>6000 Fred's Oak Road</t>
  </si>
  <si>
    <t>127 Center Street</t>
  </si>
  <si>
    <t>Burke, Virginia   22015</t>
  </si>
  <si>
    <t>Vienna, Virginia  22180</t>
  </si>
  <si>
    <t>Mr. David Lake</t>
  </si>
  <si>
    <t>Tanya Spano</t>
  </si>
  <si>
    <t>YR_FLOW_RPT</t>
  </si>
  <si>
    <t>YR_HC_RPT</t>
  </si>
  <si>
    <t>MO_FLOW_RPT</t>
  </si>
  <si>
    <t>MO_RECAP</t>
  </si>
  <si>
    <t>WSSC_ALL</t>
  </si>
  <si>
    <t>Dept. of Environmental Protection</t>
  </si>
  <si>
    <t>Department of Environmental Programs</t>
  </si>
  <si>
    <t>Montgomery County Office Building</t>
  </si>
  <si>
    <t>Council of Governments</t>
  </si>
  <si>
    <t>LINK</t>
  </si>
  <si>
    <t>101 Monroe Street</t>
  </si>
  <si>
    <t>Suite 300</t>
  </si>
  <si>
    <t>Rockville, Maryland  20850</t>
  </si>
  <si>
    <t>777 North Capitol Street, N.E.</t>
  </si>
  <si>
    <t>Washington, D.C.  20002-4201</t>
  </si>
  <si>
    <t>Chairman</t>
  </si>
  <si>
    <t>David Taylor Naval Ship R&amp;D Center</t>
  </si>
  <si>
    <t>Bethesda, Maryland  20034</t>
  </si>
  <si>
    <t>Attention: Code 542</t>
  </si>
  <si>
    <t>IN-HOUSE</t>
  </si>
  <si>
    <t>Pat Davis</t>
  </si>
  <si>
    <t>Executive Director</t>
  </si>
  <si>
    <t>BOTH SHEETS</t>
  </si>
  <si>
    <t>Flow Monitoring Section</t>
  </si>
  <si>
    <t>I.C.P.R.B.</t>
  </si>
  <si>
    <t>E-MAIL</t>
  </si>
  <si>
    <t>6110 Executive Boulevard</t>
  </si>
  <si>
    <t>MICHAEL MARCOTTE</t>
  </si>
  <si>
    <t>AGM</t>
  </si>
  <si>
    <t>Rockville, Maryland  20852-3903</t>
  </si>
  <si>
    <t>LEONARD BENSON</t>
  </si>
  <si>
    <t>DETS</t>
  </si>
  <si>
    <t>Director, Water Protection Division</t>
  </si>
  <si>
    <t>Superintendent</t>
  </si>
  <si>
    <t>ROGER GANS</t>
  </si>
  <si>
    <t>E.P.A.      Region III</t>
  </si>
  <si>
    <t>C&amp;O Canal National Park</t>
  </si>
  <si>
    <t>MOHSIN SIDIQUE</t>
  </si>
  <si>
    <t>841 Chestnut Building</t>
  </si>
  <si>
    <t>P.O. Box 4</t>
  </si>
  <si>
    <t>Philadelphia, Pennsylvania  19107</t>
  </si>
  <si>
    <t>Sharpsburg, Maryland  21782</t>
  </si>
  <si>
    <t>WALTER BAILEY</t>
  </si>
  <si>
    <t>DWT</t>
  </si>
  <si>
    <t>AKLILE TESFAYE</t>
  </si>
  <si>
    <t>Mr. Tom Faha</t>
  </si>
  <si>
    <t>Virginia Dept. of Env. Quality</t>
  </si>
  <si>
    <t>13901 Crown Ct.</t>
  </si>
  <si>
    <t>JEAN WILSON</t>
  </si>
  <si>
    <t>CFO</t>
  </si>
  <si>
    <t>Woodbridge, Virginia  22193-1453</t>
  </si>
  <si>
    <t>DETS/A.R.I.- 8/2002</t>
  </si>
  <si>
    <t>J:\DATA\OES\JURISDICTION FLOWS\SEWER\</t>
  </si>
  <si>
    <t>SOPJUSER\RPT_FLOW_CHRT.XLS</t>
  </si>
  <si>
    <t xml:space="preserve">MONTHLY FLOW REPORTS </t>
  </si>
  <si>
    <t>PAGE 1 OF 2</t>
  </si>
  <si>
    <t>(MO_FLOW_RPT  &amp; MO_RECAP)</t>
  </si>
  <si>
    <t>STANDARD OPERATING PROCEDURE</t>
  </si>
  <si>
    <t>(S.O.P.)</t>
  </si>
  <si>
    <t>NOTE.- THIS  PROCEDURE MUST BE FOLLOWED IN ORDER TO PRESERVE</t>
  </si>
  <si>
    <t>VALUED INFORMATION AND TO ESTABLISH INFORMATIONAL "LINKS"</t>
  </si>
  <si>
    <t>THAT WILL DEVELOP THE REPORTS. THE REPORTS ARE TABS IN THE</t>
  </si>
  <si>
    <r>
      <t xml:space="preserve">WORKBOOK </t>
    </r>
    <r>
      <rPr>
        <b/>
        <sz val="10"/>
        <rFont val="Arial"/>
        <family val="2"/>
      </rPr>
      <t>" __JUSER.XLS"</t>
    </r>
  </si>
  <si>
    <t>DESCRIPTION</t>
  </si>
  <si>
    <t>STEPS</t>
  </si>
  <si>
    <t>1.-</t>
  </si>
  <si>
    <r>
      <t xml:space="preserve">IN </t>
    </r>
    <r>
      <rPr>
        <b/>
        <sz val="10"/>
        <rFont val="Arial"/>
        <family val="2"/>
      </rPr>
      <t>MO_FLOW_RPT TAB</t>
    </r>
    <r>
      <rPr>
        <sz val="10"/>
        <rFont val="Arial"/>
        <family val="2"/>
      </rPr>
      <t xml:space="preserve"> PREPARE TAB FOR RECEIPT OF DATA FROM JURISDICTION TABS</t>
    </r>
  </si>
  <si>
    <t>BY HIDING TOP ROW AND COPYING FORMULAE DOWN TO NEXT LINE.</t>
  </si>
  <si>
    <t>2.-</t>
  </si>
  <si>
    <t xml:space="preserve">COPY FLOW DATA FROM JURISDICTIONAL FLOW SHEETS TO THE </t>
  </si>
  <si>
    <r>
      <t xml:space="preserve">RELEVANT JURISDICTIONAL FLOW TABS SUCH AS </t>
    </r>
    <r>
      <rPr>
        <b/>
        <sz val="10"/>
        <rFont val="Arial"/>
        <family val="2"/>
      </rPr>
      <t xml:space="preserve">WSSC_ALL. </t>
    </r>
  </si>
  <si>
    <t>3.-</t>
  </si>
  <si>
    <r>
      <t xml:space="preserve">CHECK FORMULAE IN </t>
    </r>
    <r>
      <rPr>
        <b/>
        <sz val="10"/>
        <rFont val="Arial"/>
        <family val="2"/>
      </rPr>
      <t>MO_FLOW_RPT</t>
    </r>
    <r>
      <rPr>
        <sz val="10"/>
        <rFont val="Arial"/>
        <family val="2"/>
      </rPr>
      <t xml:space="preserve"> TAB REFERENCE THE RIGHT CELL IN JURISDICTIONAL TABS AND </t>
    </r>
  </si>
  <si>
    <r>
      <t xml:space="preserve">INPUT THE RAINFALL TOTAL FOR THE MONTH FROM </t>
    </r>
    <r>
      <rPr>
        <sz val="10"/>
        <color indexed="12"/>
        <rFont val="Arial"/>
        <family val="2"/>
      </rPr>
      <t xml:space="preserve">http://www.weather.gov/climate/index.php?wfo=lwx </t>
    </r>
  </si>
  <si>
    <t>ALSO INPUT THE MONTHLY EXCESS FLOW, 12 MONTH AVG. EXCESS FLOW AND WATER USAGE VALUES.</t>
  </si>
  <si>
    <t>4.-</t>
  </si>
  <si>
    <r>
      <t xml:space="preserve">AT BOTTOM OF </t>
    </r>
    <r>
      <rPr>
        <b/>
        <sz val="10"/>
        <rFont val="Arial"/>
        <family val="2"/>
      </rPr>
      <t xml:space="preserve">MO_FLOW_RPT </t>
    </r>
    <r>
      <rPr>
        <sz val="10"/>
        <rFont val="Arial"/>
        <family val="2"/>
      </rPr>
      <t xml:space="preserve">TAB UPDATE FORMULAE FOR MIN, MAX AND AVERAGE JURISDICTION </t>
    </r>
  </si>
  <si>
    <t>FLOWS USING FIND AND REPLACE.</t>
  </si>
  <si>
    <t>5.-</t>
  </si>
  <si>
    <r>
      <t xml:space="preserve">IN </t>
    </r>
    <r>
      <rPr>
        <b/>
        <sz val="10"/>
        <rFont val="Arial"/>
        <family val="2"/>
      </rPr>
      <t>MO_RECAP</t>
    </r>
    <r>
      <rPr>
        <sz val="10"/>
        <rFont val="Arial"/>
        <family val="2"/>
      </rPr>
      <t xml:space="preserve"> UPDATE FORMULAE IN WITH LATEST ROW NUMBERS FROM JURISDICTION TABS.</t>
    </r>
  </si>
  <si>
    <t>6.-</t>
  </si>
  <si>
    <r>
      <t xml:space="preserve">IN </t>
    </r>
    <r>
      <rPr>
        <b/>
        <sz val="10"/>
        <rFont val="Arial"/>
        <family val="2"/>
      </rPr>
      <t xml:space="preserve">MO_RECAP </t>
    </r>
    <r>
      <rPr>
        <sz val="10"/>
        <rFont val="Arial"/>
        <family val="2"/>
      </rPr>
      <t xml:space="preserve">TAB ROW 82 UPDATE THE FORMULAE FOR MONTHLY AVG </t>
    </r>
  </si>
  <si>
    <t>DAILY DOWN &amp; MONTHLY AVG PEAK. ALSO MANUALLY INPUT VALUE FOR MONTHLY AVERAGE PEAK RATE.</t>
  </si>
  <si>
    <t>7.-</t>
  </si>
  <si>
    <r>
      <t xml:space="preserve">IN </t>
    </r>
    <r>
      <rPr>
        <b/>
        <sz val="10"/>
        <rFont val="Arial"/>
        <family val="2"/>
      </rPr>
      <t xml:space="preserve">CHART 1 </t>
    </r>
    <r>
      <rPr>
        <sz val="10"/>
        <rFont val="Arial"/>
        <family val="2"/>
      </rPr>
      <t>TAB</t>
    </r>
    <r>
      <rPr>
        <sz val="10"/>
        <rFont val="Arial"/>
        <family val="2"/>
      </rPr>
      <t xml:space="preserve"> UPDATE HEADINGS AND X-AXIS LABELS AND GRAPH VALUES TO REFLECT CURRENT RANGE</t>
    </r>
  </si>
  <si>
    <t>8.-</t>
  </si>
  <si>
    <r>
      <t xml:space="preserve">IN </t>
    </r>
    <r>
      <rPr>
        <b/>
        <sz val="10"/>
        <rFont val="Arial"/>
        <family val="2"/>
      </rPr>
      <t xml:space="preserve">CHART 2 </t>
    </r>
    <r>
      <rPr>
        <sz val="10"/>
        <rFont val="Arial"/>
        <family val="2"/>
      </rPr>
      <t xml:space="preserve">TAB </t>
    </r>
    <r>
      <rPr>
        <sz val="10"/>
        <rFont val="Arial"/>
        <family val="2"/>
      </rPr>
      <t xml:space="preserve">UPDATE HEADINGS AND THE DATA SOURCE TO REFLECT CURRENT INFORMATION. </t>
    </r>
  </si>
  <si>
    <t>ALSO UPDATE THE EXCESS FLOW DATA VALUE AT THE BOTTOM OF THE CHART.</t>
  </si>
  <si>
    <t xml:space="preserve">ADDITIONAL INFORMATION REQUIRED FOR INTERNAL USE. </t>
  </si>
  <si>
    <r>
      <t xml:space="preserve">IN </t>
    </r>
    <r>
      <rPr>
        <sz val="10"/>
        <rFont val="Arial"/>
        <family val="2"/>
      </rPr>
      <t>SPREADSHEET</t>
    </r>
    <r>
      <rPr>
        <b/>
        <sz val="10"/>
        <rFont val="Arial"/>
        <family val="2"/>
      </rPr>
      <t xml:space="preserve"> ALLFLOWS </t>
    </r>
    <r>
      <rPr>
        <sz val="10"/>
        <rFont val="Arial"/>
        <family val="2"/>
      </rPr>
      <t>AND TAB</t>
    </r>
    <r>
      <rPr>
        <b/>
        <sz val="10"/>
        <rFont val="Arial"/>
        <family val="2"/>
      </rPr>
      <t xml:space="preserve"> ALLFLOWS </t>
    </r>
    <r>
      <rPr>
        <sz val="10"/>
        <rFont val="Arial"/>
        <family val="2"/>
      </rPr>
      <t>ADD A NEW LINE FOR CURRENT MONTH AND</t>
    </r>
    <r>
      <rPr>
        <b/>
        <sz val="10"/>
        <rFont val="Arial"/>
        <family val="2"/>
      </rPr>
      <t xml:space="preserve"> </t>
    </r>
  </si>
  <si>
    <t xml:space="preserve">UPDATE THE PUMP FLOW DATA AND FORMULAE. </t>
  </si>
  <si>
    <r>
      <t xml:space="preserve">IN </t>
    </r>
    <r>
      <rPr>
        <sz val="10"/>
        <rFont val="Arial"/>
        <family val="2"/>
      </rPr>
      <t>SPREADSHEET</t>
    </r>
    <r>
      <rPr>
        <b/>
        <sz val="10"/>
        <rFont val="Arial"/>
        <family val="2"/>
      </rPr>
      <t xml:space="preserve"> ALLFLOWS </t>
    </r>
    <r>
      <rPr>
        <sz val="10"/>
        <rFont val="Arial"/>
        <family val="2"/>
      </rPr>
      <t>AND TAB</t>
    </r>
    <r>
      <rPr>
        <b/>
        <sz val="10"/>
        <rFont val="Arial"/>
        <family val="2"/>
      </rPr>
      <t xml:space="preserve"> FLOWCHECK </t>
    </r>
    <r>
      <rPr>
        <sz val="10"/>
        <rFont val="Arial"/>
        <family val="2"/>
      </rPr>
      <t>INSERT A NEW LINE AND UPDATE</t>
    </r>
  </si>
  <si>
    <t xml:space="preserve">TO REFLECT THE LATEST INFORMATION. </t>
  </si>
  <si>
    <r>
      <t xml:space="preserve">IN SPREADSHEET </t>
    </r>
    <r>
      <rPr>
        <b/>
        <sz val="10"/>
        <rFont val="Arial"/>
        <family val="2"/>
      </rPr>
      <t xml:space="preserve">BP-DC-FAIRLAND </t>
    </r>
    <r>
      <rPr>
        <sz val="10"/>
        <rFont val="Arial"/>
        <family val="2"/>
      </rPr>
      <t xml:space="preserve">SPREADSHEET ENTER THE GW ELEV AND RAINFALL DATA </t>
    </r>
  </si>
  <si>
    <r>
      <t xml:space="preserve">IN SPREADSHEET </t>
    </r>
    <r>
      <rPr>
        <b/>
        <sz val="10"/>
        <rFont val="Arial"/>
        <family val="2"/>
      </rPr>
      <t xml:space="preserve">BP-DC-FAIRLAND </t>
    </r>
    <r>
      <rPr>
        <sz val="10"/>
        <rFont val="Arial"/>
        <family val="2"/>
      </rPr>
      <t>SPREADSHEET  UPDATE CHART WITH LATEST DATA.</t>
    </r>
  </si>
  <si>
    <r>
      <t xml:space="preserve">  THE </t>
    </r>
    <r>
      <rPr>
        <b/>
        <sz val="10"/>
        <rFont val="Arial"/>
        <family val="2"/>
      </rPr>
      <t>"MO_FLOW_RPT"</t>
    </r>
    <r>
      <rPr>
        <sz val="10"/>
        <rFont val="Arial"/>
        <family val="2"/>
      </rPr>
      <t xml:space="preserve"> IS NOW SET UP TO RECEIVE THE PERTINENT INFORMATION </t>
    </r>
  </si>
  <si>
    <t xml:space="preserve">THAT WILL BE ENTERED IN EACH OF THE JURISDICTIONS TABS-SPREADSHEETS. </t>
  </si>
  <si>
    <r>
      <t xml:space="preserve">THE JURISDICTIONS SPREADSHEETS ARE LINKED(CELLS) TO THE </t>
    </r>
    <r>
      <rPr>
        <b/>
        <sz val="10"/>
        <rFont val="Arial"/>
        <family val="2"/>
      </rPr>
      <t>"MO_FLOW_RPT"</t>
    </r>
    <r>
      <rPr>
        <sz val="10"/>
        <rFont val="Arial"/>
        <family val="2"/>
      </rPr>
      <t>.</t>
    </r>
  </si>
  <si>
    <t>DETS / A.R.I. - 8/08/02</t>
  </si>
  <si>
    <t>ANNUAL SEWER SERVICE BILLING - FISCAL YEAR 2009</t>
  </si>
  <si>
    <t>OCTOBER 1, 2008 THRU SEPTEMBER 30, 2009</t>
  </si>
  <si>
    <t xml:space="preserve">FINAL FLOWS (ANN. AVG. FLOWS THRU SEPTEMBER) -PREP. 10/22/2009- </t>
  </si>
  <si>
    <t>LINE</t>
  </si>
  <si>
    <t xml:space="preserve">      FLOWS IN M.G.D.</t>
  </si>
  <si>
    <t>%</t>
  </si>
  <si>
    <t xml:space="preserve"> OF USE BY</t>
  </si>
  <si>
    <t>TOTAL</t>
  </si>
  <si>
    <t>ANN. AVG.</t>
  </si>
  <si>
    <t>SEGMENT</t>
  </si>
  <si>
    <t>NO.</t>
  </si>
  <si>
    <t>JOB NO.</t>
  </si>
  <si>
    <t>FACILITY</t>
  </si>
  <si>
    <t>LOUDOUN</t>
  </si>
  <si>
    <t>PARKS</t>
  </si>
  <si>
    <t>NAVY</t>
  </si>
  <si>
    <t>D.C.</t>
  </si>
  <si>
    <t>EXPENDITURES</t>
  </si>
  <si>
    <t>CAPACITY</t>
  </si>
  <si>
    <t>|</t>
  </si>
  <si>
    <t>POTOMAC INTERCEPTOR SEWER</t>
  </si>
  <si>
    <t>R4173</t>
  </si>
  <si>
    <t>Horsepen Run to the D.C. Line</t>
  </si>
  <si>
    <t>LITTLE FALLS TRUNK SEWER</t>
  </si>
  <si>
    <t>R4001</t>
  </si>
  <si>
    <t xml:space="preserve">     </t>
  </si>
  <si>
    <t>UPPER POTOMAC INTERCEPTOR SEWER</t>
  </si>
  <si>
    <t>A-B</t>
  </si>
  <si>
    <t>D.C. Line to Newark Street</t>
  </si>
  <si>
    <t>R4002</t>
  </si>
  <si>
    <t xml:space="preserve">     Original Sewer - WSSC &gt;28.2 MGD</t>
  </si>
  <si>
    <t>R4006</t>
  </si>
  <si>
    <t xml:space="preserve">     Relief Sewer</t>
  </si>
  <si>
    <t>B-C</t>
  </si>
  <si>
    <t>Newark Street to Chain Bridge</t>
  </si>
  <si>
    <t xml:space="preserve"> </t>
  </si>
  <si>
    <t>R4003</t>
  </si>
  <si>
    <t xml:space="preserve">     Original Sewer - WSSC &gt;33.9 MGD</t>
  </si>
  <si>
    <t>R4007</t>
  </si>
  <si>
    <t xml:space="preserve">     Relief Sewer &lt; 33.9 MGD</t>
  </si>
  <si>
    <t>@C</t>
  </si>
  <si>
    <t>Chain Bridge</t>
  </si>
  <si>
    <t>R4067</t>
  </si>
  <si>
    <t xml:space="preserve">     Chain Bridge Meter &amp; Conn.</t>
  </si>
  <si>
    <t>C-D</t>
  </si>
  <si>
    <t>Chain Bridge to Glover Archibold</t>
  </si>
  <si>
    <t>R4004</t>
  </si>
  <si>
    <t>R4008</t>
  </si>
  <si>
    <t>D-E</t>
  </si>
  <si>
    <t>Glover Archibold to 27th &amp; K Sts.</t>
  </si>
  <si>
    <t>R4005</t>
  </si>
  <si>
    <t>R4009</t>
  </si>
  <si>
    <t>ROCK CREEK MAIN INTERCEPTOR</t>
  </si>
  <si>
    <t>G-H'</t>
  </si>
  <si>
    <t>D.C. Line to East Beach Dr.</t>
  </si>
  <si>
    <t>R4010</t>
  </si>
  <si>
    <t xml:space="preserve">     Original Sewer</t>
  </si>
  <si>
    <t>H'-H</t>
  </si>
  <si>
    <t>East Beach Dr. to Pinehurst Stream</t>
  </si>
  <si>
    <t>R4011</t>
  </si>
  <si>
    <t>G-H</t>
  </si>
  <si>
    <t>D.C. Line to Pinehurst Stream</t>
  </si>
  <si>
    <t>R4022</t>
  </si>
  <si>
    <t>H-I</t>
  </si>
  <si>
    <t>R4012</t>
  </si>
  <si>
    <t>Pinehurst Stream to Military Road</t>
  </si>
  <si>
    <t>I-J</t>
  </si>
  <si>
    <t>Military Road to 1200' South</t>
  </si>
  <si>
    <t>R4013</t>
  </si>
  <si>
    <t>R4023</t>
  </si>
  <si>
    <t>J-K</t>
  </si>
  <si>
    <t>R4014</t>
  </si>
  <si>
    <t>1200' South of Military to Broad Br</t>
  </si>
  <si>
    <t>K-L</t>
  </si>
  <si>
    <t>Broad Branch Rd. to Klingle Rd.</t>
  </si>
  <si>
    <t>R4015</t>
  </si>
  <si>
    <t>R4024</t>
  </si>
  <si>
    <t>L-M</t>
  </si>
  <si>
    <t>R4016</t>
  </si>
  <si>
    <t>Klingle Rd. to South End of Zoo</t>
  </si>
  <si>
    <t>M-N</t>
  </si>
  <si>
    <t xml:space="preserve">South End of Zoo to Normanstone </t>
  </si>
  <si>
    <t>R4017</t>
  </si>
  <si>
    <t>R4025</t>
  </si>
  <si>
    <t>N-O</t>
  </si>
  <si>
    <t>Normanstone Terr. to Montrose Park</t>
  </si>
  <si>
    <t>R4018</t>
  </si>
  <si>
    <t>R4026</t>
  </si>
  <si>
    <t>O-P</t>
  </si>
  <si>
    <t>Montrose Park to "P" Street</t>
  </si>
  <si>
    <t>R4019</t>
  </si>
  <si>
    <t>R4027</t>
  </si>
  <si>
    <t>P-E</t>
  </si>
  <si>
    <t>R4020</t>
  </si>
  <si>
    <t>P Street to 27th &amp; K Sts.</t>
  </si>
  <si>
    <t>E-Q</t>
  </si>
  <si>
    <t>27th &amp; K Sts. to Potomac Pump. Sta.</t>
  </si>
  <si>
    <t>R4021</t>
  </si>
  <si>
    <t>R4028</t>
  </si>
  <si>
    <t>POTOMAC RIVER FORCEMAINS</t>
  </si>
  <si>
    <t>Q-X</t>
  </si>
  <si>
    <t>R4029</t>
  </si>
  <si>
    <t>Potomac Pump. Sta. to Naval Air Sta.</t>
  </si>
  <si>
    <t>WATTS BRANCH TRUNK SEWER</t>
  </si>
  <si>
    <t>R4030</t>
  </si>
  <si>
    <t>56th &amp; Dix Sts. to Upper Anacostia  SPS</t>
  </si>
  <si>
    <t>ANACOSTIA MAIN INTERCEPTOR</t>
  </si>
  <si>
    <t>R-S</t>
  </si>
  <si>
    <t>R4031</t>
  </si>
  <si>
    <t xml:space="preserve">Upper Anac. Sta. to Poplar Point </t>
  </si>
  <si>
    <t xml:space="preserve">    </t>
  </si>
  <si>
    <t>ANACOSTIA FORCEMAIN (PROJECT 89)</t>
  </si>
  <si>
    <t>T-U</t>
  </si>
  <si>
    <t>R4034</t>
  </si>
  <si>
    <t>WSSC SPS #2 to Eastside Connection</t>
  </si>
  <si>
    <t>U-V</t>
  </si>
  <si>
    <t>R4035</t>
  </si>
  <si>
    <t>Eastside Connection to Barry Road Screens</t>
  </si>
  <si>
    <t>ANACOSTIA FORCEMAIN &amp; GRAVITY SEWER</t>
  </si>
  <si>
    <t>R4032</t>
  </si>
  <si>
    <t>R4033</t>
  </si>
  <si>
    <t>OUTFALL SEWERS</t>
  </si>
  <si>
    <t>S-V</t>
  </si>
  <si>
    <t>R4036</t>
  </si>
  <si>
    <t>Poplar Pt. Sta. to Barry Rd. Screen</t>
  </si>
  <si>
    <t>V-X</t>
  </si>
  <si>
    <t>R4039</t>
  </si>
  <si>
    <t>Barry Rd. Screen to Naval Air Sta.</t>
  </si>
  <si>
    <t>X-W</t>
  </si>
  <si>
    <t>R4040</t>
  </si>
  <si>
    <t>Naval Air Sta. to Bolling AFB</t>
  </si>
  <si>
    <t>V-W</t>
  </si>
  <si>
    <t>R4037</t>
  </si>
  <si>
    <t>Barry Rd. Screen to Bolling AFB</t>
  </si>
  <si>
    <t>W-Z</t>
  </si>
  <si>
    <t>Bolling AFB to Blue Plains WWTP</t>
  </si>
  <si>
    <t>R4038</t>
  </si>
  <si>
    <t>R4041</t>
  </si>
  <si>
    <t>OXON RUN INTERCEPTOR</t>
  </si>
  <si>
    <t>*-Y</t>
  </si>
  <si>
    <t>Southern &amp; Miss. Aves. to 1st &amp; Joliet Sts.</t>
  </si>
  <si>
    <t>R4042</t>
  </si>
  <si>
    <t>Southern &amp; Barnaby to 1st &amp; Joliet</t>
  </si>
  <si>
    <t>R4044</t>
  </si>
  <si>
    <t>Y-Z</t>
  </si>
  <si>
    <t>1st &amp; Joliet to Blue Plains WWTP</t>
  </si>
  <si>
    <t>R4043</t>
  </si>
  <si>
    <t>R4045</t>
  </si>
  <si>
    <t>SEWAGE METERS</t>
  </si>
  <si>
    <t xml:space="preserve">  </t>
  </si>
  <si>
    <t>R4053</t>
  </si>
  <si>
    <t>Upper Potomac Interceptor</t>
  </si>
  <si>
    <t>F-B</t>
  </si>
  <si>
    <t>R4054</t>
  </si>
  <si>
    <t>Little Falls Trunk Sewer</t>
  </si>
  <si>
    <t>R4055</t>
  </si>
  <si>
    <t>Rock Creek Main Interceptor</t>
  </si>
  <si>
    <t>R4056</t>
  </si>
  <si>
    <t>East Beach Drive</t>
  </si>
  <si>
    <t>R4059</t>
  </si>
  <si>
    <t>Watts Branch - 56th &amp; Dix Sts., N.E.</t>
  </si>
  <si>
    <t>R4061</t>
  </si>
  <si>
    <t>Oxon Run Trunk Sewer</t>
  </si>
  <si>
    <t>R4062</t>
  </si>
  <si>
    <t>8th Street, S.E. S. of Chesapeake St.</t>
  </si>
  <si>
    <t>R4063</t>
  </si>
  <si>
    <t>Owens Road &amp; Southern Ave., S.E.</t>
  </si>
  <si>
    <t>R4064</t>
  </si>
  <si>
    <t>Indian Head Hwy. &amp; Audrey Lane</t>
  </si>
  <si>
    <t>R4171</t>
  </si>
  <si>
    <t>Poplar Point Pumping Station</t>
  </si>
  <si>
    <t>R4058</t>
  </si>
  <si>
    <t>WSSC's Anacostia Pumping Station No.2</t>
  </si>
  <si>
    <t>R4057</t>
  </si>
  <si>
    <t>Valley Drive/Kennedy Street, N.E.</t>
  </si>
  <si>
    <t>R4060</t>
  </si>
  <si>
    <t>Belt Road/Fort Dupont Street, S.E.</t>
  </si>
  <si>
    <t>R4065</t>
  </si>
  <si>
    <t>30th Street &amp; Suitland Parkway, S.E.</t>
  </si>
  <si>
    <t>R4066</t>
  </si>
  <si>
    <t>WASA (BLUE PLAINS COB)</t>
  </si>
  <si>
    <t>@Q</t>
  </si>
  <si>
    <t>POTOMAC SEWAGE PUMPING STATION</t>
  </si>
  <si>
    <t>R4048</t>
  </si>
  <si>
    <t>GENERAL 0&amp;M</t>
  </si>
  <si>
    <t>WATER</t>
  </si>
  <si>
    <t>@S</t>
  </si>
  <si>
    <t>POPLAR POINT PUMPING STATION</t>
  </si>
  <si>
    <t>R4049</t>
  </si>
  <si>
    <t>@R</t>
  </si>
  <si>
    <t>UPPER ANACOSTIA PUMPING STATION</t>
  </si>
  <si>
    <t>R4047</t>
  </si>
  <si>
    <t>GENERAL O&amp;M</t>
  </si>
  <si>
    <t>@E</t>
  </si>
  <si>
    <t>ROCK CREEK PUMPING STATION</t>
  </si>
  <si>
    <t>R4050</t>
  </si>
  <si>
    <t>@V</t>
  </si>
  <si>
    <t>BARRY ROAD SCREENS CHAMBER</t>
  </si>
  <si>
    <t>R4051</t>
  </si>
  <si>
    <t>@W</t>
  </si>
  <si>
    <t>BOLLING AFB OVERFLOW CHAMBER</t>
  </si>
  <si>
    <t>R4052</t>
  </si>
  <si>
    <t>@Z</t>
  </si>
  <si>
    <t>BLUE PLAINS WWTP</t>
  </si>
  <si>
    <t>SLUDGE</t>
  </si>
  <si>
    <t>EXCESS FLOW (D.C. 1/8 OF COST PER MGD)</t>
  </si>
  <si>
    <t>INDIRECT @ 9.92%</t>
  </si>
  <si>
    <t>R3021</t>
  </si>
  <si>
    <t>SITE 2 SLUDGE COSTS</t>
  </si>
  <si>
    <t>TOTAL O&amp;M COSTS</t>
  </si>
  <si>
    <t>USER FEES</t>
  </si>
  <si>
    <t>TRANSMISSION RENTALS</t>
  </si>
  <si>
    <t>TREATMENT RENTALS</t>
  </si>
  <si>
    <t>GRAND TOTALS</t>
  </si>
  <si>
    <t>BLUE PLAINS/SITE 2 ONLY</t>
  </si>
  <si>
    <t>F.Y.</t>
  </si>
  <si>
    <t>SEWAGE PUMPING STATIONS</t>
  </si>
  <si>
    <t>FLOW-MG</t>
  </si>
  <si>
    <t>MAIN</t>
  </si>
  <si>
    <t>"O" STREET</t>
  </si>
  <si>
    <t>POTOMAC</t>
  </si>
  <si>
    <t>POPLAR POINT</t>
  </si>
  <si>
    <t>EASTSIDE</t>
  </si>
  <si>
    <t>UPPER ANACOSTIA</t>
  </si>
  <si>
    <t>DC-WSSC ANACOSTIA</t>
  </si>
  <si>
    <t xml:space="preserve">OXON RUN </t>
  </si>
  <si>
    <t>SUMMARY OF SEWAGE FLOWS - FISCAL YEAR 2007 - ANN. AVG. AS OF SEPTEMBER 2007</t>
  </si>
  <si>
    <t>PREPARED BY  T. RAMOS</t>
  </si>
  <si>
    <t>METERED</t>
  </si>
  <si>
    <t>SEWAGE</t>
  </si>
  <si>
    <t>ANNUAL</t>
  </si>
  <si>
    <t>FLOW</t>
  </si>
  <si>
    <t>UNITS</t>
  </si>
  <si>
    <t>AVG. FLOW</t>
  </si>
  <si>
    <t>MINIBAS</t>
  </si>
  <si>
    <t>MARYLAND SEWER</t>
  </si>
  <si>
    <t>D.C. SEWER</t>
  </si>
  <si>
    <t>1000 GALS.</t>
  </si>
  <si>
    <t>DWELLINGS</t>
  </si>
  <si>
    <t>APTS.</t>
  </si>
  <si>
    <t>COMM.</t>
  </si>
  <si>
    <t>-----</t>
  </si>
  <si>
    <t>---</t>
  </si>
  <si>
    <t>-------------------------</t>
  </si>
  <si>
    <t>-------------</t>
  </si>
  <si>
    <t>-----------</t>
  </si>
  <si>
    <t>---------</t>
  </si>
  <si>
    <t>---------------</t>
  </si>
  <si>
    <t>--</t>
  </si>
  <si>
    <t>1</t>
  </si>
  <si>
    <t>POTOMAC METER</t>
  </si>
  <si>
    <t>UPPER POTOMAC INT.</t>
  </si>
  <si>
    <t>2</t>
  </si>
  <si>
    <t>12009</t>
  </si>
  <si>
    <t>LITTLE FALL BRANCH</t>
  </si>
  <si>
    <t>LITTLE FALLS BRANCH</t>
  </si>
  <si>
    <t>3</t>
  </si>
  <si>
    <t>12997</t>
  </si>
  <si>
    <t>BAYARD PLACE</t>
  </si>
  <si>
    <t>S. OF CHESAPEAKE ST.</t>
  </si>
  <si>
    <t>4</t>
  </si>
  <si>
    <t>ALLEN PLACE</t>
  </si>
  <si>
    <t>CHESAPEAKE STREET</t>
  </si>
  <si>
    <t>12999</t>
  </si>
  <si>
    <t>ARMY MAP SERVICE</t>
  </si>
  <si>
    <t>WSSC FLOW - LITTLE FALLS BRANCH</t>
  </si>
  <si>
    <t>303</t>
  </si>
  <si>
    <t>TAIT COURT</t>
  </si>
  <si>
    <t>48TH STREET</t>
  </si>
  <si>
    <t>302</t>
  </si>
  <si>
    <t>RIVER ROAD</t>
  </si>
  <si>
    <t>301</t>
  </si>
  <si>
    <t>CORTLAND ROAD</t>
  </si>
  <si>
    <t>45TH STREET</t>
  </si>
  <si>
    <t>MAC ARTHUR BLVD. CONN.</t>
  </si>
  <si>
    <t>D.C. FLOW - LITTLE FALLS BRANCH</t>
  </si>
  <si>
    <t>5</t>
  </si>
  <si>
    <t>05999</t>
  </si>
  <si>
    <t>IRVING STREET</t>
  </si>
  <si>
    <t>S. OF RITTENHOUSE ST.</t>
  </si>
  <si>
    <t>6</t>
  </si>
  <si>
    <t>KIRKE STREET</t>
  </si>
  <si>
    <t>S. OF RUNNYMEADE ST.</t>
  </si>
  <si>
    <t>7</t>
  </si>
  <si>
    <t>MELROSE STREET</t>
  </si>
  <si>
    <t>NEVADA AVENUE</t>
  </si>
  <si>
    <t>DIRECT CONNECTIONS</t>
  </si>
  <si>
    <t>WSSC FLOW - BROAD BRANCH/ROCK CREEK</t>
  </si>
  <si>
    <t>8</t>
  </si>
  <si>
    <t>05997</t>
  </si>
  <si>
    <t>PINEHURST CIRCLE</t>
  </si>
  <si>
    <t>PINEHURST RUN</t>
  </si>
  <si>
    <t>9</t>
  </si>
  <si>
    <t>05996</t>
  </si>
  <si>
    <t>TURNER'S LANE</t>
  </si>
  <si>
    <t>BEECH STREET</t>
  </si>
  <si>
    <t>10</t>
  </si>
  <si>
    <t>05995</t>
  </si>
  <si>
    <t>WINNETT ROAD</t>
  </si>
  <si>
    <t>CHESTNUT STREET</t>
  </si>
  <si>
    <t>WSSC FLOW - PINEHURST RUN/ROCK CREEK</t>
  </si>
  <si>
    <t>101D</t>
  </si>
  <si>
    <t>PINEHURST PARKWAY</t>
  </si>
  <si>
    <t>101E</t>
  </si>
  <si>
    <t>GREENVALE STREET</t>
  </si>
  <si>
    <t>101F</t>
  </si>
  <si>
    <t>WYNDALE ROAD</t>
  </si>
  <si>
    <t>N. OF 32ND STREET</t>
  </si>
  <si>
    <t>101G</t>
  </si>
  <si>
    <t>DANIEL ROAD</t>
  </si>
  <si>
    <t>OREGON AVENUE</t>
  </si>
  <si>
    <t>D.C FLOW - ROCK CREEK MAIN INTERCEPTOR</t>
  </si>
  <si>
    <t>11</t>
  </si>
  <si>
    <t>ROCK CREEK MAIN INT.</t>
  </si>
  <si>
    <t>12</t>
  </si>
  <si>
    <t>05994</t>
  </si>
  <si>
    <t>GRUBB ROAD</t>
  </si>
  <si>
    <t>13</t>
  </si>
  <si>
    <t>05993</t>
  </si>
  <si>
    <t>ROSEMARY HILLS</t>
  </si>
  <si>
    <t>E. BEACH DRIVE</t>
  </si>
  <si>
    <t>14</t>
  </si>
  <si>
    <t>05992</t>
  </si>
  <si>
    <t>COLUMBIA BLVD.</t>
  </si>
  <si>
    <t>W. BEACH DRIVE</t>
  </si>
  <si>
    <t>15</t>
  </si>
  <si>
    <t>05991</t>
  </si>
  <si>
    <t>16TH STREET</t>
  </si>
  <si>
    <t>NORTH PORTAL DRIVE</t>
  </si>
  <si>
    <t>16</t>
  </si>
  <si>
    <t>05990</t>
  </si>
  <si>
    <t>COLESVILLE ROAD</t>
  </si>
  <si>
    <t>SOUTH PORTAL DRIVE</t>
  </si>
  <si>
    <t>17</t>
  </si>
  <si>
    <t>05989</t>
  </si>
  <si>
    <t>BLAIR MILL ROAD</t>
  </si>
  <si>
    <t>NORTHGATE ROAD</t>
  </si>
  <si>
    <t>18</t>
  </si>
  <si>
    <t>NEWELL STREET</t>
  </si>
  <si>
    <t>14TH STREET</t>
  </si>
  <si>
    <t>19</t>
  </si>
  <si>
    <t>05988</t>
  </si>
  <si>
    <t>13TH STREET</t>
  </si>
  <si>
    <t>20</t>
  </si>
  <si>
    <t>05987</t>
  </si>
  <si>
    <t>WEST OF BLAIR ROAD</t>
  </si>
  <si>
    <t>HEMLOCK STREET</t>
  </si>
  <si>
    <t>WEST BEACH DRIVE METER</t>
  </si>
  <si>
    <t>WSSC FLOW - BEACH DRIVES/ROCK CREEK</t>
  </si>
  <si>
    <t>D.C. FLOW - WEST BEACH DRIVE METER</t>
  </si>
  <si>
    <t>21</t>
  </si>
  <si>
    <t>BLAIR ROAD</t>
  </si>
  <si>
    <t>22</t>
  </si>
  <si>
    <t>CARROLL AVENUE</t>
  </si>
  <si>
    <t>CARROLL ROAD</t>
  </si>
  <si>
    <t>WSSC FLOW - PINEY BRANCH</t>
  </si>
  <si>
    <t>612</t>
  </si>
  <si>
    <t>WEST OF CEDAR AVENUE</t>
  </si>
  <si>
    <t>611</t>
  </si>
  <si>
    <t>WALNUT STREET</t>
  </si>
  <si>
    <t>610</t>
  </si>
  <si>
    <t>3RD STREET</t>
  </si>
  <si>
    <t>KANSAS AVENUE</t>
  </si>
  <si>
    <t>609</t>
  </si>
  <si>
    <t>CHILLUM ROAD</t>
  </si>
  <si>
    <t>608</t>
  </si>
  <si>
    <t>EAST OF CHILLUM ROAD</t>
  </si>
  <si>
    <t>QUACKENBOS STREET</t>
  </si>
  <si>
    <t>607</t>
  </si>
  <si>
    <t>VALLEY DRIVE</t>
  </si>
  <si>
    <t>KENNEDY STREET</t>
  </si>
  <si>
    <t xml:space="preserve"> ---</t>
  </si>
  <si>
    <t>606</t>
  </si>
  <si>
    <t>GALLATIN STREET</t>
  </si>
  <si>
    <t>605</t>
  </si>
  <si>
    <t>ARUNDEL ROAD</t>
  </si>
  <si>
    <t>22ND STREET</t>
  </si>
  <si>
    <t>604</t>
  </si>
  <si>
    <t>37TH AVENUE</t>
  </si>
  <si>
    <t>WEST OF B&amp;O RAILROAD</t>
  </si>
  <si>
    <t>603</t>
  </si>
  <si>
    <t>34TH STREET</t>
  </si>
  <si>
    <t>MONROE STREET</t>
  </si>
  <si>
    <t>D.C FLOW - ANACOSTIA FORCEMAIN</t>
  </si>
  <si>
    <t>25</t>
  </si>
  <si>
    <t>ANACOSTIA METER</t>
  </si>
  <si>
    <t>KENILWORTH AVENUE</t>
  </si>
  <si>
    <t>26</t>
  </si>
  <si>
    <t>18971</t>
  </si>
  <si>
    <t>ADDISON CHAPEL ROAD</t>
  </si>
  <si>
    <t>MINNESOTA AVENUE</t>
  </si>
  <si>
    <t>27</t>
  </si>
  <si>
    <t>48TH PLACE</t>
  </si>
  <si>
    <t>N. OF QUARLES STREET</t>
  </si>
  <si>
    <t>28</t>
  </si>
  <si>
    <t>QUARLES STREET</t>
  </si>
  <si>
    <t>29</t>
  </si>
  <si>
    <t>50TH PLACE</t>
  </si>
  <si>
    <t>WEST OF NASH STREET</t>
  </si>
  <si>
    <t>30</t>
  </si>
  <si>
    <t>NYE STREET</t>
  </si>
  <si>
    <t>NASH STREET</t>
  </si>
  <si>
    <t>31</t>
  </si>
  <si>
    <t>MANN STREET</t>
  </si>
  <si>
    <t>MEADE STREET</t>
  </si>
  <si>
    <t>RIGGS RD.</t>
  </si>
  <si>
    <t>NEW HAMPSHIRE</t>
  </si>
  <si>
    <t>WSSC FLOW - ANACOSTIA MAIN INT.</t>
  </si>
  <si>
    <t>32</t>
  </si>
  <si>
    <t>18972</t>
  </si>
  <si>
    <t>PRINCETON STREET</t>
  </si>
  <si>
    <t>WEST OF 58TH STREET</t>
  </si>
  <si>
    <t>33</t>
  </si>
  <si>
    <t>18973</t>
  </si>
  <si>
    <t>WHITE AVENUE</t>
  </si>
  <si>
    <t>EAST OF 58TH STREET</t>
  </si>
  <si>
    <t>34</t>
  </si>
  <si>
    <t>18974</t>
  </si>
  <si>
    <t>CHAPEL ROAD</t>
  </si>
  <si>
    <t>EAST OF 60TH STREET</t>
  </si>
  <si>
    <t>35</t>
  </si>
  <si>
    <t>18975</t>
  </si>
  <si>
    <t>GREGORY HEIGHTS</t>
  </si>
  <si>
    <t>EAST OF 61ST STREET</t>
  </si>
  <si>
    <t>36</t>
  </si>
  <si>
    <t>18976</t>
  </si>
  <si>
    <t>62ND PLACE</t>
  </si>
  <si>
    <t>WEST OF DIX STREET</t>
  </si>
  <si>
    <t>37</t>
  </si>
  <si>
    <t>18977</t>
  </si>
  <si>
    <t>GEORGE PALMER HIGHWAY</t>
  </si>
  <si>
    <t>DIX STREET</t>
  </si>
  <si>
    <t>38</t>
  </si>
  <si>
    <t>18978</t>
  </si>
  <si>
    <t>EAST OF DIX STREET</t>
  </si>
  <si>
    <t>39</t>
  </si>
  <si>
    <t>18979</t>
  </si>
  <si>
    <t>EASTERN &amp; SOUTHERN AVES.</t>
  </si>
  <si>
    <t>SOUTHERN AVENUE</t>
  </si>
  <si>
    <t>40</t>
  </si>
  <si>
    <t>WATTS BR. - P.G. METER</t>
  </si>
  <si>
    <t>WATTS BRANCH</t>
  </si>
  <si>
    <t>41</t>
  </si>
  <si>
    <t>18980</t>
  </si>
  <si>
    <t>SHADYSIDE</t>
  </si>
  <si>
    <t>EAST CAPITOL STREET</t>
  </si>
  <si>
    <t>42</t>
  </si>
  <si>
    <t>61ST AVENUE</t>
  </si>
  <si>
    <t>61ST STREET</t>
  </si>
  <si>
    <t>WSSC FLOW - WATTS BRANCH TRUNK SEWER</t>
  </si>
  <si>
    <t>D.C. FLOW - WATTS BRANCH P.G. METER</t>
  </si>
  <si>
    <t>43</t>
  </si>
  <si>
    <t>18981</t>
  </si>
  <si>
    <t>M STREET &amp; SOUTHERN AVE.</t>
  </si>
  <si>
    <t>PINEY RUN</t>
  </si>
  <si>
    <t>44</t>
  </si>
  <si>
    <t>18982</t>
  </si>
  <si>
    <t>N STREET &amp; SOUTHERN AVE.</t>
  </si>
  <si>
    <t>H STREET</t>
  </si>
  <si>
    <t>45</t>
  </si>
  <si>
    <t>18983</t>
  </si>
  <si>
    <t>O STREET &amp; SOUTHERN AVE.</t>
  </si>
  <si>
    <t>46</t>
  </si>
  <si>
    <t>18984</t>
  </si>
  <si>
    <t>BENNING ROAD</t>
  </si>
  <si>
    <t>47</t>
  </si>
  <si>
    <t>18981-99</t>
  </si>
  <si>
    <t>MARLBORO ROAD</t>
  </si>
  <si>
    <t>BOWEN ROAD</t>
  </si>
  <si>
    <t>WSSC FLOW - BENNING ROAD TRUNK SEWER</t>
  </si>
  <si>
    <t>54</t>
  </si>
  <si>
    <t>UPPER OXON RUN</t>
  </si>
  <si>
    <t>401</t>
  </si>
  <si>
    <t>T STREET</t>
  </si>
  <si>
    <t>SOUTH OF BURNS STREET</t>
  </si>
  <si>
    <t>402</t>
  </si>
  <si>
    <t>BELT ROAD</t>
  </si>
  <si>
    <t>FORT DUPONT STREET</t>
  </si>
  <si>
    <t>403</t>
  </si>
  <si>
    <t>SOUTH OF SUITLAND PKWY</t>
  </si>
  <si>
    <t>404</t>
  </si>
  <si>
    <t>GREENWAY DRIVE</t>
  </si>
  <si>
    <t>36TH PLACE</t>
  </si>
  <si>
    <t>405</t>
  </si>
  <si>
    <t>FAIRHILL DRIVE</t>
  </si>
  <si>
    <t>NORTH OF BRANCH AVENUE</t>
  </si>
  <si>
    <t>406</t>
  </si>
  <si>
    <t>30TH ST.(SUITLAND MTR.)</t>
  </si>
  <si>
    <t>30TH STREET</t>
  </si>
  <si>
    <t>D.C. FLOW - UPPER OXON RUN</t>
  </si>
  <si>
    <t>55</t>
  </si>
  <si>
    <t>18993</t>
  </si>
  <si>
    <t>WHEELER ROAD</t>
  </si>
  <si>
    <t>56</t>
  </si>
  <si>
    <t>BARNABY BRANCH</t>
  </si>
  <si>
    <t>----------</t>
  </si>
  <si>
    <t>57</t>
  </si>
  <si>
    <t>18994</t>
  </si>
  <si>
    <t>OAKCREST STREET</t>
  </si>
  <si>
    <t>S. OF CHESAPEAKE STREET</t>
  </si>
  <si>
    <t>58</t>
  </si>
  <si>
    <t>OWENS ROAD</t>
  </si>
  <si>
    <t>BONINI ROAD</t>
  </si>
  <si>
    <t>59</t>
  </si>
  <si>
    <t>18995</t>
  </si>
  <si>
    <t>EAST MEADOWS STREET</t>
  </si>
  <si>
    <t>N OF BARNABY ROAD</t>
  </si>
  <si>
    <t>60</t>
  </si>
  <si>
    <t>18996</t>
  </si>
  <si>
    <t>AUDREY LANE</t>
  </si>
  <si>
    <t>GALVESTON STREET</t>
  </si>
  <si>
    <t>61</t>
  </si>
  <si>
    <t>18997</t>
  </si>
  <si>
    <t>DORCHESTER AVENUE</t>
  </si>
  <si>
    <t>SOUTH OF 6TH STREET</t>
  </si>
  <si>
    <t>62</t>
  </si>
  <si>
    <t>18998</t>
  </si>
  <si>
    <t>N. INDIAN HEAD HWY</t>
  </si>
  <si>
    <t>E. OF S. CAPITOL STREET</t>
  </si>
  <si>
    <t>63</t>
  </si>
  <si>
    <t>S. INDIAN HEAD HWY</t>
  </si>
  <si>
    <t>W. OF S. CAPITOL STREET</t>
  </si>
  <si>
    <t>WSSC FLOW - LOWER OXON RUN</t>
  </si>
  <si>
    <t>D.C. FLOW THRU WSSC METERS</t>
  </si>
  <si>
    <t>NET WSSC "DOWN" FLOW</t>
  </si>
  <si>
    <t>WSSC POTOMAC INTERCEPTOR FLOW</t>
  </si>
  <si>
    <t>TOTAL WSSC FLOW TO BLUE PLAINS</t>
  </si>
  <si>
    <t>NET HOUSE COUNT FLOW</t>
  </si>
  <si>
    <t>DC. TO WSSC METERS SUBTRACTED IN WSSC REPORT</t>
  </si>
  <si>
    <t>EXCLUDING NEW METERS</t>
  </si>
  <si>
    <t>NET WSSC</t>
  </si>
  <si>
    <t>MONTHLY</t>
  </si>
  <si>
    <t>AIRPORT</t>
  </si>
  <si>
    <t>12-MONTH</t>
  </si>
  <si>
    <t>PRECIP.</t>
  </si>
  <si>
    <t>YEAR</t>
  </si>
  <si>
    <t>MONTH</t>
  </si>
  <si>
    <t>INCHES</t>
  </si>
  <si>
    <t>PURCHASES</t>
  </si>
  <si>
    <t xml:space="preserve">JANUARY </t>
  </si>
  <si>
    <t>APRIL</t>
  </si>
  <si>
    <t xml:space="preserve">JUNE </t>
  </si>
  <si>
    <t xml:space="preserve">JULY </t>
  </si>
  <si>
    <t>AUGUST</t>
  </si>
  <si>
    <t>SEPTEMBER</t>
  </si>
  <si>
    <t>OCTOBER</t>
  </si>
  <si>
    <t>NOVEMBER</t>
  </si>
  <si>
    <t>DECEMBER</t>
  </si>
  <si>
    <t>FEBRUARY</t>
  </si>
  <si>
    <t>MARCH</t>
  </si>
  <si>
    <t>MAY</t>
  </si>
  <si>
    <t>JULY</t>
  </si>
  <si>
    <r>
      <t>NOVEMBER</t>
    </r>
    <r>
      <rPr>
        <b/>
        <sz val="12"/>
        <rFont val="Arial"/>
        <family val="2"/>
      </rPr>
      <t xml:space="preserve"> *</t>
    </r>
  </si>
  <si>
    <t>JUNE</t>
  </si>
  <si>
    <t>JANUARY</t>
  </si>
  <si>
    <t>PEAK</t>
  </si>
  <si>
    <t>RATE</t>
  </si>
  <si>
    <t>LITTLE FALLS</t>
  </si>
  <si>
    <t>NORTHSIDE</t>
  </si>
  <si>
    <t>CREEK CROSSING</t>
  </si>
  <si>
    <t>WSSC FLOWS</t>
  </si>
  <si>
    <t>MD. UPI</t>
  </si>
  <si>
    <t>EAST BEACH DRIVE</t>
  </si>
  <si>
    <t>ROCK CREEK FLUME - 36</t>
  </si>
  <si>
    <t>ROCK CREEK VENTURI - 48</t>
  </si>
  <si>
    <t>ROCK CREEK - TOTAL</t>
  </si>
  <si>
    <t xml:space="preserve">DC-WSSC - ANACOSTIA </t>
  </si>
  <si>
    <t>WATTS BRANCH - PG METER</t>
  </si>
  <si>
    <t>BARNABY BRANCH (8TH ST.)</t>
  </si>
  <si>
    <t>INDIAN HEAD HWY</t>
  </si>
  <si>
    <t xml:space="preserve"> UNMETERED -  WSSC - DOWN</t>
  </si>
  <si>
    <t>VALLEY DRIVE - D.C. THRU WSSC</t>
  </si>
  <si>
    <t>BELT ROAD - D.C. THRU WSSC</t>
  </si>
  <si>
    <t>SUITLAND PARKWAY - D.C. THRU WSSC</t>
  </si>
  <si>
    <t>UNMETERED - D.C. THRU WSSC</t>
  </si>
  <si>
    <t>CABIN JOHN - P.I.</t>
  </si>
  <si>
    <t>MUDDY BRANCH - P.I.</t>
  </si>
  <si>
    <t xml:space="preserve">WATTS RIVER RD - WATTS MONT. </t>
  </si>
  <si>
    <t>ROCK RUN - P.I.</t>
  </si>
  <si>
    <t>UNMETERED - WSSC -P.I.COUNT</t>
  </si>
  <si>
    <t xml:space="preserve"> TOTALS  - D.C. THRU WSSC</t>
  </si>
  <si>
    <t xml:space="preserve"> TOTALS  -  WSSC - DOWN</t>
  </si>
  <si>
    <t xml:space="preserve"> TOTALS  -  WSSC - P.I.</t>
  </si>
  <si>
    <t xml:space="preserve"> TOTALS  -  WSSC - </t>
  </si>
  <si>
    <t xml:space="preserve"> QUARTERTLY TOTALS  -  WSSC -  PI</t>
  </si>
  <si>
    <t>MUPI+CJPI</t>
  </si>
  <si>
    <t>TO BLUE PLAINS</t>
  </si>
  <si>
    <t>DAILY</t>
  </si>
  <si>
    <t>12-MONT</t>
  </si>
  <si>
    <t>QUARTER</t>
  </si>
  <si>
    <t>12MONTH - DAILY</t>
  </si>
  <si>
    <t>TOT. MG</t>
  </si>
  <si>
    <t>AVG.MGD</t>
  </si>
  <si>
    <t>AVG. MGD</t>
  </si>
  <si>
    <t>(301)206-8812</t>
  </si>
  <si>
    <t>OCT.</t>
  </si>
  <si>
    <t>NOV</t>
  </si>
  <si>
    <t>DEC.</t>
  </si>
  <si>
    <t>JAN.</t>
  </si>
  <si>
    <t>FEB.</t>
  </si>
  <si>
    <t>MAR.</t>
  </si>
  <si>
    <t xml:space="preserve">   N.A.</t>
  </si>
  <si>
    <t>APR.</t>
  </si>
  <si>
    <t>AUG.</t>
  </si>
  <si>
    <t>SEPT.</t>
  </si>
  <si>
    <t>N.A.</t>
  </si>
  <si>
    <t>NOV.</t>
  </si>
  <si>
    <t>FEB</t>
  </si>
  <si>
    <t>MAR</t>
  </si>
  <si>
    <t>APR</t>
  </si>
  <si>
    <t>NA</t>
  </si>
  <si>
    <t>N/A</t>
  </si>
  <si>
    <t>n/a</t>
  </si>
  <si>
    <t>y= -0.00227X + 20.519</t>
  </si>
  <si>
    <t>X</t>
  </si>
  <si>
    <t>oct</t>
  </si>
  <si>
    <t>nov</t>
  </si>
  <si>
    <t>dec</t>
  </si>
  <si>
    <t>jan</t>
  </si>
  <si>
    <t>Mont</t>
  </si>
  <si>
    <t>mar</t>
  </si>
  <si>
    <t>may</t>
  </si>
  <si>
    <t>jun</t>
  </si>
  <si>
    <t>jul</t>
  </si>
  <si>
    <t>aug</t>
  </si>
  <si>
    <t>sep</t>
  </si>
  <si>
    <t>May</t>
  </si>
  <si>
    <t xml:space="preserve">march </t>
  </si>
  <si>
    <t>June</t>
  </si>
  <si>
    <t>apriil</t>
  </si>
  <si>
    <t>July</t>
  </si>
  <si>
    <t xml:space="preserve">may </t>
  </si>
  <si>
    <t>August</t>
  </si>
  <si>
    <t xml:space="preserve">june </t>
  </si>
  <si>
    <t>September</t>
  </si>
  <si>
    <t xml:space="preserve">july </t>
  </si>
  <si>
    <t>October</t>
  </si>
  <si>
    <t xml:space="preserve">august </t>
  </si>
  <si>
    <t>November</t>
  </si>
  <si>
    <t xml:space="preserve">september </t>
  </si>
  <si>
    <t>December</t>
  </si>
  <si>
    <t>January</t>
  </si>
  <si>
    <t>February</t>
  </si>
  <si>
    <t>March</t>
  </si>
  <si>
    <t>April</t>
  </si>
  <si>
    <t>UNMETERED - VIENNA</t>
  </si>
  <si>
    <t>2002</t>
  </si>
  <si>
    <t>2006</t>
  </si>
  <si>
    <t>2017</t>
  </si>
  <si>
    <t>2020</t>
  </si>
  <si>
    <t>JURISDICTIONAL FLOW AS PROPORTION OF BP FLOW</t>
  </si>
  <si>
    <t>FFX</t>
  </si>
  <si>
    <t>GWL Deviation</t>
  </si>
  <si>
    <t>Rainfall DC</t>
  </si>
  <si>
    <t xml:space="preserve">12- Month Rainfall Total </t>
  </si>
  <si>
    <t>OCT</t>
  </si>
  <si>
    <t>DEC</t>
  </si>
  <si>
    <t>JAN</t>
  </si>
  <si>
    <t>SEPT</t>
  </si>
  <si>
    <t>JUN</t>
  </si>
  <si>
    <t>JUL</t>
  </si>
  <si>
    <t>AUG</t>
  </si>
  <si>
    <t>SEP</t>
  </si>
  <si>
    <t>Month To Month Declines</t>
  </si>
  <si>
    <t xml:space="preserve">Yearly Totals for Water Purchased </t>
  </si>
  <si>
    <t>Year to Year Change</t>
  </si>
  <si>
    <t xml:space="preserve">No Data </t>
  </si>
  <si>
    <t>DC without Tunnel Flows</t>
  </si>
  <si>
    <t>2021</t>
  </si>
  <si>
    <t>2022</t>
  </si>
  <si>
    <t>2023</t>
  </si>
  <si>
    <t>year</t>
  </si>
  <si>
    <t>Month</t>
  </si>
  <si>
    <t>month</t>
  </si>
  <si>
    <t>input_name</t>
  </si>
  <si>
    <t>flow</t>
  </si>
  <si>
    <t>UPI</t>
  </si>
  <si>
    <t>EAST_BEACH_DRIVE</t>
  </si>
  <si>
    <t>LITTLE_FALLS</t>
  </si>
  <si>
    <t>ROCKCREEK_VENTURI_36</t>
  </si>
  <si>
    <t>ROCKCREEK_VENTURI_48</t>
  </si>
  <si>
    <t>EASTBEACH_DRIVE</t>
  </si>
  <si>
    <t>WATTS_BRANCH</t>
  </si>
  <si>
    <t>OXON_RUN</t>
  </si>
  <si>
    <t>BARNABY</t>
  </si>
  <si>
    <t>OWENS</t>
  </si>
  <si>
    <t>UN_WSSC_DOWN</t>
  </si>
  <si>
    <t>VALLEY_DRIVE</t>
  </si>
  <si>
    <t>BELT</t>
  </si>
  <si>
    <t>SUITLAND</t>
  </si>
  <si>
    <t>UN_DC_WSSC</t>
  </si>
  <si>
    <t>CABIN_JOHN</t>
  </si>
  <si>
    <t>MUDDY</t>
  </si>
  <si>
    <t>WATTS_PI</t>
  </si>
  <si>
    <t>ROCK_RUN</t>
  </si>
  <si>
    <t>TOT_DC_WSSC</t>
  </si>
  <si>
    <t>TOT_WSSC_DOWN</t>
  </si>
  <si>
    <t>TOT_WSSC_PI</t>
  </si>
  <si>
    <t>TOT_WSSC</t>
  </si>
  <si>
    <t>vienna</t>
  </si>
  <si>
    <t>user</t>
  </si>
  <si>
    <t>input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</si>
</sst>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00"/>
    <numFmt numFmtId="165" formatCode="0.0"/>
    <numFmt numFmtId="166" formatCode="0.000;[Red]0.000"/>
    <numFmt numFmtId="167" formatCode="mmmmm"/>
    <numFmt numFmtId="168" formatCode="#,##0.000"/>
    <numFmt numFmtId="170" formatCode="0.00000"/>
    <numFmt numFmtId="171" formatCode="0.00;[Red]0.00"/>
    <numFmt numFmtId="173" formatCode="[$-409]mmmmm;@"/>
    <numFmt numFmtId="175" formatCode="[$-409]mmm\-yy;@"/>
  </numFmts>
  <fonts count="4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10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color indexed="63"/>
      <name val="Arial"/>
      <family val="2"/>
    </font>
    <font>
      <b/>
      <sz val="8"/>
      <color indexed="81"/>
      <name val="Tahoma"/>
      <family val="2"/>
    </font>
    <font>
      <sz val="8"/>
      <color indexed="81"/>
      <name val="Arial"/>
      <family val="2"/>
    </font>
    <font>
      <sz val="12"/>
      <name val="Arial"/>
      <family val="2"/>
    </font>
    <font>
      <b/>
      <sz val="16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12"/>
      <name val="Arial"/>
      <family val="2"/>
    </font>
    <font>
      <sz val="8"/>
      <color indexed="12"/>
      <name val="Tahoma"/>
      <family val="2"/>
    </font>
    <font>
      <sz val="8"/>
      <color indexed="10"/>
      <name val="Tahoma"/>
      <family val="2"/>
    </font>
    <font>
      <sz val="10"/>
      <color indexed="14"/>
      <name val="Arial"/>
      <family val="2"/>
    </font>
    <font>
      <sz val="9"/>
      <name val="Arial"/>
      <family val="2"/>
    </font>
    <font>
      <sz val="10"/>
      <color indexed="17"/>
      <name val="Arial"/>
      <family val="2"/>
    </font>
    <font>
      <sz val="10"/>
      <color indexed="53"/>
      <name val="Arial"/>
      <family val="2"/>
    </font>
    <font>
      <sz val="10"/>
      <color indexed="60"/>
      <name val="Arial"/>
      <family val="2"/>
    </font>
    <font>
      <b/>
      <sz val="10"/>
      <color indexed="53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u/>
      <sz val="11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</fills>
  <borders count="1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275">
    <xf numFmtId="0" fontId="0" fillId="0" borderId="0">
      <protection locked="0"/>
    </xf>
    <xf numFmtId="0" fontId="4" fillId="0" borderId="0"/>
    <xf numFmtId="0" fontId="33" fillId="0" borderId="0"/>
    <xf numFmtId="0" fontId="33" fillId="0" borderId="0"/>
    <xf numFmtId="0" fontId="34" fillId="0" borderId="0"/>
    <xf numFmtId="0" fontId="34" fillId="0" borderId="0">
      <protection locked="0"/>
    </xf>
    <xf numFmtId="0" fontId="3" fillId="0" borderId="0"/>
    <xf numFmtId="0" fontId="5" fillId="0" borderId="0"/>
    <xf numFmtId="0" fontId="5" fillId="0" borderId="0"/>
    <xf numFmtId="0" fontId="34" fillId="0" borderId="0"/>
    <xf numFmtId="0" fontId="34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8" fillId="0" borderId="0"/>
    <xf numFmtId="0" fontId="38" fillId="0" borderId="0"/>
    <xf numFmtId="0" fontId="2" fillId="0" borderId="0"/>
    <xf numFmtId="0" fontId="5" fillId="0" borderId="0">
      <protection locked="0"/>
    </xf>
    <xf numFmtId="0" fontId="5" fillId="0" borderId="0">
      <protection locked="0"/>
    </xf>
    <xf numFmtId="0" fontId="5" fillId="0" borderId="0"/>
    <xf numFmtId="0" fontId="5" fillId="0" borderId="0"/>
    <xf numFmtId="0" fontId="1" fillId="0" borderId="0"/>
    <xf numFmtId="0" fontId="5" fillId="0" borderId="0"/>
    <xf numFmtId="0" fontId="5" fillId="0" borderId="0">
      <protection locked="0"/>
    </xf>
    <xf numFmtId="0" fontId="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9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5" fillId="0" borderId="0"/>
    <xf numFmtId="0" fontId="41" fillId="0" borderId="0"/>
    <xf numFmtId="0" fontId="42" fillId="0" borderId="0"/>
    <xf numFmtId="0" fontId="43" fillId="0" borderId="0"/>
    <xf numFmtId="0" fontId="44" fillId="0" borderId="0"/>
    <xf numFmtId="0" fontId="44" fillId="0" borderId="0"/>
    <xf numFmtId="0" fontId="45" fillId="0" borderId="0"/>
    <xf numFmtId="0" fontId="45" fillId="0" borderId="0"/>
    <xf numFmtId="0" fontId="46" fillId="0" borderId="0"/>
    <xf numFmtId="0" fontId="46" fillId="0" borderId="0"/>
    <xf numFmtId="0" fontId="46" fillId="0" borderId="0"/>
    <xf numFmtId="0" fontId="47" fillId="0" borderId="0"/>
  </cellStyleXfs>
  <cellXfs count="346">
    <xf numFmtId="0" fontId="0" fillId="0" borderId="0" xfId="0">
      <protection locked="0"/>
    </xf>
    <xf numFmtId="164" fontId="0" fillId="0" borderId="0" xfId="0" applyNumberFormat="1">
      <protection locked="0"/>
    </xf>
    <xf numFmtId="2" fontId="0" fillId="0" borderId="0" xfId="0" applyNumberFormat="1">
      <protection locked="0"/>
    </xf>
    <xf numFmtId="0" fontId="6" fillId="0" borderId="0" xfId="0" applyFont="1">
      <protection locked="0"/>
    </xf>
    <xf numFmtId="0" fontId="9" fillId="0" borderId="0" xfId="0" applyFont="1">
      <protection locked="0"/>
    </xf>
    <xf numFmtId="166" fontId="0" fillId="0" borderId="0" xfId="0" applyNumberFormat="1">
      <protection locked="0"/>
    </xf>
    <xf numFmtId="164" fontId="0" fillId="0" borderId="0" xfId="0" applyNumberFormat="1" applyAlignment="1">
      <alignment horizontal="right"/>
      <protection locked="0"/>
    </xf>
    <xf numFmtId="168" fontId="0" fillId="0" borderId="0" xfId="0" applyNumberFormat="1">
      <protection locked="0"/>
    </xf>
    <xf numFmtId="0" fontId="0" fillId="0" borderId="0" xfId="0" applyAlignment="1">
      <alignment horizontal="left"/>
      <protection locked="0"/>
    </xf>
    <xf numFmtId="165" fontId="0" fillId="0" borderId="0" xfId="0" applyNumberFormat="1">
      <protection locked="0"/>
    </xf>
    <xf numFmtId="49" fontId="0" fillId="0" borderId="0" xfId="0" applyNumberFormat="1" applyAlignment="1">
      <alignment horizontal="center"/>
      <protection locked="0"/>
    </xf>
    <xf numFmtId="164" fontId="6" fillId="0" borderId="0" xfId="0" applyNumberFormat="1" applyFont="1">
      <protection locked="0"/>
    </xf>
    <xf numFmtId="1" fontId="0" fillId="0" borderId="0" xfId="0" applyNumberFormat="1">
      <protection locked="0"/>
    </xf>
    <xf numFmtId="170" fontId="0" fillId="0" borderId="0" xfId="0" applyNumberFormat="1">
      <protection locked="0"/>
    </xf>
    <xf numFmtId="164" fontId="11" fillId="0" borderId="0" xfId="0" applyNumberFormat="1" applyFont="1">
      <protection locked="0"/>
    </xf>
    <xf numFmtId="0" fontId="0" fillId="0" borderId="0" xfId="0" applyProtection="1">
      <protection hidden="1"/>
    </xf>
    <xf numFmtId="0" fontId="14" fillId="0" borderId="0" xfId="0" applyFont="1">
      <protection locked="0"/>
    </xf>
    <xf numFmtId="2" fontId="14" fillId="0" borderId="0" xfId="0" applyNumberFormat="1" applyFont="1">
      <protection locked="0"/>
    </xf>
    <xf numFmtId="1" fontId="14" fillId="0" borderId="0" xfId="0" applyNumberFormat="1" applyFont="1" applyAlignment="1">
      <alignment horizontal="left"/>
      <protection locked="0"/>
    </xf>
    <xf numFmtId="167" fontId="0" fillId="0" borderId="0" xfId="0" applyNumberFormat="1" applyAlignment="1">
      <alignment horizontal="left"/>
      <protection locked="0"/>
    </xf>
    <xf numFmtId="0" fontId="0" fillId="0" borderId="0" xfId="0" applyAlignment="1">
      <alignment horizontal="center"/>
      <protection locked="0"/>
    </xf>
    <xf numFmtId="164" fontId="0" fillId="0" borderId="0" xfId="0" applyNumberFormat="1" applyAlignment="1">
      <alignment horizontal="left"/>
      <protection locked="0"/>
    </xf>
    <xf numFmtId="171" fontId="0" fillId="0" borderId="0" xfId="0" applyNumberFormat="1">
      <protection locked="0"/>
    </xf>
    <xf numFmtId="1" fontId="0" fillId="0" borderId="0" xfId="0" applyNumberFormat="1" applyAlignment="1">
      <alignment horizontal="left"/>
      <protection locked="0"/>
    </xf>
    <xf numFmtId="0" fontId="0" fillId="0" borderId="1" xfId="0" applyBorder="1">
      <protection locked="0"/>
    </xf>
    <xf numFmtId="0" fontId="15" fillId="0" borderId="0" xfId="0" applyFont="1">
      <protection locked="0"/>
    </xf>
    <xf numFmtId="0" fontId="16" fillId="0" borderId="0" xfId="0" applyFont="1">
      <protection locked="0"/>
    </xf>
    <xf numFmtId="0" fontId="8" fillId="0" borderId="0" xfId="0" applyFont="1">
      <protection locked="0"/>
    </xf>
    <xf numFmtId="0" fontId="18" fillId="0" borderId="0" xfId="0" applyFont="1">
      <protection locked="0"/>
    </xf>
    <xf numFmtId="0" fontId="17" fillId="0" borderId="0" xfId="0" applyFont="1">
      <protection locked="0"/>
    </xf>
    <xf numFmtId="0" fontId="10" fillId="0" borderId="0" xfId="0" applyFont="1">
      <protection locked="0"/>
    </xf>
    <xf numFmtId="164" fontId="19" fillId="0" borderId="0" xfId="0" applyNumberFormat="1" applyFont="1">
      <protection locked="0"/>
    </xf>
    <xf numFmtId="0" fontId="0" fillId="2" borderId="0" xfId="0" applyFill="1">
      <protection locked="0"/>
    </xf>
    <xf numFmtId="164" fontId="0" fillId="0" borderId="0" xfId="0" applyNumberFormat="1" applyAlignment="1" applyProtection="1">
      <alignment horizontal="right"/>
      <protection hidden="1"/>
    </xf>
    <xf numFmtId="164" fontId="0" fillId="0" borderId="0" xfId="0" applyNumberFormat="1" applyProtection="1"/>
    <xf numFmtId="164" fontId="0" fillId="3" borderId="0" xfId="0" applyNumberFormat="1" applyFill="1" applyAlignment="1" applyProtection="1">
      <alignment horizontal="right"/>
      <protection hidden="1"/>
    </xf>
    <xf numFmtId="164" fontId="0" fillId="0" borderId="0" xfId="0" applyNumberFormat="1" applyAlignment="1" applyProtection="1">
      <alignment horizontal="right"/>
      <protection locked="0" hidden="1"/>
    </xf>
    <xf numFmtId="0" fontId="19" fillId="0" borderId="0" xfId="0" applyFont="1">
      <protection locked="0"/>
    </xf>
    <xf numFmtId="164" fontId="22" fillId="0" borderId="0" xfId="0" applyNumberFormat="1" applyFont="1">
      <protection locked="0"/>
    </xf>
    <xf numFmtId="164" fontId="24" fillId="0" borderId="0" xfId="0" applyNumberFormat="1" applyFont="1">
      <protection locked="0"/>
    </xf>
    <xf numFmtId="0" fontId="25" fillId="0" borderId="0" xfId="0" applyFont="1">
      <protection locked="0"/>
    </xf>
    <xf numFmtId="0" fontId="24" fillId="0" borderId="0" xfId="0" applyFont="1">
      <protection locked="0"/>
    </xf>
    <xf numFmtId="0" fontId="22" fillId="0" borderId="0" xfId="0" applyFont="1">
      <protection locked="0"/>
    </xf>
    <xf numFmtId="0" fontId="26" fillId="0" borderId="0" xfId="0" applyFont="1">
      <protection locked="0"/>
    </xf>
    <xf numFmtId="17" fontId="14" fillId="0" borderId="0" xfId="0" applyNumberFormat="1" applyFont="1">
      <protection locked="0"/>
    </xf>
    <xf numFmtId="0" fontId="0" fillId="0" borderId="0" xfId="0" quotePrefix="1">
      <protection locked="0"/>
    </xf>
    <xf numFmtId="164" fontId="0" fillId="4" borderId="0" xfId="0" applyNumberFormat="1" applyFill="1">
      <protection locked="0"/>
    </xf>
    <xf numFmtId="0" fontId="27" fillId="0" borderId="0" xfId="0" applyFont="1">
      <protection locked="0"/>
    </xf>
    <xf numFmtId="0" fontId="5" fillId="0" borderId="0" xfId="0" applyFont="1">
      <protection locked="0"/>
    </xf>
    <xf numFmtId="164" fontId="5" fillId="0" borderId="0" xfId="0" applyNumberFormat="1" applyFont="1">
      <protection locked="0"/>
    </xf>
    <xf numFmtId="0" fontId="29" fillId="0" borderId="0" xfId="0" applyFont="1">
      <protection locked="0"/>
    </xf>
    <xf numFmtId="164" fontId="24" fillId="0" borderId="0" xfId="0" applyNumberFormat="1" applyFont="1" applyAlignment="1">
      <alignment horizontal="right"/>
      <protection locked="0"/>
    </xf>
    <xf numFmtId="0" fontId="5" fillId="0" borderId="0" xfId="0" applyFont="1" applyAlignment="1">
      <alignment horizontal="left"/>
      <protection locked="0"/>
    </xf>
    <xf numFmtId="0" fontId="6" fillId="4" borderId="0" xfId="0" applyFont="1" applyFill="1">
      <protection locked="0"/>
    </xf>
    <xf numFmtId="0" fontId="0" fillId="4" borderId="0" xfId="0" applyFill="1">
      <protection locked="0"/>
    </xf>
    <xf numFmtId="49" fontId="0" fillId="4" borderId="0" xfId="0" applyNumberFormat="1" applyFill="1" applyAlignment="1">
      <alignment horizontal="center"/>
      <protection locked="0"/>
    </xf>
    <xf numFmtId="1" fontId="14" fillId="4" borderId="0" xfId="0" applyNumberFormat="1" applyFont="1" applyFill="1" applyAlignment="1">
      <alignment horizontal="left"/>
      <protection locked="0"/>
    </xf>
    <xf numFmtId="0" fontId="14" fillId="4" borderId="0" xfId="0" applyFont="1" applyFill="1">
      <protection locked="0"/>
    </xf>
    <xf numFmtId="0" fontId="30" fillId="0" borderId="0" xfId="0" applyFont="1">
      <protection locked="0"/>
    </xf>
    <xf numFmtId="0" fontId="31" fillId="0" borderId="0" xfId="0" applyFont="1" applyAlignment="1">
      <alignment horizontal="center"/>
      <protection locked="0"/>
    </xf>
    <xf numFmtId="0" fontId="32" fillId="0" borderId="0" xfId="0" applyFont="1" applyAlignment="1">
      <alignment horizontal="center"/>
      <protection locked="0"/>
    </xf>
    <xf numFmtId="0" fontId="30" fillId="0" borderId="0" xfId="0" applyFont="1" applyAlignment="1">
      <alignment horizontal="center"/>
      <protection locked="0"/>
    </xf>
    <xf numFmtId="170" fontId="30" fillId="0" borderId="0" xfId="0" applyNumberFormat="1" applyFont="1" applyAlignment="1">
      <alignment horizontal="center"/>
      <protection locked="0"/>
    </xf>
    <xf numFmtId="164" fontId="30" fillId="0" borderId="0" xfId="0" applyNumberFormat="1" applyFont="1" applyAlignment="1">
      <alignment horizontal="center"/>
      <protection locked="0"/>
    </xf>
    <xf numFmtId="164" fontId="22" fillId="4" borderId="0" xfId="0" applyNumberFormat="1" applyFont="1" applyFill="1">
      <protection locked="0"/>
    </xf>
    <xf numFmtId="164" fontId="0" fillId="5" borderId="0" xfId="0" applyNumberFormat="1" applyFill="1">
      <protection locked="0"/>
    </xf>
    <xf numFmtId="2" fontId="32" fillId="0" borderId="0" xfId="0" applyNumberFormat="1" applyFont="1" applyAlignment="1">
      <alignment horizontal="center"/>
      <protection locked="0"/>
    </xf>
    <xf numFmtId="2" fontId="30" fillId="0" borderId="0" xfId="0" applyNumberFormat="1" applyFont="1" applyAlignment="1">
      <alignment horizontal="center"/>
      <protection locked="0"/>
    </xf>
    <xf numFmtId="173" fontId="14" fillId="0" borderId="0" xfId="0" applyNumberFormat="1" applyFont="1">
      <protection locked="0"/>
    </xf>
    <xf numFmtId="0" fontId="0" fillId="0" borderId="1" xfId="0" applyBorder="1" applyProtection="1"/>
    <xf numFmtId="0" fontId="0" fillId="2" borderId="0" xfId="0" applyFill="1" applyProtection="1"/>
    <xf numFmtId="164" fontId="0" fillId="0" borderId="0" xfId="0" applyNumberFormat="1" applyAlignment="1" applyProtection="1">
      <alignment horizontal="right"/>
    </xf>
    <xf numFmtId="0" fontId="0" fillId="0" borderId="0" xfId="0" applyProtection="1"/>
    <xf numFmtId="0" fontId="0" fillId="0" borderId="0" xfId="0" applyAlignment="1" applyProtection="1">
      <alignment horizontal="left"/>
    </xf>
    <xf numFmtId="164" fontId="0" fillId="2" borderId="0" xfId="0" applyNumberFormat="1" applyFill="1" applyProtection="1"/>
    <xf numFmtId="164" fontId="0" fillId="3" borderId="0" xfId="0" applyNumberFormat="1" applyFill="1" applyAlignment="1" applyProtection="1">
      <alignment horizontal="right"/>
      <protection locked="0" hidden="1"/>
    </xf>
    <xf numFmtId="0" fontId="0" fillId="6" borderId="0" xfId="0" applyFill="1">
      <protection locked="0"/>
    </xf>
    <xf numFmtId="164" fontId="0" fillId="6" borderId="0" xfId="0" applyNumberFormat="1" applyFill="1">
      <protection locked="0"/>
    </xf>
    <xf numFmtId="2" fontId="0" fillId="6" borderId="0" xfId="0" applyNumberFormat="1" applyFill="1">
      <protection locked="0"/>
    </xf>
    <xf numFmtId="0" fontId="0" fillId="6" borderId="1" xfId="0" applyFill="1" applyBorder="1" applyProtection="1"/>
    <xf numFmtId="0" fontId="0" fillId="6" borderId="0" xfId="0" applyFill="1" applyProtection="1"/>
    <xf numFmtId="164" fontId="0" fillId="6" borderId="0" xfId="0" applyNumberFormat="1" applyFill="1" applyAlignment="1">
      <alignment horizontal="right"/>
      <protection locked="0"/>
    </xf>
    <xf numFmtId="164" fontId="0" fillId="6" borderId="0" xfId="0" applyNumberFormat="1" applyFill="1" applyAlignment="1" applyProtection="1">
      <alignment horizontal="right"/>
      <protection hidden="1"/>
    </xf>
    <xf numFmtId="164" fontId="0" fillId="6" borderId="0" xfId="0" applyNumberFormat="1" applyFill="1" applyProtection="1"/>
    <xf numFmtId="164" fontId="0" fillId="6" borderId="0" xfId="0" applyNumberFormat="1" applyFill="1" applyAlignment="1" applyProtection="1">
      <alignment horizontal="right"/>
    </xf>
    <xf numFmtId="164" fontId="0" fillId="6" borderId="0" xfId="0" applyNumberFormat="1" applyFill="1" applyAlignment="1" applyProtection="1">
      <alignment horizontal="right"/>
      <protection locked="0" hidden="1"/>
    </xf>
    <xf numFmtId="164" fontId="0" fillId="6" borderId="0" xfId="0" applyNumberFormat="1" applyFill="1" applyAlignment="1">
      <alignment horizontal="left"/>
      <protection locked="0"/>
    </xf>
    <xf numFmtId="2" fontId="0" fillId="0" borderId="0" xfId="0" applyNumberFormat="1" applyAlignment="1">
      <alignment horizontal="center"/>
      <protection locked="0"/>
    </xf>
    <xf numFmtId="164" fontId="0" fillId="0" borderId="0" xfId="0" applyNumberFormat="1" applyAlignment="1">
      <alignment horizontal="center"/>
      <protection locked="0"/>
    </xf>
    <xf numFmtId="0" fontId="23" fillId="0" borderId="0" xfId="0" applyFont="1">
      <protection locked="0"/>
    </xf>
    <xf numFmtId="0" fontId="5" fillId="0" borderId="0" xfId="0" applyFont="1" applyAlignment="1">
      <alignment wrapText="1"/>
      <protection locked="0"/>
    </xf>
    <xf numFmtId="165" fontId="30" fillId="0" borderId="0" xfId="10" applyNumberFormat="1" applyFont="1" applyAlignment="1">
      <alignment horizontal="center" wrapText="1"/>
    </xf>
    <xf numFmtId="2" fontId="14" fillId="0" borderId="0" xfId="0" applyNumberFormat="1" applyFont="1" applyAlignment="1">
      <alignment horizontal="center"/>
      <protection locked="0"/>
    </xf>
    <xf numFmtId="164" fontId="35" fillId="0" borderId="0" xfId="83" applyNumberFormat="1"/>
    <xf numFmtId="164" fontId="35" fillId="0" borderId="0" xfId="83" applyNumberFormat="1" applyAlignment="1" applyProtection="1">
      <alignment horizontal="right"/>
      <protection locked="0"/>
    </xf>
    <xf numFmtId="164" fontId="35" fillId="0" borderId="1" xfId="83" applyNumberFormat="1" applyBorder="1"/>
    <xf numFmtId="164" fontId="35" fillId="2" borderId="0" xfId="83" applyNumberFormat="1" applyFill="1"/>
    <xf numFmtId="164" fontId="35" fillId="0" borderId="0" xfId="83" applyNumberFormat="1" applyAlignment="1">
      <alignment horizontal="right"/>
    </xf>
    <xf numFmtId="164" fontId="35" fillId="0" borderId="0" xfId="83" applyNumberFormat="1" applyAlignment="1" applyProtection="1">
      <alignment horizontal="right"/>
      <protection hidden="1"/>
    </xf>
    <xf numFmtId="164" fontId="35" fillId="0" borderId="0" xfId="90" applyNumberFormat="1"/>
    <xf numFmtId="164" fontId="35" fillId="0" borderId="0" xfId="90" applyNumberFormat="1" applyAlignment="1" applyProtection="1">
      <alignment horizontal="right"/>
      <protection locked="0"/>
    </xf>
    <xf numFmtId="164" fontId="35" fillId="0" borderId="1" xfId="90" applyNumberFormat="1" applyBorder="1"/>
    <xf numFmtId="164" fontId="35" fillId="2" borderId="0" xfId="90" applyNumberFormat="1" applyFill="1"/>
    <xf numFmtId="164" fontId="35" fillId="0" borderId="0" xfId="90" applyNumberFormat="1" applyAlignment="1" applyProtection="1">
      <alignment horizontal="right"/>
      <protection hidden="1"/>
    </xf>
    <xf numFmtId="164" fontId="35" fillId="0" borderId="0" xfId="90" applyNumberFormat="1" applyAlignment="1">
      <alignment horizontal="right"/>
    </xf>
    <xf numFmtId="0" fontId="5" fillId="0" borderId="0" xfId="0" applyFont="1" applyAlignment="1">
      <alignment horizontal="center"/>
      <protection locked="0"/>
    </xf>
    <xf numFmtId="0" fontId="5" fillId="6" borderId="0" xfId="0" applyFont="1" applyFill="1" applyAlignment="1">
      <alignment horizontal="center"/>
      <protection locked="0"/>
    </xf>
    <xf numFmtId="164" fontId="35" fillId="0" borderId="0" xfId="100" applyNumberFormat="1"/>
    <xf numFmtId="164" fontId="35" fillId="0" borderId="0" xfId="100" applyNumberFormat="1" applyAlignment="1" applyProtection="1">
      <alignment horizontal="right"/>
      <protection locked="0"/>
    </xf>
    <xf numFmtId="164" fontId="35" fillId="0" borderId="1" xfId="100" applyNumberFormat="1" applyBorder="1"/>
    <xf numFmtId="164" fontId="35" fillId="2" borderId="0" xfId="100" applyNumberFormat="1" applyFill="1"/>
    <xf numFmtId="164" fontId="35" fillId="0" borderId="0" xfId="100" applyNumberFormat="1" applyAlignment="1" applyProtection="1">
      <alignment horizontal="right"/>
      <protection hidden="1"/>
    </xf>
    <xf numFmtId="164" fontId="35" fillId="0" borderId="0" xfId="100" applyNumberFormat="1" applyAlignment="1">
      <alignment horizontal="right"/>
    </xf>
    <xf numFmtId="164" fontId="35" fillId="3" borderId="0" xfId="100" applyNumberFormat="1" applyFill="1" applyAlignment="1" applyProtection="1">
      <alignment horizontal="right"/>
      <protection hidden="1"/>
    </xf>
    <xf numFmtId="164" fontId="35" fillId="3" borderId="0" xfId="100" applyNumberFormat="1" applyFill="1" applyAlignment="1" applyProtection="1">
      <alignment horizontal="right"/>
      <protection locked="0" hidden="1"/>
    </xf>
    <xf numFmtId="164" fontId="35" fillId="6" borderId="0" xfId="100" applyNumberFormat="1" applyFill="1" applyAlignment="1" applyProtection="1">
      <alignment horizontal="right"/>
      <protection hidden="1"/>
    </xf>
    <xf numFmtId="164" fontId="35" fillId="6" borderId="0" xfId="100" applyNumberFormat="1" applyFill="1" applyAlignment="1" applyProtection="1">
      <alignment horizontal="right"/>
      <protection locked="0" hidden="1"/>
    </xf>
    <xf numFmtId="2" fontId="5" fillId="0" borderId="0" xfId="7" applyNumberFormat="1" applyAlignment="1">
      <alignment horizontal="right"/>
    </xf>
    <xf numFmtId="168" fontId="0" fillId="6" borderId="0" xfId="0" applyNumberFormat="1" applyFill="1">
      <protection locked="0"/>
    </xf>
    <xf numFmtId="164" fontId="37" fillId="0" borderId="0" xfId="111" applyNumberFormat="1"/>
    <xf numFmtId="164" fontId="37" fillId="0" borderId="0" xfId="111" applyNumberFormat="1" applyAlignment="1" applyProtection="1">
      <alignment horizontal="right"/>
      <protection locked="0"/>
    </xf>
    <xf numFmtId="164" fontId="37" fillId="0" borderId="1" xfId="111" applyNumberFormat="1" applyBorder="1"/>
    <xf numFmtId="164" fontId="37" fillId="2" borderId="0" xfId="111" applyNumberFormat="1" applyFill="1"/>
    <xf numFmtId="164" fontId="37" fillId="0" borderId="0" xfId="111" applyNumberFormat="1" applyAlignment="1" applyProtection="1">
      <alignment horizontal="right"/>
      <protection hidden="1"/>
    </xf>
    <xf numFmtId="164" fontId="37" fillId="0" borderId="0" xfId="111" applyNumberFormat="1" applyAlignment="1">
      <alignment horizontal="right"/>
    </xf>
    <xf numFmtId="164" fontId="37" fillId="3" borderId="0" xfId="111" applyNumberFormat="1" applyFill="1" applyAlignment="1" applyProtection="1">
      <alignment horizontal="right"/>
      <protection hidden="1"/>
    </xf>
    <xf numFmtId="164" fontId="37" fillId="3" borderId="0" xfId="111" applyNumberFormat="1" applyFill="1" applyAlignment="1" applyProtection="1">
      <alignment horizontal="right"/>
      <protection locked="0" hidden="1"/>
    </xf>
    <xf numFmtId="164" fontId="5" fillId="0" borderId="0" xfId="7" applyNumberFormat="1" applyAlignment="1" applyProtection="1">
      <alignment horizontal="right"/>
      <protection hidden="1"/>
    </xf>
    <xf numFmtId="164" fontId="5" fillId="0" borderId="0" xfId="7" applyNumberFormat="1" applyAlignment="1">
      <alignment horizontal="right"/>
    </xf>
    <xf numFmtId="164" fontId="37" fillId="0" borderId="0" xfId="117" applyNumberFormat="1"/>
    <xf numFmtId="164" fontId="37" fillId="0" borderId="0" xfId="117" applyNumberFormat="1" applyAlignment="1" applyProtection="1">
      <alignment horizontal="right"/>
      <protection locked="0"/>
    </xf>
    <xf numFmtId="164" fontId="37" fillId="0" borderId="1" xfId="117" applyNumberFormat="1" applyBorder="1"/>
    <xf numFmtId="164" fontId="37" fillId="2" borderId="0" xfId="117" applyNumberFormat="1" applyFill="1"/>
    <xf numFmtId="164" fontId="37" fillId="0" borderId="0" xfId="117" applyNumberFormat="1" applyAlignment="1" applyProtection="1">
      <alignment horizontal="right"/>
      <protection hidden="1"/>
    </xf>
    <xf numFmtId="164" fontId="37" fillId="0" borderId="0" xfId="117" applyNumberFormat="1" applyAlignment="1">
      <alignment horizontal="right"/>
    </xf>
    <xf numFmtId="164" fontId="37" fillId="3" borderId="0" xfId="117" applyNumberFormat="1" applyFill="1" applyAlignment="1" applyProtection="1">
      <alignment horizontal="right"/>
      <protection hidden="1"/>
    </xf>
    <xf numFmtId="164" fontId="37" fillId="3" borderId="0" xfId="117" applyNumberFormat="1" applyFill="1" applyAlignment="1" applyProtection="1">
      <alignment horizontal="right"/>
      <protection locked="0" hidden="1"/>
    </xf>
    <xf numFmtId="2" fontId="0" fillId="0" borderId="0" xfId="0" applyNumberFormat="1" applyAlignment="1" applyProtection="1">
      <alignment horizontal="right"/>
    </xf>
    <xf numFmtId="168" fontId="35" fillId="0" borderId="1" xfId="97" applyNumberFormat="1" applyBorder="1"/>
    <xf numFmtId="168" fontId="35" fillId="0" borderId="0" xfId="97" applyNumberFormat="1"/>
    <xf numFmtId="168" fontId="35" fillId="0" borderId="0" xfId="97" applyNumberFormat="1" applyAlignment="1" applyProtection="1">
      <alignment horizontal="right"/>
      <protection locked="0"/>
    </xf>
    <xf numFmtId="168" fontId="35" fillId="0" borderId="0" xfId="97" applyNumberFormat="1" applyAlignment="1" applyProtection="1">
      <alignment horizontal="right"/>
      <protection hidden="1"/>
    </xf>
    <xf numFmtId="168" fontId="35" fillId="0" borderId="0" xfId="97" applyNumberFormat="1" applyAlignment="1">
      <alignment horizontal="right"/>
    </xf>
    <xf numFmtId="168" fontId="35" fillId="0" borderId="0" xfId="97" applyNumberFormat="1" applyAlignment="1" applyProtection="1">
      <alignment horizontal="right"/>
      <protection locked="0" hidden="1"/>
    </xf>
    <xf numFmtId="0" fontId="0" fillId="6" borderId="11" xfId="0" applyFill="1" applyBorder="1">
      <protection locked="0"/>
    </xf>
    <xf numFmtId="164" fontId="0" fillId="6" borderId="12" xfId="0" applyNumberFormat="1" applyFill="1" applyBorder="1">
      <protection locked="0"/>
    </xf>
    <xf numFmtId="164" fontId="0" fillId="0" borderId="6" xfId="0" applyNumberFormat="1" applyBorder="1">
      <protection locked="0"/>
    </xf>
    <xf numFmtId="164" fontId="0" fillId="6" borderId="6" xfId="0" applyNumberFormat="1" applyFill="1" applyBorder="1">
      <protection locked="0"/>
    </xf>
    <xf numFmtId="164" fontId="36" fillId="6" borderId="6" xfId="83" applyNumberFormat="1" applyFont="1" applyFill="1" applyBorder="1" applyAlignment="1" applyProtection="1">
      <alignment horizontal="right"/>
      <protection locked="0" hidden="1"/>
    </xf>
    <xf numFmtId="164" fontId="35" fillId="6" borderId="6" xfId="90" applyNumberFormat="1" applyFill="1" applyBorder="1" applyAlignment="1" applyProtection="1">
      <alignment horizontal="right"/>
      <protection locked="0" hidden="1"/>
    </xf>
    <xf numFmtId="0" fontId="0" fillId="6" borderId="9" xfId="0" applyFill="1" applyBorder="1">
      <protection locked="0"/>
    </xf>
    <xf numFmtId="164" fontId="0" fillId="6" borderId="8" xfId="0" applyNumberFormat="1" applyFill="1" applyBorder="1">
      <protection locked="0"/>
    </xf>
    <xf numFmtId="164" fontId="5" fillId="0" borderId="1" xfId="7" applyNumberFormat="1" applyBorder="1"/>
    <xf numFmtId="164" fontId="5" fillId="2" borderId="0" xfId="7" applyNumberFormat="1" applyFill="1"/>
    <xf numFmtId="164" fontId="5" fillId="3" borderId="0" xfId="7" applyNumberFormat="1" applyFill="1" applyAlignment="1" applyProtection="1">
      <alignment horizontal="right"/>
      <protection hidden="1"/>
    </xf>
    <xf numFmtId="164" fontId="5" fillId="3" borderId="0" xfId="7" applyNumberFormat="1" applyFill="1" applyAlignment="1" applyProtection="1">
      <alignment horizontal="right"/>
      <protection locked="0" hidden="1"/>
    </xf>
    <xf numFmtId="164" fontId="5" fillId="0" borderId="0" xfId="7" applyNumberFormat="1" applyAlignment="1" applyProtection="1">
      <alignment horizontal="right"/>
      <protection locked="0"/>
    </xf>
    <xf numFmtId="175" fontId="0" fillId="0" borderId="0" xfId="0" applyNumberFormat="1">
      <protection locked="0"/>
    </xf>
    <xf numFmtId="2" fontId="5" fillId="7" borderId="0" xfId="7" applyNumberFormat="1" applyFill="1" applyAlignment="1" applyProtection="1">
      <alignment horizontal="right"/>
      <protection locked="0"/>
    </xf>
    <xf numFmtId="2" fontId="5" fillId="7" borderId="0" xfId="7" applyNumberFormat="1" applyFill="1" applyAlignment="1">
      <alignment horizontal="right"/>
    </xf>
    <xf numFmtId="2" fontId="5" fillId="7" borderId="0" xfId="7" applyNumberFormat="1" applyFill="1" applyAlignment="1" applyProtection="1">
      <alignment horizontal="right"/>
      <protection hidden="1"/>
    </xf>
    <xf numFmtId="164" fontId="0" fillId="8" borderId="0" xfId="0" applyNumberFormat="1" applyFill="1">
      <protection locked="0"/>
    </xf>
    <xf numFmtId="164" fontId="0" fillId="9" borderId="0" xfId="0" applyNumberFormat="1" applyFill="1">
      <protection locked="0"/>
    </xf>
    <xf numFmtId="164" fontId="0" fillId="10" borderId="0" xfId="0" applyNumberFormat="1" applyFill="1">
      <protection locked="0"/>
    </xf>
    <xf numFmtId="164" fontId="0" fillId="11" borderId="0" xfId="0" applyNumberFormat="1" applyFill="1">
      <protection locked="0"/>
    </xf>
    <xf numFmtId="164" fontId="0" fillId="12" borderId="0" xfId="0" applyNumberFormat="1" applyFill="1">
      <protection locked="0"/>
    </xf>
    <xf numFmtId="164" fontId="0" fillId="13" borderId="0" xfId="0" applyNumberFormat="1" applyFill="1">
      <protection locked="0"/>
    </xf>
    <xf numFmtId="164" fontId="0" fillId="14" borderId="0" xfId="0" applyNumberFormat="1" applyFill="1">
      <protection locked="0"/>
    </xf>
    <xf numFmtId="164" fontId="0" fillId="15" borderId="0" xfId="0" applyNumberFormat="1" applyFill="1">
      <protection locked="0"/>
    </xf>
    <xf numFmtId="164" fontId="0" fillId="16" borderId="0" xfId="0" applyNumberFormat="1" applyFill="1">
      <protection locked="0"/>
    </xf>
    <xf numFmtId="164" fontId="0" fillId="17" borderId="0" xfId="0" applyNumberFormat="1" applyFill="1">
      <protection locked="0"/>
    </xf>
    <xf numFmtId="164" fontId="0" fillId="18" borderId="0" xfId="0" applyNumberFormat="1" applyFill="1">
      <protection locked="0"/>
    </xf>
    <xf numFmtId="164" fontId="5" fillId="19" borderId="0" xfId="0" applyNumberFormat="1" applyFont="1" applyFill="1">
      <protection locked="0"/>
    </xf>
    <xf numFmtId="2" fontId="0" fillId="6" borderId="0" xfId="0" applyNumberFormat="1" applyFill="1" applyAlignment="1" applyProtection="1">
      <alignment horizontal="right"/>
      <protection hidden="1"/>
    </xf>
    <xf numFmtId="2" fontId="0" fillId="3" borderId="0" xfId="0" applyNumberFormat="1" applyFill="1" applyAlignment="1" applyProtection="1">
      <alignment horizontal="right"/>
      <protection hidden="1"/>
    </xf>
    <xf numFmtId="164" fontId="0" fillId="20" borderId="0" xfId="0" applyNumberFormat="1" applyFill="1">
      <protection locked="0"/>
    </xf>
    <xf numFmtId="2" fontId="0" fillId="20" borderId="0" xfId="0" applyNumberFormat="1" applyFill="1" applyAlignment="1" applyProtection="1">
      <alignment horizontal="right"/>
      <protection hidden="1"/>
    </xf>
    <xf numFmtId="164" fontId="5" fillId="0" borderId="0" xfId="7" applyNumberFormat="1"/>
    <xf numFmtId="2" fontId="5" fillId="0" borderId="1" xfId="7" applyNumberFormat="1" applyBorder="1"/>
    <xf numFmtId="2" fontId="5" fillId="2" borderId="0" xfId="7" applyNumberFormat="1" applyFill="1"/>
    <xf numFmtId="2" fontId="5" fillId="0" borderId="0" xfId="7" applyNumberFormat="1" applyAlignment="1" applyProtection="1">
      <alignment horizontal="right"/>
      <protection locked="0"/>
    </xf>
    <xf numFmtId="2" fontId="5" fillId="0" borderId="0" xfId="7" applyNumberFormat="1" applyAlignment="1" applyProtection="1">
      <alignment horizontal="right"/>
      <protection hidden="1"/>
    </xf>
    <xf numFmtId="2" fontId="5" fillId="3" borderId="0" xfId="7" applyNumberFormat="1" applyFill="1" applyAlignment="1" applyProtection="1">
      <alignment horizontal="right"/>
      <protection hidden="1"/>
    </xf>
    <xf numFmtId="2" fontId="5" fillId="3" borderId="0" xfId="7" applyNumberFormat="1" applyFill="1" applyAlignment="1" applyProtection="1">
      <alignment horizontal="right"/>
      <protection locked="0" hidden="1"/>
    </xf>
    <xf numFmtId="2" fontId="5" fillId="0" borderId="0" xfId="7" applyNumberFormat="1"/>
    <xf numFmtId="0" fontId="0" fillId="2" borderId="0" xfId="0" applyFill="1" applyAlignment="1">
      <alignment horizontal="center"/>
      <protection locked="0"/>
    </xf>
    <xf numFmtId="164" fontId="0" fillId="6" borderId="0" xfId="0" applyNumberFormat="1" applyFill="1" applyAlignment="1">
      <alignment horizontal="center"/>
      <protection locked="0"/>
    </xf>
    <xf numFmtId="164" fontId="0" fillId="0" borderId="0" xfId="0" applyNumberFormat="1" applyAlignment="1" applyProtection="1">
      <alignment horizontal="center"/>
    </xf>
    <xf numFmtId="164" fontId="0" fillId="6" borderId="0" xfId="0" applyNumberFormat="1" applyFill="1" applyAlignment="1" applyProtection="1">
      <alignment horizontal="center"/>
    </xf>
    <xf numFmtId="164" fontId="0" fillId="2" borderId="0" xfId="0" applyNumberFormat="1" applyFill="1" applyAlignment="1" applyProtection="1">
      <alignment horizontal="center"/>
    </xf>
    <xf numFmtId="168" fontId="35" fillId="0" borderId="0" xfId="97" applyNumberFormat="1" applyAlignment="1">
      <alignment horizontal="center"/>
    </xf>
    <xf numFmtId="164" fontId="35" fillId="2" borderId="0" xfId="100" applyNumberFormat="1" applyFill="1" applyAlignment="1">
      <alignment horizontal="center"/>
    </xf>
    <xf numFmtId="164" fontId="37" fillId="2" borderId="0" xfId="111" applyNumberFormat="1" applyFill="1" applyAlignment="1">
      <alignment horizontal="center"/>
    </xf>
    <xf numFmtId="164" fontId="37" fillId="2" borderId="0" xfId="117" applyNumberFormat="1" applyFill="1" applyAlignment="1">
      <alignment horizontal="center"/>
    </xf>
    <xf numFmtId="164" fontId="5" fillId="2" borderId="0" xfId="7" applyNumberFormat="1" applyFill="1" applyAlignment="1">
      <alignment horizontal="center"/>
    </xf>
    <xf numFmtId="2" fontId="5" fillId="2" borderId="0" xfId="7" applyNumberFormat="1" applyFill="1" applyAlignment="1">
      <alignment horizontal="center"/>
    </xf>
    <xf numFmtId="2" fontId="0" fillId="0" borderId="1" xfId="0" applyNumberFormat="1" applyBorder="1" applyProtection="1"/>
    <xf numFmtId="2" fontId="0" fillId="2" borderId="0" xfId="0" applyNumberFormat="1" applyFill="1" applyProtection="1"/>
    <xf numFmtId="2" fontId="0" fillId="0" borderId="0" xfId="0" applyNumberFormat="1" applyAlignment="1">
      <alignment horizontal="right"/>
      <protection locked="0"/>
    </xf>
    <xf numFmtId="2" fontId="0" fillId="0" borderId="0" xfId="0" applyNumberFormat="1" applyAlignment="1" applyProtection="1">
      <alignment horizontal="right"/>
      <protection hidden="1"/>
    </xf>
    <xf numFmtId="2" fontId="0" fillId="3" borderId="0" xfId="0" applyNumberFormat="1" applyFill="1" applyAlignment="1" applyProtection="1">
      <alignment horizontal="right"/>
      <protection locked="0" hidden="1"/>
    </xf>
    <xf numFmtId="2" fontId="0" fillId="0" borderId="0" xfId="0" applyNumberFormat="1" applyProtection="1"/>
    <xf numFmtId="2" fontId="5" fillId="0" borderId="0" xfId="0" applyNumberFormat="1" applyFont="1" applyAlignment="1">
      <alignment horizontal="right"/>
      <protection locked="0"/>
    </xf>
    <xf numFmtId="2" fontId="39" fillId="0" borderId="1" xfId="255" applyNumberFormat="1" applyBorder="1"/>
    <xf numFmtId="2" fontId="39" fillId="2" borderId="0" xfId="255" applyNumberFormat="1" applyFill="1"/>
    <xf numFmtId="2" fontId="39" fillId="0" borderId="0" xfId="255" applyNumberFormat="1" applyAlignment="1" applyProtection="1">
      <alignment horizontal="right"/>
      <protection locked="0"/>
    </xf>
    <xf numFmtId="2" fontId="39" fillId="0" borderId="0" xfId="255" applyNumberFormat="1" applyAlignment="1" applyProtection="1">
      <alignment horizontal="right"/>
      <protection hidden="1"/>
    </xf>
    <xf numFmtId="2" fontId="39" fillId="0" borderId="0" xfId="255" applyNumberFormat="1" applyAlignment="1">
      <alignment horizontal="right"/>
    </xf>
    <xf numFmtId="2" fontId="39" fillId="3" borderId="0" xfId="255" applyNumberFormat="1" applyFill="1" applyAlignment="1" applyProtection="1">
      <alignment horizontal="right"/>
      <protection hidden="1"/>
    </xf>
    <xf numFmtId="2" fontId="39" fillId="3" borderId="0" xfId="255" applyNumberFormat="1" applyFill="1" applyAlignment="1" applyProtection="1">
      <alignment horizontal="right"/>
      <protection locked="0" hidden="1"/>
    </xf>
    <xf numFmtId="2" fontId="39" fillId="0" borderId="0" xfId="255" applyNumberFormat="1"/>
    <xf numFmtId="165" fontId="30" fillId="0" borderId="0" xfId="0" applyNumberFormat="1" applyFont="1" applyAlignment="1">
      <alignment horizontal="center"/>
      <protection locked="0"/>
    </xf>
    <xf numFmtId="0" fontId="0" fillId="0" borderId="10" xfId="0" applyBorder="1">
      <protection locked="0"/>
    </xf>
    <xf numFmtId="0" fontId="0" fillId="0" borderId="12" xfId="0" applyBorder="1">
      <protection locked="0"/>
    </xf>
    <xf numFmtId="165" fontId="30" fillId="0" borderId="5" xfId="0" applyNumberFormat="1" applyFont="1" applyBorder="1" applyAlignment="1">
      <alignment horizontal="center"/>
      <protection locked="0"/>
    </xf>
    <xf numFmtId="2" fontId="30" fillId="0" borderId="7" xfId="0" applyNumberFormat="1" applyFont="1" applyBorder="1" applyAlignment="1">
      <alignment horizontal="right"/>
      <protection locked="0"/>
    </xf>
    <xf numFmtId="0" fontId="30" fillId="0" borderId="9" xfId="0" applyFont="1" applyBorder="1">
      <protection locked="0"/>
    </xf>
    <xf numFmtId="0" fontId="30" fillId="0" borderId="9" xfId="0" applyFont="1" applyBorder="1" applyAlignment="1">
      <alignment horizontal="center"/>
      <protection locked="0"/>
    </xf>
    <xf numFmtId="2" fontId="30" fillId="0" borderId="9" xfId="0" applyNumberFormat="1" applyFont="1" applyBorder="1" applyAlignment="1">
      <alignment horizontal="right"/>
      <protection locked="0"/>
    </xf>
    <xf numFmtId="0" fontId="30" fillId="0" borderId="5" xfId="0" applyFont="1" applyBorder="1">
      <protection locked="0"/>
    </xf>
    <xf numFmtId="0" fontId="31" fillId="0" borderId="10" xfId="0" applyFont="1" applyBorder="1">
      <protection locked="0"/>
    </xf>
    <xf numFmtId="0" fontId="31" fillId="0" borderId="11" xfId="0" applyFont="1" applyBorder="1">
      <protection locked="0"/>
    </xf>
    <xf numFmtId="2" fontId="5" fillId="0" borderId="6" xfId="255" applyNumberFormat="1" applyFont="1" applyBorder="1" applyAlignment="1" applyProtection="1">
      <alignment horizontal="right"/>
      <protection hidden="1"/>
    </xf>
    <xf numFmtId="0" fontId="0" fillId="0" borderId="8" xfId="0" applyBorder="1">
      <protection locked="0"/>
    </xf>
    <xf numFmtId="0" fontId="40" fillId="0" borderId="0" xfId="0" applyFont="1">
      <protection locked="0"/>
    </xf>
    <xf numFmtId="164" fontId="35" fillId="6" borderId="0" xfId="100" applyNumberFormat="1" applyFill="1" applyAlignment="1" applyProtection="1">
      <alignment horizontal="right"/>
      <protection locked="0"/>
    </xf>
    <xf numFmtId="164" fontId="35" fillId="6" borderId="0" xfId="100" applyNumberFormat="1" applyFill="1" applyAlignment="1">
      <alignment horizontal="right"/>
    </xf>
    <xf numFmtId="2" fontId="41" fillId="0" borderId="1" xfId="260" applyNumberFormat="1" applyBorder="1"/>
    <xf numFmtId="2" fontId="41" fillId="2" borderId="0" xfId="260" applyNumberFormat="1" applyFill="1"/>
    <xf numFmtId="2" fontId="41" fillId="0" borderId="0" xfId="260" applyNumberFormat="1" applyAlignment="1" applyProtection="1">
      <alignment horizontal="right"/>
      <protection locked="0"/>
    </xf>
    <xf numFmtId="2" fontId="41" fillId="0" borderId="0" xfId="260" applyNumberFormat="1" applyAlignment="1" applyProtection="1">
      <alignment horizontal="right"/>
      <protection hidden="1"/>
    </xf>
    <xf numFmtId="2" fontId="41" fillId="0" borderId="0" xfId="260" applyNumberFormat="1" applyAlignment="1">
      <alignment horizontal="right"/>
    </xf>
    <xf numFmtId="2" fontId="41" fillId="3" borderId="0" xfId="260" applyNumberFormat="1" applyFill="1" applyAlignment="1" applyProtection="1">
      <alignment horizontal="right"/>
      <protection hidden="1"/>
    </xf>
    <xf numFmtId="2" fontId="41" fillId="3" borderId="0" xfId="260" applyNumberFormat="1" applyFill="1" applyAlignment="1" applyProtection="1">
      <alignment horizontal="right"/>
      <protection locked="0" hidden="1"/>
    </xf>
    <xf numFmtId="2" fontId="41" fillId="0" borderId="0" xfId="260" applyNumberFormat="1"/>
    <xf numFmtId="2" fontId="40" fillId="0" borderId="0" xfId="260" applyNumberFormat="1" applyFont="1" applyAlignment="1" applyProtection="1">
      <alignment horizontal="right"/>
      <protection locked="0"/>
    </xf>
    <xf numFmtId="2" fontId="40" fillId="0" borderId="0" xfId="260" applyNumberFormat="1" applyFont="1" applyAlignment="1">
      <alignment horizontal="right"/>
    </xf>
    <xf numFmtId="2" fontId="40" fillId="0" borderId="0" xfId="260" applyNumberFormat="1" applyFont="1" applyAlignment="1" applyProtection="1">
      <alignment horizontal="right"/>
      <protection hidden="1"/>
    </xf>
    <xf numFmtId="2" fontId="5" fillId="0" borderId="0" xfId="260" applyNumberFormat="1" applyFont="1"/>
    <xf numFmtId="2" fontId="5" fillId="0" borderId="0" xfId="0" applyNumberFormat="1" applyFont="1" applyAlignment="1" applyProtection="1">
      <alignment horizontal="right"/>
    </xf>
    <xf numFmtId="2" fontId="5" fillId="0" borderId="0" xfId="0" applyNumberFormat="1" applyFont="1" applyAlignment="1" applyProtection="1">
      <alignment horizontal="right"/>
      <protection hidden="1"/>
    </xf>
    <xf numFmtId="49" fontId="17" fillId="0" borderId="0" xfId="0" applyNumberFormat="1" applyFont="1" applyAlignment="1">
      <alignment horizontal="center"/>
      <protection locked="0"/>
    </xf>
    <xf numFmtId="2" fontId="5" fillId="0" borderId="0" xfId="0" applyNumberFormat="1" applyFont="1">
      <protection locked="0"/>
    </xf>
    <xf numFmtId="0" fontId="10" fillId="0" borderId="0" xfId="0" applyFont="1" applyAlignment="1">
      <alignment horizontal="center"/>
      <protection locked="0"/>
    </xf>
    <xf numFmtId="0" fontId="6" fillId="0" borderId="0" xfId="0" applyFont="1" applyAlignment="1">
      <alignment horizontal="center"/>
      <protection locked="0"/>
    </xf>
    <xf numFmtId="164" fontId="6" fillId="0" borderId="0" xfId="0" applyNumberFormat="1" applyFont="1" applyAlignment="1">
      <alignment horizontal="center"/>
      <protection locked="0"/>
    </xf>
    <xf numFmtId="164" fontId="5" fillId="0" borderId="0" xfId="0" applyNumberFormat="1" applyFont="1" applyAlignment="1">
      <alignment horizontal="center"/>
      <protection locked="0"/>
    </xf>
    <xf numFmtId="2" fontId="5" fillId="0" borderId="0" xfId="255" applyNumberFormat="1" applyFont="1"/>
    <xf numFmtId="164" fontId="5" fillId="17" borderId="0" xfId="7" applyNumberFormat="1" applyFill="1" applyAlignment="1">
      <alignment horizontal="right"/>
    </xf>
    <xf numFmtId="2" fontId="5" fillId="17" borderId="0" xfId="7" applyNumberFormat="1" applyFill="1" applyAlignment="1">
      <alignment horizontal="right"/>
    </xf>
    <xf numFmtId="2" fontId="0" fillId="17" borderId="0" xfId="0" applyNumberFormat="1" applyFill="1" applyAlignment="1" applyProtection="1">
      <alignment horizontal="right"/>
    </xf>
    <xf numFmtId="2" fontId="39" fillId="17" borderId="0" xfId="255" applyNumberFormat="1" applyFill="1" applyAlignment="1">
      <alignment horizontal="right"/>
    </xf>
    <xf numFmtId="2" fontId="46" fillId="2" borderId="0" xfId="273" applyNumberFormat="1" applyFill="1"/>
    <xf numFmtId="2" fontId="46" fillId="0" borderId="0" xfId="273" applyNumberFormat="1" applyAlignment="1" applyProtection="1">
      <alignment horizontal="right"/>
      <protection locked="0"/>
    </xf>
    <xf numFmtId="2" fontId="46" fillId="0" borderId="0" xfId="273" applyNumberFormat="1" applyAlignment="1" applyProtection="1">
      <alignment horizontal="right"/>
      <protection hidden="1"/>
    </xf>
    <xf numFmtId="2" fontId="46" fillId="0" borderId="0" xfId="273" applyNumberFormat="1" applyAlignment="1">
      <alignment horizontal="right"/>
    </xf>
    <xf numFmtId="2" fontId="46" fillId="3" borderId="0" xfId="273" applyNumberFormat="1" applyFill="1" applyAlignment="1" applyProtection="1">
      <alignment horizontal="right"/>
      <protection hidden="1"/>
    </xf>
    <xf numFmtId="2" fontId="46" fillId="3" borderId="0" xfId="273" applyNumberFormat="1" applyFill="1" applyAlignment="1" applyProtection="1">
      <alignment horizontal="right"/>
      <protection locked="0" hidden="1"/>
    </xf>
    <xf numFmtId="2" fontId="46" fillId="0" borderId="0" xfId="273" applyNumberFormat="1"/>
    <xf numFmtId="2" fontId="5" fillId="0" borderId="0" xfId="273" applyNumberFormat="1" applyFont="1" applyAlignment="1" applyProtection="1">
      <alignment horizontal="right"/>
      <protection locked="0"/>
    </xf>
    <xf numFmtId="2" fontId="5" fillId="0" borderId="0" xfId="273" applyNumberFormat="1" applyFont="1" applyAlignment="1">
      <alignment horizontal="right"/>
    </xf>
    <xf numFmtId="2" fontId="5" fillId="0" borderId="0" xfId="273" applyNumberFormat="1" applyFont="1" applyAlignment="1" applyProtection="1">
      <alignment horizontal="right"/>
      <protection hidden="1"/>
    </xf>
    <xf numFmtId="0" fontId="9" fillId="0" borderId="0" xfId="0" applyFont="1" applyAlignment="1">
      <alignment horizontal="left"/>
      <protection locked="0"/>
    </xf>
    <xf numFmtId="0" fontId="0" fillId="6" borderId="0" xfId="0" applyFill="1" applyAlignment="1">
      <alignment horizontal="left"/>
      <protection locked="0"/>
    </xf>
    <xf numFmtId="0" fontId="0" fillId="6" borderId="0" xfId="0" applyFill="1" applyAlignment="1" applyProtection="1">
      <alignment horizontal="left"/>
    </xf>
    <xf numFmtId="1" fontId="5" fillId="0" borderId="0" xfId="7" applyNumberFormat="1" applyAlignment="1">
      <alignment horizontal="left"/>
    </xf>
    <xf numFmtId="1" fontId="0" fillId="0" borderId="0" xfId="0" applyNumberFormat="1" applyAlignment="1" applyProtection="1">
      <alignment horizontal="left"/>
    </xf>
    <xf numFmtId="1" fontId="41" fillId="0" borderId="0" xfId="260" applyNumberFormat="1" applyAlignment="1">
      <alignment horizontal="left"/>
    </xf>
    <xf numFmtId="164" fontId="5" fillId="21" borderId="0" xfId="0" applyNumberFormat="1" applyFont="1" applyFill="1" applyAlignment="1">
      <alignment horizontal="center"/>
      <protection locked="0"/>
    </xf>
    <xf numFmtId="164" fontId="5" fillId="21" borderId="0" xfId="0" applyNumberFormat="1" applyFont="1" applyFill="1">
      <protection locked="0"/>
    </xf>
    <xf numFmtId="164" fontId="5" fillId="21" borderId="0" xfId="0" applyNumberFormat="1" applyFont="1" applyFill="1" applyAlignment="1">
      <alignment horizontal="right"/>
      <protection locked="0"/>
    </xf>
    <xf numFmtId="164" fontId="5" fillId="21" borderId="0" xfId="83" applyNumberFormat="1" applyFont="1" applyFill="1" applyAlignment="1" applyProtection="1">
      <alignment horizontal="right"/>
      <protection locked="0"/>
    </xf>
    <xf numFmtId="164" fontId="5" fillId="21" borderId="0" xfId="90" applyNumberFormat="1" applyFont="1" applyFill="1" applyAlignment="1" applyProtection="1">
      <alignment horizontal="right"/>
      <protection locked="0"/>
    </xf>
    <xf numFmtId="168" fontId="5" fillId="21" borderId="0" xfId="97" applyNumberFormat="1" applyFont="1" applyFill="1" applyAlignment="1" applyProtection="1">
      <alignment horizontal="right"/>
      <protection locked="0"/>
    </xf>
    <xf numFmtId="164" fontId="5" fillId="21" borderId="0" xfId="100" applyNumberFormat="1" applyFont="1" applyFill="1" applyAlignment="1" applyProtection="1">
      <alignment horizontal="right"/>
      <protection locked="0"/>
    </xf>
    <xf numFmtId="164" fontId="5" fillId="21" borderId="0" xfId="111" applyNumberFormat="1" applyFont="1" applyFill="1" applyAlignment="1" applyProtection="1">
      <alignment horizontal="right"/>
      <protection locked="0"/>
    </xf>
    <xf numFmtId="164" fontId="5" fillId="21" borderId="0" xfId="117" applyNumberFormat="1" applyFont="1" applyFill="1" applyAlignment="1" applyProtection="1">
      <alignment horizontal="right"/>
      <protection locked="0"/>
    </xf>
    <xf numFmtId="164" fontId="5" fillId="21" borderId="0" xfId="7" applyNumberFormat="1" applyFill="1" applyAlignment="1" applyProtection="1">
      <alignment horizontal="right"/>
      <protection locked="0"/>
    </xf>
    <xf numFmtId="2" fontId="5" fillId="21" borderId="0" xfId="7" applyNumberFormat="1" applyFill="1" applyAlignment="1" applyProtection="1">
      <alignment horizontal="right"/>
      <protection locked="0"/>
    </xf>
    <xf numFmtId="2" fontId="5" fillId="21" borderId="0" xfId="0" applyNumberFormat="1" applyFont="1" applyFill="1" applyAlignment="1">
      <alignment horizontal="right"/>
      <protection locked="0"/>
    </xf>
    <xf numFmtId="2" fontId="5" fillId="21" borderId="0" xfId="255" applyNumberFormat="1" applyFont="1" applyFill="1" applyAlignment="1" applyProtection="1">
      <alignment horizontal="right"/>
      <protection locked="0"/>
    </xf>
    <xf numFmtId="2" fontId="5" fillId="21" borderId="0" xfId="260" applyNumberFormat="1" applyFont="1" applyFill="1" applyAlignment="1" applyProtection="1">
      <alignment horizontal="right"/>
      <protection locked="0"/>
    </xf>
    <xf numFmtId="2" fontId="5" fillId="21" borderId="0" xfId="273" applyNumberFormat="1" applyFont="1" applyFill="1" applyAlignment="1">
      <alignment horizontal="right"/>
    </xf>
    <xf numFmtId="164" fontId="0" fillId="21" borderId="0" xfId="0" applyNumberFormat="1" applyFill="1" applyAlignment="1">
      <alignment horizontal="center"/>
      <protection locked="0"/>
    </xf>
    <xf numFmtId="164" fontId="0" fillId="21" borderId="0" xfId="0" applyNumberFormat="1" applyFill="1">
      <protection locked="0"/>
    </xf>
    <xf numFmtId="164" fontId="0" fillId="21" borderId="0" xfId="0" applyNumberFormat="1" applyFill="1" applyAlignment="1">
      <alignment horizontal="right"/>
      <protection locked="0"/>
    </xf>
    <xf numFmtId="164" fontId="35" fillId="21" borderId="0" xfId="90" applyNumberFormat="1" applyFill="1" applyAlignment="1" applyProtection="1">
      <alignment horizontal="right"/>
      <protection locked="0"/>
    </xf>
    <xf numFmtId="168" fontId="35" fillId="21" borderId="0" xfId="97" applyNumberFormat="1" applyFill="1" applyAlignment="1" applyProtection="1">
      <alignment horizontal="right"/>
      <protection locked="0"/>
    </xf>
    <xf numFmtId="164" fontId="35" fillId="21" borderId="0" xfId="100" applyNumberFormat="1" applyFill="1" applyAlignment="1" applyProtection="1">
      <alignment horizontal="right"/>
      <protection locked="0"/>
    </xf>
    <xf numFmtId="164" fontId="37" fillId="21" borderId="0" xfId="111" applyNumberFormat="1" applyFill="1" applyAlignment="1" applyProtection="1">
      <alignment horizontal="right"/>
      <protection locked="0"/>
    </xf>
    <xf numFmtId="2" fontId="0" fillId="21" borderId="0" xfId="0" applyNumberFormat="1" applyFill="1" applyAlignment="1">
      <alignment horizontal="right"/>
      <protection locked="0"/>
    </xf>
    <xf numFmtId="2" fontId="39" fillId="21" borderId="0" xfId="255" applyNumberFormat="1" applyFill="1" applyAlignment="1" applyProtection="1">
      <alignment horizontal="right"/>
      <protection locked="0"/>
    </xf>
    <xf numFmtId="2" fontId="41" fillId="21" borderId="0" xfId="260" applyNumberFormat="1" applyFill="1" applyAlignment="1" applyProtection="1">
      <alignment horizontal="right"/>
      <protection locked="0"/>
    </xf>
    <xf numFmtId="2" fontId="46" fillId="21" borderId="0" xfId="273" applyNumberFormat="1" applyFill="1" applyAlignment="1">
      <alignment horizontal="right"/>
    </xf>
    <xf numFmtId="164" fontId="35" fillId="21" borderId="0" xfId="83" applyNumberFormat="1" applyFill="1" applyAlignment="1" applyProtection="1">
      <alignment horizontal="right"/>
      <protection locked="0"/>
    </xf>
    <xf numFmtId="164" fontId="37" fillId="21" borderId="0" xfId="117" applyNumberFormat="1" applyFill="1" applyAlignment="1" applyProtection="1">
      <alignment horizontal="right"/>
      <protection locked="0"/>
    </xf>
    <xf numFmtId="2" fontId="0" fillId="21" borderId="0" xfId="0" applyNumberFormat="1" applyFill="1">
      <protection locked="0"/>
    </xf>
    <xf numFmtId="2" fontId="5" fillId="21" borderId="0" xfId="7" applyNumberFormat="1" applyFill="1" applyAlignment="1">
      <alignment horizontal="right"/>
    </xf>
    <xf numFmtId="164" fontId="0" fillId="21" borderId="0" xfId="0" applyNumberFormat="1" applyFill="1" applyAlignment="1" applyProtection="1">
      <alignment horizontal="right"/>
      <protection hidden="1"/>
    </xf>
    <xf numFmtId="0" fontId="0" fillId="21" borderId="0" xfId="0" applyFill="1">
      <protection locked="0"/>
    </xf>
    <xf numFmtId="164" fontId="0" fillId="21" borderId="11" xfId="0" applyNumberFormat="1" applyFill="1" applyBorder="1">
      <protection locked="0"/>
    </xf>
    <xf numFmtId="168" fontId="35" fillId="21" borderId="0" xfId="97" applyNumberFormat="1" applyFill="1" applyAlignment="1" applyProtection="1">
      <alignment horizontal="right"/>
      <protection hidden="1"/>
    </xf>
    <xf numFmtId="164" fontId="35" fillId="21" borderId="0" xfId="100" applyNumberFormat="1" applyFill="1" applyAlignment="1" applyProtection="1">
      <alignment horizontal="right"/>
      <protection hidden="1"/>
    </xf>
    <xf numFmtId="164" fontId="37" fillId="21" borderId="0" xfId="111" applyNumberFormat="1" applyFill="1" applyAlignment="1" applyProtection="1">
      <alignment horizontal="right"/>
      <protection hidden="1"/>
    </xf>
    <xf numFmtId="164" fontId="37" fillId="21" borderId="0" xfId="117" applyNumberFormat="1" applyFill="1" applyAlignment="1" applyProtection="1">
      <alignment horizontal="right"/>
      <protection hidden="1"/>
    </xf>
    <xf numFmtId="164" fontId="5" fillId="21" borderId="0" xfId="7" applyNumberFormat="1" applyFill="1" applyAlignment="1" applyProtection="1">
      <alignment horizontal="right"/>
      <protection hidden="1"/>
    </xf>
    <xf numFmtId="2" fontId="5" fillId="21" borderId="0" xfId="7" applyNumberFormat="1" applyFill="1" applyAlignment="1" applyProtection="1">
      <alignment horizontal="right"/>
      <protection hidden="1"/>
    </xf>
    <xf numFmtId="2" fontId="0" fillId="21" borderId="0" xfId="0" applyNumberFormat="1" applyFill="1" applyAlignment="1" applyProtection="1">
      <alignment horizontal="right"/>
      <protection hidden="1"/>
    </xf>
    <xf numFmtId="2" fontId="39" fillId="21" borderId="0" xfId="255" applyNumberFormat="1" applyFill="1" applyAlignment="1" applyProtection="1">
      <alignment horizontal="right"/>
      <protection hidden="1"/>
    </xf>
    <xf numFmtId="2" fontId="41" fillId="21" borderId="0" xfId="260" applyNumberFormat="1" applyFill="1" applyAlignment="1" applyProtection="1">
      <alignment horizontal="right"/>
      <protection hidden="1"/>
    </xf>
    <xf numFmtId="2" fontId="46" fillId="21" borderId="0" xfId="273" applyNumberFormat="1" applyFill="1" applyAlignment="1" applyProtection="1">
      <alignment horizontal="right"/>
      <protection hidden="1"/>
    </xf>
    <xf numFmtId="0" fontId="0" fillId="21" borderId="0" xfId="0" applyFill="1" applyAlignment="1">
      <alignment horizontal="center"/>
      <protection locked="0"/>
    </xf>
    <xf numFmtId="2" fontId="40" fillId="21" borderId="0" xfId="260" applyNumberFormat="1" applyFont="1" applyFill="1" applyAlignment="1" applyProtection="1">
      <alignment horizontal="right"/>
      <protection locked="0"/>
    </xf>
    <xf numFmtId="0" fontId="40" fillId="21" borderId="0" xfId="0" applyFont="1" applyFill="1">
      <protection locked="0"/>
    </xf>
    <xf numFmtId="2" fontId="5" fillId="21" borderId="0" xfId="273" applyNumberFormat="1" applyFont="1" applyFill="1" applyAlignment="1" applyProtection="1">
      <alignment horizontal="right"/>
      <protection locked="0"/>
    </xf>
    <xf numFmtId="164" fontId="6" fillId="21" borderId="0" xfId="0" applyNumberFormat="1" applyFont="1" applyFill="1" applyAlignment="1">
      <alignment horizontal="center"/>
      <protection locked="0"/>
    </xf>
    <xf numFmtId="164" fontId="35" fillId="21" borderId="0" xfId="83" applyNumberFormat="1" applyFill="1" applyProtection="1">
      <protection locked="0"/>
    </xf>
    <xf numFmtId="164" fontId="35" fillId="21" borderId="0" xfId="90" applyNumberFormat="1" applyFill="1" applyProtection="1">
      <protection locked="0"/>
    </xf>
    <xf numFmtId="168" fontId="35" fillId="21" borderId="0" xfId="97" applyNumberFormat="1" applyFill="1" applyProtection="1">
      <protection locked="0"/>
    </xf>
    <xf numFmtId="164" fontId="35" fillId="21" borderId="0" xfId="100" applyNumberFormat="1" applyFill="1" applyProtection="1">
      <protection locked="0"/>
    </xf>
    <xf numFmtId="164" fontId="37" fillId="21" borderId="0" xfId="111" applyNumberFormat="1" applyFill="1" applyProtection="1">
      <protection locked="0"/>
    </xf>
    <xf numFmtId="164" fontId="37" fillId="21" borderId="0" xfId="117" applyNumberFormat="1" applyFill="1" applyProtection="1">
      <protection locked="0"/>
    </xf>
    <xf numFmtId="164" fontId="5" fillId="21" borderId="0" xfId="7" applyNumberFormat="1" applyFill="1" applyProtection="1">
      <protection locked="0"/>
    </xf>
    <xf numFmtId="2" fontId="5" fillId="21" borderId="0" xfId="7" applyNumberFormat="1" applyFill="1" applyProtection="1">
      <protection locked="0"/>
    </xf>
    <xf numFmtId="2" fontId="39" fillId="21" borderId="0" xfId="255" applyNumberFormat="1" applyFill="1" applyProtection="1">
      <protection locked="0"/>
    </xf>
    <xf numFmtId="2" fontId="41" fillId="21" borderId="0" xfId="260" applyNumberFormat="1" applyFill="1" applyProtection="1">
      <protection locked="0"/>
    </xf>
    <xf numFmtId="2" fontId="46" fillId="21" borderId="0" xfId="273" applyNumberFormat="1" applyFill="1"/>
    <xf numFmtId="2" fontId="40" fillId="21" borderId="0" xfId="255" applyNumberFormat="1" applyFont="1" applyFill="1" applyProtection="1">
      <protection locked="0"/>
    </xf>
    <xf numFmtId="2" fontId="46" fillId="21" borderId="0" xfId="273" applyNumberFormat="1" applyFill="1" applyAlignment="1" applyProtection="1">
      <alignment horizontal="right"/>
      <protection locked="0"/>
    </xf>
    <xf numFmtId="0" fontId="6" fillId="21" borderId="0" xfId="0" applyFont="1" applyFill="1" applyAlignment="1">
      <alignment horizontal="center"/>
      <protection locked="0"/>
    </xf>
    <xf numFmtId="0" fontId="31" fillId="0" borderId="10" xfId="0" applyFont="1" applyBorder="1" applyAlignment="1">
      <alignment horizontal="center"/>
      <protection locked="0"/>
    </xf>
    <xf numFmtId="0" fontId="31" fillId="0" borderId="11" xfId="0" applyFont="1" applyBorder="1" applyAlignment="1">
      <alignment horizontal="center"/>
      <protection locked="0"/>
    </xf>
    <xf numFmtId="0" fontId="0" fillId="0" borderId="2" xfId="0" applyBorder="1" applyAlignment="1">
      <alignment horizontal="center"/>
      <protection locked="0"/>
    </xf>
    <xf numFmtId="0" fontId="0" fillId="0" borderId="3" xfId="0" applyBorder="1" applyAlignment="1">
      <alignment horizontal="center"/>
      <protection locked="0"/>
    </xf>
    <xf numFmtId="0" fontId="17" fillId="0" borderId="2" xfId="0" applyFont="1" applyBorder="1" applyAlignment="1">
      <alignment horizontal="center"/>
      <protection locked="0"/>
    </xf>
    <xf numFmtId="0" fontId="17" fillId="0" borderId="3" xfId="0" applyFont="1" applyBorder="1" applyAlignment="1">
      <alignment horizontal="center"/>
      <protection locked="0"/>
    </xf>
    <xf numFmtId="0" fontId="0" fillId="0" borderId="4" xfId="0" applyBorder="1" applyAlignment="1">
      <alignment horizontal="center"/>
      <protection locked="0"/>
    </xf>
    <xf numFmtId="0" fontId="17" fillId="0" borderId="3" xfId="0" applyFont="1" applyBorder="1">
      <protection locked="0"/>
    </xf>
    <xf numFmtId="0" fontId="10" fillId="0" borderId="0" xfId="0" applyFont="1" applyAlignment="1">
      <alignment horizontal="center"/>
      <protection locked="0"/>
    </xf>
    <xf numFmtId="0" fontId="9" fillId="0" borderId="0" xfId="0" applyFont="1" applyAlignment="1">
      <alignment horizontal="center"/>
      <protection locked="0"/>
    </xf>
    <xf numFmtId="0" fontId="0" fillId="0" borderId="0" xfId="0">
      <protection locked="0"/>
    </xf>
    <xf numFmtId="0" fontId="0" fillId="0" borderId="0" xfId="0" applyAlignment="1">
      <alignment horizontal="center"/>
      <protection locked="0"/>
    </xf>
    <xf numFmtId="0" fontId="32" fillId="0" borderId="0" xfId="0" applyFont="1" applyAlignment="1">
      <alignment horizontal="center" wrapText="1"/>
      <protection locked="0"/>
    </xf>
    <xf numFmtId="2" fontId="0" fillId="6" borderId="0" xfId="0" applyNumberFormat="1" applyFill="1" applyProtection="1"/>
    <xf numFmtId="1" fontId="0" fillId="0" borderId="0" xfId="0" applyNumberFormat="1" applyProtection="1"/>
    <xf numFmtId="1" fontId="0" fillId="6" borderId="0" xfId="0" applyNumberFormat="1" applyFill="1" applyProtection="1"/>
  </cellXfs>
  <cellStyles count="275">
    <cellStyle name="Normal" xfId="0" builtinId="0"/>
    <cellStyle name="Normal 10" xfId="12" xr:uid="{00000000-0005-0000-0000-000001000000}"/>
    <cellStyle name="Normal 10 2" xfId="127" xr:uid="{00000000-0005-0000-0000-000002000000}"/>
    <cellStyle name="Normal 100" xfId="102" xr:uid="{00000000-0005-0000-0000-000003000000}"/>
    <cellStyle name="Normal 100 2" xfId="224" xr:uid="{00000000-0005-0000-0000-000004000000}"/>
    <cellStyle name="Normal 101" xfId="103" xr:uid="{00000000-0005-0000-0000-000005000000}"/>
    <cellStyle name="Normal 101 2" xfId="225" xr:uid="{00000000-0005-0000-0000-000006000000}"/>
    <cellStyle name="Normal 102" xfId="104" xr:uid="{00000000-0005-0000-0000-000007000000}"/>
    <cellStyle name="Normal 102 2" xfId="226" xr:uid="{00000000-0005-0000-0000-000008000000}"/>
    <cellStyle name="Normal 103" xfId="105" xr:uid="{00000000-0005-0000-0000-000009000000}"/>
    <cellStyle name="Normal 103 2" xfId="227" xr:uid="{00000000-0005-0000-0000-00000A000000}"/>
    <cellStyle name="Normal 104" xfId="106" xr:uid="{00000000-0005-0000-0000-00000B000000}"/>
    <cellStyle name="Normal 104 2" xfId="228" xr:uid="{00000000-0005-0000-0000-00000C000000}"/>
    <cellStyle name="Normal 105" xfId="107" xr:uid="{00000000-0005-0000-0000-00000D000000}"/>
    <cellStyle name="Normal 105 2" xfId="229" xr:uid="{00000000-0005-0000-0000-00000E000000}"/>
    <cellStyle name="Normal 106" xfId="108" xr:uid="{00000000-0005-0000-0000-00000F000000}"/>
    <cellStyle name="Normal 106 2" xfId="230" xr:uid="{00000000-0005-0000-0000-000010000000}"/>
    <cellStyle name="Normal 107" xfId="109" xr:uid="{00000000-0005-0000-0000-000011000000}"/>
    <cellStyle name="Normal 107 2" xfId="231" xr:uid="{00000000-0005-0000-0000-000012000000}"/>
    <cellStyle name="Normal 108" xfId="110" xr:uid="{00000000-0005-0000-0000-000013000000}"/>
    <cellStyle name="Normal 108 2" xfId="232" xr:uid="{00000000-0005-0000-0000-000014000000}"/>
    <cellStyle name="Normal 109" xfId="111" xr:uid="{00000000-0005-0000-0000-000015000000}"/>
    <cellStyle name="Normal 109 2" xfId="233" xr:uid="{00000000-0005-0000-0000-000016000000}"/>
    <cellStyle name="Normal 11" xfId="13" xr:uid="{00000000-0005-0000-0000-000017000000}"/>
    <cellStyle name="Normal 11 2" xfId="136" xr:uid="{00000000-0005-0000-0000-000018000000}"/>
    <cellStyle name="Normal 110" xfId="112" xr:uid="{00000000-0005-0000-0000-000019000000}"/>
    <cellStyle name="Normal 110 2" xfId="234" xr:uid="{00000000-0005-0000-0000-00001A000000}"/>
    <cellStyle name="Normal 111" xfId="113" xr:uid="{00000000-0005-0000-0000-00001B000000}"/>
    <cellStyle name="Normal 111 2" xfId="235" xr:uid="{00000000-0005-0000-0000-00001C000000}"/>
    <cellStyle name="Normal 112" xfId="114" xr:uid="{00000000-0005-0000-0000-00001D000000}"/>
    <cellStyle name="Normal 112 2" xfId="236" xr:uid="{00000000-0005-0000-0000-00001E000000}"/>
    <cellStyle name="Normal 113" xfId="115" xr:uid="{00000000-0005-0000-0000-00001F000000}"/>
    <cellStyle name="Normal 113 2" xfId="237" xr:uid="{00000000-0005-0000-0000-000020000000}"/>
    <cellStyle name="Normal 114" xfId="116" xr:uid="{00000000-0005-0000-0000-000021000000}"/>
    <cellStyle name="Normal 114 2" xfId="238" xr:uid="{00000000-0005-0000-0000-000022000000}"/>
    <cellStyle name="Normal 115" xfId="117" xr:uid="{00000000-0005-0000-0000-000023000000}"/>
    <cellStyle name="Normal 115 2" xfId="239" xr:uid="{00000000-0005-0000-0000-000024000000}"/>
    <cellStyle name="Normal 116" xfId="118" xr:uid="{00000000-0005-0000-0000-000025000000}"/>
    <cellStyle name="Normal 116 2" xfId="240" xr:uid="{00000000-0005-0000-0000-000026000000}"/>
    <cellStyle name="Normal 117" xfId="119" xr:uid="{00000000-0005-0000-0000-000027000000}"/>
    <cellStyle name="Normal 117 2" xfId="241" xr:uid="{00000000-0005-0000-0000-000028000000}"/>
    <cellStyle name="Normal 118" xfId="120" xr:uid="{00000000-0005-0000-0000-000029000000}"/>
    <cellStyle name="Normal 118 2" xfId="242" xr:uid="{00000000-0005-0000-0000-00002A000000}"/>
    <cellStyle name="Normal 119" xfId="121" xr:uid="{00000000-0005-0000-0000-00002B000000}"/>
    <cellStyle name="Normal 119 2" xfId="243" xr:uid="{00000000-0005-0000-0000-00002C000000}"/>
    <cellStyle name="Normal 12" xfId="14" xr:uid="{00000000-0005-0000-0000-00002D000000}"/>
    <cellStyle name="Normal 12 2" xfId="137" xr:uid="{00000000-0005-0000-0000-00002E000000}"/>
    <cellStyle name="Normal 120" xfId="122" xr:uid="{00000000-0005-0000-0000-00002F000000}"/>
    <cellStyle name="Normal 121" xfId="123" xr:uid="{00000000-0005-0000-0000-000030000000}"/>
    <cellStyle name="Normal 122" xfId="124" xr:uid="{00000000-0005-0000-0000-000031000000}"/>
    <cellStyle name="Normal 123" xfId="244" xr:uid="{00000000-0005-0000-0000-000032000000}"/>
    <cellStyle name="Normal 124" xfId="245" xr:uid="{00000000-0005-0000-0000-000033000000}"/>
    <cellStyle name="Normal 125" xfId="246" xr:uid="{00000000-0005-0000-0000-000034000000}"/>
    <cellStyle name="Normal 126" xfId="247" xr:uid="{00000000-0005-0000-0000-000035000000}"/>
    <cellStyle name="Normal 127" xfId="248" xr:uid="{00000000-0005-0000-0000-000036000000}"/>
    <cellStyle name="Normal 128" xfId="249" xr:uid="{00000000-0005-0000-0000-000037000000}"/>
    <cellStyle name="Normal 129" xfId="250" xr:uid="{00000000-0005-0000-0000-000038000000}"/>
    <cellStyle name="Normal 13" xfId="15" xr:uid="{00000000-0005-0000-0000-000039000000}"/>
    <cellStyle name="Normal 13 2" xfId="138" xr:uid="{00000000-0005-0000-0000-00003A000000}"/>
    <cellStyle name="Normal 130" xfId="251" xr:uid="{00000000-0005-0000-0000-00003B000000}"/>
    <cellStyle name="Normal 131" xfId="252" xr:uid="{00000000-0005-0000-0000-00003C000000}"/>
    <cellStyle name="Normal 132" xfId="253" xr:uid="{00000000-0005-0000-0000-00003D000000}"/>
    <cellStyle name="Normal 133" xfId="254" xr:uid="{00000000-0005-0000-0000-00003E000000}"/>
    <cellStyle name="Normal 134" xfId="255" xr:uid="{00000000-0005-0000-0000-00003F000000}"/>
    <cellStyle name="Normal 135" xfId="256" xr:uid="{00000000-0005-0000-0000-000040000000}"/>
    <cellStyle name="Normal 136" xfId="257" xr:uid="{00000000-0005-0000-0000-000041000000}"/>
    <cellStyle name="Normal 137" xfId="258" xr:uid="{00000000-0005-0000-0000-000042000000}"/>
    <cellStyle name="Normal 138" xfId="259" xr:uid="{00000000-0005-0000-0000-000043000000}"/>
    <cellStyle name="Normal 139" xfId="260" xr:uid="{00000000-0005-0000-0000-000044000000}"/>
    <cellStyle name="Normal 14" xfId="16" xr:uid="{00000000-0005-0000-0000-000045000000}"/>
    <cellStyle name="Normal 14 2" xfId="139" xr:uid="{00000000-0005-0000-0000-000046000000}"/>
    <cellStyle name="Normal 140" xfId="261" xr:uid="{97293662-0CFB-4B4E-BD3F-10F63B2215BB}"/>
    <cellStyle name="Normal 141" xfId="262" xr:uid="{27E769B8-DC8D-4408-8E8C-6112345B1D6B}"/>
    <cellStyle name="Normal 142" xfId="264" xr:uid="{0D0193B9-B069-48CB-AB74-CB2C89A0E555}"/>
    <cellStyle name="Normal 143" xfId="265" xr:uid="{62D7B048-CB0D-4AF4-8DE0-52022F254827}"/>
    <cellStyle name="Normal 144" xfId="266" xr:uid="{233BEF70-4E1B-48AE-AD0F-D68CB2630C8C}"/>
    <cellStyle name="Normal 145" xfId="267" xr:uid="{3E424BB6-9D8A-4EC5-9CF1-087E748762B0}"/>
    <cellStyle name="Normal 146" xfId="268" xr:uid="{9A5C6507-1733-4E82-B097-C5632A912E19}"/>
    <cellStyle name="Normal 147" xfId="269" xr:uid="{6DFCAE4A-AF9C-4C20-8D1C-C27EFA1274E5}"/>
    <cellStyle name="Normal 148" xfId="270" xr:uid="{5B93781E-1390-473E-9340-2D8243F644D0}"/>
    <cellStyle name="Normal 149" xfId="271" xr:uid="{6F28FCDB-5623-4792-9BF1-6D7682B3E8EE}"/>
    <cellStyle name="Normal 15" xfId="17" xr:uid="{00000000-0005-0000-0000-000047000000}"/>
    <cellStyle name="Normal 15 2" xfId="140" xr:uid="{00000000-0005-0000-0000-000048000000}"/>
    <cellStyle name="Normal 150" xfId="272" xr:uid="{0E685C78-C2FA-4192-95B5-17D5A6524570}"/>
    <cellStyle name="Normal 151" xfId="273" xr:uid="{EE31B27B-9515-4A14-9504-7E88EB9CB7AD}"/>
    <cellStyle name="Normal 152" xfId="274" xr:uid="{5BA3C39A-37AF-4FDD-B331-B8742FE84A16}"/>
    <cellStyle name="Normal 16" xfId="18" xr:uid="{00000000-0005-0000-0000-000049000000}"/>
    <cellStyle name="Normal 16 2" xfId="141" xr:uid="{00000000-0005-0000-0000-00004A000000}"/>
    <cellStyle name="Normal 17" xfId="19" xr:uid="{00000000-0005-0000-0000-00004B000000}"/>
    <cellStyle name="Normal 17 2" xfId="142" xr:uid="{00000000-0005-0000-0000-00004C000000}"/>
    <cellStyle name="Normal 18" xfId="20" xr:uid="{00000000-0005-0000-0000-00004D000000}"/>
    <cellStyle name="Normal 18 2" xfId="143" xr:uid="{00000000-0005-0000-0000-00004E000000}"/>
    <cellStyle name="Normal 19" xfId="21" xr:uid="{00000000-0005-0000-0000-00004F000000}"/>
    <cellStyle name="Normal 19 2" xfId="144" xr:uid="{00000000-0005-0000-0000-000050000000}"/>
    <cellStyle name="Normal 2" xfId="1" xr:uid="{00000000-0005-0000-0000-000051000000}"/>
    <cellStyle name="Normal 2 2" xfId="6" xr:uid="{00000000-0005-0000-0000-000052000000}"/>
    <cellStyle name="Normal 2 2 2" xfId="132" xr:uid="{00000000-0005-0000-0000-000053000000}"/>
    <cellStyle name="Normal 2 3" xfId="125" xr:uid="{00000000-0005-0000-0000-000054000000}"/>
    <cellStyle name="Normal 2 4" xfId="129" xr:uid="{00000000-0005-0000-0000-000055000000}"/>
    <cellStyle name="Normal 2 5" xfId="263" xr:uid="{B3C28C4E-0A70-4CAD-920D-4DAE5E9B0887}"/>
    <cellStyle name="Normal 20" xfId="22" xr:uid="{00000000-0005-0000-0000-000056000000}"/>
    <cellStyle name="Normal 20 2" xfId="145" xr:uid="{00000000-0005-0000-0000-000057000000}"/>
    <cellStyle name="Normal 21" xfId="23" xr:uid="{00000000-0005-0000-0000-000058000000}"/>
    <cellStyle name="Normal 21 2" xfId="146" xr:uid="{00000000-0005-0000-0000-000059000000}"/>
    <cellStyle name="Normal 22" xfId="24" xr:uid="{00000000-0005-0000-0000-00005A000000}"/>
    <cellStyle name="Normal 22 2" xfId="147" xr:uid="{00000000-0005-0000-0000-00005B000000}"/>
    <cellStyle name="Normal 23" xfId="25" xr:uid="{00000000-0005-0000-0000-00005C000000}"/>
    <cellStyle name="Normal 23 2" xfId="148" xr:uid="{00000000-0005-0000-0000-00005D000000}"/>
    <cellStyle name="Normal 24" xfId="26" xr:uid="{00000000-0005-0000-0000-00005E000000}"/>
    <cellStyle name="Normal 24 2" xfId="149" xr:uid="{00000000-0005-0000-0000-00005F000000}"/>
    <cellStyle name="Normal 25" xfId="27" xr:uid="{00000000-0005-0000-0000-000060000000}"/>
    <cellStyle name="Normal 25 2" xfId="150" xr:uid="{00000000-0005-0000-0000-000061000000}"/>
    <cellStyle name="Normal 26" xfId="28" xr:uid="{00000000-0005-0000-0000-000062000000}"/>
    <cellStyle name="Normal 26 2" xfId="151" xr:uid="{00000000-0005-0000-0000-000063000000}"/>
    <cellStyle name="Normal 27" xfId="29" xr:uid="{00000000-0005-0000-0000-000064000000}"/>
    <cellStyle name="Normal 27 2" xfId="152" xr:uid="{00000000-0005-0000-0000-000065000000}"/>
    <cellStyle name="Normal 28" xfId="30" xr:uid="{00000000-0005-0000-0000-000066000000}"/>
    <cellStyle name="Normal 28 2" xfId="153" xr:uid="{00000000-0005-0000-0000-000067000000}"/>
    <cellStyle name="Normal 29" xfId="31" xr:uid="{00000000-0005-0000-0000-000068000000}"/>
    <cellStyle name="Normal 29 2" xfId="154" xr:uid="{00000000-0005-0000-0000-000069000000}"/>
    <cellStyle name="Normal 3" xfId="2" xr:uid="{00000000-0005-0000-0000-00006A000000}"/>
    <cellStyle name="Normal 3 2" xfId="7" xr:uid="{00000000-0005-0000-0000-00006B000000}"/>
    <cellStyle name="Normal 3 3" xfId="126" xr:uid="{00000000-0005-0000-0000-00006C000000}"/>
    <cellStyle name="Normal 30" xfId="32" xr:uid="{00000000-0005-0000-0000-00006D000000}"/>
    <cellStyle name="Normal 30 2" xfId="155" xr:uid="{00000000-0005-0000-0000-00006E000000}"/>
    <cellStyle name="Normal 31" xfId="33" xr:uid="{00000000-0005-0000-0000-00006F000000}"/>
    <cellStyle name="Normal 31 2" xfId="156" xr:uid="{00000000-0005-0000-0000-000070000000}"/>
    <cellStyle name="Normal 32" xfId="34" xr:uid="{00000000-0005-0000-0000-000071000000}"/>
    <cellStyle name="Normal 32 2" xfId="157" xr:uid="{00000000-0005-0000-0000-000072000000}"/>
    <cellStyle name="Normal 33" xfId="35" xr:uid="{00000000-0005-0000-0000-000073000000}"/>
    <cellStyle name="Normal 33 2" xfId="158" xr:uid="{00000000-0005-0000-0000-000074000000}"/>
    <cellStyle name="Normal 34" xfId="36" xr:uid="{00000000-0005-0000-0000-000075000000}"/>
    <cellStyle name="Normal 34 2" xfId="159" xr:uid="{00000000-0005-0000-0000-000076000000}"/>
    <cellStyle name="Normal 35" xfId="37" xr:uid="{00000000-0005-0000-0000-000077000000}"/>
    <cellStyle name="Normal 35 2" xfId="160" xr:uid="{00000000-0005-0000-0000-000078000000}"/>
    <cellStyle name="Normal 36" xfId="38" xr:uid="{00000000-0005-0000-0000-000079000000}"/>
    <cellStyle name="Normal 36 2" xfId="161" xr:uid="{00000000-0005-0000-0000-00007A000000}"/>
    <cellStyle name="Normal 37" xfId="39" xr:uid="{00000000-0005-0000-0000-00007B000000}"/>
    <cellStyle name="Normal 37 2" xfId="162" xr:uid="{00000000-0005-0000-0000-00007C000000}"/>
    <cellStyle name="Normal 38" xfId="40" xr:uid="{00000000-0005-0000-0000-00007D000000}"/>
    <cellStyle name="Normal 38 2" xfId="163" xr:uid="{00000000-0005-0000-0000-00007E000000}"/>
    <cellStyle name="Normal 39" xfId="41" xr:uid="{00000000-0005-0000-0000-00007F000000}"/>
    <cellStyle name="Normal 39 2" xfId="164" xr:uid="{00000000-0005-0000-0000-000080000000}"/>
    <cellStyle name="Normal 4" xfId="3" xr:uid="{00000000-0005-0000-0000-000081000000}"/>
    <cellStyle name="Normal 4 2" xfId="8" xr:uid="{00000000-0005-0000-0000-000082000000}"/>
    <cellStyle name="Normal 40" xfId="42" xr:uid="{00000000-0005-0000-0000-000083000000}"/>
    <cellStyle name="Normal 40 2" xfId="165" xr:uid="{00000000-0005-0000-0000-000084000000}"/>
    <cellStyle name="Normal 41" xfId="43" xr:uid="{00000000-0005-0000-0000-000085000000}"/>
    <cellStyle name="Normal 41 2" xfId="166" xr:uid="{00000000-0005-0000-0000-000086000000}"/>
    <cellStyle name="Normal 42" xfId="44" xr:uid="{00000000-0005-0000-0000-000087000000}"/>
    <cellStyle name="Normal 42 2" xfId="167" xr:uid="{00000000-0005-0000-0000-000088000000}"/>
    <cellStyle name="Normal 43" xfId="45" xr:uid="{00000000-0005-0000-0000-000089000000}"/>
    <cellStyle name="Normal 43 2" xfId="168" xr:uid="{00000000-0005-0000-0000-00008A000000}"/>
    <cellStyle name="Normal 44" xfId="46" xr:uid="{00000000-0005-0000-0000-00008B000000}"/>
    <cellStyle name="Normal 44 2" xfId="169" xr:uid="{00000000-0005-0000-0000-00008C000000}"/>
    <cellStyle name="Normal 45" xfId="47" xr:uid="{00000000-0005-0000-0000-00008D000000}"/>
    <cellStyle name="Normal 45 2" xfId="170" xr:uid="{00000000-0005-0000-0000-00008E000000}"/>
    <cellStyle name="Normal 46" xfId="48" xr:uid="{00000000-0005-0000-0000-00008F000000}"/>
    <cellStyle name="Normal 46 2" xfId="171" xr:uid="{00000000-0005-0000-0000-000090000000}"/>
    <cellStyle name="Normal 47" xfId="49" xr:uid="{00000000-0005-0000-0000-000091000000}"/>
    <cellStyle name="Normal 47 2" xfId="172" xr:uid="{00000000-0005-0000-0000-000092000000}"/>
    <cellStyle name="Normal 48" xfId="50" xr:uid="{00000000-0005-0000-0000-000093000000}"/>
    <cellStyle name="Normal 48 2" xfId="173" xr:uid="{00000000-0005-0000-0000-000094000000}"/>
    <cellStyle name="Normal 49" xfId="51" xr:uid="{00000000-0005-0000-0000-000095000000}"/>
    <cellStyle name="Normal 49 2" xfId="174" xr:uid="{00000000-0005-0000-0000-000096000000}"/>
    <cellStyle name="Normal 5" xfId="5" xr:uid="{00000000-0005-0000-0000-000097000000}"/>
    <cellStyle name="Normal 5 2" xfId="131" xr:uid="{00000000-0005-0000-0000-000098000000}"/>
    <cellStyle name="Normal 50" xfId="52" xr:uid="{00000000-0005-0000-0000-000099000000}"/>
    <cellStyle name="Normal 50 2" xfId="175" xr:uid="{00000000-0005-0000-0000-00009A000000}"/>
    <cellStyle name="Normal 51" xfId="53" xr:uid="{00000000-0005-0000-0000-00009B000000}"/>
    <cellStyle name="Normal 51 2" xfId="176" xr:uid="{00000000-0005-0000-0000-00009C000000}"/>
    <cellStyle name="Normal 52" xfId="54" xr:uid="{00000000-0005-0000-0000-00009D000000}"/>
    <cellStyle name="Normal 52 2" xfId="177" xr:uid="{00000000-0005-0000-0000-00009E000000}"/>
    <cellStyle name="Normal 53" xfId="55" xr:uid="{00000000-0005-0000-0000-00009F000000}"/>
    <cellStyle name="Normal 53 2" xfId="178" xr:uid="{00000000-0005-0000-0000-0000A0000000}"/>
    <cellStyle name="Normal 54" xfId="56" xr:uid="{00000000-0005-0000-0000-0000A1000000}"/>
    <cellStyle name="Normal 54 2" xfId="179" xr:uid="{00000000-0005-0000-0000-0000A2000000}"/>
    <cellStyle name="Normal 55" xfId="57" xr:uid="{00000000-0005-0000-0000-0000A3000000}"/>
    <cellStyle name="Normal 55 2" xfId="180" xr:uid="{00000000-0005-0000-0000-0000A4000000}"/>
    <cellStyle name="Normal 56" xfId="58" xr:uid="{00000000-0005-0000-0000-0000A5000000}"/>
    <cellStyle name="Normal 56 2" xfId="181" xr:uid="{00000000-0005-0000-0000-0000A6000000}"/>
    <cellStyle name="Normal 57" xfId="59" xr:uid="{00000000-0005-0000-0000-0000A7000000}"/>
    <cellStyle name="Normal 57 2" xfId="182" xr:uid="{00000000-0005-0000-0000-0000A8000000}"/>
    <cellStyle name="Normal 58" xfId="60" xr:uid="{00000000-0005-0000-0000-0000A9000000}"/>
    <cellStyle name="Normal 58 2" xfId="183" xr:uid="{00000000-0005-0000-0000-0000AA000000}"/>
    <cellStyle name="Normal 59" xfId="61" xr:uid="{00000000-0005-0000-0000-0000AB000000}"/>
    <cellStyle name="Normal 59 2" xfId="184" xr:uid="{00000000-0005-0000-0000-0000AC000000}"/>
    <cellStyle name="Normal 6" xfId="4" xr:uid="{00000000-0005-0000-0000-0000AD000000}"/>
    <cellStyle name="Normal 6 2" xfId="130" xr:uid="{00000000-0005-0000-0000-0000AE000000}"/>
    <cellStyle name="Normal 60" xfId="62" xr:uid="{00000000-0005-0000-0000-0000AF000000}"/>
    <cellStyle name="Normal 60 2" xfId="128" xr:uid="{00000000-0005-0000-0000-0000B0000000}"/>
    <cellStyle name="Normal 61" xfId="63" xr:uid="{00000000-0005-0000-0000-0000B1000000}"/>
    <cellStyle name="Normal 61 2" xfId="185" xr:uid="{00000000-0005-0000-0000-0000B2000000}"/>
    <cellStyle name="Normal 62" xfId="64" xr:uid="{00000000-0005-0000-0000-0000B3000000}"/>
    <cellStyle name="Normal 62 2" xfId="186" xr:uid="{00000000-0005-0000-0000-0000B4000000}"/>
    <cellStyle name="Normal 63" xfId="65" xr:uid="{00000000-0005-0000-0000-0000B5000000}"/>
    <cellStyle name="Normal 63 2" xfId="187" xr:uid="{00000000-0005-0000-0000-0000B6000000}"/>
    <cellStyle name="Normal 64" xfId="66" xr:uid="{00000000-0005-0000-0000-0000B7000000}"/>
    <cellStyle name="Normal 64 2" xfId="188" xr:uid="{00000000-0005-0000-0000-0000B8000000}"/>
    <cellStyle name="Normal 65" xfId="67" xr:uid="{00000000-0005-0000-0000-0000B9000000}"/>
    <cellStyle name="Normal 65 2" xfId="189" xr:uid="{00000000-0005-0000-0000-0000BA000000}"/>
    <cellStyle name="Normal 66" xfId="68" xr:uid="{00000000-0005-0000-0000-0000BB000000}"/>
    <cellStyle name="Normal 66 2" xfId="190" xr:uid="{00000000-0005-0000-0000-0000BC000000}"/>
    <cellStyle name="Normal 67" xfId="69" xr:uid="{00000000-0005-0000-0000-0000BD000000}"/>
    <cellStyle name="Normal 67 2" xfId="191" xr:uid="{00000000-0005-0000-0000-0000BE000000}"/>
    <cellStyle name="Normal 68" xfId="70" xr:uid="{00000000-0005-0000-0000-0000BF000000}"/>
    <cellStyle name="Normal 68 2" xfId="192" xr:uid="{00000000-0005-0000-0000-0000C0000000}"/>
    <cellStyle name="Normal 69" xfId="71" xr:uid="{00000000-0005-0000-0000-0000C1000000}"/>
    <cellStyle name="Normal 69 2" xfId="193" xr:uid="{00000000-0005-0000-0000-0000C2000000}"/>
    <cellStyle name="Normal 7" xfId="9" xr:uid="{00000000-0005-0000-0000-0000C3000000}"/>
    <cellStyle name="Normal 7 2" xfId="133" xr:uid="{00000000-0005-0000-0000-0000C4000000}"/>
    <cellStyle name="Normal 70" xfId="72" xr:uid="{00000000-0005-0000-0000-0000C5000000}"/>
    <cellStyle name="Normal 70 2" xfId="194" xr:uid="{00000000-0005-0000-0000-0000C6000000}"/>
    <cellStyle name="Normal 71" xfId="73" xr:uid="{00000000-0005-0000-0000-0000C7000000}"/>
    <cellStyle name="Normal 71 2" xfId="195" xr:uid="{00000000-0005-0000-0000-0000C8000000}"/>
    <cellStyle name="Normal 72" xfId="74" xr:uid="{00000000-0005-0000-0000-0000C9000000}"/>
    <cellStyle name="Normal 72 2" xfId="196" xr:uid="{00000000-0005-0000-0000-0000CA000000}"/>
    <cellStyle name="Normal 73" xfId="75" xr:uid="{00000000-0005-0000-0000-0000CB000000}"/>
    <cellStyle name="Normal 73 2" xfId="197" xr:uid="{00000000-0005-0000-0000-0000CC000000}"/>
    <cellStyle name="Normal 74" xfId="76" xr:uid="{00000000-0005-0000-0000-0000CD000000}"/>
    <cellStyle name="Normal 74 2" xfId="198" xr:uid="{00000000-0005-0000-0000-0000CE000000}"/>
    <cellStyle name="Normal 75" xfId="77" xr:uid="{00000000-0005-0000-0000-0000CF000000}"/>
    <cellStyle name="Normal 75 2" xfId="199" xr:uid="{00000000-0005-0000-0000-0000D0000000}"/>
    <cellStyle name="Normal 76" xfId="78" xr:uid="{00000000-0005-0000-0000-0000D1000000}"/>
    <cellStyle name="Normal 76 2" xfId="200" xr:uid="{00000000-0005-0000-0000-0000D2000000}"/>
    <cellStyle name="Normal 77" xfId="79" xr:uid="{00000000-0005-0000-0000-0000D3000000}"/>
    <cellStyle name="Normal 77 2" xfId="201" xr:uid="{00000000-0005-0000-0000-0000D4000000}"/>
    <cellStyle name="Normal 78" xfId="80" xr:uid="{00000000-0005-0000-0000-0000D5000000}"/>
    <cellStyle name="Normal 78 2" xfId="202" xr:uid="{00000000-0005-0000-0000-0000D6000000}"/>
    <cellStyle name="Normal 79" xfId="81" xr:uid="{00000000-0005-0000-0000-0000D7000000}"/>
    <cellStyle name="Normal 79 2" xfId="203" xr:uid="{00000000-0005-0000-0000-0000D8000000}"/>
    <cellStyle name="Normal 8" xfId="10" xr:uid="{00000000-0005-0000-0000-0000D9000000}"/>
    <cellStyle name="Normal 8 2" xfId="134" xr:uid="{00000000-0005-0000-0000-0000DA000000}"/>
    <cellStyle name="Normal 80" xfId="82" xr:uid="{00000000-0005-0000-0000-0000DB000000}"/>
    <cellStyle name="Normal 80 2" xfId="204" xr:uid="{00000000-0005-0000-0000-0000DC000000}"/>
    <cellStyle name="Normal 81" xfId="83" xr:uid="{00000000-0005-0000-0000-0000DD000000}"/>
    <cellStyle name="Normal 81 2" xfId="205" xr:uid="{00000000-0005-0000-0000-0000DE000000}"/>
    <cellStyle name="Normal 82" xfId="84" xr:uid="{00000000-0005-0000-0000-0000DF000000}"/>
    <cellStyle name="Normal 82 2" xfId="206" xr:uid="{00000000-0005-0000-0000-0000E0000000}"/>
    <cellStyle name="Normal 83" xfId="85" xr:uid="{00000000-0005-0000-0000-0000E1000000}"/>
    <cellStyle name="Normal 83 2" xfId="207" xr:uid="{00000000-0005-0000-0000-0000E2000000}"/>
    <cellStyle name="Normal 84" xfId="86" xr:uid="{00000000-0005-0000-0000-0000E3000000}"/>
    <cellStyle name="Normal 84 2" xfId="208" xr:uid="{00000000-0005-0000-0000-0000E4000000}"/>
    <cellStyle name="Normal 85" xfId="87" xr:uid="{00000000-0005-0000-0000-0000E5000000}"/>
    <cellStyle name="Normal 85 2" xfId="209" xr:uid="{00000000-0005-0000-0000-0000E6000000}"/>
    <cellStyle name="Normal 86" xfId="88" xr:uid="{00000000-0005-0000-0000-0000E7000000}"/>
    <cellStyle name="Normal 86 2" xfId="210" xr:uid="{00000000-0005-0000-0000-0000E8000000}"/>
    <cellStyle name="Normal 87" xfId="89" xr:uid="{00000000-0005-0000-0000-0000E9000000}"/>
    <cellStyle name="Normal 87 2" xfId="211" xr:uid="{00000000-0005-0000-0000-0000EA000000}"/>
    <cellStyle name="Normal 88" xfId="90" xr:uid="{00000000-0005-0000-0000-0000EB000000}"/>
    <cellStyle name="Normal 88 2" xfId="212" xr:uid="{00000000-0005-0000-0000-0000EC000000}"/>
    <cellStyle name="Normal 89" xfId="91" xr:uid="{00000000-0005-0000-0000-0000ED000000}"/>
    <cellStyle name="Normal 89 2" xfId="213" xr:uid="{00000000-0005-0000-0000-0000EE000000}"/>
    <cellStyle name="Normal 9" xfId="11" xr:uid="{00000000-0005-0000-0000-0000EF000000}"/>
    <cellStyle name="Normal 9 2" xfId="135" xr:uid="{00000000-0005-0000-0000-0000F0000000}"/>
    <cellStyle name="Normal 90" xfId="92" xr:uid="{00000000-0005-0000-0000-0000F1000000}"/>
    <cellStyle name="Normal 90 2" xfId="214" xr:uid="{00000000-0005-0000-0000-0000F2000000}"/>
    <cellStyle name="Normal 91" xfId="93" xr:uid="{00000000-0005-0000-0000-0000F3000000}"/>
    <cellStyle name="Normal 91 2" xfId="215" xr:uid="{00000000-0005-0000-0000-0000F4000000}"/>
    <cellStyle name="Normal 92" xfId="94" xr:uid="{00000000-0005-0000-0000-0000F5000000}"/>
    <cellStyle name="Normal 92 2" xfId="216" xr:uid="{00000000-0005-0000-0000-0000F6000000}"/>
    <cellStyle name="Normal 93" xfId="95" xr:uid="{00000000-0005-0000-0000-0000F7000000}"/>
    <cellStyle name="Normal 93 2" xfId="217" xr:uid="{00000000-0005-0000-0000-0000F8000000}"/>
    <cellStyle name="Normal 94" xfId="96" xr:uid="{00000000-0005-0000-0000-0000F9000000}"/>
    <cellStyle name="Normal 94 2" xfId="218" xr:uid="{00000000-0005-0000-0000-0000FA000000}"/>
    <cellStyle name="Normal 95" xfId="97" xr:uid="{00000000-0005-0000-0000-0000FB000000}"/>
    <cellStyle name="Normal 95 2" xfId="219" xr:uid="{00000000-0005-0000-0000-0000FC000000}"/>
    <cellStyle name="Normal 96" xfId="98" xr:uid="{00000000-0005-0000-0000-0000FD000000}"/>
    <cellStyle name="Normal 96 2" xfId="220" xr:uid="{00000000-0005-0000-0000-0000FE000000}"/>
    <cellStyle name="Normal 97" xfId="99" xr:uid="{00000000-0005-0000-0000-0000FF000000}"/>
    <cellStyle name="Normal 97 2" xfId="221" xr:uid="{00000000-0005-0000-0000-000000010000}"/>
    <cellStyle name="Normal 98" xfId="100" xr:uid="{00000000-0005-0000-0000-000001010000}"/>
    <cellStyle name="Normal 98 2" xfId="222" xr:uid="{00000000-0005-0000-0000-000002010000}"/>
    <cellStyle name="Normal 99" xfId="101" xr:uid="{00000000-0005-0000-0000-000003010000}"/>
    <cellStyle name="Normal 99 2" xfId="223" xr:uid="{00000000-0005-0000-0000-00000401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openxmlformats.org/officeDocument/2006/relationships/worksheet" Target="worksheets/sheet1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9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Plot of Rock</a:t>
            </a:r>
            <a:r>
              <a:rPr lang="en-US" baseline="0"/>
              <a:t> Creek 48-inch meter </a:t>
            </a:r>
            <a:endParaRPr lang="en-US"/>
          </a:p>
        </c:rich>
      </c:tx>
      <c:layout>
        <c:manualLayout>
          <c:xMode val="edge"/>
          <c:yMode val="edge"/>
          <c:x val="0.40326124888911752"/>
          <c:y val="3.06394225138799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1346000306304446E-2"/>
          <c:y val="9.2317818523742365E-2"/>
          <c:w val="0.94666735009120828"/>
          <c:h val="0.77621669646724345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3.4359067666342502E-2"/>
                  <c:y val="7.402344805629902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strRef>
              <c:f>WSSC_ALL!$EM$137:$EM$257</c:f>
              <c:strCache>
                <c:ptCount val="121"/>
                <c:pt idx="0">
                  <c:v>OCTOBER</c:v>
                </c:pt>
                <c:pt idx="1">
                  <c:v>NOVEMBER</c:v>
                </c:pt>
                <c:pt idx="2">
                  <c:v>DECEMBER</c:v>
                </c:pt>
                <c:pt idx="3">
                  <c:v>JANUARY</c:v>
                </c:pt>
                <c:pt idx="4">
                  <c:v>FEBRUARY</c:v>
                </c:pt>
                <c:pt idx="5">
                  <c:v>MARCH</c:v>
                </c:pt>
                <c:pt idx="6">
                  <c:v>APRIL</c:v>
                </c:pt>
                <c:pt idx="7">
                  <c:v>MAY</c:v>
                </c:pt>
                <c:pt idx="8">
                  <c:v>JUNE</c:v>
                </c:pt>
                <c:pt idx="9">
                  <c:v>JULY</c:v>
                </c:pt>
                <c:pt idx="10">
                  <c:v>AUGUST</c:v>
                </c:pt>
                <c:pt idx="11">
                  <c:v>SEPTEMBER</c:v>
                </c:pt>
                <c:pt idx="12">
                  <c:v>OCTOBER</c:v>
                </c:pt>
                <c:pt idx="13">
                  <c:v>NOVEMBER</c:v>
                </c:pt>
                <c:pt idx="14">
                  <c:v>DECEMBER</c:v>
                </c:pt>
                <c:pt idx="15">
                  <c:v>JANUARY</c:v>
                </c:pt>
                <c:pt idx="16">
                  <c:v>FEBRUARY</c:v>
                </c:pt>
                <c:pt idx="17">
                  <c:v>MARCH</c:v>
                </c:pt>
                <c:pt idx="18">
                  <c:v>APRIL</c:v>
                </c:pt>
                <c:pt idx="19">
                  <c:v>MAY</c:v>
                </c:pt>
                <c:pt idx="20">
                  <c:v>JUNE</c:v>
                </c:pt>
                <c:pt idx="21">
                  <c:v>JULY</c:v>
                </c:pt>
                <c:pt idx="22">
                  <c:v>AUGUST</c:v>
                </c:pt>
                <c:pt idx="23">
                  <c:v>SEPTEMBER</c:v>
                </c:pt>
                <c:pt idx="24">
                  <c:v>OCTOBER</c:v>
                </c:pt>
                <c:pt idx="25">
                  <c:v>NOVEMBER</c:v>
                </c:pt>
                <c:pt idx="26">
                  <c:v>DECEMBER</c:v>
                </c:pt>
                <c:pt idx="27">
                  <c:v>JANUARY</c:v>
                </c:pt>
                <c:pt idx="28">
                  <c:v>FEBRUARY</c:v>
                </c:pt>
                <c:pt idx="29">
                  <c:v>MARCH</c:v>
                </c:pt>
                <c:pt idx="30">
                  <c:v>APRIL</c:v>
                </c:pt>
                <c:pt idx="31">
                  <c:v>MAY</c:v>
                </c:pt>
                <c:pt idx="32">
                  <c:v>JUNE</c:v>
                </c:pt>
                <c:pt idx="33">
                  <c:v>JULY</c:v>
                </c:pt>
                <c:pt idx="34">
                  <c:v>AUGUST</c:v>
                </c:pt>
                <c:pt idx="35">
                  <c:v>SEPTEMBER</c:v>
                </c:pt>
                <c:pt idx="36">
                  <c:v>OCTOBER</c:v>
                </c:pt>
                <c:pt idx="37">
                  <c:v>NOVEMBER</c:v>
                </c:pt>
                <c:pt idx="38">
                  <c:v>DECEMBER</c:v>
                </c:pt>
                <c:pt idx="39">
                  <c:v>JANUARY</c:v>
                </c:pt>
                <c:pt idx="40">
                  <c:v>FEBRUARY</c:v>
                </c:pt>
                <c:pt idx="41">
                  <c:v>MARCH</c:v>
                </c:pt>
                <c:pt idx="42">
                  <c:v>APRIL</c:v>
                </c:pt>
                <c:pt idx="43">
                  <c:v>MAY</c:v>
                </c:pt>
                <c:pt idx="44">
                  <c:v>JUNE</c:v>
                </c:pt>
                <c:pt idx="45">
                  <c:v>JULY</c:v>
                </c:pt>
                <c:pt idx="46">
                  <c:v>AUGUST</c:v>
                </c:pt>
                <c:pt idx="47">
                  <c:v>SEPTEMBER</c:v>
                </c:pt>
                <c:pt idx="48">
                  <c:v>OCTOBER</c:v>
                </c:pt>
                <c:pt idx="49">
                  <c:v>NOVEMBER</c:v>
                </c:pt>
                <c:pt idx="50">
                  <c:v>DECEMBER</c:v>
                </c:pt>
                <c:pt idx="51">
                  <c:v>JANUARY</c:v>
                </c:pt>
                <c:pt idx="52">
                  <c:v>FEBRUARY</c:v>
                </c:pt>
                <c:pt idx="53">
                  <c:v>MARCH</c:v>
                </c:pt>
                <c:pt idx="54">
                  <c:v>APRIL</c:v>
                </c:pt>
                <c:pt idx="55">
                  <c:v>MAY</c:v>
                </c:pt>
                <c:pt idx="56">
                  <c:v>JUNE</c:v>
                </c:pt>
                <c:pt idx="57">
                  <c:v>JULY</c:v>
                </c:pt>
                <c:pt idx="58">
                  <c:v>AUGUST</c:v>
                </c:pt>
                <c:pt idx="59">
                  <c:v>SEPTEMBER</c:v>
                </c:pt>
                <c:pt idx="60">
                  <c:v>OCTOBER</c:v>
                </c:pt>
                <c:pt idx="61">
                  <c:v>NOVEMBER</c:v>
                </c:pt>
                <c:pt idx="62">
                  <c:v>DECEMBER</c:v>
                </c:pt>
                <c:pt idx="63">
                  <c:v>JANUARY</c:v>
                </c:pt>
                <c:pt idx="64">
                  <c:v>FEBRUARY</c:v>
                </c:pt>
                <c:pt idx="65">
                  <c:v>MARCH</c:v>
                </c:pt>
                <c:pt idx="66">
                  <c:v>APRIL</c:v>
                </c:pt>
                <c:pt idx="67">
                  <c:v>MAY</c:v>
                </c:pt>
                <c:pt idx="68">
                  <c:v>JUNE</c:v>
                </c:pt>
                <c:pt idx="69">
                  <c:v>JULY</c:v>
                </c:pt>
                <c:pt idx="70">
                  <c:v>AUGUST</c:v>
                </c:pt>
                <c:pt idx="71">
                  <c:v>SEPTEMBER</c:v>
                </c:pt>
                <c:pt idx="72">
                  <c:v>OCTOBER</c:v>
                </c:pt>
                <c:pt idx="73">
                  <c:v>NOVEMBER</c:v>
                </c:pt>
                <c:pt idx="74">
                  <c:v>DECEMBER</c:v>
                </c:pt>
                <c:pt idx="75">
                  <c:v>JANUARY</c:v>
                </c:pt>
                <c:pt idx="76">
                  <c:v>FEBRUARY</c:v>
                </c:pt>
                <c:pt idx="77">
                  <c:v>MARCH</c:v>
                </c:pt>
                <c:pt idx="78">
                  <c:v>APRIL</c:v>
                </c:pt>
                <c:pt idx="79">
                  <c:v>MAY</c:v>
                </c:pt>
                <c:pt idx="80">
                  <c:v>JUNE</c:v>
                </c:pt>
                <c:pt idx="81">
                  <c:v>JULY</c:v>
                </c:pt>
                <c:pt idx="82">
                  <c:v>AUGUST</c:v>
                </c:pt>
                <c:pt idx="83">
                  <c:v>SEPTEMBER</c:v>
                </c:pt>
                <c:pt idx="84">
                  <c:v>OCTOBER</c:v>
                </c:pt>
                <c:pt idx="85">
                  <c:v>NOVEMBER</c:v>
                </c:pt>
                <c:pt idx="86">
                  <c:v>DECEMBER</c:v>
                </c:pt>
                <c:pt idx="87">
                  <c:v>JANUARY</c:v>
                </c:pt>
                <c:pt idx="88">
                  <c:v>FEBRUARY</c:v>
                </c:pt>
                <c:pt idx="89">
                  <c:v>MARCH</c:v>
                </c:pt>
                <c:pt idx="90">
                  <c:v>APRIL</c:v>
                </c:pt>
                <c:pt idx="91">
                  <c:v>MAY</c:v>
                </c:pt>
                <c:pt idx="92">
                  <c:v>JUNE</c:v>
                </c:pt>
                <c:pt idx="93">
                  <c:v>JULY</c:v>
                </c:pt>
                <c:pt idx="94">
                  <c:v>AUGUST</c:v>
                </c:pt>
                <c:pt idx="95">
                  <c:v>SEPTEMBER</c:v>
                </c:pt>
                <c:pt idx="96">
                  <c:v>OCTOBER</c:v>
                </c:pt>
                <c:pt idx="97">
                  <c:v>NOVEMBER</c:v>
                </c:pt>
                <c:pt idx="98">
                  <c:v>DECEMBER</c:v>
                </c:pt>
                <c:pt idx="99">
                  <c:v>JANUARY</c:v>
                </c:pt>
                <c:pt idx="100">
                  <c:v>FEBRUARY</c:v>
                </c:pt>
                <c:pt idx="101">
                  <c:v>MARCH</c:v>
                </c:pt>
                <c:pt idx="102">
                  <c:v>APRIL</c:v>
                </c:pt>
                <c:pt idx="103">
                  <c:v>MAY</c:v>
                </c:pt>
                <c:pt idx="104">
                  <c:v>JUNE</c:v>
                </c:pt>
                <c:pt idx="105">
                  <c:v>JULY</c:v>
                </c:pt>
                <c:pt idx="106">
                  <c:v>AUGUST</c:v>
                </c:pt>
                <c:pt idx="107">
                  <c:v>SEPTEMBER</c:v>
                </c:pt>
                <c:pt idx="108">
                  <c:v>OCTOBER</c:v>
                </c:pt>
                <c:pt idx="109">
                  <c:v>NOVEMBER</c:v>
                </c:pt>
                <c:pt idx="110">
                  <c:v>DECEMBER</c:v>
                </c:pt>
                <c:pt idx="111">
                  <c:v>JANUARY</c:v>
                </c:pt>
                <c:pt idx="112">
                  <c:v>FEBRUARY</c:v>
                </c:pt>
                <c:pt idx="113">
                  <c:v>MARCH</c:v>
                </c:pt>
                <c:pt idx="114">
                  <c:v>APRIL</c:v>
                </c:pt>
                <c:pt idx="115">
                  <c:v>MAY</c:v>
                </c:pt>
                <c:pt idx="116">
                  <c:v>JUNE</c:v>
                </c:pt>
                <c:pt idx="117">
                  <c:v>JULY</c:v>
                </c:pt>
                <c:pt idx="118">
                  <c:v>AUGUST</c:v>
                </c:pt>
                <c:pt idx="119">
                  <c:v>SEPTEMBER</c:v>
                </c:pt>
                <c:pt idx="120">
                  <c:v>OCTOBER</c:v>
                </c:pt>
              </c:strCache>
            </c:strRef>
          </c:cat>
          <c:val>
            <c:numRef>
              <c:f>WSSC_ALL!$Y$137:$Y$257</c:f>
              <c:numCache>
                <c:formatCode>0.000</c:formatCode>
                <c:ptCount val="121"/>
                <c:pt idx="0">
                  <c:v>16.947451612903226</c:v>
                </c:pt>
                <c:pt idx="1">
                  <c:v>17.497900000000001</c:v>
                </c:pt>
                <c:pt idx="2">
                  <c:v>18.817967741935483</c:v>
                </c:pt>
                <c:pt idx="3">
                  <c:v>19.919</c:v>
                </c:pt>
                <c:pt idx="4">
                  <c:v>19.606750000000002</c:v>
                </c:pt>
                <c:pt idx="5">
                  <c:v>19.547935483870969</c:v>
                </c:pt>
                <c:pt idx="6">
                  <c:v>21.189633333333333</c:v>
                </c:pt>
                <c:pt idx="7">
                  <c:v>22.952677419354838</c:v>
                </c:pt>
                <c:pt idx="8">
                  <c:v>22.880533333333336</c:v>
                </c:pt>
                <c:pt idx="9">
                  <c:v>19.059709677419356</c:v>
                </c:pt>
                <c:pt idx="10">
                  <c:v>18.357806451612902</c:v>
                </c:pt>
                <c:pt idx="11">
                  <c:v>17.923166666666667</c:v>
                </c:pt>
                <c:pt idx="12">
                  <c:v>18.341612903225808</c:v>
                </c:pt>
                <c:pt idx="13">
                  <c:v>20.203033333333334</c:v>
                </c:pt>
                <c:pt idx="14">
                  <c:v>23.036967741935481</c:v>
                </c:pt>
                <c:pt idx="15">
                  <c:v>22.307290322580645</c:v>
                </c:pt>
                <c:pt idx="16">
                  <c:v>23.045392857142854</c:v>
                </c:pt>
                <c:pt idx="17">
                  <c:v>24.878838709677421</c:v>
                </c:pt>
                <c:pt idx="18">
                  <c:v>22.508699999999997</c:v>
                </c:pt>
                <c:pt idx="19">
                  <c:v>20.979967741935486</c:v>
                </c:pt>
                <c:pt idx="20">
                  <c:v>19.728233333333332</c:v>
                </c:pt>
                <c:pt idx="21">
                  <c:v>18.012193548387099</c:v>
                </c:pt>
                <c:pt idx="22">
                  <c:v>18.731129032258064</c:v>
                </c:pt>
                <c:pt idx="23">
                  <c:v>17.978033333333332</c:v>
                </c:pt>
                <c:pt idx="24">
                  <c:v>18.921774193548387</c:v>
                </c:pt>
                <c:pt idx="25">
                  <c:v>19.140866666666668</c:v>
                </c:pt>
                <c:pt idx="26">
                  <c:v>18.984225806451612</c:v>
                </c:pt>
                <c:pt idx="27">
                  <c:v>18.34458064516129</c:v>
                </c:pt>
                <c:pt idx="28">
                  <c:v>20.144964285714284</c:v>
                </c:pt>
                <c:pt idx="29">
                  <c:v>22.707387096774191</c:v>
                </c:pt>
                <c:pt idx="30">
                  <c:v>22.048866666666665</c:v>
                </c:pt>
                <c:pt idx="31">
                  <c:v>20.27406451612903</c:v>
                </c:pt>
                <c:pt idx="32">
                  <c:v>19.223933333333331</c:v>
                </c:pt>
                <c:pt idx="33">
                  <c:v>17.90893548387097</c:v>
                </c:pt>
                <c:pt idx="34">
                  <c:v>17.180935483870968</c:v>
                </c:pt>
                <c:pt idx="35">
                  <c:v>19.582366666666665</c:v>
                </c:pt>
                <c:pt idx="36">
                  <c:v>19.013612903225809</c:v>
                </c:pt>
                <c:pt idx="37">
                  <c:v>19.187999999999999</c:v>
                </c:pt>
                <c:pt idx="38">
                  <c:v>20.698935483870969</c:v>
                </c:pt>
                <c:pt idx="39">
                  <c:v>20.383000000000003</c:v>
                </c:pt>
                <c:pt idx="40">
                  <c:v>19.924034482758621</c:v>
                </c:pt>
                <c:pt idx="41">
                  <c:v>20.14635483870968</c:v>
                </c:pt>
                <c:pt idx="42">
                  <c:v>18.923400000000001</c:v>
                </c:pt>
                <c:pt idx="43">
                  <c:v>18.833354838709674</c:v>
                </c:pt>
                <c:pt idx="44">
                  <c:v>18.713999999999999</c:v>
                </c:pt>
                <c:pt idx="45">
                  <c:v>17.759612903225808</c:v>
                </c:pt>
                <c:pt idx="46">
                  <c:v>17.241</c:v>
                </c:pt>
                <c:pt idx="47">
                  <c:v>16.783999999999999</c:v>
                </c:pt>
                <c:pt idx="48">
                  <c:v>18.027000000000001</c:v>
                </c:pt>
                <c:pt idx="49">
                  <c:v>18.463000000000001</c:v>
                </c:pt>
                <c:pt idx="50">
                  <c:v>18.715645161290322</c:v>
                </c:pt>
                <c:pt idx="51">
                  <c:v>19.634</c:v>
                </c:pt>
                <c:pt idx="52">
                  <c:v>20.138000000000002</c:v>
                </c:pt>
                <c:pt idx="53">
                  <c:v>20.492999999999999</c:v>
                </c:pt>
                <c:pt idx="54">
                  <c:v>19.754000000000001</c:v>
                </c:pt>
                <c:pt idx="55">
                  <c:v>19.449000000000002</c:v>
                </c:pt>
                <c:pt idx="56">
                  <c:v>21.573</c:v>
                </c:pt>
                <c:pt idx="57">
                  <c:v>19.439</c:v>
                </c:pt>
                <c:pt idx="58">
                  <c:v>17.405999999999999</c:v>
                </c:pt>
                <c:pt idx="59">
                  <c:v>16.486000000000001</c:v>
                </c:pt>
                <c:pt idx="60">
                  <c:v>17.265999999999998</c:v>
                </c:pt>
                <c:pt idx="61">
                  <c:v>17.805</c:v>
                </c:pt>
                <c:pt idx="62">
                  <c:v>19.643000000000001</c:v>
                </c:pt>
                <c:pt idx="63">
                  <c:v>20.736999999999998</c:v>
                </c:pt>
                <c:pt idx="64">
                  <c:v>22.251000000000001</c:v>
                </c:pt>
                <c:pt idx="65">
                  <c:v>22.271999999999998</c:v>
                </c:pt>
                <c:pt idx="66">
                  <c:v>23.193000000000001</c:v>
                </c:pt>
                <c:pt idx="67">
                  <c:v>23.655000000000001</c:v>
                </c:pt>
                <c:pt idx="68">
                  <c:v>20.712</c:v>
                </c:pt>
                <c:pt idx="69">
                  <c:v>18.239000000000001</c:v>
                </c:pt>
                <c:pt idx="70">
                  <c:v>19.204999999999998</c:v>
                </c:pt>
                <c:pt idx="71">
                  <c:v>18.942</c:v>
                </c:pt>
                <c:pt idx="72">
                  <c:v>16.940000000000001</c:v>
                </c:pt>
                <c:pt idx="73">
                  <c:v>17.61</c:v>
                </c:pt>
                <c:pt idx="74">
                  <c:v>19.32</c:v>
                </c:pt>
                <c:pt idx="75">
                  <c:v>19.98</c:v>
                </c:pt>
                <c:pt idx="76">
                  <c:v>19.27</c:v>
                </c:pt>
                <c:pt idx="77">
                  <c:v>22.44</c:v>
                </c:pt>
                <c:pt idx="78">
                  <c:v>21.23</c:v>
                </c:pt>
                <c:pt idx="79">
                  <c:v>18.809999999999999</c:v>
                </c:pt>
                <c:pt idx="80">
                  <c:v>19.16</c:v>
                </c:pt>
                <c:pt idx="81">
                  <c:v>23.17</c:v>
                </c:pt>
                <c:pt idx="82">
                  <c:v>18.350000000000001</c:v>
                </c:pt>
                <c:pt idx="83">
                  <c:v>17.010000000000002</c:v>
                </c:pt>
                <c:pt idx="84">
                  <c:v>16.98</c:v>
                </c:pt>
                <c:pt idx="85">
                  <c:v>15.92</c:v>
                </c:pt>
                <c:pt idx="86">
                  <c:v>18.850000000000001</c:v>
                </c:pt>
                <c:pt idx="87">
                  <c:v>21.11</c:v>
                </c:pt>
                <c:pt idx="88">
                  <c:v>23.69</c:v>
                </c:pt>
                <c:pt idx="89">
                  <c:v>20.059999999999999</c:v>
                </c:pt>
                <c:pt idx="90">
                  <c:v>18.11</c:v>
                </c:pt>
                <c:pt idx="91" formatCode="0.00">
                  <c:v>19.975161290322582</c:v>
                </c:pt>
                <c:pt idx="92">
                  <c:v>19.728233333333332</c:v>
                </c:pt>
                <c:pt idx="93">
                  <c:v>18.02690322580645</c:v>
                </c:pt>
                <c:pt idx="94">
                  <c:v>18.6038064516129</c:v>
                </c:pt>
                <c:pt idx="95">
                  <c:v>17.841600000000003</c:v>
                </c:pt>
                <c:pt idx="96">
                  <c:v>17.867677419354841</c:v>
                </c:pt>
                <c:pt idx="97">
                  <c:v>16.784066666666668</c:v>
                </c:pt>
                <c:pt idx="98">
                  <c:v>16.795064516129035</c:v>
                </c:pt>
                <c:pt idx="99">
                  <c:v>18.041612903225804</c:v>
                </c:pt>
                <c:pt idx="100">
                  <c:v>18.594535714285715</c:v>
                </c:pt>
                <c:pt idx="101">
                  <c:v>18.041612903225804</c:v>
                </c:pt>
                <c:pt idx="102">
                  <c:v>18.642999999999997</c:v>
                </c:pt>
                <c:pt idx="103">
                  <c:v>18.189064516129033</c:v>
                </c:pt>
                <c:pt idx="104">
                  <c:v>17.354900000000001</c:v>
                </c:pt>
                <c:pt idx="105">
                  <c:v>17.90893548387097</c:v>
                </c:pt>
                <c:pt idx="106">
                  <c:v>18.434935483870966</c:v>
                </c:pt>
                <c:pt idx="107">
                  <c:v>17.761099999999999</c:v>
                </c:pt>
                <c:pt idx="108">
                  <c:v>17.188161290322579</c:v>
                </c:pt>
                <c:pt idx="109" formatCode="0.00">
                  <c:v>14.86</c:v>
                </c:pt>
                <c:pt idx="110">
                  <c:v>14.07</c:v>
                </c:pt>
                <c:pt idx="111">
                  <c:v>14.12</c:v>
                </c:pt>
                <c:pt idx="112">
                  <c:v>16.170000000000002</c:v>
                </c:pt>
                <c:pt idx="113">
                  <c:v>15.93</c:v>
                </c:pt>
                <c:pt idx="114">
                  <c:v>15.7</c:v>
                </c:pt>
                <c:pt idx="115" formatCode="0.00">
                  <c:v>17.850000000000001</c:v>
                </c:pt>
                <c:pt idx="116" formatCode="0.00">
                  <c:v>19.559999999999999</c:v>
                </c:pt>
                <c:pt idx="117" formatCode="0.00">
                  <c:v>21.36</c:v>
                </c:pt>
                <c:pt idx="118" formatCode="0.00">
                  <c:v>19.350000000000001</c:v>
                </c:pt>
                <c:pt idx="119">
                  <c:v>20.85</c:v>
                </c:pt>
                <c:pt idx="120">
                  <c:v>20.09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4F-4EE5-AB41-5F9DC5BBB1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520032"/>
        <c:axId val="453521600"/>
      </c:lineChart>
      <c:catAx>
        <c:axId val="453520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521600"/>
        <c:crosses val="autoZero"/>
        <c:auto val="1"/>
        <c:lblAlgn val="ctr"/>
        <c:lblOffset val="100"/>
        <c:tickLblSkip val="1"/>
        <c:noMultiLvlLbl val="1"/>
      </c:catAx>
      <c:valAx>
        <c:axId val="453521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520032"/>
        <c:crossesAt val="39722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Fairfax</a:t>
            </a:r>
            <a:r>
              <a:rPr lang="en-US" baseline="0"/>
              <a:t> Actual Flow and Adjusted Flow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2CE3-4466-A5C5-6AF4FD50E4E4}"/>
            </c:ext>
          </c:extLst>
        </c:ser>
        <c:ser>
          <c:idx val="3"/>
          <c:order val="1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2CE3-4466-A5C5-6AF4FD50E4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647904"/>
        <c:axId val="648644296"/>
      </c:lineChart>
      <c:catAx>
        <c:axId val="648647904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644296"/>
        <c:crosses val="autoZero"/>
        <c:auto val="1"/>
        <c:lblAlgn val="ctr"/>
        <c:lblOffset val="100"/>
        <c:tickLblSkip val="1"/>
        <c:noMultiLvlLbl val="1"/>
      </c:catAx>
      <c:valAx>
        <c:axId val="64864429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Flow (MGD)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647904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17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 codeName="Chart6"/>
  <sheetViews>
    <sheetView workbookViewId="0"/>
  </sheetViews>
  <pageMargins left="0.7" right="0.7" top="0.75" bottom="0.75" header="0.3" footer="0.3"/>
  <pageSetup orientation="landscape" r:id="rId1"/>
  <drawing r:id="rId2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3</xdr:row>
      <xdr:rowOff>0</xdr:rowOff>
    </xdr:from>
    <xdr:to>
      <xdr:col>9</xdr:col>
      <xdr:colOff>0</xdr:colOff>
      <xdr:row>5</xdr:row>
      <xdr:rowOff>0</xdr:rowOff>
    </xdr:to>
    <xdr:sp macro="" textlink="">
      <xdr:nvSpPr>
        <xdr:cNvPr id="74753" name="Rectangle 1">
          <a:extLst>
            <a:ext uri="{FF2B5EF4-FFF2-40B4-BE49-F238E27FC236}">
              <a16:creationId xmlns:a16="http://schemas.microsoft.com/office/drawing/2014/main" id="{00000000-0008-0000-0100-000001240100}"/>
            </a:ext>
          </a:extLst>
        </xdr:cNvPr>
        <xdr:cNvSpPr>
          <a:spLocks noChangeArrowheads="1"/>
        </xdr:cNvSpPr>
      </xdr:nvSpPr>
      <xdr:spPr bwMode="auto">
        <a:xfrm>
          <a:off x="4876800" y="581025"/>
          <a:ext cx="609600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DULLES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19050</xdr:colOff>
      <xdr:row>8</xdr:row>
      <xdr:rowOff>28575</xdr:rowOff>
    </xdr:to>
    <xdr:sp macro="" textlink="">
      <xdr:nvSpPr>
        <xdr:cNvPr id="74754" name="Text Box 2">
          <a:extLst>
            <a:ext uri="{FF2B5EF4-FFF2-40B4-BE49-F238E27FC236}">
              <a16:creationId xmlns:a16="http://schemas.microsoft.com/office/drawing/2014/main" id="{00000000-0008-0000-0100-000002240100}"/>
            </a:ext>
          </a:extLst>
        </xdr:cNvPr>
        <xdr:cNvSpPr txBox="1">
          <a:spLocks noChangeArrowheads="1"/>
        </xdr:cNvSpPr>
      </xdr:nvSpPr>
      <xdr:spPr bwMode="auto">
        <a:xfrm>
          <a:off x="4876800" y="1066800"/>
          <a:ext cx="628650" cy="3524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VIENNA</a:t>
          </a:r>
        </a:p>
      </xdr:txBody>
    </xdr:sp>
    <xdr:clientData/>
  </xdr:twoCellAnchor>
  <xdr:twoCellAnchor editAs="oneCell">
    <xdr:from>
      <xdr:col>8</xdr:col>
      <xdr:colOff>0</xdr:colOff>
      <xdr:row>9</xdr:row>
      <xdr:rowOff>0</xdr:rowOff>
    </xdr:from>
    <xdr:to>
      <xdr:col>9</xdr:col>
      <xdr:colOff>0</xdr:colOff>
      <xdr:row>11</xdr:row>
      <xdr:rowOff>28575</xdr:rowOff>
    </xdr:to>
    <xdr:sp macro="" textlink="">
      <xdr:nvSpPr>
        <xdr:cNvPr id="74755" name="Text Box 3">
          <a:extLst>
            <a:ext uri="{FF2B5EF4-FFF2-40B4-BE49-F238E27FC236}">
              <a16:creationId xmlns:a16="http://schemas.microsoft.com/office/drawing/2014/main" id="{00000000-0008-0000-0100-000003240100}"/>
            </a:ext>
          </a:extLst>
        </xdr:cNvPr>
        <xdr:cNvSpPr txBox="1">
          <a:spLocks noChangeArrowheads="1"/>
        </xdr:cNvSpPr>
      </xdr:nvSpPr>
      <xdr:spPr bwMode="auto">
        <a:xfrm>
          <a:off x="4876800" y="1552575"/>
          <a:ext cx="609600" cy="3524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LCSA</a:t>
          </a:r>
        </a:p>
      </xdr:txBody>
    </xdr:sp>
    <xdr:clientData/>
  </xdr:twoCellAnchor>
  <xdr:twoCellAnchor>
    <xdr:from>
      <xdr:col>8</xdr:col>
      <xdr:colOff>9525</xdr:colOff>
      <xdr:row>12</xdr:row>
      <xdr:rowOff>9525</xdr:rowOff>
    </xdr:from>
    <xdr:to>
      <xdr:col>9</xdr:col>
      <xdr:colOff>0</xdr:colOff>
      <xdr:row>14</xdr:row>
      <xdr:rowOff>0</xdr:rowOff>
    </xdr:to>
    <xdr:sp macro="" textlink="">
      <xdr:nvSpPr>
        <xdr:cNvPr id="74756" name="Text Box 4">
          <a:extLst>
            <a:ext uri="{FF2B5EF4-FFF2-40B4-BE49-F238E27FC236}">
              <a16:creationId xmlns:a16="http://schemas.microsoft.com/office/drawing/2014/main" id="{00000000-0008-0000-0100-000004240100}"/>
            </a:ext>
          </a:extLst>
        </xdr:cNvPr>
        <xdr:cNvSpPr txBox="1">
          <a:spLocks noChangeArrowheads="1"/>
        </xdr:cNvSpPr>
      </xdr:nvSpPr>
      <xdr:spPr bwMode="auto">
        <a:xfrm>
          <a:off x="4886325" y="2047875"/>
          <a:ext cx="600075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FAIRFAX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COUNTY</a:t>
          </a:r>
        </a:p>
      </xdr:txBody>
    </xdr:sp>
    <xdr:clientData/>
  </xdr:twoCellAnchor>
  <xdr:twoCellAnchor editAs="oneCell">
    <xdr:from>
      <xdr:col>8</xdr:col>
      <xdr:colOff>0</xdr:colOff>
      <xdr:row>15</xdr:row>
      <xdr:rowOff>0</xdr:rowOff>
    </xdr:from>
    <xdr:to>
      <xdr:col>9</xdr:col>
      <xdr:colOff>0</xdr:colOff>
      <xdr:row>17</xdr:row>
      <xdr:rowOff>38100</xdr:rowOff>
    </xdr:to>
    <xdr:sp macro="" textlink="">
      <xdr:nvSpPr>
        <xdr:cNvPr id="74757" name="Text Box 5">
          <a:extLst>
            <a:ext uri="{FF2B5EF4-FFF2-40B4-BE49-F238E27FC236}">
              <a16:creationId xmlns:a16="http://schemas.microsoft.com/office/drawing/2014/main" id="{00000000-0008-0000-0100-000005240100}"/>
            </a:ext>
          </a:extLst>
        </xdr:cNvPr>
        <xdr:cNvSpPr txBox="1">
          <a:spLocks noChangeArrowheads="1"/>
        </xdr:cNvSpPr>
      </xdr:nvSpPr>
      <xdr:spPr bwMode="auto">
        <a:xfrm>
          <a:off x="4876800" y="2524125"/>
          <a:ext cx="609600" cy="3619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 WSSC</a:t>
          </a:r>
        </a:p>
      </xdr:txBody>
    </xdr:sp>
    <xdr:clientData/>
  </xdr:twoCellAnchor>
  <xdr:twoCellAnchor>
    <xdr:from>
      <xdr:col>8</xdr:col>
      <xdr:colOff>9525</xdr:colOff>
      <xdr:row>18</xdr:row>
      <xdr:rowOff>0</xdr:rowOff>
    </xdr:from>
    <xdr:to>
      <xdr:col>9</xdr:col>
      <xdr:colOff>0</xdr:colOff>
      <xdr:row>20</xdr:row>
      <xdr:rowOff>28575</xdr:rowOff>
    </xdr:to>
    <xdr:sp macro="" textlink="">
      <xdr:nvSpPr>
        <xdr:cNvPr id="74758" name="Text Box 6">
          <a:extLst>
            <a:ext uri="{FF2B5EF4-FFF2-40B4-BE49-F238E27FC236}">
              <a16:creationId xmlns:a16="http://schemas.microsoft.com/office/drawing/2014/main" id="{00000000-0008-0000-0100-000006240100}"/>
            </a:ext>
          </a:extLst>
        </xdr:cNvPr>
        <xdr:cNvSpPr txBox="1">
          <a:spLocks noChangeArrowheads="1"/>
        </xdr:cNvSpPr>
      </xdr:nvSpPr>
      <xdr:spPr bwMode="auto">
        <a:xfrm>
          <a:off x="4886325" y="3009900"/>
          <a:ext cx="600075" cy="3524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 WASA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  DWT</a:t>
          </a:r>
        </a:p>
      </xdr:txBody>
    </xdr:sp>
    <xdr:clientData/>
  </xdr:twoCellAnchor>
  <xdr:twoCellAnchor>
    <xdr:from>
      <xdr:col>10</xdr:col>
      <xdr:colOff>0</xdr:colOff>
      <xdr:row>21</xdr:row>
      <xdr:rowOff>0</xdr:rowOff>
    </xdr:from>
    <xdr:to>
      <xdr:col>12</xdr:col>
      <xdr:colOff>0</xdr:colOff>
      <xdr:row>25</xdr:row>
      <xdr:rowOff>0</xdr:rowOff>
    </xdr:to>
    <xdr:sp macro="" textlink="">
      <xdr:nvSpPr>
        <xdr:cNvPr id="74759" name="Text Box 7">
          <a:extLst>
            <a:ext uri="{FF2B5EF4-FFF2-40B4-BE49-F238E27FC236}">
              <a16:creationId xmlns:a16="http://schemas.microsoft.com/office/drawing/2014/main" id="{00000000-0008-0000-0100-000007240100}"/>
            </a:ext>
          </a:extLst>
        </xdr:cNvPr>
        <xdr:cNvSpPr txBox="1">
          <a:spLocks noChangeArrowheads="1"/>
        </xdr:cNvSpPr>
      </xdr:nvSpPr>
      <xdr:spPr bwMode="auto">
        <a:xfrm>
          <a:off x="6096000" y="3495675"/>
          <a:ext cx="1323975" cy="6477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BLUE PLAINS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SERVICE AREA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MONTHLY FLOW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REPORT</a:t>
          </a:r>
        </a:p>
      </xdr:txBody>
    </xdr:sp>
    <xdr:clientData/>
  </xdr:twoCellAnchor>
  <xdr:twoCellAnchor>
    <xdr:from>
      <xdr:col>10</xdr:col>
      <xdr:colOff>0</xdr:colOff>
      <xdr:row>26</xdr:row>
      <xdr:rowOff>0</xdr:rowOff>
    </xdr:from>
    <xdr:to>
      <xdr:col>12</xdr:col>
      <xdr:colOff>0</xdr:colOff>
      <xdr:row>30</xdr:row>
      <xdr:rowOff>0</xdr:rowOff>
    </xdr:to>
    <xdr:sp macro="" textlink="">
      <xdr:nvSpPr>
        <xdr:cNvPr id="74760" name="Text Box 8">
          <a:extLst>
            <a:ext uri="{FF2B5EF4-FFF2-40B4-BE49-F238E27FC236}">
              <a16:creationId xmlns:a16="http://schemas.microsoft.com/office/drawing/2014/main" id="{00000000-0008-0000-0100-000008240100}"/>
            </a:ext>
          </a:extLst>
        </xdr:cNvPr>
        <xdr:cNvSpPr txBox="1">
          <a:spLocks noChangeArrowheads="1"/>
        </xdr:cNvSpPr>
      </xdr:nvSpPr>
      <xdr:spPr bwMode="auto">
        <a:xfrm>
          <a:off x="6096000" y="4305300"/>
          <a:ext cx="1323975" cy="6477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RECAP OF MONTHLY AND ANNUAL AVERAGE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DAILY FLOWS</a:t>
          </a: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1633693" name="Line 9">
          <a:extLst>
            <a:ext uri="{FF2B5EF4-FFF2-40B4-BE49-F238E27FC236}">
              <a16:creationId xmlns:a16="http://schemas.microsoft.com/office/drawing/2014/main" id="{00000000-0008-0000-0100-00009DED1800}"/>
            </a:ext>
          </a:extLst>
        </xdr:cNvPr>
        <xdr:cNvSpPr>
          <a:spLocks noChangeShapeType="1"/>
        </xdr:cNvSpPr>
      </xdr:nvSpPr>
      <xdr:spPr bwMode="auto">
        <a:xfrm flipH="1">
          <a:off x="5486400" y="3819525"/>
          <a:ext cx="60960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1633694" name="Line 10">
          <a:extLst>
            <a:ext uri="{FF2B5EF4-FFF2-40B4-BE49-F238E27FC236}">
              <a16:creationId xmlns:a16="http://schemas.microsoft.com/office/drawing/2014/main" id="{00000000-0008-0000-0100-00009EED1800}"/>
            </a:ext>
          </a:extLst>
        </xdr:cNvPr>
        <xdr:cNvSpPr>
          <a:spLocks noChangeShapeType="1"/>
        </xdr:cNvSpPr>
      </xdr:nvSpPr>
      <xdr:spPr bwMode="auto">
        <a:xfrm flipH="1" flipV="1">
          <a:off x="5486400" y="4305300"/>
          <a:ext cx="60960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7</xdr:col>
      <xdr:colOff>238125</xdr:colOff>
      <xdr:row>24</xdr:row>
      <xdr:rowOff>0</xdr:rowOff>
    </xdr:from>
    <xdr:to>
      <xdr:col>9</xdr:col>
      <xdr:colOff>0</xdr:colOff>
      <xdr:row>27</xdr:row>
      <xdr:rowOff>0</xdr:rowOff>
    </xdr:to>
    <xdr:sp macro="" textlink="">
      <xdr:nvSpPr>
        <xdr:cNvPr id="74763" name="AutoShape 11">
          <a:extLst>
            <a:ext uri="{FF2B5EF4-FFF2-40B4-BE49-F238E27FC236}">
              <a16:creationId xmlns:a16="http://schemas.microsoft.com/office/drawing/2014/main" id="{00000000-0008-0000-0100-00000B240100}"/>
            </a:ext>
          </a:extLst>
        </xdr:cNvPr>
        <xdr:cNvSpPr>
          <a:spLocks noChangeArrowheads="1"/>
        </xdr:cNvSpPr>
      </xdr:nvSpPr>
      <xdr:spPr bwMode="auto">
        <a:xfrm>
          <a:off x="4505325" y="3981450"/>
          <a:ext cx="981075" cy="485775"/>
        </a:xfrm>
        <a:prstGeom prst="leftArrow">
          <a:avLst>
            <a:gd name="adj1" fmla="val 50000"/>
            <a:gd name="adj2" fmla="val 5049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8</xdr:col>
      <xdr:colOff>0</xdr:colOff>
      <xdr:row>25</xdr:row>
      <xdr:rowOff>0</xdr:rowOff>
    </xdr:from>
    <xdr:to>
      <xdr:col>9</xdr:col>
      <xdr:colOff>0</xdr:colOff>
      <xdr:row>26</xdr:row>
      <xdr:rowOff>0</xdr:rowOff>
    </xdr:to>
    <xdr:sp macro="" textlink="">
      <xdr:nvSpPr>
        <xdr:cNvPr id="74764" name="Text Box 12">
          <a:extLst>
            <a:ext uri="{FF2B5EF4-FFF2-40B4-BE49-F238E27FC236}">
              <a16:creationId xmlns:a16="http://schemas.microsoft.com/office/drawing/2014/main" id="{00000000-0008-0000-0100-00000C240100}"/>
            </a:ext>
          </a:extLst>
        </xdr:cNvPr>
        <xdr:cNvSpPr txBox="1">
          <a:spLocks noChangeArrowheads="1"/>
        </xdr:cNvSpPr>
      </xdr:nvSpPr>
      <xdr:spPr bwMode="auto">
        <a:xfrm>
          <a:off x="4876800" y="4143375"/>
          <a:ext cx="609600" cy="161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  MAIL</a:t>
          </a:r>
        </a:p>
      </xdr:txBody>
    </xdr:sp>
    <xdr:clientData/>
  </xdr:twoCellAnchor>
  <xdr:twoCellAnchor>
    <xdr:from>
      <xdr:col>8</xdr:col>
      <xdr:colOff>600075</xdr:colOff>
      <xdr:row>19</xdr:row>
      <xdr:rowOff>0</xdr:rowOff>
    </xdr:from>
    <xdr:to>
      <xdr:col>14</xdr:col>
      <xdr:colOff>0</xdr:colOff>
      <xdr:row>19</xdr:row>
      <xdr:rowOff>0</xdr:rowOff>
    </xdr:to>
    <xdr:sp macro="" textlink="">
      <xdr:nvSpPr>
        <xdr:cNvPr id="1633697" name="Line 13">
          <a:extLst>
            <a:ext uri="{FF2B5EF4-FFF2-40B4-BE49-F238E27FC236}">
              <a16:creationId xmlns:a16="http://schemas.microsoft.com/office/drawing/2014/main" id="{00000000-0008-0000-0100-0000A1ED1800}"/>
            </a:ext>
          </a:extLst>
        </xdr:cNvPr>
        <xdr:cNvSpPr>
          <a:spLocks noChangeShapeType="1"/>
        </xdr:cNvSpPr>
      </xdr:nvSpPr>
      <xdr:spPr bwMode="auto">
        <a:xfrm>
          <a:off x="5476875" y="3171825"/>
          <a:ext cx="3162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26</xdr:col>
      <xdr:colOff>0</xdr:colOff>
      <xdr:row>4</xdr:row>
      <xdr:rowOff>0</xdr:rowOff>
    </xdr:from>
    <xdr:to>
      <xdr:col>26</xdr:col>
      <xdr:colOff>0</xdr:colOff>
      <xdr:row>33</xdr:row>
      <xdr:rowOff>0</xdr:rowOff>
    </xdr:to>
    <xdr:sp macro="" textlink="">
      <xdr:nvSpPr>
        <xdr:cNvPr id="1633698" name="Line 14">
          <a:extLst>
            <a:ext uri="{FF2B5EF4-FFF2-40B4-BE49-F238E27FC236}">
              <a16:creationId xmlns:a16="http://schemas.microsoft.com/office/drawing/2014/main" id="{00000000-0008-0000-0100-0000A2ED1800}"/>
            </a:ext>
          </a:extLst>
        </xdr:cNvPr>
        <xdr:cNvSpPr>
          <a:spLocks noChangeShapeType="1"/>
        </xdr:cNvSpPr>
      </xdr:nvSpPr>
      <xdr:spPr bwMode="auto">
        <a:xfrm>
          <a:off x="13639800" y="742950"/>
          <a:ext cx="0" cy="4705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24</xdr:col>
      <xdr:colOff>0</xdr:colOff>
      <xdr:row>7</xdr:row>
      <xdr:rowOff>0</xdr:rowOff>
    </xdr:from>
    <xdr:to>
      <xdr:col>24</xdr:col>
      <xdr:colOff>0</xdr:colOff>
      <xdr:row>33</xdr:row>
      <xdr:rowOff>0</xdr:rowOff>
    </xdr:to>
    <xdr:sp macro="" textlink="">
      <xdr:nvSpPr>
        <xdr:cNvPr id="1633699" name="Line 15">
          <a:extLst>
            <a:ext uri="{FF2B5EF4-FFF2-40B4-BE49-F238E27FC236}">
              <a16:creationId xmlns:a16="http://schemas.microsoft.com/office/drawing/2014/main" id="{00000000-0008-0000-0100-0000A3ED1800}"/>
            </a:ext>
          </a:extLst>
        </xdr:cNvPr>
        <xdr:cNvSpPr>
          <a:spLocks noChangeShapeType="1"/>
        </xdr:cNvSpPr>
      </xdr:nvSpPr>
      <xdr:spPr bwMode="auto">
        <a:xfrm>
          <a:off x="12934950" y="1228725"/>
          <a:ext cx="0" cy="4219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22</xdr:col>
      <xdr:colOff>0</xdr:colOff>
      <xdr:row>10</xdr:row>
      <xdr:rowOff>0</xdr:rowOff>
    </xdr:from>
    <xdr:to>
      <xdr:col>22</xdr:col>
      <xdr:colOff>0</xdr:colOff>
      <xdr:row>33</xdr:row>
      <xdr:rowOff>0</xdr:rowOff>
    </xdr:to>
    <xdr:sp macro="" textlink="">
      <xdr:nvSpPr>
        <xdr:cNvPr id="1633700" name="Line 16">
          <a:extLst>
            <a:ext uri="{FF2B5EF4-FFF2-40B4-BE49-F238E27FC236}">
              <a16:creationId xmlns:a16="http://schemas.microsoft.com/office/drawing/2014/main" id="{00000000-0008-0000-0100-0000A4ED1800}"/>
            </a:ext>
          </a:extLst>
        </xdr:cNvPr>
        <xdr:cNvSpPr>
          <a:spLocks noChangeShapeType="1"/>
        </xdr:cNvSpPr>
      </xdr:nvSpPr>
      <xdr:spPr bwMode="auto">
        <a:xfrm>
          <a:off x="12230100" y="1714500"/>
          <a:ext cx="0" cy="37338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20</xdr:col>
      <xdr:colOff>0</xdr:colOff>
      <xdr:row>13</xdr:row>
      <xdr:rowOff>0</xdr:rowOff>
    </xdr:from>
    <xdr:to>
      <xdr:col>20</xdr:col>
      <xdr:colOff>0</xdr:colOff>
      <xdr:row>33</xdr:row>
      <xdr:rowOff>0</xdr:rowOff>
    </xdr:to>
    <xdr:sp macro="" textlink="">
      <xdr:nvSpPr>
        <xdr:cNvPr id="1633701" name="Line 17">
          <a:extLst>
            <a:ext uri="{FF2B5EF4-FFF2-40B4-BE49-F238E27FC236}">
              <a16:creationId xmlns:a16="http://schemas.microsoft.com/office/drawing/2014/main" id="{00000000-0008-0000-0100-0000A5ED1800}"/>
            </a:ext>
          </a:extLst>
        </xdr:cNvPr>
        <xdr:cNvSpPr>
          <a:spLocks noChangeShapeType="1"/>
        </xdr:cNvSpPr>
      </xdr:nvSpPr>
      <xdr:spPr bwMode="auto">
        <a:xfrm>
          <a:off x="11525250" y="2200275"/>
          <a:ext cx="0" cy="32480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18</xdr:col>
      <xdr:colOff>0</xdr:colOff>
      <xdr:row>16</xdr:row>
      <xdr:rowOff>0</xdr:rowOff>
    </xdr:from>
    <xdr:to>
      <xdr:col>18</xdr:col>
      <xdr:colOff>0</xdr:colOff>
      <xdr:row>33</xdr:row>
      <xdr:rowOff>0</xdr:rowOff>
    </xdr:to>
    <xdr:sp macro="" textlink="">
      <xdr:nvSpPr>
        <xdr:cNvPr id="1633702" name="Line 18">
          <a:extLst>
            <a:ext uri="{FF2B5EF4-FFF2-40B4-BE49-F238E27FC236}">
              <a16:creationId xmlns:a16="http://schemas.microsoft.com/office/drawing/2014/main" id="{00000000-0008-0000-0100-0000A6ED1800}"/>
            </a:ext>
          </a:extLst>
        </xdr:cNvPr>
        <xdr:cNvSpPr>
          <a:spLocks noChangeShapeType="1"/>
        </xdr:cNvSpPr>
      </xdr:nvSpPr>
      <xdr:spPr bwMode="auto">
        <a:xfrm>
          <a:off x="10820400" y="2686050"/>
          <a:ext cx="0" cy="2762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14</xdr:col>
      <xdr:colOff>0</xdr:colOff>
      <xdr:row>36</xdr:row>
      <xdr:rowOff>0</xdr:rowOff>
    </xdr:from>
    <xdr:to>
      <xdr:col>16</xdr:col>
      <xdr:colOff>0</xdr:colOff>
      <xdr:row>36</xdr:row>
      <xdr:rowOff>0</xdr:rowOff>
    </xdr:to>
    <xdr:sp macro="" textlink="">
      <xdr:nvSpPr>
        <xdr:cNvPr id="1633703" name="Line 19">
          <a:extLst>
            <a:ext uri="{FF2B5EF4-FFF2-40B4-BE49-F238E27FC236}">
              <a16:creationId xmlns:a16="http://schemas.microsoft.com/office/drawing/2014/main" id="{00000000-0008-0000-0100-0000A7ED1800}"/>
            </a:ext>
          </a:extLst>
        </xdr:cNvPr>
        <xdr:cNvSpPr>
          <a:spLocks noChangeShapeType="1"/>
        </xdr:cNvSpPr>
      </xdr:nvSpPr>
      <xdr:spPr bwMode="auto">
        <a:xfrm flipH="1">
          <a:off x="8639175" y="5962650"/>
          <a:ext cx="1219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14</xdr:col>
      <xdr:colOff>0</xdr:colOff>
      <xdr:row>38</xdr:row>
      <xdr:rowOff>0</xdr:rowOff>
    </xdr:from>
    <xdr:to>
      <xdr:col>16</xdr:col>
      <xdr:colOff>0</xdr:colOff>
      <xdr:row>38</xdr:row>
      <xdr:rowOff>0</xdr:rowOff>
    </xdr:to>
    <xdr:sp macro="" textlink="">
      <xdr:nvSpPr>
        <xdr:cNvPr id="1633704" name="Line 20">
          <a:extLst>
            <a:ext uri="{FF2B5EF4-FFF2-40B4-BE49-F238E27FC236}">
              <a16:creationId xmlns:a16="http://schemas.microsoft.com/office/drawing/2014/main" id="{00000000-0008-0000-0100-0000A8ED1800}"/>
            </a:ext>
          </a:extLst>
        </xdr:cNvPr>
        <xdr:cNvSpPr>
          <a:spLocks noChangeShapeType="1"/>
        </xdr:cNvSpPr>
      </xdr:nvSpPr>
      <xdr:spPr bwMode="auto">
        <a:xfrm flipH="1">
          <a:off x="8639175" y="6286500"/>
          <a:ext cx="1219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11</xdr:col>
      <xdr:colOff>581025</xdr:colOff>
      <xdr:row>22</xdr:row>
      <xdr:rowOff>114300</xdr:rowOff>
    </xdr:from>
    <xdr:to>
      <xdr:col>13</xdr:col>
      <xdr:colOff>28575</xdr:colOff>
      <xdr:row>22</xdr:row>
      <xdr:rowOff>152400</xdr:rowOff>
    </xdr:to>
    <xdr:sp macro="" textlink="">
      <xdr:nvSpPr>
        <xdr:cNvPr id="1633705" name="Freeform 21">
          <a:extLst>
            <a:ext uri="{FF2B5EF4-FFF2-40B4-BE49-F238E27FC236}">
              <a16:creationId xmlns:a16="http://schemas.microsoft.com/office/drawing/2014/main" id="{00000000-0008-0000-0100-0000A9ED1800}"/>
            </a:ext>
          </a:extLst>
        </xdr:cNvPr>
        <xdr:cNvSpPr>
          <a:spLocks/>
        </xdr:cNvSpPr>
      </xdr:nvSpPr>
      <xdr:spPr bwMode="auto">
        <a:xfrm flipV="1">
          <a:off x="7391400" y="3771900"/>
          <a:ext cx="666750" cy="38100"/>
        </a:xfrm>
        <a:custGeom>
          <a:avLst/>
          <a:gdLst>
            <a:gd name="T0" fmla="*/ 2147483647 w 186"/>
            <a:gd name="T1" fmla="*/ 0 h 1"/>
            <a:gd name="T2" fmla="*/ 2147483647 w 186"/>
            <a:gd name="T3" fmla="*/ 0 h 1"/>
            <a:gd name="T4" fmla="*/ 0 w 186"/>
            <a:gd name="T5" fmla="*/ 0 h 1"/>
            <a:gd name="T6" fmla="*/ 0 60000 65536"/>
            <a:gd name="T7" fmla="*/ 0 60000 65536"/>
            <a:gd name="T8" fmla="*/ 0 60000 65536"/>
            <a:gd name="T9" fmla="*/ 0 w 186"/>
            <a:gd name="T10" fmla="*/ 0 h 1"/>
            <a:gd name="T11" fmla="*/ 186 w 186"/>
            <a:gd name="T12" fmla="*/ 1 h 1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86" h="1">
              <a:moveTo>
                <a:pt x="186" y="0"/>
              </a:moveTo>
              <a:lnTo>
                <a:pt x="9" y="0"/>
              </a:lnTo>
              <a:lnTo>
                <a:pt x="0" y="0"/>
              </a:lnTo>
            </a:path>
          </a:pathLst>
        </a:custGeom>
        <a:noFill/>
        <a:ln w="12700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16</xdr:col>
      <xdr:colOff>0</xdr:colOff>
      <xdr:row>28</xdr:row>
      <xdr:rowOff>0</xdr:rowOff>
    </xdr:from>
    <xdr:to>
      <xdr:col>16</xdr:col>
      <xdr:colOff>0</xdr:colOff>
      <xdr:row>33</xdr:row>
      <xdr:rowOff>0</xdr:rowOff>
    </xdr:to>
    <xdr:sp macro="" textlink="">
      <xdr:nvSpPr>
        <xdr:cNvPr id="1633706" name="Line 22">
          <a:extLst>
            <a:ext uri="{FF2B5EF4-FFF2-40B4-BE49-F238E27FC236}">
              <a16:creationId xmlns:a16="http://schemas.microsoft.com/office/drawing/2014/main" id="{00000000-0008-0000-0100-0000AAED1800}"/>
            </a:ext>
          </a:extLst>
        </xdr:cNvPr>
        <xdr:cNvSpPr>
          <a:spLocks noChangeShapeType="1"/>
        </xdr:cNvSpPr>
      </xdr:nvSpPr>
      <xdr:spPr bwMode="auto">
        <a:xfrm flipV="1">
          <a:off x="9858375" y="4629150"/>
          <a:ext cx="0" cy="819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11</xdr:col>
      <xdr:colOff>581025</xdr:colOff>
      <xdr:row>28</xdr:row>
      <xdr:rowOff>0</xdr:rowOff>
    </xdr:from>
    <xdr:to>
      <xdr:col>16</xdr:col>
      <xdr:colOff>0</xdr:colOff>
      <xdr:row>28</xdr:row>
      <xdr:rowOff>0</xdr:rowOff>
    </xdr:to>
    <xdr:sp macro="" textlink="">
      <xdr:nvSpPr>
        <xdr:cNvPr id="1633707" name="Line 23">
          <a:extLst>
            <a:ext uri="{FF2B5EF4-FFF2-40B4-BE49-F238E27FC236}">
              <a16:creationId xmlns:a16="http://schemas.microsoft.com/office/drawing/2014/main" id="{00000000-0008-0000-0100-0000ABED1800}"/>
            </a:ext>
          </a:extLst>
        </xdr:cNvPr>
        <xdr:cNvSpPr>
          <a:spLocks noChangeShapeType="1"/>
        </xdr:cNvSpPr>
      </xdr:nvSpPr>
      <xdr:spPr bwMode="auto">
        <a:xfrm flipH="1">
          <a:off x="7391400" y="4629150"/>
          <a:ext cx="24669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13</xdr:col>
      <xdr:colOff>0</xdr:colOff>
      <xdr:row>29</xdr:row>
      <xdr:rowOff>0</xdr:rowOff>
    </xdr:from>
    <xdr:to>
      <xdr:col>13</xdr:col>
      <xdr:colOff>0</xdr:colOff>
      <xdr:row>33</xdr:row>
      <xdr:rowOff>0</xdr:rowOff>
    </xdr:to>
    <xdr:sp macro="" textlink="">
      <xdr:nvSpPr>
        <xdr:cNvPr id="1633708" name="Line 24">
          <a:extLst>
            <a:ext uri="{FF2B5EF4-FFF2-40B4-BE49-F238E27FC236}">
              <a16:creationId xmlns:a16="http://schemas.microsoft.com/office/drawing/2014/main" id="{00000000-0008-0000-0100-0000ACED1800}"/>
            </a:ext>
          </a:extLst>
        </xdr:cNvPr>
        <xdr:cNvSpPr>
          <a:spLocks noChangeShapeType="1"/>
        </xdr:cNvSpPr>
      </xdr:nvSpPr>
      <xdr:spPr bwMode="auto">
        <a:xfrm flipV="1">
          <a:off x="8029575" y="4791075"/>
          <a:ext cx="0" cy="6572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13</xdr:col>
      <xdr:colOff>0</xdr:colOff>
      <xdr:row>23</xdr:row>
      <xdr:rowOff>0</xdr:rowOff>
    </xdr:from>
    <xdr:to>
      <xdr:col>13</xdr:col>
      <xdr:colOff>0</xdr:colOff>
      <xdr:row>27</xdr:row>
      <xdr:rowOff>0</xdr:rowOff>
    </xdr:to>
    <xdr:sp macro="" textlink="">
      <xdr:nvSpPr>
        <xdr:cNvPr id="1633709" name="Line 25">
          <a:extLst>
            <a:ext uri="{FF2B5EF4-FFF2-40B4-BE49-F238E27FC236}">
              <a16:creationId xmlns:a16="http://schemas.microsoft.com/office/drawing/2014/main" id="{00000000-0008-0000-0100-0000ADED1800}"/>
            </a:ext>
          </a:extLst>
        </xdr:cNvPr>
        <xdr:cNvSpPr>
          <a:spLocks noChangeShapeType="1"/>
        </xdr:cNvSpPr>
      </xdr:nvSpPr>
      <xdr:spPr bwMode="auto">
        <a:xfrm flipV="1">
          <a:off x="8029575" y="3819525"/>
          <a:ext cx="0" cy="647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14</xdr:col>
      <xdr:colOff>0</xdr:colOff>
      <xdr:row>19</xdr:row>
      <xdr:rowOff>0</xdr:rowOff>
    </xdr:from>
    <xdr:to>
      <xdr:col>14</xdr:col>
      <xdr:colOff>0</xdr:colOff>
      <xdr:row>27</xdr:row>
      <xdr:rowOff>0</xdr:rowOff>
    </xdr:to>
    <xdr:sp macro="" textlink="">
      <xdr:nvSpPr>
        <xdr:cNvPr id="1633710" name="Line 26">
          <a:extLst>
            <a:ext uri="{FF2B5EF4-FFF2-40B4-BE49-F238E27FC236}">
              <a16:creationId xmlns:a16="http://schemas.microsoft.com/office/drawing/2014/main" id="{00000000-0008-0000-0100-0000AEED1800}"/>
            </a:ext>
          </a:extLst>
        </xdr:cNvPr>
        <xdr:cNvSpPr>
          <a:spLocks noChangeShapeType="1"/>
        </xdr:cNvSpPr>
      </xdr:nvSpPr>
      <xdr:spPr bwMode="auto">
        <a:xfrm>
          <a:off x="8639175" y="3171825"/>
          <a:ext cx="0" cy="1295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14</xdr:col>
      <xdr:colOff>0</xdr:colOff>
      <xdr:row>29</xdr:row>
      <xdr:rowOff>0</xdr:rowOff>
    </xdr:from>
    <xdr:to>
      <xdr:col>14</xdr:col>
      <xdr:colOff>0</xdr:colOff>
      <xdr:row>33</xdr:row>
      <xdr:rowOff>0</xdr:rowOff>
    </xdr:to>
    <xdr:sp macro="" textlink="">
      <xdr:nvSpPr>
        <xdr:cNvPr id="1633711" name="Line 27">
          <a:extLst>
            <a:ext uri="{FF2B5EF4-FFF2-40B4-BE49-F238E27FC236}">
              <a16:creationId xmlns:a16="http://schemas.microsoft.com/office/drawing/2014/main" id="{00000000-0008-0000-0100-0000AFED1800}"/>
            </a:ext>
          </a:extLst>
        </xdr:cNvPr>
        <xdr:cNvSpPr>
          <a:spLocks noChangeShapeType="1"/>
        </xdr:cNvSpPr>
      </xdr:nvSpPr>
      <xdr:spPr bwMode="auto">
        <a:xfrm>
          <a:off x="8639175" y="4791075"/>
          <a:ext cx="0" cy="6572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9</xdr:col>
      <xdr:colOff>9525</xdr:colOff>
      <xdr:row>4</xdr:row>
      <xdr:rowOff>0</xdr:rowOff>
    </xdr:from>
    <xdr:to>
      <xdr:col>12</xdr:col>
      <xdr:colOff>600075</xdr:colOff>
      <xdr:row>4</xdr:row>
      <xdr:rowOff>0</xdr:rowOff>
    </xdr:to>
    <xdr:sp macro="" textlink="">
      <xdr:nvSpPr>
        <xdr:cNvPr id="1633712" name="Line 28">
          <a:extLst>
            <a:ext uri="{FF2B5EF4-FFF2-40B4-BE49-F238E27FC236}">
              <a16:creationId xmlns:a16="http://schemas.microsoft.com/office/drawing/2014/main" id="{00000000-0008-0000-0100-0000B0ED1800}"/>
            </a:ext>
          </a:extLst>
        </xdr:cNvPr>
        <xdr:cNvSpPr>
          <a:spLocks noChangeShapeType="1"/>
        </xdr:cNvSpPr>
      </xdr:nvSpPr>
      <xdr:spPr bwMode="auto">
        <a:xfrm>
          <a:off x="5495925" y="742950"/>
          <a:ext cx="2524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10</xdr:col>
      <xdr:colOff>600075</xdr:colOff>
      <xdr:row>4</xdr:row>
      <xdr:rowOff>0</xdr:rowOff>
    </xdr:from>
    <xdr:to>
      <xdr:col>26</xdr:col>
      <xdr:colOff>0</xdr:colOff>
      <xdr:row>4</xdr:row>
      <xdr:rowOff>0</xdr:rowOff>
    </xdr:to>
    <xdr:sp macro="" textlink="">
      <xdr:nvSpPr>
        <xdr:cNvPr id="1633713" name="Line 29">
          <a:extLst>
            <a:ext uri="{FF2B5EF4-FFF2-40B4-BE49-F238E27FC236}">
              <a16:creationId xmlns:a16="http://schemas.microsoft.com/office/drawing/2014/main" id="{00000000-0008-0000-0100-0000B1ED1800}"/>
            </a:ext>
          </a:extLst>
        </xdr:cNvPr>
        <xdr:cNvSpPr>
          <a:spLocks noChangeShapeType="1"/>
        </xdr:cNvSpPr>
      </xdr:nvSpPr>
      <xdr:spPr bwMode="auto">
        <a:xfrm>
          <a:off x="6696075" y="742950"/>
          <a:ext cx="6943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9</xdr:col>
      <xdr:colOff>38100</xdr:colOff>
      <xdr:row>7</xdr:row>
      <xdr:rowOff>0</xdr:rowOff>
    </xdr:from>
    <xdr:to>
      <xdr:col>13</xdr:col>
      <xdr:colOff>0</xdr:colOff>
      <xdr:row>7</xdr:row>
      <xdr:rowOff>0</xdr:rowOff>
    </xdr:to>
    <xdr:sp macro="" textlink="">
      <xdr:nvSpPr>
        <xdr:cNvPr id="1633714" name="Line 30">
          <a:extLst>
            <a:ext uri="{FF2B5EF4-FFF2-40B4-BE49-F238E27FC236}">
              <a16:creationId xmlns:a16="http://schemas.microsoft.com/office/drawing/2014/main" id="{00000000-0008-0000-0100-0000B2ED1800}"/>
            </a:ext>
          </a:extLst>
        </xdr:cNvPr>
        <xdr:cNvSpPr>
          <a:spLocks noChangeShapeType="1"/>
        </xdr:cNvSpPr>
      </xdr:nvSpPr>
      <xdr:spPr bwMode="auto">
        <a:xfrm>
          <a:off x="5524500" y="1228725"/>
          <a:ext cx="2505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9</xdr:col>
      <xdr:colOff>0</xdr:colOff>
      <xdr:row>10</xdr:row>
      <xdr:rowOff>0</xdr:rowOff>
    </xdr:from>
    <xdr:to>
      <xdr:col>13</xdr:col>
      <xdr:colOff>0</xdr:colOff>
      <xdr:row>10</xdr:row>
      <xdr:rowOff>0</xdr:rowOff>
    </xdr:to>
    <xdr:sp macro="" textlink="">
      <xdr:nvSpPr>
        <xdr:cNvPr id="1633715" name="Line 31">
          <a:extLst>
            <a:ext uri="{FF2B5EF4-FFF2-40B4-BE49-F238E27FC236}">
              <a16:creationId xmlns:a16="http://schemas.microsoft.com/office/drawing/2014/main" id="{00000000-0008-0000-0100-0000B3ED1800}"/>
            </a:ext>
          </a:extLst>
        </xdr:cNvPr>
        <xdr:cNvSpPr>
          <a:spLocks noChangeShapeType="1"/>
        </xdr:cNvSpPr>
      </xdr:nvSpPr>
      <xdr:spPr bwMode="auto">
        <a:xfrm>
          <a:off x="5486400" y="1714500"/>
          <a:ext cx="25431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11</xdr:col>
      <xdr:colOff>0</xdr:colOff>
      <xdr:row>10</xdr:row>
      <xdr:rowOff>0</xdr:rowOff>
    </xdr:from>
    <xdr:to>
      <xdr:col>22</xdr:col>
      <xdr:colOff>0</xdr:colOff>
      <xdr:row>10</xdr:row>
      <xdr:rowOff>0</xdr:rowOff>
    </xdr:to>
    <xdr:sp macro="" textlink="">
      <xdr:nvSpPr>
        <xdr:cNvPr id="1633716" name="Line 32">
          <a:extLst>
            <a:ext uri="{FF2B5EF4-FFF2-40B4-BE49-F238E27FC236}">
              <a16:creationId xmlns:a16="http://schemas.microsoft.com/office/drawing/2014/main" id="{00000000-0008-0000-0100-0000B4ED1800}"/>
            </a:ext>
          </a:extLst>
        </xdr:cNvPr>
        <xdr:cNvSpPr>
          <a:spLocks noChangeShapeType="1"/>
        </xdr:cNvSpPr>
      </xdr:nvSpPr>
      <xdr:spPr bwMode="auto">
        <a:xfrm>
          <a:off x="6810375" y="1714500"/>
          <a:ext cx="5419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9</xdr:col>
      <xdr:colOff>0</xdr:colOff>
      <xdr:row>13</xdr:row>
      <xdr:rowOff>0</xdr:rowOff>
    </xdr:from>
    <xdr:to>
      <xdr:col>13</xdr:col>
      <xdr:colOff>0</xdr:colOff>
      <xdr:row>13</xdr:row>
      <xdr:rowOff>0</xdr:rowOff>
    </xdr:to>
    <xdr:sp macro="" textlink="">
      <xdr:nvSpPr>
        <xdr:cNvPr id="1633717" name="Line 33">
          <a:extLst>
            <a:ext uri="{FF2B5EF4-FFF2-40B4-BE49-F238E27FC236}">
              <a16:creationId xmlns:a16="http://schemas.microsoft.com/office/drawing/2014/main" id="{00000000-0008-0000-0100-0000B5ED1800}"/>
            </a:ext>
          </a:extLst>
        </xdr:cNvPr>
        <xdr:cNvSpPr>
          <a:spLocks noChangeShapeType="1"/>
        </xdr:cNvSpPr>
      </xdr:nvSpPr>
      <xdr:spPr bwMode="auto">
        <a:xfrm>
          <a:off x="5486400" y="2200275"/>
          <a:ext cx="25431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11</xdr:col>
      <xdr:colOff>0</xdr:colOff>
      <xdr:row>13</xdr:row>
      <xdr:rowOff>0</xdr:rowOff>
    </xdr:from>
    <xdr:to>
      <xdr:col>20</xdr:col>
      <xdr:colOff>0</xdr:colOff>
      <xdr:row>13</xdr:row>
      <xdr:rowOff>0</xdr:rowOff>
    </xdr:to>
    <xdr:sp macro="" textlink="">
      <xdr:nvSpPr>
        <xdr:cNvPr id="1633718" name="Line 34">
          <a:extLst>
            <a:ext uri="{FF2B5EF4-FFF2-40B4-BE49-F238E27FC236}">
              <a16:creationId xmlns:a16="http://schemas.microsoft.com/office/drawing/2014/main" id="{00000000-0008-0000-0100-0000B6ED1800}"/>
            </a:ext>
          </a:extLst>
        </xdr:cNvPr>
        <xdr:cNvSpPr>
          <a:spLocks noChangeShapeType="1"/>
        </xdr:cNvSpPr>
      </xdr:nvSpPr>
      <xdr:spPr bwMode="auto">
        <a:xfrm>
          <a:off x="6810375" y="2200275"/>
          <a:ext cx="4714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9</xdr:col>
      <xdr:colOff>0</xdr:colOff>
      <xdr:row>16</xdr:row>
      <xdr:rowOff>0</xdr:rowOff>
    </xdr:from>
    <xdr:to>
      <xdr:col>13</xdr:col>
      <xdr:colOff>0</xdr:colOff>
      <xdr:row>16</xdr:row>
      <xdr:rowOff>0</xdr:rowOff>
    </xdr:to>
    <xdr:sp macro="" textlink="">
      <xdr:nvSpPr>
        <xdr:cNvPr id="1633719" name="Line 35">
          <a:extLst>
            <a:ext uri="{FF2B5EF4-FFF2-40B4-BE49-F238E27FC236}">
              <a16:creationId xmlns:a16="http://schemas.microsoft.com/office/drawing/2014/main" id="{00000000-0008-0000-0100-0000B7ED1800}"/>
            </a:ext>
          </a:extLst>
        </xdr:cNvPr>
        <xdr:cNvSpPr>
          <a:spLocks noChangeShapeType="1"/>
        </xdr:cNvSpPr>
      </xdr:nvSpPr>
      <xdr:spPr bwMode="auto">
        <a:xfrm>
          <a:off x="5486400" y="2686050"/>
          <a:ext cx="25431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11</xdr:col>
      <xdr:colOff>0</xdr:colOff>
      <xdr:row>16</xdr:row>
      <xdr:rowOff>0</xdr:rowOff>
    </xdr:from>
    <xdr:to>
      <xdr:col>18</xdr:col>
      <xdr:colOff>0</xdr:colOff>
      <xdr:row>16</xdr:row>
      <xdr:rowOff>0</xdr:rowOff>
    </xdr:to>
    <xdr:sp macro="" textlink="">
      <xdr:nvSpPr>
        <xdr:cNvPr id="1633720" name="Line 36">
          <a:extLst>
            <a:ext uri="{FF2B5EF4-FFF2-40B4-BE49-F238E27FC236}">
              <a16:creationId xmlns:a16="http://schemas.microsoft.com/office/drawing/2014/main" id="{00000000-0008-0000-0100-0000B8ED1800}"/>
            </a:ext>
          </a:extLst>
        </xdr:cNvPr>
        <xdr:cNvSpPr>
          <a:spLocks noChangeShapeType="1"/>
        </xdr:cNvSpPr>
      </xdr:nvSpPr>
      <xdr:spPr bwMode="auto">
        <a:xfrm>
          <a:off x="6810375" y="2686050"/>
          <a:ext cx="4010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11</xdr:col>
      <xdr:colOff>0</xdr:colOff>
      <xdr:row>7</xdr:row>
      <xdr:rowOff>0</xdr:rowOff>
    </xdr:from>
    <xdr:to>
      <xdr:col>24</xdr:col>
      <xdr:colOff>0</xdr:colOff>
      <xdr:row>7</xdr:row>
      <xdr:rowOff>0</xdr:rowOff>
    </xdr:to>
    <xdr:sp macro="" textlink="">
      <xdr:nvSpPr>
        <xdr:cNvPr id="1633721" name="Line 37">
          <a:extLst>
            <a:ext uri="{FF2B5EF4-FFF2-40B4-BE49-F238E27FC236}">
              <a16:creationId xmlns:a16="http://schemas.microsoft.com/office/drawing/2014/main" id="{00000000-0008-0000-0100-0000B9ED1800}"/>
            </a:ext>
          </a:extLst>
        </xdr:cNvPr>
        <xdr:cNvSpPr>
          <a:spLocks noChangeShapeType="1"/>
        </xdr:cNvSpPr>
      </xdr:nvSpPr>
      <xdr:spPr bwMode="auto">
        <a:xfrm>
          <a:off x="6810375" y="1228725"/>
          <a:ext cx="6124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18</xdr:col>
      <xdr:colOff>0</xdr:colOff>
      <xdr:row>34</xdr:row>
      <xdr:rowOff>0</xdr:rowOff>
    </xdr:from>
    <xdr:to>
      <xdr:col>18</xdr:col>
      <xdr:colOff>0</xdr:colOff>
      <xdr:row>36</xdr:row>
      <xdr:rowOff>0</xdr:rowOff>
    </xdr:to>
    <xdr:sp macro="" textlink="">
      <xdr:nvSpPr>
        <xdr:cNvPr id="1633722" name="Line 38">
          <a:extLst>
            <a:ext uri="{FF2B5EF4-FFF2-40B4-BE49-F238E27FC236}">
              <a16:creationId xmlns:a16="http://schemas.microsoft.com/office/drawing/2014/main" id="{00000000-0008-0000-0100-0000BAED1800}"/>
            </a:ext>
          </a:extLst>
        </xdr:cNvPr>
        <xdr:cNvSpPr>
          <a:spLocks noChangeShapeType="1"/>
        </xdr:cNvSpPr>
      </xdr:nvSpPr>
      <xdr:spPr bwMode="auto">
        <a:xfrm>
          <a:off x="10820400" y="5629275"/>
          <a:ext cx="0" cy="3333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16</xdr:col>
      <xdr:colOff>0</xdr:colOff>
      <xdr:row>36</xdr:row>
      <xdr:rowOff>0</xdr:rowOff>
    </xdr:from>
    <xdr:to>
      <xdr:col>18</xdr:col>
      <xdr:colOff>0</xdr:colOff>
      <xdr:row>36</xdr:row>
      <xdr:rowOff>0</xdr:rowOff>
    </xdr:to>
    <xdr:sp macro="" textlink="">
      <xdr:nvSpPr>
        <xdr:cNvPr id="1633723" name="Line 39">
          <a:extLst>
            <a:ext uri="{FF2B5EF4-FFF2-40B4-BE49-F238E27FC236}">
              <a16:creationId xmlns:a16="http://schemas.microsoft.com/office/drawing/2014/main" id="{00000000-0008-0000-0100-0000BBED1800}"/>
            </a:ext>
          </a:extLst>
        </xdr:cNvPr>
        <xdr:cNvSpPr>
          <a:spLocks noChangeShapeType="1"/>
        </xdr:cNvSpPr>
      </xdr:nvSpPr>
      <xdr:spPr bwMode="auto">
        <a:xfrm flipH="1">
          <a:off x="9858375" y="5962650"/>
          <a:ext cx="962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20</xdr:col>
      <xdr:colOff>0</xdr:colOff>
      <xdr:row>34</xdr:row>
      <xdr:rowOff>0</xdr:rowOff>
    </xdr:from>
    <xdr:to>
      <xdr:col>20</xdr:col>
      <xdr:colOff>0</xdr:colOff>
      <xdr:row>38</xdr:row>
      <xdr:rowOff>0</xdr:rowOff>
    </xdr:to>
    <xdr:sp macro="" textlink="">
      <xdr:nvSpPr>
        <xdr:cNvPr id="1633724" name="Line 40">
          <a:extLst>
            <a:ext uri="{FF2B5EF4-FFF2-40B4-BE49-F238E27FC236}">
              <a16:creationId xmlns:a16="http://schemas.microsoft.com/office/drawing/2014/main" id="{00000000-0008-0000-0100-0000BCED1800}"/>
            </a:ext>
          </a:extLst>
        </xdr:cNvPr>
        <xdr:cNvSpPr>
          <a:spLocks noChangeShapeType="1"/>
        </xdr:cNvSpPr>
      </xdr:nvSpPr>
      <xdr:spPr bwMode="auto">
        <a:xfrm>
          <a:off x="11525250" y="5629275"/>
          <a:ext cx="0" cy="6572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16</xdr:col>
      <xdr:colOff>0</xdr:colOff>
      <xdr:row>38</xdr:row>
      <xdr:rowOff>0</xdr:rowOff>
    </xdr:from>
    <xdr:to>
      <xdr:col>20</xdr:col>
      <xdr:colOff>0</xdr:colOff>
      <xdr:row>38</xdr:row>
      <xdr:rowOff>0</xdr:rowOff>
    </xdr:to>
    <xdr:sp macro="" textlink="">
      <xdr:nvSpPr>
        <xdr:cNvPr id="1633725" name="Line 41">
          <a:extLst>
            <a:ext uri="{FF2B5EF4-FFF2-40B4-BE49-F238E27FC236}">
              <a16:creationId xmlns:a16="http://schemas.microsoft.com/office/drawing/2014/main" id="{00000000-0008-0000-0100-0000BDED1800}"/>
            </a:ext>
          </a:extLst>
        </xdr:cNvPr>
        <xdr:cNvSpPr>
          <a:spLocks noChangeShapeType="1"/>
        </xdr:cNvSpPr>
      </xdr:nvSpPr>
      <xdr:spPr bwMode="auto">
        <a:xfrm flipH="1">
          <a:off x="9858375" y="6286500"/>
          <a:ext cx="1666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22</xdr:col>
      <xdr:colOff>0</xdr:colOff>
      <xdr:row>34</xdr:row>
      <xdr:rowOff>0</xdr:rowOff>
    </xdr:from>
    <xdr:to>
      <xdr:col>22</xdr:col>
      <xdr:colOff>0</xdr:colOff>
      <xdr:row>40</xdr:row>
      <xdr:rowOff>0</xdr:rowOff>
    </xdr:to>
    <xdr:sp macro="" textlink="">
      <xdr:nvSpPr>
        <xdr:cNvPr id="1633726" name="Line 42">
          <a:extLst>
            <a:ext uri="{FF2B5EF4-FFF2-40B4-BE49-F238E27FC236}">
              <a16:creationId xmlns:a16="http://schemas.microsoft.com/office/drawing/2014/main" id="{00000000-0008-0000-0100-0000BEED1800}"/>
            </a:ext>
          </a:extLst>
        </xdr:cNvPr>
        <xdr:cNvSpPr>
          <a:spLocks noChangeShapeType="1"/>
        </xdr:cNvSpPr>
      </xdr:nvSpPr>
      <xdr:spPr bwMode="auto">
        <a:xfrm>
          <a:off x="12230100" y="5629275"/>
          <a:ext cx="0" cy="9810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16</xdr:col>
      <xdr:colOff>0</xdr:colOff>
      <xdr:row>40</xdr:row>
      <xdr:rowOff>0</xdr:rowOff>
    </xdr:from>
    <xdr:to>
      <xdr:col>22</xdr:col>
      <xdr:colOff>0</xdr:colOff>
      <xdr:row>40</xdr:row>
      <xdr:rowOff>0</xdr:rowOff>
    </xdr:to>
    <xdr:sp macro="" textlink="">
      <xdr:nvSpPr>
        <xdr:cNvPr id="1633727" name="Line 43">
          <a:extLst>
            <a:ext uri="{FF2B5EF4-FFF2-40B4-BE49-F238E27FC236}">
              <a16:creationId xmlns:a16="http://schemas.microsoft.com/office/drawing/2014/main" id="{00000000-0008-0000-0100-0000BFED1800}"/>
            </a:ext>
          </a:extLst>
        </xdr:cNvPr>
        <xdr:cNvSpPr>
          <a:spLocks noChangeShapeType="1"/>
        </xdr:cNvSpPr>
      </xdr:nvSpPr>
      <xdr:spPr bwMode="auto">
        <a:xfrm flipH="1">
          <a:off x="9858375" y="6610350"/>
          <a:ext cx="2371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24</xdr:col>
      <xdr:colOff>0</xdr:colOff>
      <xdr:row>34</xdr:row>
      <xdr:rowOff>0</xdr:rowOff>
    </xdr:from>
    <xdr:to>
      <xdr:col>24</xdr:col>
      <xdr:colOff>0</xdr:colOff>
      <xdr:row>42</xdr:row>
      <xdr:rowOff>0</xdr:rowOff>
    </xdr:to>
    <xdr:sp macro="" textlink="">
      <xdr:nvSpPr>
        <xdr:cNvPr id="1633728" name="Line 44">
          <a:extLst>
            <a:ext uri="{FF2B5EF4-FFF2-40B4-BE49-F238E27FC236}">
              <a16:creationId xmlns:a16="http://schemas.microsoft.com/office/drawing/2014/main" id="{00000000-0008-0000-0100-0000C0ED1800}"/>
            </a:ext>
          </a:extLst>
        </xdr:cNvPr>
        <xdr:cNvSpPr>
          <a:spLocks noChangeShapeType="1"/>
        </xdr:cNvSpPr>
      </xdr:nvSpPr>
      <xdr:spPr bwMode="auto">
        <a:xfrm>
          <a:off x="12934950" y="5629275"/>
          <a:ext cx="0" cy="1304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16</xdr:col>
      <xdr:colOff>0</xdr:colOff>
      <xdr:row>42</xdr:row>
      <xdr:rowOff>0</xdr:rowOff>
    </xdr:from>
    <xdr:to>
      <xdr:col>24</xdr:col>
      <xdr:colOff>0</xdr:colOff>
      <xdr:row>42</xdr:row>
      <xdr:rowOff>0</xdr:rowOff>
    </xdr:to>
    <xdr:sp macro="" textlink="">
      <xdr:nvSpPr>
        <xdr:cNvPr id="1633729" name="Line 45">
          <a:extLst>
            <a:ext uri="{FF2B5EF4-FFF2-40B4-BE49-F238E27FC236}">
              <a16:creationId xmlns:a16="http://schemas.microsoft.com/office/drawing/2014/main" id="{00000000-0008-0000-0100-0000C1ED1800}"/>
            </a:ext>
          </a:extLst>
        </xdr:cNvPr>
        <xdr:cNvSpPr>
          <a:spLocks noChangeShapeType="1"/>
        </xdr:cNvSpPr>
      </xdr:nvSpPr>
      <xdr:spPr bwMode="auto">
        <a:xfrm flipH="1">
          <a:off x="9858375" y="6934200"/>
          <a:ext cx="3076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26</xdr:col>
      <xdr:colOff>0</xdr:colOff>
      <xdr:row>34</xdr:row>
      <xdr:rowOff>0</xdr:rowOff>
    </xdr:from>
    <xdr:to>
      <xdr:col>26</xdr:col>
      <xdr:colOff>0</xdr:colOff>
      <xdr:row>44</xdr:row>
      <xdr:rowOff>0</xdr:rowOff>
    </xdr:to>
    <xdr:sp macro="" textlink="">
      <xdr:nvSpPr>
        <xdr:cNvPr id="1633730" name="Line 46">
          <a:extLst>
            <a:ext uri="{FF2B5EF4-FFF2-40B4-BE49-F238E27FC236}">
              <a16:creationId xmlns:a16="http://schemas.microsoft.com/office/drawing/2014/main" id="{00000000-0008-0000-0100-0000C2ED1800}"/>
            </a:ext>
          </a:extLst>
        </xdr:cNvPr>
        <xdr:cNvSpPr>
          <a:spLocks noChangeShapeType="1"/>
        </xdr:cNvSpPr>
      </xdr:nvSpPr>
      <xdr:spPr bwMode="auto">
        <a:xfrm>
          <a:off x="13639800" y="5629275"/>
          <a:ext cx="0" cy="1628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16</xdr:col>
      <xdr:colOff>0</xdr:colOff>
      <xdr:row>44</xdr:row>
      <xdr:rowOff>0</xdr:rowOff>
    </xdr:from>
    <xdr:to>
      <xdr:col>26</xdr:col>
      <xdr:colOff>0</xdr:colOff>
      <xdr:row>44</xdr:row>
      <xdr:rowOff>0</xdr:rowOff>
    </xdr:to>
    <xdr:sp macro="" textlink="">
      <xdr:nvSpPr>
        <xdr:cNvPr id="1633731" name="Line 47">
          <a:extLst>
            <a:ext uri="{FF2B5EF4-FFF2-40B4-BE49-F238E27FC236}">
              <a16:creationId xmlns:a16="http://schemas.microsoft.com/office/drawing/2014/main" id="{00000000-0008-0000-0100-0000C3ED1800}"/>
            </a:ext>
          </a:extLst>
        </xdr:cNvPr>
        <xdr:cNvSpPr>
          <a:spLocks noChangeShapeType="1"/>
        </xdr:cNvSpPr>
      </xdr:nvSpPr>
      <xdr:spPr bwMode="auto">
        <a:xfrm flipH="1">
          <a:off x="9858375" y="7258050"/>
          <a:ext cx="3781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14</xdr:col>
      <xdr:colOff>0</xdr:colOff>
      <xdr:row>40</xdr:row>
      <xdr:rowOff>0</xdr:rowOff>
    </xdr:from>
    <xdr:to>
      <xdr:col>16</xdr:col>
      <xdr:colOff>0</xdr:colOff>
      <xdr:row>40</xdr:row>
      <xdr:rowOff>0</xdr:rowOff>
    </xdr:to>
    <xdr:sp macro="" textlink="">
      <xdr:nvSpPr>
        <xdr:cNvPr id="1633732" name="Line 48">
          <a:extLst>
            <a:ext uri="{FF2B5EF4-FFF2-40B4-BE49-F238E27FC236}">
              <a16:creationId xmlns:a16="http://schemas.microsoft.com/office/drawing/2014/main" id="{00000000-0008-0000-0100-0000C4ED1800}"/>
            </a:ext>
          </a:extLst>
        </xdr:cNvPr>
        <xdr:cNvSpPr>
          <a:spLocks noChangeShapeType="1"/>
        </xdr:cNvSpPr>
      </xdr:nvSpPr>
      <xdr:spPr bwMode="auto">
        <a:xfrm flipH="1">
          <a:off x="8639175" y="6610350"/>
          <a:ext cx="1219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14</xdr:col>
      <xdr:colOff>0</xdr:colOff>
      <xdr:row>42</xdr:row>
      <xdr:rowOff>0</xdr:rowOff>
    </xdr:from>
    <xdr:to>
      <xdr:col>16</xdr:col>
      <xdr:colOff>0</xdr:colOff>
      <xdr:row>42</xdr:row>
      <xdr:rowOff>0</xdr:rowOff>
    </xdr:to>
    <xdr:sp macro="" textlink="">
      <xdr:nvSpPr>
        <xdr:cNvPr id="1633733" name="Line 49">
          <a:extLst>
            <a:ext uri="{FF2B5EF4-FFF2-40B4-BE49-F238E27FC236}">
              <a16:creationId xmlns:a16="http://schemas.microsoft.com/office/drawing/2014/main" id="{00000000-0008-0000-0100-0000C5ED1800}"/>
            </a:ext>
          </a:extLst>
        </xdr:cNvPr>
        <xdr:cNvSpPr>
          <a:spLocks noChangeShapeType="1"/>
        </xdr:cNvSpPr>
      </xdr:nvSpPr>
      <xdr:spPr bwMode="auto">
        <a:xfrm flipH="1">
          <a:off x="8639175" y="6934200"/>
          <a:ext cx="1219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14</xdr:col>
      <xdr:colOff>0</xdr:colOff>
      <xdr:row>44</xdr:row>
      <xdr:rowOff>0</xdr:rowOff>
    </xdr:from>
    <xdr:to>
      <xdr:col>16</xdr:col>
      <xdr:colOff>0</xdr:colOff>
      <xdr:row>44</xdr:row>
      <xdr:rowOff>0</xdr:rowOff>
    </xdr:to>
    <xdr:sp macro="" textlink="">
      <xdr:nvSpPr>
        <xdr:cNvPr id="1633734" name="Line 50">
          <a:extLst>
            <a:ext uri="{FF2B5EF4-FFF2-40B4-BE49-F238E27FC236}">
              <a16:creationId xmlns:a16="http://schemas.microsoft.com/office/drawing/2014/main" id="{00000000-0008-0000-0100-0000C6ED1800}"/>
            </a:ext>
          </a:extLst>
        </xdr:cNvPr>
        <xdr:cNvSpPr>
          <a:spLocks noChangeShapeType="1"/>
        </xdr:cNvSpPr>
      </xdr:nvSpPr>
      <xdr:spPr bwMode="auto">
        <a:xfrm flipH="1">
          <a:off x="8639175" y="7258050"/>
          <a:ext cx="1219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16</xdr:col>
      <xdr:colOff>0</xdr:colOff>
      <xdr:row>34</xdr:row>
      <xdr:rowOff>0</xdr:rowOff>
    </xdr:from>
    <xdr:to>
      <xdr:col>16</xdr:col>
      <xdr:colOff>0</xdr:colOff>
      <xdr:row>44</xdr:row>
      <xdr:rowOff>0</xdr:rowOff>
    </xdr:to>
    <xdr:sp macro="" textlink="">
      <xdr:nvSpPr>
        <xdr:cNvPr id="1633735" name="Line 51">
          <a:extLst>
            <a:ext uri="{FF2B5EF4-FFF2-40B4-BE49-F238E27FC236}">
              <a16:creationId xmlns:a16="http://schemas.microsoft.com/office/drawing/2014/main" id="{00000000-0008-0000-0100-0000C7ED1800}"/>
            </a:ext>
          </a:extLst>
        </xdr:cNvPr>
        <xdr:cNvSpPr>
          <a:spLocks noChangeShapeType="1"/>
        </xdr:cNvSpPr>
      </xdr:nvSpPr>
      <xdr:spPr bwMode="auto">
        <a:xfrm flipV="1">
          <a:off x="9858375" y="5629275"/>
          <a:ext cx="0" cy="1628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14</xdr:col>
      <xdr:colOff>0</xdr:colOff>
      <xdr:row>34</xdr:row>
      <xdr:rowOff>0</xdr:rowOff>
    </xdr:from>
    <xdr:to>
      <xdr:col>14</xdr:col>
      <xdr:colOff>0</xdr:colOff>
      <xdr:row>44</xdr:row>
      <xdr:rowOff>0</xdr:rowOff>
    </xdr:to>
    <xdr:sp macro="" textlink="">
      <xdr:nvSpPr>
        <xdr:cNvPr id="1633736" name="Line 52">
          <a:extLst>
            <a:ext uri="{FF2B5EF4-FFF2-40B4-BE49-F238E27FC236}">
              <a16:creationId xmlns:a16="http://schemas.microsoft.com/office/drawing/2014/main" id="{00000000-0008-0000-0100-0000C8ED1800}"/>
            </a:ext>
          </a:extLst>
        </xdr:cNvPr>
        <xdr:cNvSpPr>
          <a:spLocks noChangeShapeType="1"/>
        </xdr:cNvSpPr>
      </xdr:nvSpPr>
      <xdr:spPr bwMode="auto">
        <a:xfrm flipV="1">
          <a:off x="8639175" y="5629275"/>
          <a:ext cx="0" cy="1628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0.04395</cdr:x>
      <cdr:y>0.25999</cdr:y>
    </cdr:from>
    <cdr:to>
      <cdr:x>0.99166</cdr:x>
      <cdr:y>0.31742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9E951E-9B47-4CA1-947F-4F023928D612}"/>
            </a:ext>
          </a:extLst>
        </cdr:cNvPr>
        <cdr:cNvCxnSpPr/>
      </cdr:nvCxnSpPr>
      <cdr:spPr bwMode="auto">
        <a:xfrm xmlns:a="http://schemas.openxmlformats.org/drawingml/2006/main">
          <a:off x="381001" y="1635672"/>
          <a:ext cx="8215291" cy="361293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</cdr:cxnSp>
  </cdr:relSizeAnchor>
  <cdr:relSizeAnchor xmlns:cdr="http://schemas.openxmlformats.org/drawingml/2006/chartDrawing">
    <cdr:from>
      <cdr:x>0.04752</cdr:x>
      <cdr:y>0.4158</cdr:y>
    </cdr:from>
    <cdr:to>
      <cdr:x>1</cdr:x>
      <cdr:y>0.49388</cdr:y>
    </cdr:to>
    <cdr:cxnSp macro="">
      <cdr:nvCxnSpPr>
        <cdr:cNvPr id="6" name="Straight Connector 5">
          <a:extLst xmlns:a="http://schemas.openxmlformats.org/drawingml/2006/main">
            <a:ext uri="{FF2B5EF4-FFF2-40B4-BE49-F238E27FC236}">
              <a16:creationId xmlns:a16="http://schemas.microsoft.com/office/drawing/2014/main" id="{64507EDD-76EB-4B6F-AB04-22B8D4030A48}"/>
            </a:ext>
          </a:extLst>
        </cdr:cNvPr>
        <cdr:cNvCxnSpPr/>
      </cdr:nvCxnSpPr>
      <cdr:spPr bwMode="auto">
        <a:xfrm xmlns:a="http://schemas.openxmlformats.org/drawingml/2006/main">
          <a:off x="411944" y="2615934"/>
          <a:ext cx="8256606" cy="491187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</cdr:cxn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457200</xdr:colOff>
      <xdr:row>2</xdr:row>
      <xdr:rowOff>38100</xdr:rowOff>
    </xdr:from>
    <xdr:to>
      <xdr:col>20</xdr:col>
      <xdr:colOff>428065</xdr:colOff>
      <xdr:row>47</xdr:row>
      <xdr:rowOff>113740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545415D-8F53-4DC0-8AFE-76628C5175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B3:O9"/>
  <sheetViews>
    <sheetView workbookViewId="0">
      <selection activeCell="I19" sqref="I19"/>
    </sheetView>
  </sheetViews>
  <sheetFormatPr defaultColWidth="9.08984375" defaultRowHeight="12.5" x14ac:dyDescent="0.25"/>
  <cols>
    <col min="2" max="2" width="13.6328125" bestFit="1" customWidth="1"/>
    <col min="3" max="3" width="8.36328125" bestFit="1" customWidth="1"/>
    <col min="4" max="4" width="10.90625" bestFit="1" customWidth="1"/>
    <col min="6" max="6" width="9.54296875" bestFit="1" customWidth="1"/>
    <col min="7" max="7" width="19.54296875" customWidth="1"/>
    <col min="8" max="8" width="11.6328125" customWidth="1"/>
    <col min="11" max="11" width="13.08984375" bestFit="1" customWidth="1"/>
    <col min="12" max="12" width="20.36328125" customWidth="1"/>
    <col min="14" max="14" width="14" bestFit="1" customWidth="1"/>
    <col min="15" max="15" width="18" bestFit="1" customWidth="1"/>
  </cols>
  <sheetData>
    <row r="3" spans="2:15" ht="13" thickBot="1" x14ac:dyDescent="0.3"/>
    <row r="4" spans="2:15" ht="14" x14ac:dyDescent="0.3">
      <c r="B4" s="212"/>
      <c r="C4" s="330" t="s">
        <v>0</v>
      </c>
      <c r="D4" s="331"/>
      <c r="E4" s="331"/>
      <c r="F4" s="331"/>
      <c r="G4" s="331"/>
      <c r="H4" s="331"/>
      <c r="I4" s="220" t="s">
        <v>1</v>
      </c>
      <c r="J4" s="221"/>
      <c r="K4" s="221"/>
      <c r="L4" s="221"/>
      <c r="M4" s="213"/>
    </row>
    <row r="5" spans="2:15" ht="14" x14ac:dyDescent="0.3">
      <c r="B5" s="219" t="s">
        <v>2</v>
      </c>
      <c r="C5" s="214" t="s">
        <v>3</v>
      </c>
      <c r="D5" s="211" t="s">
        <v>4</v>
      </c>
      <c r="E5" s="211" t="s">
        <v>5</v>
      </c>
      <c r="F5" s="211" t="s">
        <v>6</v>
      </c>
      <c r="G5" s="211" t="s">
        <v>7</v>
      </c>
      <c r="H5" s="211" t="s">
        <v>8</v>
      </c>
      <c r="I5" s="214" t="s">
        <v>9</v>
      </c>
      <c r="J5" s="211" t="s">
        <v>10</v>
      </c>
      <c r="K5" s="211" t="s">
        <v>11</v>
      </c>
      <c r="L5" s="211" t="s">
        <v>12</v>
      </c>
      <c r="M5" s="222" t="s">
        <v>13</v>
      </c>
      <c r="N5" s="211" t="s">
        <v>14</v>
      </c>
      <c r="O5" s="211" t="s">
        <v>15</v>
      </c>
    </row>
    <row r="6" spans="2:15" ht="14.5" thickBot="1" x14ac:dyDescent="0.35">
      <c r="B6" s="215">
        <v>291.40920832450519</v>
      </c>
      <c r="C6" s="215">
        <v>118.58322052355349</v>
      </c>
      <c r="D6" s="218">
        <v>27.768098911268265</v>
      </c>
      <c r="E6" s="218">
        <v>12.866963805498171</v>
      </c>
      <c r="F6" s="218">
        <v>0.96088661789113128</v>
      </c>
      <c r="G6" s="218">
        <v>0.9623597965993963</v>
      </c>
      <c r="H6" s="218">
        <v>130.20480406969466</v>
      </c>
      <c r="I6" s="215">
        <v>56</v>
      </c>
      <c r="J6" s="216">
        <v>55.54911666666667</v>
      </c>
      <c r="K6" s="217">
        <v>4.0734000000000012</v>
      </c>
      <c r="L6" s="216">
        <v>25.105770523553524</v>
      </c>
      <c r="M6" s="223">
        <v>5.6110666666666695</v>
      </c>
      <c r="N6">
        <v>5.523316666666668</v>
      </c>
      <c r="O6">
        <v>6.8899499999999971</v>
      </c>
    </row>
    <row r="9" spans="2:15" x14ac:dyDescent="0.25">
      <c r="B9" s="2">
        <f>+C6+D6+E6+F6+G6+H6</f>
        <v>291.34633372450514</v>
      </c>
    </row>
  </sheetData>
  <mergeCells count="1">
    <mergeCell ref="C4:H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AA130"/>
  <sheetViews>
    <sheetView zoomScale="70" zoomScaleNormal="75" workbookViewId="0">
      <selection activeCell="G35" sqref="G35"/>
    </sheetView>
  </sheetViews>
  <sheetFormatPr defaultRowHeight="12.5" x14ac:dyDescent="0.25"/>
  <cols>
    <col min="11" max="11" width="10.6328125" customWidth="1"/>
    <col min="18" max="27" width="5.36328125" customWidth="1"/>
  </cols>
  <sheetData>
    <row r="1" spans="1:11" ht="20" x14ac:dyDescent="0.4">
      <c r="A1" s="25" t="s">
        <v>19</v>
      </c>
      <c r="B1" s="25"/>
      <c r="C1" s="25"/>
      <c r="K1" s="25" t="s">
        <v>20</v>
      </c>
    </row>
    <row r="4" spans="1:11" x14ac:dyDescent="0.25">
      <c r="A4" s="26" t="s">
        <v>21</v>
      </c>
      <c r="B4" s="48"/>
      <c r="C4" s="48"/>
      <c r="D4" s="48"/>
      <c r="E4" s="26" t="s">
        <v>22</v>
      </c>
    </row>
    <row r="5" spans="1:11" x14ac:dyDescent="0.25">
      <c r="A5" s="26" t="s">
        <v>23</v>
      </c>
      <c r="B5" s="48"/>
      <c r="C5" s="48"/>
      <c r="D5" s="48"/>
      <c r="E5" s="26" t="s">
        <v>24</v>
      </c>
    </row>
    <row r="6" spans="1:11" x14ac:dyDescent="0.25">
      <c r="A6" s="26" t="s">
        <v>25</v>
      </c>
      <c r="B6" s="48"/>
      <c r="C6" s="48"/>
      <c r="D6" s="48"/>
      <c r="E6" s="26" t="s">
        <v>26</v>
      </c>
    </row>
    <row r="7" spans="1:11" x14ac:dyDescent="0.25">
      <c r="A7" s="26" t="s">
        <v>27</v>
      </c>
      <c r="B7" s="48"/>
      <c r="C7" s="48"/>
      <c r="D7" s="48"/>
      <c r="E7" s="26" t="s">
        <v>28</v>
      </c>
    </row>
    <row r="8" spans="1:11" x14ac:dyDescent="0.25">
      <c r="A8" s="26" t="s">
        <v>29</v>
      </c>
      <c r="B8" s="48"/>
      <c r="C8" s="48"/>
      <c r="D8" s="48"/>
      <c r="E8" s="26" t="s">
        <v>30</v>
      </c>
    </row>
    <row r="9" spans="1:11" x14ac:dyDescent="0.25">
      <c r="A9" s="26"/>
      <c r="B9" s="48"/>
      <c r="C9" s="48"/>
      <c r="D9" s="48"/>
    </row>
    <row r="10" spans="1:11" x14ac:dyDescent="0.25">
      <c r="A10" s="26" t="s">
        <v>31</v>
      </c>
      <c r="B10" s="48"/>
      <c r="C10" s="48"/>
      <c r="D10" s="48"/>
      <c r="E10" s="26" t="s">
        <v>32</v>
      </c>
    </row>
    <row r="11" spans="1:11" x14ac:dyDescent="0.25">
      <c r="A11" s="26" t="s">
        <v>33</v>
      </c>
      <c r="B11" s="48"/>
      <c r="C11" s="48"/>
      <c r="D11" s="48"/>
      <c r="E11" s="26" t="s">
        <v>34</v>
      </c>
    </row>
    <row r="12" spans="1:11" x14ac:dyDescent="0.25">
      <c r="A12" s="26" t="s">
        <v>35</v>
      </c>
      <c r="B12" s="48"/>
      <c r="C12" s="48"/>
      <c r="D12" s="48"/>
      <c r="E12" s="26" t="s">
        <v>36</v>
      </c>
    </row>
    <row r="13" spans="1:11" x14ac:dyDescent="0.25">
      <c r="A13" s="26" t="s">
        <v>37</v>
      </c>
      <c r="B13" s="48"/>
      <c r="C13" s="48"/>
      <c r="D13" s="48"/>
      <c r="E13" s="26" t="s">
        <v>38</v>
      </c>
    </row>
    <row r="14" spans="1:11" x14ac:dyDescent="0.25">
      <c r="A14" s="26" t="s">
        <v>39</v>
      </c>
      <c r="B14" s="48"/>
      <c r="C14" s="48"/>
      <c r="D14" s="48"/>
      <c r="E14" s="26" t="s">
        <v>40</v>
      </c>
    </row>
    <row r="15" spans="1:11" x14ac:dyDescent="0.25">
      <c r="C15" s="48"/>
      <c r="D15" s="48"/>
    </row>
    <row r="16" spans="1:11" x14ac:dyDescent="0.25">
      <c r="A16" s="26" t="s">
        <v>41</v>
      </c>
      <c r="B16" s="48"/>
      <c r="C16" s="48"/>
      <c r="D16" s="48"/>
      <c r="E16" s="26" t="s">
        <v>42</v>
      </c>
    </row>
    <row r="17" spans="1:15" x14ac:dyDescent="0.25">
      <c r="A17" s="26" t="s">
        <v>34</v>
      </c>
      <c r="B17" s="48"/>
      <c r="C17" s="48"/>
      <c r="D17" s="48"/>
      <c r="E17" s="26" t="s">
        <v>43</v>
      </c>
    </row>
    <row r="18" spans="1:15" x14ac:dyDescent="0.25">
      <c r="A18" s="26" t="s">
        <v>44</v>
      </c>
      <c r="B18" s="48"/>
      <c r="C18" s="48"/>
      <c r="D18" s="48"/>
      <c r="E18" s="26" t="s">
        <v>45</v>
      </c>
    </row>
    <row r="19" spans="1:15" x14ac:dyDescent="0.25">
      <c r="A19" s="26" t="s">
        <v>46</v>
      </c>
      <c r="B19" s="48"/>
      <c r="C19" s="48"/>
      <c r="D19" s="48"/>
      <c r="E19" s="26" t="s">
        <v>47</v>
      </c>
    </row>
    <row r="20" spans="1:15" x14ac:dyDescent="0.25">
      <c r="A20" s="26" t="s">
        <v>48</v>
      </c>
      <c r="B20" s="48"/>
      <c r="C20" s="48"/>
      <c r="D20" s="48"/>
      <c r="E20" s="26" t="s">
        <v>49</v>
      </c>
    </row>
    <row r="21" spans="1:15" x14ac:dyDescent="0.25">
      <c r="B21" s="48"/>
      <c r="C21" s="48"/>
      <c r="D21" s="48"/>
    </row>
    <row r="22" spans="1:15" x14ac:dyDescent="0.25">
      <c r="A22" s="26" t="s">
        <v>50</v>
      </c>
      <c r="B22" s="48"/>
      <c r="C22" s="48"/>
      <c r="D22" s="48"/>
      <c r="E22" s="26" t="s">
        <v>51</v>
      </c>
    </row>
    <row r="23" spans="1:15" x14ac:dyDescent="0.25">
      <c r="A23" s="26" t="s">
        <v>34</v>
      </c>
      <c r="B23" s="48"/>
      <c r="C23" s="48"/>
      <c r="D23" s="48"/>
      <c r="E23" s="26" t="s">
        <v>52</v>
      </c>
    </row>
    <row r="24" spans="1:15" x14ac:dyDescent="0.25">
      <c r="A24" s="26" t="s">
        <v>44</v>
      </c>
      <c r="B24" s="48"/>
      <c r="C24" s="48"/>
      <c r="D24" s="48"/>
      <c r="E24" s="26" t="s">
        <v>53</v>
      </c>
    </row>
    <row r="25" spans="1:15" x14ac:dyDescent="0.25">
      <c r="A25" s="26" t="s">
        <v>46</v>
      </c>
      <c r="B25" s="48"/>
      <c r="C25" s="48"/>
      <c r="D25" s="48"/>
      <c r="E25" s="26" t="s">
        <v>54</v>
      </c>
    </row>
    <row r="26" spans="1:15" x14ac:dyDescent="0.25">
      <c r="A26" s="26" t="s">
        <v>48</v>
      </c>
      <c r="B26" s="48"/>
      <c r="C26" s="48"/>
      <c r="D26" s="48"/>
      <c r="E26" s="26" t="s">
        <v>55</v>
      </c>
    </row>
    <row r="27" spans="1:15" x14ac:dyDescent="0.25">
      <c r="B27" s="48"/>
      <c r="C27" s="48"/>
      <c r="D27" s="48"/>
      <c r="E27" s="26"/>
    </row>
    <row r="28" spans="1:15" x14ac:dyDescent="0.25">
      <c r="A28" s="26" t="s">
        <v>56</v>
      </c>
      <c r="B28" s="48"/>
      <c r="C28" s="48"/>
      <c r="D28" s="48"/>
      <c r="E28" s="26" t="s">
        <v>57</v>
      </c>
    </row>
    <row r="29" spans="1:15" x14ac:dyDescent="0.25">
      <c r="A29" s="26" t="s">
        <v>34</v>
      </c>
      <c r="B29" s="48"/>
      <c r="C29" s="48"/>
      <c r="D29" s="48"/>
      <c r="E29" s="26" t="s">
        <v>58</v>
      </c>
    </row>
    <row r="30" spans="1:15" x14ac:dyDescent="0.25">
      <c r="A30" s="26" t="s">
        <v>44</v>
      </c>
      <c r="B30" s="48"/>
      <c r="C30" s="48"/>
      <c r="D30" s="48"/>
      <c r="E30" s="26" t="s">
        <v>59</v>
      </c>
    </row>
    <row r="31" spans="1:15" x14ac:dyDescent="0.25">
      <c r="A31" s="26" t="s">
        <v>60</v>
      </c>
      <c r="B31" s="48"/>
      <c r="C31" s="48"/>
      <c r="D31" s="48"/>
      <c r="E31" s="26" t="s">
        <v>61</v>
      </c>
      <c r="O31" s="20"/>
    </row>
    <row r="32" spans="1:15" x14ac:dyDescent="0.25">
      <c r="A32" s="26" t="s">
        <v>62</v>
      </c>
      <c r="B32" s="48"/>
      <c r="C32" s="48"/>
      <c r="D32" s="48"/>
      <c r="E32" s="26" t="s">
        <v>63</v>
      </c>
    </row>
    <row r="33" spans="1:27" ht="13" thickBot="1" x14ac:dyDescent="0.3">
      <c r="B33" s="48"/>
      <c r="C33" s="48"/>
      <c r="D33" s="48"/>
      <c r="E33" s="26"/>
    </row>
    <row r="34" spans="1:27" ht="13.5" thickTop="1" thickBot="1" x14ac:dyDescent="0.3">
      <c r="A34" s="26" t="s">
        <v>64</v>
      </c>
      <c r="B34" s="48"/>
      <c r="C34" s="48"/>
      <c r="D34" s="48"/>
      <c r="E34" s="26" t="s">
        <v>65</v>
      </c>
      <c r="I34" s="332" t="s">
        <v>66</v>
      </c>
      <c r="J34" s="333"/>
      <c r="K34" s="332" t="s">
        <v>67</v>
      </c>
      <c r="L34" s="333"/>
      <c r="M34" s="332" t="s">
        <v>68</v>
      </c>
      <c r="N34" s="336"/>
      <c r="O34" s="333"/>
      <c r="P34" s="332" t="s">
        <v>69</v>
      </c>
      <c r="Q34" s="333"/>
      <c r="R34" s="334" t="s">
        <v>70</v>
      </c>
      <c r="S34" s="333"/>
      <c r="T34" s="334" t="s">
        <v>4</v>
      </c>
      <c r="U34" s="333"/>
      <c r="V34" s="334" t="s">
        <v>5</v>
      </c>
      <c r="W34" s="337"/>
      <c r="X34" s="334" t="s">
        <v>6</v>
      </c>
      <c r="Y34" s="335"/>
      <c r="Z34" s="334" t="s">
        <v>7</v>
      </c>
      <c r="AA34" s="335"/>
    </row>
    <row r="35" spans="1:27" ht="13" thickTop="1" x14ac:dyDescent="0.25">
      <c r="A35" s="26" t="s">
        <v>71</v>
      </c>
      <c r="B35" s="48"/>
      <c r="C35" s="48"/>
      <c r="D35" s="48"/>
      <c r="E35" s="26" t="s">
        <v>72</v>
      </c>
      <c r="O35" s="20"/>
      <c r="Q35" s="20"/>
    </row>
    <row r="36" spans="1:27" x14ac:dyDescent="0.25">
      <c r="A36" s="26" t="s">
        <v>73</v>
      </c>
      <c r="B36" s="48"/>
      <c r="C36" s="48"/>
      <c r="D36" s="48"/>
      <c r="E36" s="26" t="s">
        <v>74</v>
      </c>
      <c r="O36" s="20" t="s">
        <v>75</v>
      </c>
      <c r="Q36" s="20" t="s">
        <v>75</v>
      </c>
    </row>
    <row r="37" spans="1:27" x14ac:dyDescent="0.25">
      <c r="A37" s="26" t="s">
        <v>76</v>
      </c>
      <c r="B37" s="48"/>
      <c r="C37" s="48"/>
      <c r="D37" s="48"/>
      <c r="E37" s="26" t="s">
        <v>77</v>
      </c>
      <c r="O37" s="20"/>
      <c r="Q37" s="20"/>
    </row>
    <row r="38" spans="1:27" x14ac:dyDescent="0.25">
      <c r="A38" s="26" t="s">
        <v>78</v>
      </c>
      <c r="B38" s="48"/>
      <c r="C38" s="48"/>
      <c r="D38" s="48"/>
      <c r="E38" s="26" t="s">
        <v>79</v>
      </c>
      <c r="O38" s="20" t="s">
        <v>75</v>
      </c>
      <c r="Q38" s="20" t="s">
        <v>75</v>
      </c>
    </row>
    <row r="39" spans="1:27" x14ac:dyDescent="0.25">
      <c r="B39" s="48"/>
      <c r="C39" s="48"/>
      <c r="D39" s="48"/>
      <c r="E39" s="26" t="s">
        <v>80</v>
      </c>
      <c r="O39" s="20"/>
      <c r="Q39" s="20"/>
    </row>
    <row r="40" spans="1:27" x14ac:dyDescent="0.25">
      <c r="A40" s="26" t="s">
        <v>81</v>
      </c>
      <c r="B40" s="48"/>
      <c r="C40" s="48"/>
      <c r="D40" s="48"/>
      <c r="E40" s="26"/>
      <c r="O40" s="20" t="s">
        <v>75</v>
      </c>
      <c r="Q40" s="20" t="s">
        <v>75</v>
      </c>
    </row>
    <row r="41" spans="1:27" x14ac:dyDescent="0.25">
      <c r="A41" s="26" t="s">
        <v>45</v>
      </c>
      <c r="B41" s="48"/>
      <c r="C41" s="48"/>
      <c r="D41" s="48"/>
      <c r="E41" s="26" t="s">
        <v>82</v>
      </c>
    </row>
    <row r="42" spans="1:27" x14ac:dyDescent="0.25">
      <c r="A42" s="26" t="s">
        <v>47</v>
      </c>
      <c r="B42" s="48"/>
      <c r="C42" s="48"/>
      <c r="D42" s="48"/>
      <c r="E42" s="26" t="s">
        <v>83</v>
      </c>
      <c r="O42" s="20" t="s">
        <v>75</v>
      </c>
      <c r="Q42" s="20" t="s">
        <v>75</v>
      </c>
    </row>
    <row r="43" spans="1:27" x14ac:dyDescent="0.25">
      <c r="A43" s="26" t="s">
        <v>49</v>
      </c>
      <c r="B43" s="48"/>
      <c r="C43" s="48"/>
      <c r="D43" s="48"/>
      <c r="E43" s="26" t="s">
        <v>84</v>
      </c>
    </row>
    <row r="44" spans="1:27" x14ac:dyDescent="0.25">
      <c r="A44" s="26"/>
      <c r="B44" s="48"/>
      <c r="C44" s="48"/>
      <c r="D44" s="48"/>
      <c r="J44" s="26" t="s">
        <v>85</v>
      </c>
      <c r="K44" s="26"/>
      <c r="L44" s="26"/>
      <c r="O44" s="20" t="s">
        <v>75</v>
      </c>
      <c r="Q44" s="20" t="s">
        <v>75</v>
      </c>
    </row>
    <row r="45" spans="1:27" x14ac:dyDescent="0.25">
      <c r="A45" s="26" t="s">
        <v>86</v>
      </c>
      <c r="B45" s="48"/>
      <c r="C45" s="48"/>
      <c r="D45" s="48"/>
      <c r="E45" s="26" t="s">
        <v>87</v>
      </c>
      <c r="J45" s="26" t="s">
        <v>88</v>
      </c>
      <c r="K45" s="26"/>
      <c r="L45" s="26"/>
    </row>
    <row r="46" spans="1:27" x14ac:dyDescent="0.25">
      <c r="A46" s="26" t="s">
        <v>89</v>
      </c>
      <c r="B46" s="48"/>
      <c r="C46" s="48"/>
      <c r="D46" s="48"/>
      <c r="E46" s="26" t="s">
        <v>90</v>
      </c>
      <c r="J46" s="26" t="s">
        <v>91</v>
      </c>
      <c r="K46" s="26"/>
      <c r="L46" s="26"/>
    </row>
    <row r="47" spans="1:27" x14ac:dyDescent="0.25">
      <c r="A47" s="26" t="s">
        <v>45</v>
      </c>
      <c r="B47" s="48"/>
      <c r="C47" s="48"/>
      <c r="D47" s="48"/>
      <c r="E47" s="26" t="s">
        <v>77</v>
      </c>
      <c r="J47" s="26"/>
      <c r="K47" s="26"/>
      <c r="L47" s="26"/>
    </row>
    <row r="48" spans="1:27" x14ac:dyDescent="0.25">
      <c r="A48" s="26" t="s">
        <v>47</v>
      </c>
      <c r="B48" s="48"/>
      <c r="C48" s="48"/>
      <c r="D48" s="48"/>
      <c r="E48" s="26" t="s">
        <v>92</v>
      </c>
      <c r="J48" s="26" t="s">
        <v>93</v>
      </c>
      <c r="K48" s="26"/>
      <c r="L48" s="26" t="s">
        <v>94</v>
      </c>
    </row>
    <row r="49" spans="1:12" x14ac:dyDescent="0.25">
      <c r="A49" s="26" t="s">
        <v>49</v>
      </c>
      <c r="B49" s="48"/>
      <c r="C49" s="48"/>
      <c r="D49" s="48"/>
      <c r="E49" s="26" t="s">
        <v>95</v>
      </c>
      <c r="J49" s="26"/>
      <c r="K49" s="26"/>
      <c r="L49" s="26"/>
    </row>
    <row r="50" spans="1:12" x14ac:dyDescent="0.25">
      <c r="A50" s="26"/>
      <c r="B50" s="48"/>
      <c r="C50" s="48"/>
      <c r="D50" s="48"/>
      <c r="J50" s="26" t="s">
        <v>96</v>
      </c>
      <c r="K50" s="26"/>
      <c r="L50" s="26" t="s">
        <v>97</v>
      </c>
    </row>
    <row r="51" spans="1:12" x14ac:dyDescent="0.25">
      <c r="A51" s="26" t="s">
        <v>98</v>
      </c>
      <c r="B51" s="48"/>
      <c r="C51" s="48"/>
      <c r="D51" s="48"/>
      <c r="E51" s="26" t="s">
        <v>99</v>
      </c>
      <c r="J51" s="26" t="s">
        <v>100</v>
      </c>
      <c r="K51" s="26"/>
      <c r="L51" s="26"/>
    </row>
    <row r="52" spans="1:12" x14ac:dyDescent="0.25">
      <c r="A52" s="26" t="s">
        <v>101</v>
      </c>
      <c r="B52" s="48"/>
      <c r="C52" s="48"/>
      <c r="D52" s="48"/>
      <c r="E52" s="26" t="s">
        <v>102</v>
      </c>
      <c r="J52" s="26" t="s">
        <v>103</v>
      </c>
      <c r="K52" s="26"/>
      <c r="L52" s="26"/>
    </row>
    <row r="53" spans="1:12" x14ac:dyDescent="0.25">
      <c r="A53" s="26" t="s">
        <v>104</v>
      </c>
      <c r="B53" s="48"/>
      <c r="C53" s="48"/>
      <c r="D53" s="48"/>
      <c r="E53" s="26" t="s">
        <v>105</v>
      </c>
      <c r="J53" s="26"/>
      <c r="K53" s="26"/>
      <c r="L53" s="26"/>
    </row>
    <row r="54" spans="1:12" x14ac:dyDescent="0.25">
      <c r="A54" s="26" t="s">
        <v>106</v>
      </c>
      <c r="B54" s="48"/>
      <c r="C54" s="48"/>
      <c r="D54" s="48"/>
      <c r="E54" s="26" t="s">
        <v>107</v>
      </c>
      <c r="J54" s="26" t="s">
        <v>108</v>
      </c>
      <c r="K54" s="26"/>
      <c r="L54" s="26" t="s">
        <v>109</v>
      </c>
    </row>
    <row r="55" spans="1:12" x14ac:dyDescent="0.25">
      <c r="B55" s="48"/>
      <c r="C55" s="48"/>
      <c r="D55" s="48"/>
      <c r="E55" s="48"/>
      <c r="J55" s="26" t="s">
        <v>110</v>
      </c>
      <c r="K55" s="26"/>
      <c r="L55" s="26"/>
    </row>
    <row r="56" spans="1:12" x14ac:dyDescent="0.25">
      <c r="A56" s="26" t="s">
        <v>111</v>
      </c>
      <c r="B56" s="48"/>
      <c r="C56" s="48"/>
      <c r="D56" s="48"/>
      <c r="E56" s="48"/>
      <c r="J56" s="26"/>
      <c r="K56" s="26"/>
      <c r="L56" s="26"/>
    </row>
    <row r="57" spans="1:12" x14ac:dyDescent="0.25">
      <c r="A57" s="26" t="s">
        <v>112</v>
      </c>
      <c r="B57" s="48"/>
      <c r="C57" s="48"/>
      <c r="D57" s="48"/>
      <c r="E57" s="48"/>
      <c r="J57" s="26"/>
      <c r="K57" s="26"/>
      <c r="L57" s="26"/>
    </row>
    <row r="58" spans="1:12" x14ac:dyDescent="0.25">
      <c r="A58" s="26" t="s">
        <v>113</v>
      </c>
      <c r="B58" s="48"/>
      <c r="C58" s="48"/>
      <c r="D58" s="48"/>
      <c r="E58" s="48"/>
      <c r="J58" s="26" t="s">
        <v>114</v>
      </c>
      <c r="K58" s="26"/>
      <c r="L58" s="26" t="s">
        <v>115</v>
      </c>
    </row>
    <row r="59" spans="1:12" x14ac:dyDescent="0.25">
      <c r="A59" s="26" t="s">
        <v>116</v>
      </c>
      <c r="B59" s="48"/>
      <c r="C59" s="48"/>
      <c r="D59" s="48"/>
      <c r="E59" s="48"/>
    </row>
    <row r="60" spans="1:12" x14ac:dyDescent="0.25">
      <c r="C60" s="48"/>
      <c r="D60" s="48"/>
      <c r="E60" s="48"/>
    </row>
    <row r="61" spans="1:12" x14ac:dyDescent="0.25">
      <c r="C61" s="48"/>
      <c r="D61" s="48"/>
      <c r="E61" s="48"/>
    </row>
    <row r="62" spans="1:12" x14ac:dyDescent="0.25">
      <c r="A62" s="26" t="s">
        <v>117</v>
      </c>
      <c r="C62" s="48"/>
      <c r="D62" s="48"/>
      <c r="E62" s="48"/>
    </row>
    <row r="63" spans="1:12" x14ac:dyDescent="0.25">
      <c r="A63" s="28" t="s">
        <v>118</v>
      </c>
      <c r="B63" s="29"/>
      <c r="C63" s="29"/>
      <c r="D63" s="29"/>
      <c r="E63" s="29"/>
    </row>
    <row r="64" spans="1:12" x14ac:dyDescent="0.25">
      <c r="A64" s="28" t="s">
        <v>119</v>
      </c>
      <c r="B64" s="29"/>
      <c r="C64" s="29"/>
      <c r="D64" s="29"/>
      <c r="E64" s="29"/>
    </row>
    <row r="65" spans="2:5" x14ac:dyDescent="0.25">
      <c r="C65" s="48"/>
      <c r="D65" s="48"/>
      <c r="E65" s="48"/>
    </row>
    <row r="66" spans="2:5" x14ac:dyDescent="0.25">
      <c r="C66" s="48"/>
      <c r="D66" s="48"/>
      <c r="E66" s="48"/>
    </row>
    <row r="67" spans="2:5" x14ac:dyDescent="0.25">
      <c r="B67" s="48"/>
      <c r="C67" s="48"/>
      <c r="D67" s="48"/>
      <c r="E67" s="48"/>
    </row>
    <row r="68" spans="2:5" x14ac:dyDescent="0.25">
      <c r="B68" s="48"/>
      <c r="C68" s="48"/>
      <c r="D68" s="48"/>
      <c r="E68" s="48"/>
    </row>
    <row r="69" spans="2:5" x14ac:dyDescent="0.25">
      <c r="B69" s="48"/>
      <c r="C69" s="48"/>
      <c r="D69" s="48"/>
      <c r="E69" s="48"/>
    </row>
    <row r="70" spans="2:5" x14ac:dyDescent="0.25">
      <c r="B70" s="48"/>
      <c r="C70" s="48"/>
      <c r="D70" s="48"/>
      <c r="E70" s="48"/>
    </row>
    <row r="71" spans="2:5" x14ac:dyDescent="0.25">
      <c r="B71" s="48"/>
      <c r="C71" s="48"/>
      <c r="D71" s="48"/>
      <c r="E71" s="48"/>
    </row>
    <row r="72" spans="2:5" x14ac:dyDescent="0.25">
      <c r="B72" s="48"/>
      <c r="C72" s="48"/>
      <c r="D72" s="48"/>
      <c r="E72" s="48"/>
    </row>
    <row r="73" spans="2:5" x14ac:dyDescent="0.25">
      <c r="B73" s="48"/>
      <c r="C73" s="48"/>
      <c r="D73" s="48"/>
      <c r="E73" s="48"/>
    </row>
    <row r="74" spans="2:5" x14ac:dyDescent="0.25">
      <c r="B74" s="48"/>
      <c r="C74" s="48"/>
      <c r="D74" s="48"/>
      <c r="E74" s="48"/>
    </row>
    <row r="75" spans="2:5" x14ac:dyDescent="0.25">
      <c r="B75" s="48"/>
      <c r="C75" s="48"/>
      <c r="D75" s="48"/>
      <c r="E75" s="48"/>
    </row>
    <row r="76" spans="2:5" x14ac:dyDescent="0.25">
      <c r="B76" s="48"/>
      <c r="C76" s="48"/>
      <c r="D76" s="48"/>
      <c r="E76" s="48"/>
    </row>
    <row r="77" spans="2:5" x14ac:dyDescent="0.25">
      <c r="B77" s="48"/>
      <c r="C77" s="48"/>
      <c r="D77" s="48"/>
      <c r="E77" s="48"/>
    </row>
    <row r="78" spans="2:5" x14ac:dyDescent="0.25">
      <c r="B78" s="48"/>
      <c r="C78" s="48"/>
      <c r="D78" s="48"/>
      <c r="E78" s="48"/>
    </row>
    <row r="79" spans="2:5" x14ac:dyDescent="0.25">
      <c r="B79" s="48"/>
      <c r="C79" s="48"/>
      <c r="D79" s="48"/>
      <c r="E79" s="48"/>
    </row>
    <row r="80" spans="2:5" x14ac:dyDescent="0.25">
      <c r="B80" s="48"/>
      <c r="C80" s="48"/>
      <c r="D80" s="48"/>
      <c r="E80" s="48"/>
    </row>
    <row r="81" spans="2:5" x14ac:dyDescent="0.25">
      <c r="B81" s="48"/>
      <c r="C81" s="48"/>
      <c r="D81" s="48"/>
      <c r="E81" s="48"/>
    </row>
    <row r="82" spans="2:5" x14ac:dyDescent="0.25">
      <c r="B82" s="48"/>
      <c r="C82" s="48"/>
      <c r="D82" s="48"/>
      <c r="E82" s="48"/>
    </row>
    <row r="83" spans="2:5" x14ac:dyDescent="0.25">
      <c r="B83" s="48"/>
      <c r="C83" s="48"/>
      <c r="D83" s="48"/>
      <c r="E83" s="48"/>
    </row>
    <row r="84" spans="2:5" x14ac:dyDescent="0.25">
      <c r="B84" s="48"/>
      <c r="C84" s="48"/>
      <c r="D84" s="48"/>
      <c r="E84" s="48"/>
    </row>
    <row r="85" spans="2:5" x14ac:dyDescent="0.25">
      <c r="B85" s="48"/>
      <c r="C85" s="48"/>
      <c r="D85" s="48"/>
      <c r="E85" s="48"/>
    </row>
    <row r="86" spans="2:5" x14ac:dyDescent="0.25">
      <c r="B86" s="48"/>
      <c r="C86" s="48"/>
      <c r="D86" s="48"/>
      <c r="E86" s="48"/>
    </row>
    <row r="87" spans="2:5" x14ac:dyDescent="0.25">
      <c r="B87" s="48"/>
      <c r="C87" s="48"/>
      <c r="D87" s="48"/>
      <c r="E87" s="48"/>
    </row>
    <row r="88" spans="2:5" x14ac:dyDescent="0.25">
      <c r="B88" s="48"/>
      <c r="C88" s="48"/>
      <c r="D88" s="48"/>
      <c r="E88" s="48"/>
    </row>
    <row r="89" spans="2:5" x14ac:dyDescent="0.25">
      <c r="B89" s="48"/>
      <c r="C89" s="48"/>
      <c r="D89" s="48"/>
      <c r="E89" s="48"/>
    </row>
    <row r="90" spans="2:5" x14ac:dyDescent="0.25">
      <c r="B90" s="48"/>
      <c r="C90" s="48"/>
      <c r="D90" s="48"/>
      <c r="E90" s="48"/>
    </row>
    <row r="91" spans="2:5" x14ac:dyDescent="0.25">
      <c r="B91" s="48"/>
      <c r="C91" s="48"/>
      <c r="D91" s="48"/>
      <c r="E91" s="48"/>
    </row>
    <row r="92" spans="2:5" x14ac:dyDescent="0.25">
      <c r="B92" s="48"/>
      <c r="C92" s="48"/>
      <c r="D92" s="48"/>
      <c r="E92" s="48"/>
    </row>
    <row r="93" spans="2:5" x14ac:dyDescent="0.25">
      <c r="B93" s="48"/>
      <c r="C93" s="48"/>
      <c r="D93" s="48"/>
      <c r="E93" s="48"/>
    </row>
    <row r="94" spans="2:5" x14ac:dyDescent="0.25">
      <c r="B94" s="48"/>
      <c r="C94" s="48"/>
      <c r="D94" s="48"/>
      <c r="E94" s="48"/>
    </row>
    <row r="95" spans="2:5" x14ac:dyDescent="0.25">
      <c r="B95" s="48"/>
      <c r="C95" s="48"/>
      <c r="D95" s="48"/>
      <c r="E95" s="48"/>
    </row>
    <row r="96" spans="2:5" x14ac:dyDescent="0.25">
      <c r="B96" s="48"/>
      <c r="C96" s="48"/>
      <c r="D96" s="48"/>
      <c r="E96" s="48"/>
    </row>
    <row r="97" spans="2:5" x14ac:dyDescent="0.25">
      <c r="B97" s="48"/>
      <c r="C97" s="48"/>
      <c r="D97" s="48"/>
      <c r="E97" s="48"/>
    </row>
    <row r="98" spans="2:5" x14ac:dyDescent="0.25">
      <c r="B98" s="48"/>
      <c r="C98" s="48"/>
      <c r="D98" s="48"/>
      <c r="E98" s="48"/>
    </row>
    <row r="99" spans="2:5" x14ac:dyDescent="0.25">
      <c r="B99" s="48"/>
      <c r="C99" s="48"/>
      <c r="D99" s="48"/>
      <c r="E99" s="48"/>
    </row>
    <row r="100" spans="2:5" x14ac:dyDescent="0.25">
      <c r="B100" s="48"/>
      <c r="C100" s="48"/>
      <c r="D100" s="48"/>
      <c r="E100" s="48"/>
    </row>
    <row r="101" spans="2:5" x14ac:dyDescent="0.25">
      <c r="B101" s="48"/>
      <c r="C101" s="48"/>
      <c r="D101" s="48"/>
      <c r="E101" s="48"/>
    </row>
    <row r="102" spans="2:5" x14ac:dyDescent="0.25">
      <c r="B102" s="48"/>
      <c r="C102" s="48"/>
      <c r="D102" s="48"/>
      <c r="E102" s="48"/>
    </row>
    <row r="103" spans="2:5" x14ac:dyDescent="0.25">
      <c r="B103" s="48"/>
      <c r="C103" s="48"/>
      <c r="D103" s="48"/>
      <c r="E103" s="48"/>
    </row>
    <row r="104" spans="2:5" x14ac:dyDescent="0.25">
      <c r="B104" s="48"/>
      <c r="C104" s="48"/>
      <c r="D104" s="48"/>
      <c r="E104" s="48"/>
    </row>
    <row r="105" spans="2:5" x14ac:dyDescent="0.25">
      <c r="B105" s="48"/>
      <c r="C105" s="48"/>
      <c r="D105" s="48"/>
      <c r="E105" s="48"/>
    </row>
    <row r="106" spans="2:5" x14ac:dyDescent="0.25">
      <c r="B106" s="48"/>
      <c r="C106" s="48"/>
      <c r="D106" s="48"/>
      <c r="E106" s="48"/>
    </row>
    <row r="107" spans="2:5" x14ac:dyDescent="0.25">
      <c r="B107" s="48"/>
      <c r="C107" s="48"/>
      <c r="D107" s="48"/>
      <c r="E107" s="48"/>
    </row>
    <row r="108" spans="2:5" x14ac:dyDescent="0.25">
      <c r="B108" s="48"/>
      <c r="C108" s="48"/>
      <c r="D108" s="48"/>
      <c r="E108" s="48"/>
    </row>
    <row r="109" spans="2:5" x14ac:dyDescent="0.25">
      <c r="B109" s="48"/>
      <c r="C109" s="48"/>
      <c r="D109" s="48"/>
      <c r="E109" s="48"/>
    </row>
    <row r="110" spans="2:5" x14ac:dyDescent="0.25">
      <c r="B110" s="48"/>
      <c r="C110" s="48"/>
      <c r="D110" s="48"/>
      <c r="E110" s="48"/>
    </row>
    <row r="111" spans="2:5" x14ac:dyDescent="0.25">
      <c r="B111" s="48"/>
      <c r="C111" s="48"/>
      <c r="D111" s="48"/>
      <c r="E111" s="48"/>
    </row>
    <row r="112" spans="2:5" x14ac:dyDescent="0.25">
      <c r="B112" s="48"/>
      <c r="C112" s="48"/>
      <c r="D112" s="48"/>
      <c r="E112" s="48"/>
    </row>
    <row r="113" spans="1:5" x14ac:dyDescent="0.25">
      <c r="B113" s="48"/>
      <c r="C113" s="48"/>
      <c r="D113" s="48"/>
      <c r="E113" s="48"/>
    </row>
    <row r="114" spans="1:5" x14ac:dyDescent="0.25">
      <c r="B114" s="48"/>
      <c r="C114" s="48"/>
      <c r="D114" s="48"/>
      <c r="E114" s="48"/>
    </row>
    <row r="115" spans="1:5" x14ac:dyDescent="0.25">
      <c r="B115" s="48"/>
      <c r="C115" s="48"/>
      <c r="D115" s="48"/>
      <c r="E115" s="48"/>
    </row>
    <row r="116" spans="1:5" x14ac:dyDescent="0.25">
      <c r="B116" s="48"/>
      <c r="C116" s="48"/>
      <c r="D116" s="48"/>
      <c r="E116" s="48"/>
    </row>
    <row r="117" spans="1:5" x14ac:dyDescent="0.25">
      <c r="B117" s="48"/>
      <c r="C117" s="48"/>
      <c r="D117" s="48"/>
      <c r="E117" s="48"/>
    </row>
    <row r="118" spans="1:5" x14ac:dyDescent="0.25">
      <c r="B118" s="48"/>
      <c r="C118" s="48"/>
      <c r="D118" s="48"/>
      <c r="E118" s="48"/>
    </row>
    <row r="119" spans="1:5" x14ac:dyDescent="0.25">
      <c r="A119" s="26"/>
      <c r="B119" s="48"/>
      <c r="C119" s="48"/>
      <c r="D119" s="48"/>
      <c r="E119" s="48"/>
    </row>
    <row r="120" spans="1:5" x14ac:dyDescent="0.25">
      <c r="B120" s="48"/>
      <c r="C120" s="48"/>
      <c r="D120" s="48"/>
      <c r="E120" s="48"/>
    </row>
    <row r="121" spans="1:5" x14ac:dyDescent="0.25">
      <c r="B121" s="48"/>
      <c r="C121" s="48"/>
      <c r="D121" s="48"/>
      <c r="E121" s="48"/>
    </row>
    <row r="122" spans="1:5" x14ac:dyDescent="0.25">
      <c r="B122" s="48"/>
      <c r="C122" s="48"/>
      <c r="D122" s="48"/>
      <c r="E122" s="48"/>
    </row>
    <row r="123" spans="1:5" x14ac:dyDescent="0.25">
      <c r="B123" s="48"/>
      <c r="C123" s="48"/>
      <c r="D123" s="48"/>
      <c r="E123" s="48"/>
    </row>
    <row r="124" spans="1:5" x14ac:dyDescent="0.25">
      <c r="B124" s="48"/>
      <c r="C124" s="48"/>
      <c r="D124" s="48"/>
      <c r="E124" s="48"/>
    </row>
    <row r="125" spans="1:5" x14ac:dyDescent="0.25">
      <c r="A125" s="26"/>
      <c r="B125" s="48"/>
      <c r="C125" s="48"/>
      <c r="D125" s="48"/>
      <c r="E125" s="48"/>
    </row>
    <row r="126" spans="1:5" x14ac:dyDescent="0.25">
      <c r="A126" s="26"/>
      <c r="B126" s="48"/>
      <c r="C126" s="48"/>
      <c r="D126" s="48"/>
      <c r="E126" s="48"/>
    </row>
    <row r="127" spans="1:5" x14ac:dyDescent="0.25">
      <c r="B127" s="48"/>
      <c r="C127" s="48"/>
      <c r="D127" s="48"/>
      <c r="E127" s="48"/>
    </row>
    <row r="128" spans="1:5" x14ac:dyDescent="0.25">
      <c r="B128" s="48"/>
      <c r="C128" s="48"/>
      <c r="D128" s="48"/>
      <c r="E128" s="48"/>
    </row>
    <row r="129" spans="2:5" x14ac:dyDescent="0.25">
      <c r="B129" s="48"/>
      <c r="C129" s="48"/>
      <c r="D129" s="48"/>
      <c r="E129" s="48"/>
    </row>
    <row r="130" spans="2:5" x14ac:dyDescent="0.25">
      <c r="B130" s="48"/>
      <c r="C130" s="48"/>
      <c r="D130" s="48"/>
      <c r="E130" s="48"/>
    </row>
  </sheetData>
  <mergeCells count="9">
    <mergeCell ref="I34:J34"/>
    <mergeCell ref="K34:L34"/>
    <mergeCell ref="P34:Q34"/>
    <mergeCell ref="Z34:AA34"/>
    <mergeCell ref="M34:O34"/>
    <mergeCell ref="R34:S34"/>
    <mergeCell ref="T34:U34"/>
    <mergeCell ref="V34:W34"/>
    <mergeCell ref="X34:Y34"/>
  </mergeCells>
  <phoneticPr fontId="0" type="noConversion"/>
  <printOptions horizontalCentered="1" verticalCentered="1"/>
  <pageMargins left="0.5" right="0" top="0.25" bottom="0.25" header="0" footer="0"/>
  <pageSetup scale="62" orientation="landscape" blackAndWhite="1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I57"/>
  <sheetViews>
    <sheetView workbookViewId="0">
      <selection activeCell="F24" sqref="F24"/>
    </sheetView>
  </sheetViews>
  <sheetFormatPr defaultRowHeight="12.5" x14ac:dyDescent="0.25"/>
  <cols>
    <col min="1" max="1" width="7.08984375" customWidth="1"/>
  </cols>
  <sheetData>
    <row r="1" spans="1:9" ht="15.5" x14ac:dyDescent="0.35">
      <c r="B1" s="339" t="s">
        <v>120</v>
      </c>
      <c r="C1" s="339"/>
      <c r="D1" s="339"/>
      <c r="E1" s="339"/>
      <c r="F1" s="339"/>
      <c r="G1" s="340"/>
      <c r="H1" s="340"/>
      <c r="I1" t="s">
        <v>121</v>
      </c>
    </row>
    <row r="2" spans="1:9" ht="15.5" x14ac:dyDescent="0.35">
      <c r="B2" s="339" t="s">
        <v>122</v>
      </c>
      <c r="C2" s="339"/>
      <c r="D2" s="339"/>
      <c r="E2" s="339"/>
      <c r="F2" s="339"/>
      <c r="G2" s="340"/>
      <c r="H2" s="340"/>
    </row>
    <row r="3" spans="1:9" ht="15.5" x14ac:dyDescent="0.35">
      <c r="B3" s="339" t="s">
        <v>123</v>
      </c>
      <c r="C3" s="339"/>
      <c r="D3" s="339"/>
      <c r="E3" s="339"/>
      <c r="F3" s="339"/>
      <c r="G3" s="340"/>
      <c r="H3" s="340"/>
    </row>
    <row r="4" spans="1:9" ht="15.5" x14ac:dyDescent="0.35">
      <c r="B4" s="339" t="s">
        <v>124</v>
      </c>
      <c r="C4" s="339"/>
      <c r="D4" s="339"/>
      <c r="E4" s="339"/>
      <c r="F4" s="339"/>
      <c r="G4" s="340"/>
      <c r="H4" s="340"/>
    </row>
    <row r="6" spans="1:9" x14ac:dyDescent="0.25">
      <c r="A6" t="s">
        <v>125</v>
      </c>
    </row>
    <row r="7" spans="1:9" x14ac:dyDescent="0.25">
      <c r="B7" t="s">
        <v>126</v>
      </c>
    </row>
    <row r="8" spans="1:9" x14ac:dyDescent="0.25">
      <c r="B8" t="s">
        <v>127</v>
      </c>
    </row>
    <row r="9" spans="1:9" ht="13" x14ac:dyDescent="0.3">
      <c r="B9" t="s">
        <v>128</v>
      </c>
    </row>
    <row r="11" spans="1:9" ht="13" x14ac:dyDescent="0.3">
      <c r="B11" s="338" t="s">
        <v>129</v>
      </c>
      <c r="C11" s="338"/>
      <c r="D11" s="338"/>
      <c r="E11" s="338"/>
      <c r="F11" s="338"/>
    </row>
    <row r="12" spans="1:9" x14ac:dyDescent="0.25">
      <c r="A12" t="s">
        <v>130</v>
      </c>
    </row>
    <row r="14" spans="1:9" ht="13" x14ac:dyDescent="0.3">
      <c r="A14" s="243" t="s">
        <v>131</v>
      </c>
      <c r="B14" s="48" t="s">
        <v>132</v>
      </c>
    </row>
    <row r="15" spans="1:9" x14ac:dyDescent="0.25">
      <c r="B15" t="s">
        <v>133</v>
      </c>
    </row>
    <row r="17" spans="1:2" ht="13" x14ac:dyDescent="0.3">
      <c r="A17" s="243" t="s">
        <v>134</v>
      </c>
      <c r="B17" s="48" t="s">
        <v>135</v>
      </c>
    </row>
    <row r="18" spans="1:2" ht="13" x14ac:dyDescent="0.3">
      <c r="B18" t="s">
        <v>136</v>
      </c>
    </row>
    <row r="20" spans="1:2" ht="13" x14ac:dyDescent="0.3">
      <c r="A20" s="243" t="s">
        <v>137</v>
      </c>
      <c r="B20" s="48" t="s">
        <v>138</v>
      </c>
    </row>
    <row r="21" spans="1:2" x14ac:dyDescent="0.25">
      <c r="B21" t="s">
        <v>139</v>
      </c>
    </row>
    <row r="22" spans="1:2" x14ac:dyDescent="0.25">
      <c r="B22" t="s">
        <v>140</v>
      </c>
    </row>
    <row r="24" spans="1:2" ht="13" x14ac:dyDescent="0.3">
      <c r="A24" s="243" t="s">
        <v>141</v>
      </c>
      <c r="B24" t="s">
        <v>142</v>
      </c>
    </row>
    <row r="25" spans="1:2" x14ac:dyDescent="0.25">
      <c r="B25" t="s">
        <v>143</v>
      </c>
    </row>
    <row r="27" spans="1:2" ht="13" x14ac:dyDescent="0.3">
      <c r="A27" s="243" t="s">
        <v>144</v>
      </c>
      <c r="B27" s="48" t="s">
        <v>145</v>
      </c>
    </row>
    <row r="29" spans="1:2" ht="13" x14ac:dyDescent="0.3">
      <c r="A29" s="243" t="s">
        <v>146</v>
      </c>
      <c r="B29" t="s">
        <v>147</v>
      </c>
    </row>
    <row r="30" spans="1:2" x14ac:dyDescent="0.25">
      <c r="B30" t="s">
        <v>148</v>
      </c>
    </row>
    <row r="32" spans="1:2" ht="13" x14ac:dyDescent="0.3">
      <c r="A32" s="243" t="s">
        <v>149</v>
      </c>
      <c r="B32" t="s">
        <v>150</v>
      </c>
    </row>
    <row r="35" spans="1:2" ht="13" x14ac:dyDescent="0.3">
      <c r="A35" s="243" t="s">
        <v>151</v>
      </c>
      <c r="B35" t="s">
        <v>152</v>
      </c>
    </row>
    <row r="36" spans="1:2" x14ac:dyDescent="0.25">
      <c r="B36" t="s">
        <v>153</v>
      </c>
    </row>
    <row r="39" spans="1:2" ht="13" x14ac:dyDescent="0.3">
      <c r="B39" s="30" t="s">
        <v>154</v>
      </c>
    </row>
    <row r="42" spans="1:2" ht="13" x14ac:dyDescent="0.3">
      <c r="A42" s="243" t="s">
        <v>131</v>
      </c>
      <c r="B42" t="s">
        <v>155</v>
      </c>
    </row>
    <row r="43" spans="1:2" x14ac:dyDescent="0.25">
      <c r="B43" t="s">
        <v>156</v>
      </c>
    </row>
    <row r="45" spans="1:2" ht="13" x14ac:dyDescent="0.3">
      <c r="A45" s="243" t="s">
        <v>134</v>
      </c>
      <c r="B45" t="s">
        <v>157</v>
      </c>
    </row>
    <row r="46" spans="1:2" x14ac:dyDescent="0.25">
      <c r="B46" t="s">
        <v>158</v>
      </c>
    </row>
    <row r="48" spans="1:2" ht="13" x14ac:dyDescent="0.3">
      <c r="A48" s="243" t="s">
        <v>137</v>
      </c>
      <c r="B48" t="s">
        <v>159</v>
      </c>
    </row>
    <row r="50" spans="1:2" ht="13" x14ac:dyDescent="0.3">
      <c r="A50" s="243" t="s">
        <v>141</v>
      </c>
      <c r="B50" t="s">
        <v>160</v>
      </c>
    </row>
    <row r="53" spans="1:2" ht="13" x14ac:dyDescent="0.3">
      <c r="A53" t="s">
        <v>161</v>
      </c>
    </row>
    <row r="54" spans="1:2" x14ac:dyDescent="0.25">
      <c r="A54" t="s">
        <v>162</v>
      </c>
    </row>
    <row r="55" spans="1:2" ht="13" x14ac:dyDescent="0.3">
      <c r="A55" t="s">
        <v>163</v>
      </c>
    </row>
    <row r="57" spans="1:2" x14ac:dyDescent="0.25">
      <c r="A57" t="s">
        <v>164</v>
      </c>
    </row>
  </sheetData>
  <mergeCells count="5">
    <mergeCell ref="B11:F11"/>
    <mergeCell ref="B1:H1"/>
    <mergeCell ref="B2:H2"/>
    <mergeCell ref="B3:H3"/>
    <mergeCell ref="B4:H4"/>
  </mergeCells>
  <phoneticPr fontId="0" type="noConversion"/>
  <printOptions horizontalCentered="1"/>
  <pageMargins left="1.25" right="0.75" top="1" bottom="1" header="0.5" footer="0.5"/>
  <pageSetup scale="67" orientation="portrait" blackAndWhite="1" draft="1" r:id="rId1"/>
  <headerFooter alignWithMargins="0"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pageSetUpPr fitToPage="1"/>
  </sheetPr>
  <dimension ref="A1:AI201"/>
  <sheetViews>
    <sheetView zoomScale="85" workbookViewId="0">
      <pane xSplit="4" ySplit="6" topLeftCell="E34" activePane="bottomRight" state="frozen"/>
      <selection pane="topRight" activeCell="S32" sqref="S32"/>
      <selection pane="bottomLeft" activeCell="S32" sqref="S32"/>
      <selection pane="bottomRight" activeCell="L91" sqref="L91"/>
    </sheetView>
  </sheetViews>
  <sheetFormatPr defaultRowHeight="12.5" x14ac:dyDescent="0.25"/>
  <cols>
    <col min="2" max="2" width="5" bestFit="1" customWidth="1"/>
    <col min="4" max="4" width="42.08984375" bestFit="1" customWidth="1"/>
    <col min="7" max="7" width="9.6328125" bestFit="1" customWidth="1"/>
    <col min="9" max="9" width="7.54296875" customWidth="1"/>
    <col min="14" max="14" width="1.54296875" customWidth="1"/>
    <col min="17" max="17" width="9.6328125" bestFit="1" customWidth="1"/>
    <col min="23" max="23" width="1.54296875" customWidth="1"/>
    <col min="24" max="24" width="14.90625" bestFit="1" customWidth="1"/>
    <col min="25" max="25" width="11.54296875" bestFit="1" customWidth="1"/>
    <col min="26" max="27" width="10.54296875" bestFit="1" customWidth="1"/>
    <col min="28" max="29" width="9.54296875" bestFit="1" customWidth="1"/>
    <col min="30" max="30" width="7.54296875" bestFit="1" customWidth="1"/>
    <col min="31" max="31" width="8.54296875" bestFit="1" customWidth="1"/>
    <col min="32" max="32" width="11.54296875" bestFit="1" customWidth="1"/>
    <col min="34" max="35" width="10.08984375" bestFit="1" customWidth="1"/>
  </cols>
  <sheetData>
    <row r="1" spans="1:35" x14ac:dyDescent="0.25">
      <c r="A1" t="s">
        <v>165</v>
      </c>
    </row>
    <row r="2" spans="1:35" x14ac:dyDescent="0.25">
      <c r="A2" t="s">
        <v>166</v>
      </c>
    </row>
    <row r="3" spans="1:35" x14ac:dyDescent="0.25">
      <c r="A3" t="s">
        <v>167</v>
      </c>
    </row>
    <row r="4" spans="1:35" x14ac:dyDescent="0.25">
      <c r="AH4" t="s">
        <v>3</v>
      </c>
      <c r="AI4" t="s">
        <v>4</v>
      </c>
    </row>
    <row r="5" spans="1:35" x14ac:dyDescent="0.25">
      <c r="B5" t="s">
        <v>168</v>
      </c>
      <c r="H5" t="s">
        <v>169</v>
      </c>
      <c r="R5" t="s">
        <v>170</v>
      </c>
      <c r="S5" t="s">
        <v>171</v>
      </c>
      <c r="X5" t="s">
        <v>172</v>
      </c>
      <c r="AH5" t="s">
        <v>173</v>
      </c>
      <c r="AI5" t="s">
        <v>173</v>
      </c>
    </row>
    <row r="6" spans="1:35" x14ac:dyDescent="0.25">
      <c r="A6" t="s">
        <v>174</v>
      </c>
      <c r="B6" t="s">
        <v>175</v>
      </c>
      <c r="C6" t="s">
        <v>176</v>
      </c>
      <c r="D6" t="s">
        <v>177</v>
      </c>
      <c r="E6" t="s">
        <v>45</v>
      </c>
      <c r="F6" t="s">
        <v>4</v>
      </c>
      <c r="G6" t="s">
        <v>178</v>
      </c>
      <c r="H6" t="s">
        <v>6</v>
      </c>
      <c r="I6" t="s">
        <v>7</v>
      </c>
      <c r="J6" t="s">
        <v>179</v>
      </c>
      <c r="K6" t="s">
        <v>180</v>
      </c>
      <c r="L6" t="s">
        <v>181</v>
      </c>
      <c r="M6" t="s">
        <v>172</v>
      </c>
      <c r="O6" t="s">
        <v>45</v>
      </c>
      <c r="P6" t="s">
        <v>4</v>
      </c>
      <c r="Q6" t="s">
        <v>178</v>
      </c>
      <c r="R6" t="s">
        <v>6</v>
      </c>
      <c r="S6" t="s">
        <v>7</v>
      </c>
      <c r="T6" t="s">
        <v>179</v>
      </c>
      <c r="U6" t="s">
        <v>180</v>
      </c>
      <c r="V6" t="s">
        <v>181</v>
      </c>
      <c r="X6" t="s">
        <v>182</v>
      </c>
      <c r="Y6" t="s">
        <v>3</v>
      </c>
      <c r="Z6" t="s">
        <v>4</v>
      </c>
      <c r="AA6" t="s">
        <v>178</v>
      </c>
      <c r="AB6" t="s">
        <v>6</v>
      </c>
      <c r="AC6" t="s">
        <v>7</v>
      </c>
      <c r="AD6" t="s">
        <v>179</v>
      </c>
      <c r="AE6" t="s">
        <v>180</v>
      </c>
      <c r="AF6" t="s">
        <v>181</v>
      </c>
      <c r="AH6" t="s">
        <v>183</v>
      </c>
      <c r="AI6" t="s">
        <v>183</v>
      </c>
    </row>
    <row r="7" spans="1:35" x14ac:dyDescent="0.25">
      <c r="N7" s="1" t="s">
        <v>184</v>
      </c>
      <c r="W7" s="1" t="s">
        <v>184</v>
      </c>
    </row>
    <row r="8" spans="1:35" x14ac:dyDescent="0.25">
      <c r="D8" t="s">
        <v>185</v>
      </c>
      <c r="M8" s="1"/>
      <c r="N8" s="1" t="s">
        <v>184</v>
      </c>
      <c r="O8" s="1"/>
      <c r="P8" s="1"/>
      <c r="Q8" s="1"/>
      <c r="R8" s="1"/>
      <c r="S8" s="1"/>
      <c r="T8" s="1"/>
      <c r="U8" s="1"/>
      <c r="V8" s="1"/>
      <c r="W8" s="1" t="s">
        <v>184</v>
      </c>
    </row>
    <row r="9" spans="1:35" x14ac:dyDescent="0.25">
      <c r="E9" s="1"/>
      <c r="F9" s="1"/>
      <c r="G9" s="1"/>
      <c r="H9" s="1"/>
      <c r="I9" s="1"/>
      <c r="J9" s="1"/>
      <c r="K9" s="1"/>
      <c r="L9" s="1"/>
      <c r="M9" s="1"/>
      <c r="N9" s="1" t="s">
        <v>184</v>
      </c>
      <c r="O9" s="1"/>
      <c r="P9" s="1"/>
      <c r="Q9" s="1"/>
      <c r="R9" s="1"/>
      <c r="S9" s="1"/>
      <c r="T9" s="1"/>
      <c r="U9" s="1"/>
      <c r="V9" s="1"/>
      <c r="W9" s="1" t="s">
        <v>184</v>
      </c>
    </row>
    <row r="10" spans="1:35" x14ac:dyDescent="0.25">
      <c r="B10" s="20">
        <v>101</v>
      </c>
      <c r="C10" t="s">
        <v>186</v>
      </c>
      <c r="D10" t="s">
        <v>187</v>
      </c>
      <c r="E10" s="31" t="e">
        <f>WSSC_ALL!$DT$125</f>
        <v>#REF!</v>
      </c>
      <c r="F10" s="31" t="e">
        <f>#REF!</f>
        <v>#REF!</v>
      </c>
      <c r="G10" s="31" t="e">
        <f>#REF!</f>
        <v>#REF!</v>
      </c>
      <c r="H10" s="31" t="e">
        <f>VIENNA!#REF!</f>
        <v>#REF!</v>
      </c>
      <c r="I10" s="31" t="e">
        <f>#REF!</f>
        <v>#REF!</v>
      </c>
      <c r="J10" s="39">
        <v>1.3032600000000004E-2</v>
      </c>
      <c r="K10" s="39">
        <v>4.9841999999999997E-2</v>
      </c>
      <c r="L10" s="49">
        <v>0</v>
      </c>
      <c r="M10" s="1" t="e">
        <f>SUM(E10:L10)</f>
        <v>#REF!</v>
      </c>
      <c r="N10" s="1" t="s">
        <v>184</v>
      </c>
      <c r="O10" s="1" t="e">
        <f t="shared" ref="O10:V10" si="0">(+E10/$M10)*100</f>
        <v>#REF!</v>
      </c>
      <c r="P10" s="1" t="e">
        <f t="shared" si="0"/>
        <v>#REF!</v>
      </c>
      <c r="Q10" s="1" t="e">
        <f t="shared" si="0"/>
        <v>#REF!</v>
      </c>
      <c r="R10" s="1" t="e">
        <f t="shared" si="0"/>
        <v>#REF!</v>
      </c>
      <c r="S10" s="1" t="e">
        <f t="shared" si="0"/>
        <v>#REF!</v>
      </c>
      <c r="T10" s="1" t="e">
        <f t="shared" si="0"/>
        <v>#REF!</v>
      </c>
      <c r="U10" s="1" t="e">
        <f t="shared" si="0"/>
        <v>#REF!</v>
      </c>
      <c r="V10" s="1" t="e">
        <f t="shared" si="0"/>
        <v>#REF!</v>
      </c>
      <c r="W10" s="1" t="s">
        <v>184</v>
      </c>
      <c r="X10">
        <f>122826.5+98397.13+1790.1+1977.74</f>
        <v>224991.47</v>
      </c>
      <c r="Y10" t="e">
        <f t="shared" ref="Y10:AF10" si="1">(+O10/100)*$X10</f>
        <v>#REF!</v>
      </c>
      <c r="Z10" t="e">
        <f t="shared" si="1"/>
        <v>#REF!</v>
      </c>
      <c r="AA10" t="e">
        <f t="shared" si="1"/>
        <v>#REF!</v>
      </c>
      <c r="AB10" t="e">
        <f t="shared" si="1"/>
        <v>#REF!</v>
      </c>
      <c r="AC10" t="e">
        <f t="shared" si="1"/>
        <v>#REF!</v>
      </c>
      <c r="AD10" t="e">
        <f t="shared" si="1"/>
        <v>#REF!</v>
      </c>
      <c r="AE10" t="e">
        <f t="shared" si="1"/>
        <v>#REF!</v>
      </c>
      <c r="AF10" t="e">
        <f t="shared" si="1"/>
        <v>#REF!</v>
      </c>
      <c r="AH10">
        <v>21.6</v>
      </c>
      <c r="AI10">
        <v>21.6</v>
      </c>
    </row>
    <row r="11" spans="1:35" x14ac:dyDescent="0.25">
      <c r="B11" s="12"/>
      <c r="N11" s="1" t="s">
        <v>184</v>
      </c>
      <c r="W11" s="1" t="s">
        <v>184</v>
      </c>
    </row>
    <row r="12" spans="1:35" x14ac:dyDescent="0.25">
      <c r="B12" s="12"/>
      <c r="D12" t="s">
        <v>188</v>
      </c>
      <c r="N12" s="1" t="s">
        <v>184</v>
      </c>
      <c r="W12" s="1" t="s">
        <v>184</v>
      </c>
    </row>
    <row r="13" spans="1:35" x14ac:dyDescent="0.25">
      <c r="B13" s="12"/>
      <c r="N13" s="1" t="s">
        <v>184</v>
      </c>
      <c r="W13" s="1" t="s">
        <v>184</v>
      </c>
    </row>
    <row r="14" spans="1:35" x14ac:dyDescent="0.25">
      <c r="B14" s="12">
        <v>111</v>
      </c>
      <c r="C14" t="s">
        <v>189</v>
      </c>
      <c r="E14" s="1">
        <f>E117</f>
        <v>3.4857127264692878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46">
        <f>E14*0.357</f>
        <v>1.2443994433495358</v>
      </c>
      <c r="M14" s="1">
        <f>SUM(E14:L14)</f>
        <v>4.730112169818824</v>
      </c>
      <c r="N14" s="1" t="s">
        <v>184</v>
      </c>
      <c r="O14" s="1">
        <f t="shared" ref="O14:V14" si="2">(+E14/$M14)*100</f>
        <v>73.69196757553425</v>
      </c>
      <c r="P14" s="1">
        <f t="shared" si="2"/>
        <v>0</v>
      </c>
      <c r="Q14" s="1">
        <f t="shared" si="2"/>
        <v>0</v>
      </c>
      <c r="R14" s="1">
        <f t="shared" si="2"/>
        <v>0</v>
      </c>
      <c r="S14" s="1">
        <f t="shared" si="2"/>
        <v>0</v>
      </c>
      <c r="T14" s="1">
        <f t="shared" si="2"/>
        <v>0</v>
      </c>
      <c r="U14" s="1">
        <f t="shared" si="2"/>
        <v>0</v>
      </c>
      <c r="V14" s="1">
        <f t="shared" si="2"/>
        <v>26.308032424465733</v>
      </c>
      <c r="W14" s="1" t="s">
        <v>184</v>
      </c>
      <c r="X14" s="1">
        <f>6842.95+4440.6</f>
        <v>11283.55</v>
      </c>
      <c r="Y14">
        <f t="shared" ref="Y14:AF14" si="3">(+O14/100)*$X14</f>
        <v>8315.0700073691933</v>
      </c>
      <c r="Z14">
        <f t="shared" si="3"/>
        <v>0</v>
      </c>
      <c r="AA14">
        <f t="shared" si="3"/>
        <v>0</v>
      </c>
      <c r="AB14">
        <f t="shared" si="3"/>
        <v>0</v>
      </c>
      <c r="AC14">
        <f t="shared" si="3"/>
        <v>0</v>
      </c>
      <c r="AD14">
        <f t="shared" si="3"/>
        <v>0</v>
      </c>
      <c r="AE14">
        <f t="shared" si="3"/>
        <v>0</v>
      </c>
      <c r="AF14">
        <f t="shared" si="3"/>
        <v>2968.4799926308028</v>
      </c>
      <c r="AG14" s="1"/>
      <c r="AH14" s="1"/>
      <c r="AI14" s="1"/>
    </row>
    <row r="15" spans="1:35" x14ac:dyDescent="0.25">
      <c r="B15" s="12"/>
      <c r="N15" s="1" t="s">
        <v>184</v>
      </c>
      <c r="V15" s="13"/>
      <c r="W15" s="1" t="s">
        <v>184</v>
      </c>
    </row>
    <row r="16" spans="1:35" x14ac:dyDescent="0.25">
      <c r="A16" t="s">
        <v>190</v>
      </c>
      <c r="B16" s="12"/>
      <c r="D16" t="s">
        <v>191</v>
      </c>
      <c r="E16" s="1"/>
      <c r="F16" s="1"/>
      <c r="G16" s="1"/>
      <c r="H16" s="1"/>
      <c r="I16" s="1"/>
      <c r="J16" s="1"/>
      <c r="K16" s="1"/>
      <c r="L16" s="1"/>
      <c r="M16" s="1"/>
      <c r="N16" s="1" t="s">
        <v>184</v>
      </c>
      <c r="O16" s="1"/>
      <c r="P16" s="1"/>
      <c r="Q16" s="1"/>
      <c r="R16" s="1"/>
      <c r="S16" s="1"/>
      <c r="T16" s="1"/>
      <c r="U16" s="1"/>
      <c r="V16" s="1"/>
      <c r="W16" s="1" t="s">
        <v>184</v>
      </c>
    </row>
    <row r="17" spans="1:35" x14ac:dyDescent="0.25">
      <c r="B17" s="12"/>
      <c r="E17" s="1"/>
      <c r="F17" s="1"/>
      <c r="G17" s="1"/>
      <c r="H17" s="1"/>
      <c r="I17" s="1"/>
      <c r="J17" s="1"/>
      <c r="K17" s="1"/>
      <c r="L17" s="1"/>
      <c r="M17" s="1"/>
      <c r="N17" s="1" t="s">
        <v>184</v>
      </c>
      <c r="O17" s="1"/>
      <c r="P17" s="1"/>
      <c r="Q17" s="1"/>
      <c r="R17" s="1"/>
      <c r="S17" s="1"/>
      <c r="T17" s="1"/>
      <c r="U17" s="1"/>
      <c r="V17" s="1"/>
      <c r="W17" s="1" t="s">
        <v>184</v>
      </c>
    </row>
    <row r="18" spans="1:35" x14ac:dyDescent="0.25">
      <c r="A18" t="s">
        <v>192</v>
      </c>
      <c r="B18" s="12"/>
      <c r="D18" t="s">
        <v>193</v>
      </c>
      <c r="E18" s="1"/>
      <c r="F18" s="1"/>
      <c r="G18" s="1"/>
      <c r="H18" s="1"/>
      <c r="I18" s="1"/>
      <c r="J18" s="1"/>
      <c r="K18" s="1"/>
      <c r="L18" s="1"/>
      <c r="M18" s="1"/>
      <c r="N18" s="1" t="s">
        <v>184</v>
      </c>
      <c r="O18" s="1"/>
      <c r="P18" s="1"/>
      <c r="Q18" s="1"/>
      <c r="R18" s="1"/>
      <c r="S18" s="1"/>
      <c r="T18" s="1"/>
      <c r="U18" s="1"/>
      <c r="V18" s="1"/>
      <c r="W18" s="1" t="s">
        <v>184</v>
      </c>
    </row>
    <row r="19" spans="1:35" x14ac:dyDescent="0.25">
      <c r="B19" s="12">
        <v>121</v>
      </c>
      <c r="C19" t="s">
        <v>194</v>
      </c>
      <c r="D19" t="s">
        <v>195</v>
      </c>
      <c r="E19" s="31">
        <f>WSSC_ALL!$F$125</f>
        <v>9.4324681707629292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f>SUM(E19:L19)</f>
        <v>9.4324681707629292</v>
      </c>
      <c r="N19" s="1" t="s">
        <v>184</v>
      </c>
      <c r="O19" s="1">
        <f>(+E19/M19)*100</f>
        <v>100</v>
      </c>
      <c r="P19" s="1">
        <f>SUM(F19/M19)*100</f>
        <v>0</v>
      </c>
      <c r="Q19" s="1">
        <f>SUM(G19/M19)*100</f>
        <v>0</v>
      </c>
      <c r="R19" s="1">
        <f>SUM(H19/M19)*100</f>
        <v>0</v>
      </c>
      <c r="S19" s="1">
        <f>SUM(I19/M19)*100</f>
        <v>0</v>
      </c>
      <c r="T19" s="1">
        <f>SUM(J19/M19)*100</f>
        <v>0</v>
      </c>
      <c r="U19" s="1">
        <f>SUM(K19/M19)*100</f>
        <v>0</v>
      </c>
      <c r="V19" s="1">
        <f>SUM(L19/M19)*100</f>
        <v>0</v>
      </c>
      <c r="W19" s="1" t="s">
        <v>184</v>
      </c>
      <c r="X19">
        <f>8953.67+2648.44+1967.73</f>
        <v>13569.84</v>
      </c>
      <c r="Y19">
        <f t="shared" ref="Y19:AF19" si="4">(+O19/100)*$X19</f>
        <v>13569.84</v>
      </c>
      <c r="Z19">
        <f t="shared" si="4"/>
        <v>0</v>
      </c>
      <c r="AA19">
        <f t="shared" si="4"/>
        <v>0</v>
      </c>
      <c r="AB19">
        <f t="shared" si="4"/>
        <v>0</v>
      </c>
      <c r="AC19">
        <f t="shared" si="4"/>
        <v>0</v>
      </c>
      <c r="AD19">
        <f t="shared" si="4"/>
        <v>0</v>
      </c>
      <c r="AE19">
        <f t="shared" si="4"/>
        <v>0</v>
      </c>
      <c r="AF19">
        <f t="shared" si="4"/>
        <v>0</v>
      </c>
      <c r="AG19" s="1"/>
      <c r="AH19">
        <v>6.5</v>
      </c>
      <c r="AI19">
        <v>0</v>
      </c>
    </row>
    <row r="20" spans="1:35" x14ac:dyDescent="0.25">
      <c r="B20" s="12">
        <v>122</v>
      </c>
      <c r="C20" t="s">
        <v>196</v>
      </c>
      <c r="D20" t="s">
        <v>197</v>
      </c>
      <c r="E20" s="1" t="e">
        <f>E10</f>
        <v>#REF!</v>
      </c>
      <c r="F20" s="1" t="e">
        <f t="shared" ref="F20:K20" si="5">F$10</f>
        <v>#REF!</v>
      </c>
      <c r="G20" s="1" t="e">
        <f t="shared" si="5"/>
        <v>#REF!</v>
      </c>
      <c r="H20" s="1" t="e">
        <f t="shared" si="5"/>
        <v>#REF!</v>
      </c>
      <c r="I20" s="1" t="e">
        <f t="shared" si="5"/>
        <v>#REF!</v>
      </c>
      <c r="J20" s="1">
        <f t="shared" si="5"/>
        <v>1.3032600000000004E-2</v>
      </c>
      <c r="K20" s="1">
        <f t="shared" si="5"/>
        <v>4.9841999999999997E-2</v>
      </c>
      <c r="L20" s="1">
        <v>0</v>
      </c>
      <c r="M20" s="1" t="e">
        <f>SUM(E20:L20)</f>
        <v>#REF!</v>
      </c>
      <c r="N20" s="1" t="s">
        <v>184</v>
      </c>
      <c r="O20" s="1" t="e">
        <f>(+E20/M20)*100</f>
        <v>#REF!</v>
      </c>
      <c r="P20" s="1" t="e">
        <f>SUM(F20/M20)*100</f>
        <v>#REF!</v>
      </c>
      <c r="Q20" s="1" t="e">
        <f>SUM(G20/M20)*100</f>
        <v>#REF!</v>
      </c>
      <c r="R20" s="1" t="e">
        <f>SUM(H20/M20)*100</f>
        <v>#REF!</v>
      </c>
      <c r="S20" s="1" t="e">
        <f>SUM(I20/M20)*100</f>
        <v>#REF!</v>
      </c>
      <c r="T20" s="1" t="e">
        <f>SUM(J20/M20)*100</f>
        <v>#REF!</v>
      </c>
      <c r="U20" s="1" t="e">
        <f>SUM(K20/M20)*100</f>
        <v>#REF!</v>
      </c>
      <c r="V20" s="1" t="e">
        <f>SUM(L20/M20)*100</f>
        <v>#REF!</v>
      </c>
      <c r="W20" s="1" t="s">
        <v>184</v>
      </c>
      <c r="X20">
        <v>0</v>
      </c>
      <c r="AH20">
        <v>29.2</v>
      </c>
      <c r="AI20">
        <v>21.6</v>
      </c>
    </row>
    <row r="21" spans="1:35" x14ac:dyDescent="0.25">
      <c r="A21" t="s">
        <v>198</v>
      </c>
      <c r="B21" s="12"/>
      <c r="D21" t="s">
        <v>199</v>
      </c>
      <c r="E21" s="1"/>
      <c r="F21" s="1"/>
      <c r="G21" s="1"/>
      <c r="H21" s="1"/>
      <c r="I21" s="1"/>
      <c r="J21" s="1"/>
      <c r="K21" s="1"/>
      <c r="L21" s="1"/>
      <c r="M21" s="1"/>
      <c r="N21" s="1" t="s">
        <v>184</v>
      </c>
      <c r="O21" s="1" t="s">
        <v>200</v>
      </c>
      <c r="P21" s="1" t="s">
        <v>200</v>
      </c>
      <c r="Q21" s="1" t="s">
        <v>200</v>
      </c>
      <c r="R21" s="1"/>
      <c r="S21" s="1"/>
      <c r="T21" s="1"/>
      <c r="U21" s="1"/>
      <c r="V21" s="1"/>
      <c r="W21" s="1" t="s">
        <v>184</v>
      </c>
    </row>
    <row r="22" spans="1:35" x14ac:dyDescent="0.25">
      <c r="B22" s="12">
        <v>123</v>
      </c>
      <c r="C22" t="s">
        <v>201</v>
      </c>
      <c r="D22" t="s">
        <v>202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f>L14</f>
        <v>1.2443994433495358</v>
      </c>
      <c r="M22" s="1">
        <f>SUM(E22:L22)</f>
        <v>1.2443994433495358</v>
      </c>
      <c r="N22" s="1" t="s">
        <v>184</v>
      </c>
      <c r="O22" s="1">
        <f>(+E22/M22)*100</f>
        <v>0</v>
      </c>
      <c r="P22" s="1">
        <f>SUM(F22/M22)*100</f>
        <v>0</v>
      </c>
      <c r="Q22" s="1">
        <f>SUM(G22/M22)*100</f>
        <v>0</v>
      </c>
      <c r="R22" s="1">
        <f>SUM(H22/M22)*100</f>
        <v>0</v>
      </c>
      <c r="S22" s="1">
        <f>SUM(I22/M22)*100</f>
        <v>0</v>
      </c>
      <c r="T22" s="1">
        <f>SUM(J22/M22)*100</f>
        <v>0</v>
      </c>
      <c r="U22" s="1">
        <f>SUM(K22/M22)*100</f>
        <v>0</v>
      </c>
      <c r="V22" s="1">
        <f>SUM(L22/M22)*100</f>
        <v>100</v>
      </c>
      <c r="W22" s="1" t="s">
        <v>184</v>
      </c>
      <c r="X22">
        <v>0</v>
      </c>
      <c r="AH22">
        <v>8.5</v>
      </c>
      <c r="AI22">
        <v>0</v>
      </c>
    </row>
    <row r="23" spans="1:35" x14ac:dyDescent="0.25">
      <c r="B23" s="12">
        <v>124</v>
      </c>
      <c r="C23" t="s">
        <v>203</v>
      </c>
      <c r="D23" t="s">
        <v>204</v>
      </c>
      <c r="E23" s="1" t="e">
        <f>SUM(E14+E19+E20)</f>
        <v>#REF!</v>
      </c>
      <c r="F23" s="1" t="e">
        <f t="shared" ref="F23:K23" si="6">F$10</f>
        <v>#REF!</v>
      </c>
      <c r="G23" s="1" t="e">
        <f t="shared" si="6"/>
        <v>#REF!</v>
      </c>
      <c r="H23" s="1" t="e">
        <f t="shared" si="6"/>
        <v>#REF!</v>
      </c>
      <c r="I23" s="1" t="e">
        <f t="shared" si="6"/>
        <v>#REF!</v>
      </c>
      <c r="J23" s="1">
        <f t="shared" si="6"/>
        <v>1.3032600000000004E-2</v>
      </c>
      <c r="K23" s="1">
        <f t="shared" si="6"/>
        <v>4.9841999999999997E-2</v>
      </c>
      <c r="L23" s="1">
        <v>0</v>
      </c>
      <c r="M23" s="1" t="e">
        <f>SUM(E23:L23)</f>
        <v>#REF!</v>
      </c>
      <c r="N23" s="1" t="s">
        <v>184</v>
      </c>
      <c r="O23" s="1" t="e">
        <f>(+E23/M23)*100</f>
        <v>#REF!</v>
      </c>
      <c r="P23" s="1" t="e">
        <f>SUM(F23/M23)*100</f>
        <v>#REF!</v>
      </c>
      <c r="Q23" s="1" t="e">
        <f>SUM(G23/M23)*100</f>
        <v>#REF!</v>
      </c>
      <c r="R23" s="1" t="e">
        <f>SUM(H23/M23)*100</f>
        <v>#REF!</v>
      </c>
      <c r="S23" s="1" t="e">
        <f>SUM(I23/M23)*100</f>
        <v>#REF!</v>
      </c>
      <c r="T23" s="1" t="e">
        <f>SUM(J23/M23)*100</f>
        <v>#REF!</v>
      </c>
      <c r="U23" s="1" t="e">
        <f>SUM(K23/M23)*100</f>
        <v>#REF!</v>
      </c>
      <c r="V23" s="1" t="e">
        <f>SUM(L23/M23)*100</f>
        <v>#REF!</v>
      </c>
      <c r="W23" s="1" t="s">
        <v>184</v>
      </c>
      <c r="X23">
        <v>0</v>
      </c>
      <c r="AH23">
        <v>35</v>
      </c>
      <c r="AI23">
        <v>21.6</v>
      </c>
    </row>
    <row r="24" spans="1:35" x14ac:dyDescent="0.25">
      <c r="A24" t="s">
        <v>205</v>
      </c>
      <c r="B24" s="12"/>
      <c r="D24" t="s">
        <v>206</v>
      </c>
      <c r="E24" s="1"/>
      <c r="F24" s="1"/>
      <c r="G24" s="1"/>
      <c r="H24" s="1"/>
      <c r="I24" s="1"/>
      <c r="J24" s="1"/>
      <c r="K24" s="1"/>
      <c r="L24" s="1"/>
      <c r="M24" s="1"/>
      <c r="N24" s="1" t="s">
        <v>184</v>
      </c>
      <c r="O24" s="1" t="s">
        <v>200</v>
      </c>
      <c r="P24" s="1" t="s">
        <v>200</v>
      </c>
      <c r="Q24" s="1" t="s">
        <v>200</v>
      </c>
      <c r="R24" s="1"/>
      <c r="S24" s="1"/>
      <c r="T24" s="1"/>
      <c r="U24" s="1"/>
      <c r="V24" s="1" t="s">
        <v>200</v>
      </c>
      <c r="W24" s="1" t="s">
        <v>184</v>
      </c>
    </row>
    <row r="25" spans="1:35" x14ac:dyDescent="0.25">
      <c r="B25" s="12">
        <v>125</v>
      </c>
      <c r="C25" t="s">
        <v>207</v>
      </c>
      <c r="D25" t="s">
        <v>208</v>
      </c>
      <c r="E25" s="1">
        <v>0</v>
      </c>
      <c r="F25" s="1" t="e">
        <f>F118</f>
        <v>#REF!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 t="e">
        <f>SUM(E25:L25)</f>
        <v>#REF!</v>
      </c>
      <c r="N25" s="1" t="s">
        <v>184</v>
      </c>
      <c r="O25" s="1" t="e">
        <f>(+E25/M25)*100</f>
        <v>#REF!</v>
      </c>
      <c r="P25" s="1" t="e">
        <f>SUM(F25/M25)*100</f>
        <v>#REF!</v>
      </c>
      <c r="Q25" s="1" t="e">
        <f>SUM(G25/M25)*100</f>
        <v>#REF!</v>
      </c>
      <c r="R25" s="1" t="e">
        <f>SUM(H25/M25)*100</f>
        <v>#REF!</v>
      </c>
      <c r="S25" s="1" t="e">
        <f>SUM(I25/M25)*100</f>
        <v>#REF!</v>
      </c>
      <c r="T25" s="1" t="e">
        <f>SUM(J25/M25)*100</f>
        <v>#REF!</v>
      </c>
      <c r="U25" s="1" t="e">
        <f>SUM(K25/M25)*100</f>
        <v>#REF!</v>
      </c>
      <c r="V25" s="1" t="e">
        <f>SUM(L25/M25)*100</f>
        <v>#REF!</v>
      </c>
      <c r="W25" s="1" t="s">
        <v>184</v>
      </c>
      <c r="X25">
        <v>0</v>
      </c>
      <c r="AH25">
        <v>0</v>
      </c>
      <c r="AI25">
        <v>9.4</v>
      </c>
    </row>
    <row r="26" spans="1:35" x14ac:dyDescent="0.25">
      <c r="A26" t="s">
        <v>209</v>
      </c>
      <c r="B26" s="12"/>
      <c r="D26" t="s">
        <v>210</v>
      </c>
      <c r="E26" s="1"/>
      <c r="F26" s="1"/>
      <c r="G26" s="1"/>
      <c r="H26" s="1"/>
      <c r="I26" s="1"/>
      <c r="J26" s="1"/>
      <c r="K26" s="1"/>
      <c r="L26" s="1"/>
      <c r="M26" s="1"/>
      <c r="N26" s="1" t="s">
        <v>184</v>
      </c>
      <c r="O26" s="1" t="s">
        <v>200</v>
      </c>
      <c r="P26" s="1" t="s">
        <v>200</v>
      </c>
      <c r="Q26" s="1" t="s">
        <v>200</v>
      </c>
      <c r="R26" s="1"/>
      <c r="S26" s="1"/>
      <c r="T26" s="1"/>
      <c r="U26" s="1"/>
      <c r="V26" s="1" t="s">
        <v>200</v>
      </c>
      <c r="W26" s="1" t="s">
        <v>184</v>
      </c>
    </row>
    <row r="27" spans="1:35" x14ac:dyDescent="0.25">
      <c r="B27" s="12">
        <v>126</v>
      </c>
      <c r="C27" t="s">
        <v>211</v>
      </c>
      <c r="D27" t="s">
        <v>202</v>
      </c>
      <c r="E27" s="1">
        <f>E22</f>
        <v>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46" t="e">
        <f>(+E27+E28)*0.11</f>
        <v>#REF!</v>
      </c>
      <c r="M27" s="1" t="e">
        <f>SUM(E27:L27)</f>
        <v>#REF!</v>
      </c>
      <c r="N27" s="1" t="s">
        <v>184</v>
      </c>
      <c r="O27" s="1" t="e">
        <f>(+E27/M27)*100</f>
        <v>#REF!</v>
      </c>
      <c r="P27" s="1" t="e">
        <f>SUM(F27/M27)*100</f>
        <v>#REF!</v>
      </c>
      <c r="Q27" s="1" t="e">
        <f>SUM(G27/M27)*100</f>
        <v>#REF!</v>
      </c>
      <c r="R27" s="1" t="e">
        <f>SUM(H27/M27)*100</f>
        <v>#REF!</v>
      </c>
      <c r="S27" s="1" t="e">
        <f>SUM(I27/M27)*100</f>
        <v>#REF!</v>
      </c>
      <c r="T27" s="1" t="e">
        <f>SUM(J27/M27)*100</f>
        <v>#REF!</v>
      </c>
      <c r="U27" s="1" t="e">
        <f>SUM(K27/M27)*100</f>
        <v>#REF!</v>
      </c>
      <c r="V27" s="1" t="e">
        <f>SUM(L27/M27)*100</f>
        <v>#REF!</v>
      </c>
      <c r="W27" s="1" t="s">
        <v>184</v>
      </c>
      <c r="X27">
        <v>0</v>
      </c>
      <c r="AH27">
        <v>8.5</v>
      </c>
      <c r="AI27">
        <v>0</v>
      </c>
    </row>
    <row r="28" spans="1:35" x14ac:dyDescent="0.25">
      <c r="B28" s="12">
        <v>127</v>
      </c>
      <c r="C28" t="s">
        <v>212</v>
      </c>
      <c r="D28" t="s">
        <v>197</v>
      </c>
      <c r="E28" s="1" t="e">
        <f>E23</f>
        <v>#REF!</v>
      </c>
      <c r="F28" s="1" t="e">
        <f>F$10+F$25</f>
        <v>#REF!</v>
      </c>
      <c r="G28" s="1" t="e">
        <f>G$10</f>
        <v>#REF!</v>
      </c>
      <c r="H28" s="1" t="e">
        <f>H$10</f>
        <v>#REF!</v>
      </c>
      <c r="I28" s="1" t="e">
        <f>I$10</f>
        <v>#REF!</v>
      </c>
      <c r="J28" s="1">
        <f>J$10</f>
        <v>1.3032600000000004E-2</v>
      </c>
      <c r="K28" s="1">
        <f>K$10</f>
        <v>4.9841999999999997E-2</v>
      </c>
      <c r="L28" s="1">
        <v>0</v>
      </c>
      <c r="M28" s="1" t="e">
        <f>SUM(E28:L28)</f>
        <v>#REF!</v>
      </c>
      <c r="N28" s="1" t="s">
        <v>184</v>
      </c>
      <c r="O28" s="1" t="e">
        <f>(+E28/M28)*100</f>
        <v>#REF!</v>
      </c>
      <c r="P28" s="1" t="e">
        <f>SUM(F28/M28)*100</f>
        <v>#REF!</v>
      </c>
      <c r="Q28" s="1" t="e">
        <f>SUM(G28/M28)*100</f>
        <v>#REF!</v>
      </c>
      <c r="R28" s="1" t="e">
        <f>SUM(H28/M28)*100</f>
        <v>#REF!</v>
      </c>
      <c r="S28" s="1" t="e">
        <f>SUM(I28/M28)*100</f>
        <v>#REF!</v>
      </c>
      <c r="T28" s="1" t="e">
        <f>SUM(J28/M28)*100</f>
        <v>#REF!</v>
      </c>
      <c r="U28" s="1" t="e">
        <f>SUM(K28/M28)*100</f>
        <v>#REF!</v>
      </c>
      <c r="V28" s="1" t="e">
        <f>SUM(L28/M28)*100</f>
        <v>#REF!</v>
      </c>
      <c r="W28" s="1" t="s">
        <v>184</v>
      </c>
      <c r="X28">
        <v>0</v>
      </c>
      <c r="AH28">
        <v>35</v>
      </c>
      <c r="AI28">
        <v>31</v>
      </c>
    </row>
    <row r="29" spans="1:35" x14ac:dyDescent="0.25">
      <c r="A29" t="s">
        <v>213</v>
      </c>
      <c r="B29" s="12"/>
      <c r="D29" t="s">
        <v>214</v>
      </c>
      <c r="E29" s="1"/>
      <c r="F29" s="1"/>
      <c r="G29" s="1"/>
      <c r="H29" s="1"/>
      <c r="I29" s="1"/>
      <c r="J29" s="1"/>
      <c r="K29" s="1"/>
      <c r="L29" s="1"/>
      <c r="M29" s="1"/>
      <c r="N29" s="1" t="s">
        <v>184</v>
      </c>
      <c r="O29" s="1" t="s">
        <v>200</v>
      </c>
      <c r="P29" s="1" t="s">
        <v>200</v>
      </c>
      <c r="Q29" s="1" t="s">
        <v>200</v>
      </c>
      <c r="R29" s="1"/>
      <c r="S29" s="1"/>
      <c r="T29" s="1"/>
      <c r="U29" s="1"/>
      <c r="V29" s="1" t="s">
        <v>200</v>
      </c>
      <c r="W29" s="1" t="s">
        <v>184</v>
      </c>
    </row>
    <row r="30" spans="1:35" x14ac:dyDescent="0.25">
      <c r="B30" s="12"/>
      <c r="C30" t="s">
        <v>215</v>
      </c>
      <c r="D30" t="s">
        <v>202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  <c r="M30" s="1">
        <f>SUM(E30:L30)</f>
        <v>0</v>
      </c>
      <c r="N30" s="1" t="s">
        <v>184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 t="s">
        <v>184</v>
      </c>
      <c r="X30">
        <v>0</v>
      </c>
      <c r="AH30">
        <v>35</v>
      </c>
      <c r="AI30">
        <v>31</v>
      </c>
    </row>
    <row r="31" spans="1:35" x14ac:dyDescent="0.25">
      <c r="B31" s="12">
        <v>128</v>
      </c>
      <c r="C31" t="s">
        <v>216</v>
      </c>
      <c r="D31" t="s">
        <v>197</v>
      </c>
      <c r="E31" s="1" t="e">
        <f>E27+E28</f>
        <v>#REF!</v>
      </c>
      <c r="F31" s="1" t="e">
        <f>F$10+F$25</f>
        <v>#REF!</v>
      </c>
      <c r="G31" s="1" t="e">
        <f>G$10</f>
        <v>#REF!</v>
      </c>
      <c r="H31" s="1" t="e">
        <f>H$10</f>
        <v>#REF!</v>
      </c>
      <c r="I31" s="1" t="e">
        <f>I$10</f>
        <v>#REF!</v>
      </c>
      <c r="J31" s="1">
        <f>J$10</f>
        <v>1.3032600000000004E-2</v>
      </c>
      <c r="K31" s="1">
        <f>K$10</f>
        <v>4.9841999999999997E-2</v>
      </c>
      <c r="L31" s="46" t="e">
        <f>E31*0.19</f>
        <v>#REF!</v>
      </c>
      <c r="M31" s="1" t="e">
        <f>SUM(E31:L31)</f>
        <v>#REF!</v>
      </c>
      <c r="N31" s="1" t="s">
        <v>184</v>
      </c>
      <c r="O31" s="1" t="e">
        <f>(+E31/M31)*100</f>
        <v>#REF!</v>
      </c>
      <c r="P31" s="1" t="e">
        <f>SUM(F31/M31)*100</f>
        <v>#REF!</v>
      </c>
      <c r="Q31" s="1" t="e">
        <f>SUM(G31/M31)*100</f>
        <v>#REF!</v>
      </c>
      <c r="R31" s="1" t="e">
        <f>SUM(H31/M31)*100</f>
        <v>#REF!</v>
      </c>
      <c r="S31" s="1" t="e">
        <f>SUM(I31/M31)*100</f>
        <v>#REF!</v>
      </c>
      <c r="T31" s="1" t="e">
        <f>SUM(J31/M31)*100</f>
        <v>#REF!</v>
      </c>
      <c r="U31" s="1" t="e">
        <f>SUM(K31/M31)*100</f>
        <v>#REF!</v>
      </c>
      <c r="V31" s="1" t="e">
        <f>SUM(L31/M31)*100</f>
        <v>#REF!</v>
      </c>
      <c r="W31" s="1" t="s">
        <v>184</v>
      </c>
      <c r="X31">
        <v>0</v>
      </c>
    </row>
    <row r="32" spans="1:35" x14ac:dyDescent="0.25">
      <c r="B32" s="12"/>
      <c r="N32" s="1" t="s">
        <v>184</v>
      </c>
      <c r="W32" s="1" t="s">
        <v>184</v>
      </c>
    </row>
    <row r="33" spans="1:32" x14ac:dyDescent="0.25">
      <c r="B33" s="12"/>
      <c r="D33" t="s">
        <v>217</v>
      </c>
      <c r="E33" s="1"/>
      <c r="F33" s="1"/>
      <c r="G33" s="1"/>
      <c r="H33" s="1"/>
      <c r="I33" s="1"/>
      <c r="J33" s="1"/>
      <c r="K33" s="1"/>
      <c r="L33" s="1"/>
      <c r="M33" s="1"/>
      <c r="N33" s="1" t="s">
        <v>184</v>
      </c>
      <c r="O33" s="1" t="s">
        <v>200</v>
      </c>
      <c r="P33" s="1" t="s">
        <v>200</v>
      </c>
      <c r="Q33" s="1" t="s">
        <v>200</v>
      </c>
      <c r="R33" s="1"/>
      <c r="S33" s="1"/>
      <c r="T33" s="1"/>
      <c r="U33" s="1"/>
      <c r="V33" s="1" t="s">
        <v>200</v>
      </c>
      <c r="W33" s="1" t="s">
        <v>184</v>
      </c>
    </row>
    <row r="34" spans="1:32" x14ac:dyDescent="0.25">
      <c r="B34" s="12"/>
      <c r="E34" s="1"/>
      <c r="F34" s="1"/>
      <c r="G34" s="1"/>
      <c r="H34" s="1"/>
      <c r="I34" s="1"/>
      <c r="J34" s="1"/>
      <c r="K34" s="1"/>
      <c r="L34" s="1"/>
      <c r="M34" s="1"/>
      <c r="N34" s="1" t="s">
        <v>184</v>
      </c>
      <c r="O34" s="1" t="s">
        <v>200</v>
      </c>
      <c r="P34" s="1" t="s">
        <v>200</v>
      </c>
      <c r="Q34" s="1" t="s">
        <v>200</v>
      </c>
      <c r="R34" s="1"/>
      <c r="S34" s="1"/>
      <c r="T34" s="1"/>
      <c r="U34" s="1"/>
      <c r="V34" s="1" t="s">
        <v>200</v>
      </c>
      <c r="W34" s="1" t="s">
        <v>184</v>
      </c>
    </row>
    <row r="35" spans="1:32" x14ac:dyDescent="0.25">
      <c r="A35" t="s">
        <v>218</v>
      </c>
      <c r="B35" s="12"/>
      <c r="D35" t="s">
        <v>219</v>
      </c>
      <c r="E35" s="1"/>
      <c r="F35" s="1"/>
      <c r="G35" s="1"/>
      <c r="H35" s="1"/>
      <c r="I35" s="1"/>
      <c r="J35" s="1"/>
      <c r="K35" s="1"/>
      <c r="L35" s="1"/>
      <c r="M35" s="1"/>
      <c r="N35" s="1" t="s">
        <v>184</v>
      </c>
      <c r="O35" s="1" t="s">
        <v>200</v>
      </c>
      <c r="P35" s="1" t="s">
        <v>200</v>
      </c>
      <c r="Q35" s="1" t="s">
        <v>200</v>
      </c>
      <c r="R35" s="1"/>
      <c r="S35" s="1"/>
      <c r="T35" s="1"/>
      <c r="U35" s="1"/>
      <c r="V35" s="1" t="s">
        <v>200</v>
      </c>
      <c r="W35" s="1" t="s">
        <v>184</v>
      </c>
    </row>
    <row r="36" spans="1:32" x14ac:dyDescent="0.25">
      <c r="B36" s="12">
        <v>141</v>
      </c>
      <c r="C36" t="s">
        <v>220</v>
      </c>
      <c r="D36" t="s">
        <v>221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0.05</v>
      </c>
      <c r="M36" s="1">
        <f>SUM(E36:L36)</f>
        <v>0.05</v>
      </c>
      <c r="N36" s="1" t="s">
        <v>184</v>
      </c>
      <c r="O36" s="1">
        <f>(+E36/M36)*100</f>
        <v>0</v>
      </c>
      <c r="P36" s="1">
        <f>SUM(F36/M36)*100</f>
        <v>0</v>
      </c>
      <c r="Q36" s="1">
        <f>SUM(G36/M36)*100</f>
        <v>0</v>
      </c>
      <c r="R36" s="1">
        <f>SUM(H36/M36)*100</f>
        <v>0</v>
      </c>
      <c r="S36" s="1">
        <f>SUM(I36/M36)*100</f>
        <v>0</v>
      </c>
      <c r="T36" s="1">
        <f>SUM(J36/M36)*100</f>
        <v>0</v>
      </c>
      <c r="U36" s="1">
        <f>SUM(K36/M36)*100</f>
        <v>0</v>
      </c>
      <c r="V36" s="1">
        <f>SUM(L36/M36)*100</f>
        <v>100</v>
      </c>
      <c r="W36" s="1" t="s">
        <v>184</v>
      </c>
      <c r="X36">
        <f>8487.73+977.24</f>
        <v>9464.9699999999993</v>
      </c>
      <c r="Y36">
        <f t="shared" ref="Y36:AF36" si="7">(+O36/100)*$X36</f>
        <v>0</v>
      </c>
      <c r="Z36">
        <f t="shared" si="7"/>
        <v>0</v>
      </c>
      <c r="AA36">
        <f t="shared" si="7"/>
        <v>0</v>
      </c>
      <c r="AB36">
        <f t="shared" si="7"/>
        <v>0</v>
      </c>
      <c r="AC36">
        <f t="shared" si="7"/>
        <v>0</v>
      </c>
      <c r="AD36">
        <f t="shared" si="7"/>
        <v>0</v>
      </c>
      <c r="AE36">
        <f t="shared" si="7"/>
        <v>0</v>
      </c>
      <c r="AF36">
        <f t="shared" si="7"/>
        <v>9464.9699999999993</v>
      </c>
    </row>
    <row r="37" spans="1:32" x14ac:dyDescent="0.25">
      <c r="A37" t="s">
        <v>222</v>
      </c>
      <c r="B37" s="12"/>
      <c r="D37" t="s">
        <v>223</v>
      </c>
      <c r="E37" s="1"/>
      <c r="F37" s="1"/>
      <c r="G37" s="1"/>
      <c r="H37" s="1"/>
      <c r="I37" s="1"/>
      <c r="J37" s="1"/>
      <c r="K37" s="1"/>
      <c r="L37" s="1"/>
      <c r="M37" s="1"/>
      <c r="N37" s="1" t="s">
        <v>184</v>
      </c>
      <c r="O37" s="1" t="s">
        <v>200</v>
      </c>
      <c r="P37" s="1" t="s">
        <v>200</v>
      </c>
      <c r="Q37" s="1" t="s">
        <v>200</v>
      </c>
      <c r="R37" s="1"/>
      <c r="S37" s="1"/>
      <c r="T37" s="1"/>
      <c r="U37" s="1"/>
      <c r="V37" s="1" t="s">
        <v>200</v>
      </c>
      <c r="W37" s="1" t="s">
        <v>184</v>
      </c>
    </row>
    <row r="38" spans="1:32" x14ac:dyDescent="0.25">
      <c r="B38" s="12">
        <v>142</v>
      </c>
      <c r="C38" t="s">
        <v>224</v>
      </c>
      <c r="D38" t="s">
        <v>221</v>
      </c>
      <c r="E38" s="49">
        <f>E120</f>
        <v>3.3347567808219183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46">
        <f>E38*0.75</f>
        <v>2.5010675856164388</v>
      </c>
      <c r="M38" s="1">
        <f>SUM(E38:L38)</f>
        <v>5.8358243664383576</v>
      </c>
      <c r="N38" s="1" t="s">
        <v>184</v>
      </c>
      <c r="O38" s="1">
        <f>(+E38/M38)*100</f>
        <v>57.142857142857139</v>
      </c>
      <c r="P38" s="1">
        <f>SUM(F38/M38)*100</f>
        <v>0</v>
      </c>
      <c r="Q38" s="1">
        <f>SUM(G38/M38)*100</f>
        <v>0</v>
      </c>
      <c r="R38" s="1">
        <f>SUM(H38/M38)*100</f>
        <v>0</v>
      </c>
      <c r="S38" s="1">
        <f>SUM(I38/M38)*100</f>
        <v>0</v>
      </c>
      <c r="T38" s="1">
        <f>SUM(J38/M38)*100</f>
        <v>0</v>
      </c>
      <c r="U38" s="1">
        <f>SUM(K38/M38)*100</f>
        <v>0</v>
      </c>
      <c r="V38" s="1">
        <f>SUM(L38/M38)*100</f>
        <v>42.857142857142854</v>
      </c>
      <c r="W38" s="1" t="s">
        <v>184</v>
      </c>
      <c r="X38">
        <v>0</v>
      </c>
    </row>
    <row r="39" spans="1:32" x14ac:dyDescent="0.25">
      <c r="A39" t="s">
        <v>225</v>
      </c>
      <c r="B39" s="12"/>
      <c r="D39" t="s">
        <v>226</v>
      </c>
      <c r="E39" s="1"/>
      <c r="F39" s="1"/>
      <c r="G39" s="1"/>
      <c r="H39" s="1"/>
      <c r="I39" s="1"/>
      <c r="J39" s="1"/>
      <c r="K39" s="1"/>
      <c r="L39" s="1"/>
      <c r="M39" s="1"/>
      <c r="N39" s="1" t="s">
        <v>184</v>
      </c>
      <c r="O39" s="1" t="s">
        <v>200</v>
      </c>
      <c r="P39" s="1" t="s">
        <v>200</v>
      </c>
      <c r="Q39" s="1" t="s">
        <v>200</v>
      </c>
      <c r="R39" s="1"/>
      <c r="S39" s="1"/>
      <c r="T39" s="1"/>
      <c r="U39" s="1"/>
      <c r="V39" s="1" t="s">
        <v>200</v>
      </c>
      <c r="W39" s="1" t="s">
        <v>184</v>
      </c>
    </row>
    <row r="40" spans="1:32" x14ac:dyDescent="0.25">
      <c r="B40" s="12">
        <v>143</v>
      </c>
      <c r="C40" t="s">
        <v>227</v>
      </c>
      <c r="D40" t="s">
        <v>197</v>
      </c>
      <c r="E40" s="1">
        <f>E119</f>
        <v>25.989005441487979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f>SUM(E40:L40)</f>
        <v>25.989005441487979</v>
      </c>
      <c r="N40" s="1" t="s">
        <v>184</v>
      </c>
      <c r="O40" s="1">
        <f>(+E40/M40)*100</f>
        <v>100</v>
      </c>
      <c r="P40" s="1">
        <f>SUM(F40/M40)*100</f>
        <v>0</v>
      </c>
      <c r="Q40" s="1">
        <f>SUM(G40/M40)*100</f>
        <v>0</v>
      </c>
      <c r="R40" s="1">
        <f>SUM(H40/M40)*100</f>
        <v>0</v>
      </c>
      <c r="S40" s="1">
        <f>SUM(I40/M40)*100</f>
        <v>0</v>
      </c>
      <c r="T40" s="1">
        <f>SUM(J40/M40)*100</f>
        <v>0</v>
      </c>
      <c r="U40" s="1">
        <f>SUM(K40/M40)*100</f>
        <v>0</v>
      </c>
      <c r="V40" s="1">
        <f>SUM(L40/M40)*100</f>
        <v>0</v>
      </c>
      <c r="W40" s="1" t="s">
        <v>184</v>
      </c>
      <c r="X40">
        <v>0</v>
      </c>
    </row>
    <row r="41" spans="1:32" x14ac:dyDescent="0.25">
      <c r="A41" t="s">
        <v>228</v>
      </c>
      <c r="B41" s="12">
        <v>144</v>
      </c>
      <c r="C41" t="s">
        <v>229</v>
      </c>
      <c r="D41" t="s">
        <v>230</v>
      </c>
      <c r="E41" s="1">
        <f>E$38+E$40+YR_HC_RPT!$R$34</f>
        <v>29.520447153816747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46">
        <f>E41*0.12</f>
        <v>3.5424536584580095</v>
      </c>
      <c r="M41" s="1">
        <f>SUM(E41:L41)</f>
        <v>33.062900812274755</v>
      </c>
      <c r="N41" s="1" t="s">
        <v>184</v>
      </c>
      <c r="O41" s="1">
        <f>(+E41/M41)*100</f>
        <v>89.285714285714292</v>
      </c>
      <c r="P41" s="1">
        <f>SUM(F41/M41)*100</f>
        <v>0</v>
      </c>
      <c r="Q41" s="1">
        <f>SUM(G41/M41)*100</f>
        <v>0</v>
      </c>
      <c r="R41" s="1">
        <f>SUM(H41/M41)*100</f>
        <v>0</v>
      </c>
      <c r="S41" s="1">
        <f>SUM(I41/M41)*100</f>
        <v>0</v>
      </c>
      <c r="T41" s="1">
        <f>SUM(J41/M41)*100</f>
        <v>0</v>
      </c>
      <c r="U41" s="1">
        <f>SUM(K41/M41)*100</f>
        <v>0</v>
      </c>
      <c r="V41" s="1">
        <f>SUM(L41/M41)*100</f>
        <v>10.714285714285715</v>
      </c>
      <c r="W41" s="1" t="s">
        <v>184</v>
      </c>
      <c r="X41">
        <v>0</v>
      </c>
    </row>
    <row r="42" spans="1:32" x14ac:dyDescent="0.25">
      <c r="A42" t="s">
        <v>231</v>
      </c>
      <c r="B42" s="12">
        <v>145</v>
      </c>
      <c r="D42" t="s">
        <v>232</v>
      </c>
      <c r="E42" s="1"/>
      <c r="F42" s="1"/>
      <c r="G42" s="1"/>
      <c r="H42" s="1"/>
      <c r="I42" s="1"/>
      <c r="J42" s="1"/>
      <c r="K42" s="1"/>
      <c r="L42" s="1"/>
      <c r="M42" s="1"/>
      <c r="N42" s="1" t="s">
        <v>184</v>
      </c>
      <c r="O42" s="1" t="s">
        <v>200</v>
      </c>
      <c r="P42" s="1" t="s">
        <v>200</v>
      </c>
      <c r="Q42" s="1" t="s">
        <v>200</v>
      </c>
      <c r="R42" s="1"/>
      <c r="S42" s="1"/>
      <c r="T42" s="1"/>
      <c r="U42" s="1"/>
      <c r="V42" s="1" t="s">
        <v>200</v>
      </c>
      <c r="W42" s="1" t="s">
        <v>184</v>
      </c>
      <c r="X42">
        <v>0</v>
      </c>
    </row>
    <row r="43" spans="1:32" x14ac:dyDescent="0.25">
      <c r="B43" s="12"/>
      <c r="C43" t="s">
        <v>233</v>
      </c>
      <c r="D43" t="s">
        <v>221</v>
      </c>
      <c r="E43" s="1">
        <f>E41-E44</f>
        <v>22.550447153816748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46">
        <f>(+E43+E44)*0.18</f>
        <v>5.3136804876870141</v>
      </c>
      <c r="M43" s="1">
        <f>SUM(E43:L43)</f>
        <v>27.864127641503764</v>
      </c>
      <c r="N43" s="1" t="s">
        <v>184</v>
      </c>
      <c r="O43" s="1">
        <f>(+E43/M43)*100</f>
        <v>80.930031056230661</v>
      </c>
      <c r="P43" s="1">
        <f>SUM(F43/M43)*100</f>
        <v>0</v>
      </c>
      <c r="Q43" s="1">
        <f>SUM(G43/M43)*100</f>
        <v>0</v>
      </c>
      <c r="R43" s="1">
        <f>SUM(H43/M43)*100</f>
        <v>0</v>
      </c>
      <c r="S43" s="1">
        <f>SUM(I43/M43)*100</f>
        <v>0</v>
      </c>
      <c r="T43" s="1">
        <f>SUM(J43/M43)*100</f>
        <v>0</v>
      </c>
      <c r="U43" s="1">
        <f>SUM(K43/M43)*100</f>
        <v>0</v>
      </c>
      <c r="V43" s="1">
        <f>SUM(L43/M43)*100</f>
        <v>19.069968943769332</v>
      </c>
      <c r="W43" s="1" t="s">
        <v>184</v>
      </c>
    </row>
    <row r="44" spans="1:32" x14ac:dyDescent="0.25">
      <c r="B44" s="12">
        <v>143</v>
      </c>
      <c r="C44" t="s">
        <v>234</v>
      </c>
      <c r="D44" t="s">
        <v>197</v>
      </c>
      <c r="E44" s="14">
        <v>6.97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  <c r="M44" s="1">
        <f>SUM(E44:L44)</f>
        <v>6.97</v>
      </c>
      <c r="N44" s="1" t="s">
        <v>184</v>
      </c>
      <c r="O44" s="1">
        <f>(+E44/M44)*100</f>
        <v>100</v>
      </c>
      <c r="P44" s="1">
        <f>SUM(F44/M44)*100</f>
        <v>0</v>
      </c>
      <c r="Q44" s="1">
        <f>SUM(G44/M44)*100</f>
        <v>0</v>
      </c>
      <c r="R44" s="1">
        <f>SUM(H44/M44)*100</f>
        <v>0</v>
      </c>
      <c r="S44" s="1">
        <f>SUM(I44/M44)*100</f>
        <v>0</v>
      </c>
      <c r="T44" s="1">
        <f>SUM(J44/M44)*100</f>
        <v>0</v>
      </c>
      <c r="U44" s="1">
        <f>SUM(K44/M44)*100</f>
        <v>0</v>
      </c>
      <c r="V44" s="1">
        <f>SUM(L44/M44)*100</f>
        <v>0</v>
      </c>
      <c r="W44" s="1" t="s">
        <v>184</v>
      </c>
      <c r="X44">
        <v>0</v>
      </c>
    </row>
    <row r="45" spans="1:32" x14ac:dyDescent="0.25">
      <c r="A45" t="s">
        <v>235</v>
      </c>
      <c r="B45" s="12">
        <v>146</v>
      </c>
      <c r="C45" t="s">
        <v>236</v>
      </c>
      <c r="D45" t="s">
        <v>237</v>
      </c>
      <c r="E45" s="1">
        <f>E41</f>
        <v>29.520447153816747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f>E45*0.18</f>
        <v>5.3136804876870141</v>
      </c>
      <c r="M45" s="1">
        <f>SUM(E45:L45)</f>
        <v>34.834127641503763</v>
      </c>
      <c r="N45" s="1" t="s">
        <v>184</v>
      </c>
      <c r="O45" s="1">
        <f>(+E45/M45)*100</f>
        <v>84.745762711864401</v>
      </c>
      <c r="P45" s="1">
        <f>SUM(F45/M45)*100</f>
        <v>0</v>
      </c>
      <c r="Q45" s="1">
        <f>SUM(G45/M45)*100</f>
        <v>0</v>
      </c>
      <c r="R45" s="1">
        <f>SUM(H45/M45)*100</f>
        <v>0</v>
      </c>
      <c r="S45" s="1">
        <f>SUM(I45/M45)*100</f>
        <v>0</v>
      </c>
      <c r="T45" s="1">
        <f>SUM(J45/M45)*100</f>
        <v>0</v>
      </c>
      <c r="U45" s="1">
        <f>SUM(K45/M45)*100</f>
        <v>0</v>
      </c>
      <c r="V45" s="1">
        <f>SUM(L45/M45)*100</f>
        <v>15.254237288135592</v>
      </c>
      <c r="W45" s="1" t="s">
        <v>184</v>
      </c>
      <c r="X45">
        <f>126.47+82.07</f>
        <v>208.54</v>
      </c>
      <c r="Y45">
        <f t="shared" ref="Y45:AF45" si="8">(+O45/100)*$X45</f>
        <v>176.72881355932202</v>
      </c>
      <c r="Z45">
        <f t="shared" si="8"/>
        <v>0</v>
      </c>
      <c r="AA45">
        <f t="shared" si="8"/>
        <v>0</v>
      </c>
      <c r="AB45">
        <f t="shared" si="8"/>
        <v>0</v>
      </c>
      <c r="AC45">
        <f t="shared" si="8"/>
        <v>0</v>
      </c>
      <c r="AD45">
        <f t="shared" si="8"/>
        <v>0</v>
      </c>
      <c r="AE45">
        <f t="shared" si="8"/>
        <v>0</v>
      </c>
      <c r="AF45">
        <f t="shared" si="8"/>
        <v>31.811186440677961</v>
      </c>
    </row>
    <row r="46" spans="1:32" x14ac:dyDescent="0.25">
      <c r="A46" t="s">
        <v>238</v>
      </c>
      <c r="B46" s="12"/>
      <c r="D46" t="s">
        <v>239</v>
      </c>
      <c r="E46" s="1"/>
      <c r="F46" s="1"/>
      <c r="G46" s="1"/>
      <c r="H46" s="1"/>
      <c r="I46" s="1"/>
      <c r="J46" s="1"/>
      <c r="K46" s="1"/>
      <c r="L46" s="1"/>
      <c r="M46" s="1"/>
      <c r="N46" s="1" t="s">
        <v>184</v>
      </c>
      <c r="O46" s="1" t="s">
        <v>200</v>
      </c>
      <c r="P46" s="1" t="s">
        <v>200</v>
      </c>
      <c r="Q46" s="1" t="s">
        <v>200</v>
      </c>
      <c r="R46" s="1"/>
      <c r="S46" s="1"/>
      <c r="T46" s="1"/>
      <c r="U46" s="1"/>
      <c r="V46" s="1" t="s">
        <v>200</v>
      </c>
      <c r="W46" s="1" t="s">
        <v>184</v>
      </c>
    </row>
    <row r="47" spans="1:32" x14ac:dyDescent="0.25">
      <c r="B47" s="12">
        <v>147</v>
      </c>
      <c r="C47" t="s">
        <v>240</v>
      </c>
      <c r="D47" t="s">
        <v>221</v>
      </c>
      <c r="E47" s="1">
        <f>E41-E48+YR_HC_RPT!$R$27</f>
        <v>12.433878660666062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46">
        <f>(+E47+E48)*0.31</f>
        <v>9.1803023848064793</v>
      </c>
      <c r="M47" s="1">
        <f>SUM(E47:L47)</f>
        <v>21.614181045472542</v>
      </c>
      <c r="N47" s="1" t="s">
        <v>184</v>
      </c>
      <c r="O47" s="1">
        <f>(+E47/M47)*100</f>
        <v>57.526485202040767</v>
      </c>
      <c r="P47" s="1">
        <f>SUM(F47/M47)*100</f>
        <v>0</v>
      </c>
      <c r="Q47" s="1">
        <f>SUM(G47/M47)*100</f>
        <v>0</v>
      </c>
      <c r="R47" s="1">
        <f>SUM(H47/M47)*100</f>
        <v>0</v>
      </c>
      <c r="S47" s="1">
        <f>SUM(I47/M47)*100</f>
        <v>0</v>
      </c>
      <c r="T47" s="1">
        <f>SUM(J47/M47)*100</f>
        <v>0</v>
      </c>
      <c r="U47" s="1">
        <f>SUM(K47/M47)*100</f>
        <v>0</v>
      </c>
      <c r="V47" s="1">
        <f>SUM(L47/M47)*100</f>
        <v>42.473514797959233</v>
      </c>
      <c r="W47" s="1" t="s">
        <v>184</v>
      </c>
      <c r="X47">
        <v>0</v>
      </c>
    </row>
    <row r="48" spans="1:32" x14ac:dyDescent="0.25">
      <c r="B48" s="12">
        <v>143</v>
      </c>
      <c r="C48" t="s">
        <v>241</v>
      </c>
      <c r="D48" t="s">
        <v>197</v>
      </c>
      <c r="E48" s="14">
        <v>17.18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  <c r="M48" s="1">
        <f>SUM(E48:L48)</f>
        <v>17.18</v>
      </c>
      <c r="N48" s="1" t="s">
        <v>184</v>
      </c>
      <c r="O48" s="1">
        <f>(+E48/M48)*100</f>
        <v>100</v>
      </c>
      <c r="P48" s="1">
        <f>SUM(F48/M48)*100</f>
        <v>0</v>
      </c>
      <c r="Q48" s="1">
        <f>SUM(G48/M48)*100</f>
        <v>0</v>
      </c>
      <c r="R48" s="1">
        <f>SUM(H48/M48)*100</f>
        <v>0</v>
      </c>
      <c r="S48" s="1">
        <f>SUM(I48/M48)*100</f>
        <v>0</v>
      </c>
      <c r="T48" s="1">
        <f>SUM(J48/M48)*100</f>
        <v>0</v>
      </c>
      <c r="U48" s="1">
        <f>SUM(K48/M48)*100</f>
        <v>0</v>
      </c>
      <c r="V48" s="1">
        <f>SUM(L48/M48)*100</f>
        <v>0</v>
      </c>
      <c r="W48" s="1" t="s">
        <v>184</v>
      </c>
      <c r="X48">
        <v>0</v>
      </c>
    </row>
    <row r="49" spans="1:32" x14ac:dyDescent="0.25">
      <c r="A49" t="s">
        <v>242</v>
      </c>
      <c r="B49" s="12">
        <v>148</v>
      </c>
      <c r="C49" t="s">
        <v>243</v>
      </c>
      <c r="D49" t="s">
        <v>244</v>
      </c>
      <c r="E49" s="1">
        <f>E47+E48</f>
        <v>29.61387866066606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f>E49*0.32</f>
        <v>9.4764411714131391</v>
      </c>
      <c r="M49" s="1">
        <f>SUM(E49:L49)</f>
        <v>39.090319832079203</v>
      </c>
      <c r="N49" s="1" t="s">
        <v>184</v>
      </c>
      <c r="O49" s="1">
        <f>(+E49/M49)*100</f>
        <v>75.757575757575751</v>
      </c>
      <c r="P49" s="1">
        <f>SUM(F49/M49)*100</f>
        <v>0</v>
      </c>
      <c r="Q49" s="1">
        <f>SUM(G49/M49)*100</f>
        <v>0</v>
      </c>
      <c r="R49" s="1">
        <f>SUM(H49/M49)*100</f>
        <v>0</v>
      </c>
      <c r="S49" s="1">
        <f>SUM(I49/M49)*100</f>
        <v>0</v>
      </c>
      <c r="T49" s="1">
        <f>SUM(J49/M49)*100</f>
        <v>0</v>
      </c>
      <c r="U49" s="1">
        <f>SUM(K49/M49)*100</f>
        <v>0</v>
      </c>
      <c r="V49" s="1">
        <f>SUM(L49/M49)*100</f>
        <v>24.242424242424239</v>
      </c>
      <c r="W49" s="1" t="s">
        <v>184</v>
      </c>
      <c r="X49">
        <v>0</v>
      </c>
    </row>
    <row r="50" spans="1:32" x14ac:dyDescent="0.25">
      <c r="A50" t="s">
        <v>245</v>
      </c>
      <c r="B50" s="12"/>
      <c r="D50" t="s">
        <v>246</v>
      </c>
      <c r="E50" s="49"/>
      <c r="F50" s="1"/>
      <c r="G50" s="1"/>
      <c r="H50" s="1"/>
      <c r="I50" s="1"/>
      <c r="J50" s="1"/>
      <c r="K50" s="1"/>
      <c r="L50" s="1"/>
      <c r="M50" s="1"/>
      <c r="N50" s="1" t="s">
        <v>184</v>
      </c>
      <c r="O50" s="1" t="s">
        <v>200</v>
      </c>
      <c r="P50" s="1" t="s">
        <v>200</v>
      </c>
      <c r="Q50" s="1" t="s">
        <v>200</v>
      </c>
      <c r="R50" s="1"/>
      <c r="S50" s="1"/>
      <c r="T50" s="1"/>
      <c r="U50" s="1"/>
      <c r="V50" s="1" t="s">
        <v>200</v>
      </c>
      <c r="W50" s="1" t="s">
        <v>184</v>
      </c>
      <c r="X50">
        <v>11.71</v>
      </c>
    </row>
    <row r="51" spans="1:32" x14ac:dyDescent="0.25">
      <c r="B51" s="12">
        <v>141</v>
      </c>
      <c r="C51" t="s">
        <v>247</v>
      </c>
      <c r="D51" t="s">
        <v>221</v>
      </c>
      <c r="E51" s="1">
        <v>0</v>
      </c>
      <c r="F51" s="1">
        <v>0</v>
      </c>
      <c r="G51" s="1">
        <v>0</v>
      </c>
      <c r="H51" s="1">
        <v>0</v>
      </c>
      <c r="I51" s="1">
        <v>0</v>
      </c>
      <c r="J51" s="1">
        <v>0</v>
      </c>
      <c r="K51" s="1">
        <v>0</v>
      </c>
      <c r="L51" s="46">
        <f>E52*0.37</f>
        <v>10.957135104446442</v>
      </c>
      <c r="M51" s="1">
        <f>SUM(E51:L51)</f>
        <v>10.957135104446442</v>
      </c>
      <c r="N51" s="1" t="s">
        <v>184</v>
      </c>
      <c r="O51" s="1">
        <f>(+E51/M51)*100</f>
        <v>0</v>
      </c>
      <c r="P51" s="1">
        <f>SUM(F51/M51)*100</f>
        <v>0</v>
      </c>
      <c r="Q51" s="1">
        <f>SUM(G51/M51)*100</f>
        <v>0</v>
      </c>
      <c r="R51" s="1">
        <f>SUM(H51/M51)*100</f>
        <v>0</v>
      </c>
      <c r="S51" s="1">
        <f>SUM(I51/M51)*100</f>
        <v>0</v>
      </c>
      <c r="T51" s="1">
        <f>SUM(J51/M51)*100</f>
        <v>0</v>
      </c>
      <c r="U51" s="1">
        <f>SUM(K51/M51)*100</f>
        <v>0</v>
      </c>
      <c r="V51" s="1">
        <f>SUM(L51/M51)*100</f>
        <v>100</v>
      </c>
      <c r="W51" s="1" t="s">
        <v>184</v>
      </c>
      <c r="X51">
        <v>0</v>
      </c>
    </row>
    <row r="52" spans="1:32" x14ac:dyDescent="0.25">
      <c r="B52" s="12">
        <v>143</v>
      </c>
      <c r="C52" t="s">
        <v>248</v>
      </c>
      <c r="D52" t="s">
        <v>197</v>
      </c>
      <c r="E52" s="1">
        <f>E49</f>
        <v>29.61387866066606</v>
      </c>
      <c r="F52" s="1">
        <v>0</v>
      </c>
      <c r="G52" s="1">
        <v>0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  <c r="M52" s="1">
        <f>SUM(E52:L52)</f>
        <v>29.61387866066606</v>
      </c>
      <c r="N52" s="1" t="s">
        <v>184</v>
      </c>
      <c r="O52" s="1">
        <f>(+E52/M52)*100</f>
        <v>100</v>
      </c>
      <c r="P52" s="1">
        <f>SUM(F52/M52)*100</f>
        <v>0</v>
      </c>
      <c r="Q52" s="1">
        <f>SUM(G52/M52)*100</f>
        <v>0</v>
      </c>
      <c r="R52" s="1">
        <f>SUM(H52/M52)*100</f>
        <v>0</v>
      </c>
      <c r="S52" s="1">
        <f>SUM(I52/M52)*100</f>
        <v>0</v>
      </c>
      <c r="T52" s="1">
        <f>SUM(J52/M52)*100</f>
        <v>0</v>
      </c>
      <c r="U52" s="1">
        <f>SUM(K52/M52)*100</f>
        <v>0</v>
      </c>
      <c r="V52" s="1">
        <f>SUM(L52/M52)*100</f>
        <v>0</v>
      </c>
      <c r="W52" s="1" t="s">
        <v>184</v>
      </c>
      <c r="X52">
        <v>11.71</v>
      </c>
      <c r="Y52">
        <f t="shared" ref="Y52:AF52" si="9">(+O52/100)*$X52</f>
        <v>11.71</v>
      </c>
      <c r="Z52">
        <f t="shared" si="9"/>
        <v>0</v>
      </c>
      <c r="AA52">
        <f t="shared" si="9"/>
        <v>0</v>
      </c>
      <c r="AB52">
        <f t="shared" si="9"/>
        <v>0</v>
      </c>
      <c r="AC52">
        <f t="shared" si="9"/>
        <v>0</v>
      </c>
      <c r="AD52">
        <f t="shared" si="9"/>
        <v>0</v>
      </c>
      <c r="AE52">
        <f t="shared" si="9"/>
        <v>0</v>
      </c>
      <c r="AF52">
        <f t="shared" si="9"/>
        <v>0</v>
      </c>
    </row>
    <row r="53" spans="1:32" x14ac:dyDescent="0.25">
      <c r="A53" t="s">
        <v>249</v>
      </c>
      <c r="B53" s="12"/>
      <c r="D53" t="s">
        <v>250</v>
      </c>
      <c r="E53" s="1"/>
      <c r="F53" s="1"/>
      <c r="G53" s="1"/>
      <c r="H53" s="1"/>
      <c r="I53" s="1"/>
      <c r="J53" s="1"/>
      <c r="K53" s="1"/>
      <c r="L53" s="1"/>
      <c r="M53" s="1"/>
      <c r="N53" s="1" t="s">
        <v>184</v>
      </c>
      <c r="O53" s="1" t="s">
        <v>200</v>
      </c>
      <c r="P53" s="1" t="s">
        <v>200</v>
      </c>
      <c r="Q53" s="1" t="s">
        <v>200</v>
      </c>
      <c r="R53" s="1"/>
      <c r="S53" s="1"/>
      <c r="T53" s="1"/>
      <c r="U53" s="1"/>
      <c r="V53" s="1" t="s">
        <v>200</v>
      </c>
      <c r="W53" s="1" t="s">
        <v>184</v>
      </c>
    </row>
    <row r="54" spans="1:32" x14ac:dyDescent="0.25">
      <c r="B54" s="12">
        <v>141</v>
      </c>
      <c r="C54" t="s">
        <v>251</v>
      </c>
      <c r="D54" t="s">
        <v>221</v>
      </c>
      <c r="E54" s="1">
        <v>0</v>
      </c>
      <c r="F54" s="1">
        <v>0</v>
      </c>
      <c r="G54" s="1">
        <v>0</v>
      </c>
      <c r="H54" s="1">
        <v>0</v>
      </c>
      <c r="I54" s="1">
        <v>0</v>
      </c>
      <c r="J54" s="1">
        <v>0</v>
      </c>
      <c r="K54" s="1">
        <v>0</v>
      </c>
      <c r="L54" s="46">
        <f>E55*0.52</f>
        <v>15.399216903546352</v>
      </c>
      <c r="M54" s="1">
        <f>SUM(E54:L54)</f>
        <v>15.399216903546352</v>
      </c>
      <c r="N54" s="1" t="s">
        <v>184</v>
      </c>
      <c r="O54" s="1">
        <f>(+E54/M54)*100</f>
        <v>0</v>
      </c>
      <c r="P54" s="1">
        <f>SUM(F54/M54)*100</f>
        <v>0</v>
      </c>
      <c r="Q54" s="1">
        <f>SUM(G54/M54)*100</f>
        <v>0</v>
      </c>
      <c r="R54" s="1">
        <f>SUM(H54/M54)*100</f>
        <v>0</v>
      </c>
      <c r="S54" s="1">
        <f>SUM(I54/M54)*100</f>
        <v>0</v>
      </c>
      <c r="T54" s="1">
        <f>SUM(J54/M54)*100</f>
        <v>0</v>
      </c>
      <c r="U54" s="1">
        <f>SUM(K54/M54)*100</f>
        <v>0</v>
      </c>
      <c r="V54" s="1">
        <f>SUM(L54/M54)*100</f>
        <v>100</v>
      </c>
      <c r="W54" s="1" t="s">
        <v>184</v>
      </c>
      <c r="X54">
        <v>0</v>
      </c>
    </row>
    <row r="55" spans="1:32" x14ac:dyDescent="0.25">
      <c r="B55" s="12">
        <v>143</v>
      </c>
      <c r="C55" t="s">
        <v>252</v>
      </c>
      <c r="D55" t="s">
        <v>197</v>
      </c>
      <c r="E55" s="1">
        <f>E52</f>
        <v>29.61387866066606</v>
      </c>
      <c r="F55" s="1">
        <v>0</v>
      </c>
      <c r="G55" s="1">
        <v>0</v>
      </c>
      <c r="H55" s="1">
        <v>0</v>
      </c>
      <c r="I55" s="1">
        <v>0</v>
      </c>
      <c r="J55" s="1">
        <v>0</v>
      </c>
      <c r="K55" s="1">
        <v>0</v>
      </c>
      <c r="L55" s="1">
        <v>0</v>
      </c>
      <c r="M55" s="1">
        <f>SUM(E55:L55)</f>
        <v>29.61387866066606</v>
      </c>
      <c r="N55" s="1" t="s">
        <v>184</v>
      </c>
      <c r="O55" s="1">
        <f>(+E55/M55)*100</f>
        <v>100</v>
      </c>
      <c r="P55" s="1">
        <f>SUM(F55/M55)*100</f>
        <v>0</v>
      </c>
      <c r="Q55" s="1">
        <f>SUM(G55/M55)*100</f>
        <v>0</v>
      </c>
      <c r="R55" s="1">
        <f>SUM(H55/M55)*100</f>
        <v>0</v>
      </c>
      <c r="S55" s="1">
        <f>SUM(I55/M55)*100</f>
        <v>0</v>
      </c>
      <c r="T55" s="1">
        <f>SUM(J55/M55)*100</f>
        <v>0</v>
      </c>
      <c r="U55" s="1">
        <f>SUM(K55/M55)*100</f>
        <v>0</v>
      </c>
      <c r="V55" s="1">
        <f>SUM(L55/M55)*100</f>
        <v>0</v>
      </c>
      <c r="W55" s="1" t="s">
        <v>184</v>
      </c>
      <c r="X55">
        <v>0</v>
      </c>
    </row>
    <row r="56" spans="1:32" x14ac:dyDescent="0.25">
      <c r="N56" s="1" t="s">
        <v>184</v>
      </c>
      <c r="W56" s="1" t="s">
        <v>184</v>
      </c>
    </row>
    <row r="57" spans="1:32" x14ac:dyDescent="0.25">
      <c r="A57" t="s">
        <v>253</v>
      </c>
      <c r="B57" s="12"/>
      <c r="D57" t="s">
        <v>254</v>
      </c>
      <c r="E57" s="1"/>
      <c r="F57" s="1"/>
      <c r="G57" s="1"/>
      <c r="H57" s="1"/>
      <c r="I57" s="1"/>
      <c r="J57" s="1"/>
      <c r="K57" s="1"/>
      <c r="L57" s="1"/>
      <c r="M57" s="1"/>
      <c r="N57" s="1" t="s">
        <v>184</v>
      </c>
      <c r="O57" s="1" t="s">
        <v>200</v>
      </c>
      <c r="P57" s="1" t="s">
        <v>200</v>
      </c>
      <c r="Q57" s="1" t="s">
        <v>200</v>
      </c>
      <c r="R57" s="1"/>
      <c r="S57" s="1"/>
      <c r="T57" s="1"/>
      <c r="U57" s="1"/>
      <c r="V57" s="1" t="s">
        <v>200</v>
      </c>
      <c r="W57" s="1" t="s">
        <v>184</v>
      </c>
    </row>
    <row r="58" spans="1:32" x14ac:dyDescent="0.25">
      <c r="B58" s="12">
        <v>141</v>
      </c>
      <c r="C58" t="s">
        <v>255</v>
      </c>
      <c r="D58" t="s">
        <v>221</v>
      </c>
      <c r="E58" s="1">
        <v>0</v>
      </c>
      <c r="F58" s="1">
        <v>0</v>
      </c>
      <c r="G58" s="1">
        <v>0</v>
      </c>
      <c r="H58" s="1">
        <v>0</v>
      </c>
      <c r="I58" s="1">
        <v>0</v>
      </c>
      <c r="J58" s="1">
        <v>0</v>
      </c>
      <c r="K58" s="1">
        <v>0</v>
      </c>
      <c r="L58" s="1">
        <f>E59*0.52</f>
        <v>15.399216903546352</v>
      </c>
      <c r="M58" s="1">
        <f>SUM(E58:L58)</f>
        <v>15.399216903546352</v>
      </c>
      <c r="N58" s="1" t="s">
        <v>184</v>
      </c>
      <c r="O58" s="1">
        <f>(+E58/M58)*100</f>
        <v>0</v>
      </c>
      <c r="P58" s="1">
        <f>SUM(F58/M58)*100</f>
        <v>0</v>
      </c>
      <c r="Q58" s="1">
        <f>SUM(G58/M58)*100</f>
        <v>0</v>
      </c>
      <c r="R58" s="1">
        <f>SUM(H58/M58)*100</f>
        <v>0</v>
      </c>
      <c r="S58" s="1">
        <f>SUM(I58/M58)*100</f>
        <v>0</v>
      </c>
      <c r="T58" s="1">
        <f>SUM(J58/M58)*100</f>
        <v>0</v>
      </c>
      <c r="U58" s="1">
        <f>SUM(K58/M58)*100</f>
        <v>0</v>
      </c>
      <c r="V58" s="1">
        <f>SUM(L58/M58)*100</f>
        <v>100</v>
      </c>
      <c r="W58" s="1" t="s">
        <v>184</v>
      </c>
      <c r="X58">
        <v>0</v>
      </c>
    </row>
    <row r="59" spans="1:32" x14ac:dyDescent="0.25">
      <c r="B59" s="12">
        <v>143</v>
      </c>
      <c r="C59" t="s">
        <v>256</v>
      </c>
      <c r="D59" t="s">
        <v>197</v>
      </c>
      <c r="E59" s="1">
        <f>E55</f>
        <v>29.61387866066606</v>
      </c>
      <c r="F59" s="1">
        <v>0</v>
      </c>
      <c r="G59" s="1">
        <v>0</v>
      </c>
      <c r="H59" s="1">
        <v>0</v>
      </c>
      <c r="I59" s="1">
        <v>0</v>
      </c>
      <c r="J59" s="1">
        <v>0</v>
      </c>
      <c r="K59" s="1">
        <v>0</v>
      </c>
      <c r="L59" s="1">
        <v>0</v>
      </c>
      <c r="M59" s="1">
        <f>SUM(E59:L59)</f>
        <v>29.61387866066606</v>
      </c>
      <c r="N59" s="1" t="s">
        <v>184</v>
      </c>
      <c r="O59" s="1">
        <f>(+E59/M59)*100</f>
        <v>100</v>
      </c>
      <c r="P59" s="1">
        <f>SUM(F59/M59)*100</f>
        <v>0</v>
      </c>
      <c r="Q59" s="1">
        <f>SUM(G59/M59)*100</f>
        <v>0</v>
      </c>
      <c r="R59" s="1">
        <f>SUM(H59/M59)*100</f>
        <v>0</v>
      </c>
      <c r="S59" s="1">
        <f>SUM(I59/M59)*100</f>
        <v>0</v>
      </c>
      <c r="T59" s="1">
        <f>SUM(J59/M59)*100</f>
        <v>0</v>
      </c>
      <c r="U59" s="1">
        <f>SUM(K59/M59)*100</f>
        <v>0</v>
      </c>
      <c r="V59" s="1">
        <f>SUM(L59/M59)*100</f>
        <v>0</v>
      </c>
      <c r="W59" s="1" t="s">
        <v>184</v>
      </c>
      <c r="X59">
        <v>0</v>
      </c>
    </row>
    <row r="60" spans="1:32" x14ac:dyDescent="0.25">
      <c r="A60" t="s">
        <v>257</v>
      </c>
      <c r="B60" s="12">
        <v>149</v>
      </c>
      <c r="C60" t="s">
        <v>258</v>
      </c>
      <c r="D60" t="s">
        <v>259</v>
      </c>
      <c r="E60" s="1">
        <f>E59</f>
        <v>29.61387866066606</v>
      </c>
      <c r="F60" s="1">
        <v>0</v>
      </c>
      <c r="G60" s="1">
        <v>0</v>
      </c>
      <c r="H60" s="1">
        <v>0</v>
      </c>
      <c r="I60" s="1">
        <v>0</v>
      </c>
      <c r="J60" s="1">
        <v>0</v>
      </c>
      <c r="K60" s="1">
        <v>0</v>
      </c>
      <c r="L60" s="46">
        <f>E60*0.85</f>
        <v>25.17179686156615</v>
      </c>
      <c r="M60" s="1">
        <f>SUM(E60:L60)</f>
        <v>54.785675522232211</v>
      </c>
      <c r="N60" s="1" t="s">
        <v>184</v>
      </c>
      <c r="O60" s="1">
        <f>(+E60/M60)*100</f>
        <v>54.054054054054056</v>
      </c>
      <c r="P60" s="1">
        <f>SUM(F60/M60)*100</f>
        <v>0</v>
      </c>
      <c r="Q60" s="1">
        <f>SUM(G60/M60)*100</f>
        <v>0</v>
      </c>
      <c r="R60" s="1">
        <f>SUM(H60/M60)*100</f>
        <v>0</v>
      </c>
      <c r="S60" s="1">
        <f>SUM(I60/M60)*100</f>
        <v>0</v>
      </c>
      <c r="T60" s="1">
        <f>SUM(J60/M60)*100</f>
        <v>0</v>
      </c>
      <c r="U60" s="1">
        <f>SUM(K60/M60)*100</f>
        <v>0</v>
      </c>
      <c r="V60" s="1">
        <f>SUM(L60/M60)*100</f>
        <v>45.945945945945944</v>
      </c>
      <c r="W60" s="1" t="s">
        <v>184</v>
      </c>
      <c r="X60">
        <v>0</v>
      </c>
    </row>
    <row r="61" spans="1:32" x14ac:dyDescent="0.25">
      <c r="A61" t="s">
        <v>260</v>
      </c>
      <c r="B61" s="12"/>
      <c r="D61" t="s">
        <v>261</v>
      </c>
      <c r="E61" s="1"/>
      <c r="F61" s="1"/>
      <c r="G61" s="1"/>
      <c r="H61" s="1"/>
      <c r="I61" s="1"/>
      <c r="J61" s="1"/>
      <c r="K61" s="1"/>
      <c r="L61" s="1"/>
      <c r="M61" s="1"/>
      <c r="N61" s="1" t="s">
        <v>184</v>
      </c>
      <c r="O61" s="1" t="s">
        <v>200</v>
      </c>
      <c r="P61" s="1" t="s">
        <v>200</v>
      </c>
      <c r="Q61" s="1" t="s">
        <v>200</v>
      </c>
      <c r="R61" s="1"/>
      <c r="S61" s="1"/>
      <c r="T61" s="1"/>
      <c r="U61" s="1"/>
      <c r="V61" s="1" t="s">
        <v>200</v>
      </c>
      <c r="W61" s="1" t="s">
        <v>184</v>
      </c>
    </row>
    <row r="62" spans="1:32" x14ac:dyDescent="0.25">
      <c r="B62" s="12">
        <v>150</v>
      </c>
      <c r="C62" t="s">
        <v>262</v>
      </c>
      <c r="D62" t="s">
        <v>221</v>
      </c>
      <c r="E62" s="1">
        <f>E60</f>
        <v>29.61387866066606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  <c r="K62" s="1">
        <v>0</v>
      </c>
      <c r="L62" s="64">
        <f>(+E62*0.85)+(+E185/365)</f>
        <v>31.323851656086699</v>
      </c>
      <c r="M62" s="1">
        <f>SUM(E62:L62)</f>
        <v>60.937730316752763</v>
      </c>
      <c r="N62" s="1" t="s">
        <v>184</v>
      </c>
      <c r="O62" s="1">
        <f>(+E62/M62)*100</f>
        <v>48.596950537432029</v>
      </c>
      <c r="P62" s="1">
        <f>SUM(F62/M62)*100</f>
        <v>0</v>
      </c>
      <c r="Q62" s="1">
        <f>SUM(G62/M62)*100</f>
        <v>0</v>
      </c>
      <c r="R62" s="1">
        <f>SUM(H62/M62)*100</f>
        <v>0</v>
      </c>
      <c r="S62" s="1">
        <f>SUM(I62/M62)*100</f>
        <v>0</v>
      </c>
      <c r="T62" s="1">
        <f>SUM(J62/M62)*100</f>
        <v>0</v>
      </c>
      <c r="U62" s="1">
        <f>SUM(K62/M62)*100</f>
        <v>0</v>
      </c>
      <c r="V62" s="1">
        <f>SUM(L62/M62)*100</f>
        <v>51.403049462567971</v>
      </c>
      <c r="W62" s="1" t="s">
        <v>184</v>
      </c>
      <c r="X62">
        <f>133.2+86.44</f>
        <v>219.64</v>
      </c>
      <c r="Y62">
        <f t="shared" ref="Y62:AF63" si="10">(+O62/100)*$X62</f>
        <v>106.7383421604157</v>
      </c>
      <c r="Z62">
        <f t="shared" si="10"/>
        <v>0</v>
      </c>
      <c r="AA62">
        <f t="shared" si="10"/>
        <v>0</v>
      </c>
      <c r="AB62">
        <f t="shared" si="10"/>
        <v>0</v>
      </c>
      <c r="AC62">
        <f t="shared" si="10"/>
        <v>0</v>
      </c>
      <c r="AD62">
        <f t="shared" si="10"/>
        <v>0</v>
      </c>
      <c r="AE62">
        <f t="shared" si="10"/>
        <v>0</v>
      </c>
      <c r="AF62">
        <f t="shared" si="10"/>
        <v>112.90165783958429</v>
      </c>
    </row>
    <row r="63" spans="1:32" x14ac:dyDescent="0.25">
      <c r="B63" s="12">
        <v>151</v>
      </c>
      <c r="C63" t="s">
        <v>263</v>
      </c>
      <c r="D63" t="s">
        <v>197</v>
      </c>
      <c r="E63" s="1" t="e">
        <f>E31</f>
        <v>#REF!</v>
      </c>
      <c r="F63" s="1" t="e">
        <f>F$10+F$25</f>
        <v>#REF!</v>
      </c>
      <c r="G63" s="1" t="e">
        <f>G$10</f>
        <v>#REF!</v>
      </c>
      <c r="H63" s="1" t="e">
        <f>H$10</f>
        <v>#REF!</v>
      </c>
      <c r="I63" s="1" t="e">
        <f>I$10</f>
        <v>#REF!</v>
      </c>
      <c r="J63" s="1">
        <f>J$10</f>
        <v>1.3032600000000004E-2</v>
      </c>
      <c r="K63" s="1">
        <f>K$10</f>
        <v>4.9841999999999997E-2</v>
      </c>
      <c r="L63" s="46" t="e">
        <f>E63*0.19</f>
        <v>#REF!</v>
      </c>
      <c r="M63" s="1" t="e">
        <f>SUM(E63:L63)</f>
        <v>#REF!</v>
      </c>
      <c r="N63" s="1" t="s">
        <v>184</v>
      </c>
      <c r="O63" s="1" t="e">
        <f>(+E63/M63)*100</f>
        <v>#REF!</v>
      </c>
      <c r="P63" s="1" t="e">
        <f>SUM(F63/M63)*100</f>
        <v>#REF!</v>
      </c>
      <c r="Q63" s="1" t="e">
        <f>SUM(G63/M63)*100</f>
        <v>#REF!</v>
      </c>
      <c r="R63" s="1" t="e">
        <f>SUM(H63/M63)*100</f>
        <v>#REF!</v>
      </c>
      <c r="S63" s="1" t="e">
        <f>SUM(I63/M63)*100</f>
        <v>#REF!</v>
      </c>
      <c r="T63" s="1" t="e">
        <f>SUM(J63/M63)*100</f>
        <v>#REF!</v>
      </c>
      <c r="U63" s="1" t="e">
        <f>SUM(K63/M63)*100</f>
        <v>#REF!</v>
      </c>
      <c r="V63" s="1" t="e">
        <f>SUM(L63/M63)*100</f>
        <v>#REF!</v>
      </c>
      <c r="W63" s="1" t="s">
        <v>184</v>
      </c>
      <c r="X63">
        <f>207.76+134.82</f>
        <v>342.58</v>
      </c>
      <c r="Y63" t="e">
        <f t="shared" si="10"/>
        <v>#REF!</v>
      </c>
      <c r="Z63" t="e">
        <f t="shared" si="10"/>
        <v>#REF!</v>
      </c>
      <c r="AA63" t="e">
        <f t="shared" si="10"/>
        <v>#REF!</v>
      </c>
      <c r="AB63" t="e">
        <f t="shared" si="10"/>
        <v>#REF!</v>
      </c>
      <c r="AC63" t="e">
        <f t="shared" si="10"/>
        <v>#REF!</v>
      </c>
      <c r="AD63" t="e">
        <f t="shared" si="10"/>
        <v>#REF!</v>
      </c>
      <c r="AE63" t="e">
        <f t="shared" si="10"/>
        <v>#REF!</v>
      </c>
      <c r="AF63" t="e">
        <f t="shared" si="10"/>
        <v>#REF!</v>
      </c>
    </row>
    <row r="64" spans="1:32" x14ac:dyDescent="0.25">
      <c r="B64" s="12"/>
      <c r="E64" s="1"/>
      <c r="F64" s="1"/>
      <c r="G64" s="1"/>
      <c r="H64" s="1"/>
      <c r="I64" s="1"/>
      <c r="J64" s="1"/>
      <c r="K64" s="1"/>
      <c r="L64" s="1"/>
      <c r="M64" s="1"/>
      <c r="N64" s="1" t="s">
        <v>184</v>
      </c>
      <c r="O64" s="1" t="s">
        <v>200</v>
      </c>
      <c r="P64" s="1" t="s">
        <v>200</v>
      </c>
      <c r="Q64" s="1" t="s">
        <v>200</v>
      </c>
      <c r="R64" s="1"/>
      <c r="S64" s="1"/>
      <c r="T64" s="1"/>
      <c r="U64" s="1"/>
      <c r="V64" s="1" t="s">
        <v>200</v>
      </c>
      <c r="W64" s="1" t="s">
        <v>184</v>
      </c>
    </row>
    <row r="65" spans="1:32" x14ac:dyDescent="0.25">
      <c r="B65" s="12"/>
      <c r="D65" t="s">
        <v>264</v>
      </c>
      <c r="F65" s="1"/>
      <c r="G65" s="1"/>
      <c r="H65" s="1"/>
      <c r="I65" s="1"/>
      <c r="J65" s="1"/>
      <c r="K65" s="1"/>
      <c r="L65" s="1"/>
      <c r="M65" s="1"/>
      <c r="N65" s="1" t="s">
        <v>184</v>
      </c>
      <c r="O65" s="1" t="s">
        <v>200</v>
      </c>
      <c r="P65" s="1" t="s">
        <v>200</v>
      </c>
      <c r="Q65" s="1" t="s">
        <v>200</v>
      </c>
      <c r="R65" s="1"/>
      <c r="S65" s="1"/>
      <c r="T65" s="1"/>
      <c r="U65" s="1"/>
      <c r="V65" s="1" t="s">
        <v>200</v>
      </c>
      <c r="W65" s="1" t="s">
        <v>184</v>
      </c>
    </row>
    <row r="66" spans="1:32" x14ac:dyDescent="0.25">
      <c r="B66" s="12"/>
      <c r="E66" s="1"/>
      <c r="F66" s="1"/>
      <c r="G66" s="1"/>
      <c r="H66" s="1"/>
      <c r="I66" s="1"/>
      <c r="J66" s="1"/>
      <c r="K66" s="1"/>
      <c r="L66" s="1"/>
      <c r="M66" s="1"/>
      <c r="N66" s="1" t="s">
        <v>184</v>
      </c>
      <c r="O66" s="1" t="s">
        <v>200</v>
      </c>
      <c r="P66" s="1" t="s">
        <v>200</v>
      </c>
      <c r="Q66" s="1" t="s">
        <v>200</v>
      </c>
      <c r="R66" s="1"/>
      <c r="S66" s="1"/>
      <c r="T66" s="1"/>
      <c r="U66" s="1"/>
      <c r="V66" s="1" t="s">
        <v>200</v>
      </c>
      <c r="W66" s="1" t="s">
        <v>184</v>
      </c>
    </row>
    <row r="67" spans="1:32" x14ac:dyDescent="0.25">
      <c r="A67" t="s">
        <v>265</v>
      </c>
      <c r="B67" s="12">
        <v>181</v>
      </c>
      <c r="C67" t="s">
        <v>266</v>
      </c>
      <c r="D67" t="s">
        <v>267</v>
      </c>
      <c r="E67" s="1" t="e">
        <f>E$62+E$63+0.184</f>
        <v>#REF!</v>
      </c>
      <c r="F67" s="1" t="e">
        <f>F$10+F$25</f>
        <v>#REF!</v>
      </c>
      <c r="G67" s="1" t="e">
        <f>G$10</f>
        <v>#REF!</v>
      </c>
      <c r="H67" s="1" t="e">
        <f>H$10</f>
        <v>#REF!</v>
      </c>
      <c r="I67" s="1" t="e">
        <f>I$10</f>
        <v>#REF!</v>
      </c>
      <c r="J67" s="1">
        <f>J$10</f>
        <v>1.3032600000000004E-2</v>
      </c>
      <c r="K67" s="1">
        <f>K$10</f>
        <v>4.9841999999999997E-2</v>
      </c>
      <c r="L67" s="1" t="e">
        <f>M67-SUM(E67:K67)</f>
        <v>#REF!</v>
      </c>
      <c r="M67" s="38">
        <f>J182</f>
        <v>125.34536986301369</v>
      </c>
      <c r="N67" s="1" t="s">
        <v>184</v>
      </c>
      <c r="O67" s="1" t="e">
        <f>(+E67/M67)*100</f>
        <v>#REF!</v>
      </c>
      <c r="P67" s="1" t="e">
        <f>SUM(F67/M67)*100</f>
        <v>#REF!</v>
      </c>
      <c r="Q67" s="1" t="e">
        <f>SUM(G67/M67)*100</f>
        <v>#REF!</v>
      </c>
      <c r="R67" s="1" t="e">
        <f>SUM(H67/M67)*100</f>
        <v>#REF!</v>
      </c>
      <c r="S67" s="1" t="e">
        <f>SUM(I67/M67)*100</f>
        <v>#REF!</v>
      </c>
      <c r="T67" s="1">
        <f>SUM(J67/M67)*100</f>
        <v>1.0397352542214328E-2</v>
      </c>
      <c r="U67" s="1">
        <f>SUM(K67/M67)*100</f>
        <v>3.9763734435879737E-2</v>
      </c>
      <c r="V67" s="1" t="e">
        <f>SUM(L67/M67)*100</f>
        <v>#REF!</v>
      </c>
      <c r="W67" s="1" t="s">
        <v>184</v>
      </c>
      <c r="X67">
        <v>0.71</v>
      </c>
      <c r="Y67" t="e">
        <f t="shared" ref="Y67:AF67" si="11">(+O67/100)*$X67</f>
        <v>#REF!</v>
      </c>
      <c r="Z67" t="e">
        <f t="shared" si="11"/>
        <v>#REF!</v>
      </c>
      <c r="AA67" t="e">
        <f t="shared" si="11"/>
        <v>#REF!</v>
      </c>
      <c r="AB67" t="e">
        <f t="shared" si="11"/>
        <v>#REF!</v>
      </c>
      <c r="AC67" t="e">
        <f t="shared" si="11"/>
        <v>#REF!</v>
      </c>
      <c r="AD67">
        <f t="shared" si="11"/>
        <v>7.3821203049721727E-5</v>
      </c>
      <c r="AE67">
        <f t="shared" si="11"/>
        <v>2.8232251449474612E-4</v>
      </c>
      <c r="AF67" t="e">
        <f t="shared" si="11"/>
        <v>#REF!</v>
      </c>
    </row>
    <row r="68" spans="1:32" x14ac:dyDescent="0.25">
      <c r="B68" s="12"/>
      <c r="N68" s="1" t="s">
        <v>184</v>
      </c>
      <c r="W68" s="1" t="s">
        <v>184</v>
      </c>
    </row>
    <row r="69" spans="1:32" x14ac:dyDescent="0.25">
      <c r="B69" s="12"/>
      <c r="D69" t="s">
        <v>268</v>
      </c>
      <c r="N69" s="1" t="s">
        <v>184</v>
      </c>
      <c r="W69" s="1" t="s">
        <v>184</v>
      </c>
    </row>
    <row r="70" spans="1:32" x14ac:dyDescent="0.25">
      <c r="B70" s="12"/>
      <c r="N70" s="1" t="s">
        <v>184</v>
      </c>
      <c r="W70" s="1" t="s">
        <v>184</v>
      </c>
    </row>
    <row r="71" spans="1:32" x14ac:dyDescent="0.25">
      <c r="B71" s="12"/>
      <c r="C71" t="s">
        <v>269</v>
      </c>
      <c r="D71" t="s">
        <v>270</v>
      </c>
      <c r="E71" s="1">
        <f>E121</f>
        <v>0.69844844829521147</v>
      </c>
      <c r="F71" s="1">
        <v>0</v>
      </c>
      <c r="G71" s="1">
        <v>0</v>
      </c>
      <c r="H71" s="1">
        <v>0</v>
      </c>
      <c r="I71" s="1">
        <v>0</v>
      </c>
      <c r="J71" s="1">
        <v>0</v>
      </c>
      <c r="K71" s="1">
        <v>0</v>
      </c>
      <c r="L71" s="1">
        <f>M71-E71</f>
        <v>0.30326207722225729</v>
      </c>
      <c r="M71" s="38">
        <f>(+M121+(+E186/365))/2</f>
        <v>1.0017105255174688</v>
      </c>
      <c r="N71" s="1" t="s">
        <v>184</v>
      </c>
      <c r="O71" s="1">
        <f>(+E71/M71)*100</f>
        <v>69.725577450072549</v>
      </c>
      <c r="P71" s="1">
        <f>SUM(F71/M71)*100</f>
        <v>0</v>
      </c>
      <c r="Q71" s="1">
        <f>SUM(G71/M71)*100</f>
        <v>0</v>
      </c>
      <c r="R71" s="1">
        <f>SUM(H71/M71)*100</f>
        <v>0</v>
      </c>
      <c r="S71" s="1">
        <f>SUM(I71/M71)*100</f>
        <v>0</v>
      </c>
      <c r="T71" s="1">
        <f>SUM(J71/M71)*100</f>
        <v>0</v>
      </c>
      <c r="U71" s="1">
        <f>SUM(K71/M71)*100</f>
        <v>0</v>
      </c>
      <c r="V71" s="1">
        <f>SUM(L71/M71)*100</f>
        <v>30.274422549927451</v>
      </c>
      <c r="W71" s="1" t="s">
        <v>184</v>
      </c>
    </row>
    <row r="72" spans="1:32" x14ac:dyDescent="0.25">
      <c r="B72" s="12"/>
      <c r="E72" s="1"/>
      <c r="F72" s="1"/>
      <c r="G72" s="1"/>
      <c r="H72" s="1"/>
      <c r="I72" s="1"/>
      <c r="J72" s="1"/>
      <c r="K72" s="1"/>
      <c r="L72" s="1"/>
      <c r="M72" s="1"/>
      <c r="N72" s="1" t="s">
        <v>184</v>
      </c>
      <c r="O72" s="1"/>
      <c r="P72" s="1"/>
      <c r="Q72" s="1"/>
      <c r="R72" s="1"/>
      <c r="S72" s="1"/>
      <c r="T72" s="1"/>
      <c r="U72" s="1"/>
      <c r="V72" s="1"/>
      <c r="W72" s="1" t="s">
        <v>184</v>
      </c>
    </row>
    <row r="73" spans="1:32" x14ac:dyDescent="0.25">
      <c r="B73" s="12"/>
      <c r="D73" t="s">
        <v>271</v>
      </c>
      <c r="E73" s="1"/>
      <c r="F73" s="1"/>
      <c r="G73" s="1"/>
      <c r="H73" s="1"/>
      <c r="I73" s="1"/>
      <c r="J73" s="1"/>
      <c r="K73" s="1"/>
      <c r="L73" s="1"/>
      <c r="M73" s="1"/>
      <c r="N73" s="1" t="s">
        <v>184</v>
      </c>
      <c r="O73" s="1" t="s">
        <v>200</v>
      </c>
      <c r="P73" s="1" t="s">
        <v>200</v>
      </c>
      <c r="Q73" s="1" t="s">
        <v>200</v>
      </c>
      <c r="R73" s="1"/>
      <c r="S73" s="1"/>
      <c r="T73" s="1"/>
      <c r="U73" s="1"/>
      <c r="V73" s="1" t="s">
        <v>200</v>
      </c>
      <c r="W73" s="1" t="s">
        <v>184</v>
      </c>
    </row>
    <row r="74" spans="1:32" x14ac:dyDescent="0.25">
      <c r="B74" s="12"/>
      <c r="F74" s="1"/>
      <c r="G74" s="1"/>
      <c r="H74" s="1"/>
      <c r="I74" s="1"/>
      <c r="J74" s="1"/>
      <c r="K74" s="1"/>
      <c r="L74" s="1"/>
      <c r="M74" s="1"/>
      <c r="N74" s="1" t="s">
        <v>184</v>
      </c>
      <c r="O74" s="1" t="s">
        <v>200</v>
      </c>
      <c r="P74" s="1" t="s">
        <v>200</v>
      </c>
      <c r="Q74" s="1" t="s">
        <v>200</v>
      </c>
      <c r="R74" s="1"/>
      <c r="S74" s="1"/>
      <c r="T74" s="1"/>
      <c r="U74" s="1"/>
      <c r="V74" s="1" t="s">
        <v>200</v>
      </c>
      <c r="W74" s="1" t="s">
        <v>184</v>
      </c>
    </row>
    <row r="75" spans="1:32" x14ac:dyDescent="0.25">
      <c r="A75" t="s">
        <v>272</v>
      </c>
      <c r="B75" s="12">
        <v>201</v>
      </c>
      <c r="C75" t="s">
        <v>273</v>
      </c>
      <c r="D75" t="s">
        <v>274</v>
      </c>
      <c r="E75" s="1">
        <f>E71+YR_HC_RPT!$R$118+YR_HC_RPT!$R$91</f>
        <v>1.3514145441856225</v>
      </c>
      <c r="F75" s="1">
        <v>0</v>
      </c>
      <c r="G75" s="1">
        <v>0</v>
      </c>
      <c r="H75" s="1">
        <v>0</v>
      </c>
      <c r="I75" s="1">
        <v>0</v>
      </c>
      <c r="J75" s="1">
        <v>0</v>
      </c>
      <c r="K75" s="1">
        <v>0</v>
      </c>
      <c r="L75" s="1">
        <f>M75-E75</f>
        <v>7.0468594284171164</v>
      </c>
      <c r="M75" s="38">
        <f>((+E183+E186)/365)/2</f>
        <v>8.3982739726027393</v>
      </c>
      <c r="N75" s="1" t="s">
        <v>184</v>
      </c>
      <c r="O75" s="1">
        <f>SUM(E75/M75)*100</f>
        <v>16.091574871149394</v>
      </c>
      <c r="P75" s="1">
        <f>SUM(F75/M75)*100</f>
        <v>0</v>
      </c>
      <c r="Q75" s="1">
        <f>SUM(G75/M75)*100</f>
        <v>0</v>
      </c>
      <c r="R75" s="1">
        <f>SUM(H75/M75)*100</f>
        <v>0</v>
      </c>
      <c r="S75" s="1">
        <f>SUM(I75/M75)*100</f>
        <v>0</v>
      </c>
      <c r="T75" s="1">
        <f>SUM(J75/M75)*100</f>
        <v>0</v>
      </c>
      <c r="U75" s="1">
        <f>SUM(K75/M75)*100</f>
        <v>0</v>
      </c>
      <c r="V75" s="1">
        <f>SUM(L75/M75)*100</f>
        <v>83.908425128850595</v>
      </c>
      <c r="W75" s="1" t="s">
        <v>184</v>
      </c>
      <c r="X75">
        <f>85.38+11.11+32.93</f>
        <v>129.41999999999999</v>
      </c>
    </row>
    <row r="76" spans="1:32" x14ac:dyDescent="0.25">
      <c r="B76" s="12"/>
      <c r="E76" s="1"/>
      <c r="F76" s="1"/>
      <c r="G76" s="1"/>
      <c r="H76" s="1"/>
      <c r="I76" s="1"/>
      <c r="J76" s="1"/>
      <c r="K76" s="1"/>
      <c r="L76" s="1"/>
      <c r="M76" s="1"/>
      <c r="N76" s="1" t="s">
        <v>184</v>
      </c>
      <c r="O76" s="1" t="s">
        <v>200</v>
      </c>
      <c r="P76" s="1" t="s">
        <v>200</v>
      </c>
      <c r="Q76" s="1" t="s">
        <v>200</v>
      </c>
      <c r="R76" s="1"/>
      <c r="S76" s="1"/>
      <c r="T76" s="1"/>
      <c r="U76" s="1"/>
      <c r="V76" s="1" t="s">
        <v>200</v>
      </c>
      <c r="W76" s="1" t="s">
        <v>184</v>
      </c>
    </row>
    <row r="77" spans="1:32" x14ac:dyDescent="0.25">
      <c r="A77" t="s">
        <v>275</v>
      </c>
      <c r="B77" s="12"/>
      <c r="C77" t="s">
        <v>190</v>
      </c>
      <c r="D77" t="s">
        <v>276</v>
      </c>
      <c r="E77" s="1"/>
      <c r="F77" s="1"/>
      <c r="G77" s="1"/>
      <c r="H77" s="1"/>
      <c r="I77" s="1"/>
      <c r="J77" s="1"/>
      <c r="L77" s="1"/>
      <c r="M77" s="1"/>
      <c r="N77" s="1" t="s">
        <v>184</v>
      </c>
      <c r="O77" s="1" t="s">
        <v>200</v>
      </c>
      <c r="P77" s="1" t="s">
        <v>200</v>
      </c>
      <c r="Q77" s="1" t="s">
        <v>200</v>
      </c>
      <c r="R77" s="1"/>
      <c r="S77" s="1"/>
      <c r="T77" s="1"/>
      <c r="U77" s="1"/>
      <c r="V77" s="1" t="s">
        <v>200</v>
      </c>
      <c r="W77" s="1" t="s">
        <v>184</v>
      </c>
    </row>
    <row r="78" spans="1:32" x14ac:dyDescent="0.25">
      <c r="B78" s="12"/>
      <c r="E78" s="1"/>
      <c r="F78" s="1"/>
      <c r="G78" s="1"/>
      <c r="H78" s="1"/>
      <c r="I78" s="1"/>
      <c r="J78" s="1"/>
      <c r="K78" s="1"/>
      <c r="L78" s="1"/>
      <c r="M78" s="1"/>
      <c r="N78" s="1" t="s">
        <v>184</v>
      </c>
      <c r="O78" s="1" t="s">
        <v>200</v>
      </c>
      <c r="P78" s="1" t="s">
        <v>200</v>
      </c>
      <c r="Q78" s="1" t="s">
        <v>200</v>
      </c>
      <c r="R78" s="1"/>
      <c r="S78" s="1"/>
      <c r="T78" s="1"/>
      <c r="U78" s="1"/>
      <c r="V78" s="1" t="s">
        <v>200</v>
      </c>
      <c r="W78" s="1" t="s">
        <v>184</v>
      </c>
    </row>
    <row r="79" spans="1:32" x14ac:dyDescent="0.25">
      <c r="A79" t="s">
        <v>277</v>
      </c>
      <c r="B79" s="12">
        <v>211</v>
      </c>
      <c r="C79" t="s">
        <v>278</v>
      </c>
      <c r="D79" t="s">
        <v>279</v>
      </c>
      <c r="E79" s="1">
        <f>E127</f>
        <v>56.519958854396826</v>
      </c>
      <c r="F79" s="1">
        <v>0</v>
      </c>
      <c r="G79" s="1">
        <v>0</v>
      </c>
      <c r="H79" s="1">
        <v>0</v>
      </c>
      <c r="I79" s="1">
        <v>0</v>
      </c>
      <c r="J79" s="1">
        <v>0</v>
      </c>
      <c r="K79" s="1">
        <v>0</v>
      </c>
      <c r="L79" s="65">
        <f>L127</f>
        <v>1.2837083179022089</v>
      </c>
      <c r="M79" s="1">
        <f>M127</f>
        <v>57.803667172299036</v>
      </c>
      <c r="N79" s="1" t="s">
        <v>184</v>
      </c>
      <c r="O79" s="1">
        <f>SUM(E79/M79)*100</f>
        <v>97.779192254228818</v>
      </c>
      <c r="P79" s="1">
        <f>SUM(F79/M79)*100</f>
        <v>0</v>
      </c>
      <c r="Q79" s="1">
        <f>SUM(G79/M79)*100</f>
        <v>0</v>
      </c>
      <c r="R79" s="1">
        <f>SUM(H79/M79)*100</f>
        <v>0</v>
      </c>
      <c r="S79" s="1">
        <f>SUM(I79/M79)*100</f>
        <v>0</v>
      </c>
      <c r="T79" s="1">
        <f>SUM(J79/M79)*100</f>
        <v>0</v>
      </c>
      <c r="U79" s="1">
        <f>SUM(K79/M79)*100</f>
        <v>0</v>
      </c>
      <c r="V79" s="1">
        <f>SUM(L79/M79)*100</f>
        <v>2.2208077457711783</v>
      </c>
      <c r="W79" s="1" t="s">
        <v>184</v>
      </c>
      <c r="X79">
        <v>6980.66</v>
      </c>
      <c r="Y79">
        <f t="shared" ref="Y79:AF79" si="12">(+O79/100)*$X79</f>
        <v>6825.6329620140496</v>
      </c>
      <c r="Z79">
        <f t="shared" si="12"/>
        <v>0</v>
      </c>
      <c r="AA79">
        <f t="shared" si="12"/>
        <v>0</v>
      </c>
      <c r="AB79">
        <f t="shared" si="12"/>
        <v>0</v>
      </c>
      <c r="AC79">
        <f t="shared" si="12"/>
        <v>0</v>
      </c>
      <c r="AD79">
        <f t="shared" si="12"/>
        <v>0</v>
      </c>
      <c r="AE79">
        <f t="shared" si="12"/>
        <v>0</v>
      </c>
      <c r="AF79">
        <f t="shared" si="12"/>
        <v>155.02703798595036</v>
      </c>
    </row>
    <row r="80" spans="1:32" x14ac:dyDescent="0.25">
      <c r="B80" s="12"/>
      <c r="E80" s="1"/>
      <c r="F80" s="1"/>
      <c r="G80" s="1"/>
      <c r="H80" s="1"/>
      <c r="I80" s="1"/>
      <c r="J80" s="1"/>
      <c r="K80" s="1"/>
      <c r="L80" s="1"/>
      <c r="M80" s="1"/>
      <c r="N80" s="1" t="s">
        <v>184</v>
      </c>
      <c r="O80" s="1" t="s">
        <v>200</v>
      </c>
      <c r="P80" s="1" t="s">
        <v>200</v>
      </c>
      <c r="Q80" s="1" t="s">
        <v>200</v>
      </c>
      <c r="R80" s="1"/>
      <c r="S80" s="1"/>
      <c r="T80" s="1"/>
      <c r="U80" s="1"/>
      <c r="V80" s="1" t="s">
        <v>200</v>
      </c>
      <c r="W80" s="1" t="s">
        <v>184</v>
      </c>
    </row>
    <row r="81" spans="1:32" x14ac:dyDescent="0.25">
      <c r="A81" t="s">
        <v>280</v>
      </c>
      <c r="B81" s="12">
        <v>212</v>
      </c>
      <c r="C81" t="s">
        <v>281</v>
      </c>
      <c r="D81" t="s">
        <v>282</v>
      </c>
      <c r="E81" s="1">
        <f>E79</f>
        <v>56.519958854396826</v>
      </c>
      <c r="F81" s="1">
        <v>0</v>
      </c>
      <c r="G81" s="1">
        <v>0</v>
      </c>
      <c r="H81" s="1">
        <v>0</v>
      </c>
      <c r="I81" s="1">
        <v>0</v>
      </c>
      <c r="J81" s="1">
        <v>0</v>
      </c>
      <c r="K81" s="1">
        <v>0</v>
      </c>
      <c r="L81" s="38">
        <f>L79+(+E184/365)</f>
        <v>16.22206448228577</v>
      </c>
      <c r="M81" s="1">
        <f>SUM(E81:L81)</f>
        <v>72.742023336682593</v>
      </c>
      <c r="N81" s="1" t="s">
        <v>184</v>
      </c>
      <c r="O81" s="1">
        <f>SUM(E81/M81)*100</f>
        <v>77.699184407886477</v>
      </c>
      <c r="P81" s="1">
        <f>SUM(F81/M81)*100</f>
        <v>0</v>
      </c>
      <c r="Q81" s="1">
        <f>SUM(G81/M81)*100</f>
        <v>0</v>
      </c>
      <c r="R81" s="1">
        <f>SUM(H81/M81)*100</f>
        <v>0</v>
      </c>
      <c r="S81" s="1">
        <f>SUM(I81/M81)*100</f>
        <v>0</v>
      </c>
      <c r="T81" s="1">
        <f>SUM(J81/M81)*100</f>
        <v>0</v>
      </c>
      <c r="U81" s="1">
        <f>SUM(K81/M81)*100</f>
        <v>0</v>
      </c>
      <c r="V81" s="1">
        <f>SUM(L81/M81)*100</f>
        <v>22.300815592113523</v>
      </c>
      <c r="W81" s="1" t="s">
        <v>184</v>
      </c>
      <c r="X81">
        <f>157.93+17.35+67.39</f>
        <v>242.67000000000002</v>
      </c>
      <c r="Y81">
        <f t="shared" ref="Y81:AF81" si="13">(+O81/100)*$X81</f>
        <v>188.55261080261812</v>
      </c>
      <c r="Z81">
        <f t="shared" si="13"/>
        <v>0</v>
      </c>
      <c r="AA81">
        <f t="shared" si="13"/>
        <v>0</v>
      </c>
      <c r="AB81">
        <f t="shared" si="13"/>
        <v>0</v>
      </c>
      <c r="AC81">
        <f t="shared" si="13"/>
        <v>0</v>
      </c>
      <c r="AD81">
        <f t="shared" si="13"/>
        <v>0</v>
      </c>
      <c r="AE81">
        <f t="shared" si="13"/>
        <v>0</v>
      </c>
      <c r="AF81">
        <f t="shared" si="13"/>
        <v>54.11738919738189</v>
      </c>
    </row>
    <row r="82" spans="1:32" x14ac:dyDescent="0.25">
      <c r="B82" s="12"/>
      <c r="N82" s="1" t="s">
        <v>184</v>
      </c>
      <c r="W82" s="1" t="s">
        <v>184</v>
      </c>
    </row>
    <row r="83" spans="1:32" x14ac:dyDescent="0.25">
      <c r="A83" t="s">
        <v>275</v>
      </c>
      <c r="B83" s="12"/>
      <c r="C83" t="s">
        <v>190</v>
      </c>
      <c r="D83" t="s">
        <v>283</v>
      </c>
      <c r="E83" s="1"/>
      <c r="F83" s="1"/>
      <c r="G83" s="1"/>
      <c r="H83" s="1"/>
      <c r="I83" s="1"/>
      <c r="J83" s="1"/>
      <c r="K83" s="1"/>
      <c r="L83" s="1"/>
      <c r="M83" s="1"/>
      <c r="N83" s="1" t="s">
        <v>184</v>
      </c>
      <c r="W83" s="1" t="s">
        <v>184</v>
      </c>
    </row>
    <row r="84" spans="1:32" x14ac:dyDescent="0.25">
      <c r="B84" s="12"/>
      <c r="E84" s="1"/>
      <c r="F84" s="1"/>
      <c r="G84" s="1"/>
      <c r="H84" s="1"/>
      <c r="I84" s="1"/>
      <c r="J84" s="1"/>
      <c r="K84" s="1"/>
      <c r="L84" s="1"/>
      <c r="M84" s="1"/>
      <c r="N84" s="1" t="s">
        <v>184</v>
      </c>
      <c r="W84" s="1" t="s">
        <v>184</v>
      </c>
    </row>
    <row r="85" spans="1:32" x14ac:dyDescent="0.25">
      <c r="A85" t="s">
        <v>277</v>
      </c>
      <c r="B85" s="12"/>
      <c r="C85" t="s">
        <v>284</v>
      </c>
      <c r="D85" t="s">
        <v>279</v>
      </c>
      <c r="E85" s="1">
        <v>0</v>
      </c>
      <c r="F85" s="1">
        <v>0</v>
      </c>
      <c r="G85" s="1">
        <v>0</v>
      </c>
      <c r="H85" s="1">
        <v>0</v>
      </c>
      <c r="I85" s="1">
        <v>0</v>
      </c>
      <c r="J85" s="1">
        <v>0</v>
      </c>
      <c r="K85" s="1">
        <v>0</v>
      </c>
      <c r="L85" s="1">
        <v>0</v>
      </c>
      <c r="M85" s="1">
        <f>SUM(E85:L85)</f>
        <v>0</v>
      </c>
      <c r="N85" s="1" t="s">
        <v>184</v>
      </c>
      <c r="O85" s="1">
        <v>0</v>
      </c>
      <c r="P85" s="1">
        <v>0</v>
      </c>
      <c r="Q85" s="1">
        <v>0</v>
      </c>
      <c r="R85" s="1">
        <v>0</v>
      </c>
      <c r="S85" s="1">
        <v>0</v>
      </c>
      <c r="T85" s="1">
        <v>0</v>
      </c>
      <c r="U85" s="1">
        <v>0</v>
      </c>
      <c r="V85" s="1">
        <v>0</v>
      </c>
      <c r="W85" s="1" t="s">
        <v>184</v>
      </c>
    </row>
    <row r="86" spans="1:32" x14ac:dyDescent="0.25">
      <c r="B86" s="12"/>
      <c r="E86" s="1"/>
      <c r="F86" s="1"/>
      <c r="G86" s="1"/>
      <c r="H86" s="1"/>
      <c r="I86" s="1"/>
      <c r="J86" s="1"/>
      <c r="K86" s="1"/>
      <c r="L86" s="1"/>
      <c r="M86" s="1"/>
      <c r="N86" s="1" t="s">
        <v>184</v>
      </c>
      <c r="W86" s="1" t="s">
        <v>184</v>
      </c>
    </row>
    <row r="87" spans="1:32" x14ac:dyDescent="0.25">
      <c r="A87" t="s">
        <v>280</v>
      </c>
      <c r="B87" s="12"/>
      <c r="C87" t="s">
        <v>285</v>
      </c>
      <c r="D87" t="s">
        <v>282</v>
      </c>
      <c r="E87" s="1">
        <v>0</v>
      </c>
      <c r="F87" s="1">
        <v>0</v>
      </c>
      <c r="G87" s="1">
        <v>0</v>
      </c>
      <c r="H87" s="1">
        <v>0</v>
      </c>
      <c r="I87" s="1">
        <v>0</v>
      </c>
      <c r="J87" s="1">
        <v>0</v>
      </c>
      <c r="K87" s="1">
        <v>0</v>
      </c>
      <c r="L87" s="1">
        <v>0</v>
      </c>
      <c r="M87" s="1">
        <f>SUM(E87:L87)</f>
        <v>0</v>
      </c>
      <c r="N87" s="1" t="s">
        <v>184</v>
      </c>
      <c r="O87" s="1">
        <v>0</v>
      </c>
      <c r="P87" s="1">
        <v>0</v>
      </c>
      <c r="Q87" s="1">
        <v>0</v>
      </c>
      <c r="R87" s="1">
        <v>0</v>
      </c>
      <c r="S87" s="1">
        <v>0</v>
      </c>
      <c r="T87" s="1">
        <v>0</v>
      </c>
      <c r="U87" s="1">
        <v>0</v>
      </c>
      <c r="V87" s="1">
        <v>0</v>
      </c>
      <c r="W87" s="1" t="s">
        <v>184</v>
      </c>
    </row>
    <row r="88" spans="1:32" x14ac:dyDescent="0.25">
      <c r="B88" s="12"/>
      <c r="N88" s="1" t="s">
        <v>184</v>
      </c>
      <c r="W88" s="1" t="s">
        <v>184</v>
      </c>
    </row>
    <row r="89" spans="1:32" x14ac:dyDescent="0.25">
      <c r="B89" s="12"/>
      <c r="D89" t="s">
        <v>286</v>
      </c>
      <c r="E89" s="1"/>
      <c r="F89" s="1"/>
      <c r="G89" s="1"/>
      <c r="H89" s="1"/>
      <c r="I89" s="1"/>
      <c r="J89" s="1"/>
      <c r="K89" s="1"/>
      <c r="L89" s="1"/>
      <c r="M89" s="1"/>
      <c r="N89" s="1" t="s">
        <v>184</v>
      </c>
      <c r="O89" s="1" t="s">
        <v>200</v>
      </c>
      <c r="P89" s="1" t="s">
        <v>200</v>
      </c>
      <c r="Q89" s="1" t="s">
        <v>200</v>
      </c>
      <c r="R89" s="1"/>
      <c r="S89" s="1"/>
      <c r="T89" s="1"/>
      <c r="U89" s="1"/>
      <c r="V89" s="1" t="s">
        <v>200</v>
      </c>
      <c r="W89" s="1" t="s">
        <v>184</v>
      </c>
    </row>
    <row r="90" spans="1:32" x14ac:dyDescent="0.25">
      <c r="B90" s="12"/>
      <c r="E90" s="1"/>
      <c r="F90" s="1"/>
      <c r="G90" s="1"/>
      <c r="H90" s="1"/>
      <c r="I90" s="1"/>
      <c r="J90" s="1"/>
      <c r="K90" s="1"/>
      <c r="L90" s="15"/>
      <c r="M90" s="1"/>
      <c r="N90" s="1" t="s">
        <v>184</v>
      </c>
      <c r="O90" s="1" t="s">
        <v>200</v>
      </c>
      <c r="P90" s="1" t="s">
        <v>200</v>
      </c>
      <c r="Q90" s="1" t="s">
        <v>200</v>
      </c>
      <c r="R90" s="1"/>
      <c r="S90" s="1"/>
      <c r="T90" s="1"/>
      <c r="U90" s="1"/>
      <c r="V90" s="1" t="s">
        <v>200</v>
      </c>
      <c r="W90" s="1" t="s">
        <v>184</v>
      </c>
    </row>
    <row r="91" spans="1:32" x14ac:dyDescent="0.25">
      <c r="A91" t="s">
        <v>287</v>
      </c>
      <c r="B91" s="12">
        <v>221</v>
      </c>
      <c r="C91" t="s">
        <v>288</v>
      </c>
      <c r="D91" t="s">
        <v>289</v>
      </c>
      <c r="E91" s="1">
        <f>E75</f>
        <v>1.3514145441856225</v>
      </c>
      <c r="F91" s="1">
        <v>0</v>
      </c>
      <c r="G91" s="1">
        <v>0</v>
      </c>
      <c r="H91" s="1">
        <v>0</v>
      </c>
      <c r="I91" s="1">
        <v>0</v>
      </c>
      <c r="J91" s="1">
        <v>0</v>
      </c>
      <c r="K91" s="1">
        <v>0</v>
      </c>
      <c r="L91" s="1">
        <f>M91-E91</f>
        <v>79.472626551704792</v>
      </c>
      <c r="M91" s="38">
        <f>J180+J181+J183</f>
        <v>80.824041095890408</v>
      </c>
      <c r="N91" s="1" t="s">
        <v>184</v>
      </c>
      <c r="O91" s="1">
        <f>SUM(E91/M91)*100</f>
        <v>1.6720452551763545</v>
      </c>
      <c r="P91" s="1">
        <f>SUM(F91/M91)*100</f>
        <v>0</v>
      </c>
      <c r="Q91" s="1">
        <f>SUM(G91/M91)*100</f>
        <v>0</v>
      </c>
      <c r="R91" s="1">
        <f>SUM(H91/M91)*100</f>
        <v>0</v>
      </c>
      <c r="S91" s="1">
        <f>SUM(I91/M91)*100</f>
        <v>0</v>
      </c>
      <c r="T91" s="1">
        <f>SUM(J91/M91)*100</f>
        <v>0</v>
      </c>
      <c r="U91" s="1">
        <f>SUM(K91/M91)*100</f>
        <v>0</v>
      </c>
      <c r="V91" s="1">
        <f>SUM(L91/M91)*100</f>
        <v>98.327954744823657</v>
      </c>
      <c r="W91" s="1" t="s">
        <v>184</v>
      </c>
      <c r="X91">
        <v>0</v>
      </c>
    </row>
    <row r="92" spans="1:32" x14ac:dyDescent="0.25">
      <c r="A92" t="s">
        <v>290</v>
      </c>
      <c r="B92" s="12">
        <v>222</v>
      </c>
      <c r="C92" t="s">
        <v>291</v>
      </c>
      <c r="D92" t="s">
        <v>292</v>
      </c>
      <c r="E92" s="1">
        <f>E81+E91</f>
        <v>57.871373398582449</v>
      </c>
      <c r="F92" s="1">
        <v>0</v>
      </c>
      <c r="G92" s="1">
        <v>0</v>
      </c>
      <c r="H92" s="1">
        <v>0</v>
      </c>
      <c r="I92" s="1">
        <v>0</v>
      </c>
      <c r="J92" s="1">
        <v>0</v>
      </c>
      <c r="K92" s="1">
        <v>0</v>
      </c>
      <c r="L92" s="1">
        <v>0</v>
      </c>
      <c r="M92" s="1">
        <f>SUM(E92:L92)</f>
        <v>57.871373398582449</v>
      </c>
      <c r="N92" s="1" t="s">
        <v>184</v>
      </c>
      <c r="O92" s="1">
        <f>SUM(E92/M92)*100</f>
        <v>100</v>
      </c>
      <c r="P92" s="1">
        <f>SUM(F92/M92)*100</f>
        <v>0</v>
      </c>
      <c r="Q92" s="1">
        <f>SUM(G92/M92)*100</f>
        <v>0</v>
      </c>
      <c r="R92" s="1">
        <f>SUM(H92/M92)*100</f>
        <v>0</v>
      </c>
      <c r="S92" s="1">
        <f>SUM(I92/M92)*100</f>
        <v>0</v>
      </c>
      <c r="T92" s="1">
        <f>SUM(J92/M92)*100</f>
        <v>0</v>
      </c>
      <c r="U92" s="1">
        <f>SUM(K92/M92)*100</f>
        <v>0</v>
      </c>
      <c r="V92" s="1">
        <f>SUM(L92/M92)*100</f>
        <v>0</v>
      </c>
      <c r="W92" s="1" t="s">
        <v>184</v>
      </c>
      <c r="X92">
        <v>2942.52</v>
      </c>
      <c r="Y92">
        <f t="shared" ref="Y92:AF94" si="14">(+O92/100)*$X92</f>
        <v>2942.52</v>
      </c>
      <c r="Z92">
        <f t="shared" si="14"/>
        <v>0</v>
      </c>
      <c r="AA92">
        <f t="shared" si="14"/>
        <v>0</v>
      </c>
      <c r="AB92">
        <f t="shared" si="14"/>
        <v>0</v>
      </c>
      <c r="AC92">
        <f t="shared" si="14"/>
        <v>0</v>
      </c>
      <c r="AD92">
        <f t="shared" si="14"/>
        <v>0</v>
      </c>
      <c r="AE92">
        <f t="shared" si="14"/>
        <v>0</v>
      </c>
      <c r="AF92">
        <f t="shared" si="14"/>
        <v>0</v>
      </c>
    </row>
    <row r="93" spans="1:32" x14ac:dyDescent="0.25">
      <c r="A93" t="s">
        <v>293</v>
      </c>
      <c r="B93" s="12">
        <v>223</v>
      </c>
      <c r="C93" t="s">
        <v>294</v>
      </c>
      <c r="D93" t="s">
        <v>295</v>
      </c>
      <c r="E93" s="1" t="e">
        <f>E67+E92</f>
        <v>#REF!</v>
      </c>
      <c r="F93" s="1" t="e">
        <f>F$10+F$25</f>
        <v>#REF!</v>
      </c>
      <c r="G93" s="1" t="e">
        <f>G$10</f>
        <v>#REF!</v>
      </c>
      <c r="H93" s="1" t="e">
        <f>H$10</f>
        <v>#REF!</v>
      </c>
      <c r="I93" s="1" t="e">
        <f>I$10</f>
        <v>#REF!</v>
      </c>
      <c r="J93" s="1">
        <f>J$10</f>
        <v>1.3032600000000004E-2</v>
      </c>
      <c r="K93" s="1">
        <f>K$10</f>
        <v>4.9841999999999997E-2</v>
      </c>
      <c r="L93" s="1" t="e">
        <f>L$67</f>
        <v>#REF!</v>
      </c>
      <c r="M93" s="1" t="e">
        <f>SUM(E93:L93)</f>
        <v>#REF!</v>
      </c>
      <c r="N93" s="1" t="s">
        <v>184</v>
      </c>
      <c r="O93" s="1" t="e">
        <f>SUM(E93/M93)*100</f>
        <v>#REF!</v>
      </c>
      <c r="P93" s="1" t="e">
        <f>SUM(F93/M93)*100</f>
        <v>#REF!</v>
      </c>
      <c r="Q93" s="1" t="e">
        <f>SUM(G93/M93)*100</f>
        <v>#REF!</v>
      </c>
      <c r="R93" s="1" t="e">
        <f>SUM(H93/M93)*100</f>
        <v>#REF!</v>
      </c>
      <c r="S93" s="1" t="e">
        <f>SUM(I93/M93)*100</f>
        <v>#REF!</v>
      </c>
      <c r="T93" s="1" t="e">
        <f>SUM(J93/M93)*100</f>
        <v>#REF!</v>
      </c>
      <c r="U93" s="1" t="e">
        <f>SUM(K93/M93)*100</f>
        <v>#REF!</v>
      </c>
      <c r="V93" s="1" t="e">
        <f>SUM(L93/M93)*100</f>
        <v>#REF!</v>
      </c>
      <c r="W93" s="1" t="s">
        <v>184</v>
      </c>
      <c r="X93">
        <f>4321.74+77.45+2647.83</f>
        <v>7047.0199999999995</v>
      </c>
      <c r="Y93" t="e">
        <f t="shared" si="14"/>
        <v>#REF!</v>
      </c>
      <c r="Z93" t="e">
        <f t="shared" si="14"/>
        <v>#REF!</v>
      </c>
      <c r="AA93" t="e">
        <f t="shared" si="14"/>
        <v>#REF!</v>
      </c>
      <c r="AB93" t="e">
        <f t="shared" si="14"/>
        <v>#REF!</v>
      </c>
      <c r="AC93" t="e">
        <f t="shared" si="14"/>
        <v>#REF!</v>
      </c>
      <c r="AD93" t="e">
        <f t="shared" si="14"/>
        <v>#REF!</v>
      </c>
      <c r="AE93" t="e">
        <f t="shared" si="14"/>
        <v>#REF!</v>
      </c>
      <c r="AF93" t="e">
        <f t="shared" si="14"/>
        <v>#REF!</v>
      </c>
    </row>
    <row r="94" spans="1:32" x14ac:dyDescent="0.25">
      <c r="A94" t="s">
        <v>296</v>
      </c>
      <c r="B94" s="12">
        <v>224</v>
      </c>
      <c r="C94" t="s">
        <v>297</v>
      </c>
      <c r="D94" t="s">
        <v>298</v>
      </c>
      <c r="E94" s="1">
        <v>0</v>
      </c>
      <c r="F94" s="1">
        <v>0</v>
      </c>
      <c r="G94" s="1">
        <v>0</v>
      </c>
      <c r="H94" s="1">
        <v>0</v>
      </c>
      <c r="I94" s="1">
        <v>0</v>
      </c>
      <c r="J94" s="1">
        <v>0</v>
      </c>
      <c r="K94" s="1">
        <v>0</v>
      </c>
      <c r="L94" s="1">
        <f>L81+L91</f>
        <v>95.694691033990566</v>
      </c>
      <c r="M94" s="1">
        <f>SUM(E94:L94)</f>
        <v>95.694691033990566</v>
      </c>
      <c r="N94" s="1" t="s">
        <v>184</v>
      </c>
      <c r="O94" s="1">
        <f>SUM(E94/M94)*100</f>
        <v>0</v>
      </c>
      <c r="P94" s="1">
        <f>SUM(F94/M94)*100</f>
        <v>0</v>
      </c>
      <c r="Q94" s="1">
        <f>SUM(G94/M94)*100</f>
        <v>0</v>
      </c>
      <c r="R94" s="1">
        <f>SUM(H94/M94)*100</f>
        <v>0</v>
      </c>
      <c r="S94" s="1">
        <f>SUM(I94/M94)*100</f>
        <v>0</v>
      </c>
      <c r="T94" s="1">
        <f>SUM(J94/M94)*100</f>
        <v>0</v>
      </c>
      <c r="U94" s="1">
        <f>SUM(K94/M94)*100</f>
        <v>0</v>
      </c>
      <c r="V94" s="1">
        <f>SUM(L94/M94)*100</f>
        <v>100</v>
      </c>
      <c r="W94" s="1" t="s">
        <v>184</v>
      </c>
      <c r="X94">
        <v>1339.8</v>
      </c>
      <c r="Y94">
        <f t="shared" si="14"/>
        <v>0</v>
      </c>
      <c r="Z94">
        <f t="shared" si="14"/>
        <v>0</v>
      </c>
      <c r="AA94">
        <f t="shared" si="14"/>
        <v>0</v>
      </c>
      <c r="AB94">
        <f t="shared" si="14"/>
        <v>0</v>
      </c>
      <c r="AC94">
        <f t="shared" si="14"/>
        <v>0</v>
      </c>
      <c r="AD94">
        <f t="shared" si="14"/>
        <v>0</v>
      </c>
      <c r="AE94">
        <f t="shared" si="14"/>
        <v>0</v>
      </c>
      <c r="AF94">
        <f t="shared" si="14"/>
        <v>1339.8</v>
      </c>
    </row>
    <row r="95" spans="1:32" x14ac:dyDescent="0.25">
      <c r="A95" t="s">
        <v>299</v>
      </c>
      <c r="B95" s="12"/>
      <c r="D95" t="s">
        <v>300</v>
      </c>
      <c r="E95" s="1"/>
      <c r="F95" s="1"/>
      <c r="G95" s="1"/>
      <c r="H95" s="1"/>
      <c r="I95" s="1"/>
      <c r="J95" s="1"/>
      <c r="K95" s="1"/>
      <c r="L95" s="1"/>
      <c r="M95" s="1"/>
      <c r="N95" s="1" t="s">
        <v>184</v>
      </c>
      <c r="O95" s="1" t="s">
        <v>200</v>
      </c>
      <c r="P95" s="1" t="s">
        <v>200</v>
      </c>
      <c r="Q95" s="1" t="s">
        <v>200</v>
      </c>
      <c r="R95" s="1"/>
      <c r="S95" s="1"/>
      <c r="T95" s="1"/>
      <c r="U95" s="1"/>
      <c r="V95" s="1" t="s">
        <v>200</v>
      </c>
      <c r="W95" s="1" t="s">
        <v>184</v>
      </c>
    </row>
    <row r="96" spans="1:32" x14ac:dyDescent="0.25">
      <c r="B96" s="12">
        <v>224</v>
      </c>
      <c r="C96" t="s">
        <v>301</v>
      </c>
      <c r="D96" t="s">
        <v>221</v>
      </c>
      <c r="E96" s="1">
        <v>0</v>
      </c>
      <c r="F96" s="1">
        <v>0</v>
      </c>
      <c r="G96" s="1">
        <v>0</v>
      </c>
      <c r="H96" s="1">
        <v>0</v>
      </c>
      <c r="I96" s="1">
        <v>0</v>
      </c>
      <c r="J96" s="1">
        <v>0</v>
      </c>
      <c r="K96" s="1">
        <v>0</v>
      </c>
      <c r="L96" s="1">
        <f>L94</f>
        <v>95.694691033990566</v>
      </c>
      <c r="M96" s="1">
        <f>SUM(E96:L96)</f>
        <v>95.694691033990566</v>
      </c>
      <c r="N96" s="1" t="s">
        <v>184</v>
      </c>
      <c r="O96" s="1">
        <f>SUM(E96/M96)*100</f>
        <v>0</v>
      </c>
      <c r="P96" s="1">
        <f>SUM(F96/M96)*100</f>
        <v>0</v>
      </c>
      <c r="Q96" s="1">
        <f>SUM(G96/M96)*100</f>
        <v>0</v>
      </c>
      <c r="R96" s="1">
        <f>SUM(H96/M96)*100</f>
        <v>0</v>
      </c>
      <c r="S96" s="1">
        <f>SUM(I96/M96)*100</f>
        <v>0</v>
      </c>
      <c r="T96" s="1">
        <f>SUM(J96/M96)*100</f>
        <v>0</v>
      </c>
      <c r="U96" s="1">
        <f>SUM(K96/M96)*100</f>
        <v>0</v>
      </c>
      <c r="V96" s="1">
        <f>SUM(L96/M96)*100</f>
        <v>100</v>
      </c>
      <c r="W96" s="1" t="s">
        <v>184</v>
      </c>
      <c r="X96">
        <f>2192.07+128.96</f>
        <v>2321.0300000000002</v>
      </c>
      <c r="Y96">
        <f t="shared" ref="Y96:AF97" si="15">(+O96/100)*$X96</f>
        <v>0</v>
      </c>
      <c r="Z96">
        <f t="shared" si="15"/>
        <v>0</v>
      </c>
      <c r="AA96">
        <f t="shared" si="15"/>
        <v>0</v>
      </c>
      <c r="AB96">
        <f t="shared" si="15"/>
        <v>0</v>
      </c>
      <c r="AC96">
        <f t="shared" si="15"/>
        <v>0</v>
      </c>
      <c r="AD96">
        <f t="shared" si="15"/>
        <v>0</v>
      </c>
      <c r="AE96">
        <f t="shared" si="15"/>
        <v>0</v>
      </c>
      <c r="AF96">
        <f t="shared" si="15"/>
        <v>2321.0300000000002</v>
      </c>
    </row>
    <row r="97" spans="1:32" x14ac:dyDescent="0.25">
      <c r="B97" s="12">
        <v>223</v>
      </c>
      <c r="C97" t="s">
        <v>302</v>
      </c>
      <c r="D97" t="s">
        <v>197</v>
      </c>
      <c r="E97" s="1" t="e">
        <f>E$93</f>
        <v>#REF!</v>
      </c>
      <c r="F97" s="1" t="e">
        <f>F$10+F$25</f>
        <v>#REF!</v>
      </c>
      <c r="G97" s="1" t="e">
        <f>G$10</f>
        <v>#REF!</v>
      </c>
      <c r="H97" s="1" t="e">
        <f>H$10</f>
        <v>#REF!</v>
      </c>
      <c r="I97" s="1" t="e">
        <f>I$10</f>
        <v>#REF!</v>
      </c>
      <c r="J97" s="1">
        <f>J$10</f>
        <v>1.3032600000000004E-2</v>
      </c>
      <c r="K97" s="1">
        <f>K$10</f>
        <v>4.9841999999999997E-2</v>
      </c>
      <c r="L97" s="1" t="e">
        <f>L$67</f>
        <v>#REF!</v>
      </c>
      <c r="M97" s="1" t="e">
        <f>SUM(E97:L97)</f>
        <v>#REF!</v>
      </c>
      <c r="N97" s="1" t="s">
        <v>184</v>
      </c>
      <c r="O97" s="1" t="e">
        <f>SUM(E97/M97)*100</f>
        <v>#REF!</v>
      </c>
      <c r="P97" s="1" t="e">
        <f>SUM(F97/M97)*100</f>
        <v>#REF!</v>
      </c>
      <c r="Q97" s="1" t="e">
        <f>SUM(G97/M97)*100</f>
        <v>#REF!</v>
      </c>
      <c r="R97" s="1" t="e">
        <f>SUM(H97/M97)*100</f>
        <v>#REF!</v>
      </c>
      <c r="S97" s="1" t="e">
        <f>SUM(I97/M97)*100</f>
        <v>#REF!</v>
      </c>
      <c r="T97" s="1" t="e">
        <f>SUM(J97/M97)*100</f>
        <v>#REF!</v>
      </c>
      <c r="U97" s="1" t="e">
        <f>SUM(K97/M97)*100</f>
        <v>#REF!</v>
      </c>
      <c r="V97" s="1" t="e">
        <f>SUM(L97/M97)*100</f>
        <v>#REF!</v>
      </c>
      <c r="W97" s="1" t="s">
        <v>184</v>
      </c>
      <c r="X97">
        <v>6107.99</v>
      </c>
      <c r="Y97" t="e">
        <f t="shared" si="15"/>
        <v>#REF!</v>
      </c>
      <c r="Z97" t="e">
        <f t="shared" si="15"/>
        <v>#REF!</v>
      </c>
      <c r="AA97" t="e">
        <f t="shared" si="15"/>
        <v>#REF!</v>
      </c>
      <c r="AB97" t="e">
        <f t="shared" si="15"/>
        <v>#REF!</v>
      </c>
      <c r="AC97" t="e">
        <f t="shared" si="15"/>
        <v>#REF!</v>
      </c>
      <c r="AD97" t="e">
        <f t="shared" si="15"/>
        <v>#REF!</v>
      </c>
      <c r="AE97" t="e">
        <f t="shared" si="15"/>
        <v>#REF!</v>
      </c>
      <c r="AF97" t="e">
        <f t="shared" si="15"/>
        <v>#REF!</v>
      </c>
    </row>
    <row r="98" spans="1:32" x14ac:dyDescent="0.25">
      <c r="B98" s="12"/>
      <c r="E98" s="1"/>
      <c r="F98" s="1"/>
      <c r="G98" s="1"/>
      <c r="H98" s="1"/>
      <c r="I98" s="1"/>
      <c r="J98" s="1"/>
      <c r="K98" s="1"/>
      <c r="L98" s="1"/>
      <c r="M98" s="1"/>
      <c r="N98" s="1" t="s">
        <v>184</v>
      </c>
      <c r="O98" s="1" t="s">
        <v>200</v>
      </c>
      <c r="P98" s="1" t="s">
        <v>200</v>
      </c>
      <c r="Q98" s="1" t="s">
        <v>200</v>
      </c>
      <c r="R98" s="1"/>
      <c r="S98" s="1"/>
      <c r="T98" s="1"/>
      <c r="U98" s="1"/>
      <c r="V98" s="1" t="s">
        <v>200</v>
      </c>
      <c r="W98" s="1" t="s">
        <v>184</v>
      </c>
    </row>
    <row r="99" spans="1:32" x14ac:dyDescent="0.25">
      <c r="B99" s="12"/>
      <c r="D99" t="s">
        <v>303</v>
      </c>
      <c r="E99" s="1"/>
      <c r="F99" s="1"/>
      <c r="G99" s="1"/>
      <c r="H99" s="1"/>
      <c r="I99" s="1"/>
      <c r="J99" s="1"/>
      <c r="K99" s="1"/>
      <c r="L99" s="1"/>
      <c r="M99" s="1"/>
      <c r="N99" s="1" t="s">
        <v>184</v>
      </c>
      <c r="O99" s="1" t="s">
        <v>200</v>
      </c>
      <c r="P99" s="1" t="s">
        <v>200</v>
      </c>
      <c r="Q99" s="1" t="s">
        <v>200</v>
      </c>
      <c r="R99" s="1"/>
      <c r="S99" s="1"/>
      <c r="T99" s="1"/>
      <c r="U99" s="1"/>
      <c r="V99" s="1" t="s">
        <v>200</v>
      </c>
      <c r="W99" s="1" t="s">
        <v>184</v>
      </c>
    </row>
    <row r="100" spans="1:32" x14ac:dyDescent="0.25">
      <c r="B100" s="12"/>
      <c r="E100" s="1"/>
      <c r="F100" s="1"/>
      <c r="G100" s="1"/>
      <c r="H100" s="1"/>
      <c r="I100" s="1"/>
      <c r="J100" s="1"/>
      <c r="K100" s="1"/>
      <c r="L100" s="1"/>
      <c r="M100" s="1"/>
      <c r="N100" s="1" t="s">
        <v>184</v>
      </c>
      <c r="O100" s="1" t="s">
        <v>200</v>
      </c>
      <c r="P100" s="1" t="s">
        <v>200</v>
      </c>
      <c r="Q100" s="1" t="s">
        <v>200</v>
      </c>
      <c r="R100" s="1"/>
      <c r="S100" s="1"/>
      <c r="T100" s="1"/>
      <c r="U100" s="1"/>
      <c r="V100" s="1" t="s">
        <v>200</v>
      </c>
      <c r="W100" s="1" t="s">
        <v>184</v>
      </c>
    </row>
    <row r="101" spans="1:32" x14ac:dyDescent="0.25">
      <c r="A101" t="s">
        <v>304</v>
      </c>
      <c r="B101" s="12"/>
      <c r="D101" t="s">
        <v>305</v>
      </c>
      <c r="E101" s="1"/>
      <c r="F101" s="1"/>
      <c r="G101" s="1"/>
      <c r="H101" s="1"/>
      <c r="I101" s="1"/>
      <c r="J101" s="1"/>
      <c r="K101" s="1"/>
      <c r="L101" s="1"/>
      <c r="M101" s="1"/>
      <c r="N101" s="1" t="s">
        <v>184</v>
      </c>
      <c r="O101" s="1" t="s">
        <v>200</v>
      </c>
      <c r="P101" s="1" t="s">
        <v>200</v>
      </c>
      <c r="Q101" s="1" t="s">
        <v>200</v>
      </c>
      <c r="R101" s="1"/>
      <c r="S101" s="1"/>
      <c r="T101" s="1"/>
      <c r="U101" s="1"/>
      <c r="V101" s="1" t="s">
        <v>200</v>
      </c>
      <c r="W101" s="1" t="s">
        <v>184</v>
      </c>
    </row>
    <row r="102" spans="1:32" x14ac:dyDescent="0.25">
      <c r="D102" t="s">
        <v>221</v>
      </c>
      <c r="E102" s="1">
        <v>0</v>
      </c>
      <c r="F102" s="1">
        <v>0</v>
      </c>
      <c r="G102" s="1">
        <v>0</v>
      </c>
      <c r="H102" s="1">
        <v>0</v>
      </c>
      <c r="I102" s="1">
        <v>0</v>
      </c>
      <c r="J102" s="1">
        <v>0</v>
      </c>
      <c r="K102" s="1">
        <v>0</v>
      </c>
      <c r="L102" s="1">
        <v>2</v>
      </c>
      <c r="M102" s="1">
        <f>SUM(E102:L102)</f>
        <v>2</v>
      </c>
      <c r="N102" s="1" t="s">
        <v>184</v>
      </c>
      <c r="O102" s="1">
        <f>SUM(E102/M102)*100</f>
        <v>0</v>
      </c>
      <c r="P102" s="1">
        <f>SUM(F102/M102)*100</f>
        <v>0</v>
      </c>
      <c r="Q102" s="1">
        <f>SUM(G102/M102)*100</f>
        <v>0</v>
      </c>
      <c r="R102" s="1">
        <f>SUM(H102/M102)*100</f>
        <v>0</v>
      </c>
      <c r="S102" s="1">
        <f>SUM(I102/M102)*100</f>
        <v>0</v>
      </c>
      <c r="T102" s="1">
        <f>SUM(J102/M102)*100</f>
        <v>0</v>
      </c>
      <c r="U102" s="1">
        <f>SUM(K102/M102)*100</f>
        <v>0</v>
      </c>
      <c r="V102" s="1">
        <f>SUM(L102/M102)*100</f>
        <v>100</v>
      </c>
      <c r="W102" s="1" t="s">
        <v>184</v>
      </c>
      <c r="X102">
        <v>3202</v>
      </c>
      <c r="Y102">
        <f t="shared" ref="Y102:AF102" si="16">(+O102/100)*$X102</f>
        <v>0</v>
      </c>
      <c r="Z102">
        <f t="shared" si="16"/>
        <v>0</v>
      </c>
      <c r="AA102">
        <f t="shared" si="16"/>
        <v>0</v>
      </c>
      <c r="AB102">
        <f t="shared" si="16"/>
        <v>0</v>
      </c>
      <c r="AC102">
        <f t="shared" si="16"/>
        <v>0</v>
      </c>
      <c r="AD102">
        <f t="shared" si="16"/>
        <v>0</v>
      </c>
      <c r="AE102">
        <f t="shared" si="16"/>
        <v>0</v>
      </c>
      <c r="AF102">
        <f t="shared" si="16"/>
        <v>3202</v>
      </c>
    </row>
    <row r="103" spans="1:32" x14ac:dyDescent="0.25">
      <c r="B103" s="12">
        <v>231</v>
      </c>
      <c r="C103" t="s">
        <v>306</v>
      </c>
      <c r="D103" t="s">
        <v>197</v>
      </c>
      <c r="E103" s="1">
        <f>E122</f>
        <v>3.4111951591860783</v>
      </c>
      <c r="F103" s="1">
        <v>0</v>
      </c>
      <c r="G103" s="1">
        <v>0</v>
      </c>
      <c r="H103" s="1">
        <v>0</v>
      </c>
      <c r="I103" s="1">
        <v>0</v>
      </c>
      <c r="J103" s="1">
        <v>0</v>
      </c>
      <c r="K103" s="1">
        <v>0</v>
      </c>
      <c r="L103" s="1">
        <v>4</v>
      </c>
      <c r="M103" s="1">
        <f>SUM(E103:L103)</f>
        <v>7.4111951591860787</v>
      </c>
      <c r="N103" s="1" t="s">
        <v>184</v>
      </c>
      <c r="O103" s="1">
        <f>SUM(E103/M103)*100</f>
        <v>46.027598598020283</v>
      </c>
      <c r="P103" s="1">
        <f>SUM(F103/M103)*100</f>
        <v>0</v>
      </c>
      <c r="Q103" s="1">
        <f>SUM(G103/M103)*100</f>
        <v>0</v>
      </c>
      <c r="R103" s="1">
        <f>SUM(H103/M103)*100</f>
        <v>0</v>
      </c>
      <c r="S103" s="1">
        <f>SUM(I103/M103)*100</f>
        <v>0</v>
      </c>
      <c r="T103" s="1">
        <f>SUM(J103/M103)*100</f>
        <v>0</v>
      </c>
      <c r="U103" s="1">
        <f>SUM(K103/M103)*100</f>
        <v>0</v>
      </c>
      <c r="V103" s="1">
        <f>SUM(L103/M103)*100</f>
        <v>53.972401401979717</v>
      </c>
      <c r="W103" s="1" t="s">
        <v>184</v>
      </c>
      <c r="X103">
        <v>0</v>
      </c>
    </row>
    <row r="105" spans="1:32" x14ac:dyDescent="0.25">
      <c r="B105" s="12"/>
      <c r="N105" s="1" t="s">
        <v>184</v>
      </c>
      <c r="W105" s="1" t="s">
        <v>184</v>
      </c>
    </row>
    <row r="106" spans="1:32" x14ac:dyDescent="0.25">
      <c r="B106" s="12"/>
      <c r="D106" t="s">
        <v>307</v>
      </c>
      <c r="N106" s="1" t="s">
        <v>184</v>
      </c>
      <c r="W106" s="1" t="s">
        <v>184</v>
      </c>
    </row>
    <row r="107" spans="1:32" x14ac:dyDescent="0.25">
      <c r="D107" t="s">
        <v>221</v>
      </c>
      <c r="E107" s="1">
        <v>0</v>
      </c>
      <c r="F107" s="1">
        <v>0</v>
      </c>
      <c r="G107" s="1">
        <v>0</v>
      </c>
      <c r="H107" s="1">
        <v>0</v>
      </c>
      <c r="I107" s="1">
        <v>0</v>
      </c>
      <c r="J107" s="1">
        <v>0</v>
      </c>
      <c r="K107" s="1">
        <v>0</v>
      </c>
      <c r="L107" s="1">
        <v>3.4</v>
      </c>
      <c r="M107" s="1">
        <f>SUM(E107:L107)</f>
        <v>3.4</v>
      </c>
      <c r="N107" s="1" t="s">
        <v>184</v>
      </c>
      <c r="O107" s="1">
        <f>SUM(E107/M107)*100</f>
        <v>0</v>
      </c>
      <c r="P107" s="1">
        <f>SUM(F107/M107)*100</f>
        <v>0</v>
      </c>
      <c r="Q107" s="1">
        <f>SUM(G107/M107)*100</f>
        <v>0</v>
      </c>
      <c r="R107" s="1">
        <f>SUM(H107/M107)*100</f>
        <v>0</v>
      </c>
      <c r="S107" s="1">
        <f>SUM(I107/M107)*100</f>
        <v>0</v>
      </c>
      <c r="T107" s="1">
        <f>SUM(J107/M107)*100</f>
        <v>0</v>
      </c>
      <c r="U107" s="1">
        <f>SUM(K107/M107)*100</f>
        <v>0</v>
      </c>
      <c r="V107" s="1">
        <f>SUM(L107/M107)*100</f>
        <v>100</v>
      </c>
      <c r="W107" s="1" t="s">
        <v>184</v>
      </c>
    </row>
    <row r="108" spans="1:32" x14ac:dyDescent="0.25">
      <c r="C108" t="s">
        <v>308</v>
      </c>
      <c r="D108" t="s">
        <v>197</v>
      </c>
      <c r="E108" s="11">
        <f>YR_HC_RPT!$R$143</f>
        <v>2.6158034180817711</v>
      </c>
      <c r="F108" s="1">
        <v>0</v>
      </c>
      <c r="G108" s="1">
        <v>0</v>
      </c>
      <c r="H108" s="1">
        <v>0</v>
      </c>
      <c r="I108" s="1">
        <v>0</v>
      </c>
      <c r="J108" s="1">
        <v>0</v>
      </c>
      <c r="K108" s="1">
        <v>0</v>
      </c>
      <c r="L108" s="1">
        <v>0</v>
      </c>
      <c r="M108" s="1">
        <f>SUM(E108:L108)</f>
        <v>2.6158034180817711</v>
      </c>
      <c r="N108" s="1" t="s">
        <v>184</v>
      </c>
      <c r="O108" s="1">
        <f>SUM(E108/M108)*100</f>
        <v>100</v>
      </c>
      <c r="P108" s="1">
        <f>SUM(F108/M108)*100</f>
        <v>0</v>
      </c>
      <c r="Q108" s="1">
        <f>SUM(G108/M108)*100</f>
        <v>0</v>
      </c>
      <c r="R108" s="1">
        <f>SUM(H108/M108)*100</f>
        <v>0</v>
      </c>
      <c r="S108" s="1">
        <f>SUM(I108/M108)*100</f>
        <v>0</v>
      </c>
      <c r="T108" s="1">
        <f>SUM(J108/M108)*100</f>
        <v>0</v>
      </c>
      <c r="U108" s="1">
        <f>SUM(K108/M108)*100</f>
        <v>0</v>
      </c>
      <c r="V108" s="1">
        <f>SUM(L108/M108)*100</f>
        <v>0</v>
      </c>
      <c r="W108" s="1" t="s">
        <v>184</v>
      </c>
      <c r="X108">
        <f>79513.99+21370.01+8850.14+2175.89</f>
        <v>111910.03</v>
      </c>
      <c r="Y108">
        <f t="shared" ref="Y108:AF108" si="17">(+O108/100)*$X108</f>
        <v>111910.03</v>
      </c>
      <c r="Z108">
        <f t="shared" si="17"/>
        <v>0</v>
      </c>
      <c r="AA108">
        <f t="shared" si="17"/>
        <v>0</v>
      </c>
      <c r="AB108">
        <f t="shared" si="17"/>
        <v>0</v>
      </c>
      <c r="AC108">
        <f t="shared" si="17"/>
        <v>0</v>
      </c>
      <c r="AD108">
        <f t="shared" si="17"/>
        <v>0</v>
      </c>
      <c r="AE108">
        <f t="shared" si="17"/>
        <v>0</v>
      </c>
      <c r="AF108">
        <f t="shared" si="17"/>
        <v>0</v>
      </c>
    </row>
    <row r="109" spans="1:32" x14ac:dyDescent="0.25">
      <c r="B109" s="12"/>
      <c r="N109" s="1" t="s">
        <v>184</v>
      </c>
      <c r="W109" s="1" t="s">
        <v>184</v>
      </c>
    </row>
    <row r="110" spans="1:32" x14ac:dyDescent="0.25">
      <c r="A110" t="s">
        <v>309</v>
      </c>
      <c r="B110" s="12"/>
      <c r="D110" t="s">
        <v>310</v>
      </c>
      <c r="E110" s="1"/>
      <c r="F110" s="1"/>
      <c r="G110" s="1"/>
      <c r="H110" s="1"/>
      <c r="I110" s="1"/>
      <c r="J110" s="1"/>
      <c r="K110" s="1"/>
      <c r="L110" s="1"/>
      <c r="M110" s="1"/>
      <c r="N110" s="1" t="s">
        <v>184</v>
      </c>
      <c r="O110" s="1" t="s">
        <v>200</v>
      </c>
      <c r="P110" s="1" t="s">
        <v>200</v>
      </c>
      <c r="Q110" s="1" t="s">
        <v>200</v>
      </c>
      <c r="R110" s="1"/>
      <c r="S110" s="1"/>
      <c r="T110" s="1"/>
      <c r="U110" s="1"/>
      <c r="V110" s="1" t="s">
        <v>200</v>
      </c>
      <c r="W110" s="1" t="s">
        <v>184</v>
      </c>
    </row>
    <row r="111" spans="1:32" x14ac:dyDescent="0.25">
      <c r="B111" s="12"/>
      <c r="C111" t="s">
        <v>311</v>
      </c>
      <c r="D111" t="s">
        <v>221</v>
      </c>
      <c r="E111" s="1">
        <v>0</v>
      </c>
      <c r="F111" s="1">
        <v>0</v>
      </c>
      <c r="G111" s="1">
        <v>0</v>
      </c>
      <c r="H111" s="1">
        <v>0</v>
      </c>
      <c r="I111" s="1">
        <v>0</v>
      </c>
      <c r="J111" s="1">
        <v>0</v>
      </c>
      <c r="K111" s="1">
        <v>0</v>
      </c>
      <c r="L111" s="1">
        <v>7.4</v>
      </c>
      <c r="M111" s="1">
        <f>SUM(E111:L111)</f>
        <v>7.4</v>
      </c>
      <c r="N111" s="1" t="s">
        <v>184</v>
      </c>
      <c r="O111" s="1">
        <f>SUM(E111/M111)*100</f>
        <v>0</v>
      </c>
      <c r="P111" s="1">
        <f>SUM(F111/M111)*100</f>
        <v>0</v>
      </c>
      <c r="Q111" s="1">
        <f>SUM(G111/M111)*100</f>
        <v>0</v>
      </c>
      <c r="R111" s="1">
        <f>SUM(H111/M111)*100</f>
        <v>0</v>
      </c>
      <c r="S111" s="1">
        <f>SUM(I111/M111)*100</f>
        <v>0</v>
      </c>
      <c r="T111" s="1">
        <f>SUM(J111/M111)*100</f>
        <v>0</v>
      </c>
      <c r="U111" s="1">
        <f>SUM(K111/M111)*100</f>
        <v>0</v>
      </c>
      <c r="V111" s="1">
        <f>SUM(L111/M111)*100</f>
        <v>100</v>
      </c>
      <c r="W111" s="1" t="s">
        <v>184</v>
      </c>
      <c r="X111">
        <f>2772.8+1144.07+354.29</f>
        <v>4271.16</v>
      </c>
      <c r="Y111">
        <f t="shared" ref="Y111:AF111" si="18">(+O111/100)*$X111</f>
        <v>0</v>
      </c>
      <c r="Z111">
        <f t="shared" si="18"/>
        <v>0</v>
      </c>
      <c r="AA111">
        <f t="shared" si="18"/>
        <v>0</v>
      </c>
      <c r="AB111">
        <f t="shared" si="18"/>
        <v>0</v>
      </c>
      <c r="AC111">
        <f t="shared" si="18"/>
        <v>0</v>
      </c>
      <c r="AD111">
        <f t="shared" si="18"/>
        <v>0</v>
      </c>
      <c r="AE111">
        <f t="shared" si="18"/>
        <v>0</v>
      </c>
      <c r="AF111">
        <f t="shared" si="18"/>
        <v>4271.16</v>
      </c>
    </row>
    <row r="112" spans="1:32" x14ac:dyDescent="0.25">
      <c r="B112" s="12">
        <v>232</v>
      </c>
      <c r="C112" t="s">
        <v>312</v>
      </c>
      <c r="D112" t="s">
        <v>197</v>
      </c>
      <c r="E112" s="1">
        <f>E103+E108</f>
        <v>6.0269985772678494</v>
      </c>
      <c r="F112" s="1">
        <v>0</v>
      </c>
      <c r="G112" s="1">
        <v>0</v>
      </c>
      <c r="H112" s="1">
        <v>0</v>
      </c>
      <c r="I112" s="1">
        <v>0</v>
      </c>
      <c r="J112" s="1">
        <v>0</v>
      </c>
      <c r="K112" s="1">
        <v>0</v>
      </c>
      <c r="L112" s="1">
        <v>8</v>
      </c>
      <c r="M112" s="1">
        <f>SUM(E112:L112)</f>
        <v>14.02699857726785</v>
      </c>
      <c r="N112" s="1" t="s">
        <v>184</v>
      </c>
      <c r="O112" s="1">
        <f>SUM(E112/M112)*100</f>
        <v>42.967129026698565</v>
      </c>
      <c r="P112" s="1">
        <f>SUM(F112/M112)*100</f>
        <v>0</v>
      </c>
      <c r="Q112" s="1">
        <f>SUM(G112/M112)*100</f>
        <v>0</v>
      </c>
      <c r="R112" s="1">
        <f>SUM(H112/M112)*100</f>
        <v>0</v>
      </c>
      <c r="S112" s="1">
        <f>SUM(I112/M112)*100</f>
        <v>0</v>
      </c>
      <c r="T112" s="1">
        <f>SUM(J112/M112)*100</f>
        <v>0</v>
      </c>
      <c r="U112" s="1">
        <f>SUM(K112/M112)*100</f>
        <v>0</v>
      </c>
      <c r="V112" s="1">
        <f>SUM(L112/M112)*100</f>
        <v>57.032870973301428</v>
      </c>
      <c r="W112" s="1" t="s">
        <v>184</v>
      </c>
      <c r="X112">
        <v>0</v>
      </c>
    </row>
    <row r="113" spans="1:35" x14ac:dyDescent="0.25">
      <c r="B113" s="12"/>
      <c r="N113" s="1" t="s">
        <v>184</v>
      </c>
      <c r="W113" s="1" t="s">
        <v>184</v>
      </c>
    </row>
    <row r="114" spans="1:35" x14ac:dyDescent="0.25">
      <c r="B114" s="12"/>
      <c r="D114" t="s">
        <v>313</v>
      </c>
      <c r="E114" s="1"/>
      <c r="F114" s="1"/>
      <c r="G114" s="1"/>
      <c r="H114" s="1"/>
      <c r="I114" s="1"/>
      <c r="J114" s="1"/>
      <c r="K114" s="1"/>
      <c r="L114" s="1"/>
      <c r="M114" s="1"/>
      <c r="N114" s="1" t="s">
        <v>184</v>
      </c>
      <c r="O114" s="1" t="s">
        <v>314</v>
      </c>
      <c r="P114" s="1" t="s">
        <v>200</v>
      </c>
      <c r="Q114" s="1" t="s">
        <v>200</v>
      </c>
      <c r="R114" s="1"/>
      <c r="S114" s="1"/>
      <c r="T114" s="1"/>
      <c r="U114" s="1"/>
      <c r="V114" s="1" t="s">
        <v>200</v>
      </c>
      <c r="W114" s="1" t="s">
        <v>184</v>
      </c>
    </row>
    <row r="115" spans="1:35" x14ac:dyDescent="0.25">
      <c r="B115" s="12"/>
      <c r="N115" s="1" t="s">
        <v>184</v>
      </c>
      <c r="W115" s="1" t="s">
        <v>184</v>
      </c>
    </row>
    <row r="116" spans="1:35" x14ac:dyDescent="0.25">
      <c r="A116" t="s">
        <v>192</v>
      </c>
      <c r="B116" s="12"/>
      <c r="C116" t="s">
        <v>315</v>
      </c>
      <c r="D116" t="s">
        <v>316</v>
      </c>
      <c r="E116" s="1">
        <f>E19</f>
        <v>9.4324681707629292</v>
      </c>
      <c r="F116" s="1">
        <v>0</v>
      </c>
      <c r="G116" s="1">
        <v>0</v>
      </c>
      <c r="H116" s="1">
        <v>0</v>
      </c>
      <c r="I116" s="1">
        <v>0</v>
      </c>
      <c r="J116" s="1">
        <v>0</v>
      </c>
      <c r="K116" s="1">
        <v>0</v>
      </c>
      <c r="L116" s="1">
        <v>0</v>
      </c>
      <c r="M116" s="1">
        <f>SUM(E116:L116)</f>
        <v>9.4324681707629292</v>
      </c>
      <c r="N116" s="1" t="s">
        <v>184</v>
      </c>
      <c r="O116" s="1"/>
      <c r="P116" s="1"/>
      <c r="Q116" s="1"/>
      <c r="R116" s="1"/>
      <c r="S116" s="1"/>
      <c r="T116" s="1"/>
      <c r="U116" s="1"/>
      <c r="V116" s="1"/>
      <c r="W116" s="1"/>
      <c r="X116" s="1">
        <v>0</v>
      </c>
      <c r="Y116">
        <v>0</v>
      </c>
      <c r="Z116">
        <f t="shared" ref="Y116:AF117" si="19">(+P116/100)*$X116</f>
        <v>0</v>
      </c>
      <c r="AA116">
        <f t="shared" si="19"/>
        <v>0</v>
      </c>
      <c r="AB116">
        <f t="shared" si="19"/>
        <v>0</v>
      </c>
      <c r="AC116">
        <f t="shared" si="19"/>
        <v>0</v>
      </c>
      <c r="AD116">
        <f t="shared" si="19"/>
        <v>0</v>
      </c>
      <c r="AE116">
        <f t="shared" si="19"/>
        <v>0</v>
      </c>
      <c r="AF116">
        <f t="shared" si="19"/>
        <v>0</v>
      </c>
    </row>
    <row r="117" spans="1:35" x14ac:dyDescent="0.25">
      <c r="A117" t="s">
        <v>317</v>
      </c>
      <c r="B117" s="12"/>
      <c r="C117" t="s">
        <v>318</v>
      </c>
      <c r="D117" t="s">
        <v>319</v>
      </c>
      <c r="E117" s="49">
        <f>M117-L117</f>
        <v>3.4857127264692878</v>
      </c>
      <c r="F117" s="1">
        <v>0</v>
      </c>
      <c r="G117" s="1">
        <v>0</v>
      </c>
      <c r="H117" s="1">
        <v>0</v>
      </c>
      <c r="I117" s="1">
        <v>0</v>
      </c>
      <c r="J117" s="1">
        <v>0</v>
      </c>
      <c r="K117" s="1">
        <v>0</v>
      </c>
      <c r="L117" s="11">
        <f>YR_HC_RPT!$R$20</f>
        <v>4.446643835616438E-2</v>
      </c>
      <c r="M117" s="11">
        <f>YR_HC_RPT!$R$13</f>
        <v>3.5301791648254524</v>
      </c>
      <c r="N117" s="1" t="s">
        <v>184</v>
      </c>
      <c r="O117" s="1">
        <f>(E117/M117)*100</f>
        <v>98.740391456636928</v>
      </c>
      <c r="P117" s="1">
        <f>(F117/M117)*100</f>
        <v>0</v>
      </c>
      <c r="Q117" s="1">
        <f>(G117/M117)*100</f>
        <v>0</v>
      </c>
      <c r="R117" s="1">
        <f>SUM(H117/M117)*100</f>
        <v>0</v>
      </c>
      <c r="S117" s="1">
        <f>SUM(I117/M117)*100</f>
        <v>0</v>
      </c>
      <c r="T117" s="1">
        <f>SUM(J117/M117)*100</f>
        <v>0</v>
      </c>
      <c r="U117" s="1">
        <f>SUM(K117/M117)*100</f>
        <v>0</v>
      </c>
      <c r="V117" s="1">
        <f>SUM(L117/M117)*100</f>
        <v>1.2596085433630675</v>
      </c>
      <c r="W117" s="1" t="s">
        <v>184</v>
      </c>
      <c r="X117" s="1">
        <v>0</v>
      </c>
      <c r="Y117">
        <f t="shared" si="19"/>
        <v>0</v>
      </c>
      <c r="Z117">
        <f t="shared" si="19"/>
        <v>0</v>
      </c>
      <c r="AA117">
        <f t="shared" si="19"/>
        <v>0</v>
      </c>
      <c r="AB117">
        <f t="shared" si="19"/>
        <v>0</v>
      </c>
      <c r="AC117">
        <f t="shared" si="19"/>
        <v>0</v>
      </c>
      <c r="AD117">
        <f t="shared" si="19"/>
        <v>0</v>
      </c>
      <c r="AE117">
        <f t="shared" si="19"/>
        <v>0</v>
      </c>
      <c r="AF117">
        <f t="shared" si="19"/>
        <v>0</v>
      </c>
    </row>
    <row r="118" spans="1:35" x14ac:dyDescent="0.25">
      <c r="A118" t="s">
        <v>205</v>
      </c>
      <c r="D118" s="1" t="s">
        <v>206</v>
      </c>
      <c r="E118" s="1"/>
      <c r="F118" s="31" t="e">
        <f>#REF!</f>
        <v>#REF!</v>
      </c>
      <c r="G118" s="1"/>
      <c r="H118" s="1"/>
      <c r="I118" s="1"/>
      <c r="J118" s="1"/>
      <c r="K118" s="1"/>
      <c r="L118" s="1"/>
      <c r="M118" s="1" t="e">
        <f>SUM(E118:L118)</f>
        <v>#REF!</v>
      </c>
    </row>
    <row r="119" spans="1:35" x14ac:dyDescent="0.25">
      <c r="A119" t="s">
        <v>218</v>
      </c>
      <c r="B119" s="12">
        <v>243</v>
      </c>
      <c r="C119" t="s">
        <v>320</v>
      </c>
      <c r="D119" t="s">
        <v>321</v>
      </c>
      <c r="E119" s="1">
        <f>SUM(M119-L119)</f>
        <v>25.989005441487979</v>
      </c>
      <c r="F119" s="1">
        <v>0</v>
      </c>
      <c r="G119" s="1">
        <v>0</v>
      </c>
      <c r="H119" s="1">
        <v>0</v>
      </c>
      <c r="I119" s="1">
        <v>0</v>
      </c>
      <c r="J119" s="1">
        <v>0</v>
      </c>
      <c r="K119" s="1">
        <v>0</v>
      </c>
      <c r="L119" s="11">
        <f>YR_HC_RPT!$R$41</f>
        <v>3.9041095890410958E-2</v>
      </c>
      <c r="M119" s="31">
        <f>WSSC_ALL!$AE$125</f>
        <v>26.02804653737839</v>
      </c>
      <c r="N119" s="1" t="s">
        <v>184</v>
      </c>
      <c r="O119" s="1">
        <f>(+E119/M119)*100</f>
        <v>99.850003741793131</v>
      </c>
      <c r="P119" s="1">
        <f t="shared" ref="P119:P130" si="20">SUM(F119/M119)*100</f>
        <v>0</v>
      </c>
      <c r="Q119" s="1">
        <f t="shared" ref="Q119:Q130" si="21">SUM(G119/M119)*100</f>
        <v>0</v>
      </c>
      <c r="R119" s="1">
        <f t="shared" ref="R119:R130" si="22">SUM(H119/M119)*100</f>
        <v>0</v>
      </c>
      <c r="S119" s="1">
        <f t="shared" ref="S119:S130" si="23">SUM(I119/M119)*100</f>
        <v>0</v>
      </c>
      <c r="T119" s="1">
        <f t="shared" ref="T119:T130" si="24">SUM(J119/M119)*100</f>
        <v>0</v>
      </c>
      <c r="U119" s="1">
        <f t="shared" ref="U119:U130" si="25">SUM(K119/M119)*100</f>
        <v>0</v>
      </c>
      <c r="V119" s="1">
        <f t="shared" ref="V119:V130" si="26">SUM(L119/M119)*100</f>
        <v>0.14999625820687223</v>
      </c>
      <c r="W119" s="1" t="s">
        <v>184</v>
      </c>
      <c r="X119" s="2">
        <f>4486.79+627.19+561.02</f>
        <v>5675</v>
      </c>
      <c r="Y119" s="2">
        <f t="shared" ref="Y119:Y130" si="27">(+O119/100)*$X119</f>
        <v>5666.4877123467604</v>
      </c>
      <c r="Z119">
        <f t="shared" ref="Z119:Z130" si="28">(+P119/100)*$X119</f>
        <v>0</v>
      </c>
      <c r="AA119">
        <f t="shared" ref="AA119:AA130" si="29">(+Q119/100)*$X119</f>
        <v>0</v>
      </c>
      <c r="AB119">
        <f t="shared" ref="AB119:AB130" si="30">(+R119/100)*$X119</f>
        <v>0</v>
      </c>
      <c r="AC119">
        <f t="shared" ref="AC119:AC130" si="31">(+S119/100)*$X119</f>
        <v>0</v>
      </c>
      <c r="AD119">
        <f t="shared" ref="AD119:AD130" si="32">(+T119/100)*$X119</f>
        <v>0</v>
      </c>
      <c r="AE119">
        <f t="shared" ref="AE119:AE130" si="33">(+U119/100)*$X119</f>
        <v>0</v>
      </c>
      <c r="AF119">
        <f t="shared" ref="AF119:AF130" si="34">(+V119/100)*$X119</f>
        <v>8.5122876532399996</v>
      </c>
    </row>
    <row r="120" spans="1:35" x14ac:dyDescent="0.25">
      <c r="A120" t="s">
        <v>222</v>
      </c>
      <c r="B120" s="12">
        <v>244</v>
      </c>
      <c r="C120" t="s">
        <v>322</v>
      </c>
      <c r="D120" t="s">
        <v>323</v>
      </c>
      <c r="E120" s="11">
        <f>YR_HC_RPT!$R$57</f>
        <v>3.3347567808219183</v>
      </c>
      <c r="F120" s="1">
        <v>0</v>
      </c>
      <c r="G120" s="1">
        <v>0</v>
      </c>
      <c r="H120" s="1">
        <v>0</v>
      </c>
      <c r="I120" s="1">
        <v>0</v>
      </c>
      <c r="J120" s="1">
        <v>0</v>
      </c>
      <c r="K120" s="1">
        <v>0</v>
      </c>
      <c r="L120" s="1">
        <f>L38-L36</f>
        <v>2.451067585616439</v>
      </c>
      <c r="M120" s="1">
        <f>SUM(E120:L120)</f>
        <v>5.7858243664383568</v>
      </c>
      <c r="N120" s="1" t="s">
        <v>184</v>
      </c>
      <c r="O120" s="1">
        <f>(+E120/M120)*100</f>
        <v>57.636674907827022</v>
      </c>
      <c r="P120" s="1">
        <f t="shared" si="20"/>
        <v>0</v>
      </c>
      <c r="Q120" s="1">
        <f t="shared" si="21"/>
        <v>0</v>
      </c>
      <c r="R120" s="1">
        <f t="shared" si="22"/>
        <v>0</v>
      </c>
      <c r="S120" s="1">
        <f t="shared" si="23"/>
        <v>0</v>
      </c>
      <c r="T120" s="1">
        <f t="shared" si="24"/>
        <v>0</v>
      </c>
      <c r="U120" s="1">
        <f t="shared" si="25"/>
        <v>0</v>
      </c>
      <c r="V120" s="1">
        <f t="shared" si="26"/>
        <v>42.363325092172985</v>
      </c>
      <c r="W120" s="1" t="s">
        <v>184</v>
      </c>
      <c r="X120" s="2">
        <f>609.44+195.5</f>
        <v>804.94</v>
      </c>
      <c r="Y120" s="2">
        <f t="shared" si="27"/>
        <v>463.9406510030629</v>
      </c>
      <c r="Z120">
        <f t="shared" si="28"/>
        <v>0</v>
      </c>
      <c r="AA120">
        <f t="shared" si="29"/>
        <v>0</v>
      </c>
      <c r="AB120">
        <f t="shared" si="30"/>
        <v>0</v>
      </c>
      <c r="AC120">
        <f t="shared" si="31"/>
        <v>0</v>
      </c>
      <c r="AD120">
        <f t="shared" si="32"/>
        <v>0</v>
      </c>
      <c r="AE120">
        <f t="shared" si="33"/>
        <v>0</v>
      </c>
      <c r="AF120">
        <f t="shared" si="34"/>
        <v>340.99934899693727</v>
      </c>
    </row>
    <row r="121" spans="1:35" x14ac:dyDescent="0.25">
      <c r="A121" t="s">
        <v>272</v>
      </c>
      <c r="B121" s="12">
        <v>191</v>
      </c>
      <c r="C121" t="s">
        <v>324</v>
      </c>
      <c r="D121" t="s">
        <v>325</v>
      </c>
      <c r="E121" s="1">
        <f>SUM(M121-L121)</f>
        <v>0.69844844829521147</v>
      </c>
      <c r="F121" s="1">
        <v>0</v>
      </c>
      <c r="G121" s="1">
        <v>0</v>
      </c>
      <c r="H121" s="1">
        <v>0</v>
      </c>
      <c r="I121" s="1">
        <v>0</v>
      </c>
      <c r="J121" s="1">
        <v>0</v>
      </c>
      <c r="K121" s="1">
        <v>0</v>
      </c>
      <c r="L121" s="11">
        <f>YR_HC_RPT!$R$109</f>
        <v>2.8424657534246573E-2</v>
      </c>
      <c r="M121" s="11">
        <f>YR_HC_RPT!$R$106</f>
        <v>0.72687310582945808</v>
      </c>
      <c r="N121" s="1" t="s">
        <v>184</v>
      </c>
      <c r="O121" s="1">
        <f>(+E121/M121)*100</f>
        <v>96.089460827992752</v>
      </c>
      <c r="P121" s="1">
        <f t="shared" si="20"/>
        <v>0</v>
      </c>
      <c r="Q121" s="1">
        <f t="shared" si="21"/>
        <v>0</v>
      </c>
      <c r="R121" s="1">
        <f t="shared" si="22"/>
        <v>0</v>
      </c>
      <c r="S121" s="1">
        <f t="shared" si="23"/>
        <v>0</v>
      </c>
      <c r="T121" s="1">
        <f t="shared" si="24"/>
        <v>0</v>
      </c>
      <c r="U121" s="1">
        <f t="shared" si="25"/>
        <v>0</v>
      </c>
      <c r="V121" s="1">
        <f t="shared" si="26"/>
        <v>3.9105391720072364</v>
      </c>
      <c r="W121" s="1" t="s">
        <v>184</v>
      </c>
      <c r="X121" s="2">
        <f>6322.68+324.57+356.3</f>
        <v>7003.55</v>
      </c>
      <c r="Y121" s="2">
        <f t="shared" si="27"/>
        <v>6729.6734338188871</v>
      </c>
      <c r="Z121">
        <f t="shared" si="28"/>
        <v>0</v>
      </c>
      <c r="AA121">
        <f t="shared" si="29"/>
        <v>0</v>
      </c>
      <c r="AB121">
        <f t="shared" si="30"/>
        <v>0</v>
      </c>
      <c r="AC121">
        <f t="shared" si="31"/>
        <v>0</v>
      </c>
      <c r="AD121">
        <f t="shared" si="32"/>
        <v>0</v>
      </c>
      <c r="AE121">
        <f t="shared" si="33"/>
        <v>0</v>
      </c>
      <c r="AF121">
        <f t="shared" si="34"/>
        <v>273.87656618111282</v>
      </c>
    </row>
    <row r="122" spans="1:35" x14ac:dyDescent="0.25">
      <c r="A122" t="s">
        <v>304</v>
      </c>
      <c r="B122" s="12">
        <v>231</v>
      </c>
      <c r="C122" t="s">
        <v>326</v>
      </c>
      <c r="D122" t="s">
        <v>327</v>
      </c>
      <c r="E122" s="1">
        <f>SUM(M122-L122)</f>
        <v>3.4111951591860783</v>
      </c>
      <c r="F122" s="1">
        <v>0</v>
      </c>
      <c r="G122" s="1">
        <v>0</v>
      </c>
      <c r="H122" s="1">
        <v>0</v>
      </c>
      <c r="I122" s="1">
        <v>0</v>
      </c>
      <c r="J122" s="1">
        <v>0</v>
      </c>
      <c r="K122" s="1">
        <v>0</v>
      </c>
      <c r="L122" s="11">
        <f>YR_HC_RPT!$R$130</f>
        <v>0.92910575607249812</v>
      </c>
      <c r="M122" s="31">
        <f>WSSC_ALL!$AT$125</f>
        <v>4.3403009152585765</v>
      </c>
      <c r="N122" s="1" t="s">
        <v>184</v>
      </c>
      <c r="O122" s="1">
        <f>(+E122/M122)*100</f>
        <v>78.59351749538439</v>
      </c>
      <c r="P122" s="1">
        <f t="shared" si="20"/>
        <v>0</v>
      </c>
      <c r="Q122" s="1">
        <f t="shared" si="21"/>
        <v>0</v>
      </c>
      <c r="R122" s="1">
        <f t="shared" si="22"/>
        <v>0</v>
      </c>
      <c r="S122" s="1">
        <f t="shared" si="23"/>
        <v>0</v>
      </c>
      <c r="T122" s="1">
        <f t="shared" si="24"/>
        <v>0</v>
      </c>
      <c r="U122" s="1">
        <f t="shared" si="25"/>
        <v>0</v>
      </c>
      <c r="V122" s="1">
        <f t="shared" si="26"/>
        <v>21.406482504615603</v>
      </c>
      <c r="W122" s="1" t="s">
        <v>184</v>
      </c>
      <c r="X122" s="2">
        <f>3277.77+2850.65+2127.05</f>
        <v>8255.4700000000012</v>
      </c>
      <c r="Y122" s="2">
        <f t="shared" si="27"/>
        <v>6488.2642587762102</v>
      </c>
      <c r="Z122">
        <f t="shared" si="28"/>
        <v>0</v>
      </c>
      <c r="AA122">
        <f t="shared" si="29"/>
        <v>0</v>
      </c>
      <c r="AB122">
        <f t="shared" si="30"/>
        <v>0</v>
      </c>
      <c r="AC122">
        <f t="shared" si="31"/>
        <v>0</v>
      </c>
      <c r="AD122">
        <f t="shared" si="32"/>
        <v>0</v>
      </c>
      <c r="AE122">
        <f t="shared" si="33"/>
        <v>0</v>
      </c>
      <c r="AF122">
        <f t="shared" si="34"/>
        <v>1767.20574122379</v>
      </c>
    </row>
    <row r="123" spans="1:35" x14ac:dyDescent="0.25">
      <c r="A123" t="s">
        <v>309</v>
      </c>
      <c r="B123" s="12">
        <v>241</v>
      </c>
      <c r="C123" t="s">
        <v>328</v>
      </c>
      <c r="D123" t="s">
        <v>329</v>
      </c>
      <c r="E123" s="31">
        <f>WSSC_ALL!$AY$125</f>
        <v>0.27350793650793648</v>
      </c>
      <c r="F123" s="1">
        <v>0</v>
      </c>
      <c r="G123" s="1">
        <v>0</v>
      </c>
      <c r="H123" s="1">
        <v>0</v>
      </c>
      <c r="I123" s="1">
        <v>0</v>
      </c>
      <c r="J123" s="1">
        <v>0</v>
      </c>
      <c r="K123" s="1">
        <v>0</v>
      </c>
      <c r="L123" s="1">
        <v>0</v>
      </c>
      <c r="M123" s="1">
        <f>SUM(E123:L123)</f>
        <v>0.27350793650793648</v>
      </c>
      <c r="N123" s="1" t="s">
        <v>184</v>
      </c>
      <c r="O123" s="1">
        <f t="shared" ref="O123:O130" si="35">SUM(E123/M123)*100</f>
        <v>100</v>
      </c>
      <c r="P123" s="1">
        <f t="shared" si="20"/>
        <v>0</v>
      </c>
      <c r="Q123" s="1">
        <f t="shared" si="21"/>
        <v>0</v>
      </c>
      <c r="R123" s="1">
        <f t="shared" si="22"/>
        <v>0</v>
      </c>
      <c r="S123" s="1">
        <f t="shared" si="23"/>
        <v>0</v>
      </c>
      <c r="T123" s="1">
        <f t="shared" si="24"/>
        <v>0</v>
      </c>
      <c r="U123" s="1">
        <f t="shared" si="25"/>
        <v>0</v>
      </c>
      <c r="V123" s="1">
        <f t="shared" si="26"/>
        <v>0</v>
      </c>
      <c r="W123" s="1" t="s">
        <v>184</v>
      </c>
      <c r="X123">
        <v>18756.84</v>
      </c>
      <c r="Y123">
        <f t="shared" si="27"/>
        <v>18756.84</v>
      </c>
      <c r="Z123">
        <f t="shared" si="28"/>
        <v>0</v>
      </c>
      <c r="AA123">
        <f t="shared" si="29"/>
        <v>0</v>
      </c>
      <c r="AB123">
        <f t="shared" si="30"/>
        <v>0</v>
      </c>
      <c r="AC123">
        <f t="shared" si="31"/>
        <v>0</v>
      </c>
      <c r="AD123">
        <f t="shared" si="32"/>
        <v>0</v>
      </c>
      <c r="AE123">
        <f t="shared" si="33"/>
        <v>0</v>
      </c>
      <c r="AF123">
        <f t="shared" si="34"/>
        <v>0</v>
      </c>
    </row>
    <row r="124" spans="1:35" x14ac:dyDescent="0.25">
      <c r="A124" t="s">
        <v>309</v>
      </c>
      <c r="B124" s="12">
        <v>241</v>
      </c>
      <c r="C124" t="s">
        <v>330</v>
      </c>
      <c r="D124" t="s">
        <v>331</v>
      </c>
      <c r="E124" s="31">
        <f>WSSC_ALL!$BD$125</f>
        <v>0.70368057475678458</v>
      </c>
      <c r="F124" s="1">
        <v>0</v>
      </c>
      <c r="G124" s="1">
        <v>0</v>
      </c>
      <c r="H124" s="1">
        <v>0</v>
      </c>
      <c r="I124" s="1">
        <v>0</v>
      </c>
      <c r="J124" s="1">
        <v>0</v>
      </c>
      <c r="K124" s="1">
        <v>0</v>
      </c>
      <c r="L124" s="1">
        <v>0</v>
      </c>
      <c r="M124" s="1">
        <f>SUM(E124:L124)</f>
        <v>0.70368057475678458</v>
      </c>
      <c r="N124" s="1" t="s">
        <v>184</v>
      </c>
      <c r="O124" s="1">
        <f t="shared" si="35"/>
        <v>100</v>
      </c>
      <c r="P124" s="1">
        <f t="shared" si="20"/>
        <v>0</v>
      </c>
      <c r="Q124" s="1">
        <f t="shared" si="21"/>
        <v>0</v>
      </c>
      <c r="R124" s="1">
        <f t="shared" si="22"/>
        <v>0</v>
      </c>
      <c r="S124" s="1">
        <f t="shared" si="23"/>
        <v>0</v>
      </c>
      <c r="T124" s="1">
        <f t="shared" si="24"/>
        <v>0</v>
      </c>
      <c r="U124" s="1">
        <f t="shared" si="25"/>
        <v>0</v>
      </c>
      <c r="V124" s="1">
        <f t="shared" si="26"/>
        <v>0</v>
      </c>
      <c r="W124" s="1" t="s">
        <v>184</v>
      </c>
      <c r="X124">
        <v>0</v>
      </c>
      <c r="Y124">
        <f t="shared" si="27"/>
        <v>0</v>
      </c>
      <c r="Z124">
        <f t="shared" si="28"/>
        <v>0</v>
      </c>
      <c r="AA124">
        <f t="shared" si="29"/>
        <v>0</v>
      </c>
      <c r="AB124">
        <f t="shared" si="30"/>
        <v>0</v>
      </c>
      <c r="AC124">
        <f t="shared" si="31"/>
        <v>0</v>
      </c>
      <c r="AD124">
        <f t="shared" si="32"/>
        <v>0</v>
      </c>
      <c r="AE124">
        <f t="shared" si="33"/>
        <v>0</v>
      </c>
      <c r="AF124">
        <f t="shared" si="34"/>
        <v>0</v>
      </c>
    </row>
    <row r="125" spans="1:35" x14ac:dyDescent="0.25">
      <c r="A125" t="s">
        <v>309</v>
      </c>
      <c r="B125" s="12">
        <v>241</v>
      </c>
      <c r="C125" t="s">
        <v>332</v>
      </c>
      <c r="D125" t="s">
        <v>333</v>
      </c>
      <c r="E125" s="31">
        <f>WSSC_ALL!$BI$125</f>
        <v>0.83814029057859696</v>
      </c>
      <c r="F125" s="1">
        <v>0</v>
      </c>
      <c r="G125" s="1">
        <v>0</v>
      </c>
      <c r="H125" s="1">
        <v>0</v>
      </c>
      <c r="I125" s="1">
        <v>0</v>
      </c>
      <c r="J125" s="1">
        <v>0</v>
      </c>
      <c r="K125" s="1">
        <v>0</v>
      </c>
      <c r="L125" s="1">
        <v>0</v>
      </c>
      <c r="M125" s="1">
        <f>SUM(E125:L125)</f>
        <v>0.83814029057859696</v>
      </c>
      <c r="N125" s="1" t="s">
        <v>184</v>
      </c>
      <c r="O125" s="1">
        <f t="shared" si="35"/>
        <v>100</v>
      </c>
      <c r="P125" s="1">
        <f t="shared" si="20"/>
        <v>0</v>
      </c>
      <c r="Q125" s="1">
        <f t="shared" si="21"/>
        <v>0</v>
      </c>
      <c r="R125" s="1">
        <f t="shared" si="22"/>
        <v>0</v>
      </c>
      <c r="S125" s="1">
        <f t="shared" si="23"/>
        <v>0</v>
      </c>
      <c r="T125" s="1">
        <f t="shared" si="24"/>
        <v>0</v>
      </c>
      <c r="U125" s="1">
        <f t="shared" si="25"/>
        <v>0</v>
      </c>
      <c r="V125" s="1">
        <f t="shared" si="26"/>
        <v>0</v>
      </c>
      <c r="W125" s="1" t="s">
        <v>184</v>
      </c>
      <c r="X125">
        <v>1203.99</v>
      </c>
      <c r="Y125">
        <f t="shared" si="27"/>
        <v>1203.99</v>
      </c>
      <c r="Z125">
        <f t="shared" si="28"/>
        <v>0</v>
      </c>
      <c r="AA125">
        <f t="shared" si="29"/>
        <v>0</v>
      </c>
      <c r="AB125">
        <f t="shared" si="30"/>
        <v>0</v>
      </c>
      <c r="AC125">
        <f t="shared" si="31"/>
        <v>0</v>
      </c>
      <c r="AD125">
        <f t="shared" si="32"/>
        <v>0</v>
      </c>
      <c r="AE125">
        <f t="shared" si="33"/>
        <v>0</v>
      </c>
      <c r="AF125">
        <f t="shared" si="34"/>
        <v>0</v>
      </c>
      <c r="AH125" s="1"/>
      <c r="AI125" s="1"/>
    </row>
    <row r="126" spans="1:35" x14ac:dyDescent="0.25">
      <c r="A126" t="s">
        <v>287</v>
      </c>
      <c r="B126" s="12">
        <v>247</v>
      </c>
      <c r="C126" t="s">
        <v>334</v>
      </c>
      <c r="D126" t="s">
        <v>335</v>
      </c>
      <c r="E126" s="1">
        <f>E91</f>
        <v>1.3514145441856225</v>
      </c>
      <c r="F126" s="1">
        <v>0</v>
      </c>
      <c r="G126" s="1">
        <v>0</v>
      </c>
      <c r="H126" s="1">
        <v>0</v>
      </c>
      <c r="I126" s="1">
        <v>0</v>
      </c>
      <c r="J126" s="1">
        <v>0</v>
      </c>
      <c r="K126" s="1">
        <v>0</v>
      </c>
      <c r="L126" s="1">
        <f>M126-E126</f>
        <v>14.168585455814378</v>
      </c>
      <c r="M126" s="38">
        <f>E183/365</f>
        <v>15.520000000000001</v>
      </c>
      <c r="N126" s="1" t="s">
        <v>184</v>
      </c>
      <c r="O126" s="1">
        <f t="shared" si="35"/>
        <v>8.7075679393403504</v>
      </c>
      <c r="P126" s="1">
        <f t="shared" si="20"/>
        <v>0</v>
      </c>
      <c r="Q126" s="1">
        <f t="shared" si="21"/>
        <v>0</v>
      </c>
      <c r="R126" s="1">
        <f t="shared" si="22"/>
        <v>0</v>
      </c>
      <c r="S126" s="1">
        <f t="shared" si="23"/>
        <v>0</v>
      </c>
      <c r="T126" s="1">
        <f t="shared" si="24"/>
        <v>0</v>
      </c>
      <c r="U126" s="1">
        <f t="shared" si="25"/>
        <v>0</v>
      </c>
      <c r="V126" s="1">
        <f t="shared" si="26"/>
        <v>91.29243206065965</v>
      </c>
      <c r="W126" s="1" t="s">
        <v>184</v>
      </c>
      <c r="X126">
        <v>0</v>
      </c>
      <c r="Y126">
        <f t="shared" si="27"/>
        <v>0</v>
      </c>
      <c r="Z126">
        <f t="shared" si="28"/>
        <v>0</v>
      </c>
      <c r="AA126">
        <f t="shared" si="29"/>
        <v>0</v>
      </c>
      <c r="AB126">
        <f t="shared" si="30"/>
        <v>0</v>
      </c>
      <c r="AC126">
        <f t="shared" si="31"/>
        <v>0</v>
      </c>
      <c r="AD126">
        <f t="shared" si="32"/>
        <v>0</v>
      </c>
      <c r="AE126">
        <f t="shared" si="33"/>
        <v>0</v>
      </c>
      <c r="AF126">
        <f t="shared" si="34"/>
        <v>0</v>
      </c>
      <c r="AH126" s="1"/>
      <c r="AI126" s="1"/>
    </row>
    <row r="127" spans="1:35" x14ac:dyDescent="0.25">
      <c r="A127" t="s">
        <v>277</v>
      </c>
      <c r="B127" s="12">
        <v>248</v>
      </c>
      <c r="C127" t="s">
        <v>336</v>
      </c>
      <c r="D127" t="s">
        <v>337</v>
      </c>
      <c r="E127" s="1">
        <f>M127-L127</f>
        <v>56.519958854396826</v>
      </c>
      <c r="F127" s="1">
        <v>0</v>
      </c>
      <c r="G127" s="1">
        <v>0</v>
      </c>
      <c r="H127" s="1">
        <v>0</v>
      </c>
      <c r="I127" s="1">
        <v>0</v>
      </c>
      <c r="J127" s="1">
        <v>0</v>
      </c>
      <c r="K127" s="1">
        <v>0</v>
      </c>
      <c r="L127" s="11">
        <f>YR_HC_RPT!$R$78</f>
        <v>1.2837083179022089</v>
      </c>
      <c r="M127" s="31">
        <f>WSSC_ALL!$AJ$125</f>
        <v>57.803667172299036</v>
      </c>
      <c r="N127" s="1" t="s">
        <v>184</v>
      </c>
      <c r="O127" s="1">
        <f t="shared" si="35"/>
        <v>97.779192254228818</v>
      </c>
      <c r="P127" s="1">
        <f t="shared" si="20"/>
        <v>0</v>
      </c>
      <c r="Q127" s="1">
        <f t="shared" si="21"/>
        <v>0</v>
      </c>
      <c r="R127" s="1">
        <f t="shared" si="22"/>
        <v>0</v>
      </c>
      <c r="S127" s="1">
        <f t="shared" si="23"/>
        <v>0</v>
      </c>
      <c r="T127" s="1">
        <f t="shared" si="24"/>
        <v>0</v>
      </c>
      <c r="U127" s="1">
        <f t="shared" si="25"/>
        <v>0</v>
      </c>
      <c r="V127" s="1">
        <f t="shared" si="26"/>
        <v>2.2208077457711783</v>
      </c>
      <c r="W127" s="1" t="s">
        <v>184</v>
      </c>
      <c r="X127">
        <f>3129.97+470.01+1080.31</f>
        <v>4680.2899999999991</v>
      </c>
      <c r="Y127" s="2">
        <f t="shared" si="27"/>
        <v>4576.3497571554453</v>
      </c>
      <c r="Z127">
        <f t="shared" si="28"/>
        <v>0</v>
      </c>
      <c r="AA127">
        <f t="shared" si="29"/>
        <v>0</v>
      </c>
      <c r="AB127">
        <f t="shared" si="30"/>
        <v>0</v>
      </c>
      <c r="AC127">
        <f t="shared" si="31"/>
        <v>0</v>
      </c>
      <c r="AD127">
        <f t="shared" si="32"/>
        <v>0</v>
      </c>
      <c r="AE127">
        <f t="shared" si="33"/>
        <v>0</v>
      </c>
      <c r="AF127">
        <f t="shared" si="34"/>
        <v>103.94024284455386</v>
      </c>
      <c r="AH127" s="1"/>
      <c r="AI127" s="1"/>
    </row>
    <row r="128" spans="1:35" x14ac:dyDescent="0.25">
      <c r="A128" t="s">
        <v>277</v>
      </c>
      <c r="B128" s="12">
        <v>249</v>
      </c>
      <c r="C128" t="s">
        <v>338</v>
      </c>
      <c r="D128" t="s">
        <v>339</v>
      </c>
      <c r="E128" s="1">
        <v>0</v>
      </c>
      <c r="F128" s="1">
        <v>0</v>
      </c>
      <c r="G128" s="1">
        <v>0</v>
      </c>
      <c r="H128" s="1">
        <v>0</v>
      </c>
      <c r="I128" s="1">
        <v>0</v>
      </c>
      <c r="J128" s="1">
        <v>0</v>
      </c>
      <c r="K128" s="1">
        <v>0</v>
      </c>
      <c r="L128" s="1">
        <f>M128</f>
        <v>0.4209473310291858</v>
      </c>
      <c r="M128" s="31">
        <f>WSSC_ALL!$BS$125</f>
        <v>0.4209473310291858</v>
      </c>
      <c r="N128" s="1" t="s">
        <v>184</v>
      </c>
      <c r="O128" s="1">
        <f t="shared" si="35"/>
        <v>0</v>
      </c>
      <c r="P128" s="1">
        <f t="shared" si="20"/>
        <v>0</v>
      </c>
      <c r="Q128" s="1">
        <f t="shared" si="21"/>
        <v>0</v>
      </c>
      <c r="R128" s="1">
        <f t="shared" si="22"/>
        <v>0</v>
      </c>
      <c r="S128" s="1">
        <f t="shared" si="23"/>
        <v>0</v>
      </c>
      <c r="T128" s="1">
        <f t="shared" si="24"/>
        <v>0</v>
      </c>
      <c r="U128" s="1">
        <f t="shared" si="25"/>
        <v>0</v>
      </c>
      <c r="V128" s="1">
        <f t="shared" si="26"/>
        <v>100</v>
      </c>
      <c r="W128" s="1" t="s">
        <v>184</v>
      </c>
      <c r="X128">
        <v>0</v>
      </c>
      <c r="Y128">
        <f t="shared" si="27"/>
        <v>0</v>
      </c>
      <c r="Z128">
        <f t="shared" si="28"/>
        <v>0</v>
      </c>
      <c r="AA128">
        <f t="shared" si="29"/>
        <v>0</v>
      </c>
      <c r="AB128">
        <f t="shared" si="30"/>
        <v>0</v>
      </c>
      <c r="AC128">
        <f t="shared" si="31"/>
        <v>0</v>
      </c>
      <c r="AD128">
        <f t="shared" si="32"/>
        <v>0</v>
      </c>
      <c r="AE128">
        <f t="shared" si="33"/>
        <v>0</v>
      </c>
      <c r="AF128">
        <f t="shared" si="34"/>
        <v>0</v>
      </c>
    </row>
    <row r="129" spans="1:35" x14ac:dyDescent="0.25">
      <c r="A129" t="s">
        <v>304</v>
      </c>
      <c r="B129" s="12">
        <v>249</v>
      </c>
      <c r="C129" t="s">
        <v>340</v>
      </c>
      <c r="D129" t="s">
        <v>341</v>
      </c>
      <c r="E129" s="1">
        <v>0</v>
      </c>
      <c r="F129" s="1">
        <v>0</v>
      </c>
      <c r="G129" s="1">
        <v>0</v>
      </c>
      <c r="H129" s="1">
        <v>0</v>
      </c>
      <c r="I129" s="1">
        <v>0</v>
      </c>
      <c r="J129" s="1">
        <v>0</v>
      </c>
      <c r="K129" s="1">
        <v>0</v>
      </c>
      <c r="L129" s="49">
        <f xml:space="preserve"> M129</f>
        <v>0.1834069892473118</v>
      </c>
      <c r="M129" s="31">
        <f>WSSC_ALL!$BX$125</f>
        <v>0.1834069892473118</v>
      </c>
      <c r="N129" s="1" t="s">
        <v>184</v>
      </c>
      <c r="O129" s="1">
        <f t="shared" si="35"/>
        <v>0</v>
      </c>
      <c r="P129" s="1">
        <f t="shared" si="20"/>
        <v>0</v>
      </c>
      <c r="Q129" s="1">
        <f t="shared" si="21"/>
        <v>0</v>
      </c>
      <c r="R129" s="1">
        <f t="shared" si="22"/>
        <v>0</v>
      </c>
      <c r="S129" s="1">
        <f t="shared" si="23"/>
        <v>0</v>
      </c>
      <c r="T129" s="1">
        <f t="shared" si="24"/>
        <v>0</v>
      </c>
      <c r="U129" s="1">
        <f t="shared" si="25"/>
        <v>0</v>
      </c>
      <c r="V129" s="1">
        <f t="shared" si="26"/>
        <v>100</v>
      </c>
      <c r="W129" s="1" t="s">
        <v>184</v>
      </c>
      <c r="X129">
        <f>2254.94+285.8+885.13</f>
        <v>3425.8700000000003</v>
      </c>
      <c r="Y129">
        <f t="shared" si="27"/>
        <v>0</v>
      </c>
      <c r="Z129">
        <f t="shared" si="28"/>
        <v>0</v>
      </c>
      <c r="AA129">
        <f t="shared" si="29"/>
        <v>0</v>
      </c>
      <c r="AB129">
        <f t="shared" si="30"/>
        <v>0</v>
      </c>
      <c r="AC129">
        <f t="shared" si="31"/>
        <v>0</v>
      </c>
      <c r="AD129">
        <f t="shared" si="32"/>
        <v>0</v>
      </c>
      <c r="AE129">
        <f t="shared" si="33"/>
        <v>0</v>
      </c>
      <c r="AF129">
        <f t="shared" si="34"/>
        <v>3425.8700000000003</v>
      </c>
    </row>
    <row r="130" spans="1:35" x14ac:dyDescent="0.25">
      <c r="A130" t="s">
        <v>304</v>
      </c>
      <c r="B130" s="12">
        <v>249</v>
      </c>
      <c r="C130" t="s">
        <v>342</v>
      </c>
      <c r="D130" t="s">
        <v>343</v>
      </c>
      <c r="E130" s="1">
        <v>0</v>
      </c>
      <c r="F130" s="1">
        <v>0</v>
      </c>
      <c r="G130" s="1">
        <v>0</v>
      </c>
      <c r="H130" s="1">
        <v>0</v>
      </c>
      <c r="I130" s="1">
        <v>0</v>
      </c>
      <c r="J130" s="1">
        <v>0</v>
      </c>
      <c r="K130" s="1">
        <v>0</v>
      </c>
      <c r="L130" s="1">
        <f>M130</f>
        <v>0.45260340501792123</v>
      </c>
      <c r="M130" s="31">
        <f>WSSC_ALL!$CC$125</f>
        <v>0.45260340501792123</v>
      </c>
      <c r="N130" s="1" t="s">
        <v>184</v>
      </c>
      <c r="O130" s="1">
        <f t="shared" si="35"/>
        <v>0</v>
      </c>
      <c r="P130" s="1">
        <f t="shared" si="20"/>
        <v>0</v>
      </c>
      <c r="Q130" s="1">
        <f t="shared" si="21"/>
        <v>0</v>
      </c>
      <c r="R130" s="1">
        <f t="shared" si="22"/>
        <v>0</v>
      </c>
      <c r="S130" s="1">
        <f t="shared" si="23"/>
        <v>0</v>
      </c>
      <c r="T130" s="1">
        <f t="shared" si="24"/>
        <v>0</v>
      </c>
      <c r="U130" s="1">
        <f t="shared" si="25"/>
        <v>0</v>
      </c>
      <c r="V130" s="1">
        <f t="shared" si="26"/>
        <v>100</v>
      </c>
      <c r="W130" s="1" t="s">
        <v>184</v>
      </c>
      <c r="X130">
        <v>356.3</v>
      </c>
      <c r="Y130">
        <f t="shared" si="27"/>
        <v>0</v>
      </c>
      <c r="Z130">
        <f t="shared" si="28"/>
        <v>0</v>
      </c>
      <c r="AA130">
        <f t="shared" si="29"/>
        <v>0</v>
      </c>
      <c r="AB130">
        <f t="shared" si="30"/>
        <v>0</v>
      </c>
      <c r="AC130">
        <f t="shared" si="31"/>
        <v>0</v>
      </c>
      <c r="AD130">
        <f t="shared" si="32"/>
        <v>0</v>
      </c>
      <c r="AE130">
        <f t="shared" si="33"/>
        <v>0</v>
      </c>
      <c r="AF130">
        <f t="shared" si="34"/>
        <v>356.3</v>
      </c>
    </row>
    <row r="131" spans="1:35" x14ac:dyDescent="0.25">
      <c r="B131" s="12"/>
      <c r="C131" t="s">
        <v>344</v>
      </c>
      <c r="D131" t="s">
        <v>345</v>
      </c>
      <c r="N131" s="1" t="s">
        <v>184</v>
      </c>
      <c r="W131" s="1" t="s">
        <v>184</v>
      </c>
    </row>
    <row r="132" spans="1:35" x14ac:dyDescent="0.25">
      <c r="B132" s="12"/>
      <c r="F132" s="1"/>
      <c r="G132" s="1"/>
      <c r="H132" s="1"/>
      <c r="I132" s="1"/>
      <c r="J132" s="1"/>
      <c r="K132" s="1"/>
      <c r="L132" s="1"/>
      <c r="M132" s="1"/>
      <c r="N132" s="1" t="s">
        <v>184</v>
      </c>
      <c r="O132" s="1"/>
      <c r="P132" s="1"/>
      <c r="Q132" s="1"/>
      <c r="R132" s="1"/>
      <c r="S132" s="1"/>
      <c r="T132" s="1"/>
      <c r="U132" s="1"/>
      <c r="V132" s="1"/>
      <c r="W132" s="1" t="s">
        <v>184</v>
      </c>
    </row>
    <row r="133" spans="1:35" x14ac:dyDescent="0.25">
      <c r="A133" t="s">
        <v>346</v>
      </c>
      <c r="B133" s="12"/>
      <c r="D133" t="s">
        <v>347</v>
      </c>
      <c r="E133" s="1"/>
      <c r="F133" s="1"/>
      <c r="G133" s="1"/>
      <c r="H133" s="1"/>
      <c r="I133" s="1"/>
      <c r="J133" s="1"/>
      <c r="K133" s="1"/>
      <c r="L133" s="1"/>
      <c r="M133" s="1"/>
      <c r="N133" s="1" t="s">
        <v>184</v>
      </c>
      <c r="O133" s="1" t="s">
        <v>200</v>
      </c>
      <c r="P133" s="1" t="s">
        <v>200</v>
      </c>
      <c r="Q133" s="1" t="s">
        <v>200</v>
      </c>
      <c r="R133" s="1"/>
      <c r="S133" s="1"/>
      <c r="T133" s="1"/>
      <c r="U133" s="1"/>
      <c r="V133" s="1" t="s">
        <v>200</v>
      </c>
      <c r="W133" s="1" t="s">
        <v>184</v>
      </c>
    </row>
    <row r="134" spans="1:35" x14ac:dyDescent="0.25">
      <c r="B134" s="12">
        <v>261</v>
      </c>
      <c r="C134" t="s">
        <v>348</v>
      </c>
      <c r="D134" t="s">
        <v>349</v>
      </c>
      <c r="E134" s="1" t="e">
        <f>E$62+E$63+0.17</f>
        <v>#REF!</v>
      </c>
      <c r="F134" s="1" t="e">
        <f>F$10+F$25</f>
        <v>#REF!</v>
      </c>
      <c r="G134" s="1" t="e">
        <f t="shared" ref="G134:K135" si="36">G$10</f>
        <v>#REF!</v>
      </c>
      <c r="H134" s="1" t="e">
        <f t="shared" si="36"/>
        <v>#REF!</v>
      </c>
      <c r="I134" s="1" t="e">
        <f t="shared" si="36"/>
        <v>#REF!</v>
      </c>
      <c r="J134" s="1">
        <f t="shared" si="36"/>
        <v>1.3032600000000004E-2</v>
      </c>
      <c r="K134" s="1">
        <f t="shared" si="36"/>
        <v>4.9841999999999997E-2</v>
      </c>
      <c r="L134" s="1" t="e">
        <f>L67</f>
        <v>#REF!</v>
      </c>
      <c r="M134" s="1" t="e">
        <f>SUM(E134:L134)</f>
        <v>#REF!</v>
      </c>
      <c r="N134" s="1" t="s">
        <v>184</v>
      </c>
      <c r="O134" s="1" t="e">
        <f>SUM(E134/M134)*100</f>
        <v>#REF!</v>
      </c>
      <c r="P134" s="1" t="e">
        <f>SUM(F134/M134)*100</f>
        <v>#REF!</v>
      </c>
      <c r="Q134" s="1" t="e">
        <f>SUM(G134/M134)*100</f>
        <v>#REF!</v>
      </c>
      <c r="R134" s="1" t="e">
        <f>SUM(H134/M134)*100</f>
        <v>#REF!</v>
      </c>
      <c r="S134" s="1" t="e">
        <f>SUM(I134/M134)*100</f>
        <v>#REF!</v>
      </c>
      <c r="T134" s="1" t="e">
        <f>SUM(J134/M134)*100</f>
        <v>#REF!</v>
      </c>
      <c r="U134" s="1" t="e">
        <f>SUM(K134/M134)*100</f>
        <v>#REF!</v>
      </c>
      <c r="V134" s="1" t="e">
        <f>SUM(L134/M134)*100</f>
        <v>#REF!</v>
      </c>
      <c r="W134" s="1" t="s">
        <v>184</v>
      </c>
      <c r="X134">
        <f>451275.32+145255.43+84110.83+48548.51</f>
        <v>729190.09</v>
      </c>
      <c r="Y134" t="e">
        <f t="shared" ref="Y134:AF135" si="37">(+O134/100)*$X134</f>
        <v>#REF!</v>
      </c>
      <c r="Z134" t="e">
        <f t="shared" si="37"/>
        <v>#REF!</v>
      </c>
      <c r="AA134" t="e">
        <f t="shared" si="37"/>
        <v>#REF!</v>
      </c>
      <c r="AB134" t="e">
        <f t="shared" si="37"/>
        <v>#REF!</v>
      </c>
      <c r="AC134" t="e">
        <f t="shared" si="37"/>
        <v>#REF!</v>
      </c>
      <c r="AD134" t="e">
        <f t="shared" si="37"/>
        <v>#REF!</v>
      </c>
      <c r="AE134" t="e">
        <f t="shared" si="37"/>
        <v>#REF!</v>
      </c>
      <c r="AF134" t="e">
        <f t="shared" si="37"/>
        <v>#REF!</v>
      </c>
      <c r="AH134">
        <v>63</v>
      </c>
      <c r="AI134">
        <v>31</v>
      </c>
    </row>
    <row r="135" spans="1:35" x14ac:dyDescent="0.25">
      <c r="B135" s="12">
        <v>261</v>
      </c>
      <c r="D135" t="s">
        <v>350</v>
      </c>
      <c r="E135" s="1" t="e">
        <f>E$62+E$63+0.17</f>
        <v>#REF!</v>
      </c>
      <c r="F135" s="1" t="e">
        <f>F$10+F$25</f>
        <v>#REF!</v>
      </c>
      <c r="G135" s="1" t="e">
        <f t="shared" si="36"/>
        <v>#REF!</v>
      </c>
      <c r="H135" s="1" t="e">
        <f t="shared" si="36"/>
        <v>#REF!</v>
      </c>
      <c r="I135" s="1" t="e">
        <f t="shared" si="36"/>
        <v>#REF!</v>
      </c>
      <c r="J135" s="1">
        <f t="shared" si="36"/>
        <v>1.3032600000000004E-2</v>
      </c>
      <c r="K135" s="1">
        <f t="shared" si="36"/>
        <v>4.9841999999999997E-2</v>
      </c>
      <c r="L135" s="1" t="e">
        <f>L67</f>
        <v>#REF!</v>
      </c>
      <c r="M135" s="1" t="e">
        <f>SUM(E135:L135)</f>
        <v>#REF!</v>
      </c>
      <c r="N135" s="1" t="s">
        <v>184</v>
      </c>
      <c r="O135" s="1" t="e">
        <f>SUM(E135/M135)*100</f>
        <v>#REF!</v>
      </c>
      <c r="P135" s="1" t="e">
        <f>SUM(F135/M135)*100</f>
        <v>#REF!</v>
      </c>
      <c r="Q135" s="1" t="e">
        <f>SUM(G135/M135)*100</f>
        <v>#REF!</v>
      </c>
      <c r="R135" s="1" t="e">
        <f>SUM(H135/M135)*100</f>
        <v>#REF!</v>
      </c>
      <c r="S135" s="1" t="e">
        <f>SUM(I135/M135)*100</f>
        <v>#REF!</v>
      </c>
      <c r="T135" s="1" t="e">
        <f>SUM(J135/M135)*100</f>
        <v>#REF!</v>
      </c>
      <c r="U135" s="1" t="e">
        <f>SUM(K135/M135)*100</f>
        <v>#REF!</v>
      </c>
      <c r="V135" s="1" t="e">
        <f>SUM(L135/M135)*100</f>
        <v>#REF!</v>
      </c>
      <c r="W135" s="1" t="s">
        <v>184</v>
      </c>
      <c r="X135">
        <v>34629.97</v>
      </c>
      <c r="Y135" t="e">
        <f t="shared" si="37"/>
        <v>#REF!</v>
      </c>
      <c r="Z135" t="e">
        <f t="shared" si="37"/>
        <v>#REF!</v>
      </c>
      <c r="AA135" t="e">
        <f t="shared" si="37"/>
        <v>#REF!</v>
      </c>
      <c r="AB135" t="e">
        <f t="shared" si="37"/>
        <v>#REF!</v>
      </c>
      <c r="AC135" t="e">
        <f t="shared" si="37"/>
        <v>#REF!</v>
      </c>
      <c r="AD135" t="e">
        <f t="shared" si="37"/>
        <v>#REF!</v>
      </c>
      <c r="AE135" t="e">
        <f t="shared" si="37"/>
        <v>#REF!</v>
      </c>
      <c r="AF135" t="e">
        <f t="shared" si="37"/>
        <v>#REF!</v>
      </c>
    </row>
    <row r="136" spans="1:35" x14ac:dyDescent="0.25">
      <c r="B136" s="12"/>
      <c r="E136" s="1"/>
      <c r="F136" s="1"/>
      <c r="G136" s="1"/>
      <c r="H136" s="1"/>
      <c r="I136" s="1"/>
      <c r="J136" s="1"/>
      <c r="K136" s="1"/>
      <c r="L136" s="1"/>
      <c r="M136" s="1"/>
      <c r="N136" s="1" t="s">
        <v>184</v>
      </c>
      <c r="O136" s="1"/>
      <c r="P136" s="1"/>
      <c r="Q136" s="1"/>
      <c r="R136" s="1"/>
      <c r="S136" s="1"/>
      <c r="T136" s="1"/>
      <c r="U136" s="1"/>
      <c r="V136" s="1"/>
      <c r="W136" s="1" t="s">
        <v>184</v>
      </c>
    </row>
    <row r="137" spans="1:35" x14ac:dyDescent="0.25">
      <c r="A137" t="s">
        <v>351</v>
      </c>
      <c r="B137" s="12"/>
      <c r="D137" t="s">
        <v>352</v>
      </c>
      <c r="E137" s="1"/>
      <c r="F137" s="1"/>
      <c r="G137" s="1"/>
      <c r="H137" s="1"/>
      <c r="I137" s="1"/>
      <c r="J137" s="1"/>
      <c r="K137" s="1"/>
      <c r="L137" s="1"/>
      <c r="M137" s="1"/>
      <c r="N137" s="1" t="s">
        <v>184</v>
      </c>
      <c r="O137" s="1" t="s">
        <v>200</v>
      </c>
      <c r="P137" s="1" t="s">
        <v>200</v>
      </c>
      <c r="Q137" s="1" t="s">
        <v>200</v>
      </c>
      <c r="R137" s="1"/>
      <c r="S137" s="1"/>
      <c r="T137" s="1"/>
      <c r="U137" s="1"/>
      <c r="V137" s="1" t="s">
        <v>200</v>
      </c>
      <c r="W137" s="1" t="s">
        <v>184</v>
      </c>
    </row>
    <row r="138" spans="1:35" x14ac:dyDescent="0.25">
      <c r="B138" s="12">
        <v>262</v>
      </c>
      <c r="C138" t="s">
        <v>353</v>
      </c>
      <c r="D138" t="s">
        <v>349</v>
      </c>
      <c r="E138" s="1">
        <f>E126</f>
        <v>1.3514145441856225</v>
      </c>
      <c r="F138" s="1">
        <v>0</v>
      </c>
      <c r="G138" s="1">
        <v>0</v>
      </c>
      <c r="H138" s="1">
        <v>0</v>
      </c>
      <c r="I138" s="1">
        <v>0</v>
      </c>
      <c r="J138" s="1">
        <v>0</v>
      </c>
      <c r="K138" s="1">
        <v>0</v>
      </c>
      <c r="L138" s="1">
        <f>L126</f>
        <v>14.168585455814378</v>
      </c>
      <c r="M138" s="1">
        <f>M126</f>
        <v>15.520000000000001</v>
      </c>
      <c r="N138" s="1" t="s">
        <v>184</v>
      </c>
      <c r="O138" s="1">
        <f>SUM(E138/M138)*100</f>
        <v>8.7075679393403504</v>
      </c>
      <c r="P138" s="1">
        <f>SUM(F138/M138)*100</f>
        <v>0</v>
      </c>
      <c r="Q138" s="1">
        <f>SUM(G138/M138)*100</f>
        <v>0</v>
      </c>
      <c r="R138" s="1">
        <f>SUM(H138/M138)*100</f>
        <v>0</v>
      </c>
      <c r="S138" s="1">
        <f>SUM(I138/M138)*100</f>
        <v>0</v>
      </c>
      <c r="T138" s="1">
        <f>SUM(J138/M138)*100</f>
        <v>0</v>
      </c>
      <c r="U138" s="1">
        <f>SUM(K138/M138)*100</f>
        <v>0</v>
      </c>
      <c r="V138" s="1">
        <f>SUM(L138/M138)*100</f>
        <v>91.29243206065965</v>
      </c>
      <c r="W138" s="1" t="s">
        <v>184</v>
      </c>
      <c r="X138">
        <f>45904.16+1588.84+36562.41+27125.08</f>
        <v>111180.49</v>
      </c>
      <c r="Y138">
        <f t="shared" ref="Y138:AF138" si="38">(+O138/100)*$X138</f>
        <v>9681.1167020415051</v>
      </c>
      <c r="Z138">
        <f t="shared" si="38"/>
        <v>0</v>
      </c>
      <c r="AA138">
        <f t="shared" si="38"/>
        <v>0</v>
      </c>
      <c r="AB138">
        <f t="shared" si="38"/>
        <v>0</v>
      </c>
      <c r="AC138">
        <f t="shared" si="38"/>
        <v>0</v>
      </c>
      <c r="AD138">
        <f t="shared" si="38"/>
        <v>0</v>
      </c>
      <c r="AE138">
        <f t="shared" si="38"/>
        <v>0</v>
      </c>
      <c r="AF138">
        <f t="shared" si="38"/>
        <v>101499.37329795849</v>
      </c>
    </row>
    <row r="139" spans="1:35" x14ac:dyDescent="0.25">
      <c r="B139" s="12"/>
      <c r="N139" s="1" t="s">
        <v>184</v>
      </c>
      <c r="W139" s="1" t="s">
        <v>184</v>
      </c>
    </row>
    <row r="140" spans="1:35" x14ac:dyDescent="0.25">
      <c r="A140" t="s">
        <v>354</v>
      </c>
      <c r="B140" s="12"/>
      <c r="D140" t="s">
        <v>355</v>
      </c>
      <c r="N140" s="1" t="s">
        <v>184</v>
      </c>
      <c r="W140" s="1" t="s">
        <v>184</v>
      </c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</row>
    <row r="141" spans="1:35" x14ac:dyDescent="0.25">
      <c r="B141" s="12">
        <v>263</v>
      </c>
      <c r="C141" t="s">
        <v>356</v>
      </c>
      <c r="D141" t="s">
        <v>357</v>
      </c>
      <c r="E141" s="11">
        <f>YR_HC_RPT!$R$91</f>
        <v>0.29837705479452059</v>
      </c>
      <c r="F141" s="1">
        <v>0</v>
      </c>
      <c r="G141" s="1">
        <v>0</v>
      </c>
      <c r="H141" s="1">
        <v>0</v>
      </c>
      <c r="I141" s="1">
        <v>0</v>
      </c>
      <c r="J141" s="1">
        <v>0</v>
      </c>
      <c r="K141" s="1">
        <v>0</v>
      </c>
      <c r="L141" s="1">
        <f>SUM(M141-E141)</f>
        <v>0.97817089041095895</v>
      </c>
      <c r="M141" s="38">
        <f>E186/365</f>
        <v>1.2765479452054795</v>
      </c>
      <c r="N141" s="1" t="s">
        <v>184</v>
      </c>
      <c r="O141" s="1">
        <f>SUM(E141/M141)*100</f>
        <v>23.373744473537368</v>
      </c>
      <c r="P141" s="1">
        <f>SUM(F141/M141)*100</f>
        <v>0</v>
      </c>
      <c r="Q141" s="1">
        <f>SUM(G141/M141)*100</f>
        <v>0</v>
      </c>
      <c r="R141" s="1">
        <f>SUM(H141/M141)*100</f>
        <v>0</v>
      </c>
      <c r="S141" s="1">
        <f>SUM(I141/M141)*100</f>
        <v>0</v>
      </c>
      <c r="T141" s="1">
        <f>SUM(J141/M141)*100</f>
        <v>0</v>
      </c>
      <c r="U141" s="1">
        <f>SUM(K141/M141)*100</f>
        <v>0</v>
      </c>
      <c r="V141" s="1">
        <f>SUM(L141/M141)*100</f>
        <v>76.626255526462629</v>
      </c>
      <c r="W141" s="1" t="s">
        <v>184</v>
      </c>
      <c r="X141">
        <f>33023.84+932.2+20487.16+20024.63</f>
        <v>74467.83</v>
      </c>
      <c r="Y141">
        <f t="shared" ref="Y141:AF141" si="39">(+O141/100)*$X141</f>
        <v>17405.920299188201</v>
      </c>
      <c r="Z141">
        <f t="shared" si="39"/>
        <v>0</v>
      </c>
      <c r="AA141">
        <f t="shared" si="39"/>
        <v>0</v>
      </c>
      <c r="AB141">
        <f t="shared" si="39"/>
        <v>0</v>
      </c>
      <c r="AC141">
        <f t="shared" si="39"/>
        <v>0</v>
      </c>
      <c r="AD141">
        <f t="shared" si="39"/>
        <v>0</v>
      </c>
      <c r="AE141">
        <f t="shared" si="39"/>
        <v>0</v>
      </c>
      <c r="AF141">
        <f t="shared" si="39"/>
        <v>57061.909700811797</v>
      </c>
    </row>
    <row r="142" spans="1:35" x14ac:dyDescent="0.25">
      <c r="B142" s="12"/>
      <c r="N142" s="1" t="s">
        <v>184</v>
      </c>
      <c r="W142" s="1" t="s">
        <v>184</v>
      </c>
    </row>
    <row r="143" spans="1:35" x14ac:dyDescent="0.25">
      <c r="A143" t="s">
        <v>358</v>
      </c>
      <c r="B143" s="12"/>
      <c r="D143" t="s">
        <v>359</v>
      </c>
      <c r="N143" s="1" t="s">
        <v>184</v>
      </c>
      <c r="W143" s="1" t="s">
        <v>184</v>
      </c>
    </row>
    <row r="144" spans="1:35" x14ac:dyDescent="0.25">
      <c r="B144" s="12">
        <v>264</v>
      </c>
      <c r="C144" t="s">
        <v>360</v>
      </c>
      <c r="D144" t="s">
        <v>357</v>
      </c>
      <c r="E144" s="1">
        <v>0</v>
      </c>
      <c r="F144" s="1">
        <v>0</v>
      </c>
      <c r="G144" s="1">
        <v>0</v>
      </c>
      <c r="H144" s="1">
        <v>0</v>
      </c>
      <c r="I144" s="1">
        <v>0</v>
      </c>
      <c r="J144" s="1">
        <v>0</v>
      </c>
      <c r="K144" s="1">
        <v>0</v>
      </c>
      <c r="L144" s="38">
        <f>E185/365</f>
        <v>6.1520547945205477</v>
      </c>
      <c r="M144" s="1">
        <f>SUM(E144:L144)</f>
        <v>6.1520547945205477</v>
      </c>
      <c r="N144" s="1" t="s">
        <v>184</v>
      </c>
      <c r="O144" s="1">
        <f>SUM(E144/M144)*100</f>
        <v>0</v>
      </c>
      <c r="P144" s="1">
        <f>SUM(F144/M144)*100</f>
        <v>0</v>
      </c>
      <c r="Q144" s="1">
        <f>SUM(G144/M144)*100</f>
        <v>0</v>
      </c>
      <c r="R144" s="1">
        <f>SUM(H144/M144)*100</f>
        <v>0</v>
      </c>
      <c r="S144" s="1">
        <f>SUM(I144/M144)*100</f>
        <v>0</v>
      </c>
      <c r="T144" s="1">
        <f>SUM(J144/M144)*100</f>
        <v>0</v>
      </c>
      <c r="U144" s="1">
        <f>SUM(K144/M144)*100</f>
        <v>0</v>
      </c>
      <c r="V144" s="1">
        <f>SUM(L144/M144)*100</f>
        <v>100</v>
      </c>
      <c r="W144" s="1" t="s">
        <v>184</v>
      </c>
      <c r="X144">
        <f>19593.97+1614.38+26021.89+8815.85</f>
        <v>56046.090000000004</v>
      </c>
      <c r="Y144">
        <f t="shared" ref="Y144:AF144" si="40">(+O144/100)*$X144</f>
        <v>0</v>
      </c>
      <c r="Z144">
        <f t="shared" si="40"/>
        <v>0</v>
      </c>
      <c r="AA144">
        <f t="shared" si="40"/>
        <v>0</v>
      </c>
      <c r="AB144">
        <f t="shared" si="40"/>
        <v>0</v>
      </c>
      <c r="AC144">
        <f t="shared" si="40"/>
        <v>0</v>
      </c>
      <c r="AD144">
        <f t="shared" si="40"/>
        <v>0</v>
      </c>
      <c r="AE144">
        <f t="shared" si="40"/>
        <v>0</v>
      </c>
      <c r="AF144">
        <f t="shared" si="40"/>
        <v>56046.090000000004</v>
      </c>
    </row>
    <row r="145" spans="1:32" x14ac:dyDescent="0.25">
      <c r="B145" s="12"/>
      <c r="N145" s="1" t="s">
        <v>184</v>
      </c>
      <c r="W145" s="1" t="s">
        <v>184</v>
      </c>
    </row>
    <row r="146" spans="1:32" x14ac:dyDescent="0.25">
      <c r="A146" t="s">
        <v>361</v>
      </c>
      <c r="B146" s="12"/>
      <c r="D146" t="s">
        <v>362</v>
      </c>
      <c r="E146" s="1"/>
      <c r="F146" s="1"/>
      <c r="G146" s="1"/>
      <c r="H146" s="1"/>
      <c r="I146" s="1"/>
      <c r="J146" s="1"/>
      <c r="K146" s="1"/>
      <c r="L146" s="1"/>
      <c r="M146" s="1"/>
      <c r="N146" s="1" t="s">
        <v>184</v>
      </c>
      <c r="O146" s="1" t="s">
        <v>200</v>
      </c>
      <c r="P146" s="1" t="s">
        <v>200</v>
      </c>
      <c r="Q146" s="1" t="s">
        <v>200</v>
      </c>
      <c r="R146" s="1"/>
      <c r="S146" s="1"/>
      <c r="T146" s="1"/>
      <c r="U146" s="1"/>
      <c r="V146" s="1" t="s">
        <v>200</v>
      </c>
      <c r="W146" s="1" t="s">
        <v>184</v>
      </c>
      <c r="Y146" s="1"/>
      <c r="Z146" s="1"/>
      <c r="AA146" s="1"/>
      <c r="AB146" s="1"/>
      <c r="AC146" s="1"/>
      <c r="AD146" s="1"/>
      <c r="AE146" s="1"/>
      <c r="AF146" s="1"/>
    </row>
    <row r="147" spans="1:32" x14ac:dyDescent="0.25">
      <c r="B147" s="12">
        <v>270</v>
      </c>
      <c r="C147" t="s">
        <v>363</v>
      </c>
      <c r="D147" t="s">
        <v>349</v>
      </c>
      <c r="E147" s="1">
        <f>E$81</f>
        <v>56.519958854396826</v>
      </c>
      <c r="F147" s="1">
        <v>0</v>
      </c>
      <c r="G147" s="1">
        <v>0</v>
      </c>
      <c r="H147" s="1">
        <v>0</v>
      </c>
      <c r="I147" s="1">
        <v>0</v>
      </c>
      <c r="J147" s="1">
        <v>0</v>
      </c>
      <c r="K147" s="1">
        <v>0</v>
      </c>
      <c r="L147" s="1">
        <f>L$81</f>
        <v>16.22206448228577</v>
      </c>
      <c r="M147" s="1">
        <f>SUM(E147:L147)</f>
        <v>72.742023336682593</v>
      </c>
      <c r="N147" s="1" t="s">
        <v>184</v>
      </c>
      <c r="O147" s="1">
        <f>SUM(E147/M147)*100</f>
        <v>77.699184407886477</v>
      </c>
      <c r="P147" s="1">
        <f>SUM(F147/M147)*100</f>
        <v>0</v>
      </c>
      <c r="Q147" s="1">
        <f>SUM(G147/M147)*100</f>
        <v>0</v>
      </c>
      <c r="R147" s="1">
        <f>SUM(H147/M147)*100</f>
        <v>0</v>
      </c>
      <c r="S147" s="1">
        <f>SUM(I147/M147)*100</f>
        <v>0</v>
      </c>
      <c r="T147" s="1">
        <f>SUM(J147/M147)*100</f>
        <v>0</v>
      </c>
      <c r="U147" s="1">
        <f>SUM(K147/M147)*100</f>
        <v>0</v>
      </c>
      <c r="V147" s="1">
        <f>SUM(L147/M147)*100</f>
        <v>22.300815592113523</v>
      </c>
      <c r="W147" s="1" t="s">
        <v>184</v>
      </c>
      <c r="X147">
        <f>829.43+103.34+28.63+90.82</f>
        <v>1052.22</v>
      </c>
      <c r="Y147">
        <f t="shared" ref="Y147:AF147" si="41">(+O147/100)*$X147</f>
        <v>817.56635817666313</v>
      </c>
      <c r="Z147">
        <f t="shared" si="41"/>
        <v>0</v>
      </c>
      <c r="AA147">
        <f t="shared" si="41"/>
        <v>0</v>
      </c>
      <c r="AB147">
        <f t="shared" si="41"/>
        <v>0</v>
      </c>
      <c r="AC147">
        <f t="shared" si="41"/>
        <v>0</v>
      </c>
      <c r="AD147">
        <f t="shared" si="41"/>
        <v>0</v>
      </c>
      <c r="AE147">
        <f t="shared" si="41"/>
        <v>0</v>
      </c>
      <c r="AF147">
        <f t="shared" si="41"/>
        <v>234.65364182333693</v>
      </c>
    </row>
    <row r="148" spans="1:32" x14ac:dyDescent="0.25">
      <c r="B148" s="12"/>
      <c r="N148" s="1" t="s">
        <v>184</v>
      </c>
      <c r="W148" s="1" t="s">
        <v>184</v>
      </c>
    </row>
    <row r="149" spans="1:32" x14ac:dyDescent="0.25">
      <c r="A149" t="s">
        <v>364</v>
      </c>
      <c r="B149" s="12"/>
      <c r="D149" t="s">
        <v>365</v>
      </c>
      <c r="N149" s="1" t="s">
        <v>184</v>
      </c>
      <c r="W149" s="1" t="s">
        <v>184</v>
      </c>
    </row>
    <row r="150" spans="1:32" x14ac:dyDescent="0.25">
      <c r="B150" s="12">
        <v>271</v>
      </c>
      <c r="C150" t="s">
        <v>366</v>
      </c>
      <c r="D150" t="s">
        <v>349</v>
      </c>
      <c r="E150" s="1" t="e">
        <f>E$93</f>
        <v>#REF!</v>
      </c>
      <c r="F150" s="1" t="e">
        <f>F$10+F$25</f>
        <v>#REF!</v>
      </c>
      <c r="G150" s="1" t="e">
        <f>G$10</f>
        <v>#REF!</v>
      </c>
      <c r="H150" s="1" t="e">
        <f>H$10</f>
        <v>#REF!</v>
      </c>
      <c r="I150" s="1" t="e">
        <f>I$10</f>
        <v>#REF!</v>
      </c>
      <c r="J150" s="1">
        <f>J$10</f>
        <v>1.3032600000000004E-2</v>
      </c>
      <c r="K150" s="1">
        <f>K$10</f>
        <v>4.9841999999999997E-2</v>
      </c>
      <c r="L150" s="1" t="e">
        <f>L$67+L$96</f>
        <v>#REF!</v>
      </c>
      <c r="M150" s="1" t="e">
        <f>SUM(E150:L150)</f>
        <v>#REF!</v>
      </c>
      <c r="N150" s="1" t="s">
        <v>184</v>
      </c>
      <c r="O150" s="1" t="e">
        <f>SUM(E150/M150)*100</f>
        <v>#REF!</v>
      </c>
      <c r="P150" s="1" t="e">
        <f>SUM(F150/M150)*100</f>
        <v>#REF!</v>
      </c>
      <c r="Q150" s="1" t="e">
        <f>SUM(G150/M150)*100</f>
        <v>#REF!</v>
      </c>
      <c r="R150" s="1" t="e">
        <f>SUM(H150/M150)*100</f>
        <v>#REF!</v>
      </c>
      <c r="S150" s="1" t="e">
        <f>SUM(I150/M150)*100</f>
        <v>#REF!</v>
      </c>
      <c r="T150" s="1" t="e">
        <f>SUM(J150/M150)*100</f>
        <v>#REF!</v>
      </c>
      <c r="U150" s="1" t="e">
        <f>SUM(K150/M150)*100</f>
        <v>#REF!</v>
      </c>
      <c r="V150" s="1" t="e">
        <f>SUM(L150/M150)*100</f>
        <v>#REF!</v>
      </c>
      <c r="W150" s="1" t="s">
        <v>184</v>
      </c>
      <c r="X150">
        <f>690+194.58+160.2</f>
        <v>1044.78</v>
      </c>
      <c r="Y150" t="e">
        <f t="shared" ref="Y150:AF150" si="42">(+O150/100)*$X150</f>
        <v>#REF!</v>
      </c>
      <c r="Z150" t="e">
        <f t="shared" si="42"/>
        <v>#REF!</v>
      </c>
      <c r="AA150" t="e">
        <f t="shared" si="42"/>
        <v>#REF!</v>
      </c>
      <c r="AB150" t="e">
        <f t="shared" si="42"/>
        <v>#REF!</v>
      </c>
      <c r="AC150" t="e">
        <f t="shared" si="42"/>
        <v>#REF!</v>
      </c>
      <c r="AD150" t="e">
        <f t="shared" si="42"/>
        <v>#REF!</v>
      </c>
      <c r="AE150" t="e">
        <f t="shared" si="42"/>
        <v>#REF!</v>
      </c>
      <c r="AF150" t="e">
        <f t="shared" si="42"/>
        <v>#REF!</v>
      </c>
    </row>
    <row r="151" spans="1:32" x14ac:dyDescent="0.25">
      <c r="B151" s="12"/>
      <c r="E151" s="1"/>
      <c r="F151" s="1"/>
      <c r="G151" s="1"/>
      <c r="H151" s="1"/>
      <c r="I151" s="1"/>
      <c r="J151" s="1"/>
      <c r="K151" s="1"/>
      <c r="L151" s="1"/>
      <c r="M151" s="1"/>
      <c r="N151" s="1" t="s">
        <v>184</v>
      </c>
      <c r="O151" s="1" t="s">
        <v>200</v>
      </c>
      <c r="P151" s="1" t="s">
        <v>200</v>
      </c>
      <c r="Q151" s="1" t="s">
        <v>200</v>
      </c>
      <c r="R151" s="1"/>
      <c r="S151" s="1"/>
      <c r="T151" s="1"/>
      <c r="U151" s="1"/>
      <c r="V151" s="1" t="s">
        <v>200</v>
      </c>
      <c r="W151" s="1" t="s">
        <v>184</v>
      </c>
    </row>
    <row r="152" spans="1:32" x14ac:dyDescent="0.25">
      <c r="A152" t="s">
        <v>367</v>
      </c>
      <c r="B152" s="12"/>
      <c r="D152" t="s">
        <v>368</v>
      </c>
      <c r="E152" s="1"/>
      <c r="F152" s="1"/>
      <c r="G152" s="1"/>
      <c r="H152" s="1"/>
      <c r="I152" s="1"/>
      <c r="J152" s="1"/>
      <c r="K152" s="1"/>
      <c r="L152" s="1"/>
      <c r="M152" s="1"/>
      <c r="N152" s="1" t="s">
        <v>184</v>
      </c>
      <c r="O152" s="1"/>
      <c r="P152" s="1"/>
      <c r="Q152" s="1"/>
      <c r="R152" s="1"/>
      <c r="S152" s="1"/>
      <c r="T152" s="1"/>
      <c r="U152" s="1"/>
      <c r="V152" s="1"/>
      <c r="W152" s="1" t="s">
        <v>184</v>
      </c>
    </row>
    <row r="153" spans="1:32" x14ac:dyDescent="0.25">
      <c r="B153" s="12"/>
      <c r="D153" t="s">
        <v>357</v>
      </c>
      <c r="E153" s="1" t="e">
        <f>E$97+E$112</f>
        <v>#REF!</v>
      </c>
      <c r="F153" s="1" t="e">
        <f>F$10+F$25</f>
        <v>#REF!</v>
      </c>
      <c r="G153" s="1" t="e">
        <f t="shared" ref="G153:K155" si="43">G$10</f>
        <v>#REF!</v>
      </c>
      <c r="H153" s="1" t="e">
        <f t="shared" si="43"/>
        <v>#REF!</v>
      </c>
      <c r="I153" s="1" t="e">
        <f t="shared" si="43"/>
        <v>#REF!</v>
      </c>
      <c r="J153" s="1">
        <f t="shared" si="43"/>
        <v>1.3032600000000004E-2</v>
      </c>
      <c r="K153" s="1">
        <f t="shared" si="43"/>
        <v>4.9841999999999997E-2</v>
      </c>
      <c r="L153" s="1" t="e">
        <f>L96+L97+L111+L112</f>
        <v>#REF!</v>
      </c>
      <c r="M153" s="1" t="e">
        <f>SUM(E153:L153)</f>
        <v>#REF!</v>
      </c>
      <c r="N153" s="1" t="s">
        <v>184</v>
      </c>
      <c r="O153" s="1" t="e">
        <f>SUM(E153/M153)*100</f>
        <v>#REF!</v>
      </c>
      <c r="P153" s="1" t="e">
        <f>SUM(F153/M153)*100</f>
        <v>#REF!</v>
      </c>
      <c r="Q153" s="1" t="e">
        <f>SUM(G153/M153)*100</f>
        <v>#REF!</v>
      </c>
      <c r="R153" s="1" t="e">
        <f>SUM(H153/M153)*100</f>
        <v>#REF!</v>
      </c>
      <c r="S153" s="1" t="e">
        <f>SUM(I153/M153)*100</f>
        <v>#REF!</v>
      </c>
      <c r="T153" s="1" t="e">
        <f>SUM(J153/M153)*100</f>
        <v>#REF!</v>
      </c>
      <c r="U153" s="1" t="e">
        <f>SUM(K153/M153)*100</f>
        <v>#REF!</v>
      </c>
      <c r="V153" s="1" t="e">
        <f>SUM(L153/M153)*100</f>
        <v>#REF!</v>
      </c>
      <c r="W153" s="1" t="s">
        <v>184</v>
      </c>
      <c r="X153">
        <f>46084320.54+4040292.07+10681.84+4227039.3-4421568.17-240788.7-27777.92</f>
        <v>49672198.959999993</v>
      </c>
      <c r="Y153" t="e">
        <f t="shared" ref="Y153:AF155" si="44">(+O153/100)*$X153</f>
        <v>#REF!</v>
      </c>
      <c r="Z153" t="e">
        <f t="shared" si="44"/>
        <v>#REF!</v>
      </c>
      <c r="AA153" t="e">
        <f t="shared" si="44"/>
        <v>#REF!</v>
      </c>
      <c r="AB153" t="e">
        <f t="shared" si="44"/>
        <v>#REF!</v>
      </c>
      <c r="AC153" t="e">
        <f t="shared" si="44"/>
        <v>#REF!</v>
      </c>
      <c r="AD153" t="e">
        <f t="shared" si="44"/>
        <v>#REF!</v>
      </c>
      <c r="AE153" t="e">
        <f t="shared" si="44"/>
        <v>#REF!</v>
      </c>
      <c r="AF153" t="e">
        <f t="shared" si="44"/>
        <v>#REF!</v>
      </c>
    </row>
    <row r="154" spans="1:32" x14ac:dyDescent="0.25">
      <c r="B154" s="12"/>
      <c r="D154" t="s">
        <v>350</v>
      </c>
      <c r="E154" s="1" t="e">
        <f>E$97+E$112</f>
        <v>#REF!</v>
      </c>
      <c r="F154" s="1" t="e">
        <f>F$10+F$25</f>
        <v>#REF!</v>
      </c>
      <c r="G154" s="1" t="e">
        <f t="shared" si="43"/>
        <v>#REF!</v>
      </c>
      <c r="H154" s="1" t="e">
        <f t="shared" si="43"/>
        <v>#REF!</v>
      </c>
      <c r="I154" s="1" t="e">
        <f t="shared" si="43"/>
        <v>#REF!</v>
      </c>
      <c r="J154" s="1">
        <f t="shared" si="43"/>
        <v>1.3032600000000004E-2</v>
      </c>
      <c r="K154" s="1">
        <f t="shared" si="43"/>
        <v>4.9841999999999997E-2</v>
      </c>
      <c r="L154" s="1" t="e">
        <f>L153</f>
        <v>#REF!</v>
      </c>
      <c r="M154" s="1" t="e">
        <f>SUM(E154:L154)</f>
        <v>#REF!</v>
      </c>
      <c r="N154" s="1" t="s">
        <v>184</v>
      </c>
      <c r="O154" s="1" t="e">
        <f>SUM(E154/M154)*100</f>
        <v>#REF!</v>
      </c>
      <c r="P154" s="1" t="e">
        <f>SUM(F154/M154)*100</f>
        <v>#REF!</v>
      </c>
      <c r="Q154" s="1" t="e">
        <f>SUM(G154/M154)*100</f>
        <v>#REF!</v>
      </c>
      <c r="R154" s="1" t="e">
        <f>SUM(H154/M154)*100</f>
        <v>#REF!</v>
      </c>
      <c r="S154" s="1" t="e">
        <f>SUM(I154/M154)*100</f>
        <v>#REF!</v>
      </c>
      <c r="T154" s="1" t="e">
        <f>SUM(J154/M154)*100</f>
        <v>#REF!</v>
      </c>
      <c r="U154" s="1" t="e">
        <f>SUM(K154/M154)*100</f>
        <v>#REF!</v>
      </c>
      <c r="V154" s="1" t="e">
        <f>SUM(L154/M154)*100</f>
        <v>#REF!</v>
      </c>
      <c r="W154" s="1" t="s">
        <v>184</v>
      </c>
      <c r="X154">
        <v>599994.69999999995</v>
      </c>
      <c r="Y154" t="e">
        <f t="shared" si="44"/>
        <v>#REF!</v>
      </c>
      <c r="Z154" t="e">
        <f t="shared" si="44"/>
        <v>#REF!</v>
      </c>
      <c r="AA154" t="e">
        <f t="shared" si="44"/>
        <v>#REF!</v>
      </c>
      <c r="AB154" t="e">
        <f t="shared" si="44"/>
        <v>#REF!</v>
      </c>
      <c r="AC154" t="e">
        <f t="shared" si="44"/>
        <v>#REF!</v>
      </c>
      <c r="AD154" t="e">
        <f t="shared" si="44"/>
        <v>#REF!</v>
      </c>
      <c r="AE154" t="e">
        <f t="shared" si="44"/>
        <v>#REF!</v>
      </c>
      <c r="AF154" t="e">
        <f t="shared" si="44"/>
        <v>#REF!</v>
      </c>
    </row>
    <row r="155" spans="1:32" x14ac:dyDescent="0.25">
      <c r="B155" s="12"/>
      <c r="D155" t="s">
        <v>369</v>
      </c>
      <c r="E155" s="1" t="e">
        <f>E$97+E$112</f>
        <v>#REF!</v>
      </c>
      <c r="F155" s="1" t="e">
        <f>F$10+F$25</f>
        <v>#REF!</v>
      </c>
      <c r="G155" s="1" t="e">
        <f t="shared" si="43"/>
        <v>#REF!</v>
      </c>
      <c r="H155" s="1" t="e">
        <f t="shared" si="43"/>
        <v>#REF!</v>
      </c>
      <c r="I155" s="1" t="e">
        <f t="shared" si="43"/>
        <v>#REF!</v>
      </c>
      <c r="J155" s="1">
        <f t="shared" si="43"/>
        <v>1.3032600000000004E-2</v>
      </c>
      <c r="K155" s="1">
        <f t="shared" si="43"/>
        <v>4.9841999999999997E-2</v>
      </c>
      <c r="L155" s="1" t="e">
        <f>L153</f>
        <v>#REF!</v>
      </c>
      <c r="M155" s="1" t="e">
        <f>SUM(E155:L155)</f>
        <v>#REF!</v>
      </c>
      <c r="N155" s="1" t="s">
        <v>184</v>
      </c>
      <c r="O155" s="1" t="e">
        <f>SUM(E155/M155)*100</f>
        <v>#REF!</v>
      </c>
      <c r="P155" s="1" t="e">
        <f>SUM(F155/M155)*100</f>
        <v>#REF!</v>
      </c>
      <c r="Q155" s="1" t="e">
        <f>SUM(G155/M155)*100</f>
        <v>#REF!</v>
      </c>
      <c r="R155" s="1" t="e">
        <f>SUM(H155/M155)*100</f>
        <v>#REF!</v>
      </c>
      <c r="S155" s="1" t="e">
        <f>SUM(I155/M155)*100</f>
        <v>#REF!</v>
      </c>
      <c r="T155" s="1" t="e">
        <f>SUM(J155/M155)*100</f>
        <v>#REF!</v>
      </c>
      <c r="U155" s="1" t="e">
        <f>SUM(K155/M155)*100</f>
        <v>#REF!</v>
      </c>
      <c r="V155" s="1" t="e">
        <f>SUM(L155/M155)*100</f>
        <v>#REF!</v>
      </c>
      <c r="W155" s="1" t="s">
        <v>184</v>
      </c>
      <c r="X155">
        <f>15441997.91+541.44+5870.16+5581.1-15789.25</f>
        <v>15438201.359999999</v>
      </c>
      <c r="Y155" t="e">
        <f t="shared" si="44"/>
        <v>#REF!</v>
      </c>
      <c r="Z155" t="e">
        <f t="shared" si="44"/>
        <v>#REF!</v>
      </c>
      <c r="AA155" t="e">
        <f t="shared" si="44"/>
        <v>#REF!</v>
      </c>
      <c r="AB155" t="e">
        <f t="shared" si="44"/>
        <v>#REF!</v>
      </c>
      <c r="AC155" t="e">
        <f t="shared" si="44"/>
        <v>#REF!</v>
      </c>
      <c r="AD155" t="e">
        <f t="shared" si="44"/>
        <v>#REF!</v>
      </c>
      <c r="AE155" t="e">
        <f t="shared" si="44"/>
        <v>#REF!</v>
      </c>
      <c r="AF155" t="e">
        <f t="shared" si="44"/>
        <v>#REF!</v>
      </c>
    </row>
    <row r="156" spans="1:32" x14ac:dyDescent="0.25">
      <c r="B156" s="12"/>
      <c r="D156" t="s">
        <v>370</v>
      </c>
      <c r="E156" s="1"/>
      <c r="F156" s="1"/>
      <c r="G156" s="1"/>
      <c r="H156" s="1"/>
      <c r="I156" s="1"/>
      <c r="J156" s="1"/>
      <c r="K156" s="1"/>
      <c r="L156" s="1"/>
      <c r="M156" s="51">
        <v>1.7697500000000002</v>
      </c>
      <c r="N156" s="1" t="s">
        <v>184</v>
      </c>
      <c r="O156" s="1"/>
      <c r="P156" s="1"/>
      <c r="Q156" s="1"/>
      <c r="R156" s="1"/>
      <c r="S156" s="1"/>
      <c r="T156" s="1"/>
      <c r="U156" s="1"/>
      <c r="V156" s="1"/>
      <c r="W156" s="1" t="s">
        <v>184</v>
      </c>
    </row>
    <row r="157" spans="1:32" x14ac:dyDescent="0.25">
      <c r="B157" s="12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</row>
    <row r="158" spans="1:32" x14ac:dyDescent="0.25">
      <c r="B158" s="12"/>
      <c r="D158" t="s">
        <v>371</v>
      </c>
      <c r="E158" s="1"/>
      <c r="F158" s="1"/>
      <c r="G158" s="1"/>
      <c r="H158" s="1"/>
      <c r="I158" s="1"/>
      <c r="J158" s="1"/>
      <c r="K158" s="1"/>
      <c r="L158" s="1"/>
      <c r="N158" s="1" t="s">
        <v>184</v>
      </c>
      <c r="O158" s="1"/>
      <c r="P158" s="1"/>
      <c r="Q158" s="1"/>
      <c r="R158" s="1"/>
      <c r="S158" s="1"/>
      <c r="T158" s="1"/>
      <c r="U158" s="1"/>
      <c r="V158" s="1"/>
      <c r="W158" s="1" t="s">
        <v>184</v>
      </c>
      <c r="X158">
        <f t="shared" ref="X158:AF158" si="45">SUM(X10:X155)*0.0992</f>
        <v>6663736.9617919987</v>
      </c>
      <c r="Y158" t="e">
        <f t="shared" si="45"/>
        <v>#REF!</v>
      </c>
      <c r="Z158" t="e">
        <f t="shared" si="45"/>
        <v>#REF!</v>
      </c>
      <c r="AA158" t="e">
        <f t="shared" si="45"/>
        <v>#REF!</v>
      </c>
      <c r="AB158" t="e">
        <f t="shared" si="45"/>
        <v>#REF!</v>
      </c>
      <c r="AC158" t="e">
        <f t="shared" si="45"/>
        <v>#REF!</v>
      </c>
      <c r="AD158" t="e">
        <f t="shared" si="45"/>
        <v>#REF!</v>
      </c>
      <c r="AE158" t="e">
        <f t="shared" si="45"/>
        <v>#REF!</v>
      </c>
      <c r="AF158" t="e">
        <f t="shared" si="45"/>
        <v>#REF!</v>
      </c>
    </row>
    <row r="159" spans="1:32" x14ac:dyDescent="0.25">
      <c r="B159" s="12"/>
      <c r="E159" s="1"/>
      <c r="F159" s="1"/>
      <c r="G159" s="1"/>
      <c r="H159" s="1"/>
      <c r="I159" s="1"/>
      <c r="J159" s="1"/>
      <c r="K159" s="1"/>
      <c r="L159" s="1"/>
      <c r="M159" s="1"/>
      <c r="N159" s="1" t="s">
        <v>184</v>
      </c>
      <c r="O159" s="1"/>
      <c r="P159" s="1"/>
      <c r="Q159" s="1"/>
      <c r="R159" s="1"/>
      <c r="S159" s="1"/>
      <c r="T159" s="1"/>
      <c r="U159" s="1"/>
      <c r="V159" s="1"/>
      <c r="W159" s="1" t="s">
        <v>184</v>
      </c>
    </row>
    <row r="160" spans="1:32" x14ac:dyDescent="0.25">
      <c r="B160" s="12"/>
      <c r="C160" t="s">
        <v>372</v>
      </c>
      <c r="D160" t="s">
        <v>373</v>
      </c>
      <c r="E160" s="1" t="e">
        <f>E$97+E$112</f>
        <v>#REF!</v>
      </c>
      <c r="F160" s="1" t="e">
        <f>F$10+F$25</f>
        <v>#REF!</v>
      </c>
      <c r="G160" s="1" t="e">
        <f>G$10</f>
        <v>#REF!</v>
      </c>
      <c r="H160" s="1" t="e">
        <f>H$10</f>
        <v>#REF!</v>
      </c>
      <c r="I160" s="1" t="e">
        <f>I$10</f>
        <v>#REF!</v>
      </c>
      <c r="J160" s="1">
        <f>J$10</f>
        <v>1.3032600000000004E-2</v>
      </c>
      <c r="K160" s="1">
        <f>K$10</f>
        <v>4.9841999999999997E-2</v>
      </c>
      <c r="L160" s="1" t="e">
        <f>L153</f>
        <v>#REF!</v>
      </c>
      <c r="M160" s="1" t="e">
        <f>SUM(E160:L160)</f>
        <v>#REF!</v>
      </c>
      <c r="N160" s="1" t="s">
        <v>184</v>
      </c>
      <c r="O160" s="1" t="e">
        <f>SUM(E160/M160)*100</f>
        <v>#REF!</v>
      </c>
      <c r="P160" s="1" t="e">
        <f>SUM(F160/M160)*100</f>
        <v>#REF!</v>
      </c>
      <c r="Q160" s="1" t="e">
        <f>SUM(G160/M160)*100</f>
        <v>#REF!</v>
      </c>
      <c r="R160" s="1" t="e">
        <f>SUM(H160/M160)*100</f>
        <v>#REF!</v>
      </c>
      <c r="S160" s="1" t="e">
        <f>SUM(I160/M160)*100</f>
        <v>#REF!</v>
      </c>
      <c r="T160" s="1" t="e">
        <f>SUM(J160/M160)*100</f>
        <v>#REF!</v>
      </c>
      <c r="U160" s="1" t="e">
        <f>SUM(K160/M160)*100</f>
        <v>#REF!</v>
      </c>
      <c r="V160" s="1" t="e">
        <f>SUM(L160/M160)*100</f>
        <v>#REF!</v>
      </c>
      <c r="W160" s="1" t="s">
        <v>184</v>
      </c>
      <c r="X160">
        <v>10041829</v>
      </c>
      <c r="Y160" t="e">
        <f t="shared" ref="Y160:AF160" si="46">(+O160/100)*$X160</f>
        <v>#REF!</v>
      </c>
      <c r="Z160" t="e">
        <f t="shared" si="46"/>
        <v>#REF!</v>
      </c>
      <c r="AA160" t="e">
        <f t="shared" si="46"/>
        <v>#REF!</v>
      </c>
      <c r="AB160" t="e">
        <f t="shared" si="46"/>
        <v>#REF!</v>
      </c>
      <c r="AC160" t="e">
        <f t="shared" si="46"/>
        <v>#REF!</v>
      </c>
      <c r="AD160" t="e">
        <f t="shared" si="46"/>
        <v>#REF!</v>
      </c>
      <c r="AE160" t="e">
        <f t="shared" si="46"/>
        <v>#REF!</v>
      </c>
      <c r="AF160" t="e">
        <f t="shared" si="46"/>
        <v>#REF!</v>
      </c>
    </row>
    <row r="161" spans="2:32" x14ac:dyDescent="0.25">
      <c r="B161" s="12"/>
      <c r="E161" s="1"/>
      <c r="F161" s="1"/>
      <c r="G161" s="1"/>
      <c r="H161" s="1"/>
      <c r="I161" s="1"/>
      <c r="J161" s="1"/>
      <c r="K161" s="1"/>
      <c r="L161" s="1"/>
      <c r="M161" s="1"/>
      <c r="N161" s="1" t="s">
        <v>184</v>
      </c>
      <c r="O161" s="1"/>
      <c r="P161" s="1"/>
      <c r="Q161" s="1"/>
      <c r="R161" s="1"/>
      <c r="S161" s="1"/>
      <c r="T161" s="1"/>
      <c r="U161" s="1"/>
      <c r="V161" s="1"/>
      <c r="W161" s="1" t="s">
        <v>184</v>
      </c>
    </row>
    <row r="162" spans="2:32" x14ac:dyDescent="0.25">
      <c r="B162" s="12"/>
      <c r="D162" t="s">
        <v>374</v>
      </c>
      <c r="E162" s="1"/>
      <c r="F162" s="1"/>
      <c r="G162" s="1"/>
      <c r="H162" s="1"/>
      <c r="I162" s="1"/>
      <c r="J162" s="1"/>
      <c r="K162" s="1"/>
      <c r="L162" s="1"/>
      <c r="M162" s="1"/>
      <c r="N162" s="1" t="s">
        <v>184</v>
      </c>
      <c r="O162" s="1"/>
      <c r="P162" s="1"/>
      <c r="Q162" s="1"/>
      <c r="R162" s="1"/>
      <c r="S162" s="1"/>
      <c r="T162" s="1"/>
      <c r="U162" s="1"/>
      <c r="V162" s="1"/>
      <c r="W162" s="1" t="s">
        <v>184</v>
      </c>
      <c r="X162">
        <f t="shared" ref="X162:AF162" si="47">SUM(X10:X155)+X158+X160</f>
        <v>83880333.721791983</v>
      </c>
      <c r="Y162" t="e">
        <f t="shared" si="47"/>
        <v>#REF!</v>
      </c>
      <c r="Z162" t="e">
        <f t="shared" si="47"/>
        <v>#REF!</v>
      </c>
      <c r="AA162" t="e">
        <f t="shared" si="47"/>
        <v>#REF!</v>
      </c>
      <c r="AB162" t="e">
        <f t="shared" si="47"/>
        <v>#REF!</v>
      </c>
      <c r="AC162" t="e">
        <f t="shared" si="47"/>
        <v>#REF!</v>
      </c>
      <c r="AD162" t="e">
        <f t="shared" si="47"/>
        <v>#REF!</v>
      </c>
      <c r="AE162" t="e">
        <f t="shared" si="47"/>
        <v>#REF!</v>
      </c>
      <c r="AF162" t="e">
        <f t="shared" si="47"/>
        <v>#REF!</v>
      </c>
    </row>
    <row r="163" spans="2:32" x14ac:dyDescent="0.25">
      <c r="B163" s="12"/>
      <c r="E163" s="1"/>
      <c r="F163" s="1"/>
      <c r="G163" s="1"/>
      <c r="H163" s="1"/>
      <c r="I163" s="1"/>
      <c r="J163" s="1"/>
      <c r="K163" s="1"/>
      <c r="L163" s="1"/>
      <c r="M163" s="1"/>
      <c r="N163" s="1" t="s">
        <v>184</v>
      </c>
      <c r="O163" s="1"/>
      <c r="P163" s="1"/>
      <c r="Q163" s="1"/>
      <c r="R163" s="1"/>
      <c r="S163" s="1"/>
      <c r="T163" s="1"/>
      <c r="U163" s="1"/>
      <c r="V163" s="1"/>
      <c r="W163" s="1" t="s">
        <v>184</v>
      </c>
    </row>
    <row r="164" spans="2:32" x14ac:dyDescent="0.25">
      <c r="B164" s="12"/>
      <c r="D164" t="s">
        <v>375</v>
      </c>
      <c r="E164" s="1">
        <v>169.6</v>
      </c>
      <c r="F164" s="1">
        <v>31</v>
      </c>
      <c r="G164" s="1">
        <v>0</v>
      </c>
      <c r="H164" s="1">
        <v>0</v>
      </c>
      <c r="I164" s="1">
        <v>0</v>
      </c>
      <c r="J164" s="1">
        <v>0</v>
      </c>
      <c r="K164" s="1">
        <v>0</v>
      </c>
      <c r="L164" s="1">
        <v>0</v>
      </c>
      <c r="M164" s="1">
        <f>SUM(E164:L164)</f>
        <v>200.6</v>
      </c>
      <c r="N164" s="1" t="s">
        <v>184</v>
      </c>
      <c r="O164" s="1">
        <f>SUM(E164/M164)*100</f>
        <v>84.546360917248251</v>
      </c>
      <c r="P164" s="1">
        <f>SUM(F164/M164)*100</f>
        <v>15.453639082751744</v>
      </c>
      <c r="Q164" s="1">
        <f>SUM(G164/M164)*100</f>
        <v>0</v>
      </c>
      <c r="R164" s="1">
        <f>SUM(H164/M164)*100</f>
        <v>0</v>
      </c>
      <c r="S164" s="1">
        <f>SUM(I164/M164)*100</f>
        <v>0</v>
      </c>
      <c r="T164" s="1">
        <f>SUM(J164/M164)*100</f>
        <v>0</v>
      </c>
      <c r="U164" s="1">
        <f>SUM(K164/M164)*100</f>
        <v>0</v>
      </c>
      <c r="V164" s="1">
        <f>SUM(L164/M164)*100</f>
        <v>0</v>
      </c>
      <c r="W164" s="1" t="s">
        <v>184</v>
      </c>
      <c r="X164">
        <v>1704311</v>
      </c>
      <c r="Y164">
        <f t="shared" ref="Y164:AF164" si="48">(+O164/100)*$X164</f>
        <v>1440932.929212363</v>
      </c>
      <c r="Z164">
        <f t="shared" si="48"/>
        <v>263378.07078763709</v>
      </c>
      <c r="AA164">
        <f t="shared" si="48"/>
        <v>0</v>
      </c>
      <c r="AB164">
        <f t="shared" si="48"/>
        <v>0</v>
      </c>
      <c r="AC164">
        <f t="shared" si="48"/>
        <v>0</v>
      </c>
      <c r="AD164">
        <f t="shared" si="48"/>
        <v>0</v>
      </c>
      <c r="AE164">
        <f t="shared" si="48"/>
        <v>0</v>
      </c>
      <c r="AF164">
        <f t="shared" si="48"/>
        <v>0</v>
      </c>
    </row>
    <row r="165" spans="2:32" x14ac:dyDescent="0.25">
      <c r="B165" s="12"/>
      <c r="E165" s="1"/>
      <c r="F165" s="1"/>
      <c r="G165" s="1"/>
      <c r="H165" s="1"/>
      <c r="I165" s="1"/>
      <c r="J165" s="1"/>
      <c r="K165" s="1"/>
      <c r="L165" s="1"/>
      <c r="M165" s="1"/>
      <c r="N165" s="1" t="s">
        <v>184</v>
      </c>
      <c r="O165" s="1"/>
      <c r="P165" s="1"/>
      <c r="Q165" s="1"/>
      <c r="R165" s="1"/>
      <c r="S165" s="1"/>
      <c r="T165" s="1"/>
      <c r="U165" s="1"/>
      <c r="V165" s="1"/>
      <c r="W165" s="1" t="s">
        <v>184</v>
      </c>
    </row>
    <row r="166" spans="2:32" x14ac:dyDescent="0.25">
      <c r="B166" s="12"/>
      <c r="D166" t="s">
        <v>376</v>
      </c>
      <c r="E166" s="1"/>
      <c r="F166" s="1"/>
      <c r="G166" s="1"/>
      <c r="H166" s="1"/>
      <c r="I166" s="1"/>
      <c r="J166" s="1"/>
      <c r="K166" s="1"/>
      <c r="L166" s="1"/>
      <c r="M166" s="1"/>
      <c r="N166" s="1" t="s">
        <v>184</v>
      </c>
      <c r="O166" s="1">
        <v>100</v>
      </c>
      <c r="P166" s="1">
        <v>0</v>
      </c>
      <c r="Q166" s="1">
        <v>0</v>
      </c>
      <c r="R166" s="1">
        <v>0</v>
      </c>
      <c r="S166" s="1">
        <v>0</v>
      </c>
      <c r="T166" s="1">
        <v>0</v>
      </c>
      <c r="U166" s="1">
        <v>0</v>
      </c>
      <c r="V166" s="1">
        <v>0</v>
      </c>
      <c r="W166" s="1" t="s">
        <v>184</v>
      </c>
      <c r="X166">
        <v>8235</v>
      </c>
      <c r="Y166">
        <f t="shared" ref="Y166:AF167" si="49">(+O166/100)*$X166</f>
        <v>8235</v>
      </c>
      <c r="Z166">
        <f t="shared" si="49"/>
        <v>0</v>
      </c>
      <c r="AA166">
        <f t="shared" si="49"/>
        <v>0</v>
      </c>
      <c r="AB166">
        <f t="shared" si="49"/>
        <v>0</v>
      </c>
      <c r="AC166">
        <f t="shared" si="49"/>
        <v>0</v>
      </c>
      <c r="AD166">
        <f t="shared" si="49"/>
        <v>0</v>
      </c>
      <c r="AE166">
        <f t="shared" si="49"/>
        <v>0</v>
      </c>
      <c r="AF166">
        <f t="shared" si="49"/>
        <v>0</v>
      </c>
    </row>
    <row r="167" spans="2:32" x14ac:dyDescent="0.25">
      <c r="B167" s="12"/>
      <c r="D167" t="s">
        <v>377</v>
      </c>
      <c r="E167" s="1"/>
      <c r="F167" s="1"/>
      <c r="G167" s="1"/>
      <c r="H167" s="1"/>
      <c r="I167" s="1"/>
      <c r="J167" s="1"/>
      <c r="K167" s="1"/>
      <c r="L167" s="1"/>
      <c r="M167" s="1"/>
      <c r="N167" s="1" t="s">
        <v>184</v>
      </c>
      <c r="O167" s="1">
        <v>0</v>
      </c>
      <c r="P167" s="1">
        <v>0</v>
      </c>
      <c r="Q167" s="1">
        <v>0</v>
      </c>
      <c r="R167" s="1">
        <v>0</v>
      </c>
      <c r="S167" s="1">
        <v>0</v>
      </c>
      <c r="T167" s="1">
        <v>0</v>
      </c>
      <c r="U167" s="1">
        <v>0</v>
      </c>
      <c r="V167" s="1">
        <v>0</v>
      </c>
      <c r="W167" s="1" t="s">
        <v>184</v>
      </c>
      <c r="X167">
        <v>0</v>
      </c>
      <c r="Y167">
        <f t="shared" si="49"/>
        <v>0</v>
      </c>
      <c r="Z167">
        <f t="shared" si="49"/>
        <v>0</v>
      </c>
      <c r="AA167">
        <f t="shared" si="49"/>
        <v>0</v>
      </c>
      <c r="AB167">
        <f t="shared" si="49"/>
        <v>0</v>
      </c>
      <c r="AC167">
        <f t="shared" si="49"/>
        <v>0</v>
      </c>
      <c r="AD167">
        <f t="shared" si="49"/>
        <v>0</v>
      </c>
      <c r="AE167">
        <f t="shared" si="49"/>
        <v>0</v>
      </c>
      <c r="AF167">
        <f t="shared" si="49"/>
        <v>0</v>
      </c>
    </row>
    <row r="168" spans="2:32" x14ac:dyDescent="0.25">
      <c r="B168" s="12"/>
      <c r="E168" s="1"/>
      <c r="F168" s="1"/>
      <c r="G168" s="1"/>
      <c r="H168" s="1"/>
      <c r="I168" s="1"/>
      <c r="J168" s="1"/>
      <c r="K168" s="1"/>
      <c r="L168" s="1"/>
      <c r="M168" s="1"/>
      <c r="N168" s="1" t="s">
        <v>184</v>
      </c>
      <c r="O168" s="1"/>
      <c r="P168" s="1"/>
      <c r="Q168" s="1"/>
      <c r="R168" s="1"/>
      <c r="S168" s="1"/>
      <c r="T168" s="1"/>
      <c r="U168" s="1"/>
      <c r="V168" s="1"/>
      <c r="W168" s="1" t="s">
        <v>184</v>
      </c>
    </row>
    <row r="169" spans="2:32" x14ac:dyDescent="0.25">
      <c r="B169" s="12"/>
      <c r="D169" t="s">
        <v>378</v>
      </c>
      <c r="E169" s="1"/>
      <c r="F169" s="1"/>
      <c r="G169" s="1"/>
      <c r="H169" s="1"/>
      <c r="I169" s="1"/>
      <c r="J169" s="1"/>
      <c r="K169" s="1"/>
      <c r="L169" s="1"/>
      <c r="M169" s="1"/>
      <c r="N169" s="1" t="s">
        <v>184</v>
      </c>
      <c r="O169" s="1"/>
      <c r="P169" s="1"/>
      <c r="Q169" s="1"/>
      <c r="R169" s="1"/>
      <c r="S169" s="1"/>
      <c r="T169" s="1"/>
      <c r="U169" s="1"/>
      <c r="V169" s="1"/>
      <c r="W169" s="1" t="s">
        <v>184</v>
      </c>
      <c r="X169">
        <f t="shared" ref="X169:AF169" si="50">X162+X164+X166+X167</f>
        <v>85592879.721791983</v>
      </c>
      <c r="Y169" t="e">
        <f t="shared" si="50"/>
        <v>#REF!</v>
      </c>
      <c r="Z169" t="e">
        <f t="shared" si="50"/>
        <v>#REF!</v>
      </c>
      <c r="AA169" t="e">
        <f t="shared" si="50"/>
        <v>#REF!</v>
      </c>
      <c r="AB169" t="e">
        <f t="shared" si="50"/>
        <v>#REF!</v>
      </c>
      <c r="AC169" t="e">
        <f t="shared" si="50"/>
        <v>#REF!</v>
      </c>
      <c r="AD169" t="e">
        <f t="shared" si="50"/>
        <v>#REF!</v>
      </c>
      <c r="AE169" t="e">
        <f t="shared" si="50"/>
        <v>#REF!</v>
      </c>
      <c r="AF169" t="e">
        <f t="shared" si="50"/>
        <v>#REF!</v>
      </c>
    </row>
    <row r="170" spans="2:32" x14ac:dyDescent="0.25">
      <c r="B170" s="12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</row>
    <row r="171" spans="2:32" x14ac:dyDescent="0.25">
      <c r="B171" s="12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X171">
        <f>SUM(X153:X155)</f>
        <v>65710395.019999996</v>
      </c>
    </row>
    <row r="172" spans="2:32" x14ac:dyDescent="0.25">
      <c r="B172" s="12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X172">
        <f>X171*0.0992</f>
        <v>6518471.1859839996</v>
      </c>
    </row>
    <row r="173" spans="2:32" x14ac:dyDescent="0.25">
      <c r="B173" s="12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X173">
        <f>X160</f>
        <v>10041829</v>
      </c>
    </row>
    <row r="174" spans="2:32" x14ac:dyDescent="0.25">
      <c r="B174" s="12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</row>
    <row r="175" spans="2:32" x14ac:dyDescent="0.25">
      <c r="B175" s="12"/>
      <c r="D175" t="s">
        <v>379</v>
      </c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X175">
        <f>SUM(X171:X173)</f>
        <v>82270695.205983996</v>
      </c>
    </row>
    <row r="176" spans="2:32" x14ac:dyDescent="0.25">
      <c r="B176" s="12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</row>
    <row r="177" spans="2:22" x14ac:dyDescent="0.25">
      <c r="B177" s="12"/>
      <c r="E177" s="1" t="s">
        <v>380</v>
      </c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</row>
    <row r="178" spans="2:22" x14ac:dyDescent="0.25">
      <c r="B178" s="12"/>
      <c r="D178" s="1" t="s">
        <v>381</v>
      </c>
      <c r="E178" t="s">
        <v>382</v>
      </c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</row>
    <row r="179" spans="2:22" x14ac:dyDescent="0.25">
      <c r="B179" s="12"/>
      <c r="D179" s="1"/>
    </row>
    <row r="180" spans="2:22" x14ac:dyDescent="0.25">
      <c r="B180" s="12"/>
      <c r="D180" s="1" t="s">
        <v>383</v>
      </c>
      <c r="E180" s="9">
        <v>21863.8</v>
      </c>
      <c r="F180" s="9"/>
      <c r="I180" s="9">
        <f>E180</f>
        <v>21863.8</v>
      </c>
      <c r="J180" s="1">
        <f>E180/365*0.9804</f>
        <v>58.726765808219177</v>
      </c>
    </row>
    <row r="181" spans="2:22" x14ac:dyDescent="0.25">
      <c r="B181" s="12"/>
      <c r="D181" s="1" t="s">
        <v>384</v>
      </c>
      <c r="E181" s="9">
        <v>2448.6999999999998</v>
      </c>
      <c r="I181" s="9">
        <f>E181</f>
        <v>2448.6999999999998</v>
      </c>
      <c r="J181" s="1">
        <f>E181/365*0.9804</f>
        <v>6.5772752876712328</v>
      </c>
    </row>
    <row r="182" spans="2:22" x14ac:dyDescent="0.25">
      <c r="B182" s="12"/>
      <c r="D182" s="1" t="s">
        <v>385</v>
      </c>
      <c r="E182" s="9">
        <v>45751.06</v>
      </c>
      <c r="J182" s="1">
        <f>E182/365</f>
        <v>125.34536986301369</v>
      </c>
    </row>
    <row r="183" spans="2:22" x14ac:dyDescent="0.25">
      <c r="B183" s="12"/>
      <c r="D183" s="1" t="s">
        <v>386</v>
      </c>
      <c r="E183" s="9">
        <v>5664.8</v>
      </c>
      <c r="J183" s="1">
        <f>E183/365</f>
        <v>15.520000000000001</v>
      </c>
    </row>
    <row r="184" spans="2:22" x14ac:dyDescent="0.25">
      <c r="B184" s="12"/>
      <c r="D184" t="s">
        <v>387</v>
      </c>
      <c r="E184" s="9">
        <v>5452.5</v>
      </c>
      <c r="J184" s="1">
        <f>E184/365</f>
        <v>14.938356164383562</v>
      </c>
      <c r="L184" s="1"/>
    </row>
    <row r="185" spans="2:22" x14ac:dyDescent="0.25">
      <c r="B185" s="12"/>
      <c r="D185" s="53" t="s">
        <v>12</v>
      </c>
      <c r="E185" s="9">
        <v>2245.5</v>
      </c>
      <c r="J185" s="1">
        <f>E185/365</f>
        <v>6.1520547945205477</v>
      </c>
    </row>
    <row r="186" spans="2:22" x14ac:dyDescent="0.25">
      <c r="B186" s="12"/>
      <c r="D186" s="3" t="s">
        <v>388</v>
      </c>
      <c r="E186" s="9">
        <v>465.94</v>
      </c>
      <c r="J186" s="1">
        <f>E186/365</f>
        <v>1.2765479452054795</v>
      </c>
    </row>
    <row r="187" spans="2:22" x14ac:dyDescent="0.25">
      <c r="B187" s="12"/>
      <c r="D187" s="54" t="s">
        <v>389</v>
      </c>
      <c r="E187" s="9">
        <v>20789.560000000001</v>
      </c>
    </row>
    <row r="188" spans="2:22" x14ac:dyDescent="0.25">
      <c r="B188" s="12"/>
      <c r="D188" s="54" t="s">
        <v>390</v>
      </c>
      <c r="E188" s="9">
        <v>7300</v>
      </c>
    </row>
    <row r="189" spans="2:22" x14ac:dyDescent="0.25">
      <c r="B189" s="12"/>
      <c r="E189" s="22">
        <f>(SUM(E180:E184)+E187+E188)/365</f>
        <v>299.37101369863012</v>
      </c>
    </row>
    <row r="190" spans="2:22" x14ac:dyDescent="0.25">
      <c r="B190" s="12"/>
    </row>
    <row r="191" spans="2:22" x14ac:dyDescent="0.25">
      <c r="B191" s="12"/>
    </row>
    <row r="192" spans="2:22" x14ac:dyDescent="0.25">
      <c r="B192" s="12"/>
    </row>
    <row r="193" spans="2:7" x14ac:dyDescent="0.25">
      <c r="B193" s="12"/>
    </row>
    <row r="196" spans="2:7" x14ac:dyDescent="0.25">
      <c r="G196" s="9"/>
    </row>
    <row r="197" spans="2:7" x14ac:dyDescent="0.25">
      <c r="G197" s="9"/>
    </row>
    <row r="198" spans="2:7" x14ac:dyDescent="0.25">
      <c r="G198" s="9"/>
    </row>
    <row r="199" spans="2:7" x14ac:dyDescent="0.25">
      <c r="G199" s="9"/>
    </row>
    <row r="200" spans="2:7" x14ac:dyDescent="0.25">
      <c r="G200" s="9"/>
    </row>
    <row r="201" spans="2:7" x14ac:dyDescent="0.25">
      <c r="G201" s="9"/>
    </row>
  </sheetData>
  <phoneticPr fontId="0" type="noConversion"/>
  <printOptions horizontalCentered="1" verticalCentered="1" headings="1" gridLines="1"/>
  <pageMargins left="0.75" right="0.75" top="1" bottom="1" header="0.5" footer="0.5"/>
  <pageSetup scale="83" fitToHeight="16" orientation="landscape" blackAndWhite="1" cellComments="atEnd" horizontalDpi="180" verticalDpi="180" r:id="rId1"/>
  <headerFooter alignWithMargins="0"/>
  <rowBreaks count="4" manualBreakCount="4">
    <brk id="45" max="35" man="1"/>
    <brk id="82" max="12" man="1"/>
    <brk id="113" max="16383" man="1"/>
    <brk id="151" max="16383" man="1"/>
  </rowBreaks>
  <colBreaks count="1" manualBreakCount="1">
    <brk id="13" max="1048575" man="1"/>
  </colBreak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A1:T172"/>
  <sheetViews>
    <sheetView zoomScale="70" workbookViewId="0">
      <pane ySplit="4" topLeftCell="A5" activePane="bottomLeft" state="frozen"/>
      <selection pane="bottomLeft" activeCell="W53" sqref="W53"/>
    </sheetView>
  </sheetViews>
  <sheetFormatPr defaultColWidth="12.453125" defaultRowHeight="12.5" x14ac:dyDescent="0.25"/>
  <cols>
    <col min="1" max="1" width="7" customWidth="1"/>
    <col min="2" max="2" width="8.54296875" style="10" bestFit="1" customWidth="1"/>
    <col min="3" max="4" width="31.453125" customWidth="1"/>
    <col min="5" max="5" width="4.54296875" customWidth="1"/>
    <col min="6" max="6" width="16.6328125" customWidth="1"/>
    <col min="7" max="7" width="4.54296875" customWidth="1"/>
    <col min="8" max="8" width="14.36328125" customWidth="1"/>
    <col min="9" max="9" width="4.54296875" customWidth="1"/>
    <col min="10" max="10" width="11.90625" customWidth="1"/>
    <col min="11" max="11" width="4.54296875" customWidth="1"/>
    <col min="12" max="12" width="11.90625" customWidth="1"/>
    <col min="13" max="13" width="4.54296875" customWidth="1"/>
    <col min="14" max="14" width="14.36328125" customWidth="1"/>
    <col min="15" max="15" width="4.54296875" customWidth="1"/>
    <col min="16" max="16" width="19.36328125" customWidth="1"/>
    <col min="17" max="17" width="4.54296875" customWidth="1"/>
    <col min="18" max="18" width="11.90625" customWidth="1"/>
    <col min="19" max="19" width="4.54296875" customWidth="1"/>
  </cols>
  <sheetData>
    <row r="1" spans="1:19" x14ac:dyDescent="0.25">
      <c r="A1" t="s">
        <v>391</v>
      </c>
    </row>
    <row r="2" spans="1:19" x14ac:dyDescent="0.25">
      <c r="A2" t="s">
        <v>392</v>
      </c>
      <c r="E2" t="s">
        <v>184</v>
      </c>
      <c r="F2" t="s">
        <v>393</v>
      </c>
      <c r="G2" t="s">
        <v>184</v>
      </c>
      <c r="H2" t="s">
        <v>394</v>
      </c>
      <c r="I2" t="s">
        <v>184</v>
      </c>
      <c r="J2" t="s">
        <v>394</v>
      </c>
      <c r="K2" t="s">
        <v>184</v>
      </c>
      <c r="L2" t="s">
        <v>394</v>
      </c>
      <c r="M2" t="s">
        <v>184</v>
      </c>
      <c r="N2" t="s">
        <v>172</v>
      </c>
      <c r="O2" t="s">
        <v>184</v>
      </c>
      <c r="P2" t="s">
        <v>172</v>
      </c>
      <c r="Q2" t="s">
        <v>184</v>
      </c>
      <c r="R2" t="s">
        <v>395</v>
      </c>
      <c r="S2" t="s">
        <v>184</v>
      </c>
    </row>
    <row r="3" spans="1:19" x14ac:dyDescent="0.25">
      <c r="B3" s="241" t="s">
        <v>3</v>
      </c>
      <c r="E3" t="s">
        <v>184</v>
      </c>
      <c r="F3" t="s">
        <v>396</v>
      </c>
      <c r="G3" t="s">
        <v>184</v>
      </c>
      <c r="H3" t="s">
        <v>397</v>
      </c>
      <c r="I3" t="s">
        <v>184</v>
      </c>
      <c r="J3" t="s">
        <v>397</v>
      </c>
      <c r="K3" t="s">
        <v>184</v>
      </c>
      <c r="L3" t="s">
        <v>397</v>
      </c>
      <c r="M3" t="s">
        <v>184</v>
      </c>
      <c r="N3" t="s">
        <v>394</v>
      </c>
      <c r="O3" t="s">
        <v>184</v>
      </c>
      <c r="P3" t="s">
        <v>396</v>
      </c>
      <c r="Q3" t="s">
        <v>184</v>
      </c>
      <c r="R3" t="s">
        <v>398</v>
      </c>
      <c r="S3" t="s">
        <v>184</v>
      </c>
    </row>
    <row r="4" spans="1:19" x14ac:dyDescent="0.25">
      <c r="B4" s="241" t="s">
        <v>399</v>
      </c>
      <c r="C4" t="s">
        <v>400</v>
      </c>
      <c r="D4" t="s">
        <v>401</v>
      </c>
      <c r="E4" t="s">
        <v>184</v>
      </c>
      <c r="F4" t="s">
        <v>402</v>
      </c>
      <c r="G4" t="s">
        <v>184</v>
      </c>
      <c r="H4" t="s">
        <v>403</v>
      </c>
      <c r="I4" t="s">
        <v>184</v>
      </c>
      <c r="J4" t="s">
        <v>404</v>
      </c>
      <c r="K4" t="s">
        <v>184</v>
      </c>
      <c r="L4" t="s">
        <v>405</v>
      </c>
      <c r="M4" t="s">
        <v>184</v>
      </c>
      <c r="N4" t="s">
        <v>397</v>
      </c>
      <c r="O4" t="s">
        <v>184</v>
      </c>
      <c r="P4" t="s">
        <v>402</v>
      </c>
      <c r="Q4" t="s">
        <v>184</v>
      </c>
      <c r="R4" t="s">
        <v>16</v>
      </c>
      <c r="S4" t="s">
        <v>184</v>
      </c>
    </row>
    <row r="5" spans="1:19" x14ac:dyDescent="0.25">
      <c r="A5" t="s">
        <v>406</v>
      </c>
      <c r="B5" s="10" t="s">
        <v>407</v>
      </c>
      <c r="C5" t="s">
        <v>408</v>
      </c>
      <c r="D5" t="s">
        <v>408</v>
      </c>
      <c r="E5" t="s">
        <v>407</v>
      </c>
      <c r="F5" t="s">
        <v>409</v>
      </c>
      <c r="G5" t="s">
        <v>407</v>
      </c>
      <c r="H5" t="s">
        <v>410</v>
      </c>
      <c r="I5" t="s">
        <v>407</v>
      </c>
      <c r="J5" t="s">
        <v>411</v>
      </c>
      <c r="K5" t="s">
        <v>407</v>
      </c>
      <c r="L5" t="s">
        <v>411</v>
      </c>
      <c r="M5" t="s">
        <v>407</v>
      </c>
      <c r="N5" t="s">
        <v>410</v>
      </c>
      <c r="O5" t="s">
        <v>407</v>
      </c>
      <c r="P5" t="s">
        <v>412</v>
      </c>
      <c r="Q5" t="s">
        <v>407</v>
      </c>
      <c r="R5" t="s">
        <v>411</v>
      </c>
      <c r="S5" t="s">
        <v>413</v>
      </c>
    </row>
    <row r="6" spans="1:19" x14ac:dyDescent="0.25">
      <c r="A6" t="s">
        <v>414</v>
      </c>
      <c r="B6" s="10" t="s">
        <v>184</v>
      </c>
      <c r="C6" t="s">
        <v>415</v>
      </c>
      <c r="D6" t="s">
        <v>416</v>
      </c>
      <c r="E6" t="s">
        <v>184</v>
      </c>
      <c r="F6" s="37">
        <f>WSSC_ALL!$F$149*365*1000</f>
        <v>3123458.5317460313</v>
      </c>
      <c r="G6" t="s">
        <v>184</v>
      </c>
      <c r="H6">
        <v>0</v>
      </c>
      <c r="I6" t="s">
        <v>184</v>
      </c>
      <c r="J6">
        <v>0</v>
      </c>
      <c r="K6" t="s">
        <v>184</v>
      </c>
      <c r="L6">
        <v>0</v>
      </c>
      <c r="M6" t="s">
        <v>184</v>
      </c>
      <c r="N6">
        <f>SUM(H6:L6)</f>
        <v>0</v>
      </c>
      <c r="O6" t="s">
        <v>184</v>
      </c>
      <c r="P6">
        <f>F6+(N6*125)</f>
        <v>3123458.5317460313</v>
      </c>
      <c r="Q6" t="s">
        <v>184</v>
      </c>
      <c r="R6" s="1">
        <f>P6/365/1000</f>
        <v>8.5574206349206339</v>
      </c>
      <c r="S6" t="s">
        <v>184</v>
      </c>
    </row>
    <row r="7" spans="1:19" x14ac:dyDescent="0.25">
      <c r="A7" t="s">
        <v>406</v>
      </c>
      <c r="B7" s="10" t="s">
        <v>407</v>
      </c>
      <c r="C7" t="s">
        <v>408</v>
      </c>
      <c r="D7" t="s">
        <v>408</v>
      </c>
      <c r="E7" t="s">
        <v>407</v>
      </c>
      <c r="F7" t="s">
        <v>409</v>
      </c>
      <c r="G7" t="s">
        <v>407</v>
      </c>
      <c r="H7" t="s">
        <v>410</v>
      </c>
      <c r="I7" t="s">
        <v>407</v>
      </c>
      <c r="J7" t="s">
        <v>411</v>
      </c>
      <c r="K7" t="s">
        <v>407</v>
      </c>
      <c r="L7" t="s">
        <v>411</v>
      </c>
      <c r="M7" t="s">
        <v>407</v>
      </c>
      <c r="N7" t="s">
        <v>410</v>
      </c>
      <c r="O7" t="s">
        <v>407</v>
      </c>
      <c r="P7" t="s">
        <v>412</v>
      </c>
      <c r="Q7" t="s">
        <v>407</v>
      </c>
      <c r="R7" s="1" t="s">
        <v>411</v>
      </c>
      <c r="S7" t="s">
        <v>413</v>
      </c>
    </row>
    <row r="8" spans="1:19" ht="13" x14ac:dyDescent="0.3">
      <c r="A8" t="s">
        <v>417</v>
      </c>
      <c r="B8" s="10" t="s">
        <v>418</v>
      </c>
      <c r="C8" t="s">
        <v>419</v>
      </c>
      <c r="D8" t="s">
        <v>420</v>
      </c>
      <c r="E8" t="s">
        <v>184</v>
      </c>
      <c r="F8" s="37">
        <f>WSSC_ALL!$P$149*365*1000</f>
        <v>1241116.2701612902</v>
      </c>
      <c r="G8" t="s">
        <v>184</v>
      </c>
      <c r="H8" s="30">
        <v>322</v>
      </c>
      <c r="I8" t="s">
        <v>184</v>
      </c>
      <c r="J8" s="40"/>
      <c r="K8" t="s">
        <v>184</v>
      </c>
      <c r="L8" s="30">
        <v>28.009</v>
      </c>
      <c r="M8" t="s">
        <v>184</v>
      </c>
      <c r="N8">
        <f>SUM(H8:L8)</f>
        <v>350.00900000000001</v>
      </c>
      <c r="O8" t="s">
        <v>184</v>
      </c>
      <c r="Q8" t="s">
        <v>184</v>
      </c>
      <c r="R8" s="1"/>
      <c r="S8" t="s">
        <v>184</v>
      </c>
    </row>
    <row r="9" spans="1:19" x14ac:dyDescent="0.25">
      <c r="A9" t="s">
        <v>421</v>
      </c>
      <c r="B9" s="10" t="s">
        <v>422</v>
      </c>
      <c r="C9" t="s">
        <v>423</v>
      </c>
      <c r="D9" t="s">
        <v>424</v>
      </c>
      <c r="E9" t="s">
        <v>184</v>
      </c>
      <c r="G9" t="s">
        <v>184</v>
      </c>
      <c r="I9" t="s">
        <v>184</v>
      </c>
      <c r="K9" t="s">
        <v>184</v>
      </c>
      <c r="M9" t="s">
        <v>184</v>
      </c>
      <c r="N9">
        <f>SUM(H9:L9)</f>
        <v>0</v>
      </c>
      <c r="O9" t="s">
        <v>184</v>
      </c>
      <c r="Q9" t="s">
        <v>184</v>
      </c>
      <c r="R9" s="1"/>
      <c r="S9" t="s">
        <v>184</v>
      </c>
    </row>
    <row r="10" spans="1:19" ht="13" x14ac:dyDescent="0.3">
      <c r="A10" t="s">
        <v>425</v>
      </c>
      <c r="B10" s="10" t="s">
        <v>422</v>
      </c>
      <c r="C10" t="s">
        <v>426</v>
      </c>
      <c r="D10" t="s">
        <v>427</v>
      </c>
      <c r="E10" t="s">
        <v>184</v>
      </c>
      <c r="G10" t="s">
        <v>184</v>
      </c>
      <c r="H10">
        <v>23</v>
      </c>
      <c r="I10" t="s">
        <v>184</v>
      </c>
      <c r="J10">
        <v>0</v>
      </c>
      <c r="K10" t="s">
        <v>184</v>
      </c>
      <c r="L10" s="30">
        <v>1.0680000000000001</v>
      </c>
      <c r="M10" t="s">
        <v>184</v>
      </c>
      <c r="N10" s="30">
        <f>SUM(H10:L10)</f>
        <v>24.068000000000001</v>
      </c>
      <c r="O10" t="s">
        <v>184</v>
      </c>
      <c r="Q10" t="s">
        <v>184</v>
      </c>
      <c r="R10" s="1"/>
      <c r="S10" t="s">
        <v>184</v>
      </c>
    </row>
    <row r="11" spans="1:19" ht="13" x14ac:dyDescent="0.3">
      <c r="B11" s="10" t="s">
        <v>428</v>
      </c>
      <c r="C11" t="s">
        <v>429</v>
      </c>
      <c r="E11" t="s">
        <v>184</v>
      </c>
      <c r="G11" t="s">
        <v>184</v>
      </c>
      <c r="H11">
        <v>1</v>
      </c>
      <c r="I11" t="s">
        <v>184</v>
      </c>
      <c r="J11">
        <v>0</v>
      </c>
      <c r="K11" t="s">
        <v>184</v>
      </c>
      <c r="L11" s="30">
        <v>4.1159999999999997</v>
      </c>
      <c r="M11" t="s">
        <v>184</v>
      </c>
      <c r="N11" s="30">
        <f>SUM(H11:L11)</f>
        <v>5.1159999999999997</v>
      </c>
      <c r="O11" t="s">
        <v>184</v>
      </c>
      <c r="Q11" t="s">
        <v>184</v>
      </c>
      <c r="R11" s="1"/>
      <c r="S11" t="s">
        <v>184</v>
      </c>
    </row>
    <row r="12" spans="1:19" x14ac:dyDescent="0.25">
      <c r="B12" s="10" t="s">
        <v>184</v>
      </c>
      <c r="E12" t="s">
        <v>184</v>
      </c>
      <c r="G12" t="s">
        <v>184</v>
      </c>
      <c r="I12" t="s">
        <v>184</v>
      </c>
      <c r="K12" t="s">
        <v>184</v>
      </c>
      <c r="M12" t="s">
        <v>184</v>
      </c>
      <c r="O12" t="s">
        <v>184</v>
      </c>
      <c r="Q12" t="s">
        <v>184</v>
      </c>
      <c r="R12" s="1"/>
      <c r="S12" t="s">
        <v>184</v>
      </c>
    </row>
    <row r="13" spans="1:19" x14ac:dyDescent="0.25">
      <c r="B13" s="10" t="s">
        <v>184</v>
      </c>
      <c r="C13" t="s">
        <v>430</v>
      </c>
      <c r="E13" t="s">
        <v>184</v>
      </c>
      <c r="F13">
        <f>SUM(F8:F11)</f>
        <v>1241116.2701612902</v>
      </c>
      <c r="G13" t="s">
        <v>184</v>
      </c>
      <c r="H13">
        <f>SUM(H8:H11)</f>
        <v>346</v>
      </c>
      <c r="I13" t="s">
        <v>184</v>
      </c>
      <c r="J13" s="48">
        <f>SUM(J8:J11)</f>
        <v>0</v>
      </c>
      <c r="K13" t="s">
        <v>184</v>
      </c>
      <c r="L13">
        <f>SUM(L8:L11)</f>
        <v>33.192999999999998</v>
      </c>
      <c r="M13" t="s">
        <v>184</v>
      </c>
      <c r="N13" s="41">
        <f>SUM(H13:L13)</f>
        <v>379.19299999999998</v>
      </c>
      <c r="O13" t="s">
        <v>184</v>
      </c>
      <c r="P13">
        <f>F13+(N13*125)</f>
        <v>1288515.3951612902</v>
      </c>
      <c r="Q13" t="s">
        <v>184</v>
      </c>
      <c r="R13" s="1">
        <f>P13/365/1000</f>
        <v>3.5301791648254524</v>
      </c>
      <c r="S13" t="s">
        <v>184</v>
      </c>
    </row>
    <row r="14" spans="1:19" x14ac:dyDescent="0.25">
      <c r="A14" t="s">
        <v>406</v>
      </c>
      <c r="B14" s="10" t="s">
        <v>407</v>
      </c>
      <c r="C14" t="s">
        <v>408</v>
      </c>
      <c r="D14" t="s">
        <v>408</v>
      </c>
      <c r="E14" t="s">
        <v>407</v>
      </c>
      <c r="F14" t="s">
        <v>409</v>
      </c>
      <c r="G14" t="s">
        <v>407</v>
      </c>
      <c r="H14" t="s">
        <v>410</v>
      </c>
      <c r="I14" t="s">
        <v>407</v>
      </c>
      <c r="J14" t="s">
        <v>411</v>
      </c>
      <c r="K14" t="s">
        <v>407</v>
      </c>
      <c r="L14" t="s">
        <v>411</v>
      </c>
      <c r="M14" t="s">
        <v>407</v>
      </c>
      <c r="N14" t="s">
        <v>410</v>
      </c>
      <c r="O14" t="s">
        <v>407</v>
      </c>
      <c r="P14" t="s">
        <v>412</v>
      </c>
      <c r="Q14" t="s">
        <v>407</v>
      </c>
      <c r="R14" s="1" t="s">
        <v>411</v>
      </c>
      <c r="S14" t="s">
        <v>413</v>
      </c>
    </row>
    <row r="15" spans="1:19" x14ac:dyDescent="0.25">
      <c r="A15" s="54" t="s">
        <v>431</v>
      </c>
      <c r="B15" s="55" t="s">
        <v>184</v>
      </c>
      <c r="C15" s="54" t="s">
        <v>432</v>
      </c>
      <c r="D15" s="54" t="s">
        <v>433</v>
      </c>
      <c r="E15" t="s">
        <v>184</v>
      </c>
      <c r="G15" t="s">
        <v>184</v>
      </c>
      <c r="H15">
        <v>42</v>
      </c>
      <c r="I15" t="s">
        <v>184</v>
      </c>
      <c r="K15" t="s">
        <v>184</v>
      </c>
      <c r="M15" t="s">
        <v>184</v>
      </c>
      <c r="N15">
        <f>SUM(H15:L15)</f>
        <v>42</v>
      </c>
      <c r="O15" t="s">
        <v>184</v>
      </c>
      <c r="Q15" t="s">
        <v>184</v>
      </c>
      <c r="R15" s="1"/>
      <c r="S15" t="s">
        <v>184</v>
      </c>
    </row>
    <row r="16" spans="1:19" x14ac:dyDescent="0.25">
      <c r="A16" s="54" t="s">
        <v>434</v>
      </c>
      <c r="B16" s="55" t="s">
        <v>184</v>
      </c>
      <c r="C16" s="54" t="s">
        <v>435</v>
      </c>
      <c r="D16" s="54" t="s">
        <v>435</v>
      </c>
      <c r="E16" t="s">
        <v>184</v>
      </c>
      <c r="G16" t="s">
        <v>184</v>
      </c>
      <c r="H16">
        <v>39</v>
      </c>
      <c r="I16" t="s">
        <v>184</v>
      </c>
      <c r="K16" t="s">
        <v>184</v>
      </c>
      <c r="M16" t="s">
        <v>184</v>
      </c>
      <c r="N16">
        <f>SUM(H16:L16)</f>
        <v>39</v>
      </c>
      <c r="O16" t="s">
        <v>184</v>
      </c>
      <c r="Q16" t="s">
        <v>184</v>
      </c>
      <c r="R16" s="1"/>
      <c r="S16" t="s">
        <v>184</v>
      </c>
    </row>
    <row r="17" spans="1:19" x14ac:dyDescent="0.25">
      <c r="A17" s="54" t="s">
        <v>436</v>
      </c>
      <c r="B17" s="55" t="s">
        <v>184</v>
      </c>
      <c r="C17" s="54" t="s">
        <v>437</v>
      </c>
      <c r="D17" s="54" t="s">
        <v>438</v>
      </c>
      <c r="E17" t="s">
        <v>184</v>
      </c>
      <c r="G17" t="s">
        <v>184</v>
      </c>
      <c r="H17">
        <v>16</v>
      </c>
      <c r="I17" t="s">
        <v>184</v>
      </c>
      <c r="K17" t="s">
        <v>184</v>
      </c>
      <c r="L17">
        <v>32.841999999999999</v>
      </c>
      <c r="M17" t="s">
        <v>184</v>
      </c>
      <c r="N17">
        <f>SUM(H17:L17)</f>
        <v>48.841999999999999</v>
      </c>
      <c r="O17" t="s">
        <v>184</v>
      </c>
      <c r="Q17" t="s">
        <v>184</v>
      </c>
      <c r="R17" s="1"/>
      <c r="S17" t="s">
        <v>184</v>
      </c>
    </row>
    <row r="18" spans="1:19" x14ac:dyDescent="0.25">
      <c r="A18" s="54"/>
      <c r="B18" s="55" t="s">
        <v>184</v>
      </c>
      <c r="C18" s="54" t="s">
        <v>439</v>
      </c>
      <c r="D18" s="54"/>
      <c r="E18" t="s">
        <v>184</v>
      </c>
      <c r="G18" t="s">
        <v>184</v>
      </c>
      <c r="I18" t="s">
        <v>184</v>
      </c>
      <c r="K18" t="s">
        <v>184</v>
      </c>
      <c r="M18" t="s">
        <v>184</v>
      </c>
      <c r="O18" t="s">
        <v>184</v>
      </c>
      <c r="Q18" t="s">
        <v>184</v>
      </c>
      <c r="R18" s="1"/>
      <c r="S18" t="s">
        <v>184</v>
      </c>
    </row>
    <row r="19" spans="1:19" x14ac:dyDescent="0.25">
      <c r="B19" s="10" t="s">
        <v>184</v>
      </c>
      <c r="E19" t="s">
        <v>184</v>
      </c>
      <c r="G19" t="s">
        <v>184</v>
      </c>
      <c r="I19" t="s">
        <v>184</v>
      </c>
      <c r="K19" t="s">
        <v>184</v>
      </c>
      <c r="M19" t="s">
        <v>184</v>
      </c>
      <c r="O19" t="s">
        <v>184</v>
      </c>
      <c r="Q19" t="s">
        <v>184</v>
      </c>
      <c r="R19" s="1"/>
      <c r="S19" t="s">
        <v>184</v>
      </c>
    </row>
    <row r="20" spans="1:19" x14ac:dyDescent="0.25">
      <c r="B20" s="10" t="s">
        <v>184</v>
      </c>
      <c r="C20" s="3" t="s">
        <v>440</v>
      </c>
      <c r="D20" s="3"/>
      <c r="E20" s="3" t="s">
        <v>184</v>
      </c>
      <c r="F20" s="3">
        <f>SUM(F15:F18)</f>
        <v>0</v>
      </c>
      <c r="G20" s="3" t="s">
        <v>184</v>
      </c>
      <c r="H20" s="3">
        <f>SUM(H15:H18)</f>
        <v>97</v>
      </c>
      <c r="I20" s="3" t="s">
        <v>184</v>
      </c>
      <c r="J20" s="3">
        <f>SUM(J15:J18)</f>
        <v>0</v>
      </c>
      <c r="K20" s="3" t="s">
        <v>184</v>
      </c>
      <c r="L20" s="3">
        <f>SUM(L15:L18)</f>
        <v>32.841999999999999</v>
      </c>
      <c r="M20" s="3" t="s">
        <v>184</v>
      </c>
      <c r="N20" s="3">
        <f>SUM(H20:L20)</f>
        <v>129.84199999999998</v>
      </c>
      <c r="O20" s="3" t="s">
        <v>184</v>
      </c>
      <c r="P20" s="3">
        <f>F20+(N20*125)</f>
        <v>16230.249999999998</v>
      </c>
      <c r="Q20" s="3" t="s">
        <v>184</v>
      </c>
      <c r="R20" s="11">
        <f>P20/365/1000</f>
        <v>4.446643835616438E-2</v>
      </c>
      <c r="S20" t="s">
        <v>184</v>
      </c>
    </row>
    <row r="21" spans="1:19" x14ac:dyDescent="0.25">
      <c r="A21" t="s">
        <v>406</v>
      </c>
      <c r="B21" s="10" t="s">
        <v>407</v>
      </c>
      <c r="C21" t="s">
        <v>408</v>
      </c>
      <c r="D21" t="s">
        <v>408</v>
      </c>
      <c r="E21" t="s">
        <v>407</v>
      </c>
      <c r="F21" t="s">
        <v>409</v>
      </c>
      <c r="G21" t="s">
        <v>407</v>
      </c>
      <c r="H21" t="s">
        <v>410</v>
      </c>
      <c r="I21" t="s">
        <v>407</v>
      </c>
      <c r="J21" t="s">
        <v>411</v>
      </c>
      <c r="K21" t="s">
        <v>407</v>
      </c>
      <c r="L21" t="s">
        <v>411</v>
      </c>
      <c r="M21" t="s">
        <v>407</v>
      </c>
      <c r="N21" t="s">
        <v>410</v>
      </c>
      <c r="O21" t="s">
        <v>407</v>
      </c>
      <c r="P21" t="s">
        <v>412</v>
      </c>
      <c r="Q21" t="s">
        <v>407</v>
      </c>
      <c r="R21" s="1" t="s">
        <v>411</v>
      </c>
      <c r="S21" t="s">
        <v>413</v>
      </c>
    </row>
    <row r="22" spans="1:19" ht="13" x14ac:dyDescent="0.3">
      <c r="A22" t="s">
        <v>441</v>
      </c>
      <c r="B22" s="10" t="s">
        <v>442</v>
      </c>
      <c r="C22" t="s">
        <v>443</v>
      </c>
      <c r="D22" t="s">
        <v>444</v>
      </c>
      <c r="E22" t="s">
        <v>184</v>
      </c>
      <c r="G22" t="s">
        <v>184</v>
      </c>
      <c r="H22" s="30">
        <v>72</v>
      </c>
      <c r="I22" t="s">
        <v>184</v>
      </c>
      <c r="J22">
        <v>135</v>
      </c>
      <c r="K22" t="s">
        <v>184</v>
      </c>
      <c r="L22" s="30">
        <v>30.82</v>
      </c>
      <c r="M22" t="s">
        <v>184</v>
      </c>
      <c r="N22" s="30">
        <f>SUM(H22:L22)</f>
        <v>237.82</v>
      </c>
      <c r="O22" t="s">
        <v>184</v>
      </c>
      <c r="Q22" t="s">
        <v>184</v>
      </c>
      <c r="R22" s="1"/>
      <c r="S22" t="s">
        <v>184</v>
      </c>
    </row>
    <row r="23" spans="1:19" x14ac:dyDescent="0.25">
      <c r="A23" t="s">
        <v>445</v>
      </c>
      <c r="B23" s="10" t="s">
        <v>442</v>
      </c>
      <c r="C23" t="s">
        <v>446</v>
      </c>
      <c r="D23" t="s">
        <v>447</v>
      </c>
      <c r="E23" t="s">
        <v>184</v>
      </c>
      <c r="G23" t="s">
        <v>184</v>
      </c>
      <c r="M23" t="s">
        <v>184</v>
      </c>
      <c r="N23">
        <f>SUM(H23:L23)</f>
        <v>0</v>
      </c>
      <c r="O23" t="s">
        <v>184</v>
      </c>
      <c r="Q23" t="s">
        <v>184</v>
      </c>
      <c r="R23" s="1"/>
      <c r="S23" t="s">
        <v>184</v>
      </c>
    </row>
    <row r="24" spans="1:19" ht="13" x14ac:dyDescent="0.3">
      <c r="A24" t="s">
        <v>448</v>
      </c>
      <c r="B24" s="10" t="s">
        <v>184</v>
      </c>
      <c r="C24" t="s">
        <v>449</v>
      </c>
      <c r="D24" t="s">
        <v>450</v>
      </c>
      <c r="E24" t="s">
        <v>184</v>
      </c>
      <c r="G24" t="s">
        <v>184</v>
      </c>
      <c r="H24" s="30">
        <v>35</v>
      </c>
      <c r="I24" t="s">
        <v>184</v>
      </c>
      <c r="K24" t="s">
        <v>184</v>
      </c>
      <c r="M24" t="s">
        <v>184</v>
      </c>
      <c r="N24" s="30">
        <f>SUM(H24:L24)</f>
        <v>35</v>
      </c>
      <c r="O24" t="s">
        <v>184</v>
      </c>
      <c r="Q24" t="s">
        <v>184</v>
      </c>
      <c r="R24" s="1"/>
      <c r="S24" t="s">
        <v>184</v>
      </c>
    </row>
    <row r="25" spans="1:19" x14ac:dyDescent="0.25">
      <c r="B25" s="10" t="s">
        <v>184</v>
      </c>
      <c r="C25" t="s">
        <v>451</v>
      </c>
      <c r="E25" t="s">
        <v>184</v>
      </c>
      <c r="G25" t="s">
        <v>184</v>
      </c>
      <c r="I25" t="s">
        <v>184</v>
      </c>
      <c r="K25" t="s">
        <v>184</v>
      </c>
      <c r="M25" t="s">
        <v>184</v>
      </c>
      <c r="N25">
        <f>SUM(H25:L25)</f>
        <v>0</v>
      </c>
      <c r="O25" t="s">
        <v>184</v>
      </c>
      <c r="Q25" t="s">
        <v>184</v>
      </c>
      <c r="R25" s="1"/>
      <c r="S25" t="s">
        <v>184</v>
      </c>
    </row>
    <row r="26" spans="1:19" x14ac:dyDescent="0.25">
      <c r="B26" s="10" t="s">
        <v>184</v>
      </c>
      <c r="E26" t="s">
        <v>184</v>
      </c>
      <c r="G26" t="s">
        <v>184</v>
      </c>
      <c r="I26" t="s">
        <v>184</v>
      </c>
      <c r="K26" t="s">
        <v>184</v>
      </c>
      <c r="M26" t="s">
        <v>184</v>
      </c>
      <c r="O26" t="s">
        <v>184</v>
      </c>
      <c r="Q26" t="s">
        <v>184</v>
      </c>
      <c r="R26" s="1"/>
      <c r="S26" t="s">
        <v>184</v>
      </c>
    </row>
    <row r="27" spans="1:19" x14ac:dyDescent="0.25">
      <c r="B27" s="10" t="s">
        <v>184</v>
      </c>
      <c r="C27" t="s">
        <v>452</v>
      </c>
      <c r="E27" t="s">
        <v>184</v>
      </c>
      <c r="F27">
        <f>SUM(F22:F25)</f>
        <v>0</v>
      </c>
      <c r="G27" t="s">
        <v>184</v>
      </c>
      <c r="H27">
        <f>SUM(H22:H25)</f>
        <v>107</v>
      </c>
      <c r="I27" t="s">
        <v>184</v>
      </c>
      <c r="J27">
        <f>SUM(J22:J25)</f>
        <v>135</v>
      </c>
      <c r="K27" t="s">
        <v>184</v>
      </c>
      <c r="L27">
        <f>SUM(L22:L25)</f>
        <v>30.82</v>
      </c>
      <c r="M27" t="s">
        <v>184</v>
      </c>
      <c r="N27" s="42">
        <f>SUM(H27:L27)</f>
        <v>272.82</v>
      </c>
      <c r="O27" t="s">
        <v>184</v>
      </c>
      <c r="P27">
        <f>F27+(N27*125)</f>
        <v>34102.5</v>
      </c>
      <c r="Q27" t="s">
        <v>184</v>
      </c>
      <c r="R27" s="1">
        <f>P27/365/1000</f>
        <v>9.3431506849315074E-2</v>
      </c>
      <c r="S27" t="s">
        <v>184</v>
      </c>
    </row>
    <row r="28" spans="1:19" x14ac:dyDescent="0.25">
      <c r="A28" t="s">
        <v>406</v>
      </c>
      <c r="B28" s="10" t="s">
        <v>407</v>
      </c>
      <c r="C28" t="s">
        <v>408</v>
      </c>
      <c r="D28" t="s">
        <v>408</v>
      </c>
      <c r="E28" t="s">
        <v>407</v>
      </c>
      <c r="F28" t="s">
        <v>409</v>
      </c>
      <c r="G28" t="s">
        <v>407</v>
      </c>
      <c r="H28" t="s">
        <v>410</v>
      </c>
      <c r="I28" t="s">
        <v>407</v>
      </c>
      <c r="J28" t="s">
        <v>411</v>
      </c>
      <c r="K28" t="s">
        <v>407</v>
      </c>
      <c r="L28" t="s">
        <v>411</v>
      </c>
      <c r="M28" t="s">
        <v>407</v>
      </c>
      <c r="N28" t="s">
        <v>410</v>
      </c>
      <c r="O28" t="s">
        <v>407</v>
      </c>
      <c r="P28" t="s">
        <v>412</v>
      </c>
      <c r="Q28" t="s">
        <v>407</v>
      </c>
      <c r="R28" s="1" t="s">
        <v>411</v>
      </c>
      <c r="S28" t="s">
        <v>413</v>
      </c>
    </row>
    <row r="29" spans="1:19" ht="13" x14ac:dyDescent="0.3">
      <c r="A29" t="s">
        <v>453</v>
      </c>
      <c r="B29" s="10" t="s">
        <v>454</v>
      </c>
      <c r="C29" t="s">
        <v>455</v>
      </c>
      <c r="D29" t="s">
        <v>456</v>
      </c>
      <c r="E29" t="s">
        <v>184</v>
      </c>
      <c r="G29" t="s">
        <v>184</v>
      </c>
      <c r="H29" s="30">
        <v>497</v>
      </c>
      <c r="I29" t="s">
        <v>184</v>
      </c>
      <c r="K29" t="s">
        <v>184</v>
      </c>
      <c r="L29" s="30">
        <v>14.32</v>
      </c>
      <c r="M29" t="s">
        <v>184</v>
      </c>
      <c r="N29" s="30">
        <f>SUM(H29:L29)</f>
        <v>511.32</v>
      </c>
      <c r="O29" t="s">
        <v>184</v>
      </c>
      <c r="Q29" t="s">
        <v>184</v>
      </c>
      <c r="R29" s="1"/>
      <c r="S29" t="s">
        <v>184</v>
      </c>
    </row>
    <row r="30" spans="1:19" x14ac:dyDescent="0.25">
      <c r="A30" t="s">
        <v>457</v>
      </c>
      <c r="B30" s="10" t="s">
        <v>458</v>
      </c>
      <c r="C30" t="s">
        <v>459</v>
      </c>
      <c r="D30" t="s">
        <v>460</v>
      </c>
      <c r="E30" t="s">
        <v>184</v>
      </c>
      <c r="G30" t="s">
        <v>184</v>
      </c>
      <c r="H30">
        <v>29</v>
      </c>
      <c r="I30" t="s">
        <v>184</v>
      </c>
      <c r="K30" t="s">
        <v>184</v>
      </c>
      <c r="M30" t="s">
        <v>184</v>
      </c>
      <c r="N30">
        <f>SUM(H30:L30)</f>
        <v>29</v>
      </c>
      <c r="O30" t="s">
        <v>184</v>
      </c>
      <c r="Q30" t="s">
        <v>184</v>
      </c>
      <c r="R30" s="1"/>
      <c r="S30" t="s">
        <v>184</v>
      </c>
    </row>
    <row r="31" spans="1:19" x14ac:dyDescent="0.25">
      <c r="A31" t="s">
        <v>461</v>
      </c>
      <c r="B31" s="10" t="s">
        <v>462</v>
      </c>
      <c r="C31" t="s">
        <v>463</v>
      </c>
      <c r="D31" t="s">
        <v>464</v>
      </c>
      <c r="E31" t="s">
        <v>184</v>
      </c>
      <c r="G31" t="s">
        <v>184</v>
      </c>
      <c r="H31">
        <v>34</v>
      </c>
      <c r="I31" t="s">
        <v>184</v>
      </c>
      <c r="K31" t="s">
        <v>184</v>
      </c>
      <c r="M31" t="s">
        <v>184</v>
      </c>
      <c r="N31">
        <f>SUM(H31:L31)</f>
        <v>34</v>
      </c>
      <c r="O31" t="s">
        <v>184</v>
      </c>
      <c r="Q31" t="s">
        <v>184</v>
      </c>
      <c r="R31" s="1"/>
      <c r="S31" t="s">
        <v>184</v>
      </c>
    </row>
    <row r="32" spans="1:19" x14ac:dyDescent="0.25">
      <c r="B32" s="10" t="s">
        <v>184</v>
      </c>
      <c r="C32" t="s">
        <v>451</v>
      </c>
      <c r="E32" t="s">
        <v>184</v>
      </c>
      <c r="G32" t="s">
        <v>184</v>
      </c>
      <c r="I32" t="s">
        <v>184</v>
      </c>
      <c r="K32" t="s">
        <v>184</v>
      </c>
      <c r="M32" t="s">
        <v>184</v>
      </c>
      <c r="N32">
        <f>SUM(H32:L32)</f>
        <v>0</v>
      </c>
      <c r="O32" t="s">
        <v>184</v>
      </c>
      <c r="Q32" t="s">
        <v>184</v>
      </c>
      <c r="R32" s="1"/>
      <c r="S32" t="s">
        <v>184</v>
      </c>
    </row>
    <row r="33" spans="1:19" x14ac:dyDescent="0.25">
      <c r="B33" s="10" t="s">
        <v>184</v>
      </c>
      <c r="E33" t="s">
        <v>184</v>
      </c>
      <c r="G33" t="s">
        <v>184</v>
      </c>
      <c r="I33" t="s">
        <v>184</v>
      </c>
      <c r="K33" t="s">
        <v>184</v>
      </c>
      <c r="M33" t="s">
        <v>184</v>
      </c>
      <c r="O33" t="s">
        <v>184</v>
      </c>
      <c r="Q33" t="s">
        <v>184</v>
      </c>
      <c r="R33" s="1"/>
      <c r="S33" t="s">
        <v>184</v>
      </c>
    </row>
    <row r="34" spans="1:19" x14ac:dyDescent="0.25">
      <c r="B34" s="10" t="s">
        <v>184</v>
      </c>
      <c r="C34" t="s">
        <v>465</v>
      </c>
      <c r="E34" t="s">
        <v>184</v>
      </c>
      <c r="F34">
        <f>SUM(F29:F32)</f>
        <v>0</v>
      </c>
      <c r="G34" t="s">
        <v>184</v>
      </c>
      <c r="H34">
        <f>SUM(H29:H32)</f>
        <v>560</v>
      </c>
      <c r="I34" t="s">
        <v>184</v>
      </c>
      <c r="J34">
        <f>SUM(J29:J32)</f>
        <v>0</v>
      </c>
      <c r="K34" t="s">
        <v>184</v>
      </c>
      <c r="L34">
        <f>SUM(L29:L32)</f>
        <v>14.32</v>
      </c>
      <c r="M34" t="s">
        <v>184</v>
      </c>
      <c r="N34" s="42">
        <f>SUM(N29:N32)</f>
        <v>574.31999999999994</v>
      </c>
      <c r="O34" t="s">
        <v>184</v>
      </c>
      <c r="P34">
        <f>F34+(N34*125)</f>
        <v>71789.999999999985</v>
      </c>
      <c r="Q34" t="s">
        <v>184</v>
      </c>
      <c r="R34" s="1">
        <f>P34/365/1000</f>
        <v>0.19668493150684926</v>
      </c>
      <c r="S34" t="s">
        <v>184</v>
      </c>
    </row>
    <row r="35" spans="1:19" x14ac:dyDescent="0.25">
      <c r="A35" t="s">
        <v>406</v>
      </c>
      <c r="B35" s="10" t="s">
        <v>407</v>
      </c>
      <c r="C35" t="s">
        <v>408</v>
      </c>
      <c r="D35" t="s">
        <v>408</v>
      </c>
      <c r="E35" t="s">
        <v>407</v>
      </c>
      <c r="F35" t="s">
        <v>409</v>
      </c>
      <c r="G35" t="s">
        <v>407</v>
      </c>
      <c r="H35" t="s">
        <v>410</v>
      </c>
      <c r="I35" t="s">
        <v>407</v>
      </c>
      <c r="J35" t="s">
        <v>411</v>
      </c>
      <c r="K35" t="s">
        <v>407</v>
      </c>
      <c r="L35" t="s">
        <v>411</v>
      </c>
      <c r="M35" t="s">
        <v>407</v>
      </c>
      <c r="N35" t="s">
        <v>410</v>
      </c>
      <c r="O35" t="s">
        <v>407</v>
      </c>
      <c r="P35" t="s">
        <v>412</v>
      </c>
      <c r="Q35" t="s">
        <v>407</v>
      </c>
      <c r="R35" s="1" t="s">
        <v>411</v>
      </c>
      <c r="S35" t="s">
        <v>413</v>
      </c>
    </row>
    <row r="36" spans="1:19" x14ac:dyDescent="0.25">
      <c r="A36" s="54" t="s">
        <v>466</v>
      </c>
      <c r="B36" s="55" t="s">
        <v>184</v>
      </c>
      <c r="C36" s="54" t="s">
        <v>467</v>
      </c>
      <c r="D36" s="54"/>
      <c r="E36" t="s">
        <v>184</v>
      </c>
      <c r="G36" t="s">
        <v>184</v>
      </c>
      <c r="H36">
        <v>28</v>
      </c>
      <c r="I36" t="s">
        <v>184</v>
      </c>
      <c r="K36" t="s">
        <v>184</v>
      </c>
      <c r="M36" t="s">
        <v>184</v>
      </c>
      <c r="N36">
        <f>SUM(H36:L36)</f>
        <v>28</v>
      </c>
      <c r="O36" t="s">
        <v>184</v>
      </c>
      <c r="Q36" t="s">
        <v>184</v>
      </c>
      <c r="R36" s="1"/>
      <c r="S36" t="s">
        <v>184</v>
      </c>
    </row>
    <row r="37" spans="1:19" x14ac:dyDescent="0.25">
      <c r="A37" s="54" t="s">
        <v>468</v>
      </c>
      <c r="B37" s="55" t="s">
        <v>184</v>
      </c>
      <c r="C37" s="54" t="s">
        <v>469</v>
      </c>
      <c r="D37" s="54"/>
      <c r="E37" t="s">
        <v>184</v>
      </c>
      <c r="G37" t="s">
        <v>184</v>
      </c>
      <c r="H37">
        <v>14</v>
      </c>
      <c r="I37" t="s">
        <v>184</v>
      </c>
      <c r="K37" t="s">
        <v>184</v>
      </c>
      <c r="M37" t="s">
        <v>184</v>
      </c>
      <c r="N37">
        <f>SUM(H37:L37)</f>
        <v>14</v>
      </c>
      <c r="O37" t="s">
        <v>184</v>
      </c>
      <c r="Q37" t="s">
        <v>184</v>
      </c>
      <c r="R37" s="1"/>
      <c r="S37" t="s">
        <v>184</v>
      </c>
    </row>
    <row r="38" spans="1:19" x14ac:dyDescent="0.25">
      <c r="A38" s="54" t="s">
        <v>470</v>
      </c>
      <c r="B38" s="55" t="s">
        <v>184</v>
      </c>
      <c r="C38" s="54" t="s">
        <v>471</v>
      </c>
      <c r="D38" s="54" t="s">
        <v>472</v>
      </c>
      <c r="E38" t="s">
        <v>184</v>
      </c>
      <c r="G38" t="s">
        <v>184</v>
      </c>
      <c r="H38">
        <v>65</v>
      </c>
      <c r="I38" t="s">
        <v>184</v>
      </c>
      <c r="K38" t="s">
        <v>184</v>
      </c>
      <c r="M38" t="s">
        <v>184</v>
      </c>
      <c r="N38">
        <f>SUM(H38:L38)</f>
        <v>65</v>
      </c>
      <c r="O38" t="s">
        <v>184</v>
      </c>
      <c r="Q38" t="s">
        <v>184</v>
      </c>
      <c r="R38" s="1"/>
      <c r="S38" t="s">
        <v>184</v>
      </c>
    </row>
    <row r="39" spans="1:19" x14ac:dyDescent="0.25">
      <c r="A39" s="54" t="s">
        <v>473</v>
      </c>
      <c r="B39" s="55" t="s">
        <v>184</v>
      </c>
      <c r="C39" s="54" t="s">
        <v>474</v>
      </c>
      <c r="D39" s="54" t="s">
        <v>475</v>
      </c>
      <c r="E39" t="s">
        <v>184</v>
      </c>
      <c r="G39" t="s">
        <v>184</v>
      </c>
      <c r="H39">
        <v>7</v>
      </c>
      <c r="I39" t="s">
        <v>184</v>
      </c>
      <c r="K39" t="s">
        <v>184</v>
      </c>
      <c r="M39" t="s">
        <v>184</v>
      </c>
      <c r="N39">
        <f>SUM(H39:L39)</f>
        <v>7</v>
      </c>
      <c r="O39" t="s">
        <v>184</v>
      </c>
      <c r="Q39" t="s">
        <v>184</v>
      </c>
      <c r="R39" s="1"/>
      <c r="S39" t="s">
        <v>184</v>
      </c>
    </row>
    <row r="40" spans="1:19" x14ac:dyDescent="0.25">
      <c r="A40" s="54"/>
      <c r="B40" s="55" t="s">
        <v>184</v>
      </c>
      <c r="C40" s="54"/>
      <c r="D40" s="54"/>
      <c r="E40" t="s">
        <v>184</v>
      </c>
      <c r="G40" t="s">
        <v>184</v>
      </c>
      <c r="I40" t="s">
        <v>184</v>
      </c>
      <c r="K40" t="s">
        <v>184</v>
      </c>
      <c r="M40" t="s">
        <v>184</v>
      </c>
      <c r="O40" t="s">
        <v>184</v>
      </c>
      <c r="Q40" t="s">
        <v>184</v>
      </c>
      <c r="R40" s="1"/>
      <c r="S40" t="s">
        <v>184</v>
      </c>
    </row>
    <row r="41" spans="1:19" x14ac:dyDescent="0.25">
      <c r="B41" s="10" t="s">
        <v>184</v>
      </c>
      <c r="C41" s="3" t="s">
        <v>476</v>
      </c>
      <c r="D41" s="3"/>
      <c r="E41" s="3" t="s">
        <v>184</v>
      </c>
      <c r="F41" s="3">
        <f>SUM(F36:F39)</f>
        <v>0</v>
      </c>
      <c r="G41" s="3" t="s">
        <v>184</v>
      </c>
      <c r="H41" s="3">
        <f>SUM(H36:H39)</f>
        <v>114</v>
      </c>
      <c r="I41" s="3" t="s">
        <v>184</v>
      </c>
      <c r="J41" s="3">
        <f>SUM(J36:J39)</f>
        <v>0</v>
      </c>
      <c r="K41" s="3" t="s">
        <v>184</v>
      </c>
      <c r="L41" s="3">
        <f>SUM(L36:L39)</f>
        <v>0</v>
      </c>
      <c r="M41" s="3" t="s">
        <v>184</v>
      </c>
      <c r="N41" s="3">
        <f>SUM(H41:L41)</f>
        <v>114</v>
      </c>
      <c r="O41" s="3" t="s">
        <v>184</v>
      </c>
      <c r="P41" s="3">
        <f>F41+(N41*125)</f>
        <v>14250</v>
      </c>
      <c r="Q41" s="3" t="s">
        <v>184</v>
      </c>
      <c r="R41" s="11">
        <f>P41/365/1000</f>
        <v>3.9041095890410958E-2</v>
      </c>
      <c r="S41" t="s">
        <v>184</v>
      </c>
    </row>
    <row r="42" spans="1:19" x14ac:dyDescent="0.25">
      <c r="A42" t="s">
        <v>406</v>
      </c>
      <c r="B42" s="10" t="s">
        <v>407</v>
      </c>
      <c r="C42" t="s">
        <v>408</v>
      </c>
      <c r="D42" t="s">
        <v>408</v>
      </c>
      <c r="E42" t="s">
        <v>407</v>
      </c>
      <c r="F42" t="s">
        <v>409</v>
      </c>
      <c r="G42" t="s">
        <v>407</v>
      </c>
      <c r="H42" t="s">
        <v>410</v>
      </c>
      <c r="I42" t="s">
        <v>407</v>
      </c>
      <c r="J42" t="s">
        <v>411</v>
      </c>
      <c r="K42" t="s">
        <v>407</v>
      </c>
      <c r="L42" t="s">
        <v>411</v>
      </c>
      <c r="M42" t="s">
        <v>407</v>
      </c>
      <c r="N42" t="s">
        <v>410</v>
      </c>
      <c r="O42" t="s">
        <v>407</v>
      </c>
      <c r="P42" t="s">
        <v>412</v>
      </c>
      <c r="Q42" t="s">
        <v>407</v>
      </c>
      <c r="R42" s="1" t="s">
        <v>411</v>
      </c>
      <c r="S42" t="s">
        <v>413</v>
      </c>
    </row>
    <row r="43" spans="1:19" x14ac:dyDescent="0.25">
      <c r="A43" t="s">
        <v>477</v>
      </c>
      <c r="B43" s="10" t="s">
        <v>184</v>
      </c>
      <c r="C43" t="s">
        <v>478</v>
      </c>
      <c r="D43" t="s">
        <v>478</v>
      </c>
      <c r="E43" t="s">
        <v>184</v>
      </c>
      <c r="F43" s="37">
        <f>WSSC_ALL!$AE$149*365*1000</f>
        <v>9083064.8990975432</v>
      </c>
      <c r="G43" t="s">
        <v>184</v>
      </c>
      <c r="I43" t="s">
        <v>184</v>
      </c>
      <c r="K43" t="s">
        <v>184</v>
      </c>
      <c r="M43" t="s">
        <v>184</v>
      </c>
      <c r="O43" t="s">
        <v>184</v>
      </c>
      <c r="P43">
        <f>F43+(N43*125)</f>
        <v>9083064.8990975432</v>
      </c>
      <c r="Q43" t="s">
        <v>184</v>
      </c>
      <c r="R43" s="1">
        <f>P43/365/1000</f>
        <v>24.885109312596011</v>
      </c>
      <c r="S43" t="s">
        <v>184</v>
      </c>
    </row>
    <row r="44" spans="1:19" x14ac:dyDescent="0.25">
      <c r="A44" t="s">
        <v>406</v>
      </c>
      <c r="B44" s="10" t="s">
        <v>407</v>
      </c>
      <c r="C44" t="s">
        <v>408</v>
      </c>
      <c r="D44" t="s">
        <v>408</v>
      </c>
      <c r="E44" t="s">
        <v>407</v>
      </c>
      <c r="F44" t="s">
        <v>409</v>
      </c>
      <c r="G44" t="s">
        <v>407</v>
      </c>
      <c r="H44" t="s">
        <v>410</v>
      </c>
      <c r="I44" t="s">
        <v>407</v>
      </c>
      <c r="J44" t="s">
        <v>411</v>
      </c>
      <c r="K44" t="s">
        <v>407</v>
      </c>
      <c r="L44" t="s">
        <v>411</v>
      </c>
      <c r="M44" t="s">
        <v>407</v>
      </c>
      <c r="N44" t="s">
        <v>410</v>
      </c>
      <c r="O44" t="s">
        <v>407</v>
      </c>
      <c r="P44" t="s">
        <v>412</v>
      </c>
      <c r="Q44" t="s">
        <v>407</v>
      </c>
      <c r="R44" s="1" t="s">
        <v>411</v>
      </c>
      <c r="S44" t="s">
        <v>413</v>
      </c>
    </row>
    <row r="45" spans="1:19" ht="13" x14ac:dyDescent="0.3">
      <c r="A45" t="s">
        <v>479</v>
      </c>
      <c r="B45" s="10" t="s">
        <v>480</v>
      </c>
      <c r="C45" t="s">
        <v>481</v>
      </c>
      <c r="D45" t="s">
        <v>481</v>
      </c>
      <c r="E45" t="s">
        <v>184</v>
      </c>
      <c r="G45" t="s">
        <v>184</v>
      </c>
      <c r="H45" s="30">
        <v>90</v>
      </c>
      <c r="I45" t="s">
        <v>184</v>
      </c>
      <c r="J45" s="30">
        <v>52.5</v>
      </c>
      <c r="K45" t="s">
        <v>184</v>
      </c>
      <c r="L45">
        <v>3.9</v>
      </c>
      <c r="M45" t="s">
        <v>184</v>
      </c>
      <c r="N45" s="30">
        <f t="shared" ref="N45:N53" si="0">SUM(H45:L45)</f>
        <v>146.4</v>
      </c>
      <c r="O45" t="s">
        <v>184</v>
      </c>
      <c r="Q45" t="s">
        <v>184</v>
      </c>
      <c r="R45" s="1"/>
      <c r="S45" t="s">
        <v>184</v>
      </c>
    </row>
    <row r="46" spans="1:19" ht="13" x14ac:dyDescent="0.3">
      <c r="A46" t="s">
        <v>482</v>
      </c>
      <c r="B46" s="10" t="s">
        <v>483</v>
      </c>
      <c r="C46" t="s">
        <v>484</v>
      </c>
      <c r="D46" t="s">
        <v>485</v>
      </c>
      <c r="E46" t="s">
        <v>184</v>
      </c>
      <c r="G46" t="s">
        <v>184</v>
      </c>
      <c r="H46" s="30">
        <v>350.64</v>
      </c>
      <c r="I46" t="s">
        <v>184</v>
      </c>
      <c r="J46" s="30">
        <v>404</v>
      </c>
      <c r="K46" t="s">
        <v>184</v>
      </c>
      <c r="L46" s="30">
        <v>48.33</v>
      </c>
      <c r="M46" t="s">
        <v>184</v>
      </c>
      <c r="N46" s="30">
        <f t="shared" si="0"/>
        <v>802.97</v>
      </c>
      <c r="O46" t="s">
        <v>184</v>
      </c>
      <c r="Q46" t="s">
        <v>184</v>
      </c>
      <c r="R46" s="1"/>
      <c r="S46" t="s">
        <v>184</v>
      </c>
    </row>
    <row r="47" spans="1:19" ht="13" x14ac:dyDescent="0.3">
      <c r="A47" t="s">
        <v>486</v>
      </c>
      <c r="B47" s="10" t="s">
        <v>487</v>
      </c>
      <c r="C47" t="s">
        <v>488</v>
      </c>
      <c r="D47" t="s">
        <v>489</v>
      </c>
      <c r="E47" t="s">
        <v>184</v>
      </c>
      <c r="G47" t="s">
        <v>184</v>
      </c>
      <c r="H47" s="30">
        <v>481</v>
      </c>
      <c r="I47" t="s">
        <v>184</v>
      </c>
      <c r="J47">
        <v>1661.5</v>
      </c>
      <c r="K47" t="s">
        <v>184</v>
      </c>
      <c r="L47" s="30">
        <v>289.16000000000003</v>
      </c>
      <c r="M47" t="s">
        <v>184</v>
      </c>
      <c r="N47" s="30">
        <f t="shared" si="0"/>
        <v>2431.66</v>
      </c>
      <c r="O47" t="s">
        <v>184</v>
      </c>
      <c r="Q47" t="s">
        <v>184</v>
      </c>
      <c r="R47" s="1"/>
      <c r="S47" t="s">
        <v>184</v>
      </c>
    </row>
    <row r="48" spans="1:19" ht="13" x14ac:dyDescent="0.3">
      <c r="A48" t="s">
        <v>490</v>
      </c>
      <c r="B48" s="10" t="s">
        <v>491</v>
      </c>
      <c r="C48" t="s">
        <v>492</v>
      </c>
      <c r="D48" t="s">
        <v>493</v>
      </c>
      <c r="E48" t="s">
        <v>184</v>
      </c>
      <c r="G48" t="s">
        <v>184</v>
      </c>
      <c r="I48" t="s">
        <v>184</v>
      </c>
      <c r="J48" s="30">
        <v>287</v>
      </c>
      <c r="K48" t="s">
        <v>184</v>
      </c>
      <c r="L48">
        <v>1.1499999999999999</v>
      </c>
      <c r="M48" t="s">
        <v>184</v>
      </c>
      <c r="N48" s="30">
        <f t="shared" si="0"/>
        <v>288.14999999999998</v>
      </c>
      <c r="O48" t="s">
        <v>184</v>
      </c>
      <c r="Q48" t="s">
        <v>184</v>
      </c>
      <c r="R48" s="1"/>
      <c r="S48" t="s">
        <v>184</v>
      </c>
    </row>
    <row r="49" spans="1:19" ht="13" x14ac:dyDescent="0.3">
      <c r="A49" t="s">
        <v>494</v>
      </c>
      <c r="B49" s="10" t="s">
        <v>495</v>
      </c>
      <c r="C49" t="s">
        <v>496</v>
      </c>
      <c r="D49" t="s">
        <v>497</v>
      </c>
      <c r="E49" t="s">
        <v>184</v>
      </c>
      <c r="G49" t="s">
        <v>184</v>
      </c>
      <c r="H49">
        <v>66</v>
      </c>
      <c r="I49" t="s">
        <v>184</v>
      </c>
      <c r="J49">
        <v>866</v>
      </c>
      <c r="K49" t="s">
        <v>184</v>
      </c>
      <c r="L49" s="30">
        <v>3715.93</v>
      </c>
      <c r="M49" t="s">
        <v>184</v>
      </c>
      <c r="N49" s="30">
        <f t="shared" si="0"/>
        <v>4647.93</v>
      </c>
      <c r="O49" t="s">
        <v>184</v>
      </c>
      <c r="Q49" t="s">
        <v>184</v>
      </c>
      <c r="R49" s="1"/>
      <c r="S49" t="s">
        <v>184</v>
      </c>
    </row>
    <row r="50" spans="1:19" ht="13" x14ac:dyDescent="0.3">
      <c r="A50" t="s">
        <v>498</v>
      </c>
      <c r="B50" s="10" t="s">
        <v>499</v>
      </c>
      <c r="C50" t="s">
        <v>500</v>
      </c>
      <c r="D50" t="s">
        <v>501</v>
      </c>
      <c r="E50" t="s">
        <v>184</v>
      </c>
      <c r="G50" t="s">
        <v>184</v>
      </c>
      <c r="I50" t="s">
        <v>184</v>
      </c>
      <c r="J50" s="30">
        <v>551</v>
      </c>
      <c r="K50" t="s">
        <v>184</v>
      </c>
      <c r="L50" s="30"/>
      <c r="M50" t="s">
        <v>184</v>
      </c>
      <c r="N50" s="30">
        <f t="shared" si="0"/>
        <v>551</v>
      </c>
      <c r="O50" t="s">
        <v>184</v>
      </c>
      <c r="Q50" t="s">
        <v>184</v>
      </c>
      <c r="R50" s="1"/>
      <c r="S50" t="s">
        <v>184</v>
      </c>
    </row>
    <row r="51" spans="1:19" ht="13" x14ac:dyDescent="0.3">
      <c r="A51" t="s">
        <v>502</v>
      </c>
      <c r="B51" s="10" t="s">
        <v>499</v>
      </c>
      <c r="C51" t="s">
        <v>503</v>
      </c>
      <c r="D51" t="s">
        <v>504</v>
      </c>
      <c r="E51" t="s">
        <v>184</v>
      </c>
      <c r="G51" t="s">
        <v>184</v>
      </c>
      <c r="I51" t="s">
        <v>184</v>
      </c>
      <c r="K51" t="s">
        <v>184</v>
      </c>
      <c r="L51" s="30">
        <v>508.45</v>
      </c>
      <c r="M51" t="s">
        <v>184</v>
      </c>
      <c r="N51" s="30">
        <f t="shared" si="0"/>
        <v>508.45</v>
      </c>
      <c r="O51" t="s">
        <v>184</v>
      </c>
      <c r="Q51" t="s">
        <v>184</v>
      </c>
      <c r="R51" s="1"/>
      <c r="S51" t="s">
        <v>184</v>
      </c>
    </row>
    <row r="52" spans="1:19" ht="13" x14ac:dyDescent="0.3">
      <c r="A52" t="s">
        <v>505</v>
      </c>
      <c r="B52" s="10" t="s">
        <v>506</v>
      </c>
      <c r="C52" t="s">
        <v>507</v>
      </c>
      <c r="D52" t="s">
        <v>507</v>
      </c>
      <c r="E52" t="s">
        <v>184</v>
      </c>
      <c r="G52" t="s">
        <v>184</v>
      </c>
      <c r="I52" t="s">
        <v>184</v>
      </c>
      <c r="J52" s="30">
        <v>0</v>
      </c>
      <c r="K52" t="s">
        <v>184</v>
      </c>
      <c r="L52" s="30">
        <v>55.02</v>
      </c>
      <c r="M52" t="s">
        <v>184</v>
      </c>
      <c r="N52" s="30">
        <f t="shared" si="0"/>
        <v>55.02</v>
      </c>
      <c r="O52" t="s">
        <v>184</v>
      </c>
      <c r="Q52" t="s">
        <v>184</v>
      </c>
      <c r="R52" s="1"/>
      <c r="S52" t="s">
        <v>184</v>
      </c>
    </row>
    <row r="53" spans="1:19" ht="13" x14ac:dyDescent="0.3">
      <c r="A53" t="s">
        <v>508</v>
      </c>
      <c r="B53" s="10" t="s">
        <v>509</v>
      </c>
      <c r="C53" t="s">
        <v>510</v>
      </c>
      <c r="D53" t="s">
        <v>511</v>
      </c>
      <c r="E53" t="s">
        <v>184</v>
      </c>
      <c r="G53" t="s">
        <v>184</v>
      </c>
      <c r="H53">
        <v>5</v>
      </c>
      <c r="I53" t="s">
        <v>184</v>
      </c>
      <c r="J53">
        <v>84</v>
      </c>
      <c r="K53" t="s">
        <v>184</v>
      </c>
      <c r="L53" s="30">
        <v>37.939799999999998</v>
      </c>
      <c r="M53" t="s">
        <v>184</v>
      </c>
      <c r="N53">
        <f t="shared" si="0"/>
        <v>126.93979999999999</v>
      </c>
      <c r="O53" t="s">
        <v>184</v>
      </c>
      <c r="Q53" t="s">
        <v>184</v>
      </c>
      <c r="R53" s="1"/>
      <c r="S53" t="s">
        <v>184</v>
      </c>
    </row>
    <row r="54" spans="1:19" x14ac:dyDescent="0.25">
      <c r="B54" s="10" t="s">
        <v>184</v>
      </c>
      <c r="C54" t="s">
        <v>512</v>
      </c>
      <c r="E54" t="s">
        <v>184</v>
      </c>
      <c r="G54" t="s">
        <v>184</v>
      </c>
      <c r="I54" t="s">
        <v>184</v>
      </c>
      <c r="K54" t="s">
        <v>184</v>
      </c>
      <c r="M54" t="s">
        <v>184</v>
      </c>
      <c r="O54" t="s">
        <v>184</v>
      </c>
      <c r="Q54" t="s">
        <v>184</v>
      </c>
      <c r="R54" s="1"/>
      <c r="S54" t="s">
        <v>184</v>
      </c>
    </row>
    <row r="55" spans="1:19" x14ac:dyDescent="0.25">
      <c r="B55" s="10" t="s">
        <v>184</v>
      </c>
      <c r="C55" t="s">
        <v>451</v>
      </c>
      <c r="E55" t="s">
        <v>184</v>
      </c>
      <c r="G55" t="s">
        <v>184</v>
      </c>
      <c r="H55" s="48">
        <v>16</v>
      </c>
      <c r="I55" t="s">
        <v>184</v>
      </c>
      <c r="J55">
        <v>81</v>
      </c>
      <c r="K55" t="s">
        <v>184</v>
      </c>
      <c r="L55">
        <v>81.97</v>
      </c>
      <c r="M55" t="s">
        <v>184</v>
      </c>
      <c r="N55">
        <f>SUM(H55:L55)</f>
        <v>178.97</v>
      </c>
      <c r="O55" t="s">
        <v>184</v>
      </c>
      <c r="Q55" t="s">
        <v>184</v>
      </c>
      <c r="R55" s="1"/>
      <c r="S55" t="s">
        <v>184</v>
      </c>
    </row>
    <row r="56" spans="1:19" x14ac:dyDescent="0.25">
      <c r="B56" s="10" t="s">
        <v>184</v>
      </c>
      <c r="E56" t="s">
        <v>184</v>
      </c>
      <c r="G56" t="s">
        <v>184</v>
      </c>
      <c r="I56" t="s">
        <v>184</v>
      </c>
      <c r="K56" t="s">
        <v>184</v>
      </c>
      <c r="M56" t="s">
        <v>184</v>
      </c>
      <c r="O56" t="s">
        <v>184</v>
      </c>
      <c r="Q56" t="s">
        <v>184</v>
      </c>
      <c r="R56" s="1"/>
      <c r="S56" t="s">
        <v>184</v>
      </c>
    </row>
    <row r="57" spans="1:19" x14ac:dyDescent="0.25">
      <c r="B57" s="10" t="s">
        <v>184</v>
      </c>
      <c r="C57" t="s">
        <v>513</v>
      </c>
      <c r="E57" t="s">
        <v>184</v>
      </c>
      <c r="F57">
        <f>SUM(F45:F55)</f>
        <v>0</v>
      </c>
      <c r="G57" t="s">
        <v>184</v>
      </c>
      <c r="H57">
        <f>SUM(H45:H55)</f>
        <v>1008.64</v>
      </c>
      <c r="I57" t="s">
        <v>184</v>
      </c>
      <c r="J57">
        <f>SUM(J45:J55)</f>
        <v>3987</v>
      </c>
      <c r="K57" t="s">
        <v>184</v>
      </c>
      <c r="L57">
        <f>SUM(L45:L55)</f>
        <v>4741.8498000000009</v>
      </c>
      <c r="M57" t="s">
        <v>184</v>
      </c>
      <c r="N57" s="42">
        <f>SUM(H57:L57)</f>
        <v>9737.4898000000012</v>
      </c>
      <c r="O57" t="s">
        <v>184</v>
      </c>
      <c r="P57">
        <f>F57+(N57*125)</f>
        <v>1217186.2250000001</v>
      </c>
      <c r="Q57" t="s">
        <v>184</v>
      </c>
      <c r="R57" s="1">
        <f>P57/365/1000</f>
        <v>3.3347567808219183</v>
      </c>
      <c r="S57" t="s">
        <v>184</v>
      </c>
    </row>
    <row r="58" spans="1:19" x14ac:dyDescent="0.25">
      <c r="B58" s="10" t="s">
        <v>184</v>
      </c>
      <c r="C58" t="s">
        <v>514</v>
      </c>
      <c r="E58" t="s">
        <v>184</v>
      </c>
      <c r="G58" t="s">
        <v>184</v>
      </c>
      <c r="H58" t="s">
        <v>200</v>
      </c>
      <c r="I58" t="s">
        <v>184</v>
      </c>
      <c r="K58" t="s">
        <v>184</v>
      </c>
      <c r="M58" t="s">
        <v>184</v>
      </c>
      <c r="O58" t="s">
        <v>184</v>
      </c>
      <c r="Q58" t="s">
        <v>184</v>
      </c>
      <c r="R58" s="1"/>
      <c r="S58" t="s">
        <v>184</v>
      </c>
    </row>
    <row r="59" spans="1:19" x14ac:dyDescent="0.25">
      <c r="A59" t="s">
        <v>406</v>
      </c>
      <c r="B59" s="10" t="s">
        <v>407</v>
      </c>
      <c r="C59" t="s">
        <v>408</v>
      </c>
      <c r="D59" t="s">
        <v>408</v>
      </c>
      <c r="E59" t="s">
        <v>407</v>
      </c>
      <c r="F59" t="s">
        <v>409</v>
      </c>
      <c r="G59" t="s">
        <v>407</v>
      </c>
      <c r="H59" t="s">
        <v>410</v>
      </c>
      <c r="I59" t="s">
        <v>407</v>
      </c>
      <c r="J59" t="s">
        <v>411</v>
      </c>
      <c r="K59" t="s">
        <v>407</v>
      </c>
      <c r="L59" t="s">
        <v>411</v>
      </c>
      <c r="M59" t="s">
        <v>407</v>
      </c>
      <c r="N59" t="s">
        <v>410</v>
      </c>
      <c r="O59" t="s">
        <v>407</v>
      </c>
      <c r="P59" t="s">
        <v>412</v>
      </c>
      <c r="Q59" t="s">
        <v>407</v>
      </c>
      <c r="R59" s="1" t="s">
        <v>411</v>
      </c>
      <c r="S59" t="s">
        <v>413</v>
      </c>
    </row>
    <row r="60" spans="1:19" ht="13" x14ac:dyDescent="0.3">
      <c r="A60" t="s">
        <v>515</v>
      </c>
      <c r="B60" s="10" t="s">
        <v>509</v>
      </c>
      <c r="C60" t="s">
        <v>516</v>
      </c>
      <c r="D60" t="s">
        <v>516</v>
      </c>
      <c r="E60" t="s">
        <v>184</v>
      </c>
      <c r="G60" t="s">
        <v>184</v>
      </c>
      <c r="H60" s="30"/>
      <c r="L60" s="30"/>
      <c r="M60" t="s">
        <v>184</v>
      </c>
      <c r="N60" s="30">
        <f>SUM(H60:L60)</f>
        <v>0</v>
      </c>
      <c r="O60" t="s">
        <v>184</v>
      </c>
      <c r="Q60" t="s">
        <v>184</v>
      </c>
      <c r="R60" s="1"/>
      <c r="S60" t="s">
        <v>184</v>
      </c>
    </row>
    <row r="61" spans="1:19" x14ac:dyDescent="0.25">
      <c r="A61" s="54" t="s">
        <v>517</v>
      </c>
      <c r="B61" s="55" t="s">
        <v>184</v>
      </c>
      <c r="C61" s="54" t="s">
        <v>518</v>
      </c>
      <c r="D61" s="54" t="s">
        <v>519</v>
      </c>
      <c r="E61" t="s">
        <v>184</v>
      </c>
      <c r="G61" t="s">
        <v>184</v>
      </c>
      <c r="I61" t="s">
        <v>184</v>
      </c>
      <c r="K61" t="s">
        <v>184</v>
      </c>
      <c r="M61" t="s">
        <v>184</v>
      </c>
      <c r="N61">
        <f>SUM(H61:L61)</f>
        <v>0</v>
      </c>
      <c r="O61" t="s">
        <v>184</v>
      </c>
      <c r="Q61" t="s">
        <v>184</v>
      </c>
      <c r="R61" s="1"/>
      <c r="S61" t="s">
        <v>184</v>
      </c>
    </row>
    <row r="62" spans="1:19" x14ac:dyDescent="0.25">
      <c r="B62" s="10" t="s">
        <v>184</v>
      </c>
      <c r="E62" t="s">
        <v>184</v>
      </c>
      <c r="G62" t="s">
        <v>184</v>
      </c>
      <c r="I62" t="s">
        <v>184</v>
      </c>
      <c r="K62" t="s">
        <v>184</v>
      </c>
      <c r="M62" t="s">
        <v>184</v>
      </c>
      <c r="O62" t="s">
        <v>184</v>
      </c>
      <c r="Q62" t="s">
        <v>184</v>
      </c>
      <c r="R62" s="1"/>
      <c r="S62" t="s">
        <v>184</v>
      </c>
    </row>
    <row r="63" spans="1:19" x14ac:dyDescent="0.25">
      <c r="B63" s="10" t="s">
        <v>184</v>
      </c>
      <c r="C63" t="s">
        <v>520</v>
      </c>
      <c r="E63" t="s">
        <v>184</v>
      </c>
      <c r="F63">
        <f>SUM(F60:F61)</f>
        <v>0</v>
      </c>
      <c r="G63" t="s">
        <v>184</v>
      </c>
      <c r="H63">
        <f>SUM(H60:H61)</f>
        <v>0</v>
      </c>
      <c r="I63" t="s">
        <v>184</v>
      </c>
      <c r="J63">
        <f>SUM(J60:J61)</f>
        <v>0</v>
      </c>
      <c r="K63" t="s">
        <v>184</v>
      </c>
      <c r="L63">
        <f>SUM(L60:L61)</f>
        <v>0</v>
      </c>
      <c r="M63" t="s">
        <v>184</v>
      </c>
      <c r="N63" s="42">
        <f>SUM(H63:L63)</f>
        <v>0</v>
      </c>
      <c r="O63" t="s">
        <v>184</v>
      </c>
      <c r="P63">
        <f>F63+(N63*125)</f>
        <v>0</v>
      </c>
      <c r="Q63" t="s">
        <v>184</v>
      </c>
      <c r="R63" s="1">
        <f>P63/365/1000</f>
        <v>0</v>
      </c>
      <c r="S63" t="s">
        <v>184</v>
      </c>
    </row>
    <row r="64" spans="1:19" x14ac:dyDescent="0.25">
      <c r="A64" t="s">
        <v>406</v>
      </c>
      <c r="B64" s="10" t="s">
        <v>407</v>
      </c>
      <c r="C64" t="s">
        <v>408</v>
      </c>
      <c r="D64" t="s">
        <v>408</v>
      </c>
      <c r="E64" t="s">
        <v>407</v>
      </c>
      <c r="F64" t="s">
        <v>409</v>
      </c>
      <c r="G64" t="s">
        <v>407</v>
      </c>
      <c r="H64" t="s">
        <v>410</v>
      </c>
      <c r="I64" t="s">
        <v>407</v>
      </c>
      <c r="J64" t="s">
        <v>411</v>
      </c>
      <c r="K64" t="s">
        <v>407</v>
      </c>
      <c r="L64" t="s">
        <v>411</v>
      </c>
      <c r="M64" t="s">
        <v>407</v>
      </c>
      <c r="N64" t="s">
        <v>410</v>
      </c>
      <c r="O64" t="s">
        <v>407</v>
      </c>
      <c r="P64" t="s">
        <v>412</v>
      </c>
      <c r="Q64" t="s">
        <v>407</v>
      </c>
      <c r="R64" s="1" t="s">
        <v>411</v>
      </c>
      <c r="S64" t="s">
        <v>413</v>
      </c>
    </row>
    <row r="65" spans="1:19" x14ac:dyDescent="0.25">
      <c r="A65" s="54" t="s">
        <v>521</v>
      </c>
      <c r="B65" s="55" t="s">
        <v>184</v>
      </c>
      <c r="C65" s="54" t="s">
        <v>522</v>
      </c>
      <c r="D65" s="54" t="s">
        <v>522</v>
      </c>
      <c r="E65" t="s">
        <v>184</v>
      </c>
      <c r="F65" s="3"/>
      <c r="G65" t="s">
        <v>184</v>
      </c>
      <c r="H65">
        <v>6</v>
      </c>
      <c r="I65" t="s">
        <v>184</v>
      </c>
      <c r="J65">
        <v>58</v>
      </c>
      <c r="K65" t="s">
        <v>184</v>
      </c>
      <c r="L65">
        <v>0.61</v>
      </c>
      <c r="M65" t="s">
        <v>184</v>
      </c>
      <c r="N65">
        <f>SUM(H65:L65)</f>
        <v>64.61</v>
      </c>
      <c r="O65" t="s">
        <v>184</v>
      </c>
      <c r="Q65" t="s">
        <v>184</v>
      </c>
      <c r="R65" s="1"/>
      <c r="S65" t="s">
        <v>184</v>
      </c>
    </row>
    <row r="66" spans="1:19" x14ac:dyDescent="0.25">
      <c r="A66" s="54" t="s">
        <v>523</v>
      </c>
      <c r="B66" s="55" t="s">
        <v>184</v>
      </c>
      <c r="C66" s="54" t="s">
        <v>524</v>
      </c>
      <c r="D66" s="54" t="s">
        <v>524</v>
      </c>
      <c r="E66" t="s">
        <v>184</v>
      </c>
      <c r="F66" s="3"/>
      <c r="G66" t="s">
        <v>184</v>
      </c>
      <c r="H66">
        <v>56</v>
      </c>
      <c r="I66" t="s">
        <v>184</v>
      </c>
      <c r="K66" t="s">
        <v>184</v>
      </c>
      <c r="L66">
        <v>1.137</v>
      </c>
      <c r="M66" t="s">
        <v>184</v>
      </c>
      <c r="N66">
        <f>SUM(H66:L66)</f>
        <v>57.137</v>
      </c>
      <c r="O66" t="s">
        <v>184</v>
      </c>
      <c r="Q66" t="s">
        <v>184</v>
      </c>
      <c r="R66" s="1"/>
      <c r="S66" t="s">
        <v>184</v>
      </c>
    </row>
    <row r="67" spans="1:19" x14ac:dyDescent="0.25">
      <c r="A67" s="54" t="s">
        <v>525</v>
      </c>
      <c r="B67" s="55" t="s">
        <v>184</v>
      </c>
      <c r="C67" s="54" t="s">
        <v>526</v>
      </c>
      <c r="D67" s="54" t="s">
        <v>527</v>
      </c>
      <c r="E67" t="s">
        <v>184</v>
      </c>
      <c r="F67" s="3"/>
      <c r="G67" t="s">
        <v>184</v>
      </c>
      <c r="H67">
        <v>529</v>
      </c>
      <c r="I67" t="s">
        <v>184</v>
      </c>
      <c r="J67">
        <v>4</v>
      </c>
      <c r="K67" t="s">
        <v>184</v>
      </c>
      <c r="L67">
        <v>34.877000000000002</v>
      </c>
      <c r="M67" t="s">
        <v>184</v>
      </c>
      <c r="N67">
        <f>SUM(H67:L67)</f>
        <v>567.87699999999995</v>
      </c>
      <c r="O67" t="s">
        <v>184</v>
      </c>
      <c r="Q67" t="s">
        <v>184</v>
      </c>
      <c r="R67" s="1"/>
      <c r="S67" t="s">
        <v>184</v>
      </c>
    </row>
    <row r="68" spans="1:19" x14ac:dyDescent="0.25">
      <c r="A68" s="54" t="s">
        <v>528</v>
      </c>
      <c r="B68" s="55" t="s">
        <v>184</v>
      </c>
      <c r="C68" s="54" t="s">
        <v>529</v>
      </c>
      <c r="D68" s="54" t="s">
        <v>529</v>
      </c>
      <c r="E68" t="s">
        <v>184</v>
      </c>
      <c r="F68" s="3"/>
      <c r="G68" t="s">
        <v>184</v>
      </c>
      <c r="H68">
        <v>103</v>
      </c>
      <c r="I68" t="s">
        <v>184</v>
      </c>
      <c r="K68" t="s">
        <v>184</v>
      </c>
      <c r="L68">
        <v>20.285</v>
      </c>
      <c r="M68" t="s">
        <v>184</v>
      </c>
      <c r="N68">
        <f>SUM(H68:L68)</f>
        <v>123.285</v>
      </c>
      <c r="O68" t="s">
        <v>184</v>
      </c>
      <c r="Q68" t="s">
        <v>184</v>
      </c>
      <c r="R68" s="1"/>
      <c r="S68" t="s">
        <v>184</v>
      </c>
    </row>
    <row r="69" spans="1:19" x14ac:dyDescent="0.25">
      <c r="A69" s="54" t="s">
        <v>530</v>
      </c>
      <c r="B69" s="55" t="s">
        <v>184</v>
      </c>
      <c r="C69" s="54" t="s">
        <v>531</v>
      </c>
      <c r="D69" s="54" t="s">
        <v>532</v>
      </c>
      <c r="E69" t="s">
        <v>184</v>
      </c>
      <c r="F69" s="3"/>
      <c r="G69" t="s">
        <v>184</v>
      </c>
      <c r="H69">
        <v>146</v>
      </c>
      <c r="I69" t="s">
        <v>184</v>
      </c>
      <c r="K69" t="s">
        <v>184</v>
      </c>
      <c r="M69" t="s">
        <v>184</v>
      </c>
      <c r="N69">
        <f>SUM(H69:L69)</f>
        <v>146</v>
      </c>
      <c r="O69" t="s">
        <v>184</v>
      </c>
      <c r="Q69" t="s">
        <v>184</v>
      </c>
      <c r="R69" s="1"/>
      <c r="S69" t="s">
        <v>184</v>
      </c>
    </row>
    <row r="70" spans="1:19" x14ac:dyDescent="0.25">
      <c r="A70" s="54" t="s">
        <v>533</v>
      </c>
      <c r="B70" s="55" t="s">
        <v>184</v>
      </c>
      <c r="C70" s="54" t="s">
        <v>534</v>
      </c>
      <c r="D70" s="54" t="s">
        <v>535</v>
      </c>
      <c r="E70" t="s">
        <v>184</v>
      </c>
      <c r="F70" s="3">
        <f>WSSC_ALL!$BS$149*365*1000</f>
        <v>135890.91103430622</v>
      </c>
      <c r="G70" t="s">
        <v>407</v>
      </c>
      <c r="H70">
        <v>0</v>
      </c>
      <c r="I70" t="s">
        <v>536</v>
      </c>
      <c r="J70">
        <v>0</v>
      </c>
      <c r="K70" t="s">
        <v>407</v>
      </c>
      <c r="L70">
        <v>0</v>
      </c>
      <c r="M70" t="s">
        <v>407</v>
      </c>
      <c r="N70">
        <v>0</v>
      </c>
      <c r="O70" t="s">
        <v>407</v>
      </c>
      <c r="P70">
        <f>F70</f>
        <v>135890.91103430622</v>
      </c>
      <c r="Q70" t="s">
        <v>184</v>
      </c>
      <c r="R70" s="1">
        <f>P70/365/1000</f>
        <v>0.37230386584741432</v>
      </c>
      <c r="S70" t="s">
        <v>184</v>
      </c>
    </row>
    <row r="71" spans="1:19" x14ac:dyDescent="0.25">
      <c r="A71" s="54" t="s">
        <v>537</v>
      </c>
      <c r="B71" s="55" t="s">
        <v>184</v>
      </c>
      <c r="C71" s="54" t="s">
        <v>492</v>
      </c>
      <c r="D71" s="54" t="s">
        <v>538</v>
      </c>
      <c r="E71" t="s">
        <v>184</v>
      </c>
      <c r="F71" s="3"/>
      <c r="G71" t="s">
        <v>184</v>
      </c>
      <c r="H71">
        <v>581</v>
      </c>
      <c r="I71" t="s">
        <v>184</v>
      </c>
      <c r="J71">
        <v>18</v>
      </c>
      <c r="K71" t="s">
        <v>184</v>
      </c>
      <c r="L71">
        <v>4.6980000000000004</v>
      </c>
      <c r="M71" t="s">
        <v>184</v>
      </c>
      <c r="N71">
        <f>SUM(H71:L71)</f>
        <v>603.69799999999998</v>
      </c>
      <c r="O71" t="s">
        <v>184</v>
      </c>
      <c r="Q71" t="s">
        <v>184</v>
      </c>
      <c r="R71" s="1"/>
      <c r="S71" t="s">
        <v>184</v>
      </c>
    </row>
    <row r="72" spans="1:19" x14ac:dyDescent="0.25">
      <c r="A72" s="54" t="s">
        <v>539</v>
      </c>
      <c r="B72" s="55" t="s">
        <v>184</v>
      </c>
      <c r="C72" s="54" t="s">
        <v>540</v>
      </c>
      <c r="D72" s="54" t="s">
        <v>541</v>
      </c>
      <c r="E72" t="s">
        <v>184</v>
      </c>
      <c r="F72" s="3"/>
      <c r="G72" t="s">
        <v>184</v>
      </c>
      <c r="H72">
        <v>444</v>
      </c>
      <c r="I72" t="s">
        <v>184</v>
      </c>
      <c r="K72" t="s">
        <v>184</v>
      </c>
      <c r="L72">
        <v>18.731000000000002</v>
      </c>
      <c r="M72" t="s">
        <v>184</v>
      </c>
      <c r="N72">
        <f>SUM(H72:L72)</f>
        <v>462.73099999999999</v>
      </c>
      <c r="O72" t="s">
        <v>184</v>
      </c>
      <c r="Q72" t="s">
        <v>184</v>
      </c>
      <c r="R72" s="1"/>
      <c r="S72" t="s">
        <v>184</v>
      </c>
    </row>
    <row r="73" spans="1:19" x14ac:dyDescent="0.25">
      <c r="A73" s="54" t="s">
        <v>542</v>
      </c>
      <c r="B73" s="55" t="s">
        <v>184</v>
      </c>
      <c r="C73" s="54" t="s">
        <v>543</v>
      </c>
      <c r="D73" s="54" t="s">
        <v>544</v>
      </c>
      <c r="E73" t="s">
        <v>184</v>
      </c>
      <c r="F73" s="3"/>
      <c r="G73" t="s">
        <v>184</v>
      </c>
      <c r="H73">
        <v>36</v>
      </c>
      <c r="I73" t="s">
        <v>184</v>
      </c>
      <c r="K73" t="s">
        <v>184</v>
      </c>
      <c r="M73" t="s">
        <v>184</v>
      </c>
      <c r="N73">
        <f>SUM(H73:L73)</f>
        <v>36</v>
      </c>
      <c r="O73" t="s">
        <v>184</v>
      </c>
      <c r="Q73" t="s">
        <v>184</v>
      </c>
      <c r="R73" s="1"/>
      <c r="S73" t="s">
        <v>184</v>
      </c>
    </row>
    <row r="74" spans="1:19" x14ac:dyDescent="0.25">
      <c r="A74" s="54" t="s">
        <v>545</v>
      </c>
      <c r="B74" s="55" t="s">
        <v>184</v>
      </c>
      <c r="C74" s="54" t="s">
        <v>546</v>
      </c>
      <c r="D74" s="54" t="s">
        <v>547</v>
      </c>
      <c r="E74" t="s">
        <v>184</v>
      </c>
      <c r="F74" s="3"/>
      <c r="G74" t="s">
        <v>184</v>
      </c>
      <c r="H74">
        <v>567</v>
      </c>
      <c r="I74" t="s">
        <v>184</v>
      </c>
      <c r="J74">
        <v>30</v>
      </c>
      <c r="K74" t="s">
        <v>184</v>
      </c>
      <c r="L74">
        <v>2.9630000000000001</v>
      </c>
      <c r="M74" t="s">
        <v>184</v>
      </c>
      <c r="N74">
        <f>SUM(H74:L74)</f>
        <v>599.96299999999997</v>
      </c>
      <c r="O74" t="s">
        <v>184</v>
      </c>
      <c r="Q74" t="s">
        <v>184</v>
      </c>
      <c r="R74" s="1"/>
      <c r="S74" t="s">
        <v>184</v>
      </c>
    </row>
    <row r="75" spans="1:19" x14ac:dyDescent="0.25">
      <c r="E75" t="s">
        <v>184</v>
      </c>
      <c r="G75" t="s">
        <v>184</v>
      </c>
      <c r="I75" t="s">
        <v>184</v>
      </c>
      <c r="K75" t="s">
        <v>184</v>
      </c>
      <c r="M75" t="s">
        <v>184</v>
      </c>
      <c r="O75" t="s">
        <v>184</v>
      </c>
      <c r="Q75" t="s">
        <v>184</v>
      </c>
      <c r="R75" s="1"/>
      <c r="S75" t="s">
        <v>184</v>
      </c>
    </row>
    <row r="76" spans="1:19" x14ac:dyDescent="0.25">
      <c r="B76" s="10" t="s">
        <v>184</v>
      </c>
      <c r="E76" t="s">
        <v>184</v>
      </c>
      <c r="G76" t="s">
        <v>407</v>
      </c>
      <c r="I76" t="s">
        <v>184</v>
      </c>
      <c r="K76" t="s">
        <v>184</v>
      </c>
      <c r="M76" t="s">
        <v>184</v>
      </c>
      <c r="O76" t="s">
        <v>184</v>
      </c>
      <c r="P76">
        <f>F76+(N76*125)</f>
        <v>0</v>
      </c>
      <c r="Q76" t="s">
        <v>184</v>
      </c>
      <c r="R76" s="1">
        <f>P76/365/1000</f>
        <v>0</v>
      </c>
      <c r="S76" t="s">
        <v>184</v>
      </c>
    </row>
    <row r="77" spans="1:19" x14ac:dyDescent="0.25">
      <c r="A77" t="s">
        <v>406</v>
      </c>
      <c r="B77" s="10" t="s">
        <v>407</v>
      </c>
      <c r="C77" t="s">
        <v>408</v>
      </c>
      <c r="D77" t="s">
        <v>408</v>
      </c>
      <c r="E77" t="s">
        <v>407</v>
      </c>
      <c r="F77" t="s">
        <v>409</v>
      </c>
      <c r="G77" t="s">
        <v>407</v>
      </c>
      <c r="H77" t="s">
        <v>410</v>
      </c>
      <c r="I77" t="s">
        <v>407</v>
      </c>
      <c r="J77" t="s">
        <v>411</v>
      </c>
      <c r="K77" t="s">
        <v>407</v>
      </c>
      <c r="L77" t="s">
        <v>411</v>
      </c>
      <c r="M77" t="s">
        <v>407</v>
      </c>
      <c r="N77" t="s">
        <v>410</v>
      </c>
      <c r="O77" t="s">
        <v>407</v>
      </c>
      <c r="P77" t="s">
        <v>412</v>
      </c>
      <c r="Q77" t="s">
        <v>407</v>
      </c>
      <c r="R77" s="1" t="s">
        <v>411</v>
      </c>
      <c r="S77" t="s">
        <v>413</v>
      </c>
    </row>
    <row r="78" spans="1:19" x14ac:dyDescent="0.25">
      <c r="B78" s="10" t="s">
        <v>184</v>
      </c>
      <c r="C78" s="3" t="s">
        <v>548</v>
      </c>
      <c r="D78" s="3"/>
      <c r="E78" s="3" t="s">
        <v>184</v>
      </c>
      <c r="F78" s="3">
        <f>SUM(F65:F74)</f>
        <v>135890.91103430622</v>
      </c>
      <c r="G78" s="3" t="s">
        <v>184</v>
      </c>
      <c r="H78" s="3">
        <f>SUM(H65:H74)-H70</f>
        <v>2468</v>
      </c>
      <c r="I78" s="3" t="s">
        <v>184</v>
      </c>
      <c r="J78" s="3">
        <f>SUM(J65:J74)-J70</f>
        <v>110</v>
      </c>
      <c r="K78" s="3" t="s">
        <v>184</v>
      </c>
      <c r="L78" s="3">
        <f>SUM(L65:L74)-L70</f>
        <v>83.301000000000002</v>
      </c>
      <c r="M78" s="3" t="s">
        <v>184</v>
      </c>
      <c r="N78" s="3">
        <f>SUM(H78:L78)</f>
        <v>2661.3009999999999</v>
      </c>
      <c r="O78" s="3" t="s">
        <v>184</v>
      </c>
      <c r="P78" s="3">
        <f>F78+(N78*125)</f>
        <v>468553.53603430622</v>
      </c>
      <c r="Q78" s="3" t="s">
        <v>184</v>
      </c>
      <c r="R78" s="11">
        <f>P78/365/1000</f>
        <v>1.2837083179022089</v>
      </c>
      <c r="S78" t="s">
        <v>184</v>
      </c>
    </row>
    <row r="79" spans="1:19" x14ac:dyDescent="0.25">
      <c r="A79" t="s">
        <v>406</v>
      </c>
      <c r="B79" s="10" t="s">
        <v>407</v>
      </c>
      <c r="C79" t="s">
        <v>408</v>
      </c>
      <c r="D79" t="s">
        <v>408</v>
      </c>
      <c r="E79" t="s">
        <v>407</v>
      </c>
      <c r="F79" t="s">
        <v>409</v>
      </c>
      <c r="G79" t="s">
        <v>407</v>
      </c>
      <c r="H79" t="s">
        <v>410</v>
      </c>
      <c r="I79" t="s">
        <v>407</v>
      </c>
      <c r="J79" t="s">
        <v>411</v>
      </c>
      <c r="K79" t="s">
        <v>407</v>
      </c>
      <c r="L79" t="s">
        <v>411</v>
      </c>
      <c r="M79" t="s">
        <v>407</v>
      </c>
      <c r="N79" t="s">
        <v>410</v>
      </c>
      <c r="O79" t="s">
        <v>407</v>
      </c>
      <c r="P79" t="s">
        <v>412</v>
      </c>
      <c r="Q79" t="s">
        <v>407</v>
      </c>
      <c r="R79" s="1" t="s">
        <v>411</v>
      </c>
      <c r="S79" t="s">
        <v>413</v>
      </c>
    </row>
    <row r="80" spans="1:19" x14ac:dyDescent="0.25">
      <c r="A80" t="s">
        <v>549</v>
      </c>
      <c r="B80" s="10" t="s">
        <v>184</v>
      </c>
      <c r="C80" t="s">
        <v>550</v>
      </c>
      <c r="D80" t="s">
        <v>551</v>
      </c>
      <c r="E80" t="s">
        <v>184</v>
      </c>
      <c r="F80" s="37">
        <f>WSSC_ALL!$AJ$149*365*1000</f>
        <v>20979248.5984383</v>
      </c>
      <c r="G80" t="s">
        <v>184</v>
      </c>
      <c r="I80" t="s">
        <v>184</v>
      </c>
      <c r="K80" t="s">
        <v>184</v>
      </c>
      <c r="M80" t="s">
        <v>184</v>
      </c>
      <c r="O80" t="s">
        <v>184</v>
      </c>
      <c r="P80">
        <f>F80+(N80*125)</f>
        <v>20979248.5984383</v>
      </c>
      <c r="Q80" t="s">
        <v>184</v>
      </c>
      <c r="R80" s="1">
        <f>P80/365/1000</f>
        <v>57.477393420378903</v>
      </c>
      <c r="S80" t="s">
        <v>184</v>
      </c>
    </row>
    <row r="81" spans="1:19" x14ac:dyDescent="0.25">
      <c r="A81" t="s">
        <v>406</v>
      </c>
      <c r="B81" s="10" t="s">
        <v>407</v>
      </c>
      <c r="C81" t="s">
        <v>408</v>
      </c>
      <c r="D81" t="s">
        <v>408</v>
      </c>
      <c r="E81" t="s">
        <v>407</v>
      </c>
      <c r="F81" t="s">
        <v>409</v>
      </c>
      <c r="G81" t="s">
        <v>407</v>
      </c>
      <c r="H81" t="s">
        <v>410</v>
      </c>
      <c r="I81" t="s">
        <v>407</v>
      </c>
      <c r="J81" t="s">
        <v>411</v>
      </c>
      <c r="K81" t="s">
        <v>407</v>
      </c>
      <c r="L81" t="s">
        <v>411</v>
      </c>
      <c r="M81" t="s">
        <v>407</v>
      </c>
      <c r="N81" t="s">
        <v>410</v>
      </c>
      <c r="O81" t="s">
        <v>407</v>
      </c>
      <c r="P81" t="s">
        <v>412</v>
      </c>
      <c r="Q81" t="s">
        <v>407</v>
      </c>
      <c r="R81" s="1" t="s">
        <v>411</v>
      </c>
      <c r="S81" t="s">
        <v>413</v>
      </c>
    </row>
    <row r="82" spans="1:19" x14ac:dyDescent="0.25">
      <c r="A82" t="s">
        <v>552</v>
      </c>
      <c r="B82" s="10" t="s">
        <v>553</v>
      </c>
      <c r="C82" t="s">
        <v>554</v>
      </c>
      <c r="D82" t="s">
        <v>555</v>
      </c>
      <c r="E82" t="s">
        <v>184</v>
      </c>
      <c r="G82" t="s">
        <v>184</v>
      </c>
      <c r="M82" t="s">
        <v>184</v>
      </c>
      <c r="N82">
        <f t="shared" ref="N82:N90" si="1">SUM(H82:L82)</f>
        <v>0</v>
      </c>
      <c r="O82" t="s">
        <v>184</v>
      </c>
      <c r="Q82" t="s">
        <v>184</v>
      </c>
      <c r="R82" s="1"/>
      <c r="S82" t="s">
        <v>184</v>
      </c>
    </row>
    <row r="83" spans="1:19" x14ac:dyDescent="0.25">
      <c r="A83" t="s">
        <v>556</v>
      </c>
      <c r="B83" s="10" t="s">
        <v>553</v>
      </c>
      <c r="C83" t="s">
        <v>557</v>
      </c>
      <c r="D83" t="s">
        <v>558</v>
      </c>
      <c r="E83" t="s">
        <v>184</v>
      </c>
      <c r="G83" t="s">
        <v>184</v>
      </c>
      <c r="H83">
        <v>1</v>
      </c>
      <c r="I83" t="s">
        <v>184</v>
      </c>
      <c r="M83" t="s">
        <v>184</v>
      </c>
      <c r="N83">
        <f t="shared" si="1"/>
        <v>1</v>
      </c>
      <c r="O83" t="s">
        <v>184</v>
      </c>
      <c r="Q83" t="s">
        <v>184</v>
      </c>
      <c r="R83" s="1"/>
      <c r="S83" t="s">
        <v>184</v>
      </c>
    </row>
    <row r="84" spans="1:19" x14ac:dyDescent="0.25">
      <c r="A84" t="s">
        <v>559</v>
      </c>
      <c r="B84" s="10" t="s">
        <v>553</v>
      </c>
      <c r="C84" t="s">
        <v>560</v>
      </c>
      <c r="D84" t="s">
        <v>560</v>
      </c>
      <c r="E84" t="s">
        <v>184</v>
      </c>
      <c r="G84" t="s">
        <v>184</v>
      </c>
      <c r="H84">
        <v>12</v>
      </c>
      <c r="I84" t="s">
        <v>184</v>
      </c>
      <c r="M84" t="s">
        <v>184</v>
      </c>
      <c r="N84">
        <f t="shared" si="1"/>
        <v>12</v>
      </c>
      <c r="O84" t="s">
        <v>184</v>
      </c>
      <c r="Q84" t="s">
        <v>184</v>
      </c>
      <c r="R84" s="1"/>
      <c r="S84" t="s">
        <v>184</v>
      </c>
    </row>
    <row r="85" spans="1:19" x14ac:dyDescent="0.25">
      <c r="A85" t="s">
        <v>561</v>
      </c>
      <c r="B85" s="10" t="s">
        <v>553</v>
      </c>
      <c r="C85" t="s">
        <v>562</v>
      </c>
      <c r="D85" t="s">
        <v>563</v>
      </c>
      <c r="E85" t="s">
        <v>184</v>
      </c>
      <c r="G85" t="s">
        <v>184</v>
      </c>
      <c r="H85">
        <v>4</v>
      </c>
      <c r="I85" t="s">
        <v>184</v>
      </c>
      <c r="M85" t="s">
        <v>184</v>
      </c>
      <c r="N85">
        <f t="shared" si="1"/>
        <v>4</v>
      </c>
      <c r="O85" t="s">
        <v>184</v>
      </c>
      <c r="Q85" t="s">
        <v>184</v>
      </c>
      <c r="R85" s="1"/>
      <c r="S85" t="s">
        <v>184</v>
      </c>
    </row>
    <row r="86" spans="1:19" x14ac:dyDescent="0.25">
      <c r="A86" t="s">
        <v>564</v>
      </c>
      <c r="B86" s="10" t="s">
        <v>553</v>
      </c>
      <c r="C86" t="s">
        <v>565</v>
      </c>
      <c r="D86" t="s">
        <v>566</v>
      </c>
      <c r="E86" t="s">
        <v>184</v>
      </c>
      <c r="G86" t="s">
        <v>184</v>
      </c>
      <c r="H86">
        <v>421</v>
      </c>
      <c r="I86" t="s">
        <v>184</v>
      </c>
      <c r="J86">
        <v>178</v>
      </c>
      <c r="K86" t="s">
        <v>184</v>
      </c>
      <c r="L86">
        <v>58.338999999999999</v>
      </c>
      <c r="M86" t="s">
        <v>184</v>
      </c>
      <c r="N86">
        <f t="shared" si="1"/>
        <v>657.33899999999994</v>
      </c>
      <c r="O86" t="s">
        <v>184</v>
      </c>
      <c r="Q86" t="s">
        <v>184</v>
      </c>
      <c r="R86" s="1"/>
      <c r="S86" t="s">
        <v>184</v>
      </c>
    </row>
    <row r="87" spans="1:19" x14ac:dyDescent="0.25">
      <c r="A87" t="s">
        <v>567</v>
      </c>
      <c r="B87" s="10" t="s">
        <v>553</v>
      </c>
      <c r="C87" t="s">
        <v>568</v>
      </c>
      <c r="D87" t="s">
        <v>569</v>
      </c>
      <c r="E87" t="s">
        <v>184</v>
      </c>
      <c r="G87" t="s">
        <v>184</v>
      </c>
      <c r="H87">
        <v>10</v>
      </c>
      <c r="I87" t="s">
        <v>184</v>
      </c>
      <c r="K87" t="s">
        <v>184</v>
      </c>
      <c r="M87" t="s">
        <v>184</v>
      </c>
      <c r="N87">
        <f t="shared" si="1"/>
        <v>10</v>
      </c>
      <c r="O87" t="s">
        <v>184</v>
      </c>
      <c r="Q87" t="s">
        <v>184</v>
      </c>
      <c r="R87" s="1"/>
      <c r="S87" t="s">
        <v>184</v>
      </c>
    </row>
    <row r="88" spans="1:19" ht="13" x14ac:dyDescent="0.3">
      <c r="B88" s="10" t="s">
        <v>184</v>
      </c>
      <c r="C88" t="s">
        <v>451</v>
      </c>
      <c r="E88" t="s">
        <v>184</v>
      </c>
      <c r="G88" t="s">
        <v>184</v>
      </c>
      <c r="H88" s="40">
        <v>43</v>
      </c>
      <c r="I88" t="s">
        <v>184</v>
      </c>
      <c r="K88" t="s">
        <v>184</v>
      </c>
      <c r="L88" s="47">
        <v>54.56</v>
      </c>
      <c r="M88" t="s">
        <v>184</v>
      </c>
      <c r="N88" s="47">
        <f t="shared" si="1"/>
        <v>97.56</v>
      </c>
      <c r="O88" t="s">
        <v>184</v>
      </c>
      <c r="Q88" t="s">
        <v>184</v>
      </c>
      <c r="R88" s="1"/>
      <c r="S88" t="s">
        <v>184</v>
      </c>
    </row>
    <row r="89" spans="1:19" ht="13" x14ac:dyDescent="0.3">
      <c r="B89" s="10" t="s">
        <v>184</v>
      </c>
      <c r="C89" t="s">
        <v>570</v>
      </c>
      <c r="E89" t="s">
        <v>184</v>
      </c>
      <c r="G89" t="s">
        <v>184</v>
      </c>
      <c r="H89" s="40">
        <v>3</v>
      </c>
      <c r="I89" t="s">
        <v>184</v>
      </c>
      <c r="J89" s="40">
        <v>23</v>
      </c>
      <c r="K89" t="s">
        <v>184</v>
      </c>
      <c r="L89" s="47">
        <v>9.7260000000000009</v>
      </c>
      <c r="M89" t="s">
        <v>184</v>
      </c>
      <c r="N89">
        <f t="shared" si="1"/>
        <v>35.725999999999999</v>
      </c>
      <c r="O89" t="s">
        <v>184</v>
      </c>
      <c r="Q89" t="s">
        <v>184</v>
      </c>
      <c r="R89" s="1"/>
      <c r="S89" t="s">
        <v>184</v>
      </c>
    </row>
    <row r="90" spans="1:19" x14ac:dyDescent="0.25">
      <c r="C90" t="s">
        <v>571</v>
      </c>
      <c r="H90" s="40">
        <v>2</v>
      </c>
      <c r="L90" s="40">
        <v>51.636000000000003</v>
      </c>
      <c r="N90">
        <f t="shared" si="1"/>
        <v>53.636000000000003</v>
      </c>
      <c r="R90" s="1"/>
    </row>
    <row r="91" spans="1:19" x14ac:dyDescent="0.25">
      <c r="B91" s="10" t="s">
        <v>184</v>
      </c>
      <c r="C91" t="s">
        <v>572</v>
      </c>
      <c r="E91" t="s">
        <v>184</v>
      </c>
      <c r="F91">
        <f>SUM(F82:F88)</f>
        <v>0</v>
      </c>
      <c r="G91" t="s">
        <v>184</v>
      </c>
      <c r="H91" s="40">
        <f>SUM(H82:H90)</f>
        <v>496</v>
      </c>
      <c r="I91" t="s">
        <v>184</v>
      </c>
      <c r="J91" s="40">
        <f>SUM(J82:J89)</f>
        <v>201</v>
      </c>
      <c r="K91" t="s">
        <v>184</v>
      </c>
      <c r="L91" s="40">
        <f>SUM(L82:L90)</f>
        <v>174.261</v>
      </c>
      <c r="M91" t="s">
        <v>184</v>
      </c>
      <c r="N91" s="40">
        <f>SUM(H91:L91)</f>
        <v>871.26099999999997</v>
      </c>
      <c r="O91" t="s">
        <v>184</v>
      </c>
      <c r="P91">
        <f>F91+(N91*125)</f>
        <v>108907.625</v>
      </c>
      <c r="Q91" t="s">
        <v>184</v>
      </c>
      <c r="R91" s="1">
        <f>P91/365/1000</f>
        <v>0.29837705479452059</v>
      </c>
      <c r="S91" t="s">
        <v>184</v>
      </c>
    </row>
    <row r="92" spans="1:19" x14ac:dyDescent="0.25">
      <c r="A92" t="s">
        <v>406</v>
      </c>
      <c r="B92" s="10" t="s">
        <v>407</v>
      </c>
      <c r="C92" t="s">
        <v>408</v>
      </c>
      <c r="D92" t="s">
        <v>408</v>
      </c>
      <c r="E92" t="s">
        <v>407</v>
      </c>
      <c r="F92" t="s">
        <v>409</v>
      </c>
      <c r="G92" t="s">
        <v>407</v>
      </c>
      <c r="H92" t="s">
        <v>410</v>
      </c>
      <c r="I92" t="s">
        <v>407</v>
      </c>
      <c r="J92" t="s">
        <v>411</v>
      </c>
      <c r="K92" t="s">
        <v>407</v>
      </c>
      <c r="L92" t="s">
        <v>411</v>
      </c>
      <c r="M92" t="s">
        <v>407</v>
      </c>
      <c r="N92" t="s">
        <v>410</v>
      </c>
      <c r="O92" t="s">
        <v>407</v>
      </c>
      <c r="P92" t="s">
        <v>412</v>
      </c>
      <c r="Q92" t="s">
        <v>407</v>
      </c>
      <c r="R92" s="1" t="s">
        <v>411</v>
      </c>
      <c r="S92" t="s">
        <v>413</v>
      </c>
    </row>
    <row r="93" spans="1:19" ht="13" x14ac:dyDescent="0.3">
      <c r="A93" t="s">
        <v>573</v>
      </c>
      <c r="B93" s="10" t="s">
        <v>574</v>
      </c>
      <c r="C93" t="s">
        <v>575</v>
      </c>
      <c r="D93" t="s">
        <v>576</v>
      </c>
      <c r="E93" t="s">
        <v>184</v>
      </c>
      <c r="G93" t="s">
        <v>184</v>
      </c>
      <c r="H93">
        <v>20</v>
      </c>
      <c r="I93" t="s">
        <v>184</v>
      </c>
      <c r="K93" t="s">
        <v>184</v>
      </c>
      <c r="L93" s="30">
        <v>2.0760000000000001</v>
      </c>
      <c r="M93" t="s">
        <v>184</v>
      </c>
      <c r="N93" s="30">
        <f t="shared" ref="N93:N100" si="2">SUM(H93:L93)</f>
        <v>22.076000000000001</v>
      </c>
      <c r="O93" t="s">
        <v>184</v>
      </c>
      <c r="Q93" t="s">
        <v>184</v>
      </c>
      <c r="R93" s="1"/>
      <c r="S93" t="s">
        <v>184</v>
      </c>
    </row>
    <row r="94" spans="1:19" ht="13" x14ac:dyDescent="0.3">
      <c r="A94" t="s">
        <v>577</v>
      </c>
      <c r="B94" s="10" t="s">
        <v>578</v>
      </c>
      <c r="C94" t="s">
        <v>579</v>
      </c>
      <c r="D94" t="s">
        <v>580</v>
      </c>
      <c r="E94" t="s">
        <v>184</v>
      </c>
      <c r="G94" t="s">
        <v>184</v>
      </c>
      <c r="H94">
        <v>82</v>
      </c>
      <c r="I94" t="s">
        <v>184</v>
      </c>
      <c r="J94">
        <v>4</v>
      </c>
      <c r="K94" t="s">
        <v>184</v>
      </c>
      <c r="L94" s="30">
        <v>2.4119999999999999</v>
      </c>
      <c r="M94" t="s">
        <v>184</v>
      </c>
      <c r="N94" s="30">
        <f t="shared" si="2"/>
        <v>88.412000000000006</v>
      </c>
      <c r="O94" t="s">
        <v>184</v>
      </c>
      <c r="Q94" t="s">
        <v>184</v>
      </c>
      <c r="R94" s="1"/>
      <c r="S94" t="s">
        <v>184</v>
      </c>
    </row>
    <row r="95" spans="1:19" ht="13" x14ac:dyDescent="0.3">
      <c r="A95" t="s">
        <v>581</v>
      </c>
      <c r="B95" s="10" t="s">
        <v>582</v>
      </c>
      <c r="C95" t="s">
        <v>583</v>
      </c>
      <c r="D95" t="s">
        <v>584</v>
      </c>
      <c r="E95" t="s">
        <v>184</v>
      </c>
      <c r="G95" t="s">
        <v>184</v>
      </c>
      <c r="H95">
        <v>15</v>
      </c>
      <c r="I95" t="s">
        <v>184</v>
      </c>
      <c r="K95" t="s">
        <v>184</v>
      </c>
      <c r="L95" s="30">
        <v>1.9079999999999999</v>
      </c>
      <c r="M95" t="s">
        <v>184</v>
      </c>
      <c r="N95" s="30">
        <f t="shared" si="2"/>
        <v>16.908000000000001</v>
      </c>
      <c r="O95" t="s">
        <v>184</v>
      </c>
      <c r="Q95" t="s">
        <v>184</v>
      </c>
      <c r="R95" s="1"/>
      <c r="S95" t="s">
        <v>184</v>
      </c>
    </row>
    <row r="96" spans="1:19" x14ac:dyDescent="0.25">
      <c r="A96" t="s">
        <v>585</v>
      </c>
      <c r="B96" s="10" t="s">
        <v>586</v>
      </c>
      <c r="C96" t="s">
        <v>587</v>
      </c>
      <c r="D96" t="s">
        <v>588</v>
      </c>
      <c r="E96" t="s">
        <v>184</v>
      </c>
      <c r="G96" t="s">
        <v>184</v>
      </c>
      <c r="H96">
        <v>3</v>
      </c>
      <c r="I96" t="s">
        <v>184</v>
      </c>
      <c r="J96">
        <v>8</v>
      </c>
      <c r="K96" t="s">
        <v>184</v>
      </c>
      <c r="M96" t="s">
        <v>184</v>
      </c>
      <c r="N96">
        <f t="shared" si="2"/>
        <v>11</v>
      </c>
      <c r="O96" t="s">
        <v>184</v>
      </c>
      <c r="Q96" t="s">
        <v>184</v>
      </c>
      <c r="R96" s="1"/>
      <c r="S96" t="s">
        <v>184</v>
      </c>
    </row>
    <row r="97" spans="1:19" ht="13" x14ac:dyDescent="0.3">
      <c r="A97" t="s">
        <v>589</v>
      </c>
      <c r="B97" s="10" t="s">
        <v>590</v>
      </c>
      <c r="C97" t="s">
        <v>591</v>
      </c>
      <c r="D97" t="s">
        <v>592</v>
      </c>
      <c r="E97" t="s">
        <v>184</v>
      </c>
      <c r="G97" t="s">
        <v>184</v>
      </c>
      <c r="H97">
        <v>1</v>
      </c>
      <c r="I97" t="s">
        <v>184</v>
      </c>
      <c r="J97" s="30">
        <v>44</v>
      </c>
      <c r="K97" t="s">
        <v>184</v>
      </c>
      <c r="L97" s="30">
        <v>2.8439999999999999</v>
      </c>
      <c r="M97" t="s">
        <v>184</v>
      </c>
      <c r="N97" s="30">
        <f t="shared" si="2"/>
        <v>47.844000000000001</v>
      </c>
      <c r="O97" t="s">
        <v>184</v>
      </c>
      <c r="Q97" t="s">
        <v>184</v>
      </c>
      <c r="R97" s="1"/>
      <c r="S97" t="s">
        <v>184</v>
      </c>
    </row>
    <row r="98" spans="1:19" ht="13" x14ac:dyDescent="0.3">
      <c r="A98" t="s">
        <v>593</v>
      </c>
      <c r="B98" s="10" t="s">
        <v>594</v>
      </c>
      <c r="C98" t="s">
        <v>595</v>
      </c>
      <c r="D98" t="s">
        <v>596</v>
      </c>
      <c r="E98" t="s">
        <v>184</v>
      </c>
      <c r="G98" t="s">
        <v>184</v>
      </c>
      <c r="I98" t="s">
        <v>184</v>
      </c>
      <c r="K98" t="s">
        <v>184</v>
      </c>
      <c r="L98" s="30">
        <v>3.1080000000000001</v>
      </c>
      <c r="M98" t="s">
        <v>184</v>
      </c>
      <c r="N98" s="30">
        <f t="shared" si="2"/>
        <v>3.1080000000000001</v>
      </c>
      <c r="O98" t="s">
        <v>184</v>
      </c>
      <c r="Q98" t="s">
        <v>184</v>
      </c>
      <c r="R98" s="1"/>
      <c r="S98" t="s">
        <v>184</v>
      </c>
    </row>
    <row r="99" spans="1:19" ht="13" x14ac:dyDescent="0.3">
      <c r="A99" t="s">
        <v>597</v>
      </c>
      <c r="B99" s="10" t="s">
        <v>598</v>
      </c>
      <c r="C99" t="s">
        <v>595</v>
      </c>
      <c r="D99" t="s">
        <v>599</v>
      </c>
      <c r="E99" t="s">
        <v>184</v>
      </c>
      <c r="G99" t="s">
        <v>184</v>
      </c>
      <c r="I99" t="s">
        <v>184</v>
      </c>
      <c r="K99" t="s">
        <v>184</v>
      </c>
      <c r="L99" s="30">
        <v>7.2</v>
      </c>
      <c r="M99" t="s">
        <v>184</v>
      </c>
      <c r="N99" s="30">
        <f t="shared" si="2"/>
        <v>7.2</v>
      </c>
      <c r="O99" t="s">
        <v>184</v>
      </c>
      <c r="Q99" t="s">
        <v>184</v>
      </c>
      <c r="R99" s="1"/>
      <c r="S99" t="s">
        <v>184</v>
      </c>
    </row>
    <row r="100" spans="1:19" x14ac:dyDescent="0.25">
      <c r="A100" t="s">
        <v>600</v>
      </c>
      <c r="B100" s="10" t="s">
        <v>601</v>
      </c>
      <c r="C100" t="s">
        <v>602</v>
      </c>
      <c r="D100" t="s">
        <v>603</v>
      </c>
      <c r="E100" t="s">
        <v>184</v>
      </c>
      <c r="G100" t="s">
        <v>184</v>
      </c>
      <c r="H100">
        <v>40</v>
      </c>
      <c r="I100" t="s">
        <v>184</v>
      </c>
      <c r="K100" t="s">
        <v>184</v>
      </c>
      <c r="M100" t="s">
        <v>184</v>
      </c>
      <c r="N100">
        <f t="shared" si="2"/>
        <v>40</v>
      </c>
      <c r="O100" t="s">
        <v>184</v>
      </c>
      <c r="Q100" t="s">
        <v>184</v>
      </c>
      <c r="R100" s="1"/>
      <c r="S100" t="s">
        <v>184</v>
      </c>
    </row>
    <row r="101" spans="1:19" x14ac:dyDescent="0.25">
      <c r="A101" t="s">
        <v>604</v>
      </c>
      <c r="B101" s="10" t="s">
        <v>184</v>
      </c>
      <c r="C101" t="s">
        <v>605</v>
      </c>
      <c r="D101" t="s">
        <v>606</v>
      </c>
      <c r="E101" t="s">
        <v>184</v>
      </c>
      <c r="F101" s="37">
        <f>WSSC_ALL!$AO$149*365*1000</f>
        <v>231453.93362775218</v>
      </c>
      <c r="G101" t="s">
        <v>407</v>
      </c>
      <c r="H101" t="s">
        <v>410</v>
      </c>
      <c r="I101" t="s">
        <v>407</v>
      </c>
      <c r="J101" t="s">
        <v>411</v>
      </c>
      <c r="K101" t="s">
        <v>407</v>
      </c>
      <c r="L101" t="s">
        <v>411</v>
      </c>
      <c r="M101" t="s">
        <v>407</v>
      </c>
      <c r="N101" t="s">
        <v>410</v>
      </c>
      <c r="O101" t="s">
        <v>407</v>
      </c>
      <c r="P101">
        <f>F101</f>
        <v>231453.93362775218</v>
      </c>
      <c r="Q101" t="s">
        <v>184</v>
      </c>
      <c r="R101" s="1">
        <f>P101/365/1000</f>
        <v>0.6341203661034307</v>
      </c>
      <c r="S101" t="s">
        <v>184</v>
      </c>
    </row>
    <row r="102" spans="1:19" x14ac:dyDescent="0.25">
      <c r="A102" t="s">
        <v>607</v>
      </c>
      <c r="B102" s="10" t="s">
        <v>608</v>
      </c>
      <c r="C102" t="s">
        <v>609</v>
      </c>
      <c r="D102" t="s">
        <v>610</v>
      </c>
      <c r="E102" t="s">
        <v>184</v>
      </c>
      <c r="G102" t="s">
        <v>184</v>
      </c>
      <c r="I102" t="s">
        <v>184</v>
      </c>
      <c r="K102" t="s">
        <v>184</v>
      </c>
      <c r="M102" t="s">
        <v>184</v>
      </c>
      <c r="N102">
        <f>SUM(H102:L102)</f>
        <v>0</v>
      </c>
      <c r="O102" t="s">
        <v>184</v>
      </c>
      <c r="Q102" t="s">
        <v>184</v>
      </c>
      <c r="R102" s="1"/>
      <c r="S102" t="s">
        <v>184</v>
      </c>
    </row>
    <row r="103" spans="1:19" x14ac:dyDescent="0.25">
      <c r="A103" t="s">
        <v>611</v>
      </c>
      <c r="B103" s="10" t="s">
        <v>608</v>
      </c>
      <c r="C103" t="s">
        <v>612</v>
      </c>
      <c r="D103" t="s">
        <v>613</v>
      </c>
      <c r="E103" t="s">
        <v>184</v>
      </c>
      <c r="G103" t="s">
        <v>184</v>
      </c>
      <c r="H103">
        <v>7</v>
      </c>
      <c r="I103" t="s">
        <v>184</v>
      </c>
      <c r="K103" t="s">
        <v>184</v>
      </c>
      <c r="M103" t="s">
        <v>184</v>
      </c>
      <c r="N103">
        <f>SUM(H103:L103)</f>
        <v>7</v>
      </c>
      <c r="O103" t="s">
        <v>184</v>
      </c>
      <c r="Q103" t="s">
        <v>184</v>
      </c>
      <c r="R103" s="1"/>
      <c r="S103" t="s">
        <v>184</v>
      </c>
    </row>
    <row r="104" spans="1:19" x14ac:dyDescent="0.25">
      <c r="B104" s="10" t="s">
        <v>184</v>
      </c>
      <c r="C104" t="s">
        <v>451</v>
      </c>
      <c r="E104" t="s">
        <v>184</v>
      </c>
      <c r="G104" t="s">
        <v>184</v>
      </c>
      <c r="H104">
        <v>19</v>
      </c>
      <c r="I104" t="s">
        <v>184</v>
      </c>
      <c r="J104">
        <v>8</v>
      </c>
      <c r="K104" t="s">
        <v>184</v>
      </c>
      <c r="L104">
        <v>0.28999999999999998</v>
      </c>
      <c r="M104" t="s">
        <v>184</v>
      </c>
      <c r="N104">
        <f>SUM(H104:L104)</f>
        <v>27.29</v>
      </c>
      <c r="O104" t="s">
        <v>184</v>
      </c>
      <c r="Q104" t="s">
        <v>184</v>
      </c>
      <c r="R104" s="1"/>
      <c r="S104" t="s">
        <v>184</v>
      </c>
    </row>
    <row r="105" spans="1:19" x14ac:dyDescent="0.25">
      <c r="B105" s="10" t="s">
        <v>184</v>
      </c>
      <c r="E105" t="s">
        <v>184</v>
      </c>
      <c r="G105" t="s">
        <v>184</v>
      </c>
      <c r="I105" t="s">
        <v>184</v>
      </c>
      <c r="K105" t="s">
        <v>184</v>
      </c>
      <c r="M105" t="s">
        <v>184</v>
      </c>
      <c r="O105" t="s">
        <v>184</v>
      </c>
      <c r="Q105" t="s">
        <v>184</v>
      </c>
      <c r="R105" s="1"/>
      <c r="S105" t="s">
        <v>184</v>
      </c>
    </row>
    <row r="106" spans="1:19" x14ac:dyDescent="0.25">
      <c r="B106" s="10" t="s">
        <v>184</v>
      </c>
      <c r="C106" s="43" t="s">
        <v>614</v>
      </c>
      <c r="E106" t="s">
        <v>184</v>
      </c>
      <c r="F106">
        <f>SUM(F93:F104)</f>
        <v>231453.93362775218</v>
      </c>
      <c r="G106" t="s">
        <v>184</v>
      </c>
      <c r="H106">
        <f>SUM(H93:H104)</f>
        <v>187</v>
      </c>
      <c r="I106" t="s">
        <v>184</v>
      </c>
      <c r="J106">
        <f>SUM(J93:J104)</f>
        <v>64</v>
      </c>
      <c r="K106" t="s">
        <v>184</v>
      </c>
      <c r="L106">
        <f>SUM(L93:L104)</f>
        <v>19.837999999999997</v>
      </c>
      <c r="M106" t="s">
        <v>184</v>
      </c>
      <c r="N106" s="43">
        <f>SUM(H106:L106)</f>
        <v>270.83800000000002</v>
      </c>
      <c r="O106" t="s">
        <v>184</v>
      </c>
      <c r="P106">
        <f>F106+(N106*125)</f>
        <v>265308.68362775218</v>
      </c>
      <c r="Q106" t="s">
        <v>184</v>
      </c>
      <c r="R106" s="1">
        <f>P106/365/1000</f>
        <v>0.72687310582945808</v>
      </c>
      <c r="S106" t="s">
        <v>184</v>
      </c>
    </row>
    <row r="107" spans="1:19" x14ac:dyDescent="0.25">
      <c r="A107" t="s">
        <v>406</v>
      </c>
      <c r="B107" s="10" t="s">
        <v>407</v>
      </c>
      <c r="C107" t="s">
        <v>408</v>
      </c>
      <c r="D107" t="s">
        <v>408</v>
      </c>
      <c r="E107" t="s">
        <v>407</v>
      </c>
      <c r="F107" t="s">
        <v>409</v>
      </c>
      <c r="G107" t="s">
        <v>407</v>
      </c>
      <c r="H107" t="s">
        <v>410</v>
      </c>
      <c r="I107" t="s">
        <v>407</v>
      </c>
      <c r="J107" t="s">
        <v>411</v>
      </c>
      <c r="K107" t="s">
        <v>407</v>
      </c>
      <c r="L107" t="s">
        <v>411</v>
      </c>
      <c r="M107" t="s">
        <v>407</v>
      </c>
      <c r="N107" t="s">
        <v>410</v>
      </c>
      <c r="O107" t="s">
        <v>407</v>
      </c>
      <c r="P107" t="s">
        <v>412</v>
      </c>
      <c r="Q107" t="s">
        <v>407</v>
      </c>
      <c r="R107" s="1" t="s">
        <v>411</v>
      </c>
      <c r="S107" t="s">
        <v>413</v>
      </c>
    </row>
    <row r="108" spans="1:19" x14ac:dyDescent="0.25">
      <c r="R108" s="1"/>
    </row>
    <row r="109" spans="1:19" x14ac:dyDescent="0.25">
      <c r="B109" s="10" t="s">
        <v>184</v>
      </c>
      <c r="C109" s="3" t="s">
        <v>615</v>
      </c>
      <c r="D109" s="3"/>
      <c r="E109" s="3" t="s">
        <v>184</v>
      </c>
      <c r="F109" s="3"/>
      <c r="G109" s="3" t="s">
        <v>184</v>
      </c>
      <c r="H109" s="3">
        <v>83</v>
      </c>
      <c r="I109" s="3" t="s">
        <v>184</v>
      </c>
      <c r="J109" s="3">
        <v>0</v>
      </c>
      <c r="K109" s="3" t="s">
        <v>184</v>
      </c>
      <c r="L109" s="3">
        <v>0</v>
      </c>
      <c r="M109" s="3" t="s">
        <v>184</v>
      </c>
      <c r="N109" s="3">
        <f>SUM(H109:L109)</f>
        <v>83</v>
      </c>
      <c r="O109" s="3" t="s">
        <v>184</v>
      </c>
      <c r="P109" s="3">
        <f>F109+(N109*125)</f>
        <v>10375</v>
      </c>
      <c r="Q109" s="3" t="s">
        <v>184</v>
      </c>
      <c r="R109" s="11">
        <f>P109/365/1000</f>
        <v>2.8424657534246573E-2</v>
      </c>
      <c r="S109" t="s">
        <v>184</v>
      </c>
    </row>
    <row r="110" spans="1:19" x14ac:dyDescent="0.25">
      <c r="A110" t="s">
        <v>406</v>
      </c>
      <c r="B110" s="10" t="s">
        <v>407</v>
      </c>
      <c r="C110" t="s">
        <v>408</v>
      </c>
      <c r="D110" t="s">
        <v>408</v>
      </c>
      <c r="E110" t="s">
        <v>407</v>
      </c>
      <c r="F110" t="s">
        <v>409</v>
      </c>
      <c r="G110" t="s">
        <v>407</v>
      </c>
      <c r="H110" t="s">
        <v>410</v>
      </c>
      <c r="I110" t="s">
        <v>407</v>
      </c>
      <c r="J110" t="s">
        <v>411</v>
      </c>
      <c r="K110" t="s">
        <v>407</v>
      </c>
      <c r="L110" t="s">
        <v>411</v>
      </c>
      <c r="M110" t="s">
        <v>407</v>
      </c>
      <c r="N110" t="s">
        <v>410</v>
      </c>
      <c r="O110" t="s">
        <v>407</v>
      </c>
      <c r="P110" t="s">
        <v>412</v>
      </c>
      <c r="Q110" t="s">
        <v>407</v>
      </c>
      <c r="R110" s="1" t="s">
        <v>411</v>
      </c>
      <c r="S110" t="s">
        <v>413</v>
      </c>
    </row>
    <row r="111" spans="1:19" ht="13" x14ac:dyDescent="0.3">
      <c r="A111" t="s">
        <v>616</v>
      </c>
      <c r="B111" s="10" t="s">
        <v>617</v>
      </c>
      <c r="C111" t="s">
        <v>618</v>
      </c>
      <c r="D111" t="s">
        <v>619</v>
      </c>
      <c r="E111" t="s">
        <v>184</v>
      </c>
      <c r="G111" t="s">
        <v>184</v>
      </c>
      <c r="H111" s="30">
        <v>327</v>
      </c>
      <c r="I111" t="s">
        <v>184</v>
      </c>
      <c r="J111">
        <v>0.5</v>
      </c>
      <c r="K111" t="s">
        <v>184</v>
      </c>
      <c r="L111" s="30">
        <v>1.841</v>
      </c>
      <c r="M111" t="s">
        <v>184</v>
      </c>
      <c r="N111" s="30">
        <f t="shared" ref="N111:N116" si="3">SUM(H111:L111)</f>
        <v>329.34100000000001</v>
      </c>
      <c r="O111" t="s">
        <v>184</v>
      </c>
      <c r="Q111" t="s">
        <v>184</v>
      </c>
      <c r="R111" s="1"/>
      <c r="S111" t="s">
        <v>184</v>
      </c>
    </row>
    <row r="112" spans="1:19" ht="13" x14ac:dyDescent="0.3">
      <c r="A112" t="s">
        <v>620</v>
      </c>
      <c r="B112" s="10" t="s">
        <v>621</v>
      </c>
      <c r="C112" t="s">
        <v>622</v>
      </c>
      <c r="D112" t="s">
        <v>623</v>
      </c>
      <c r="E112" t="s">
        <v>184</v>
      </c>
      <c r="G112" t="s">
        <v>184</v>
      </c>
      <c r="H112" s="30">
        <v>62</v>
      </c>
      <c r="I112" t="s">
        <v>184</v>
      </c>
      <c r="J112" s="30">
        <v>30</v>
      </c>
      <c r="K112" t="s">
        <v>184</v>
      </c>
      <c r="M112" t="s">
        <v>184</v>
      </c>
      <c r="N112" s="30">
        <f t="shared" si="3"/>
        <v>92</v>
      </c>
      <c r="O112" t="s">
        <v>184</v>
      </c>
      <c r="Q112" t="s">
        <v>184</v>
      </c>
      <c r="R112" s="1"/>
      <c r="S112" t="s">
        <v>184</v>
      </c>
    </row>
    <row r="113" spans="1:19" ht="13" x14ac:dyDescent="0.3">
      <c r="A113" t="s">
        <v>624</v>
      </c>
      <c r="B113" s="10" t="s">
        <v>625</v>
      </c>
      <c r="C113" t="s">
        <v>626</v>
      </c>
      <c r="D113" t="s">
        <v>613</v>
      </c>
      <c r="E113" t="s">
        <v>184</v>
      </c>
      <c r="G113" t="s">
        <v>184</v>
      </c>
      <c r="H113">
        <v>114</v>
      </c>
      <c r="I113" t="s">
        <v>184</v>
      </c>
      <c r="J113">
        <v>37.5</v>
      </c>
      <c r="K113" t="s">
        <v>184</v>
      </c>
      <c r="L113" s="30">
        <v>0.06</v>
      </c>
      <c r="M113" t="s">
        <v>184</v>
      </c>
      <c r="N113" s="30">
        <f t="shared" si="3"/>
        <v>151.56</v>
      </c>
      <c r="O113" t="s">
        <v>184</v>
      </c>
      <c r="Q113" t="s">
        <v>184</v>
      </c>
      <c r="R113" s="1"/>
      <c r="S113" t="s">
        <v>184</v>
      </c>
    </row>
    <row r="114" spans="1:19" ht="13" x14ac:dyDescent="0.3">
      <c r="A114" t="s">
        <v>627</v>
      </c>
      <c r="B114" s="10" t="s">
        <v>628</v>
      </c>
      <c r="C114" t="s">
        <v>629</v>
      </c>
      <c r="D114" t="s">
        <v>629</v>
      </c>
      <c r="E114" t="s">
        <v>184</v>
      </c>
      <c r="G114" t="s">
        <v>184</v>
      </c>
      <c r="H114">
        <v>1</v>
      </c>
      <c r="I114" t="s">
        <v>184</v>
      </c>
      <c r="J114" s="30">
        <v>98</v>
      </c>
      <c r="K114" t="s">
        <v>184</v>
      </c>
      <c r="L114" s="30">
        <v>109.873</v>
      </c>
      <c r="M114" t="s">
        <v>184</v>
      </c>
      <c r="N114" s="30">
        <f t="shared" si="3"/>
        <v>208.87299999999999</v>
      </c>
      <c r="O114" t="s">
        <v>184</v>
      </c>
      <c r="Q114" t="s">
        <v>184</v>
      </c>
      <c r="R114" s="1"/>
      <c r="S114" t="s">
        <v>184</v>
      </c>
    </row>
    <row r="115" spans="1:19" ht="13" x14ac:dyDescent="0.3">
      <c r="A115" t="s">
        <v>630</v>
      </c>
      <c r="B115" s="10" t="s">
        <v>631</v>
      </c>
      <c r="C115" t="s">
        <v>632</v>
      </c>
      <c r="D115" t="s">
        <v>633</v>
      </c>
      <c r="E115" t="s">
        <v>184</v>
      </c>
      <c r="G115" t="s">
        <v>184</v>
      </c>
      <c r="H115" s="30">
        <v>76</v>
      </c>
      <c r="I115" t="s">
        <v>184</v>
      </c>
      <c r="J115" s="30">
        <v>5.5</v>
      </c>
      <c r="K115" t="s">
        <v>184</v>
      </c>
      <c r="L115" s="30">
        <v>102.65600000000001</v>
      </c>
      <c r="M115" t="s">
        <v>184</v>
      </c>
      <c r="N115" s="30">
        <f t="shared" si="3"/>
        <v>184.15600000000001</v>
      </c>
      <c r="O115" t="s">
        <v>184</v>
      </c>
      <c r="Q115" t="s">
        <v>184</v>
      </c>
      <c r="R115" s="1"/>
      <c r="S115" t="s">
        <v>184</v>
      </c>
    </row>
    <row r="116" spans="1:19" x14ac:dyDescent="0.25">
      <c r="B116" s="10" t="s">
        <v>184</v>
      </c>
      <c r="C116" t="s">
        <v>451</v>
      </c>
      <c r="E116" t="s">
        <v>184</v>
      </c>
      <c r="G116" t="s">
        <v>184</v>
      </c>
      <c r="H116">
        <v>28</v>
      </c>
      <c r="I116" t="s">
        <v>184</v>
      </c>
      <c r="J116">
        <v>31.5</v>
      </c>
      <c r="K116" t="s">
        <v>184</v>
      </c>
      <c r="L116">
        <v>9.9700000000000006</v>
      </c>
      <c r="M116" t="s">
        <v>184</v>
      </c>
      <c r="N116">
        <f t="shared" si="3"/>
        <v>69.47</v>
      </c>
      <c r="O116" t="s">
        <v>184</v>
      </c>
      <c r="Q116" t="s">
        <v>184</v>
      </c>
      <c r="R116" s="1"/>
      <c r="S116" t="s">
        <v>184</v>
      </c>
    </row>
    <row r="117" spans="1:19" x14ac:dyDescent="0.25">
      <c r="B117" s="10" t="s">
        <v>184</v>
      </c>
      <c r="E117" t="s">
        <v>184</v>
      </c>
      <c r="G117" t="s">
        <v>184</v>
      </c>
      <c r="I117" t="s">
        <v>184</v>
      </c>
      <c r="K117" t="s">
        <v>184</v>
      </c>
      <c r="M117" t="s">
        <v>184</v>
      </c>
      <c r="O117" t="s">
        <v>184</v>
      </c>
      <c r="Q117" t="s">
        <v>184</v>
      </c>
      <c r="R117" s="1"/>
      <c r="S117" t="s">
        <v>184</v>
      </c>
    </row>
    <row r="118" spans="1:19" x14ac:dyDescent="0.25">
      <c r="B118" s="10" t="s">
        <v>184</v>
      </c>
      <c r="C118" t="s">
        <v>634</v>
      </c>
      <c r="E118" t="s">
        <v>184</v>
      </c>
      <c r="F118">
        <f>SUM(F111:F116)</f>
        <v>0</v>
      </c>
      <c r="G118" t="s">
        <v>184</v>
      </c>
      <c r="H118">
        <f>SUM(H111:H116)</f>
        <v>608</v>
      </c>
      <c r="I118" t="s">
        <v>184</v>
      </c>
      <c r="J118">
        <f>SUM(J111:J116)</f>
        <v>203</v>
      </c>
      <c r="K118" t="s">
        <v>184</v>
      </c>
      <c r="L118">
        <f>SUM(L111:L116)</f>
        <v>224.4</v>
      </c>
      <c r="M118" t="s">
        <v>184</v>
      </c>
      <c r="N118" s="43">
        <f>SUM(H118:L118)</f>
        <v>1035.4000000000001</v>
      </c>
      <c r="O118" t="s">
        <v>184</v>
      </c>
      <c r="P118">
        <f>F118+(N118*125)</f>
        <v>129425.00000000001</v>
      </c>
      <c r="Q118" t="s">
        <v>184</v>
      </c>
      <c r="R118" s="1">
        <f>P118/365/1000</f>
        <v>0.3545890410958904</v>
      </c>
      <c r="S118" t="s">
        <v>184</v>
      </c>
    </row>
    <row r="119" spans="1:19" x14ac:dyDescent="0.25">
      <c r="A119" t="s">
        <v>406</v>
      </c>
      <c r="B119" s="10" t="s">
        <v>407</v>
      </c>
      <c r="C119" t="s">
        <v>408</v>
      </c>
      <c r="D119" t="s">
        <v>408</v>
      </c>
      <c r="E119" t="s">
        <v>407</v>
      </c>
      <c r="F119" t="s">
        <v>409</v>
      </c>
      <c r="G119" t="s">
        <v>407</v>
      </c>
      <c r="H119" t="s">
        <v>410</v>
      </c>
      <c r="I119" t="s">
        <v>407</v>
      </c>
      <c r="J119" t="s">
        <v>411</v>
      </c>
      <c r="K119" t="s">
        <v>407</v>
      </c>
      <c r="L119" t="s">
        <v>411</v>
      </c>
      <c r="M119" t="s">
        <v>407</v>
      </c>
      <c r="N119" t="s">
        <v>410</v>
      </c>
      <c r="O119" t="s">
        <v>407</v>
      </c>
      <c r="P119" t="s">
        <v>412</v>
      </c>
      <c r="Q119" t="s">
        <v>407</v>
      </c>
      <c r="R119" s="1" t="s">
        <v>411</v>
      </c>
      <c r="S119" t="s">
        <v>413</v>
      </c>
    </row>
    <row r="120" spans="1:19" x14ac:dyDescent="0.25">
      <c r="A120" t="s">
        <v>635</v>
      </c>
      <c r="B120" s="10" t="s">
        <v>184</v>
      </c>
      <c r="C120" t="s">
        <v>390</v>
      </c>
      <c r="D120" t="s">
        <v>636</v>
      </c>
      <c r="E120" t="s">
        <v>184</v>
      </c>
      <c r="F120" s="37">
        <f>WSSC_ALL!$AT$149*365*1000</f>
        <v>1471214.8305811572</v>
      </c>
      <c r="G120" t="s">
        <v>184</v>
      </c>
      <c r="I120" t="s">
        <v>184</v>
      </c>
      <c r="K120" t="s">
        <v>184</v>
      </c>
      <c r="M120" t="s">
        <v>184</v>
      </c>
      <c r="O120" t="s">
        <v>184</v>
      </c>
      <c r="P120">
        <f>F120+(N120*125)</f>
        <v>1471214.8305811572</v>
      </c>
      <c r="Q120" t="s">
        <v>184</v>
      </c>
      <c r="R120" s="1">
        <f>P120/365/1000</f>
        <v>4.0307255632360475</v>
      </c>
      <c r="S120" t="s">
        <v>184</v>
      </c>
    </row>
    <row r="121" spans="1:19" x14ac:dyDescent="0.25">
      <c r="A121" t="s">
        <v>406</v>
      </c>
      <c r="B121" s="10" t="s">
        <v>407</v>
      </c>
      <c r="C121" t="s">
        <v>408</v>
      </c>
      <c r="D121" t="s">
        <v>408</v>
      </c>
      <c r="E121" t="s">
        <v>407</v>
      </c>
      <c r="F121" t="s">
        <v>409</v>
      </c>
      <c r="G121" t="s">
        <v>407</v>
      </c>
      <c r="H121" t="s">
        <v>410</v>
      </c>
      <c r="I121" t="s">
        <v>407</v>
      </c>
      <c r="J121" t="s">
        <v>411</v>
      </c>
      <c r="K121" t="s">
        <v>407</v>
      </c>
      <c r="L121" t="s">
        <v>411</v>
      </c>
      <c r="M121" t="s">
        <v>407</v>
      </c>
      <c r="N121" t="s">
        <v>410</v>
      </c>
      <c r="O121" t="s">
        <v>407</v>
      </c>
      <c r="P121" t="s">
        <v>412</v>
      </c>
      <c r="Q121" t="s">
        <v>407</v>
      </c>
      <c r="R121" s="1" t="s">
        <v>411</v>
      </c>
      <c r="S121" t="s">
        <v>413</v>
      </c>
    </row>
    <row r="122" spans="1:19" x14ac:dyDescent="0.25">
      <c r="R122" s="1"/>
    </row>
    <row r="123" spans="1:19" x14ac:dyDescent="0.25">
      <c r="A123" s="54" t="s">
        <v>637</v>
      </c>
      <c r="B123" s="55" t="s">
        <v>184</v>
      </c>
      <c r="C123" s="54" t="s">
        <v>638</v>
      </c>
      <c r="D123" s="54" t="s">
        <v>639</v>
      </c>
      <c r="E123" t="s">
        <v>184</v>
      </c>
      <c r="F123" s="3"/>
      <c r="G123" t="s">
        <v>184</v>
      </c>
      <c r="H123">
        <v>53</v>
      </c>
      <c r="I123" t="s">
        <v>184</v>
      </c>
      <c r="J123">
        <v>2</v>
      </c>
      <c r="K123" t="s">
        <v>184</v>
      </c>
      <c r="M123" t="s">
        <v>184</v>
      </c>
      <c r="N123">
        <f>SUM(H123:L123)</f>
        <v>55</v>
      </c>
      <c r="O123" t="s">
        <v>184</v>
      </c>
      <c r="Q123" t="s">
        <v>184</v>
      </c>
      <c r="R123" s="1"/>
      <c r="S123" t="s">
        <v>184</v>
      </c>
    </row>
    <row r="124" spans="1:19" x14ac:dyDescent="0.25">
      <c r="A124" s="54" t="s">
        <v>640</v>
      </c>
      <c r="B124" s="55" t="s">
        <v>184</v>
      </c>
      <c r="C124" s="54" t="s">
        <v>641</v>
      </c>
      <c r="D124" s="54" t="s">
        <v>642</v>
      </c>
      <c r="E124" t="s">
        <v>184</v>
      </c>
      <c r="F124" s="3">
        <f>WSSC_ALL!$BX$149*365*1000</f>
        <v>67434.894713261659</v>
      </c>
      <c r="G124" t="s">
        <v>407</v>
      </c>
      <c r="H124" t="s">
        <v>410</v>
      </c>
      <c r="I124" t="s">
        <v>407</v>
      </c>
      <c r="J124" t="s">
        <v>410</v>
      </c>
      <c r="K124" t="s">
        <v>407</v>
      </c>
      <c r="L124" t="s">
        <v>410</v>
      </c>
      <c r="M124" t="s">
        <v>407</v>
      </c>
      <c r="N124" t="s">
        <v>410</v>
      </c>
      <c r="O124" t="s">
        <v>407</v>
      </c>
      <c r="P124">
        <f>F124</f>
        <v>67434.894713261659</v>
      </c>
      <c r="Q124" t="s">
        <v>184</v>
      </c>
      <c r="R124" s="1">
        <f>P124/365/1000</f>
        <v>0.18475313620071687</v>
      </c>
      <c r="S124" t="s">
        <v>184</v>
      </c>
    </row>
    <row r="125" spans="1:19" x14ac:dyDescent="0.25">
      <c r="A125" s="54" t="s">
        <v>643</v>
      </c>
      <c r="B125" s="55" t="s">
        <v>184</v>
      </c>
      <c r="C125" s="54" t="s">
        <v>644</v>
      </c>
      <c r="D125" s="54" t="s">
        <v>644</v>
      </c>
      <c r="E125" t="s">
        <v>184</v>
      </c>
      <c r="F125" s="3"/>
      <c r="G125" t="s">
        <v>184</v>
      </c>
      <c r="H125">
        <v>244</v>
      </c>
      <c r="I125" t="s">
        <v>184</v>
      </c>
      <c r="J125">
        <v>275.5</v>
      </c>
      <c r="K125" t="s">
        <v>184</v>
      </c>
      <c r="L125">
        <v>42.597000000000001</v>
      </c>
      <c r="M125" t="s">
        <v>184</v>
      </c>
      <c r="N125">
        <f>SUM(H125:L125)</f>
        <v>562.09699999999998</v>
      </c>
      <c r="O125" t="s">
        <v>184</v>
      </c>
      <c r="Q125" t="s">
        <v>184</v>
      </c>
      <c r="R125" s="1"/>
      <c r="S125" t="s">
        <v>184</v>
      </c>
    </row>
    <row r="126" spans="1:19" x14ac:dyDescent="0.25">
      <c r="A126" s="54" t="s">
        <v>645</v>
      </c>
      <c r="B126" s="55" t="s">
        <v>184</v>
      </c>
      <c r="C126" s="54" t="s">
        <v>646</v>
      </c>
      <c r="D126" s="54" t="s">
        <v>647</v>
      </c>
      <c r="E126" t="s">
        <v>184</v>
      </c>
      <c r="F126" s="3"/>
      <c r="G126" t="s">
        <v>184</v>
      </c>
      <c r="H126">
        <v>151</v>
      </c>
      <c r="I126" t="s">
        <v>184</v>
      </c>
      <c r="K126" t="s">
        <v>184</v>
      </c>
      <c r="M126" t="s">
        <v>184</v>
      </c>
      <c r="N126">
        <f>SUM(H126:L126)</f>
        <v>151</v>
      </c>
      <c r="O126" t="s">
        <v>184</v>
      </c>
      <c r="Q126" t="s">
        <v>184</v>
      </c>
      <c r="R126" s="1"/>
      <c r="S126" t="s">
        <v>184</v>
      </c>
    </row>
    <row r="127" spans="1:19" x14ac:dyDescent="0.25">
      <c r="A127" s="54" t="s">
        <v>648</v>
      </c>
      <c r="B127" s="55" t="s">
        <v>184</v>
      </c>
      <c r="C127" s="54" t="s">
        <v>649</v>
      </c>
      <c r="D127" s="54" t="s">
        <v>650</v>
      </c>
      <c r="E127" t="s">
        <v>184</v>
      </c>
      <c r="F127" s="3"/>
      <c r="G127" t="s">
        <v>184</v>
      </c>
      <c r="H127">
        <v>160</v>
      </c>
      <c r="I127" t="s">
        <v>184</v>
      </c>
      <c r="K127" t="s">
        <v>184</v>
      </c>
      <c r="M127" t="s">
        <v>184</v>
      </c>
      <c r="N127">
        <f>SUM(H127:L127)</f>
        <v>160</v>
      </c>
      <c r="O127" t="s">
        <v>184</v>
      </c>
      <c r="Q127" t="s">
        <v>184</v>
      </c>
      <c r="R127" s="1"/>
      <c r="S127" t="s">
        <v>184</v>
      </c>
    </row>
    <row r="128" spans="1:19" x14ac:dyDescent="0.25">
      <c r="A128" s="54" t="s">
        <v>651</v>
      </c>
      <c r="B128" s="55" t="s">
        <v>184</v>
      </c>
      <c r="C128" s="54" t="s">
        <v>652</v>
      </c>
      <c r="D128" s="54" t="s">
        <v>653</v>
      </c>
      <c r="E128" t="s">
        <v>184</v>
      </c>
      <c r="F128" s="3">
        <f>WSSC_ALL!$CC$149*365*1000</f>
        <v>155676.58125320019</v>
      </c>
      <c r="G128" t="s">
        <v>407</v>
      </c>
      <c r="H128" t="s">
        <v>410</v>
      </c>
      <c r="I128" t="s">
        <v>407</v>
      </c>
      <c r="J128" t="s">
        <v>411</v>
      </c>
      <c r="K128" t="s">
        <v>407</v>
      </c>
      <c r="L128" t="s">
        <v>411</v>
      </c>
      <c r="M128" t="s">
        <v>407</v>
      </c>
      <c r="N128" t="s">
        <v>410</v>
      </c>
      <c r="O128" t="s">
        <v>407</v>
      </c>
      <c r="P128">
        <f>F128</f>
        <v>155676.58125320019</v>
      </c>
      <c r="Q128" t="s">
        <v>184</v>
      </c>
      <c r="R128" s="1">
        <f>P128/365/1000</f>
        <v>0.42651118151561696</v>
      </c>
      <c r="S128" t="s">
        <v>184</v>
      </c>
    </row>
    <row r="129" spans="1:19" x14ac:dyDescent="0.25">
      <c r="B129" s="10" t="s">
        <v>184</v>
      </c>
      <c r="E129" t="s">
        <v>184</v>
      </c>
      <c r="G129" t="s">
        <v>184</v>
      </c>
      <c r="I129" t="s">
        <v>184</v>
      </c>
      <c r="K129" t="s">
        <v>184</v>
      </c>
      <c r="M129" t="s">
        <v>184</v>
      </c>
      <c r="O129" t="s">
        <v>184</v>
      </c>
      <c r="Q129" t="s">
        <v>184</v>
      </c>
      <c r="R129" s="1"/>
      <c r="S129" t="s">
        <v>184</v>
      </c>
    </row>
    <row r="130" spans="1:19" x14ac:dyDescent="0.25">
      <c r="B130" s="10" t="s">
        <v>184</v>
      </c>
      <c r="C130" s="3" t="s">
        <v>654</v>
      </c>
      <c r="D130" s="3"/>
      <c r="E130" s="3" t="s">
        <v>184</v>
      </c>
      <c r="F130" s="3">
        <f>SUM(F123:F128)</f>
        <v>223111.47596646185</v>
      </c>
      <c r="G130" s="3" t="s">
        <v>184</v>
      </c>
      <c r="H130" s="3">
        <f>SUM(H123:H128)</f>
        <v>608</v>
      </c>
      <c r="I130" s="3" t="s">
        <v>184</v>
      </c>
      <c r="J130" s="3">
        <f>SUM(J123:J128)</f>
        <v>277.5</v>
      </c>
      <c r="K130" s="3" t="s">
        <v>184</v>
      </c>
      <c r="L130" s="3">
        <f>SUM(L123:L128)</f>
        <v>42.597000000000001</v>
      </c>
      <c r="M130" s="3" t="s">
        <v>184</v>
      </c>
      <c r="N130" s="3">
        <f>SUM(H130:L130)</f>
        <v>928.09699999999998</v>
      </c>
      <c r="O130" s="3" t="s">
        <v>184</v>
      </c>
      <c r="P130" s="3">
        <f>F130+(N130*125)</f>
        <v>339123.60096646182</v>
      </c>
      <c r="Q130" s="3" t="s">
        <v>184</v>
      </c>
      <c r="R130" s="11">
        <f>P130/365/1000</f>
        <v>0.92910575607249812</v>
      </c>
      <c r="S130" t="s">
        <v>184</v>
      </c>
    </row>
    <row r="131" spans="1:19" x14ac:dyDescent="0.25">
      <c r="A131" t="s">
        <v>406</v>
      </c>
      <c r="B131" s="10" t="s">
        <v>407</v>
      </c>
      <c r="C131" t="s">
        <v>408</v>
      </c>
      <c r="D131" t="s">
        <v>408</v>
      </c>
      <c r="E131" t="s">
        <v>407</v>
      </c>
      <c r="F131" t="s">
        <v>409</v>
      </c>
      <c r="G131" t="s">
        <v>407</v>
      </c>
      <c r="H131" t="s">
        <v>410</v>
      </c>
      <c r="I131" t="s">
        <v>407</v>
      </c>
      <c r="J131" t="s">
        <v>411</v>
      </c>
      <c r="K131" t="s">
        <v>407</v>
      </c>
      <c r="L131" t="s">
        <v>411</v>
      </c>
      <c r="M131" t="s">
        <v>407</v>
      </c>
      <c r="N131" t="s">
        <v>410</v>
      </c>
      <c r="O131" t="s">
        <v>407</v>
      </c>
      <c r="P131" t="s">
        <v>412</v>
      </c>
      <c r="Q131" t="s">
        <v>407</v>
      </c>
      <c r="R131" s="1" t="s">
        <v>411</v>
      </c>
      <c r="S131" t="s">
        <v>413</v>
      </c>
    </row>
    <row r="132" spans="1:19" ht="13" x14ac:dyDescent="0.3">
      <c r="A132" t="s">
        <v>655</v>
      </c>
      <c r="B132" s="10" t="s">
        <v>656</v>
      </c>
      <c r="C132" t="s">
        <v>657</v>
      </c>
      <c r="D132" t="s">
        <v>657</v>
      </c>
      <c r="E132" t="s">
        <v>184</v>
      </c>
      <c r="G132" t="s">
        <v>184</v>
      </c>
      <c r="H132" s="30">
        <v>3</v>
      </c>
      <c r="I132" t="s">
        <v>184</v>
      </c>
      <c r="J132">
        <v>0</v>
      </c>
      <c r="K132" t="s">
        <v>184</v>
      </c>
      <c r="L132" s="30">
        <v>6.1920000000000002</v>
      </c>
      <c r="M132" t="s">
        <v>184</v>
      </c>
      <c r="N132">
        <f>SUM(H132:L132)</f>
        <v>9.1920000000000002</v>
      </c>
      <c r="O132" t="s">
        <v>184</v>
      </c>
      <c r="Q132" t="s">
        <v>184</v>
      </c>
      <c r="R132" s="1"/>
      <c r="S132" t="s">
        <v>184</v>
      </c>
    </row>
    <row r="133" spans="1:19" x14ac:dyDescent="0.25">
      <c r="A133" t="s">
        <v>658</v>
      </c>
      <c r="B133" s="10" t="s">
        <v>184</v>
      </c>
      <c r="C133" t="s">
        <v>659</v>
      </c>
      <c r="D133" t="s">
        <v>427</v>
      </c>
      <c r="E133" t="s">
        <v>184</v>
      </c>
      <c r="F133" s="37">
        <f>WSSC_ALL!$AY$149*365*1000</f>
        <v>128153.58150921659</v>
      </c>
      <c r="G133" t="s">
        <v>407</v>
      </c>
      <c r="H133" s="45" t="s">
        <v>660</v>
      </c>
      <c r="I133" t="s">
        <v>407</v>
      </c>
      <c r="J133" t="s">
        <v>411</v>
      </c>
      <c r="K133" t="s">
        <v>407</v>
      </c>
      <c r="L133" t="s">
        <v>411</v>
      </c>
      <c r="M133" t="s">
        <v>407</v>
      </c>
      <c r="N133" t="s">
        <v>410</v>
      </c>
      <c r="O133" t="s">
        <v>407</v>
      </c>
      <c r="P133">
        <f>F133</f>
        <v>128153.58150921659</v>
      </c>
      <c r="Q133" t="s">
        <v>184</v>
      </c>
      <c r="R133" s="1">
        <f>P133/365/1000</f>
        <v>0.35110570276497699</v>
      </c>
      <c r="S133" t="s">
        <v>184</v>
      </c>
    </row>
    <row r="134" spans="1:19" ht="13" x14ac:dyDescent="0.3">
      <c r="A134" t="s">
        <v>661</v>
      </c>
      <c r="B134" s="10" t="s">
        <v>662</v>
      </c>
      <c r="C134" t="s">
        <v>663</v>
      </c>
      <c r="D134" t="s">
        <v>664</v>
      </c>
      <c r="E134" t="s">
        <v>184</v>
      </c>
      <c r="G134" t="s">
        <v>184</v>
      </c>
      <c r="H134">
        <v>93</v>
      </c>
      <c r="I134" t="s">
        <v>184</v>
      </c>
      <c r="J134" s="30">
        <v>165</v>
      </c>
      <c r="K134" t="s">
        <v>184</v>
      </c>
      <c r="L134">
        <v>0</v>
      </c>
      <c r="M134" t="s">
        <v>184</v>
      </c>
      <c r="N134" s="30">
        <f>SUM(H134:L134)</f>
        <v>258</v>
      </c>
      <c r="O134" t="s">
        <v>184</v>
      </c>
      <c r="Q134" t="s">
        <v>184</v>
      </c>
      <c r="R134" s="1"/>
      <c r="S134" t="s">
        <v>184</v>
      </c>
    </row>
    <row r="135" spans="1:19" x14ac:dyDescent="0.25">
      <c r="A135" t="s">
        <v>665</v>
      </c>
      <c r="B135" s="10" t="s">
        <v>184</v>
      </c>
      <c r="C135" t="s">
        <v>666</v>
      </c>
      <c r="D135" t="s">
        <v>667</v>
      </c>
      <c r="E135" t="s">
        <v>184</v>
      </c>
      <c r="F135" s="37">
        <f>WSSC_ALL!$BD$149*365*1000</f>
        <v>298551.70561315928</v>
      </c>
      <c r="G135" t="s">
        <v>407</v>
      </c>
      <c r="H135" t="s">
        <v>410</v>
      </c>
      <c r="I135" t="s">
        <v>407</v>
      </c>
      <c r="J135" t="s">
        <v>411</v>
      </c>
      <c r="K135" t="s">
        <v>407</v>
      </c>
      <c r="L135" t="s">
        <v>411</v>
      </c>
      <c r="M135" t="s">
        <v>407</v>
      </c>
      <c r="N135" t="s">
        <v>410</v>
      </c>
      <c r="O135" t="s">
        <v>407</v>
      </c>
      <c r="P135">
        <f>F135</f>
        <v>298551.70561315928</v>
      </c>
      <c r="Q135" t="s">
        <v>184</v>
      </c>
      <c r="R135" s="1">
        <f>P135/365/1000</f>
        <v>0.81794987839221722</v>
      </c>
      <c r="S135" t="s">
        <v>184</v>
      </c>
    </row>
    <row r="136" spans="1:19" ht="13" x14ac:dyDescent="0.3">
      <c r="A136" t="s">
        <v>668</v>
      </c>
      <c r="B136" s="10" t="s">
        <v>669</v>
      </c>
      <c r="C136" t="s">
        <v>670</v>
      </c>
      <c r="D136" t="s">
        <v>671</v>
      </c>
      <c r="E136" t="s">
        <v>184</v>
      </c>
      <c r="G136" t="s">
        <v>184</v>
      </c>
      <c r="H136">
        <v>21</v>
      </c>
      <c r="I136" t="s">
        <v>184</v>
      </c>
      <c r="J136">
        <v>0</v>
      </c>
      <c r="K136" t="s">
        <v>184</v>
      </c>
      <c r="M136" t="s">
        <v>184</v>
      </c>
      <c r="N136" s="30">
        <f>SUM(H136:L136)</f>
        <v>21</v>
      </c>
      <c r="O136" t="s">
        <v>184</v>
      </c>
      <c r="Q136" t="s">
        <v>184</v>
      </c>
      <c r="R136" s="1"/>
      <c r="S136" t="s">
        <v>184</v>
      </c>
    </row>
    <row r="137" spans="1:19" ht="13" x14ac:dyDescent="0.3">
      <c r="A137" t="s">
        <v>672</v>
      </c>
      <c r="B137" s="10" t="s">
        <v>673</v>
      </c>
      <c r="C137" t="s">
        <v>674</v>
      </c>
      <c r="D137" t="s">
        <v>675</v>
      </c>
      <c r="E137" t="s">
        <v>184</v>
      </c>
      <c r="G137" t="s">
        <v>184</v>
      </c>
      <c r="H137">
        <v>209</v>
      </c>
      <c r="I137" t="s">
        <v>184</v>
      </c>
      <c r="J137">
        <v>201</v>
      </c>
      <c r="K137" t="s">
        <v>184</v>
      </c>
      <c r="L137" s="30">
        <v>1.5960000000000001</v>
      </c>
      <c r="M137" t="s">
        <v>184</v>
      </c>
      <c r="N137">
        <f>SUM(H137:L137)</f>
        <v>411.596</v>
      </c>
      <c r="O137" t="s">
        <v>184</v>
      </c>
      <c r="Q137" t="s">
        <v>184</v>
      </c>
      <c r="R137" s="1"/>
      <c r="S137" t="s">
        <v>184</v>
      </c>
    </row>
    <row r="138" spans="1:19" ht="13" x14ac:dyDescent="0.3">
      <c r="A138" t="s">
        <v>676</v>
      </c>
      <c r="B138" s="10" t="s">
        <v>677</v>
      </c>
      <c r="C138" t="s">
        <v>678</v>
      </c>
      <c r="D138" t="s">
        <v>679</v>
      </c>
      <c r="E138" t="s">
        <v>184</v>
      </c>
      <c r="G138" t="s">
        <v>184</v>
      </c>
      <c r="H138" s="30">
        <v>113</v>
      </c>
      <c r="I138" t="s">
        <v>184</v>
      </c>
      <c r="J138">
        <v>15</v>
      </c>
      <c r="K138" t="s">
        <v>184</v>
      </c>
      <c r="L138" s="30">
        <v>5.9039999999999999</v>
      </c>
      <c r="M138" t="s">
        <v>184</v>
      </c>
      <c r="N138" s="30">
        <f>SUM(H138:L138)</f>
        <v>133.904</v>
      </c>
      <c r="O138" t="s">
        <v>184</v>
      </c>
      <c r="Q138" t="s">
        <v>184</v>
      </c>
      <c r="R138" s="1"/>
      <c r="S138" t="s">
        <v>184</v>
      </c>
    </row>
    <row r="139" spans="1:19" ht="13" x14ac:dyDescent="0.3">
      <c r="A139" t="s">
        <v>680</v>
      </c>
      <c r="B139" s="10" t="s">
        <v>681</v>
      </c>
      <c r="C139" t="s">
        <v>682</v>
      </c>
      <c r="D139" t="s">
        <v>683</v>
      </c>
      <c r="E139" t="s">
        <v>184</v>
      </c>
      <c r="G139" t="s">
        <v>184</v>
      </c>
      <c r="H139">
        <v>212</v>
      </c>
      <c r="I139" t="s">
        <v>184</v>
      </c>
      <c r="J139" s="30">
        <v>121</v>
      </c>
      <c r="K139" t="s">
        <v>184</v>
      </c>
      <c r="L139" s="30">
        <v>48.72</v>
      </c>
      <c r="M139" t="s">
        <v>184</v>
      </c>
      <c r="N139" s="30">
        <f>SUM(H139:L139)</f>
        <v>381.72</v>
      </c>
      <c r="O139" t="s">
        <v>184</v>
      </c>
      <c r="Q139" t="s">
        <v>184</v>
      </c>
      <c r="R139" s="1"/>
      <c r="S139" t="s">
        <v>184</v>
      </c>
    </row>
    <row r="140" spans="1:19" x14ac:dyDescent="0.25">
      <c r="A140" t="s">
        <v>684</v>
      </c>
      <c r="B140" s="10" t="s">
        <v>184</v>
      </c>
      <c r="C140" t="s">
        <v>685</v>
      </c>
      <c r="D140" t="s">
        <v>686</v>
      </c>
      <c r="E140" t="s">
        <v>184</v>
      </c>
      <c r="F140" s="37">
        <f>WSSC_ALL!$BI$149*365*1000</f>
        <v>333316.46047747054</v>
      </c>
      <c r="G140" t="s">
        <v>407</v>
      </c>
      <c r="H140" t="s">
        <v>410</v>
      </c>
      <c r="I140" t="s">
        <v>407</v>
      </c>
      <c r="J140" t="s">
        <v>411</v>
      </c>
      <c r="K140" t="s">
        <v>407</v>
      </c>
      <c r="L140" t="s">
        <v>411</v>
      </c>
      <c r="M140" t="s">
        <v>407</v>
      </c>
      <c r="N140" t="s">
        <v>410</v>
      </c>
      <c r="O140" t="s">
        <v>407</v>
      </c>
      <c r="P140">
        <f>F140</f>
        <v>333316.46047747054</v>
      </c>
      <c r="Q140" t="s">
        <v>184</v>
      </c>
      <c r="R140" s="1">
        <f>P140/365/1000</f>
        <v>0.91319578213005625</v>
      </c>
      <c r="S140" t="s">
        <v>184</v>
      </c>
    </row>
    <row r="141" spans="1:19" x14ac:dyDescent="0.25">
      <c r="B141" s="10" t="s">
        <v>184</v>
      </c>
      <c r="C141" t="s">
        <v>451</v>
      </c>
      <c r="E141" t="s">
        <v>184</v>
      </c>
      <c r="G141" t="s">
        <v>184</v>
      </c>
      <c r="H141">
        <v>5</v>
      </c>
      <c r="I141" t="s">
        <v>184</v>
      </c>
      <c r="J141">
        <v>282</v>
      </c>
      <c r="K141" t="s">
        <v>184</v>
      </c>
      <c r="L141">
        <v>55.56</v>
      </c>
      <c r="M141" t="s">
        <v>184</v>
      </c>
      <c r="N141">
        <f>SUM(H141:L141)</f>
        <v>342.56</v>
      </c>
      <c r="O141" t="s">
        <v>184</v>
      </c>
      <c r="Q141" t="s">
        <v>184</v>
      </c>
      <c r="R141" s="1"/>
      <c r="S141" t="s">
        <v>184</v>
      </c>
    </row>
    <row r="142" spans="1:19" x14ac:dyDescent="0.25">
      <c r="B142" s="10" t="s">
        <v>184</v>
      </c>
      <c r="E142" t="s">
        <v>184</v>
      </c>
      <c r="G142" t="s">
        <v>184</v>
      </c>
      <c r="I142" t="s">
        <v>184</v>
      </c>
      <c r="K142" t="s">
        <v>184</v>
      </c>
      <c r="M142" t="s">
        <v>184</v>
      </c>
      <c r="O142" t="s">
        <v>184</v>
      </c>
      <c r="Q142" t="s">
        <v>184</v>
      </c>
      <c r="R142" s="1"/>
      <c r="S142" t="s">
        <v>184</v>
      </c>
    </row>
    <row r="143" spans="1:19" x14ac:dyDescent="0.25">
      <c r="B143" s="10" t="s">
        <v>184</v>
      </c>
      <c r="C143" s="43" t="s">
        <v>687</v>
      </c>
      <c r="E143" t="s">
        <v>184</v>
      </c>
      <c r="F143">
        <f>SUM(F132:F141)</f>
        <v>760021.74759984645</v>
      </c>
      <c r="G143" t="s">
        <v>184</v>
      </c>
      <c r="H143">
        <f>SUM(H132:H141)</f>
        <v>656</v>
      </c>
      <c r="I143" t="s">
        <v>184</v>
      </c>
      <c r="J143">
        <f>SUM(J132:J141)</f>
        <v>784</v>
      </c>
      <c r="K143" t="s">
        <v>184</v>
      </c>
      <c r="L143">
        <f>SUM(L132:L141)</f>
        <v>117.97200000000001</v>
      </c>
      <c r="M143" t="s">
        <v>184</v>
      </c>
      <c r="N143" s="43">
        <f>SUM(H143:L143)</f>
        <v>1557.972</v>
      </c>
      <c r="O143" t="s">
        <v>184</v>
      </c>
      <c r="P143">
        <f>F143+(N143*125)</f>
        <v>954768.24759984645</v>
      </c>
      <c r="Q143" t="s">
        <v>184</v>
      </c>
      <c r="R143" s="1">
        <f>P143/365/1000</f>
        <v>2.6158034180817711</v>
      </c>
      <c r="S143" t="s">
        <v>184</v>
      </c>
    </row>
    <row r="144" spans="1:19" x14ac:dyDescent="0.25">
      <c r="A144" t="s">
        <v>406</v>
      </c>
      <c r="B144" s="10" t="s">
        <v>407</v>
      </c>
      <c r="C144" t="s">
        <v>408</v>
      </c>
      <c r="D144" t="s">
        <v>408</v>
      </c>
      <c r="E144" t="s">
        <v>407</v>
      </c>
      <c r="F144" t="s">
        <v>409</v>
      </c>
      <c r="G144" t="s">
        <v>407</v>
      </c>
      <c r="H144" t="s">
        <v>410</v>
      </c>
      <c r="I144" t="s">
        <v>407</v>
      </c>
      <c r="J144" t="s">
        <v>411</v>
      </c>
      <c r="K144" t="s">
        <v>407</v>
      </c>
      <c r="L144" t="s">
        <v>411</v>
      </c>
      <c r="M144" t="s">
        <v>407</v>
      </c>
      <c r="N144" t="s">
        <v>410</v>
      </c>
      <c r="O144" t="s">
        <v>407</v>
      </c>
      <c r="P144" t="s">
        <v>412</v>
      </c>
      <c r="Q144" t="s">
        <v>407</v>
      </c>
      <c r="R144" s="1" t="s">
        <v>411</v>
      </c>
      <c r="S144" t="s">
        <v>413</v>
      </c>
    </row>
    <row r="145" spans="1:20" x14ac:dyDescent="0.25">
      <c r="R145" s="1"/>
    </row>
    <row r="146" spans="1:20" x14ac:dyDescent="0.25">
      <c r="B146" s="10" t="s">
        <v>184</v>
      </c>
      <c r="C146" s="3" t="s">
        <v>688</v>
      </c>
      <c r="D146" s="3"/>
      <c r="E146" s="3" t="s">
        <v>184</v>
      </c>
      <c r="F146" s="3"/>
      <c r="G146" s="3" t="s">
        <v>184</v>
      </c>
      <c r="H146" s="3"/>
      <c r="I146" s="3" t="s">
        <v>184</v>
      </c>
      <c r="J146" s="3"/>
      <c r="K146" s="3" t="s">
        <v>184</v>
      </c>
      <c r="L146" s="3"/>
      <c r="M146" s="3" t="s">
        <v>184</v>
      </c>
      <c r="N146" s="3"/>
      <c r="O146" s="3" t="s">
        <v>184</v>
      </c>
      <c r="P146" s="3">
        <f>P20+P41+P78+P109+P130</f>
        <v>848532.38700076798</v>
      </c>
      <c r="Q146" s="3" t="s">
        <v>184</v>
      </c>
      <c r="R146" s="11">
        <f>P146/365/1000</f>
        <v>2.3247462657555289</v>
      </c>
      <c r="S146" t="s">
        <v>184</v>
      </c>
    </row>
    <row r="147" spans="1:20" x14ac:dyDescent="0.25">
      <c r="A147" t="s">
        <v>406</v>
      </c>
      <c r="B147" s="10" t="s">
        <v>407</v>
      </c>
      <c r="C147" t="s">
        <v>408</v>
      </c>
      <c r="D147" t="s">
        <v>408</v>
      </c>
      <c r="E147" t="s">
        <v>407</v>
      </c>
      <c r="F147" t="s">
        <v>409</v>
      </c>
      <c r="G147" t="s">
        <v>407</v>
      </c>
      <c r="H147" t="s">
        <v>410</v>
      </c>
      <c r="I147" t="s">
        <v>407</v>
      </c>
      <c r="J147" t="s">
        <v>411</v>
      </c>
      <c r="K147" t="s">
        <v>407</v>
      </c>
      <c r="L147" t="s">
        <v>411</v>
      </c>
      <c r="M147" t="s">
        <v>407</v>
      </c>
      <c r="N147" t="s">
        <v>410</v>
      </c>
      <c r="O147" t="s">
        <v>407</v>
      </c>
      <c r="P147" t="s">
        <v>412</v>
      </c>
      <c r="Q147" t="s">
        <v>407</v>
      </c>
      <c r="R147" s="1" t="s">
        <v>411</v>
      </c>
      <c r="S147" t="s">
        <v>413</v>
      </c>
    </row>
    <row r="148" spans="1:20" x14ac:dyDescent="0.25">
      <c r="B148" s="10" t="s">
        <v>184</v>
      </c>
      <c r="E148" t="s">
        <v>184</v>
      </c>
      <c r="G148" t="s">
        <v>184</v>
      </c>
      <c r="I148" t="s">
        <v>184</v>
      </c>
      <c r="K148" t="s">
        <v>184</v>
      </c>
      <c r="M148" t="s">
        <v>184</v>
      </c>
      <c r="O148" t="s">
        <v>184</v>
      </c>
      <c r="Q148" t="s">
        <v>184</v>
      </c>
      <c r="R148" s="1"/>
      <c r="S148" t="s">
        <v>184</v>
      </c>
    </row>
    <row r="149" spans="1:20" x14ac:dyDescent="0.25">
      <c r="B149" s="10" t="s">
        <v>184</v>
      </c>
      <c r="C149" t="s">
        <v>689</v>
      </c>
      <c r="E149" t="s">
        <v>184</v>
      </c>
      <c r="G149" t="s">
        <v>184</v>
      </c>
      <c r="I149" t="s">
        <v>184</v>
      </c>
      <c r="K149" t="s">
        <v>184</v>
      </c>
      <c r="M149" t="s">
        <v>184</v>
      </c>
      <c r="O149" t="s">
        <v>184</v>
      </c>
      <c r="P149">
        <f>P6+P13-P20+P27+P34-P41+P43+P57+P63-P78+P80+P91+P106-P109+P118+P120-P130+P143</f>
        <v>37878458.149251156</v>
      </c>
      <c r="Q149" t="s">
        <v>184</v>
      </c>
      <c r="R149" s="1">
        <f>P149/365/1000</f>
        <v>103.77659766918126</v>
      </c>
      <c r="S149" t="s">
        <v>184</v>
      </c>
    </row>
    <row r="150" spans="1:20" x14ac:dyDescent="0.25">
      <c r="B150" s="10" t="s">
        <v>184</v>
      </c>
      <c r="E150" t="s">
        <v>184</v>
      </c>
      <c r="G150" t="s">
        <v>184</v>
      </c>
      <c r="I150" t="s">
        <v>184</v>
      </c>
      <c r="K150" t="s">
        <v>184</v>
      </c>
      <c r="M150" t="s">
        <v>184</v>
      </c>
      <c r="O150" t="s">
        <v>184</v>
      </c>
      <c r="P150" t="s">
        <v>314</v>
      </c>
      <c r="Q150" t="s">
        <v>184</v>
      </c>
      <c r="R150" s="1" t="s">
        <v>314</v>
      </c>
      <c r="S150" t="s">
        <v>184</v>
      </c>
    </row>
    <row r="151" spans="1:20" x14ac:dyDescent="0.25">
      <c r="B151" s="10" t="s">
        <v>184</v>
      </c>
      <c r="C151" t="s">
        <v>690</v>
      </c>
      <c r="E151" t="s">
        <v>184</v>
      </c>
      <c r="F151" s="37" t="e">
        <f>(WSSC_ALL!$DT$149-WSSC_ALL!$DE149)*365*1000</f>
        <v>#REF!</v>
      </c>
      <c r="G151" t="s">
        <v>184</v>
      </c>
      <c r="H151">
        <v>1248</v>
      </c>
      <c r="I151" t="s">
        <v>184</v>
      </c>
      <c r="J151">
        <v>0</v>
      </c>
      <c r="K151" t="s">
        <v>184</v>
      </c>
      <c r="L151">
        <v>38.951999999999998</v>
      </c>
      <c r="M151" t="s">
        <v>184</v>
      </c>
      <c r="N151">
        <f>SUM(H151:L151)</f>
        <v>1286.952</v>
      </c>
      <c r="O151" t="s">
        <v>184</v>
      </c>
      <c r="P151" t="e">
        <f>F151+(N151*125)</f>
        <v>#REF!</v>
      </c>
      <c r="Q151" t="s">
        <v>184</v>
      </c>
      <c r="R151" s="1" t="e">
        <f>P151/365/1000</f>
        <v>#REF!</v>
      </c>
      <c r="S151" t="s">
        <v>184</v>
      </c>
    </row>
    <row r="152" spans="1:20" x14ac:dyDescent="0.25">
      <c r="B152" s="10" t="s">
        <v>184</v>
      </c>
      <c r="E152" t="s">
        <v>184</v>
      </c>
      <c r="G152" t="s">
        <v>184</v>
      </c>
      <c r="I152" t="s">
        <v>184</v>
      </c>
      <c r="K152" t="s">
        <v>184</v>
      </c>
      <c r="M152" t="s">
        <v>184</v>
      </c>
      <c r="O152" t="s">
        <v>184</v>
      </c>
      <c r="Q152" t="s">
        <v>184</v>
      </c>
      <c r="R152" s="1" t="s">
        <v>314</v>
      </c>
      <c r="S152" t="s">
        <v>184</v>
      </c>
    </row>
    <row r="153" spans="1:20" x14ac:dyDescent="0.25">
      <c r="B153" s="10" t="s">
        <v>184</v>
      </c>
      <c r="C153" t="s">
        <v>691</v>
      </c>
      <c r="E153" t="s">
        <v>184</v>
      </c>
      <c r="G153" t="s">
        <v>184</v>
      </c>
      <c r="I153" t="s">
        <v>184</v>
      </c>
      <c r="K153" t="s">
        <v>184</v>
      </c>
      <c r="M153" t="s">
        <v>184</v>
      </c>
      <c r="O153" t="s">
        <v>184</v>
      </c>
      <c r="P153" t="e">
        <f>P149+P151</f>
        <v>#REF!</v>
      </c>
      <c r="Q153" t="s">
        <v>184</v>
      </c>
      <c r="R153" s="1" t="e">
        <f>P153/365/1000</f>
        <v>#REF!</v>
      </c>
      <c r="S153" t="s">
        <v>184</v>
      </c>
    </row>
    <row r="154" spans="1:20" x14ac:dyDescent="0.25">
      <c r="A154" t="s">
        <v>406</v>
      </c>
      <c r="B154" s="10" t="s">
        <v>407</v>
      </c>
      <c r="C154" t="s">
        <v>408</v>
      </c>
      <c r="D154" t="s">
        <v>408</v>
      </c>
      <c r="E154" t="s">
        <v>407</v>
      </c>
      <c r="F154" t="s">
        <v>409</v>
      </c>
      <c r="G154" t="s">
        <v>407</v>
      </c>
      <c r="H154" t="s">
        <v>410</v>
      </c>
      <c r="I154" t="s">
        <v>407</v>
      </c>
      <c r="J154" t="s">
        <v>411</v>
      </c>
      <c r="K154" t="s">
        <v>407</v>
      </c>
      <c r="L154" t="s">
        <v>411</v>
      </c>
      <c r="M154" t="s">
        <v>407</v>
      </c>
      <c r="N154" t="s">
        <v>410</v>
      </c>
      <c r="O154" t="s">
        <v>407</v>
      </c>
      <c r="P154" t="s">
        <v>412</v>
      </c>
      <c r="Q154" t="s">
        <v>407</v>
      </c>
      <c r="R154" s="1" t="s">
        <v>411</v>
      </c>
      <c r="S154" t="s">
        <v>413</v>
      </c>
    </row>
    <row r="155" spans="1:20" x14ac:dyDescent="0.25">
      <c r="L155" s="9"/>
      <c r="M155" s="9"/>
      <c r="R155" s="1"/>
    </row>
    <row r="156" spans="1:20" x14ac:dyDescent="0.25">
      <c r="L156" s="9"/>
      <c r="M156" s="9"/>
      <c r="N156" s="9">
        <f>SUM(H157+J157+L157)</f>
        <v>14699.293799999999</v>
      </c>
      <c r="P156" t="e">
        <f>P146+P153</f>
        <v>#REF!</v>
      </c>
      <c r="R156" s="1"/>
    </row>
    <row r="157" spans="1:20" x14ac:dyDescent="0.25">
      <c r="C157" t="s">
        <v>692</v>
      </c>
      <c r="D157" t="s">
        <v>3</v>
      </c>
      <c r="H157">
        <f>H13+H27+H34+H57+H63+H91+H106+H118+H143</f>
        <v>3968.64</v>
      </c>
      <c r="J157">
        <f>J13+J27+J34+J57+J63+J91+J106+J118+J143</f>
        <v>5374</v>
      </c>
      <c r="L157">
        <f>L13+L27+L34+L57+L63+L91+L106+L118+L143</f>
        <v>5356.6538</v>
      </c>
      <c r="M157" s="9"/>
      <c r="N157" s="2">
        <f>SUM(H157:M157)</f>
        <v>14699.293799999999</v>
      </c>
      <c r="P157" t="e">
        <f>P156-(F70+F124+F128)</f>
        <v>#REF!</v>
      </c>
      <c r="R157" s="1" t="e">
        <f>P157/365/1000</f>
        <v>#REF!</v>
      </c>
      <c r="T157" t="s">
        <v>693</v>
      </c>
    </row>
    <row r="158" spans="1:20" x14ac:dyDescent="0.25">
      <c r="C158" t="s">
        <v>694</v>
      </c>
      <c r="D158" t="s">
        <v>181</v>
      </c>
      <c r="H158">
        <f>H20+H41+H78+H109+H130</f>
        <v>3370</v>
      </c>
      <c r="J158">
        <f>J20+J41+J78+J109+J130</f>
        <v>387.5</v>
      </c>
      <c r="L158">
        <f>L20+L41+L78+L109+L130</f>
        <v>158.74</v>
      </c>
      <c r="M158" s="9"/>
      <c r="N158" s="2">
        <f>SUM(H158:M158)</f>
        <v>3916.24</v>
      </c>
      <c r="P158">
        <f>N158*125</f>
        <v>489530</v>
      </c>
      <c r="R158" s="1">
        <f>P158/365/1000</f>
        <v>1.3411780821917807</v>
      </c>
    </row>
    <row r="159" spans="1:20" x14ac:dyDescent="0.25">
      <c r="M159" s="9"/>
      <c r="N159" s="2">
        <f>N158-N18</f>
        <v>3916.24</v>
      </c>
      <c r="P159">
        <f>N159*125</f>
        <v>489530</v>
      </c>
      <c r="R159" s="1">
        <f>P159/365/1000</f>
        <v>1.3411780821917807</v>
      </c>
    </row>
    <row r="160" spans="1:20" x14ac:dyDescent="0.25">
      <c r="D160" t="s">
        <v>695</v>
      </c>
      <c r="H160">
        <f>H157-H158</f>
        <v>598.63999999999987</v>
      </c>
      <c r="J160">
        <f>J157-J158</f>
        <v>4986.5</v>
      </c>
      <c r="L160">
        <f>L157-L158</f>
        <v>5197.9138000000003</v>
      </c>
      <c r="M160" s="9"/>
      <c r="N160" s="2">
        <f>H160+J160+L160</f>
        <v>10783.0538</v>
      </c>
      <c r="P160">
        <f>N160*125</f>
        <v>1347881.7249999999</v>
      </c>
      <c r="R160" s="1">
        <f>P160/365/1000</f>
        <v>3.6928266438356157</v>
      </c>
    </row>
    <row r="161" spans="12:18" x14ac:dyDescent="0.25">
      <c r="L161" s="9"/>
      <c r="M161" s="9"/>
      <c r="N161" s="9"/>
      <c r="R161" s="1"/>
    </row>
    <row r="162" spans="12:18" x14ac:dyDescent="0.25">
      <c r="L162" s="9"/>
      <c r="M162" s="9"/>
      <c r="N162" s="9"/>
      <c r="R162" s="1"/>
    </row>
    <row r="163" spans="12:18" x14ac:dyDescent="0.25">
      <c r="L163" s="9"/>
      <c r="M163" s="9"/>
      <c r="N163" s="9"/>
      <c r="R163" s="1"/>
    </row>
    <row r="164" spans="12:18" x14ac:dyDescent="0.25">
      <c r="L164" s="9"/>
      <c r="M164" s="9"/>
      <c r="N164" s="9"/>
      <c r="R164" s="1"/>
    </row>
    <row r="165" spans="12:18" x14ac:dyDescent="0.25">
      <c r="L165" s="9"/>
      <c r="M165" s="9"/>
      <c r="N165" s="9"/>
      <c r="R165" s="1"/>
    </row>
    <row r="166" spans="12:18" x14ac:dyDescent="0.25">
      <c r="L166" s="9"/>
      <c r="M166" s="9"/>
      <c r="N166" s="9"/>
      <c r="R166" s="1"/>
    </row>
    <row r="167" spans="12:18" x14ac:dyDescent="0.25">
      <c r="L167" s="9"/>
      <c r="M167" s="9"/>
      <c r="N167" s="9"/>
      <c r="R167" s="1"/>
    </row>
    <row r="168" spans="12:18" x14ac:dyDescent="0.25">
      <c r="L168" s="9"/>
      <c r="M168" s="9"/>
      <c r="N168" s="9"/>
      <c r="R168" s="1"/>
    </row>
    <row r="169" spans="12:18" x14ac:dyDescent="0.25">
      <c r="L169" s="9"/>
      <c r="M169" s="9"/>
      <c r="N169" s="9"/>
      <c r="R169" s="1"/>
    </row>
    <row r="170" spans="12:18" x14ac:dyDescent="0.25">
      <c r="L170" s="9"/>
      <c r="M170" s="9"/>
      <c r="N170" s="9"/>
    </row>
    <row r="171" spans="12:18" x14ac:dyDescent="0.25">
      <c r="L171" s="9"/>
      <c r="M171" s="9"/>
      <c r="N171" s="9"/>
    </row>
    <row r="172" spans="12:18" x14ac:dyDescent="0.25">
      <c r="L172" s="9"/>
      <c r="M172" s="9"/>
      <c r="N172" s="9"/>
    </row>
  </sheetData>
  <phoneticPr fontId="0" type="noConversion"/>
  <printOptions horizontalCentered="1" verticalCentered="1" headings="1" gridLines="1"/>
  <pageMargins left="0.75" right="0.75" top="1" bottom="1" header="0.5" footer="0.5"/>
  <pageSetup scale="56" fitToHeight="6" orientation="landscape" blackAndWhite="1" horizontalDpi="4294967292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>
    <pageSetUpPr fitToPage="1"/>
  </sheetPr>
  <dimension ref="A1:EP7492"/>
  <sheetViews>
    <sheetView zoomScale="70" zoomScaleNormal="70" workbookViewId="0">
      <pane xSplit="2" ySplit="3" topLeftCell="C4" activePane="bottomRight" state="frozen"/>
      <selection activeCell="AM240" sqref="AM240"/>
      <selection pane="topRight" activeCell="AM240" sqref="AM240"/>
      <selection pane="bottomLeft" activeCell="AM240" sqref="AM240"/>
      <selection pane="bottomRight" activeCell="EQ22" sqref="EQ22"/>
    </sheetView>
  </sheetViews>
  <sheetFormatPr defaultRowHeight="12.5" x14ac:dyDescent="0.25"/>
  <cols>
    <col min="1" max="1" width="12.26953125" style="8" customWidth="1"/>
    <col min="2" max="3" width="19.90625" customWidth="1"/>
    <col min="4" max="4" width="17.90625" style="284" bestFit="1" customWidth="1"/>
    <col min="5" max="5" width="9.54296875" style="1" bestFit="1" customWidth="1"/>
    <col min="6" max="6" width="10.36328125" style="1" bestFit="1" customWidth="1"/>
    <col min="7" max="8" width="6.6328125" style="1" customWidth="1"/>
    <col min="9" max="9" width="9.90625" style="284" bestFit="1" customWidth="1"/>
    <col min="10" max="10" width="9.90625" style="1" bestFit="1" customWidth="1"/>
    <col min="11" max="11" width="10.453125" style="1" bestFit="1" customWidth="1"/>
    <col min="12" max="12" width="6.08984375" style="1" bestFit="1" customWidth="1"/>
    <col min="13" max="13" width="17.81640625" customWidth="1"/>
    <col min="14" max="14" width="9.453125" style="284" customWidth="1"/>
    <col min="15" max="15" width="9.54296875" style="1" bestFit="1" customWidth="1"/>
    <col min="16" max="16" width="10.36328125" style="1" bestFit="1" customWidth="1"/>
    <col min="17" max="17" width="6.6328125" style="1" customWidth="1"/>
    <col min="18" max="18" width="8.54296875" bestFit="1" customWidth="1"/>
    <col min="19" max="19" width="9.453125" style="284" customWidth="1"/>
    <col min="20" max="20" width="9.453125" style="1" customWidth="1"/>
    <col min="21" max="21" width="10" style="1" customWidth="1"/>
    <col min="22" max="22" width="6.6328125" style="1" customWidth="1"/>
    <col min="23" max="23" width="6.54296875" style="20" bestFit="1" customWidth="1"/>
    <col min="24" max="24" width="9.453125" style="284" customWidth="1"/>
    <col min="25" max="25" width="9.453125" style="1" customWidth="1"/>
    <col min="26" max="26" width="10" style="1" customWidth="1"/>
    <col min="27" max="27" width="7.54296875" style="1" bestFit="1" customWidth="1"/>
    <col min="28" max="28" width="7.54296875" bestFit="1" customWidth="1"/>
    <col min="29" max="29" width="10" style="284" bestFit="1" customWidth="1"/>
    <col min="30" max="30" width="9.54296875" style="1" bestFit="1" customWidth="1"/>
    <col min="31" max="31" width="10.36328125" style="1" bestFit="1" customWidth="1"/>
    <col min="32" max="32" width="7.54296875" style="1" bestFit="1" customWidth="1"/>
    <col min="33" max="33" width="9" customWidth="1"/>
    <col min="34" max="34" width="11.36328125" style="299" customWidth="1"/>
    <col min="35" max="36" width="9.453125" customWidth="1"/>
    <col min="37" max="37" width="7.6328125" customWidth="1"/>
    <col min="38" max="38" width="3.6328125" customWidth="1"/>
    <col min="39" max="39" width="9.453125" style="299" customWidth="1"/>
    <col min="40" max="40" width="9.453125" bestFit="1" customWidth="1"/>
    <col min="41" max="41" width="10.08984375" bestFit="1" customWidth="1"/>
    <col min="42" max="42" width="6.6328125" customWidth="1"/>
    <col min="43" max="43" width="3.6328125" customWidth="1"/>
    <col min="44" max="44" width="9.453125" style="284" customWidth="1"/>
    <col min="45" max="45" width="9.453125" style="1" bestFit="1" customWidth="1"/>
    <col min="46" max="46" width="10.08984375" style="1" bestFit="1" customWidth="1"/>
    <col min="47" max="47" width="6.6328125" style="1" customWidth="1"/>
    <col min="48" max="48" width="3.6328125" customWidth="1"/>
    <col min="49" max="49" width="9.453125" style="284" customWidth="1"/>
    <col min="50" max="50" width="9.453125" style="1" bestFit="1" customWidth="1"/>
    <col min="51" max="51" width="10.08984375" style="1" bestFit="1" customWidth="1"/>
    <col min="52" max="52" width="6.6328125" style="1" customWidth="1"/>
    <col min="53" max="53" width="3.6328125" customWidth="1"/>
    <col min="54" max="54" width="9.453125" style="284" customWidth="1"/>
    <col min="55" max="55" width="9.453125" style="1" bestFit="1" customWidth="1"/>
    <col min="56" max="56" width="10.08984375" style="1" bestFit="1" customWidth="1"/>
    <col min="57" max="57" width="6.6328125" style="1" customWidth="1"/>
    <col min="58" max="58" width="3.6328125" customWidth="1"/>
    <col min="59" max="59" width="10.36328125" style="284" customWidth="1"/>
    <col min="60" max="60" width="9.453125" style="1" customWidth="1"/>
    <col min="61" max="61" width="10" style="1" customWidth="1"/>
    <col min="62" max="62" width="6.6328125" style="1" customWidth="1"/>
    <col min="63" max="63" width="3.6328125" customWidth="1"/>
    <col min="64" max="64" width="9.453125" style="284" customWidth="1"/>
    <col min="65" max="66" width="10" style="1" customWidth="1"/>
    <col min="67" max="67" width="6.6328125" style="1" customWidth="1"/>
    <col min="68" max="68" width="3.6328125" customWidth="1"/>
    <col min="69" max="69" width="10.36328125" style="284" customWidth="1"/>
    <col min="70" max="71" width="10.36328125" style="1" customWidth="1"/>
    <col min="72" max="72" width="6.6328125" style="1" customWidth="1"/>
    <col min="73" max="73" width="3.6328125" customWidth="1"/>
    <col min="74" max="74" width="10.36328125" style="284" customWidth="1"/>
    <col min="75" max="76" width="10.36328125" style="1" customWidth="1"/>
    <col min="77" max="77" width="6.6328125" style="1" customWidth="1"/>
    <col min="78" max="78" width="3.6328125" customWidth="1"/>
    <col min="79" max="79" width="9.6328125" style="284" customWidth="1"/>
    <col min="80" max="81" width="9.6328125" style="1" customWidth="1"/>
    <col min="82" max="82" width="6.6328125" style="1" customWidth="1"/>
    <col min="83" max="83" width="3.6328125" customWidth="1"/>
    <col min="84" max="84" width="9.453125" style="284" customWidth="1"/>
    <col min="85" max="85" width="9.453125" style="1" customWidth="1"/>
    <col min="86" max="86" width="10.08984375" style="1" bestFit="1" customWidth="1"/>
    <col min="87" max="87" width="6.6328125" style="1" customWidth="1"/>
    <col min="88" max="88" width="3.6328125" customWidth="1"/>
    <col min="89" max="89" width="9.453125" style="284" customWidth="1"/>
    <col min="90" max="90" width="9.453125" style="1" bestFit="1" customWidth="1"/>
    <col min="91" max="91" width="10.08984375" style="1" bestFit="1" customWidth="1"/>
    <col min="92" max="92" width="6.6328125" style="1" customWidth="1"/>
    <col min="93" max="93" width="3.6328125" customWidth="1"/>
    <col min="94" max="94" width="9.453125" style="284" customWidth="1"/>
    <col min="95" max="95" width="9.453125" style="1" bestFit="1" customWidth="1"/>
    <col min="96" max="96" width="10.08984375" style="1" bestFit="1" customWidth="1"/>
    <col min="97" max="97" width="6.6328125" style="1" customWidth="1"/>
    <col min="98" max="98" width="3.6328125" customWidth="1"/>
    <col min="99" max="99" width="9.54296875" style="284" bestFit="1" customWidth="1"/>
    <col min="100" max="100" width="9.453125" style="1" bestFit="1" customWidth="1"/>
    <col min="101" max="101" width="10.08984375" style="1" bestFit="1" customWidth="1"/>
    <col min="102" max="102" width="6.6328125" style="1" customWidth="1"/>
    <col min="103" max="103" width="14.7265625" style="1" customWidth="1"/>
    <col min="104" max="104" width="9.36328125" style="269" customWidth="1"/>
    <col min="105" max="105" width="9.453125" style="1" bestFit="1" customWidth="1"/>
    <col min="106" max="106" width="3.6328125" customWidth="1"/>
    <col min="107" max="107" width="9.54296875" style="284" bestFit="1" customWidth="1"/>
    <col min="108" max="108" width="10" style="1" bestFit="1" customWidth="1"/>
    <col min="109" max="109" width="10.08984375" style="1" bestFit="1" customWidth="1"/>
    <col min="110" max="110" width="6.6328125" style="1" customWidth="1"/>
    <col min="111" max="111" width="3.6328125" customWidth="1"/>
    <col min="112" max="112" width="9.54296875" style="299" bestFit="1" customWidth="1"/>
    <col min="113" max="113" width="10" bestFit="1" customWidth="1"/>
    <col min="114" max="114" width="10.08984375" bestFit="1" customWidth="1"/>
    <col min="115" max="115" width="6.6328125" customWidth="1"/>
    <col min="116" max="116" width="3.6328125" customWidth="1"/>
    <col min="117" max="117" width="9.54296875" style="299" bestFit="1" customWidth="1"/>
    <col min="118" max="118" width="10" bestFit="1" customWidth="1"/>
    <col min="119" max="119" width="10.08984375" bestFit="1" customWidth="1"/>
    <col min="120" max="120" width="6.6328125" customWidth="1"/>
    <col min="121" max="121" width="3.6328125" customWidth="1"/>
    <col min="122" max="122" width="9.54296875" style="299" bestFit="1" customWidth="1"/>
    <col min="123" max="123" width="10" bestFit="1" customWidth="1"/>
    <col min="124" max="124" width="10.08984375" bestFit="1" customWidth="1"/>
    <col min="125" max="125" width="6.6328125" customWidth="1"/>
    <col min="126" max="126" width="3.6328125" customWidth="1"/>
    <col min="127" max="127" width="9.54296875" style="299" bestFit="1" customWidth="1"/>
    <col min="128" max="128" width="10" bestFit="1" customWidth="1"/>
    <col min="129" max="129" width="10.08984375" bestFit="1" customWidth="1"/>
    <col min="130" max="130" width="6.6328125" customWidth="1"/>
    <col min="131" max="131" width="3.6328125" customWidth="1"/>
    <col min="132" max="132" width="9" bestFit="1" customWidth="1"/>
    <col min="133" max="133" width="3.6328125" customWidth="1"/>
    <col min="134" max="134" width="10.453125" bestFit="1" customWidth="1"/>
    <col min="135" max="136" width="10" bestFit="1" customWidth="1"/>
    <col min="137" max="137" width="5.90625" customWidth="1"/>
    <col min="139" max="139" width="11" bestFit="1" customWidth="1"/>
    <col min="140" max="140" width="10.453125" bestFit="1" customWidth="1"/>
    <col min="141" max="141" width="16.6328125" bestFit="1" customWidth="1"/>
    <col min="142" max="142" width="9.90625" customWidth="1"/>
    <col min="143" max="143" width="15.1796875" customWidth="1"/>
    <col min="144" max="144" width="19.7265625" customWidth="1"/>
    <col min="145" max="145" width="17.08984375" customWidth="1"/>
  </cols>
  <sheetData>
    <row r="1" spans="1:145" ht="15.5" x14ac:dyDescent="0.35">
      <c r="A1" s="262" t="s">
        <v>725</v>
      </c>
      <c r="B1" s="4"/>
      <c r="C1" s="4"/>
      <c r="D1" s="105" t="s">
        <v>726</v>
      </c>
      <c r="E1" s="20"/>
      <c r="F1" s="20"/>
      <c r="G1" s="20"/>
      <c r="H1" s="20"/>
      <c r="I1" s="49" t="s">
        <v>727</v>
      </c>
      <c r="J1"/>
      <c r="N1" s="105" t="s">
        <v>722</v>
      </c>
      <c r="O1" s="20"/>
      <c r="P1" s="20"/>
      <c r="Q1" s="20"/>
      <c r="S1" s="105" t="s">
        <v>728</v>
      </c>
      <c r="T1"/>
      <c r="U1"/>
      <c r="V1"/>
      <c r="X1" s="105" t="s">
        <v>729</v>
      </c>
      <c r="Y1"/>
      <c r="Z1"/>
      <c r="AA1"/>
      <c r="AC1" s="20" t="s">
        <v>730</v>
      </c>
      <c r="AD1"/>
      <c r="AE1"/>
      <c r="AF1"/>
      <c r="AH1" s="20" t="s">
        <v>731</v>
      </c>
      <c r="AI1" s="20"/>
      <c r="AJ1" s="20"/>
      <c r="AK1" s="20"/>
      <c r="AM1" s="20" t="s">
        <v>732</v>
      </c>
      <c r="AN1" s="20"/>
      <c r="AO1" s="20"/>
      <c r="AP1" s="20"/>
      <c r="AR1" s="88" t="s">
        <v>11</v>
      </c>
      <c r="AS1" s="88"/>
      <c r="AT1" s="88"/>
      <c r="AU1" s="88"/>
      <c r="AW1" s="88" t="s">
        <v>733</v>
      </c>
      <c r="AX1" s="88"/>
      <c r="AY1" s="88"/>
      <c r="AZ1" s="88"/>
      <c r="BB1" s="88" t="s">
        <v>666</v>
      </c>
      <c r="BC1" s="88"/>
      <c r="BD1" s="88"/>
      <c r="BE1" s="88"/>
      <c r="BG1" s="88" t="s">
        <v>734</v>
      </c>
      <c r="BH1" s="88"/>
      <c r="BI1" s="88"/>
      <c r="BJ1" s="88"/>
      <c r="BL1" s="246" t="s">
        <v>735</v>
      </c>
      <c r="BM1" s="246"/>
      <c r="BN1" s="246"/>
      <c r="BO1" s="246"/>
      <c r="BQ1" s="245" t="s">
        <v>736</v>
      </c>
      <c r="BR1" s="88"/>
      <c r="BS1" s="88"/>
      <c r="BT1" s="88"/>
      <c r="BU1" s="3"/>
      <c r="BV1" s="245" t="s">
        <v>737</v>
      </c>
      <c r="BW1" s="88"/>
      <c r="BX1" s="88"/>
      <c r="BY1" s="88"/>
      <c r="BZ1" s="3"/>
      <c r="CA1" s="244" t="s">
        <v>738</v>
      </c>
      <c r="CB1" s="20"/>
      <c r="CC1" s="20"/>
      <c r="CD1" s="20"/>
      <c r="CF1" s="244" t="s">
        <v>739</v>
      </c>
      <c r="CG1" s="244"/>
      <c r="CH1" s="244"/>
      <c r="CI1" s="244"/>
      <c r="CK1" s="20" t="s">
        <v>740</v>
      </c>
      <c r="CL1" s="20"/>
      <c r="CM1" s="20"/>
      <c r="CN1" s="20"/>
      <c r="CP1" s="20" t="s">
        <v>741</v>
      </c>
      <c r="CQ1" s="20"/>
      <c r="CR1" s="20"/>
      <c r="CS1" s="20"/>
      <c r="CU1" s="20" t="s">
        <v>742</v>
      </c>
      <c r="CV1" s="20"/>
      <c r="CW1" s="20"/>
      <c r="CX1" s="20"/>
      <c r="CY1" s="20"/>
      <c r="CZ1" s="105" t="s">
        <v>743</v>
      </c>
      <c r="DA1" s="20"/>
      <c r="DC1" s="20" t="s">
        <v>744</v>
      </c>
      <c r="DD1" s="20"/>
      <c r="DE1" s="20"/>
      <c r="DF1" s="20"/>
      <c r="DH1" s="244" t="s">
        <v>745</v>
      </c>
      <c r="DI1" s="244"/>
      <c r="DJ1" s="244"/>
      <c r="DK1" s="244"/>
      <c r="DM1" s="105" t="s">
        <v>746</v>
      </c>
      <c r="DN1" s="105"/>
      <c r="DO1" s="105"/>
      <c r="DP1" s="105"/>
      <c r="DR1" s="105" t="s">
        <v>747</v>
      </c>
      <c r="DS1" s="105"/>
      <c r="DT1" s="105"/>
      <c r="DU1" s="105"/>
      <c r="DW1" s="243" t="s">
        <v>748</v>
      </c>
      <c r="DX1" s="243"/>
      <c r="DY1" s="243"/>
      <c r="DZ1" s="243"/>
      <c r="EB1" s="20" t="s">
        <v>697</v>
      </c>
      <c r="EC1" s="20"/>
      <c r="ED1" s="243" t="s">
        <v>749</v>
      </c>
      <c r="EE1" s="243"/>
      <c r="EF1" s="243"/>
      <c r="EG1" s="243"/>
      <c r="EI1" s="243" t="s">
        <v>750</v>
      </c>
    </row>
    <row r="2" spans="1:145" ht="13.5" customHeight="1" x14ac:dyDescent="0.35">
      <c r="A2" s="262" t="s">
        <v>751</v>
      </c>
      <c r="B2" s="4"/>
      <c r="C2" s="4"/>
      <c r="D2" s="283" t="s">
        <v>696</v>
      </c>
      <c r="E2" s="88" t="s">
        <v>752</v>
      </c>
      <c r="F2" s="88" t="s">
        <v>698</v>
      </c>
      <c r="G2" s="88" t="s">
        <v>720</v>
      </c>
      <c r="H2" s="88"/>
      <c r="I2" s="283" t="s">
        <v>696</v>
      </c>
      <c r="J2" s="88" t="s">
        <v>752</v>
      </c>
      <c r="K2" s="88" t="s">
        <v>698</v>
      </c>
      <c r="L2" s="88" t="s">
        <v>720</v>
      </c>
      <c r="N2" s="283" t="s">
        <v>696</v>
      </c>
      <c r="O2" s="88" t="s">
        <v>752</v>
      </c>
      <c r="P2" s="88" t="s">
        <v>698</v>
      </c>
      <c r="Q2" s="88" t="s">
        <v>720</v>
      </c>
      <c r="S2" s="283" t="s">
        <v>696</v>
      </c>
      <c r="T2" s="88" t="s">
        <v>752</v>
      </c>
      <c r="U2" s="88" t="s">
        <v>753</v>
      </c>
      <c r="V2" s="88" t="s">
        <v>720</v>
      </c>
      <c r="X2" s="283" t="s">
        <v>696</v>
      </c>
      <c r="Y2" s="88" t="s">
        <v>752</v>
      </c>
      <c r="Z2" s="88" t="s">
        <v>753</v>
      </c>
      <c r="AA2" s="88" t="s">
        <v>720</v>
      </c>
      <c r="AC2" s="283" t="s">
        <v>696</v>
      </c>
      <c r="AD2" s="88" t="s">
        <v>752</v>
      </c>
      <c r="AE2" s="88" t="s">
        <v>698</v>
      </c>
      <c r="AF2" s="88" t="s">
        <v>720</v>
      </c>
      <c r="AH2" s="311" t="s">
        <v>696</v>
      </c>
      <c r="AI2" s="20" t="s">
        <v>752</v>
      </c>
      <c r="AJ2" s="20" t="s">
        <v>753</v>
      </c>
      <c r="AK2" s="20" t="s">
        <v>720</v>
      </c>
      <c r="AM2" s="311" t="s">
        <v>696</v>
      </c>
      <c r="AN2" s="20" t="s">
        <v>752</v>
      </c>
      <c r="AO2" s="20" t="s">
        <v>698</v>
      </c>
      <c r="AP2" s="20" t="s">
        <v>720</v>
      </c>
      <c r="AR2" s="283" t="s">
        <v>696</v>
      </c>
      <c r="AS2" s="88" t="s">
        <v>752</v>
      </c>
      <c r="AT2" s="88" t="s">
        <v>698</v>
      </c>
      <c r="AU2" s="88" t="s">
        <v>720</v>
      </c>
      <c r="AW2" s="283" t="s">
        <v>696</v>
      </c>
      <c r="AX2" s="88" t="s">
        <v>752</v>
      </c>
      <c r="AY2" s="88" t="s">
        <v>698</v>
      </c>
      <c r="AZ2" s="88" t="s">
        <v>720</v>
      </c>
      <c r="BB2" s="283" t="s">
        <v>696</v>
      </c>
      <c r="BC2" s="88" t="s">
        <v>752</v>
      </c>
      <c r="BD2" s="88" t="s">
        <v>698</v>
      </c>
      <c r="BE2" s="88" t="s">
        <v>720</v>
      </c>
      <c r="BG2" s="284" t="s">
        <v>696</v>
      </c>
      <c r="BH2" s="1" t="s">
        <v>752</v>
      </c>
      <c r="BI2" s="1" t="s">
        <v>698</v>
      </c>
      <c r="BJ2" s="1" t="s">
        <v>720</v>
      </c>
      <c r="BL2" s="268" t="s">
        <v>696</v>
      </c>
      <c r="BM2" s="246" t="s">
        <v>752</v>
      </c>
      <c r="BN2" s="246" t="s">
        <v>698</v>
      </c>
      <c r="BO2" s="246" t="s">
        <v>720</v>
      </c>
      <c r="BQ2" s="315" t="s">
        <v>696</v>
      </c>
      <c r="BR2" s="245" t="s">
        <v>752</v>
      </c>
      <c r="BS2" s="245" t="s">
        <v>698</v>
      </c>
      <c r="BT2" s="245" t="s">
        <v>720</v>
      </c>
      <c r="BU2" s="3"/>
      <c r="BV2" s="315" t="s">
        <v>696</v>
      </c>
      <c r="BW2" s="245" t="s">
        <v>752</v>
      </c>
      <c r="BX2" s="245" t="s">
        <v>698</v>
      </c>
      <c r="BY2" s="245" t="s">
        <v>720</v>
      </c>
      <c r="BZ2" s="3"/>
      <c r="CA2" s="315" t="s">
        <v>696</v>
      </c>
      <c r="CB2" s="245" t="s">
        <v>752</v>
      </c>
      <c r="CC2" s="245" t="s">
        <v>698</v>
      </c>
      <c r="CD2" s="245" t="s">
        <v>720</v>
      </c>
      <c r="CF2" s="315" t="s">
        <v>696</v>
      </c>
      <c r="CG2" s="245" t="s">
        <v>752</v>
      </c>
      <c r="CH2" s="245" t="s">
        <v>698</v>
      </c>
      <c r="CI2" s="245" t="s">
        <v>720</v>
      </c>
      <c r="CK2" s="283" t="s">
        <v>696</v>
      </c>
      <c r="CL2" s="88" t="s">
        <v>752</v>
      </c>
      <c r="CM2" s="88" t="s">
        <v>698</v>
      </c>
      <c r="CN2" s="88" t="s">
        <v>720</v>
      </c>
      <c r="CP2" s="283" t="s">
        <v>696</v>
      </c>
      <c r="CQ2" s="88" t="s">
        <v>752</v>
      </c>
      <c r="CR2" s="88" t="s">
        <v>698</v>
      </c>
      <c r="CS2" s="88" t="s">
        <v>720</v>
      </c>
      <c r="CU2" s="283" t="s">
        <v>696</v>
      </c>
      <c r="CV2" s="88" t="s">
        <v>752</v>
      </c>
      <c r="CW2" s="88" t="s">
        <v>753</v>
      </c>
      <c r="CX2" s="88" t="s">
        <v>720</v>
      </c>
      <c r="CY2" s="88"/>
      <c r="CZ2" s="268" t="s">
        <v>696</v>
      </c>
      <c r="DA2" s="88" t="s">
        <v>752</v>
      </c>
      <c r="DC2" s="268" t="s">
        <v>696</v>
      </c>
      <c r="DD2" s="246" t="s">
        <v>752</v>
      </c>
      <c r="DE2" s="246" t="s">
        <v>698</v>
      </c>
      <c r="DF2" s="246" t="s">
        <v>720</v>
      </c>
      <c r="DH2" s="329" t="s">
        <v>696</v>
      </c>
      <c r="DI2" s="244" t="s">
        <v>752</v>
      </c>
      <c r="DJ2" s="244" t="s">
        <v>698</v>
      </c>
      <c r="DK2" s="244" t="s">
        <v>720</v>
      </c>
      <c r="DM2" s="311" t="s">
        <v>696</v>
      </c>
      <c r="DN2" s="105" t="s">
        <v>752</v>
      </c>
      <c r="DO2" s="105" t="s">
        <v>698</v>
      </c>
      <c r="DP2" s="105" t="s">
        <v>720</v>
      </c>
      <c r="DR2" s="311" t="s">
        <v>696</v>
      </c>
      <c r="DS2" s="105" t="s">
        <v>752</v>
      </c>
      <c r="DT2" s="105" t="s">
        <v>698</v>
      </c>
      <c r="DU2" s="105" t="s">
        <v>720</v>
      </c>
      <c r="DW2" s="311" t="s">
        <v>696</v>
      </c>
      <c r="DX2" s="105" t="s">
        <v>752</v>
      </c>
      <c r="DY2" s="105" t="s">
        <v>698</v>
      </c>
      <c r="DZ2" s="105" t="s">
        <v>720</v>
      </c>
      <c r="EB2" s="105" t="s">
        <v>699</v>
      </c>
      <c r="EC2" s="105"/>
      <c r="ED2" s="20" t="s">
        <v>754</v>
      </c>
      <c r="EE2" s="105" t="s">
        <v>752</v>
      </c>
      <c r="EF2" s="105" t="s">
        <v>698</v>
      </c>
      <c r="EG2" s="105" t="s">
        <v>720</v>
      </c>
      <c r="EI2" s="105" t="s">
        <v>752</v>
      </c>
      <c r="EJ2" s="105" t="s">
        <v>698</v>
      </c>
      <c r="EK2" s="105" t="s">
        <v>755</v>
      </c>
    </row>
    <row r="3" spans="1:145" x14ac:dyDescent="0.25">
      <c r="A3" s="48" t="s">
        <v>836</v>
      </c>
      <c r="B3" s="48" t="s">
        <v>837</v>
      </c>
      <c r="C3" s="48"/>
      <c r="D3" s="283" t="s">
        <v>756</v>
      </c>
      <c r="E3" s="88" t="s">
        <v>757</v>
      </c>
      <c r="F3" s="88" t="s">
        <v>758</v>
      </c>
      <c r="G3" s="88" t="s">
        <v>721</v>
      </c>
      <c r="H3" s="88"/>
      <c r="I3" s="283" t="s">
        <v>756</v>
      </c>
      <c r="J3" s="88" t="s">
        <v>757</v>
      </c>
      <c r="K3" s="88" t="s">
        <v>758</v>
      </c>
      <c r="L3" s="88" t="s">
        <v>721</v>
      </c>
      <c r="N3" s="283" t="s">
        <v>756</v>
      </c>
      <c r="O3" s="88" t="s">
        <v>757</v>
      </c>
      <c r="P3" s="88" t="s">
        <v>758</v>
      </c>
      <c r="Q3" s="88" t="s">
        <v>721</v>
      </c>
      <c r="S3" s="283" t="s">
        <v>756</v>
      </c>
      <c r="T3" s="88" t="s">
        <v>757</v>
      </c>
      <c r="U3" s="88" t="s">
        <v>758</v>
      </c>
      <c r="V3" s="88" t="s">
        <v>721</v>
      </c>
      <c r="X3" s="283" t="s">
        <v>756</v>
      </c>
      <c r="Y3" s="88" t="s">
        <v>757</v>
      </c>
      <c r="Z3" s="88" t="s">
        <v>758</v>
      </c>
      <c r="AA3" s="88" t="s">
        <v>721</v>
      </c>
      <c r="AC3" s="283" t="s">
        <v>756</v>
      </c>
      <c r="AD3" s="88" t="s">
        <v>757</v>
      </c>
      <c r="AE3" s="88" t="s">
        <v>758</v>
      </c>
      <c r="AF3" s="88" t="s">
        <v>721</v>
      </c>
      <c r="AH3" s="311" t="s">
        <v>756</v>
      </c>
      <c r="AI3" s="20" t="s">
        <v>757</v>
      </c>
      <c r="AJ3" s="88" t="s">
        <v>757</v>
      </c>
      <c r="AK3" s="20" t="s">
        <v>721</v>
      </c>
      <c r="AM3" s="283" t="s">
        <v>756</v>
      </c>
      <c r="AN3" s="20" t="s">
        <v>757</v>
      </c>
      <c r="AO3" s="20" t="s">
        <v>758</v>
      </c>
      <c r="AP3" s="20" t="s">
        <v>721</v>
      </c>
      <c r="AR3" s="283" t="s">
        <v>756</v>
      </c>
      <c r="AS3" s="88" t="s">
        <v>757</v>
      </c>
      <c r="AT3" s="88" t="s">
        <v>758</v>
      </c>
      <c r="AU3" s="88" t="s">
        <v>721</v>
      </c>
      <c r="AW3" s="283" t="s">
        <v>756</v>
      </c>
      <c r="AX3" s="88" t="s">
        <v>757</v>
      </c>
      <c r="AY3" s="88" t="s">
        <v>758</v>
      </c>
      <c r="AZ3" s="88" t="s">
        <v>721</v>
      </c>
      <c r="BB3" s="283" t="s">
        <v>756</v>
      </c>
      <c r="BC3" s="88" t="s">
        <v>757</v>
      </c>
      <c r="BD3" s="88" t="s">
        <v>758</v>
      </c>
      <c r="BE3" s="88" t="s">
        <v>721</v>
      </c>
      <c r="BG3" s="284" t="s">
        <v>756</v>
      </c>
      <c r="BH3" s="1" t="s">
        <v>757</v>
      </c>
      <c r="BI3" s="1" t="s">
        <v>758</v>
      </c>
      <c r="BJ3" s="1" t="s">
        <v>721</v>
      </c>
      <c r="BL3" s="268" t="s">
        <v>756</v>
      </c>
      <c r="BM3" s="246" t="s">
        <v>758</v>
      </c>
      <c r="BN3" s="246" t="s">
        <v>758</v>
      </c>
      <c r="BO3" s="246" t="s">
        <v>721</v>
      </c>
      <c r="BQ3" s="315" t="s">
        <v>756</v>
      </c>
      <c r="BR3" s="245" t="s">
        <v>757</v>
      </c>
      <c r="BS3" s="245" t="s">
        <v>758</v>
      </c>
      <c r="BT3" s="245" t="s">
        <v>721</v>
      </c>
      <c r="BU3" s="3"/>
      <c r="BV3" s="315" t="s">
        <v>756</v>
      </c>
      <c r="BW3" s="245" t="s">
        <v>757</v>
      </c>
      <c r="BX3" s="245" t="s">
        <v>758</v>
      </c>
      <c r="BY3" s="245" t="s">
        <v>721</v>
      </c>
      <c r="BZ3" s="3"/>
      <c r="CA3" s="315" t="s">
        <v>756</v>
      </c>
      <c r="CB3" s="245" t="s">
        <v>757</v>
      </c>
      <c r="CC3" s="245" t="s">
        <v>758</v>
      </c>
      <c r="CD3" s="245" t="s">
        <v>721</v>
      </c>
      <c r="CF3" s="315" t="s">
        <v>756</v>
      </c>
      <c r="CG3" s="245" t="s">
        <v>757</v>
      </c>
      <c r="CH3" s="245" t="s">
        <v>758</v>
      </c>
      <c r="CI3" s="245" t="s">
        <v>721</v>
      </c>
      <c r="CK3" s="283" t="s">
        <v>756</v>
      </c>
      <c r="CL3" s="88" t="s">
        <v>757</v>
      </c>
      <c r="CM3" s="88" t="s">
        <v>758</v>
      </c>
      <c r="CN3" s="88" t="s">
        <v>721</v>
      </c>
      <c r="CP3" s="283" t="s">
        <v>756</v>
      </c>
      <c r="CQ3" s="88" t="s">
        <v>757</v>
      </c>
      <c r="CR3" s="88" t="s">
        <v>758</v>
      </c>
      <c r="CS3" s="88" t="s">
        <v>721</v>
      </c>
      <c r="CU3" s="283" t="s">
        <v>756</v>
      </c>
      <c r="CV3" s="88" t="s">
        <v>757</v>
      </c>
      <c r="CW3" s="88" t="s">
        <v>758</v>
      </c>
      <c r="CX3" s="88" t="s">
        <v>721</v>
      </c>
      <c r="CY3" s="88"/>
      <c r="CZ3" s="268" t="s">
        <v>756</v>
      </c>
      <c r="DA3" s="88" t="s">
        <v>757</v>
      </c>
      <c r="DC3" s="268" t="s">
        <v>756</v>
      </c>
      <c r="DD3" s="246" t="s">
        <v>758</v>
      </c>
      <c r="DE3" s="246" t="s">
        <v>758</v>
      </c>
      <c r="DF3" s="246" t="s">
        <v>721</v>
      </c>
      <c r="DH3" s="329" t="s">
        <v>756</v>
      </c>
      <c r="DI3" s="244" t="s">
        <v>758</v>
      </c>
      <c r="DJ3" s="244" t="s">
        <v>758</v>
      </c>
      <c r="DK3" s="244" t="s">
        <v>721</v>
      </c>
      <c r="DM3" s="311" t="s">
        <v>756</v>
      </c>
      <c r="DN3" s="105" t="s">
        <v>758</v>
      </c>
      <c r="DO3" s="105" t="s">
        <v>758</v>
      </c>
      <c r="DP3" s="105" t="s">
        <v>721</v>
      </c>
      <c r="DR3" s="311" t="s">
        <v>756</v>
      </c>
      <c r="DS3" s="105" t="s">
        <v>758</v>
      </c>
      <c r="DT3" s="105" t="s">
        <v>758</v>
      </c>
      <c r="DU3" s="105" t="s">
        <v>721</v>
      </c>
      <c r="DW3" s="311" t="s">
        <v>756</v>
      </c>
      <c r="DX3" s="105" t="s">
        <v>758</v>
      </c>
      <c r="DY3" s="105" t="s">
        <v>758</v>
      </c>
      <c r="DZ3" s="105" t="s">
        <v>721</v>
      </c>
      <c r="EB3" s="105" t="s">
        <v>702</v>
      </c>
      <c r="EC3" s="105"/>
      <c r="ED3" s="20" t="s">
        <v>756</v>
      </c>
      <c r="EE3" s="105" t="s">
        <v>758</v>
      </c>
      <c r="EF3" s="105" t="s">
        <v>758</v>
      </c>
      <c r="EG3" s="105" t="s">
        <v>721</v>
      </c>
      <c r="EI3" s="105" t="s">
        <v>758</v>
      </c>
      <c r="EJ3" s="105" t="s">
        <v>758</v>
      </c>
      <c r="EL3" s="105" t="s">
        <v>836</v>
      </c>
      <c r="EM3" s="105" t="s">
        <v>838</v>
      </c>
      <c r="EN3" s="105" t="s">
        <v>839</v>
      </c>
      <c r="EO3" s="105" t="s">
        <v>840</v>
      </c>
    </row>
    <row r="4" spans="1:145" x14ac:dyDescent="0.25">
      <c r="A4" s="341" t="s">
        <v>759</v>
      </c>
      <c r="B4" s="341"/>
      <c r="C4" s="20"/>
    </row>
    <row r="5" spans="1:145" x14ac:dyDescent="0.25">
      <c r="A5" s="8">
        <v>1997</v>
      </c>
      <c r="B5" t="s">
        <v>760</v>
      </c>
      <c r="D5" s="284">
        <f>E5*31</f>
        <v>26.381</v>
      </c>
      <c r="E5" s="1">
        <v>0.85099999999999998</v>
      </c>
      <c r="F5" s="1">
        <v>6.4909999999999997</v>
      </c>
      <c r="G5" s="1">
        <v>2</v>
      </c>
      <c r="N5" s="284">
        <f>O5*31</f>
        <v>111.197</v>
      </c>
      <c r="O5" s="1">
        <v>3.5870000000000002</v>
      </c>
      <c r="P5" s="1">
        <v>4.2549999999999999</v>
      </c>
      <c r="Q5" s="1">
        <v>6.6</v>
      </c>
      <c r="R5" s="2"/>
      <c r="S5" s="284">
        <f>T5*31</f>
        <v>98.704000000000008</v>
      </c>
      <c r="T5" s="1">
        <v>3.1840000000000002</v>
      </c>
      <c r="U5" s="1">
        <v>4.7850000000000001</v>
      </c>
      <c r="V5" s="1">
        <v>6.57</v>
      </c>
      <c r="W5" s="87"/>
      <c r="X5" s="284">
        <f>Y5*31</f>
        <v>569.81100000000004</v>
      </c>
      <c r="Y5" s="1">
        <v>18.381</v>
      </c>
      <c r="Z5" s="1">
        <v>22.49</v>
      </c>
      <c r="AA5" s="1">
        <v>26.36</v>
      </c>
      <c r="AC5" s="284">
        <f>AD5*31</f>
        <v>668.51499999999999</v>
      </c>
      <c r="AD5" s="1">
        <v>21.565000000000001</v>
      </c>
      <c r="AE5" s="1">
        <v>27.274999999999999</v>
      </c>
      <c r="AF5" s="1">
        <v>56.64</v>
      </c>
      <c r="AH5" s="284">
        <f>AI5*31</f>
        <v>1639.1559999999999</v>
      </c>
      <c r="AI5" s="1">
        <v>52.875999999999998</v>
      </c>
      <c r="AJ5" s="1">
        <v>61.09</v>
      </c>
      <c r="AK5" s="1">
        <v>184.7</v>
      </c>
      <c r="AM5" s="284">
        <f>AN5*31</f>
        <v>27.931000000000001</v>
      </c>
      <c r="AN5">
        <v>0.90100000000000002</v>
      </c>
      <c r="AO5">
        <v>0.96599999999999997</v>
      </c>
      <c r="AP5">
        <v>1.764</v>
      </c>
      <c r="AR5" s="284">
        <f>AS5*31</f>
        <v>132.30799999999999</v>
      </c>
      <c r="AS5" s="1">
        <v>4.2679999999999998</v>
      </c>
      <c r="AT5" s="1">
        <v>4.8360000000000003</v>
      </c>
      <c r="AU5" s="1">
        <v>8.0419999999999998</v>
      </c>
      <c r="AW5" s="284">
        <f>AX5*31</f>
        <v>29.047000000000001</v>
      </c>
      <c r="AX5" s="1">
        <v>0.93700000000000006</v>
      </c>
      <c r="AY5" s="1">
        <v>0.75900000000000001</v>
      </c>
      <c r="AZ5" s="1">
        <v>1.778</v>
      </c>
      <c r="BB5" s="284">
        <f>BC5*31</f>
        <v>25.605999999999998</v>
      </c>
      <c r="BC5" s="1">
        <v>0.82599999999999996</v>
      </c>
      <c r="BD5" s="1">
        <v>0.64400000000000002</v>
      </c>
      <c r="BE5" s="1">
        <v>6.8280000000000003</v>
      </c>
      <c r="BG5" s="284">
        <f>BH5*31</f>
        <v>23.001999999999999</v>
      </c>
      <c r="BH5" s="1">
        <v>0.74199999999999999</v>
      </c>
      <c r="BI5" s="1">
        <v>0.65600000000000003</v>
      </c>
      <c r="BJ5" s="1">
        <v>2.7719999999999998</v>
      </c>
      <c r="BL5" s="284">
        <f>BM5*31</f>
        <v>106.423</v>
      </c>
      <c r="BM5" s="1">
        <v>3.4329999999999998</v>
      </c>
      <c r="BN5" s="1">
        <v>3.4329999999999998</v>
      </c>
      <c r="BQ5" s="284">
        <f>BR5*31</f>
        <v>18.475999999999999</v>
      </c>
      <c r="BR5" s="1">
        <v>0.59599999999999997</v>
      </c>
      <c r="BS5" s="1">
        <v>0.46100000000000002</v>
      </c>
      <c r="BT5" s="1">
        <v>1.1619999999999999</v>
      </c>
      <c r="BV5" s="284">
        <f>BW5*31</f>
        <v>6.7270000000000003</v>
      </c>
      <c r="BW5" s="1">
        <v>0.217</v>
      </c>
      <c r="BX5" s="1">
        <v>0.189</v>
      </c>
      <c r="BY5" s="1">
        <v>0.53900000000000003</v>
      </c>
      <c r="CA5" s="284">
        <f>CB5*31</f>
        <v>21.266000000000002</v>
      </c>
      <c r="CB5" s="1">
        <v>0.68600000000000005</v>
      </c>
      <c r="CC5" s="1">
        <v>0.47099999999999997</v>
      </c>
      <c r="CF5" s="284">
        <f>CG5*31</f>
        <v>47.492000000000004</v>
      </c>
      <c r="CG5" s="1">
        <v>1.532</v>
      </c>
      <c r="CH5" s="1">
        <v>1.532</v>
      </c>
      <c r="CK5" s="284">
        <f>CL5*31</f>
        <v>176.57599999999999</v>
      </c>
      <c r="CL5" s="1">
        <v>5.6959999999999997</v>
      </c>
      <c r="CM5" s="1">
        <v>5.9939999999999998</v>
      </c>
      <c r="CN5" s="1">
        <v>14.55</v>
      </c>
      <c r="CP5" s="284">
        <f>CQ5*31</f>
        <v>368.09399999999999</v>
      </c>
      <c r="CQ5" s="1">
        <v>11.874000000000001</v>
      </c>
      <c r="CR5" s="1">
        <v>13.923</v>
      </c>
      <c r="CS5" s="1">
        <v>23.3</v>
      </c>
      <c r="CU5" s="284">
        <f>CV5*31</f>
        <v>107.322</v>
      </c>
      <c r="CV5" s="1">
        <v>3.4620000000000002</v>
      </c>
      <c r="CW5" s="1">
        <v>4.0350000000000001</v>
      </c>
      <c r="CX5" s="1">
        <v>5.8</v>
      </c>
      <c r="CZ5" s="269">
        <f>DA5*31</f>
        <v>20.305</v>
      </c>
      <c r="DA5" s="1">
        <v>0.65500000000000003</v>
      </c>
      <c r="DC5" s="284">
        <f>DD5*31</f>
        <v>11.500999999999999</v>
      </c>
      <c r="DD5" s="1">
        <v>0.371</v>
      </c>
      <c r="DE5" s="1">
        <v>0.36699999999999999</v>
      </c>
      <c r="DH5" s="299">
        <f>DI5*31</f>
        <v>93.960999999999999</v>
      </c>
      <c r="DI5" s="5">
        <f t="shared" ref="DI5:DI39" si="0">SUM(BR5+BW5+CB5+CG5)</f>
        <v>3.0310000000000001</v>
      </c>
      <c r="DJ5" s="1">
        <f t="shared" ref="DJ5:DJ39" si="1">SUM(BS5+BX5+CC5+CH5)</f>
        <v>2.653</v>
      </c>
      <c r="DM5" s="284">
        <f>DN5*31</f>
        <v>2695.6049999999996</v>
      </c>
      <c r="DN5" s="1">
        <f t="shared" ref="DN5:DN39" si="2">SUM(E5+O5+AD5+AI5+AN5+AS5+AX5+BC5+BH5+BM5-DI5)</f>
        <v>86.954999999999984</v>
      </c>
      <c r="DO5" s="1">
        <f t="shared" ref="DO5:DO39" si="3">SUM(F5+P5+AE5+AJ5+AO5+AT5+AY5+BD5+BI5+BN5-DJ5)</f>
        <v>107.752</v>
      </c>
      <c r="DP5" s="1"/>
      <c r="DQ5" s="1"/>
      <c r="DR5" s="284">
        <f>DS5*31</f>
        <v>683.798</v>
      </c>
      <c r="DS5" s="1">
        <f t="shared" ref="DS5:DS36" si="4">SUM(CL5+CQ5+CV5+DA5+DD5)</f>
        <v>22.058</v>
      </c>
      <c r="DT5" s="1" t="e">
        <f>SUM(CM5+CR5+CW5+#REF!+DE5)</f>
        <v>#REF!</v>
      </c>
      <c r="DU5" s="1"/>
      <c r="DW5" s="284">
        <f>DX5*31</f>
        <v>3379.4029999999993</v>
      </c>
      <c r="DX5" s="1">
        <f>SUM(DN5+DS5)</f>
        <v>109.01299999999998</v>
      </c>
      <c r="DY5" s="1" t="e">
        <f>SUM(DO5+DT5)</f>
        <v>#REF!</v>
      </c>
      <c r="EL5">
        <v>1997</v>
      </c>
      <c r="EM5" t="s">
        <v>760</v>
      </c>
      <c r="EN5" t="s">
        <v>841</v>
      </c>
      <c r="EO5">
        <v>26.381</v>
      </c>
    </row>
    <row r="6" spans="1:145" x14ac:dyDescent="0.25">
      <c r="A6" s="8">
        <v>1997</v>
      </c>
      <c r="B6" t="s">
        <v>761</v>
      </c>
      <c r="D6" s="284">
        <f>E6*30</f>
        <v>28.68</v>
      </c>
      <c r="E6" s="1">
        <v>0.95599999999999996</v>
      </c>
      <c r="F6" s="1">
        <v>5.6609999999999996</v>
      </c>
      <c r="G6" s="1">
        <v>2.8</v>
      </c>
      <c r="N6" s="284">
        <f>O6*30</f>
        <v>107.88</v>
      </c>
      <c r="O6" s="1">
        <v>3.5960000000000001</v>
      </c>
      <c r="P6" s="1">
        <v>4.1529999999999996</v>
      </c>
      <c r="Q6" s="1">
        <v>6.6</v>
      </c>
      <c r="R6" s="2"/>
      <c r="S6" s="284">
        <f>T6*30</f>
        <v>112.32000000000001</v>
      </c>
      <c r="T6" s="1">
        <v>3.7440000000000002</v>
      </c>
      <c r="U6" s="1">
        <v>4.665</v>
      </c>
      <c r="V6" s="1">
        <v>6.57</v>
      </c>
      <c r="W6" s="87"/>
      <c r="X6" s="284">
        <f>Y6*30</f>
        <v>600.09</v>
      </c>
      <c r="Y6" s="1">
        <v>20.003</v>
      </c>
      <c r="Z6" s="1">
        <v>22.280999999999999</v>
      </c>
      <c r="AA6" s="1">
        <v>30.46</v>
      </c>
      <c r="AC6" s="284">
        <f>AD6*30</f>
        <v>712.41</v>
      </c>
      <c r="AD6" s="1">
        <v>23.747</v>
      </c>
      <c r="AE6" s="1">
        <v>26.946000000000002</v>
      </c>
      <c r="AF6" s="1">
        <v>32.93</v>
      </c>
      <c r="AH6" s="284">
        <f>AI6*30</f>
        <v>1792.02</v>
      </c>
      <c r="AI6" s="1">
        <v>59.734000000000002</v>
      </c>
      <c r="AJ6" s="1">
        <v>60.948</v>
      </c>
      <c r="AK6" s="1">
        <v>132.69999999999999</v>
      </c>
      <c r="AM6" s="284">
        <f>AN6*30</f>
        <v>34.26</v>
      </c>
      <c r="AN6">
        <v>1.1419999999999999</v>
      </c>
      <c r="AO6">
        <v>0.99299999999999999</v>
      </c>
      <c r="AP6">
        <v>1.764</v>
      </c>
      <c r="AR6" s="284">
        <f>AS6*30</f>
        <v>152.85</v>
      </c>
      <c r="AS6" s="1">
        <v>5.0949999999999998</v>
      </c>
      <c r="AT6" s="1">
        <v>4.8570000000000002</v>
      </c>
      <c r="AU6" s="1">
        <v>8.0419999999999998</v>
      </c>
      <c r="AW6" s="284">
        <f>AX6*30</f>
        <v>37.709999999999994</v>
      </c>
      <c r="AX6" s="1">
        <v>1.2569999999999999</v>
      </c>
      <c r="AY6" s="1">
        <v>0.86399999999999999</v>
      </c>
      <c r="AZ6" s="1">
        <v>1.778</v>
      </c>
      <c r="BB6" s="284">
        <f>BC6*30</f>
        <v>27.66</v>
      </c>
      <c r="BC6" s="1">
        <v>0.92200000000000004</v>
      </c>
      <c r="BD6" s="1">
        <v>0.72099999999999997</v>
      </c>
      <c r="BE6" s="1">
        <v>6.8280000000000003</v>
      </c>
      <c r="BG6" s="284">
        <f>BH6*30</f>
        <v>24.84</v>
      </c>
      <c r="BH6" s="1">
        <v>0.82799999999999996</v>
      </c>
      <c r="BI6" s="1">
        <v>0.72499999999999998</v>
      </c>
      <c r="BJ6" s="1">
        <v>2.7719999999999998</v>
      </c>
      <c r="BL6" s="284">
        <f>BM6*30</f>
        <v>102.99</v>
      </c>
      <c r="BM6" s="1">
        <v>3.4329999999999998</v>
      </c>
      <c r="BN6" s="1">
        <v>3.4329999999999998</v>
      </c>
      <c r="BQ6" s="284">
        <f>BR6*30</f>
        <v>18.600000000000001</v>
      </c>
      <c r="BR6" s="1">
        <v>0.62</v>
      </c>
      <c r="BS6" s="1">
        <v>0.51300000000000001</v>
      </c>
      <c r="BT6" s="1">
        <v>1.1619999999999999</v>
      </c>
      <c r="BV6" s="284">
        <f>BW6*30</f>
        <v>8.2800000000000011</v>
      </c>
      <c r="BW6" s="1">
        <v>0.27600000000000002</v>
      </c>
      <c r="BX6" s="1">
        <v>0.21199999999999999</v>
      </c>
      <c r="BY6" s="1">
        <v>1.39</v>
      </c>
      <c r="CA6" s="284">
        <f>CB6*30</f>
        <v>17.399999999999999</v>
      </c>
      <c r="CB6" s="1">
        <v>0.57999999999999996</v>
      </c>
      <c r="CC6" s="1">
        <v>0.51900000000000002</v>
      </c>
      <c r="CF6" s="284">
        <f>CG6*30</f>
        <v>45.96</v>
      </c>
      <c r="CG6" s="1">
        <v>1.532</v>
      </c>
      <c r="CH6" s="1">
        <v>1.532</v>
      </c>
      <c r="CK6" s="284">
        <f>CL6*30</f>
        <v>224.85</v>
      </c>
      <c r="CL6" s="1">
        <v>7.4950000000000001</v>
      </c>
      <c r="CM6" s="1">
        <v>6.2930000000000001</v>
      </c>
      <c r="CN6" s="1">
        <v>14.55</v>
      </c>
      <c r="CP6" s="284">
        <f>CQ6*30</f>
        <v>400.74</v>
      </c>
      <c r="CQ6" s="1">
        <v>13.358000000000001</v>
      </c>
      <c r="CR6" s="1">
        <v>13.787000000000001</v>
      </c>
      <c r="CS6" s="1">
        <v>23.3</v>
      </c>
      <c r="CU6" s="284">
        <f>CV6*30</f>
        <v>116.39999999999999</v>
      </c>
      <c r="CV6" s="1">
        <v>3.88</v>
      </c>
      <c r="CW6" s="1">
        <v>3.9980000000000002</v>
      </c>
      <c r="CX6" s="1">
        <v>5.8</v>
      </c>
      <c r="CZ6" s="269">
        <f>DA6*30</f>
        <v>23.01</v>
      </c>
      <c r="DA6" s="1">
        <v>0.76700000000000002</v>
      </c>
      <c r="DC6" s="284">
        <f>DD6*30</f>
        <v>11.129999999999999</v>
      </c>
      <c r="DD6" s="1">
        <v>0.371</v>
      </c>
      <c r="DE6" s="1">
        <v>0.36799999999999999</v>
      </c>
      <c r="DH6" s="284">
        <f>DI6*30</f>
        <v>90.24</v>
      </c>
      <c r="DI6" s="5">
        <f t="shared" si="0"/>
        <v>3.008</v>
      </c>
      <c r="DJ6" s="1">
        <f t="shared" si="1"/>
        <v>2.7759999999999998</v>
      </c>
      <c r="DM6" s="284">
        <f>DN6*30</f>
        <v>2931.0600000000004</v>
      </c>
      <c r="DN6" s="1">
        <f t="shared" si="2"/>
        <v>97.702000000000012</v>
      </c>
      <c r="DO6" s="1">
        <f t="shared" si="3"/>
        <v>106.52499999999999</v>
      </c>
      <c r="DP6" s="1"/>
      <c r="DQ6" s="1"/>
      <c r="DR6" s="284">
        <f>DS6*30</f>
        <v>776.13</v>
      </c>
      <c r="DS6" s="1">
        <f t="shared" si="4"/>
        <v>25.870999999999999</v>
      </c>
      <c r="DT6" s="1" t="e">
        <f>SUM(CM6+CR6+CW6+#REF!+DE6)</f>
        <v>#REF!</v>
      </c>
      <c r="DU6" s="1"/>
      <c r="DW6" s="284">
        <f>DX6*30</f>
        <v>3707.19</v>
      </c>
      <c r="DX6" s="1">
        <f t="shared" ref="DX6:DX17" si="5">SUM(DN6+DS6)</f>
        <v>123.57300000000001</v>
      </c>
      <c r="DY6" s="1" t="e">
        <f t="shared" ref="DY6:DY17" si="6">SUM(DO6+DT6)</f>
        <v>#REF!</v>
      </c>
      <c r="EL6">
        <v>1997</v>
      </c>
      <c r="EM6" t="s">
        <v>761</v>
      </c>
      <c r="EN6" t="s">
        <v>841</v>
      </c>
      <c r="EO6">
        <v>28.68</v>
      </c>
    </row>
    <row r="7" spans="1:145" x14ac:dyDescent="0.25">
      <c r="A7" s="8">
        <v>1997</v>
      </c>
      <c r="B7" t="s">
        <v>762</v>
      </c>
      <c r="D7" s="284">
        <f>E7*31</f>
        <v>14.074</v>
      </c>
      <c r="E7" s="1">
        <v>0.45400000000000001</v>
      </c>
      <c r="F7" s="1">
        <v>4.7480000000000002</v>
      </c>
      <c r="G7" s="1">
        <v>1</v>
      </c>
      <c r="N7" s="284">
        <f>O7*31</f>
        <v>103.509</v>
      </c>
      <c r="O7" s="1">
        <v>3.339</v>
      </c>
      <c r="P7" s="1">
        <v>4.0359999999999996</v>
      </c>
      <c r="Q7" s="1">
        <v>6</v>
      </c>
      <c r="R7" s="2"/>
      <c r="S7" s="284">
        <f>T7*31</f>
        <v>101.339</v>
      </c>
      <c r="T7" s="1">
        <v>3.2690000000000001</v>
      </c>
      <c r="U7" s="1">
        <v>4.4139999999999997</v>
      </c>
      <c r="V7" s="1">
        <v>5.81</v>
      </c>
      <c r="W7" s="87"/>
      <c r="X7" s="284">
        <f>Y7*31</f>
        <v>603.07400000000007</v>
      </c>
      <c r="Y7" s="1">
        <v>19.454000000000001</v>
      </c>
      <c r="Z7" s="1">
        <v>21.754000000000001</v>
      </c>
      <c r="AA7" s="1">
        <v>25.33</v>
      </c>
      <c r="AC7" s="284">
        <f>AD7*31</f>
        <v>704.38200000000006</v>
      </c>
      <c r="AD7" s="1">
        <v>22.722000000000001</v>
      </c>
      <c r="AE7" s="1">
        <v>26.167999999999999</v>
      </c>
      <c r="AF7" s="1">
        <v>31.14</v>
      </c>
      <c r="AH7" s="284">
        <f>AI7*31</f>
        <v>1671.6130000000001</v>
      </c>
      <c r="AI7" s="1">
        <v>53.923000000000002</v>
      </c>
      <c r="AJ7" s="1">
        <v>59.332999999999998</v>
      </c>
      <c r="AK7" s="1">
        <v>107.6</v>
      </c>
      <c r="AM7" s="284">
        <f>AN7*31</f>
        <v>31.123999999999999</v>
      </c>
      <c r="AN7" s="1">
        <v>1.004</v>
      </c>
      <c r="AO7" s="1">
        <v>0.92</v>
      </c>
      <c r="AP7">
        <v>1.514</v>
      </c>
      <c r="AR7" s="284">
        <f>AS7*31</f>
        <v>139.376</v>
      </c>
      <c r="AS7" s="1">
        <v>4.4960000000000004</v>
      </c>
      <c r="AT7" s="1">
        <v>4.75</v>
      </c>
      <c r="AU7" s="1">
        <v>6.4649999999999999</v>
      </c>
      <c r="AW7" s="284">
        <f>AX7*31</f>
        <v>38.780999999999999</v>
      </c>
      <c r="AX7" s="1">
        <v>1.2509999999999999</v>
      </c>
      <c r="AY7" s="1">
        <v>0.96799999999999997</v>
      </c>
      <c r="AZ7" s="1">
        <v>1.7130000000000001</v>
      </c>
      <c r="BB7" s="284">
        <f>BC7*31</f>
        <v>26.783999999999999</v>
      </c>
      <c r="BC7" s="1">
        <v>0.86399999999999999</v>
      </c>
      <c r="BD7" s="1">
        <v>0.79300000000000004</v>
      </c>
      <c r="BE7" s="1">
        <v>1.5880000000000001</v>
      </c>
      <c r="BG7" s="284">
        <f>BH7*31</f>
        <v>21.792999999999999</v>
      </c>
      <c r="BH7" s="1">
        <v>0.70299999999999996</v>
      </c>
      <c r="BI7" s="1">
        <v>0.78400000000000003</v>
      </c>
      <c r="BJ7" s="1">
        <v>2.4820000000000002</v>
      </c>
      <c r="BL7" s="284">
        <f t="shared" ref="BL7:BL15" si="7">BM7*31</f>
        <v>106.423</v>
      </c>
      <c r="BM7" s="1">
        <v>3.4329999999999998</v>
      </c>
      <c r="BN7" s="1">
        <v>3.4329999999999998</v>
      </c>
      <c r="BQ7" s="284">
        <f>BR7*31</f>
        <v>18.041999999999998</v>
      </c>
      <c r="BR7" s="1">
        <v>0.58199999999999996</v>
      </c>
      <c r="BS7" s="1">
        <v>0.56100000000000005</v>
      </c>
      <c r="BT7" s="1">
        <v>1.1619999999999999</v>
      </c>
      <c r="BV7" s="284">
        <f>BW7*31</f>
        <v>6.0449999999999999</v>
      </c>
      <c r="BW7" s="1">
        <v>0.19500000000000001</v>
      </c>
      <c r="BX7" s="1">
        <v>0.22800000000000001</v>
      </c>
      <c r="BY7" s="1">
        <v>0.374</v>
      </c>
      <c r="CA7" s="284">
        <f>CB7*31</f>
        <v>15.872</v>
      </c>
      <c r="CB7" s="1">
        <v>0.51200000000000001</v>
      </c>
      <c r="CC7" s="1">
        <v>0.56200000000000006</v>
      </c>
      <c r="CD7" s="1">
        <v>0.82799999999999996</v>
      </c>
      <c r="CF7" s="284">
        <f t="shared" ref="CF7:CF15" si="8">CG7*31</f>
        <v>47.492000000000004</v>
      </c>
      <c r="CG7" s="1">
        <v>1.532</v>
      </c>
      <c r="CH7" s="1">
        <v>1.532</v>
      </c>
      <c r="CK7" s="284">
        <f>CL7*31</f>
        <v>198.27600000000001</v>
      </c>
      <c r="CL7" s="1">
        <v>6.3959999999999999</v>
      </c>
      <c r="CM7" s="1">
        <v>6.415</v>
      </c>
      <c r="CN7" s="1">
        <v>12.96</v>
      </c>
      <c r="CP7" s="284">
        <f>CQ7*31</f>
        <v>390.166</v>
      </c>
      <c r="CQ7" s="1">
        <v>12.586</v>
      </c>
      <c r="CR7" s="1">
        <v>13.445</v>
      </c>
      <c r="CS7" s="1">
        <v>22.4</v>
      </c>
      <c r="CU7" s="284">
        <f>CV7*31</f>
        <v>116.002</v>
      </c>
      <c r="CV7" s="1">
        <v>3.742</v>
      </c>
      <c r="CW7" s="1">
        <v>3.9169999999999998</v>
      </c>
      <c r="CX7" s="1">
        <v>6</v>
      </c>
      <c r="CZ7" s="269">
        <f>DA7*31</f>
        <v>22.536999999999999</v>
      </c>
      <c r="DA7" s="1">
        <v>0.72699999999999998</v>
      </c>
      <c r="DC7" s="284">
        <f>DD7*31</f>
        <v>11.500999999999999</v>
      </c>
      <c r="DD7" s="1">
        <v>0.371</v>
      </c>
      <c r="DE7" s="1">
        <v>0.37</v>
      </c>
      <c r="DH7" s="299">
        <f>DI7*31</f>
        <v>87.450999999999993</v>
      </c>
      <c r="DI7" s="5">
        <f t="shared" si="0"/>
        <v>2.8209999999999997</v>
      </c>
      <c r="DJ7" s="1">
        <f t="shared" si="1"/>
        <v>2.883</v>
      </c>
      <c r="DM7" s="284">
        <f>DN7*31</f>
        <v>2770.4080000000008</v>
      </c>
      <c r="DN7" s="1">
        <f t="shared" si="2"/>
        <v>89.368000000000023</v>
      </c>
      <c r="DO7" s="1">
        <f t="shared" si="3"/>
        <v>103.05000000000003</v>
      </c>
      <c r="DP7" s="1"/>
      <c r="DQ7" s="1"/>
      <c r="DR7" s="284">
        <f t="shared" ref="DR7:DR15" si="9">DS7*31</f>
        <v>738.48199999999997</v>
      </c>
      <c r="DS7" s="1">
        <f t="shared" si="4"/>
        <v>23.821999999999999</v>
      </c>
      <c r="DT7" s="1" t="e">
        <f>SUM(CM7+CR7+CW7+#REF!+DE7)</f>
        <v>#REF!</v>
      </c>
      <c r="DU7" s="1"/>
      <c r="DW7" s="284">
        <f t="shared" ref="DW7:DW15" si="10">DX7*31</f>
        <v>3508.8900000000008</v>
      </c>
      <c r="DX7" s="1">
        <f t="shared" si="5"/>
        <v>113.19000000000003</v>
      </c>
      <c r="DY7" s="1" t="e">
        <f t="shared" si="6"/>
        <v>#REF!</v>
      </c>
      <c r="ED7" s="1">
        <f>EE7*92</f>
        <v>2200.364</v>
      </c>
      <c r="EE7" s="1">
        <f>AVERAGE(DS5:DS7)</f>
        <v>23.917000000000002</v>
      </c>
      <c r="EL7">
        <v>1997</v>
      </c>
      <c r="EM7" t="s">
        <v>762</v>
      </c>
      <c r="EN7" t="s">
        <v>841</v>
      </c>
      <c r="EO7">
        <v>14.074</v>
      </c>
    </row>
    <row r="8" spans="1:145" x14ac:dyDescent="0.25">
      <c r="A8" s="8">
        <v>1998</v>
      </c>
      <c r="B8" t="s">
        <v>763</v>
      </c>
      <c r="D8" s="284">
        <f>E8*31</f>
        <v>16.43</v>
      </c>
      <c r="E8" s="1">
        <v>0.53</v>
      </c>
      <c r="F8" s="1">
        <v>3.8570000000000002</v>
      </c>
      <c r="G8" s="1">
        <v>9.1999999999999993</v>
      </c>
      <c r="N8" s="284">
        <f>O8*31</f>
        <v>111.197</v>
      </c>
      <c r="O8" s="1">
        <v>3.5870000000000002</v>
      </c>
      <c r="P8" s="1">
        <v>3.9790000000000001</v>
      </c>
      <c r="Q8" s="1">
        <v>9.6</v>
      </c>
      <c r="R8" s="2"/>
      <c r="S8" s="284">
        <f>T8*31</f>
        <v>127.193</v>
      </c>
      <c r="T8" s="1">
        <v>4.1029999999999998</v>
      </c>
      <c r="U8" s="1">
        <v>4.319</v>
      </c>
      <c r="V8" s="1">
        <v>10.92</v>
      </c>
      <c r="W8" s="87"/>
      <c r="X8" s="284">
        <f>Y8*31</f>
        <v>647.15600000000006</v>
      </c>
      <c r="Y8" s="1">
        <v>20.876000000000001</v>
      </c>
      <c r="Z8" s="1">
        <v>21.527999999999999</v>
      </c>
      <c r="AA8" s="1">
        <v>32.47</v>
      </c>
      <c r="AC8" s="284">
        <f>AD8*31</f>
        <v>774.34899999999993</v>
      </c>
      <c r="AD8" s="1">
        <f t="shared" ref="AD8:AD17" si="11">SUM(T8+Y8)</f>
        <v>24.978999999999999</v>
      </c>
      <c r="AE8" s="1">
        <v>25.847999999999999</v>
      </c>
      <c r="AF8" s="1">
        <v>43.39</v>
      </c>
      <c r="AH8" s="284">
        <f>AI8*31</f>
        <v>1910.53</v>
      </c>
      <c r="AI8" s="1">
        <v>61.63</v>
      </c>
      <c r="AJ8" s="1">
        <v>59.216000000000001</v>
      </c>
      <c r="AK8" s="1">
        <v>198</v>
      </c>
      <c r="AM8" s="284">
        <f>AN8*31</f>
        <v>37.199999999999996</v>
      </c>
      <c r="AN8" s="1">
        <v>1.2</v>
      </c>
      <c r="AO8" s="1">
        <v>1.0229999999999999</v>
      </c>
      <c r="AP8" s="1">
        <v>3.0089999999999999</v>
      </c>
      <c r="AR8" s="284">
        <f>AS8*31</f>
        <v>155.49600000000001</v>
      </c>
      <c r="AS8" s="1">
        <v>5.016</v>
      </c>
      <c r="AT8" s="1">
        <v>4.742</v>
      </c>
      <c r="AU8" s="1">
        <v>17.097999999999999</v>
      </c>
      <c r="AW8" s="284">
        <f>AX8*31</f>
        <v>44.454000000000001</v>
      </c>
      <c r="AX8" s="1">
        <v>1.4339999999999999</v>
      </c>
      <c r="AY8" s="1">
        <v>1.0880000000000001</v>
      </c>
      <c r="AZ8" s="1">
        <v>3.5289999999999999</v>
      </c>
      <c r="BB8" s="284">
        <f>BC8*31</f>
        <v>28.954000000000001</v>
      </c>
      <c r="BC8" s="1">
        <v>0.93400000000000005</v>
      </c>
      <c r="BD8" s="1">
        <v>0.871</v>
      </c>
      <c r="BE8" s="1">
        <v>2.6880000000000002</v>
      </c>
      <c r="BG8" s="284">
        <f>BH8*31</f>
        <v>28.272000000000002</v>
      </c>
      <c r="BH8" s="1">
        <v>0.91200000000000003</v>
      </c>
      <c r="BI8" s="1">
        <v>0.86</v>
      </c>
      <c r="BJ8" s="1">
        <v>4.4820000000000002</v>
      </c>
      <c r="BL8" s="284">
        <f t="shared" si="7"/>
        <v>106.423</v>
      </c>
      <c r="BM8" s="1">
        <v>3.4329999999999998</v>
      </c>
      <c r="BN8" s="1">
        <v>3.4329999999999998</v>
      </c>
      <c r="BQ8" s="284">
        <f>BR8*31</f>
        <v>18.972000000000001</v>
      </c>
      <c r="BR8" s="1">
        <v>0.61199999999999999</v>
      </c>
      <c r="BS8" s="1">
        <v>0.61199999999999999</v>
      </c>
      <c r="BT8" s="1">
        <v>2.0739999999999998</v>
      </c>
      <c r="BV8" s="284">
        <f>BW8*31</f>
        <v>9.4239999999999995</v>
      </c>
      <c r="BW8" s="1">
        <v>0.30399999999999999</v>
      </c>
      <c r="BX8" s="1">
        <v>0.254</v>
      </c>
      <c r="BY8" s="1">
        <v>1.06</v>
      </c>
      <c r="CA8" s="284">
        <f>CB8*31</f>
        <v>18.166</v>
      </c>
      <c r="CB8" s="1">
        <v>0.58599999999999997</v>
      </c>
      <c r="CC8" s="1">
        <v>0.61</v>
      </c>
      <c r="CD8" s="1">
        <v>1.6379999999999999</v>
      </c>
      <c r="CF8" s="284">
        <f t="shared" si="8"/>
        <v>47.492000000000004</v>
      </c>
      <c r="CG8" s="1">
        <v>1.532</v>
      </c>
      <c r="CH8" s="1">
        <v>1.532</v>
      </c>
      <c r="CK8" s="284">
        <f>CL8*31</f>
        <v>268.42900000000003</v>
      </c>
      <c r="CL8" s="1">
        <v>8.6590000000000007</v>
      </c>
      <c r="CM8" s="1">
        <v>6.8029999999999999</v>
      </c>
      <c r="CN8" s="1">
        <v>25.53</v>
      </c>
      <c r="CP8" s="284">
        <f>CQ8*31</f>
        <v>431.27200000000005</v>
      </c>
      <c r="CQ8" s="1">
        <v>13.912000000000001</v>
      </c>
      <c r="CR8" s="1">
        <v>13.393000000000001</v>
      </c>
      <c r="CS8" s="1">
        <v>23</v>
      </c>
      <c r="CU8" s="284">
        <f>CV8*31</f>
        <v>127.47200000000001</v>
      </c>
      <c r="CV8" s="1">
        <v>4.1120000000000001</v>
      </c>
      <c r="CW8" s="1">
        <v>3.907</v>
      </c>
      <c r="CX8" s="1">
        <v>8.1999999999999993</v>
      </c>
      <c r="CZ8" s="269">
        <f>DA8*31</f>
        <v>26.535999999999998</v>
      </c>
      <c r="DA8" s="1">
        <v>0.85599999999999998</v>
      </c>
      <c r="DC8" s="284">
        <f>DD8*31</f>
        <v>11.718</v>
      </c>
      <c r="DD8" s="1">
        <v>0.378</v>
      </c>
      <c r="DE8" s="1">
        <v>0.372</v>
      </c>
      <c r="DH8" s="299">
        <f>DI8*31</f>
        <v>94.053999999999988</v>
      </c>
      <c r="DI8" s="5">
        <f t="shared" si="0"/>
        <v>3.0339999999999998</v>
      </c>
      <c r="DJ8" s="1">
        <f t="shared" si="1"/>
        <v>3.008</v>
      </c>
      <c r="DM8" s="284">
        <f>DN8*31</f>
        <v>3119.2509999999997</v>
      </c>
      <c r="DN8" s="1">
        <f t="shared" si="2"/>
        <v>100.621</v>
      </c>
      <c r="DO8" s="1">
        <f t="shared" si="3"/>
        <v>101.90900000000001</v>
      </c>
      <c r="DP8" s="1"/>
      <c r="DQ8" s="1"/>
      <c r="DR8" s="284">
        <f t="shared" si="9"/>
        <v>865.42700000000002</v>
      </c>
      <c r="DS8" s="1">
        <f t="shared" si="4"/>
        <v>27.917000000000002</v>
      </c>
      <c r="DT8" s="1" t="e">
        <f>SUM(CM8+CR8+CW8+#REF!+DE8)</f>
        <v>#REF!</v>
      </c>
      <c r="DU8" s="1"/>
      <c r="DW8" s="284">
        <f t="shared" si="10"/>
        <v>3984.6780000000003</v>
      </c>
      <c r="DX8" s="1">
        <f t="shared" si="5"/>
        <v>128.53800000000001</v>
      </c>
      <c r="DY8" s="1" t="e">
        <f t="shared" si="6"/>
        <v>#REF!</v>
      </c>
      <c r="ED8" s="1"/>
      <c r="EE8" s="1"/>
      <c r="EL8">
        <v>1998</v>
      </c>
      <c r="EM8" t="s">
        <v>763</v>
      </c>
      <c r="EN8" t="s">
        <v>841</v>
      </c>
      <c r="EO8">
        <v>16.43</v>
      </c>
    </row>
    <row r="9" spans="1:145" x14ac:dyDescent="0.25">
      <c r="A9" s="8">
        <v>1998</v>
      </c>
      <c r="B9" t="s">
        <v>764</v>
      </c>
      <c r="D9" s="284">
        <f>E9*28</f>
        <v>19.655999999999999</v>
      </c>
      <c r="E9" s="1">
        <v>0.70199999999999996</v>
      </c>
      <c r="F9" s="1">
        <v>2.923</v>
      </c>
      <c r="G9" s="1">
        <v>3</v>
      </c>
      <c r="N9" s="284">
        <f>O9*28</f>
        <v>121.04400000000001</v>
      </c>
      <c r="O9" s="1">
        <v>4.3230000000000004</v>
      </c>
      <c r="P9" s="1">
        <v>3.96</v>
      </c>
      <c r="Q9" s="1">
        <v>9.6</v>
      </c>
      <c r="R9" s="2"/>
      <c r="S9" s="284">
        <f>T9*28</f>
        <v>157.33199999999999</v>
      </c>
      <c r="T9" s="1">
        <v>5.6189999999999998</v>
      </c>
      <c r="U9" s="1">
        <v>4.2160000000000002</v>
      </c>
      <c r="V9" s="1">
        <v>10.92</v>
      </c>
      <c r="W9" s="87"/>
      <c r="X9" s="284">
        <f>Y9*28</f>
        <v>702.57600000000002</v>
      </c>
      <c r="Y9" s="1">
        <v>25.091999999999999</v>
      </c>
      <c r="Z9" s="1">
        <v>21.542999999999999</v>
      </c>
      <c r="AA9" s="1">
        <v>32.47</v>
      </c>
      <c r="AC9" s="284">
        <f>AD9*28</f>
        <v>859.9079999999999</v>
      </c>
      <c r="AD9" s="1">
        <f t="shared" si="11"/>
        <v>30.710999999999999</v>
      </c>
      <c r="AE9" s="1">
        <v>25.759</v>
      </c>
      <c r="AF9" s="1">
        <v>43.39</v>
      </c>
      <c r="AH9" s="284">
        <f>AI9*28</f>
        <v>2048.34</v>
      </c>
      <c r="AI9" s="1">
        <v>73.155000000000001</v>
      </c>
      <c r="AJ9" s="1">
        <v>59.58</v>
      </c>
      <c r="AK9" s="1">
        <v>198</v>
      </c>
      <c r="AM9" s="284">
        <f>AN9*28</f>
        <v>41.468000000000004</v>
      </c>
      <c r="AN9" s="1">
        <v>1.4810000000000001</v>
      </c>
      <c r="AO9" s="1">
        <v>1.069</v>
      </c>
      <c r="AP9" s="1">
        <v>3.8090000000000002</v>
      </c>
      <c r="AR9" s="284">
        <f>AS9*28</f>
        <v>175.72800000000001</v>
      </c>
      <c r="AS9" s="1">
        <v>6.2759999999999998</v>
      </c>
      <c r="AT9" s="1">
        <v>4.8079999999999998</v>
      </c>
      <c r="AU9" s="1">
        <v>17.097999999999999</v>
      </c>
      <c r="AW9" s="284">
        <f>AX9*28</f>
        <v>39.676000000000002</v>
      </c>
      <c r="AX9" s="1">
        <v>1.417</v>
      </c>
      <c r="AY9" s="1">
        <v>1.1180000000000001</v>
      </c>
      <c r="AZ9" s="1">
        <v>3.5289999999999999</v>
      </c>
      <c r="BB9" s="284">
        <f>BC9*28</f>
        <v>30.043999999999997</v>
      </c>
      <c r="BC9" s="1">
        <v>1.073</v>
      </c>
      <c r="BD9" s="1">
        <v>0.877</v>
      </c>
      <c r="BE9" s="1">
        <v>2.6880000000000002</v>
      </c>
      <c r="BG9" s="284">
        <f>BH9*28</f>
        <v>26.012</v>
      </c>
      <c r="BH9" s="1">
        <v>0.92900000000000005</v>
      </c>
      <c r="BI9" s="1">
        <v>0.84699999999999998</v>
      </c>
      <c r="BJ9" s="1">
        <v>4.4820000000000002</v>
      </c>
      <c r="BL9" s="284">
        <f>BM9*28</f>
        <v>96.123999999999995</v>
      </c>
      <c r="BM9" s="1">
        <v>3.4329999999999998</v>
      </c>
      <c r="BN9" s="1">
        <v>3.4329999999999998</v>
      </c>
      <c r="BQ9" s="284">
        <f>BR9*28</f>
        <v>15.568000000000001</v>
      </c>
      <c r="BR9" s="1">
        <v>0.55600000000000005</v>
      </c>
      <c r="BS9" s="1">
        <v>0.61199999999999999</v>
      </c>
      <c r="BT9" s="1">
        <v>2.0739999999999998</v>
      </c>
      <c r="BV9" s="284">
        <f>BW9*28</f>
        <v>12.46</v>
      </c>
      <c r="BW9" s="1">
        <v>0.44500000000000001</v>
      </c>
      <c r="BX9" s="1">
        <v>0.26200000000000001</v>
      </c>
      <c r="BY9" s="1">
        <v>1.86</v>
      </c>
      <c r="CA9" s="284">
        <f>CB9*28</f>
        <v>20.327999999999999</v>
      </c>
      <c r="CB9" s="1">
        <v>0.72599999999999998</v>
      </c>
      <c r="CC9" s="1">
        <v>0.50800000000000001</v>
      </c>
      <c r="CD9" s="1">
        <v>1.63</v>
      </c>
      <c r="CF9" s="284">
        <f>CG9*28</f>
        <v>42.896000000000001</v>
      </c>
      <c r="CG9" s="1">
        <v>1.532</v>
      </c>
      <c r="CH9" s="1">
        <v>1.532</v>
      </c>
      <c r="CK9" s="284">
        <f>CL9*28</f>
        <v>361.59199999999998</v>
      </c>
      <c r="CL9" s="1">
        <v>12.914</v>
      </c>
      <c r="CM9" s="1">
        <v>7.52</v>
      </c>
      <c r="CN9" s="1">
        <v>25.53</v>
      </c>
      <c r="CP9" s="284">
        <f>CQ9*28</f>
        <v>431.11599999999999</v>
      </c>
      <c r="CQ9" s="1">
        <v>15.397</v>
      </c>
      <c r="CR9" s="1">
        <v>13.430999999999999</v>
      </c>
      <c r="CS9" s="1">
        <v>26.7</v>
      </c>
      <c r="CU9" s="284">
        <f>CV9*28</f>
        <v>132.72</v>
      </c>
      <c r="CV9" s="1">
        <v>4.74</v>
      </c>
      <c r="CW9" s="1">
        <v>3.93</v>
      </c>
      <c r="CX9" s="1">
        <v>8.1999999999999993</v>
      </c>
      <c r="CZ9" s="269">
        <f>DA9*28</f>
        <v>30.184000000000001</v>
      </c>
      <c r="DA9" s="1">
        <v>1.0780000000000001</v>
      </c>
      <c r="DC9" s="284">
        <f>DD9*28</f>
        <v>10.584</v>
      </c>
      <c r="DD9" s="1">
        <v>0.378</v>
      </c>
      <c r="DE9" s="1">
        <v>0.372</v>
      </c>
      <c r="DH9" s="299">
        <f>DI9*28</f>
        <v>91.25200000000001</v>
      </c>
      <c r="DI9" s="5">
        <f t="shared" si="0"/>
        <v>3.2590000000000003</v>
      </c>
      <c r="DJ9" s="1">
        <f t="shared" si="1"/>
        <v>2.9140000000000001</v>
      </c>
      <c r="DM9" s="284">
        <f>DN9*28</f>
        <v>3366.7479999999991</v>
      </c>
      <c r="DN9" s="1">
        <f t="shared" si="2"/>
        <v>120.24099999999997</v>
      </c>
      <c r="DO9" s="1">
        <f t="shared" si="3"/>
        <v>101.46</v>
      </c>
      <c r="DP9" s="1"/>
      <c r="DQ9" s="1"/>
      <c r="DR9" s="284">
        <f>DS9*28</f>
        <v>966.19600000000014</v>
      </c>
      <c r="DS9" s="1">
        <f t="shared" si="4"/>
        <v>34.507000000000005</v>
      </c>
      <c r="DT9" s="1" t="e">
        <f>SUM(CM9+CR9+CW9+#REF!+DE9)</f>
        <v>#REF!</v>
      </c>
      <c r="DU9" s="1"/>
      <c r="DW9" s="284">
        <f>DX9*28</f>
        <v>4332.9439999999995</v>
      </c>
      <c r="DX9" s="1">
        <f t="shared" si="5"/>
        <v>154.74799999999999</v>
      </c>
      <c r="DY9" s="1" t="e">
        <f t="shared" si="6"/>
        <v>#REF!</v>
      </c>
      <c r="EL9">
        <v>1998</v>
      </c>
      <c r="EM9" t="s">
        <v>764</v>
      </c>
      <c r="EN9" t="s">
        <v>841</v>
      </c>
      <c r="EO9">
        <v>19.655999999999999</v>
      </c>
    </row>
    <row r="10" spans="1:145" x14ac:dyDescent="0.25">
      <c r="A10" s="8">
        <v>1998</v>
      </c>
      <c r="B10" t="s">
        <v>765</v>
      </c>
      <c r="D10" s="284">
        <f>E10*31</f>
        <v>24.583000000000002</v>
      </c>
      <c r="E10" s="1">
        <v>0.79300000000000004</v>
      </c>
      <c r="F10" s="1">
        <v>1.9690000000000001</v>
      </c>
      <c r="G10" s="1">
        <v>3.4</v>
      </c>
      <c r="N10" s="284">
        <f>O10*31</f>
        <v>145.607</v>
      </c>
      <c r="O10" s="1">
        <v>4.6970000000000001</v>
      </c>
      <c r="P10" s="1">
        <v>3.9540000000000002</v>
      </c>
      <c r="Q10" s="1" t="s">
        <v>766</v>
      </c>
      <c r="S10" s="284">
        <f>T10*31</f>
        <v>196.881</v>
      </c>
      <c r="T10" s="1">
        <v>6.351</v>
      </c>
      <c r="U10" s="1">
        <v>4.2389999999999999</v>
      </c>
      <c r="V10" s="1">
        <v>13.58</v>
      </c>
      <c r="X10" s="284">
        <f>Y10*31</f>
        <v>815.17599999999993</v>
      </c>
      <c r="Y10" s="1">
        <v>26.295999999999999</v>
      </c>
      <c r="Z10" s="1">
        <v>21.597999999999999</v>
      </c>
      <c r="AA10" s="1">
        <v>35.68</v>
      </c>
      <c r="AC10" s="284">
        <f>AD10*31</f>
        <v>1012.0569999999999</v>
      </c>
      <c r="AD10" s="1">
        <f t="shared" si="11"/>
        <v>32.646999999999998</v>
      </c>
      <c r="AE10" s="1">
        <v>25.837</v>
      </c>
      <c r="AF10" s="1">
        <v>49.26</v>
      </c>
      <c r="AH10" s="284">
        <f>AI10*31</f>
        <v>2404.9180000000001</v>
      </c>
      <c r="AI10" s="1">
        <v>77.578000000000003</v>
      </c>
      <c r="AJ10" s="1">
        <v>60.243000000000002</v>
      </c>
      <c r="AK10" s="1">
        <v>199.4</v>
      </c>
      <c r="AM10" s="284">
        <f>AN10*31</f>
        <v>45.663000000000004</v>
      </c>
      <c r="AN10" s="1">
        <v>1.4730000000000001</v>
      </c>
      <c r="AO10" s="1">
        <v>1.095</v>
      </c>
      <c r="AP10" s="1">
        <v>17.387</v>
      </c>
      <c r="AR10" s="284">
        <f>AS10*31</f>
        <v>181.16400000000002</v>
      </c>
      <c r="AS10" s="1">
        <v>5.8440000000000003</v>
      </c>
      <c r="AT10" s="1">
        <v>4.8540000000000001</v>
      </c>
      <c r="AU10" s="1">
        <v>28.077000000000002</v>
      </c>
      <c r="AW10" s="284">
        <f>AX10*31</f>
        <v>37.975000000000001</v>
      </c>
      <c r="AX10" s="1">
        <v>1.2250000000000001</v>
      </c>
      <c r="AY10" s="1">
        <v>1.1479999999999999</v>
      </c>
      <c r="AZ10" s="1">
        <v>9.5939999999999994</v>
      </c>
      <c r="BB10" s="284">
        <f>BC10*31</f>
        <v>32.829000000000001</v>
      </c>
      <c r="BC10" s="1">
        <v>1.0589999999999999</v>
      </c>
      <c r="BD10" s="1">
        <v>0.88700000000000001</v>
      </c>
      <c r="BE10" s="1">
        <v>5.2670000000000003</v>
      </c>
      <c r="BG10" s="284">
        <f>BH10*31</f>
        <v>34.441000000000003</v>
      </c>
      <c r="BH10" s="1">
        <v>1.111</v>
      </c>
      <c r="BI10" s="1">
        <v>0.85599999999999998</v>
      </c>
      <c r="BJ10" s="1">
        <v>10.340999999999999</v>
      </c>
      <c r="BL10" s="284">
        <f t="shared" si="7"/>
        <v>106.423</v>
      </c>
      <c r="BM10" s="1">
        <v>3.4329999999999998</v>
      </c>
      <c r="BN10" s="1">
        <v>3.4329999999999998</v>
      </c>
      <c r="BQ10" s="284">
        <f>BR10*31</f>
        <v>21.855</v>
      </c>
      <c r="BR10" s="1">
        <v>0.70499999999999996</v>
      </c>
      <c r="BS10" s="1">
        <v>0.61699999999999999</v>
      </c>
      <c r="BT10" s="1">
        <v>6.6980000000000004</v>
      </c>
      <c r="BV10" s="284">
        <f>BW10*31</f>
        <v>13.144</v>
      </c>
      <c r="BW10" s="1">
        <v>0.42399999999999999</v>
      </c>
      <c r="BX10" s="1">
        <v>0.27200000000000002</v>
      </c>
      <c r="BY10" s="1">
        <v>8.06</v>
      </c>
      <c r="CA10" s="284">
        <f>CB10*31</f>
        <v>20.832000000000001</v>
      </c>
      <c r="CB10" s="1">
        <v>0.67200000000000004</v>
      </c>
      <c r="CC10" s="1">
        <v>0.61799999999999999</v>
      </c>
      <c r="CD10" s="1">
        <v>6.65</v>
      </c>
      <c r="CF10" s="284">
        <f t="shared" si="8"/>
        <v>47.492000000000004</v>
      </c>
      <c r="CG10" s="1">
        <v>1.532</v>
      </c>
      <c r="CH10" s="1">
        <v>1.532</v>
      </c>
      <c r="CK10" s="284">
        <f>CL10*31</f>
        <v>461.24899999999997</v>
      </c>
      <c r="CL10" s="1">
        <v>14.879</v>
      </c>
      <c r="CM10" s="1">
        <v>8.3620000000000001</v>
      </c>
      <c r="CN10" s="1">
        <v>33.33</v>
      </c>
      <c r="CP10" s="284">
        <f>CQ10*31</f>
        <v>495.75200000000001</v>
      </c>
      <c r="CQ10" s="1">
        <v>15.992000000000001</v>
      </c>
      <c r="CR10" s="1">
        <v>13.484</v>
      </c>
      <c r="CS10" s="1">
        <v>28.1</v>
      </c>
      <c r="CU10" s="284">
        <f>CV10*31</f>
        <v>155.24799999999999</v>
      </c>
      <c r="CV10" s="1">
        <v>5.008</v>
      </c>
      <c r="CW10" s="1">
        <v>3.9540000000000002</v>
      </c>
      <c r="CX10" s="1">
        <v>9.9</v>
      </c>
      <c r="CZ10" s="269">
        <f>DA10*31</f>
        <v>36.301000000000002</v>
      </c>
      <c r="DA10" s="1">
        <v>1.171</v>
      </c>
      <c r="DC10" s="284">
        <f>DD10*31</f>
        <v>11.718</v>
      </c>
      <c r="DD10" s="1">
        <v>0.378</v>
      </c>
      <c r="DE10" s="1">
        <v>0.372</v>
      </c>
      <c r="DH10" s="299">
        <f>DI10*31</f>
        <v>103.32300000000001</v>
      </c>
      <c r="DI10" s="5">
        <f t="shared" si="0"/>
        <v>3.3330000000000002</v>
      </c>
      <c r="DJ10" s="1">
        <f t="shared" si="1"/>
        <v>3.0390000000000001</v>
      </c>
      <c r="DM10" s="284">
        <f>DN10*31</f>
        <v>3922.3369999999995</v>
      </c>
      <c r="DN10" s="1">
        <f t="shared" si="2"/>
        <v>126.52699999999999</v>
      </c>
      <c r="DO10" s="1">
        <f t="shared" si="3"/>
        <v>101.23699999999998</v>
      </c>
      <c r="DP10" s="1"/>
      <c r="DQ10" s="1"/>
      <c r="DR10" s="284">
        <f t="shared" si="9"/>
        <v>1160.268</v>
      </c>
      <c r="DS10" s="1">
        <f t="shared" si="4"/>
        <v>37.428000000000004</v>
      </c>
      <c r="DT10" s="1" t="e">
        <f>SUM(CM10+CR10+CW10+#REF!+DE10)</f>
        <v>#REF!</v>
      </c>
      <c r="DU10" s="1"/>
      <c r="DW10" s="284">
        <f t="shared" si="10"/>
        <v>5082.6049999999996</v>
      </c>
      <c r="DX10" s="1">
        <f t="shared" si="5"/>
        <v>163.95499999999998</v>
      </c>
      <c r="DY10" s="1" t="e">
        <f t="shared" si="6"/>
        <v>#REF!</v>
      </c>
      <c r="ED10" s="1">
        <f>EE10*92</f>
        <v>3062.1279999999997</v>
      </c>
      <c r="EE10" s="1">
        <f>AVERAGE(DS8:DS10)</f>
        <v>33.283999999999999</v>
      </c>
      <c r="EL10">
        <v>1998</v>
      </c>
      <c r="EM10" t="s">
        <v>765</v>
      </c>
      <c r="EN10" t="s">
        <v>841</v>
      </c>
      <c r="EO10">
        <v>24.583000000000002</v>
      </c>
    </row>
    <row r="11" spans="1:145" x14ac:dyDescent="0.25">
      <c r="A11" s="8">
        <v>1998</v>
      </c>
      <c r="B11" t="s">
        <v>767</v>
      </c>
      <c r="D11" s="284">
        <f>E11*30</f>
        <v>42.12</v>
      </c>
      <c r="E11" s="1">
        <v>1.4039999999999999</v>
      </c>
      <c r="F11" s="1">
        <v>1.4910000000000001</v>
      </c>
      <c r="G11" s="1">
        <v>2.2000000000000002</v>
      </c>
      <c r="N11" s="284">
        <f>O11*30</f>
        <v>135.44999999999999</v>
      </c>
      <c r="O11" s="1">
        <v>4.5149999999999997</v>
      </c>
      <c r="P11" s="1">
        <v>3.9830000000000001</v>
      </c>
      <c r="Q11" s="1">
        <v>9.6</v>
      </c>
      <c r="R11" s="2"/>
      <c r="S11" s="284">
        <f>T11*30</f>
        <v>162.57</v>
      </c>
      <c r="T11" s="1">
        <v>5.4189999999999996</v>
      </c>
      <c r="U11" s="1">
        <v>4.2530000000000001</v>
      </c>
      <c r="V11" s="1">
        <v>9.52</v>
      </c>
      <c r="W11" s="87"/>
      <c r="X11" s="284">
        <f>Y11*30</f>
        <v>739.5</v>
      </c>
      <c r="Y11" s="1">
        <v>24.65</v>
      </c>
      <c r="Z11" s="1">
        <v>21.696000000000002</v>
      </c>
      <c r="AA11" s="1">
        <v>32.979999999999997</v>
      </c>
      <c r="AC11" s="284">
        <f>AD11*30</f>
        <v>902.06999999999994</v>
      </c>
      <c r="AD11" s="1">
        <f t="shared" si="11"/>
        <v>30.068999999999999</v>
      </c>
      <c r="AE11" s="1">
        <v>25.949000000000002</v>
      </c>
      <c r="AF11" s="1">
        <v>42.5</v>
      </c>
      <c r="AH11" s="284">
        <f>AI11*30</f>
        <v>1988.1</v>
      </c>
      <c r="AI11" s="1">
        <v>66.27</v>
      </c>
      <c r="AJ11" s="1">
        <v>60.658999999999999</v>
      </c>
      <c r="AK11" s="1">
        <v>135.1</v>
      </c>
      <c r="AM11" s="284">
        <f>AN11*30</f>
        <v>36.78</v>
      </c>
      <c r="AN11" s="1">
        <v>1.226</v>
      </c>
      <c r="AO11" s="1">
        <v>1.109</v>
      </c>
      <c r="AP11" s="1">
        <v>2.79</v>
      </c>
      <c r="AR11" s="284">
        <f>AS11*30</f>
        <v>150.57</v>
      </c>
      <c r="AS11" s="1">
        <v>5.0190000000000001</v>
      </c>
      <c r="AT11" s="1">
        <v>4.859</v>
      </c>
      <c r="AU11" s="1">
        <v>9.3800000000000008</v>
      </c>
      <c r="AW11" s="284">
        <f>AX11*30</f>
        <v>36.42</v>
      </c>
      <c r="AX11" s="1">
        <v>1.214</v>
      </c>
      <c r="AY11" s="1">
        <v>1.1739999999999999</v>
      </c>
      <c r="AZ11" s="1">
        <v>2.98</v>
      </c>
      <c r="BB11" s="284">
        <f>BC11*30</f>
        <v>28.2</v>
      </c>
      <c r="BC11" s="1">
        <v>0.94</v>
      </c>
      <c r="BD11" s="1">
        <v>0.89</v>
      </c>
      <c r="BE11" s="1">
        <v>1.1379999999999999</v>
      </c>
      <c r="BG11" s="284">
        <f>BH11*30</f>
        <v>31.44</v>
      </c>
      <c r="BH11" s="1">
        <v>1.048</v>
      </c>
      <c r="BI11" s="1">
        <v>0.86299999999999999</v>
      </c>
      <c r="BJ11" s="1">
        <v>10.340999999999999</v>
      </c>
      <c r="BL11" s="284">
        <f>BM11*30</f>
        <v>102.99</v>
      </c>
      <c r="BM11" s="1">
        <v>3.4329999999999998</v>
      </c>
      <c r="BN11" s="1">
        <v>3.4329999999999998</v>
      </c>
      <c r="BQ11" s="284">
        <f>BR11*30</f>
        <v>20.37</v>
      </c>
      <c r="BR11" s="1">
        <v>0.67900000000000005</v>
      </c>
      <c r="BS11" s="1">
        <v>0.621</v>
      </c>
      <c r="BT11" s="1">
        <v>2.39</v>
      </c>
      <c r="BV11" s="284">
        <f>BW11*30</f>
        <v>6.75</v>
      </c>
      <c r="BW11" s="1">
        <v>0.22500000000000001</v>
      </c>
      <c r="BX11" s="1">
        <v>0.26900000000000002</v>
      </c>
      <c r="BY11" s="1">
        <v>0.96</v>
      </c>
      <c r="CA11" s="284">
        <f>CB11*30</f>
        <v>17.52</v>
      </c>
      <c r="CB11" s="1">
        <v>0.58399999999999996</v>
      </c>
      <c r="CC11" s="1">
        <v>0.61399999999999999</v>
      </c>
      <c r="CD11" s="1">
        <v>1.1599999999999999</v>
      </c>
      <c r="CF11" s="284">
        <f>CG11*30</f>
        <v>45.96</v>
      </c>
      <c r="CG11" s="1">
        <v>1.532</v>
      </c>
      <c r="CH11" s="1">
        <v>1.532</v>
      </c>
      <c r="CK11" s="284">
        <f>CL11*30</f>
        <v>333.75</v>
      </c>
      <c r="CL11" s="1">
        <v>11.125</v>
      </c>
      <c r="CM11" s="1">
        <v>8.6679999999999993</v>
      </c>
      <c r="CN11" s="1">
        <v>23.46</v>
      </c>
      <c r="CP11" s="284">
        <f>CQ11*30</f>
        <v>439.26</v>
      </c>
      <c r="CQ11" s="1">
        <v>14.641999999999999</v>
      </c>
      <c r="CR11" s="1">
        <v>13.534000000000001</v>
      </c>
      <c r="CS11" s="1">
        <v>22.7</v>
      </c>
      <c r="CU11" s="284">
        <f>CV11*30</f>
        <v>135.81</v>
      </c>
      <c r="CV11" s="1">
        <v>4.5270000000000001</v>
      </c>
      <c r="CW11" s="1">
        <v>3.9670000000000001</v>
      </c>
      <c r="CX11" s="1">
        <v>6.8</v>
      </c>
      <c r="CZ11" s="269">
        <f>DA11*30</f>
        <v>31.32</v>
      </c>
      <c r="DA11" s="1">
        <v>1.044</v>
      </c>
      <c r="DC11" s="284">
        <f>DD11*30</f>
        <v>11.34</v>
      </c>
      <c r="DD11" s="1">
        <v>0.378</v>
      </c>
      <c r="DE11" s="1">
        <v>0.373</v>
      </c>
      <c r="DH11" s="284">
        <f>DI11*30</f>
        <v>90.6</v>
      </c>
      <c r="DI11" s="5">
        <f t="shared" si="0"/>
        <v>3.02</v>
      </c>
      <c r="DJ11" s="1">
        <f t="shared" si="1"/>
        <v>3.036</v>
      </c>
      <c r="DM11" s="284">
        <f>DN11*30</f>
        <v>3363.5400000000004</v>
      </c>
      <c r="DN11" s="1">
        <f t="shared" si="2"/>
        <v>112.11800000000001</v>
      </c>
      <c r="DO11" s="1">
        <f t="shared" si="3"/>
        <v>101.374</v>
      </c>
      <c r="DP11" s="1"/>
      <c r="DQ11" s="1"/>
      <c r="DR11" s="284">
        <f>DS11*30</f>
        <v>951.48</v>
      </c>
      <c r="DS11" s="1">
        <f t="shared" si="4"/>
        <v>31.716000000000001</v>
      </c>
      <c r="DT11" s="1" t="e">
        <f>SUM(CM11+CR11+CW11+#REF!+DE11)</f>
        <v>#REF!</v>
      </c>
      <c r="DU11" s="1"/>
      <c r="DW11" s="284">
        <f>DX11*30</f>
        <v>4315.0200000000004</v>
      </c>
      <c r="DX11" s="1">
        <f t="shared" si="5"/>
        <v>143.834</v>
      </c>
      <c r="DY11" s="1" t="e">
        <f t="shared" si="6"/>
        <v>#REF!</v>
      </c>
      <c r="ED11" s="1"/>
      <c r="EE11" s="1"/>
      <c r="EL11">
        <v>1998</v>
      </c>
      <c r="EM11" t="s">
        <v>767</v>
      </c>
      <c r="EN11" t="s">
        <v>841</v>
      </c>
      <c r="EO11">
        <v>42.12</v>
      </c>
    </row>
    <row r="12" spans="1:145" x14ac:dyDescent="0.25">
      <c r="A12" s="8">
        <v>1998</v>
      </c>
      <c r="B12" t="s">
        <v>715</v>
      </c>
      <c r="D12" s="284">
        <f>E12*31</f>
        <v>40.114000000000004</v>
      </c>
      <c r="E12" s="1">
        <v>1.294</v>
      </c>
      <c r="F12" s="1">
        <v>1.2430000000000001</v>
      </c>
      <c r="G12" s="1">
        <v>2.4</v>
      </c>
      <c r="N12" s="284">
        <f>O12*31</f>
        <v>147.095</v>
      </c>
      <c r="O12" s="1">
        <v>4.7450000000000001</v>
      </c>
      <c r="P12" s="1">
        <v>4.0309999999999997</v>
      </c>
      <c r="Q12" s="1">
        <v>8</v>
      </c>
      <c r="R12" s="2"/>
      <c r="S12" s="284">
        <f>T12*31</f>
        <v>186.155</v>
      </c>
      <c r="T12" s="1">
        <v>6.0049999999999999</v>
      </c>
      <c r="U12" s="1">
        <v>4.4580000000000002</v>
      </c>
      <c r="V12" s="1">
        <v>10.8</v>
      </c>
      <c r="W12" s="87"/>
      <c r="X12" s="284">
        <f>Y12*31</f>
        <v>797.072</v>
      </c>
      <c r="Y12" s="1">
        <v>25.712</v>
      </c>
      <c r="Z12" s="1">
        <v>21.748000000000001</v>
      </c>
      <c r="AA12" s="1">
        <v>33.75</v>
      </c>
      <c r="AC12" s="284">
        <f>AD12*31</f>
        <v>983.22699999999998</v>
      </c>
      <c r="AD12" s="1">
        <f t="shared" si="11"/>
        <v>31.716999999999999</v>
      </c>
      <c r="AE12" s="1">
        <v>26.206</v>
      </c>
      <c r="AF12" s="1">
        <v>44.55</v>
      </c>
      <c r="AH12" s="284">
        <f>AI12*31</f>
        <v>2159.212</v>
      </c>
      <c r="AI12" s="1">
        <v>69.652000000000001</v>
      </c>
      <c r="AJ12" s="1">
        <v>61.451000000000001</v>
      </c>
      <c r="AK12" s="1">
        <v>136.30000000000001</v>
      </c>
      <c r="AM12" s="284">
        <f>AN12*31</f>
        <v>36.734999999999999</v>
      </c>
      <c r="AN12" s="1">
        <v>1.1850000000000001</v>
      </c>
      <c r="AO12" s="1">
        <v>1.129</v>
      </c>
      <c r="AP12" s="1">
        <v>5.44</v>
      </c>
      <c r="AR12" s="284">
        <f>AS12*31</f>
        <v>165.60199999999998</v>
      </c>
      <c r="AS12" s="1">
        <v>5.3419999999999996</v>
      </c>
      <c r="AT12" s="1">
        <v>4.9320000000000004</v>
      </c>
      <c r="AU12" s="1">
        <v>8</v>
      </c>
      <c r="AW12" s="284">
        <f>AX12*31</f>
        <v>29.077999999999999</v>
      </c>
      <c r="AX12" s="1">
        <v>0.93799999999999994</v>
      </c>
      <c r="AY12" s="1">
        <v>1.161</v>
      </c>
      <c r="AZ12" s="1">
        <v>3.09</v>
      </c>
      <c r="BB12" s="284">
        <f>BC12*31</f>
        <v>28.644000000000002</v>
      </c>
      <c r="BC12" s="1">
        <v>0.92400000000000004</v>
      </c>
      <c r="BD12" s="1">
        <v>0.89600000000000002</v>
      </c>
      <c r="BE12" s="1">
        <v>2.83</v>
      </c>
      <c r="BG12" s="284">
        <f>BH12*31</f>
        <v>30.721</v>
      </c>
      <c r="BH12" s="1">
        <v>0.99099999999999999</v>
      </c>
      <c r="BI12" s="1">
        <v>0.86799999999999999</v>
      </c>
      <c r="BJ12" s="1">
        <v>5.52</v>
      </c>
      <c r="BL12" s="284">
        <f t="shared" si="7"/>
        <v>106.423</v>
      </c>
      <c r="BM12" s="1">
        <v>3.4329999999999998</v>
      </c>
      <c r="BN12" s="1">
        <v>3.4329999999999998</v>
      </c>
      <c r="BQ12" s="284">
        <f>BR12*31</f>
        <v>21.575999999999997</v>
      </c>
      <c r="BR12" s="1">
        <v>0.69599999999999995</v>
      </c>
      <c r="BS12" s="1">
        <v>0.623</v>
      </c>
      <c r="BT12" s="1">
        <v>3.22</v>
      </c>
      <c r="BV12" s="284">
        <f>BW12*31</f>
        <v>9.8889999999999993</v>
      </c>
      <c r="BW12" s="1">
        <v>0.31900000000000001</v>
      </c>
      <c r="BX12" s="1">
        <v>0.27400000000000002</v>
      </c>
      <c r="BY12" s="1">
        <v>3.93</v>
      </c>
      <c r="CA12" s="284">
        <f>CB12*31</f>
        <v>18.631</v>
      </c>
      <c r="CB12" s="1">
        <v>0.60099999999999998</v>
      </c>
      <c r="CC12" s="1">
        <v>0.61499999999999999</v>
      </c>
      <c r="CD12" s="1">
        <v>3.3</v>
      </c>
      <c r="CF12" s="284">
        <f t="shared" si="8"/>
        <v>47.492000000000004</v>
      </c>
      <c r="CG12" s="1">
        <v>1.532</v>
      </c>
      <c r="CH12" s="1">
        <v>1.532</v>
      </c>
      <c r="CK12" s="284">
        <f>CL12*31</f>
        <v>359.755</v>
      </c>
      <c r="CL12" s="1">
        <v>11.605</v>
      </c>
      <c r="CM12" s="1">
        <v>8.8239999999999998</v>
      </c>
      <c r="CN12" s="1">
        <v>18.829999999999998</v>
      </c>
      <c r="CP12" s="284">
        <f>CQ12*31</f>
        <v>483.53800000000001</v>
      </c>
      <c r="CQ12" s="1">
        <v>15.598000000000001</v>
      </c>
      <c r="CR12" s="1">
        <v>13.692</v>
      </c>
      <c r="CS12" s="1">
        <v>24</v>
      </c>
      <c r="CU12" s="284">
        <f>CV12*31</f>
        <v>144.98699999999999</v>
      </c>
      <c r="CV12" s="1">
        <v>4.6769999999999996</v>
      </c>
      <c r="CW12" s="1">
        <v>4.0060000000000002</v>
      </c>
      <c r="CX12" s="1">
        <v>7.4</v>
      </c>
      <c r="CZ12" s="269">
        <f>DA12*31</f>
        <v>33.356000000000002</v>
      </c>
      <c r="DA12" s="1">
        <v>1.0760000000000001</v>
      </c>
      <c r="DC12" s="284">
        <f>DD12*31</f>
        <v>11.718</v>
      </c>
      <c r="DD12" s="1">
        <v>0.378</v>
      </c>
      <c r="DE12" s="1">
        <v>0.374</v>
      </c>
      <c r="DH12" s="299">
        <f>DI12*31</f>
        <v>97.587999999999994</v>
      </c>
      <c r="DI12" s="5">
        <f t="shared" si="0"/>
        <v>3.1479999999999997</v>
      </c>
      <c r="DJ12" s="1">
        <f t="shared" si="1"/>
        <v>3.044</v>
      </c>
      <c r="DM12" s="284">
        <f>DN12*31</f>
        <v>3629.2630000000004</v>
      </c>
      <c r="DN12" s="1">
        <f t="shared" si="2"/>
        <v>117.07300000000001</v>
      </c>
      <c r="DO12" s="1">
        <f t="shared" si="3"/>
        <v>102.306</v>
      </c>
      <c r="DP12" s="1"/>
      <c r="DQ12" s="1"/>
      <c r="DR12" s="284">
        <f t="shared" si="9"/>
        <v>1033.354</v>
      </c>
      <c r="DS12" s="1">
        <f t="shared" si="4"/>
        <v>33.334000000000003</v>
      </c>
      <c r="DT12" s="1" t="e">
        <f>SUM(CM12+CR12+CW12+#REF!+DE12)</f>
        <v>#REF!</v>
      </c>
      <c r="DU12" s="1"/>
      <c r="DW12" s="284">
        <f t="shared" si="10"/>
        <v>4662.6170000000002</v>
      </c>
      <c r="DX12" s="1">
        <f t="shared" si="5"/>
        <v>150.40700000000001</v>
      </c>
      <c r="DY12" s="1" t="e">
        <f t="shared" si="6"/>
        <v>#REF!</v>
      </c>
      <c r="EL12">
        <v>1998</v>
      </c>
      <c r="EM12" t="s">
        <v>715</v>
      </c>
      <c r="EN12" t="s">
        <v>841</v>
      </c>
      <c r="EO12">
        <v>40.114000000000004</v>
      </c>
    </row>
    <row r="13" spans="1:145" x14ac:dyDescent="0.25">
      <c r="A13" s="8">
        <v>1998</v>
      </c>
      <c r="B13" t="s">
        <v>718</v>
      </c>
      <c r="D13" s="284">
        <f>E13*30</f>
        <v>26.37</v>
      </c>
      <c r="E13" s="1">
        <v>0.879</v>
      </c>
      <c r="F13" s="1">
        <v>0.94499999999999995</v>
      </c>
      <c r="G13" s="1">
        <v>2.1</v>
      </c>
      <c r="N13" s="284">
        <f>O13*30</f>
        <v>132.81</v>
      </c>
      <c r="O13" s="1">
        <v>4.4269999999999996</v>
      </c>
      <c r="P13" s="1">
        <v>4.0410000000000004</v>
      </c>
      <c r="Q13" s="1">
        <v>20</v>
      </c>
      <c r="R13" s="2"/>
      <c r="S13" s="284">
        <f>T13*30</f>
        <v>159.9</v>
      </c>
      <c r="T13" s="1">
        <v>5.33</v>
      </c>
      <c r="U13" s="1">
        <v>4.5140000000000002</v>
      </c>
      <c r="V13" s="1">
        <v>12.92</v>
      </c>
      <c r="W13" s="87"/>
      <c r="X13" s="284">
        <f>Y13*30</f>
        <v>696.12</v>
      </c>
      <c r="Y13" s="1">
        <v>23.204000000000001</v>
      </c>
      <c r="Z13" s="1">
        <v>21.806999999999999</v>
      </c>
      <c r="AA13" s="1">
        <v>32.979999999999997</v>
      </c>
      <c r="AC13" s="284">
        <f>AD13*30</f>
        <v>856.02</v>
      </c>
      <c r="AD13" s="1">
        <f t="shared" si="11"/>
        <v>28.533999999999999</v>
      </c>
      <c r="AE13" s="1">
        <v>26.321000000000002</v>
      </c>
      <c r="AF13" s="1">
        <v>45.9</v>
      </c>
      <c r="AH13" s="284">
        <f>AI13*30</f>
        <v>1646.1</v>
      </c>
      <c r="AI13" s="1">
        <v>54.87</v>
      </c>
      <c r="AJ13" s="1">
        <v>60.997999999999998</v>
      </c>
      <c r="AK13" s="1">
        <v>174.2</v>
      </c>
      <c r="AM13" s="284">
        <f>AN13*30</f>
        <v>30.929999999999996</v>
      </c>
      <c r="AN13" s="1">
        <v>1.0309999999999999</v>
      </c>
      <c r="AO13" s="1">
        <v>1.131</v>
      </c>
      <c r="AP13" s="1">
        <v>1.6479999999999999</v>
      </c>
      <c r="AR13" s="284">
        <f>AS13*30</f>
        <v>138.27000000000001</v>
      </c>
      <c r="AS13" s="1">
        <v>4.609</v>
      </c>
      <c r="AT13" s="1">
        <v>4.9409999999999998</v>
      </c>
      <c r="AU13" s="1">
        <v>6.49</v>
      </c>
      <c r="AW13" s="284">
        <f>AX13*30</f>
        <v>22.62</v>
      </c>
      <c r="AX13" s="1">
        <v>0.754</v>
      </c>
      <c r="AY13" s="1">
        <v>1.137</v>
      </c>
      <c r="AZ13" s="1">
        <v>3.1869999999999998</v>
      </c>
      <c r="BB13" s="284">
        <f>BC13*30</f>
        <v>24.81</v>
      </c>
      <c r="BC13" s="1">
        <v>0.82699999999999996</v>
      </c>
      <c r="BD13" s="1">
        <v>0.89500000000000002</v>
      </c>
      <c r="BE13" s="1">
        <v>1.4570000000000001</v>
      </c>
      <c r="BG13" s="284">
        <f>BH13*30</f>
        <v>25.169999999999998</v>
      </c>
      <c r="BH13" s="1">
        <v>0.83899999999999997</v>
      </c>
      <c r="BI13" s="1">
        <v>0.86499999999999999</v>
      </c>
      <c r="BJ13" s="1">
        <v>4.8140000000000001</v>
      </c>
      <c r="BL13" s="284">
        <f>BM13*30</f>
        <v>102.99</v>
      </c>
      <c r="BM13" s="1">
        <v>3.4329999999999998</v>
      </c>
      <c r="BN13" s="1">
        <v>3.4329999999999998</v>
      </c>
      <c r="BQ13" s="284">
        <f>BR13*30</f>
        <v>20.25</v>
      </c>
      <c r="BR13" s="1">
        <v>0.67500000000000004</v>
      </c>
      <c r="BS13" s="1">
        <v>0.629</v>
      </c>
      <c r="BT13" s="1">
        <v>1.7749999999999999</v>
      </c>
      <c r="BV13" s="284">
        <f>BW13*30</f>
        <v>6.84</v>
      </c>
      <c r="BW13" s="1">
        <v>0.22800000000000001</v>
      </c>
      <c r="BX13" s="1">
        <v>0.27400000000000002</v>
      </c>
      <c r="BY13" s="1">
        <v>1.7809999999999999</v>
      </c>
      <c r="CA13" s="284">
        <f>CB13*30</f>
        <v>16.260000000000002</v>
      </c>
      <c r="CB13" s="1">
        <v>0.54200000000000004</v>
      </c>
      <c r="CC13" s="1">
        <v>0.61199999999999999</v>
      </c>
      <c r="CD13" s="1">
        <v>1.569</v>
      </c>
      <c r="CF13" s="284">
        <f>CG13*30</f>
        <v>45.96</v>
      </c>
      <c r="CG13" s="1">
        <v>1.532</v>
      </c>
      <c r="CH13" s="1">
        <v>1.532</v>
      </c>
      <c r="CK13" s="284">
        <f>CL13*30</f>
        <v>271.26</v>
      </c>
      <c r="CL13" s="1">
        <v>9.0419999999999998</v>
      </c>
      <c r="CM13" s="1">
        <v>8.8190000000000008</v>
      </c>
      <c r="CN13" s="1">
        <v>24.46</v>
      </c>
      <c r="CP13" s="284">
        <f>CQ13*30</f>
        <v>449.67</v>
      </c>
      <c r="CQ13" s="1">
        <v>14.989000000000001</v>
      </c>
      <c r="CR13" s="1">
        <v>13.815</v>
      </c>
      <c r="CS13" s="1">
        <v>24</v>
      </c>
      <c r="CU13" s="284">
        <f>CV13*30</f>
        <v>126.74999999999999</v>
      </c>
      <c r="CV13" s="1">
        <v>4.2249999999999996</v>
      </c>
      <c r="CW13" s="1">
        <v>4.0220000000000002</v>
      </c>
      <c r="CX13" s="1">
        <v>8</v>
      </c>
      <c r="CZ13" s="269">
        <f>DA13*30</f>
        <v>26.52</v>
      </c>
      <c r="DA13" s="1">
        <v>0.88400000000000001</v>
      </c>
      <c r="DC13" s="284">
        <f>DD13*30</f>
        <v>11.34</v>
      </c>
      <c r="DD13" s="1">
        <v>0.378</v>
      </c>
      <c r="DE13" s="1">
        <v>0.374</v>
      </c>
      <c r="DH13" s="284">
        <f>DI13*30</f>
        <v>89.31</v>
      </c>
      <c r="DI13" s="5">
        <f t="shared" si="0"/>
        <v>2.9770000000000003</v>
      </c>
      <c r="DJ13" s="1">
        <f t="shared" si="1"/>
        <v>3.0470000000000002</v>
      </c>
      <c r="DM13" s="284">
        <f>DN13*30</f>
        <v>2916.7799999999997</v>
      </c>
      <c r="DN13" s="1">
        <f t="shared" si="2"/>
        <v>97.225999999999999</v>
      </c>
      <c r="DO13" s="1">
        <f t="shared" si="3"/>
        <v>101.66</v>
      </c>
      <c r="DP13" s="1"/>
      <c r="DQ13" s="1"/>
      <c r="DR13" s="284">
        <f>DS13*30</f>
        <v>885.54</v>
      </c>
      <c r="DS13" s="1">
        <f t="shared" si="4"/>
        <v>29.518000000000001</v>
      </c>
      <c r="DT13" s="1" t="e">
        <f>SUM(CM13+CR13+CW13+#REF!+DE13)</f>
        <v>#REF!</v>
      </c>
      <c r="DU13" s="1"/>
      <c r="DW13" s="284">
        <f>DX13*30</f>
        <v>3802.32</v>
      </c>
      <c r="DX13" s="1">
        <f t="shared" si="5"/>
        <v>126.744</v>
      </c>
      <c r="DY13" s="1" t="e">
        <f t="shared" si="6"/>
        <v>#REF!</v>
      </c>
      <c r="ED13" s="1">
        <f>EE13*92</f>
        <v>2900.0853333333334</v>
      </c>
      <c r="EE13" s="1">
        <f>AVERAGE(DS11:DS13)</f>
        <v>31.522666666666669</v>
      </c>
      <c r="EL13">
        <v>1998</v>
      </c>
      <c r="EM13" t="s">
        <v>718</v>
      </c>
      <c r="EN13" t="s">
        <v>841</v>
      </c>
      <c r="EO13">
        <v>26.37</v>
      </c>
    </row>
    <row r="14" spans="1:145" x14ac:dyDescent="0.25">
      <c r="A14" s="8">
        <v>1998</v>
      </c>
      <c r="B14" t="s">
        <v>716</v>
      </c>
      <c r="D14" s="284">
        <f>E14*31</f>
        <v>23.405000000000001</v>
      </c>
      <c r="E14" s="1">
        <v>0.755</v>
      </c>
      <c r="F14" s="1">
        <v>0.89600000000000002</v>
      </c>
      <c r="G14" s="1">
        <v>1.2</v>
      </c>
      <c r="N14" s="284">
        <f>O14*31</f>
        <v>128.40200000000002</v>
      </c>
      <c r="O14" s="1">
        <v>4.1420000000000003</v>
      </c>
      <c r="P14" s="1">
        <v>4.05</v>
      </c>
      <c r="Q14" s="1">
        <v>8</v>
      </c>
      <c r="R14" s="2"/>
      <c r="S14" s="284">
        <f>T14*31</f>
        <v>180.82300000000001</v>
      </c>
      <c r="T14" s="1">
        <v>5.8330000000000002</v>
      </c>
      <c r="U14" s="1">
        <v>4.6589999999999998</v>
      </c>
      <c r="V14" s="1">
        <v>8.39</v>
      </c>
      <c r="W14" s="87"/>
      <c r="X14" s="284">
        <f>Y14*31</f>
        <v>650.84500000000003</v>
      </c>
      <c r="Y14" s="1">
        <v>20.995000000000001</v>
      </c>
      <c r="Z14" s="1">
        <v>21.867999999999999</v>
      </c>
      <c r="AA14" s="1">
        <v>26.53</v>
      </c>
      <c r="AC14" s="284">
        <f>AD14*31</f>
        <v>831.66800000000012</v>
      </c>
      <c r="AD14" s="1">
        <f t="shared" si="11"/>
        <v>26.828000000000003</v>
      </c>
      <c r="AE14" s="1">
        <v>26.527000000000001</v>
      </c>
      <c r="AF14" s="1">
        <v>34.92</v>
      </c>
      <c r="AH14" s="284">
        <f>AI14*31</f>
        <v>1572.0720000000001</v>
      </c>
      <c r="AI14" s="1">
        <v>50.712000000000003</v>
      </c>
      <c r="AJ14" s="1">
        <v>60.646000000000001</v>
      </c>
      <c r="AK14" s="1">
        <v>150.9</v>
      </c>
      <c r="AM14" s="284">
        <f>AN14*31</f>
        <v>33.945</v>
      </c>
      <c r="AN14" s="1">
        <v>1.095</v>
      </c>
      <c r="AO14" s="1">
        <v>1.1399999999999999</v>
      </c>
      <c r="AP14" s="1">
        <v>2.0840000000000001</v>
      </c>
      <c r="AR14" s="284">
        <f>AS14*31</f>
        <v>138.69400000000002</v>
      </c>
      <c r="AS14" s="1">
        <v>4.4740000000000002</v>
      </c>
      <c r="AT14" s="1">
        <v>4.9489999999999998</v>
      </c>
      <c r="AU14" s="1">
        <v>7.7469999999999999</v>
      </c>
      <c r="AW14" s="284">
        <f>AX14*31</f>
        <v>26.690999999999999</v>
      </c>
      <c r="AX14" s="1">
        <v>0.86099999999999999</v>
      </c>
      <c r="AY14" s="1">
        <v>1.121</v>
      </c>
      <c r="AZ14" s="1">
        <v>1.3280000000000001</v>
      </c>
      <c r="BB14" s="284">
        <f>BC14*31</f>
        <v>25.110000000000003</v>
      </c>
      <c r="BC14" s="1">
        <v>0.81</v>
      </c>
      <c r="BD14" s="1">
        <v>0.89700000000000002</v>
      </c>
      <c r="BE14" s="1">
        <v>2.7050000000000001</v>
      </c>
      <c r="BG14" s="284">
        <f>BH14*31</f>
        <v>22.847000000000001</v>
      </c>
      <c r="BH14" s="1">
        <v>0.73699999999999999</v>
      </c>
      <c r="BI14" s="1">
        <v>0.86299999999999999</v>
      </c>
      <c r="BJ14" s="1">
        <v>2.44</v>
      </c>
      <c r="BL14" s="284">
        <f t="shared" si="7"/>
        <v>106.423</v>
      </c>
      <c r="BM14" s="1">
        <v>3.4329999999999998</v>
      </c>
      <c r="BN14" s="1">
        <v>3.4329999999999998</v>
      </c>
      <c r="BQ14" s="284">
        <f>BR14*31</f>
        <v>19.902000000000001</v>
      </c>
      <c r="BR14" s="1">
        <v>0.64200000000000002</v>
      </c>
      <c r="BS14" s="1">
        <v>0.63200000000000001</v>
      </c>
      <c r="BT14" s="1">
        <v>8.6359999999999992</v>
      </c>
      <c r="BV14" s="284">
        <f>BW14*31</f>
        <v>6.7889999999999997</v>
      </c>
      <c r="BW14" s="1">
        <v>0.219</v>
      </c>
      <c r="BX14" s="1">
        <v>0.27400000000000002</v>
      </c>
      <c r="BY14" s="1">
        <v>1.722</v>
      </c>
      <c r="CA14" s="284">
        <f>CB14*31</f>
        <v>15.717000000000001</v>
      </c>
      <c r="CB14" s="1">
        <v>0.50700000000000001</v>
      </c>
      <c r="CC14" s="1">
        <v>0.60399999999999998</v>
      </c>
      <c r="CD14" s="1">
        <v>1.0109999999999999</v>
      </c>
      <c r="CF14" s="284">
        <f t="shared" si="8"/>
        <v>47.492000000000004</v>
      </c>
      <c r="CG14" s="1">
        <v>1.532</v>
      </c>
      <c r="CH14" s="1">
        <v>1.532</v>
      </c>
      <c r="CK14" s="284">
        <f>CL14*31</f>
        <v>226.29999999999998</v>
      </c>
      <c r="CL14" s="1">
        <v>7.3</v>
      </c>
      <c r="CM14" s="1">
        <v>8.85</v>
      </c>
      <c r="CN14" s="1">
        <v>13.56</v>
      </c>
      <c r="CP14" s="284">
        <f>CQ14*31</f>
        <v>435.55</v>
      </c>
      <c r="CQ14" s="1">
        <v>14.05</v>
      </c>
      <c r="CR14" s="1">
        <v>13.92</v>
      </c>
      <c r="CS14" s="1">
        <v>23.1</v>
      </c>
      <c r="CU14" s="284">
        <f>CV14*31</f>
        <v>119.66</v>
      </c>
      <c r="CV14" s="1">
        <v>3.86</v>
      </c>
      <c r="CW14" s="1">
        <v>4.0830000000000002</v>
      </c>
      <c r="CX14" s="1">
        <v>5.9</v>
      </c>
      <c r="CZ14" s="269">
        <f>DA14*31</f>
        <v>24.087</v>
      </c>
      <c r="DA14" s="1">
        <v>0.77700000000000002</v>
      </c>
      <c r="DC14" s="284">
        <f>DD14*31</f>
        <v>11.78</v>
      </c>
      <c r="DD14" s="1">
        <v>0.38</v>
      </c>
      <c r="DE14" s="1">
        <v>0.375</v>
      </c>
      <c r="DH14" s="284">
        <f>DI14*31</f>
        <v>89.899999999999991</v>
      </c>
      <c r="DI14" s="5">
        <f t="shared" si="0"/>
        <v>2.9</v>
      </c>
      <c r="DJ14" s="1">
        <f t="shared" si="1"/>
        <v>3.0419999999999998</v>
      </c>
      <c r="DM14" s="284">
        <f>DN14*31</f>
        <v>2819.357</v>
      </c>
      <c r="DN14" s="1">
        <f t="shared" si="2"/>
        <v>90.947000000000003</v>
      </c>
      <c r="DO14" s="1">
        <f t="shared" si="3"/>
        <v>101.47999999999999</v>
      </c>
      <c r="DP14" s="1"/>
      <c r="DQ14" s="1"/>
      <c r="DR14" s="284">
        <f t="shared" si="9"/>
        <v>817.37700000000007</v>
      </c>
      <c r="DS14" s="1">
        <f t="shared" si="4"/>
        <v>26.367000000000001</v>
      </c>
      <c r="DT14" s="1" t="e">
        <f>SUM(CM14+CR14+CW14+#REF!+DE14)</f>
        <v>#REF!</v>
      </c>
      <c r="DU14" s="1"/>
      <c r="DW14" s="284">
        <f t="shared" si="10"/>
        <v>3636.7340000000004</v>
      </c>
      <c r="DX14" s="1">
        <f t="shared" si="5"/>
        <v>117.31400000000001</v>
      </c>
      <c r="DY14" s="1" t="e">
        <f t="shared" si="6"/>
        <v>#REF!</v>
      </c>
      <c r="ED14" s="1"/>
      <c r="EE14" s="1"/>
      <c r="EL14">
        <v>1998</v>
      </c>
      <c r="EM14" t="s">
        <v>716</v>
      </c>
      <c r="EN14" t="s">
        <v>841</v>
      </c>
      <c r="EO14">
        <v>23.405000000000001</v>
      </c>
    </row>
    <row r="15" spans="1:145" x14ac:dyDescent="0.25">
      <c r="A15" s="8">
        <v>1998</v>
      </c>
      <c r="B15" t="s">
        <v>768</v>
      </c>
      <c r="D15" s="284">
        <f>E15*31</f>
        <v>18.382999999999999</v>
      </c>
      <c r="E15" s="1">
        <v>0.59299999999999997</v>
      </c>
      <c r="F15" s="1">
        <v>0.85099999999999998</v>
      </c>
      <c r="G15" s="1">
        <v>1.3</v>
      </c>
      <c r="N15" s="284">
        <f>O15*31</f>
        <v>119.691</v>
      </c>
      <c r="O15" s="1">
        <v>3.8610000000000002</v>
      </c>
      <c r="P15" s="1">
        <v>4.0510000000000002</v>
      </c>
      <c r="Q15" s="1">
        <v>6.4</v>
      </c>
      <c r="R15" s="2"/>
      <c r="S15" s="284">
        <f>T15*31</f>
        <v>162.34700000000001</v>
      </c>
      <c r="T15" s="1">
        <v>5.2370000000000001</v>
      </c>
      <c r="U15" s="1">
        <v>4.7930000000000001</v>
      </c>
      <c r="V15" s="1">
        <v>7.64</v>
      </c>
      <c r="W15" s="87"/>
      <c r="X15" s="284">
        <f>Y15*31</f>
        <v>600.03600000000006</v>
      </c>
      <c r="Y15" s="1">
        <v>19.356000000000002</v>
      </c>
      <c r="Z15" s="1">
        <v>21.893000000000001</v>
      </c>
      <c r="AA15" s="1">
        <v>24.78</v>
      </c>
      <c r="AC15" s="284">
        <f>AD15*31</f>
        <v>762.38300000000015</v>
      </c>
      <c r="AD15" s="1">
        <f t="shared" si="11"/>
        <v>24.593000000000004</v>
      </c>
      <c r="AE15" s="1">
        <v>26.686</v>
      </c>
      <c r="AF15" s="1">
        <v>32.42</v>
      </c>
      <c r="AH15" s="284">
        <f>AI15*31</f>
        <v>1508.3050000000001</v>
      </c>
      <c r="AI15" s="1">
        <v>48.655000000000001</v>
      </c>
      <c r="AJ15" s="1">
        <v>60.167999999999999</v>
      </c>
      <c r="AK15" s="1">
        <v>141.5</v>
      </c>
      <c r="AM15" s="284">
        <f>AN15*31</f>
        <v>31.682000000000002</v>
      </c>
      <c r="AN15" s="1">
        <v>1.022</v>
      </c>
      <c r="AO15" s="1">
        <v>1.141</v>
      </c>
      <c r="AP15" s="1">
        <v>1.03</v>
      </c>
      <c r="AR15" s="284">
        <f>AS15*31</f>
        <v>137.48499999999999</v>
      </c>
      <c r="AS15" s="1">
        <v>4.4349999999999996</v>
      </c>
      <c r="AT15" s="1">
        <v>4.944</v>
      </c>
      <c r="AU15" s="1">
        <v>7.4779999999999998</v>
      </c>
      <c r="AW15" s="284">
        <f>AX15*31</f>
        <v>28.954000000000001</v>
      </c>
      <c r="AX15" s="1">
        <v>0.93400000000000005</v>
      </c>
      <c r="AY15" s="1">
        <v>1.105</v>
      </c>
      <c r="AZ15" s="1">
        <v>2.0710000000000002</v>
      </c>
      <c r="BB15" s="284">
        <f>BC15*31</f>
        <v>24.428000000000001</v>
      </c>
      <c r="BC15" s="1">
        <v>0.78800000000000003</v>
      </c>
      <c r="BD15" s="1">
        <v>0.89600000000000002</v>
      </c>
      <c r="BE15" s="1">
        <v>1.621</v>
      </c>
      <c r="BG15" s="284">
        <f>BH15*31</f>
        <v>21.327999999999999</v>
      </c>
      <c r="BH15" s="1">
        <v>0.68799999999999994</v>
      </c>
      <c r="BI15" s="1">
        <v>0.85499999999999998</v>
      </c>
      <c r="BJ15" s="1">
        <v>2.4359999999999999</v>
      </c>
      <c r="BL15" s="284">
        <f t="shared" si="7"/>
        <v>106.423</v>
      </c>
      <c r="BM15" s="1">
        <v>3.4329999999999998</v>
      </c>
      <c r="BN15" s="1">
        <v>3.4329999999999998</v>
      </c>
      <c r="BQ15" s="284">
        <f>BR15*31</f>
        <v>19.189</v>
      </c>
      <c r="BR15" s="1">
        <v>0.61899999999999999</v>
      </c>
      <c r="BS15" s="1">
        <v>0.63200000000000001</v>
      </c>
      <c r="BT15" s="1">
        <v>5.1669999999999998</v>
      </c>
      <c r="BV15" s="284">
        <f>BW15*31</f>
        <v>7.0060000000000002</v>
      </c>
      <c r="BW15" s="1">
        <v>0.22600000000000001</v>
      </c>
      <c r="BX15" s="1">
        <v>0.27400000000000002</v>
      </c>
      <c r="BY15" s="1">
        <v>1.218</v>
      </c>
      <c r="CA15" s="284">
        <f>CB15*31</f>
        <v>17.205000000000002</v>
      </c>
      <c r="CB15" s="1">
        <v>0.55500000000000005</v>
      </c>
      <c r="CC15" s="1">
        <v>0.59599999999999997</v>
      </c>
      <c r="CD15" s="1">
        <v>0.97199999999999998</v>
      </c>
      <c r="CF15" s="284">
        <f t="shared" si="8"/>
        <v>47.492000000000004</v>
      </c>
      <c r="CG15" s="1">
        <v>1.532</v>
      </c>
      <c r="CH15" s="1">
        <v>1.532</v>
      </c>
      <c r="CK15" s="284">
        <f>CL15*31</f>
        <v>202.21299999999999</v>
      </c>
      <c r="CL15" s="1">
        <v>6.5229999999999997</v>
      </c>
      <c r="CM15" s="1">
        <v>8.9559999999999995</v>
      </c>
      <c r="CN15" s="1">
        <v>13.14</v>
      </c>
      <c r="CP15" s="284">
        <f>CQ15*31</f>
        <v>426.09499999999997</v>
      </c>
      <c r="CQ15" s="1">
        <v>13.744999999999999</v>
      </c>
      <c r="CR15" s="1">
        <v>14.021000000000001</v>
      </c>
      <c r="CS15" s="1">
        <v>23.3</v>
      </c>
      <c r="CU15" s="284">
        <f>CV15*31</f>
        <v>111.259</v>
      </c>
      <c r="CV15" s="1">
        <v>3.589</v>
      </c>
      <c r="CW15" s="1">
        <v>4.1120000000000001</v>
      </c>
      <c r="CX15" s="1">
        <v>5.4</v>
      </c>
      <c r="CZ15" s="269">
        <f>DA15*31</f>
        <v>21.018000000000001</v>
      </c>
      <c r="DA15" s="1">
        <v>0.67800000000000005</v>
      </c>
      <c r="DC15" s="284">
        <f>DD15*31</f>
        <v>11.78</v>
      </c>
      <c r="DD15" s="1">
        <v>0.38</v>
      </c>
      <c r="DE15" s="1">
        <v>0.375</v>
      </c>
      <c r="DH15" s="284">
        <f>DI15*31</f>
        <v>90.891999999999996</v>
      </c>
      <c r="DI15" s="5">
        <f t="shared" si="0"/>
        <v>2.9319999999999999</v>
      </c>
      <c r="DJ15" s="1">
        <f t="shared" si="1"/>
        <v>3.0339999999999998</v>
      </c>
      <c r="DM15" s="284">
        <f>DN15*31</f>
        <v>2668.17</v>
      </c>
      <c r="DN15" s="1">
        <f t="shared" si="2"/>
        <v>86.070000000000007</v>
      </c>
      <c r="DO15" s="1">
        <f t="shared" si="3"/>
        <v>101.09600000000002</v>
      </c>
      <c r="DP15" s="1"/>
      <c r="DQ15" s="1"/>
      <c r="DR15" s="284">
        <f t="shared" si="9"/>
        <v>772.36500000000001</v>
      </c>
      <c r="DS15" s="1">
        <f t="shared" si="4"/>
        <v>24.914999999999999</v>
      </c>
      <c r="DT15" s="1" t="e">
        <f>SUM(CM15+CR15+CW15+#REF!+DE15)</f>
        <v>#REF!</v>
      </c>
      <c r="DU15" s="1"/>
      <c r="DW15" s="284">
        <f t="shared" si="10"/>
        <v>3440.5350000000003</v>
      </c>
      <c r="DX15" s="1">
        <f t="shared" si="5"/>
        <v>110.98500000000001</v>
      </c>
      <c r="DY15" s="1" t="e">
        <f t="shared" si="6"/>
        <v>#REF!</v>
      </c>
      <c r="EL15">
        <v>1998</v>
      </c>
      <c r="EM15" t="s">
        <v>768</v>
      </c>
      <c r="EN15" t="s">
        <v>841</v>
      </c>
      <c r="EO15">
        <v>18.382999999999999</v>
      </c>
    </row>
    <row r="16" spans="1:145" x14ac:dyDescent="0.25">
      <c r="A16" s="8">
        <v>1998</v>
      </c>
      <c r="B16" t="s">
        <v>769</v>
      </c>
      <c r="D16" s="284">
        <f>E16*30</f>
        <v>13.26</v>
      </c>
      <c r="E16" s="1">
        <v>0.442</v>
      </c>
      <c r="F16" s="1">
        <f t="shared" ref="F16:F21" si="12">SUM(E5:E16)/12</f>
        <v>0.80441666666666667</v>
      </c>
      <c r="G16" s="1">
        <v>5.9</v>
      </c>
      <c r="N16" s="284">
        <f>O16*30</f>
        <v>113.88</v>
      </c>
      <c r="O16" s="1">
        <v>3.7959999999999998</v>
      </c>
      <c r="P16" s="1">
        <f t="shared" ref="P16:P33" si="13">SUM(O5:O16)/12</f>
        <v>4.0512500000000005</v>
      </c>
      <c r="Q16" s="1">
        <v>6.3</v>
      </c>
      <c r="R16" s="2"/>
      <c r="S16" s="284">
        <f>T16*30</f>
        <v>144.75</v>
      </c>
      <c r="T16" s="1">
        <v>4.8250000000000002</v>
      </c>
      <c r="U16" s="1">
        <f t="shared" ref="U16:U34" si="14">SUM(T5:T16)/12</f>
        <v>4.9099166666666667</v>
      </c>
      <c r="V16" s="1">
        <v>7.49</v>
      </c>
      <c r="W16" s="87"/>
      <c r="X16" s="284">
        <f>Y16*30</f>
        <v>547.46999999999991</v>
      </c>
      <c r="Y16" s="1">
        <v>18.248999999999999</v>
      </c>
      <c r="Z16" s="1">
        <f t="shared" ref="Z16:Z34" si="15">SUM(Y5:Y16)/12</f>
        <v>21.855666666666668</v>
      </c>
      <c r="AA16" s="1">
        <v>23.96</v>
      </c>
      <c r="AC16" s="284">
        <f>AD16*30</f>
        <v>692.21999999999991</v>
      </c>
      <c r="AD16" s="1">
        <f t="shared" si="11"/>
        <v>23.073999999999998</v>
      </c>
      <c r="AE16" s="1">
        <f t="shared" ref="AE16:AE21" si="16">SUM(AD5:AD16)/12</f>
        <v>26.765500000000003</v>
      </c>
      <c r="AF16" s="1">
        <v>31.45</v>
      </c>
      <c r="AH16" s="284">
        <f>AI16*30</f>
        <v>1446.93</v>
      </c>
      <c r="AI16" s="1">
        <v>48.231000000000002</v>
      </c>
      <c r="AJ16" s="1">
        <f t="shared" ref="AJ16:AJ33" si="17">SUM(AI5:AI16)/12</f>
        <v>59.773833333333329</v>
      </c>
      <c r="AK16" s="1">
        <v>158.80000000000001</v>
      </c>
      <c r="AM16" s="284">
        <f>AN16*30</f>
        <v>27.51</v>
      </c>
      <c r="AN16" s="1">
        <v>0.91700000000000004</v>
      </c>
      <c r="AO16" s="1">
        <f t="shared" ref="AO16:AO34" si="18">SUM(AN5:AN16)/12</f>
        <v>1.13975</v>
      </c>
      <c r="AP16" s="1">
        <v>1.61</v>
      </c>
      <c r="AR16" s="284">
        <f>AS16*30</f>
        <v>125.85000000000001</v>
      </c>
      <c r="AS16" s="1">
        <v>4.1950000000000003</v>
      </c>
      <c r="AT16" s="1">
        <f t="shared" ref="AT16:AT26" si="19">SUM(AS5:AS16)/12</f>
        <v>4.9224166666666678</v>
      </c>
      <c r="AU16" s="1">
        <v>6.8109999999999999</v>
      </c>
      <c r="AW16" s="284">
        <f>AX16*30</f>
        <v>26.16</v>
      </c>
      <c r="AX16" s="1">
        <v>0.872</v>
      </c>
      <c r="AY16" s="1">
        <f t="shared" ref="AY16:AY23" si="20">SUM(AX5:AX16)/12</f>
        <v>1.0911666666666666</v>
      </c>
      <c r="AZ16" s="88" t="s">
        <v>770</v>
      </c>
      <c r="BB16" s="284">
        <f>BC16*30</f>
        <v>23.970000000000002</v>
      </c>
      <c r="BC16" s="1">
        <v>0.79900000000000004</v>
      </c>
      <c r="BD16" s="1">
        <f t="shared" ref="BD16:BD24" si="21">SUM(BC5:BC16)/12</f>
        <v>0.89716666666666667</v>
      </c>
      <c r="BE16" s="1">
        <v>1.3839999999999999</v>
      </c>
      <c r="BG16" s="284">
        <f>BH16*30</f>
        <v>20.400000000000002</v>
      </c>
      <c r="BH16" s="1">
        <v>0.68</v>
      </c>
      <c r="BI16" s="1">
        <f t="shared" ref="BI16:BI24" si="22">SUM(BH5:BH16)/12</f>
        <v>0.85066666666666668</v>
      </c>
      <c r="BJ16" s="1">
        <v>2.4489999999999998</v>
      </c>
      <c r="BL16" s="284">
        <f>BM16*30</f>
        <v>102.99</v>
      </c>
      <c r="BM16" s="1">
        <v>3.4329999999999998</v>
      </c>
      <c r="BN16" s="1">
        <v>3.4329999999999998</v>
      </c>
      <c r="BQ16" s="284">
        <f>BR16*30</f>
        <v>17.97</v>
      </c>
      <c r="BR16" s="1">
        <v>0.59899999999999998</v>
      </c>
      <c r="BS16" s="1">
        <f t="shared" ref="BS16:BS24" si="23">SUM(BR5:BR16)/12</f>
        <v>0.63175000000000003</v>
      </c>
      <c r="BT16" s="1">
        <v>1.52</v>
      </c>
      <c r="BV16" s="284">
        <f>BW16*30</f>
        <v>6.3599999999999994</v>
      </c>
      <c r="BW16" s="1">
        <v>0.21199999999999999</v>
      </c>
      <c r="BX16" s="1">
        <f t="shared" ref="BX16:BX24" si="24">SUM(BW5:BW16)/12</f>
        <v>0.27416666666666667</v>
      </c>
      <c r="BY16" s="1">
        <v>6.0289999999999999</v>
      </c>
      <c r="CA16" s="284">
        <f>CB16*30</f>
        <v>14.61</v>
      </c>
      <c r="CB16" s="1">
        <v>0.48699999999999999</v>
      </c>
      <c r="CC16" s="1">
        <f t="shared" ref="CC16:CC24" si="25">SUM(CB5:CB16)/12</f>
        <v>0.58649999999999991</v>
      </c>
      <c r="CD16" s="1">
        <v>0.86499999999999999</v>
      </c>
      <c r="CF16" s="284">
        <f>CG16*30</f>
        <v>45.96</v>
      </c>
      <c r="CG16" s="1">
        <v>1.532</v>
      </c>
      <c r="CH16" s="1">
        <v>1.534</v>
      </c>
      <c r="CK16" s="284">
        <f>CL16*30</f>
        <v>182.07</v>
      </c>
      <c r="CL16" s="1">
        <v>6.069</v>
      </c>
      <c r="CM16" s="1">
        <f t="shared" ref="CM16:CM34" si="26">SUM(CL5:CL16)/12</f>
        <v>8.9752500000000008</v>
      </c>
      <c r="CN16" s="1">
        <v>13.68</v>
      </c>
      <c r="CP16" s="284">
        <f>CQ16*30</f>
        <v>393.29999999999995</v>
      </c>
      <c r="CQ16" s="1">
        <v>13.11</v>
      </c>
      <c r="CR16" s="1">
        <f t="shared" ref="CR16:CR34" si="27">SUM(CQ5:CQ16)/12</f>
        <v>14.104416666666665</v>
      </c>
      <c r="CS16" s="1">
        <v>23.1</v>
      </c>
      <c r="CU16" s="284">
        <f>CV16*30</f>
        <v>107.04</v>
      </c>
      <c r="CV16" s="1">
        <v>3.5680000000000001</v>
      </c>
      <c r="CW16" s="1">
        <f t="shared" ref="CW16:CW34" si="28">SUM(CV5:CV16)/12</f>
        <v>4.1158333333333328</v>
      </c>
      <c r="CX16" s="1">
        <v>5.9</v>
      </c>
      <c r="CZ16" s="269">
        <f>DA16*30</f>
        <v>20.849999999999998</v>
      </c>
      <c r="DA16" s="1">
        <v>0.69499999999999995</v>
      </c>
      <c r="DC16" s="284">
        <f>DD16*30</f>
        <v>11.4</v>
      </c>
      <c r="DD16" s="1">
        <v>0.38</v>
      </c>
      <c r="DE16" s="1">
        <v>0.377</v>
      </c>
      <c r="DH16" s="284">
        <f>DI16*30</f>
        <v>84.9</v>
      </c>
      <c r="DI16" s="5">
        <f t="shared" si="0"/>
        <v>2.83</v>
      </c>
      <c r="DJ16" s="1">
        <f t="shared" si="1"/>
        <v>3.026416666666667</v>
      </c>
      <c r="DM16" s="284">
        <f>DN16*30</f>
        <v>2508.2700000000009</v>
      </c>
      <c r="DN16" s="1">
        <f t="shared" si="2"/>
        <v>83.609000000000023</v>
      </c>
      <c r="DO16" s="1">
        <f t="shared" si="3"/>
        <v>100.70274999999999</v>
      </c>
      <c r="DP16" s="1"/>
      <c r="DQ16" s="1"/>
      <c r="DR16" s="284">
        <f>DS16*30</f>
        <v>714.66</v>
      </c>
      <c r="DS16" s="1">
        <f t="shared" si="4"/>
        <v>23.821999999999999</v>
      </c>
      <c r="DT16" s="1" t="e">
        <f>SUM(CM16+CR16+CW16+#REF!+DE16)</f>
        <v>#REF!</v>
      </c>
      <c r="DU16" s="1"/>
      <c r="DW16" s="284">
        <f>DX16*30</f>
        <v>3222.9300000000007</v>
      </c>
      <c r="DX16" s="1">
        <f t="shared" si="5"/>
        <v>107.43100000000003</v>
      </c>
      <c r="DY16" s="1" t="e">
        <f t="shared" si="6"/>
        <v>#REF!</v>
      </c>
      <c r="ED16" s="1">
        <f>EE16*92</f>
        <v>2303.1893333333333</v>
      </c>
      <c r="EE16" s="1">
        <f>AVERAGE(DS14:DS16)</f>
        <v>25.034666666666666</v>
      </c>
      <c r="EF16" s="1">
        <f>SUM(EE7+EE10+EE13+EE16)/4</f>
        <v>28.439583333333335</v>
      </c>
      <c r="EL16">
        <v>1998</v>
      </c>
      <c r="EM16" t="s">
        <v>769</v>
      </c>
      <c r="EN16" t="s">
        <v>841</v>
      </c>
      <c r="EO16">
        <v>13.26</v>
      </c>
    </row>
    <row r="17" spans="1:145" x14ac:dyDescent="0.25">
      <c r="A17" s="8">
        <v>1998</v>
      </c>
      <c r="B17" s="19" t="s">
        <v>760</v>
      </c>
      <c r="C17" s="19"/>
      <c r="D17" s="284">
        <f>E17*31</f>
        <v>10.199</v>
      </c>
      <c r="E17" s="1">
        <v>0.32900000000000001</v>
      </c>
      <c r="F17" s="1">
        <f t="shared" si="12"/>
        <v>0.76091666666666669</v>
      </c>
      <c r="G17" s="1">
        <v>1.1000000000000001</v>
      </c>
      <c r="N17" s="284">
        <f>O17*31</f>
        <v>108.221</v>
      </c>
      <c r="O17" s="1">
        <v>3.4910000000000001</v>
      </c>
      <c r="P17" s="1">
        <f t="shared" si="13"/>
        <v>4.0432499999999996</v>
      </c>
      <c r="Q17" s="1">
        <v>6.2</v>
      </c>
      <c r="S17" s="284">
        <f>T17*31</f>
        <v>138.66299999999998</v>
      </c>
      <c r="T17" s="1">
        <v>4.4729999999999999</v>
      </c>
      <c r="U17" s="1">
        <f t="shared" si="14"/>
        <v>5.0173333333333332</v>
      </c>
      <c r="V17" s="1">
        <v>7.12</v>
      </c>
      <c r="W17" s="88"/>
      <c r="X17" s="284">
        <f>Y17*31</f>
        <v>559.82900000000006</v>
      </c>
      <c r="Y17" s="1">
        <v>18.059000000000001</v>
      </c>
      <c r="Z17" s="1">
        <f t="shared" si="15"/>
        <v>21.828833333333336</v>
      </c>
      <c r="AA17" s="1">
        <v>24.09</v>
      </c>
      <c r="AB17" s="1"/>
      <c r="AC17" s="284">
        <f>AD17*31</f>
        <v>698.49199999999996</v>
      </c>
      <c r="AD17" s="1">
        <f t="shared" si="11"/>
        <v>22.532</v>
      </c>
      <c r="AE17" s="1">
        <f t="shared" si="16"/>
        <v>26.846083333333329</v>
      </c>
      <c r="AF17" s="1">
        <f t="shared" ref="AF17:AF22" si="29">SUM(V17+AA17)</f>
        <v>31.21</v>
      </c>
      <c r="AH17" s="284">
        <f>AI17*31</f>
        <v>1435.3620000000001</v>
      </c>
      <c r="AI17" s="1">
        <v>46.302</v>
      </c>
      <c r="AJ17" s="1">
        <f t="shared" si="17"/>
        <v>59.225999999999992</v>
      </c>
      <c r="AK17" s="1">
        <v>117.7</v>
      </c>
      <c r="AL17" s="1"/>
      <c r="AM17" s="284">
        <f>AN17*31</f>
        <v>29.263999999999999</v>
      </c>
      <c r="AN17" s="1">
        <v>0.94399999999999995</v>
      </c>
      <c r="AO17" s="1">
        <f t="shared" si="18"/>
        <v>1.1433333333333335</v>
      </c>
      <c r="AP17" s="1">
        <v>2.0390000000000001</v>
      </c>
      <c r="AQ17" s="1"/>
      <c r="AR17" s="284">
        <f>AS17*31</f>
        <v>124.806</v>
      </c>
      <c r="AS17" s="1">
        <v>4.0259999999999998</v>
      </c>
      <c r="AT17" s="1">
        <f t="shared" si="19"/>
        <v>4.9022500000000013</v>
      </c>
      <c r="AU17" s="1">
        <v>6.4390000000000001</v>
      </c>
      <c r="AV17" s="1"/>
      <c r="AW17" s="284">
        <f>AX17*31</f>
        <v>19.995000000000001</v>
      </c>
      <c r="AX17" s="1">
        <v>0.64500000000000002</v>
      </c>
      <c r="AY17" s="1">
        <f t="shared" si="20"/>
        <v>1.0668333333333333</v>
      </c>
      <c r="AZ17" s="1">
        <v>1.276</v>
      </c>
      <c r="BB17" s="284">
        <f>BC17*31</f>
        <v>24.831000000000003</v>
      </c>
      <c r="BC17" s="1">
        <v>0.80100000000000005</v>
      </c>
      <c r="BD17" s="1">
        <f t="shared" si="21"/>
        <v>0.89508333333333334</v>
      </c>
      <c r="BE17" s="1">
        <v>1.4319999999999999</v>
      </c>
      <c r="BF17" s="1"/>
      <c r="BG17" s="284">
        <f>BH17*31</f>
        <v>21.482999999999997</v>
      </c>
      <c r="BH17" s="1">
        <v>0.69299999999999995</v>
      </c>
      <c r="BI17" s="1">
        <f t="shared" si="22"/>
        <v>0.84658333333333324</v>
      </c>
      <c r="BJ17" s="1">
        <v>2.5249999999999999</v>
      </c>
      <c r="BK17" s="1"/>
      <c r="BL17" s="284">
        <f>BM17*31</f>
        <v>106.733</v>
      </c>
      <c r="BM17" s="1">
        <v>3.4430000000000001</v>
      </c>
      <c r="BN17" s="1">
        <v>3.4430000000000001</v>
      </c>
      <c r="BP17" s="1"/>
      <c r="BQ17" s="284">
        <f>BR17*31</f>
        <v>19.126999999999999</v>
      </c>
      <c r="BR17" s="1">
        <v>0.61699999999999999</v>
      </c>
      <c r="BS17" s="1">
        <f t="shared" si="23"/>
        <v>0.63350000000000006</v>
      </c>
      <c r="BT17" s="1">
        <v>6.76</v>
      </c>
      <c r="BU17" s="1"/>
      <c r="BV17" s="284">
        <f>BW17*31</f>
        <v>6.8819999999999997</v>
      </c>
      <c r="BW17" s="1">
        <v>0.222</v>
      </c>
      <c r="BX17" s="1">
        <f t="shared" si="24"/>
        <v>0.27458333333333335</v>
      </c>
      <c r="BY17" s="1">
        <v>0.43099999999999999</v>
      </c>
      <c r="BZ17" s="1"/>
      <c r="CA17" s="284">
        <f>CB17*31</f>
        <v>14.229000000000001</v>
      </c>
      <c r="CB17" s="1">
        <v>0.45900000000000002</v>
      </c>
      <c r="CC17" s="1">
        <f t="shared" si="25"/>
        <v>0.56758333333333322</v>
      </c>
      <c r="CD17" s="1">
        <v>6.5810000000000004</v>
      </c>
      <c r="CE17" s="1"/>
      <c r="CF17" s="284">
        <f>CG17*31</f>
        <v>47.616</v>
      </c>
      <c r="CG17" s="1">
        <v>1.536</v>
      </c>
      <c r="CH17" s="1">
        <v>1.5329999999999999</v>
      </c>
      <c r="CJ17" s="1"/>
      <c r="CK17" s="284">
        <f>CL17*31</f>
        <v>151.68299999999999</v>
      </c>
      <c r="CL17" s="1">
        <v>4.8929999999999998</v>
      </c>
      <c r="CM17" s="1">
        <f t="shared" si="26"/>
        <v>8.9083333333333332</v>
      </c>
      <c r="CN17" s="1">
        <v>13.66</v>
      </c>
      <c r="CO17" s="1"/>
      <c r="CP17" s="284">
        <f>CQ17*31</f>
        <v>399.55899999999997</v>
      </c>
      <c r="CQ17" s="1">
        <v>12.888999999999999</v>
      </c>
      <c r="CR17" s="1">
        <f t="shared" si="27"/>
        <v>14.189000000000002</v>
      </c>
      <c r="CS17" s="1">
        <v>22.8</v>
      </c>
      <c r="CT17" s="1"/>
      <c r="CU17" s="284">
        <f>CV17*31</f>
        <v>108.779</v>
      </c>
      <c r="CV17" s="1">
        <v>3.5089999999999999</v>
      </c>
      <c r="CW17" s="1">
        <f t="shared" si="28"/>
        <v>4.1197499999999998</v>
      </c>
      <c r="CX17" s="1">
        <v>5.8</v>
      </c>
      <c r="CZ17" s="269">
        <f>DA17*31</f>
        <v>21.297000000000001</v>
      </c>
      <c r="DA17" s="1">
        <v>0.68700000000000006</v>
      </c>
      <c r="DB17" s="1"/>
      <c r="DC17" s="284">
        <f>DD17*31</f>
        <v>11.78</v>
      </c>
      <c r="DD17" s="1">
        <v>0.38</v>
      </c>
      <c r="DE17" s="1">
        <v>0.377</v>
      </c>
      <c r="DG17" s="1"/>
      <c r="DH17" s="284">
        <f>DI17*31</f>
        <v>87.853999999999999</v>
      </c>
      <c r="DI17" s="5">
        <f t="shared" si="0"/>
        <v>2.8340000000000001</v>
      </c>
      <c r="DJ17" s="1">
        <f t="shared" si="1"/>
        <v>3.0086666666666666</v>
      </c>
      <c r="DK17" s="1"/>
      <c r="DL17" s="1"/>
      <c r="DM17" s="284">
        <f>DN17*31</f>
        <v>2491.5319999999997</v>
      </c>
      <c r="DN17" s="1">
        <f t="shared" si="2"/>
        <v>80.371999999999986</v>
      </c>
      <c r="DO17" s="1">
        <f t="shared" si="3"/>
        <v>100.16466666666663</v>
      </c>
      <c r="DP17" s="1"/>
      <c r="DQ17" s="1"/>
      <c r="DR17" s="284">
        <f>DS17*31</f>
        <v>693.09800000000007</v>
      </c>
      <c r="DS17" s="1">
        <f t="shared" si="4"/>
        <v>22.358000000000001</v>
      </c>
      <c r="DT17" s="1" t="e">
        <f>SUM(CM17+CR17+CW17+#REF!+DE17)</f>
        <v>#REF!</v>
      </c>
      <c r="DU17" s="1"/>
      <c r="DV17" s="1"/>
      <c r="DW17" s="284">
        <f>DX17*31</f>
        <v>3184.6299999999997</v>
      </c>
      <c r="DX17" s="1">
        <f t="shared" si="5"/>
        <v>102.72999999999999</v>
      </c>
      <c r="DY17" s="1" t="e">
        <f t="shared" si="6"/>
        <v>#REF!</v>
      </c>
      <c r="ED17" s="1"/>
      <c r="EE17" s="1"/>
      <c r="EF17" s="1"/>
      <c r="EL17">
        <v>1998</v>
      </c>
      <c r="EM17" t="s">
        <v>760</v>
      </c>
      <c r="EN17" t="s">
        <v>841</v>
      </c>
      <c r="EO17">
        <v>10.199</v>
      </c>
    </row>
    <row r="18" spans="1:145" x14ac:dyDescent="0.25">
      <c r="A18" s="8">
        <v>1998</v>
      </c>
      <c r="B18" s="19" t="s">
        <v>771</v>
      </c>
      <c r="C18" s="19"/>
      <c r="D18" s="284">
        <f>E18*30</f>
        <v>5.88</v>
      </c>
      <c r="E18" s="1">
        <v>0.19600000000000001</v>
      </c>
      <c r="F18" s="1">
        <f t="shared" si="12"/>
        <v>0.69758333333333322</v>
      </c>
      <c r="G18" s="1">
        <v>1.1000000000000001</v>
      </c>
      <c r="N18" s="284">
        <f>O18*30</f>
        <v>96.81</v>
      </c>
      <c r="O18" s="1">
        <v>3.2269999999999999</v>
      </c>
      <c r="P18" s="1">
        <f t="shared" si="13"/>
        <v>4.0125000000000002</v>
      </c>
      <c r="Q18" s="1">
        <v>6</v>
      </c>
      <c r="S18" s="284">
        <f>T18*30</f>
        <v>126.66000000000001</v>
      </c>
      <c r="T18" s="1">
        <v>4.2220000000000004</v>
      </c>
      <c r="U18" s="1">
        <f t="shared" si="14"/>
        <v>5.0571666666666664</v>
      </c>
      <c r="V18" s="1">
        <v>7.94</v>
      </c>
      <c r="W18" s="88"/>
      <c r="X18" s="284">
        <f>Y18*30</f>
        <v>530.16</v>
      </c>
      <c r="Y18" s="1">
        <v>17.672000000000001</v>
      </c>
      <c r="Z18" s="1">
        <f t="shared" si="15"/>
        <v>21.634583333333335</v>
      </c>
      <c r="AA18" s="1">
        <v>25.84</v>
      </c>
      <c r="AB18" s="1"/>
      <c r="AC18" s="284">
        <f>AD18*30</f>
        <v>656.82</v>
      </c>
      <c r="AD18" s="1">
        <f t="shared" ref="AD18:AD23" si="30">SUM(T18+Y18)</f>
        <v>21.894000000000002</v>
      </c>
      <c r="AE18" s="1">
        <f t="shared" si="16"/>
        <v>26.691666666666663</v>
      </c>
      <c r="AF18" s="1">
        <f t="shared" si="29"/>
        <v>33.78</v>
      </c>
      <c r="AH18" s="284">
        <f>AI18*30</f>
        <v>1386.75</v>
      </c>
      <c r="AI18" s="1">
        <v>46.225000000000001</v>
      </c>
      <c r="AJ18" s="1">
        <f t="shared" si="17"/>
        <v>58.100249999999996</v>
      </c>
      <c r="AK18" s="1">
        <v>75.12</v>
      </c>
      <c r="AL18" s="1"/>
      <c r="AM18" s="284">
        <f>AN18*30</f>
        <v>32.909999999999997</v>
      </c>
      <c r="AN18" s="1">
        <v>1.097</v>
      </c>
      <c r="AO18" s="1">
        <f t="shared" si="18"/>
        <v>1.1395833333333332</v>
      </c>
      <c r="AP18" s="1">
        <v>2.1360000000000001</v>
      </c>
      <c r="AQ18" s="1"/>
      <c r="AR18" s="284">
        <f>AS18*30</f>
        <v>126.11999999999999</v>
      </c>
      <c r="AS18" s="1">
        <v>4.2039999999999997</v>
      </c>
      <c r="AT18" s="1">
        <f t="shared" si="19"/>
        <v>4.8280000000000012</v>
      </c>
      <c r="AU18" s="1">
        <v>6.9260000000000002</v>
      </c>
      <c r="AV18" s="1"/>
      <c r="AW18" s="284">
        <f>AX18*30</f>
        <v>20.580000000000002</v>
      </c>
      <c r="AX18" s="1">
        <v>0.68600000000000005</v>
      </c>
      <c r="AY18" s="1">
        <f t="shared" si="20"/>
        <v>1.01925</v>
      </c>
      <c r="AZ18" s="1">
        <v>2.7</v>
      </c>
      <c r="BB18" s="284">
        <f>BC18*30</f>
        <v>24.57</v>
      </c>
      <c r="BC18" s="1">
        <v>0.81899999999999995</v>
      </c>
      <c r="BD18" s="1">
        <f t="shared" si="21"/>
        <v>0.88649999999999984</v>
      </c>
      <c r="BE18" s="1">
        <v>1.7509999999999999</v>
      </c>
      <c r="BF18" s="1"/>
      <c r="BG18" s="284">
        <f>BH18*30</f>
        <v>20.43</v>
      </c>
      <c r="BH18" s="1">
        <v>0.68100000000000005</v>
      </c>
      <c r="BI18" s="1">
        <f t="shared" si="22"/>
        <v>0.83433333333333337</v>
      </c>
      <c r="BJ18" s="1">
        <v>2.512</v>
      </c>
      <c r="BK18" s="1"/>
      <c r="BL18" s="284">
        <f>BM18*30</f>
        <v>103.29</v>
      </c>
      <c r="BM18" s="1">
        <v>3.4430000000000001</v>
      </c>
      <c r="BN18" s="1">
        <v>3.4430000000000001</v>
      </c>
      <c r="BP18" s="1"/>
      <c r="BQ18" s="284">
        <f>BR18*30</f>
        <v>17.579999999999998</v>
      </c>
      <c r="BR18" s="1">
        <v>0.58599999999999997</v>
      </c>
      <c r="BS18" s="1">
        <f t="shared" si="23"/>
        <v>0.63066666666666671</v>
      </c>
      <c r="BT18" s="1">
        <v>6.76</v>
      </c>
      <c r="BU18" s="1"/>
      <c r="BV18" s="284">
        <f>BW18*30</f>
        <v>6.54</v>
      </c>
      <c r="BW18" s="1">
        <v>0.218</v>
      </c>
      <c r="BX18" s="1">
        <f t="shared" si="24"/>
        <v>0.26974999999999999</v>
      </c>
      <c r="BY18" s="1">
        <v>0.57799999999999996</v>
      </c>
      <c r="BZ18" s="1"/>
      <c r="CA18" s="284">
        <f>CB18*30</f>
        <v>13.950000000000001</v>
      </c>
      <c r="CB18" s="1">
        <v>0.46500000000000002</v>
      </c>
      <c r="CC18" s="1">
        <f t="shared" si="25"/>
        <v>0.55799999999999994</v>
      </c>
      <c r="CD18" s="1">
        <v>6.65</v>
      </c>
      <c r="CE18" s="1"/>
      <c r="CF18" s="284">
        <f>CG18*30</f>
        <v>46.08</v>
      </c>
      <c r="CG18" s="1">
        <v>1.536</v>
      </c>
      <c r="CH18" s="1">
        <v>1.5329999999999999</v>
      </c>
      <c r="CJ18" s="1"/>
      <c r="CK18" s="284">
        <f>CL18*30</f>
        <v>153.86999999999998</v>
      </c>
      <c r="CL18" s="1">
        <v>5.1289999999999996</v>
      </c>
      <c r="CM18" s="1">
        <f t="shared" si="26"/>
        <v>8.7111666666666672</v>
      </c>
      <c r="CN18" s="1">
        <v>14.75</v>
      </c>
      <c r="CO18" s="1"/>
      <c r="CP18" s="284">
        <f>CQ18*30</f>
        <v>374.76000000000005</v>
      </c>
      <c r="CQ18" s="1">
        <v>12.492000000000001</v>
      </c>
      <c r="CR18" s="1">
        <f t="shared" si="27"/>
        <v>14.116833333333334</v>
      </c>
      <c r="CS18" s="1">
        <v>23.9</v>
      </c>
      <c r="CT18" s="1"/>
      <c r="CU18" s="284">
        <f>CV18*30</f>
        <v>103.83</v>
      </c>
      <c r="CV18" s="1">
        <v>3.4609999999999999</v>
      </c>
      <c r="CW18" s="1">
        <f t="shared" si="28"/>
        <v>4.0848333333333331</v>
      </c>
      <c r="CX18" s="1">
        <v>5.7</v>
      </c>
      <c r="CZ18" s="269">
        <f>DA18*30</f>
        <v>19.86</v>
      </c>
      <c r="DA18" s="1">
        <v>0.66200000000000003</v>
      </c>
      <c r="DB18" s="1"/>
      <c r="DC18" s="284">
        <f>DD18*30</f>
        <v>11.4</v>
      </c>
      <c r="DD18" s="1">
        <v>0.38</v>
      </c>
      <c r="DE18" s="1">
        <v>0.377</v>
      </c>
      <c r="DG18" s="1"/>
      <c r="DH18" s="284">
        <f>DI18*30</f>
        <v>84.149999999999991</v>
      </c>
      <c r="DI18" s="5">
        <f t="shared" si="0"/>
        <v>2.8049999999999997</v>
      </c>
      <c r="DJ18" s="1">
        <f t="shared" si="1"/>
        <v>2.9914166666666664</v>
      </c>
      <c r="DK18" s="1"/>
      <c r="DL18" s="1"/>
      <c r="DM18" s="284">
        <f>DN18*30</f>
        <v>2390.0100000000002</v>
      </c>
      <c r="DN18" s="1">
        <f t="shared" si="2"/>
        <v>79.667000000000002</v>
      </c>
      <c r="DO18" s="1">
        <f t="shared" si="3"/>
        <v>98.661249999999995</v>
      </c>
      <c r="DP18" s="1"/>
      <c r="DQ18" s="1"/>
      <c r="DR18" s="284">
        <f>DS18*30</f>
        <v>663.71999999999991</v>
      </c>
      <c r="DS18" s="1">
        <f t="shared" si="4"/>
        <v>22.123999999999999</v>
      </c>
      <c r="DT18" s="1" t="e">
        <f>SUM(CM18+CR18+CW18+#REF!+DE18)</f>
        <v>#REF!</v>
      </c>
      <c r="DU18" s="1"/>
      <c r="DV18" s="1"/>
      <c r="DW18" s="284">
        <f>DX18*30</f>
        <v>3053.73</v>
      </c>
      <c r="DX18" s="1">
        <f t="shared" ref="DX18:DX34" si="31">SUM(DN18+DS18)</f>
        <v>101.791</v>
      </c>
      <c r="DY18" s="1" t="e">
        <f t="shared" ref="DY18:DY34" si="32">SUM(DO18+DT18)</f>
        <v>#REF!</v>
      </c>
      <c r="ED18" s="1"/>
      <c r="EE18" s="1"/>
      <c r="EL18">
        <v>1998</v>
      </c>
      <c r="EM18" t="s">
        <v>771</v>
      </c>
      <c r="EN18" t="s">
        <v>841</v>
      </c>
      <c r="EO18">
        <v>5.88</v>
      </c>
    </row>
    <row r="19" spans="1:145" x14ac:dyDescent="0.25">
      <c r="A19" s="8">
        <v>1998</v>
      </c>
      <c r="B19" s="19" t="s">
        <v>762</v>
      </c>
      <c r="C19" s="19"/>
      <c r="D19" s="284">
        <f>E19*31</f>
        <v>6.9750000000000005</v>
      </c>
      <c r="E19" s="1">
        <v>0.22500000000000001</v>
      </c>
      <c r="F19" s="1">
        <f t="shared" si="12"/>
        <v>0.67849999999999999</v>
      </c>
      <c r="G19" s="1">
        <v>1.3</v>
      </c>
      <c r="N19" s="284">
        <f>O19*31</f>
        <v>96.379000000000005</v>
      </c>
      <c r="O19" s="1">
        <v>3.109</v>
      </c>
      <c r="P19" s="1">
        <f t="shared" si="13"/>
        <v>3.9933333333333327</v>
      </c>
      <c r="Q19" s="1">
        <v>5.99</v>
      </c>
      <c r="S19" s="284">
        <f>T19*31</f>
        <v>132.339</v>
      </c>
      <c r="T19" s="1">
        <v>4.2690000000000001</v>
      </c>
      <c r="U19" s="1">
        <f t="shared" si="14"/>
        <v>5.1405000000000003</v>
      </c>
      <c r="V19" s="1">
        <v>8.4499999999999993</v>
      </c>
      <c r="W19" s="88"/>
      <c r="X19" s="284">
        <f>Y19*31</f>
        <v>551.73799999999994</v>
      </c>
      <c r="Y19" s="1">
        <v>17.797999999999998</v>
      </c>
      <c r="Z19" s="1">
        <f t="shared" si="15"/>
        <v>21.496583333333334</v>
      </c>
      <c r="AA19" s="1">
        <v>27.38</v>
      </c>
      <c r="AB19" s="1"/>
      <c r="AC19" s="284">
        <f>AD19*31</f>
        <v>684.077</v>
      </c>
      <c r="AD19" s="1">
        <f t="shared" si="30"/>
        <v>22.067</v>
      </c>
      <c r="AE19" s="1">
        <f t="shared" si="16"/>
        <v>26.637083333333333</v>
      </c>
      <c r="AF19" s="1">
        <f t="shared" si="29"/>
        <v>35.83</v>
      </c>
      <c r="AH19" s="284">
        <f>AI19*31</f>
        <v>1431.704</v>
      </c>
      <c r="AI19" s="1">
        <v>46.183999999999997</v>
      </c>
      <c r="AJ19" s="1">
        <f t="shared" si="17"/>
        <v>57.455333333333328</v>
      </c>
      <c r="AK19" s="1">
        <v>114.5</v>
      </c>
      <c r="AL19" s="1"/>
      <c r="AM19" s="284">
        <f>AN19*31</f>
        <v>25.110000000000003</v>
      </c>
      <c r="AN19" s="1">
        <v>0.81</v>
      </c>
      <c r="AO19" s="1">
        <f t="shared" si="18"/>
        <v>1.1234166666666665</v>
      </c>
      <c r="AP19" s="1">
        <v>2.052</v>
      </c>
      <c r="AQ19" s="1"/>
      <c r="AR19" s="284">
        <f>AS19*31</f>
        <v>140.399</v>
      </c>
      <c r="AS19" s="1">
        <v>4.5289999999999999</v>
      </c>
      <c r="AT19" s="1">
        <f t="shared" si="19"/>
        <v>4.830750000000001</v>
      </c>
      <c r="AU19" s="1">
        <v>7.375</v>
      </c>
      <c r="AV19" s="1"/>
      <c r="AW19" s="284">
        <f>AX19*31</f>
        <v>20.801000000000002</v>
      </c>
      <c r="AX19" s="1">
        <v>0.67100000000000004</v>
      </c>
      <c r="AY19" s="1">
        <f t="shared" si="20"/>
        <v>0.97091666666666665</v>
      </c>
      <c r="AZ19" s="1">
        <v>2.1739999999999999</v>
      </c>
      <c r="BB19" s="284">
        <f>BC19*31</f>
        <v>26.474</v>
      </c>
      <c r="BC19" s="1">
        <v>0.85399999999999998</v>
      </c>
      <c r="BD19" s="1">
        <f t="shared" si="21"/>
        <v>0.88566666666666671</v>
      </c>
      <c r="BE19" s="1">
        <v>1.7769999999999999</v>
      </c>
      <c r="BF19" s="1"/>
      <c r="BG19" s="284">
        <f>BH19*31</f>
        <v>21.173000000000002</v>
      </c>
      <c r="BH19" s="1">
        <v>0.68300000000000005</v>
      </c>
      <c r="BI19" s="1">
        <f t="shared" si="22"/>
        <v>0.83266666666666678</v>
      </c>
      <c r="BJ19" s="1">
        <v>2.5499999999999998</v>
      </c>
      <c r="BK19" s="1"/>
      <c r="BL19" s="284">
        <f>BM19*31</f>
        <v>106.733</v>
      </c>
      <c r="BM19" s="1">
        <v>3.4430000000000001</v>
      </c>
      <c r="BN19" s="1">
        <v>3.4430000000000001</v>
      </c>
      <c r="BP19" s="1"/>
      <c r="BQ19" s="284">
        <f>BR19*31</f>
        <v>19.158000000000001</v>
      </c>
      <c r="BR19" s="1">
        <v>0.61799999999999999</v>
      </c>
      <c r="BS19" s="1">
        <f t="shared" si="23"/>
        <v>0.63366666666666671</v>
      </c>
      <c r="BT19" s="1">
        <v>1.2729999999999999</v>
      </c>
      <c r="BU19" s="1"/>
      <c r="BV19" s="284">
        <f>BW19*31</f>
        <v>6.6029999999999998</v>
      </c>
      <c r="BW19" s="1">
        <v>0.21299999999999999</v>
      </c>
      <c r="BX19" s="1">
        <f t="shared" si="24"/>
        <v>0.27125000000000005</v>
      </c>
      <c r="BY19" s="1">
        <v>0.47699999999999998</v>
      </c>
      <c r="BZ19" s="1"/>
      <c r="CA19" s="284">
        <f>CB19*31</f>
        <v>13.02</v>
      </c>
      <c r="CB19" s="1">
        <v>0.42</v>
      </c>
      <c r="CC19" s="1">
        <f t="shared" si="25"/>
        <v>0.55033333333333323</v>
      </c>
      <c r="CD19" s="1">
        <v>1.2809999999999999</v>
      </c>
      <c r="CE19" s="1"/>
      <c r="CF19" s="284">
        <f>CG19*31</f>
        <v>47.616</v>
      </c>
      <c r="CG19" s="1">
        <v>1.536</v>
      </c>
      <c r="CH19" s="1">
        <v>1.5329999999999999</v>
      </c>
      <c r="CJ19" s="1"/>
      <c r="CK19" s="284">
        <f>CL19*31</f>
        <v>165.69499999999999</v>
      </c>
      <c r="CL19" s="1">
        <v>5.3449999999999998</v>
      </c>
      <c r="CM19" s="1">
        <f t="shared" si="26"/>
        <v>8.6235833333333343</v>
      </c>
      <c r="CN19" s="1">
        <v>14.87</v>
      </c>
      <c r="CO19" s="1"/>
      <c r="CP19" s="284">
        <f>CQ19*31</f>
        <v>395.18799999999999</v>
      </c>
      <c r="CQ19" s="1">
        <v>12.747999999999999</v>
      </c>
      <c r="CR19" s="1">
        <f t="shared" si="27"/>
        <v>14.130333333333333</v>
      </c>
      <c r="CS19" s="1">
        <v>24.3</v>
      </c>
      <c r="CT19" s="1"/>
      <c r="CU19" s="284">
        <f>CV19*31</f>
        <v>108.46900000000001</v>
      </c>
      <c r="CV19" s="1">
        <v>3.4990000000000001</v>
      </c>
      <c r="CW19" s="1">
        <f t="shared" si="28"/>
        <v>4.0645833333333332</v>
      </c>
      <c r="CX19" s="1">
        <v>6.4</v>
      </c>
      <c r="CZ19" s="269">
        <f>DA19*31</f>
        <v>20.057000000000002</v>
      </c>
      <c r="DA19" s="1">
        <v>0.64700000000000002</v>
      </c>
      <c r="DB19" s="1"/>
      <c r="DC19" s="284">
        <f>DD19*31</f>
        <v>11.78</v>
      </c>
      <c r="DD19" s="1">
        <v>0.38</v>
      </c>
      <c r="DE19" s="1">
        <v>0.377</v>
      </c>
      <c r="DG19" s="1"/>
      <c r="DH19" s="284">
        <f>DI19*31</f>
        <v>86.396999999999991</v>
      </c>
      <c r="DI19" s="5">
        <f t="shared" si="0"/>
        <v>2.7869999999999999</v>
      </c>
      <c r="DJ19" s="1">
        <f t="shared" si="1"/>
        <v>2.9882499999999999</v>
      </c>
      <c r="DK19" s="1"/>
      <c r="DL19" s="1"/>
      <c r="DM19" s="284">
        <f>DN19*31</f>
        <v>2473.4279999999999</v>
      </c>
      <c r="DN19" s="1">
        <f t="shared" si="2"/>
        <v>79.787999999999997</v>
      </c>
      <c r="DO19" s="1">
        <f t="shared" si="3"/>
        <v>97.862416666666661</v>
      </c>
      <c r="DP19" s="1"/>
      <c r="DQ19" s="1"/>
      <c r="DR19" s="284">
        <f>DS19*31</f>
        <v>701.18899999999985</v>
      </c>
      <c r="DS19" s="1">
        <f t="shared" si="4"/>
        <v>22.618999999999996</v>
      </c>
      <c r="DT19" s="1" t="e">
        <f>SUM(CM19+CR19+CW19+#REF!+DE19)</f>
        <v>#REF!</v>
      </c>
      <c r="DU19" s="1"/>
      <c r="DV19" s="1"/>
      <c r="DW19" s="284">
        <f>DX19*31</f>
        <v>3174.6169999999997</v>
      </c>
      <c r="DX19" s="1">
        <f t="shared" si="31"/>
        <v>102.407</v>
      </c>
      <c r="DY19" s="1" t="e">
        <f t="shared" si="32"/>
        <v>#REF!</v>
      </c>
      <c r="ED19" s="1">
        <f>EE19*92</f>
        <v>2057.7640000000001</v>
      </c>
      <c r="EE19" s="1">
        <f>AVERAGE(DS17:DS19)</f>
        <v>22.367000000000001</v>
      </c>
      <c r="EF19" s="1">
        <f>SUM(EE10+EE13+EE16+EE19)/4</f>
        <v>28.052083333333336</v>
      </c>
      <c r="EL19">
        <v>1998</v>
      </c>
      <c r="EM19" t="s">
        <v>762</v>
      </c>
      <c r="EN19" t="s">
        <v>841</v>
      </c>
      <c r="EO19">
        <v>6.9750000000000005</v>
      </c>
    </row>
    <row r="20" spans="1:145" x14ac:dyDescent="0.25">
      <c r="A20" s="8">
        <v>1999</v>
      </c>
      <c r="B20" s="19" t="s">
        <v>763</v>
      </c>
      <c r="C20" s="19"/>
      <c r="D20" s="284">
        <f>E20*31</f>
        <v>16.988</v>
      </c>
      <c r="E20" s="1">
        <v>0.54800000000000004</v>
      </c>
      <c r="F20" s="1">
        <f t="shared" si="12"/>
        <v>0.67999999999999983</v>
      </c>
      <c r="G20" s="1">
        <v>2.5</v>
      </c>
      <c r="N20" s="284">
        <f>O20*31</f>
        <v>101.587</v>
      </c>
      <c r="O20" s="1">
        <v>3.2770000000000001</v>
      </c>
      <c r="P20" s="1">
        <f t="shared" si="13"/>
        <v>3.9674999999999998</v>
      </c>
      <c r="Q20" s="1">
        <v>7.6</v>
      </c>
      <c r="S20" s="284">
        <f>T20*31</f>
        <v>145.66899999999998</v>
      </c>
      <c r="T20" s="1">
        <v>4.6989999999999998</v>
      </c>
      <c r="U20" s="1">
        <f t="shared" si="14"/>
        <v>5.1901666666666664</v>
      </c>
      <c r="V20" s="1">
        <v>10.37</v>
      </c>
      <c r="W20" s="88"/>
      <c r="X20" s="284">
        <f>Y20*31</f>
        <v>596.22300000000007</v>
      </c>
      <c r="Y20" s="1">
        <v>19.233000000000001</v>
      </c>
      <c r="Z20" s="1">
        <f t="shared" si="15"/>
        <v>21.359666666666666</v>
      </c>
      <c r="AA20" s="1">
        <v>31.14</v>
      </c>
      <c r="AB20" s="1"/>
      <c r="AC20" s="284">
        <f>AD20*31</f>
        <v>741.89200000000005</v>
      </c>
      <c r="AD20" s="1">
        <f t="shared" si="30"/>
        <v>23.932000000000002</v>
      </c>
      <c r="AE20" s="1">
        <f t="shared" si="16"/>
        <v>26.549833333333336</v>
      </c>
      <c r="AF20" s="1">
        <f t="shared" si="29"/>
        <v>41.51</v>
      </c>
      <c r="AH20" s="284">
        <f>AI20*31</f>
        <v>1543.3969999999999</v>
      </c>
      <c r="AI20" s="1">
        <v>49.786999999999999</v>
      </c>
      <c r="AJ20" s="1">
        <f t="shared" si="17"/>
        <v>56.468416666666663</v>
      </c>
      <c r="AK20" s="1">
        <v>137.9</v>
      </c>
      <c r="AL20" s="1"/>
      <c r="AM20" s="284">
        <f>AN20*31</f>
        <v>27.466000000000001</v>
      </c>
      <c r="AN20" s="1">
        <v>0.88600000000000001</v>
      </c>
      <c r="AO20" s="1">
        <f t="shared" si="18"/>
        <v>1.0972499999999998</v>
      </c>
      <c r="AP20" s="1">
        <v>3.9830000000000001</v>
      </c>
      <c r="AQ20" s="1"/>
      <c r="AR20" s="284">
        <f>AS20*31</f>
        <v>157.72800000000001</v>
      </c>
      <c r="AS20" s="1">
        <v>5.0880000000000001</v>
      </c>
      <c r="AT20" s="1">
        <f t="shared" si="19"/>
        <v>4.8367500000000003</v>
      </c>
      <c r="AU20" s="1">
        <v>15.186999999999999</v>
      </c>
      <c r="AV20" s="1"/>
      <c r="AW20" s="284">
        <f>AX20*31</f>
        <v>22.32</v>
      </c>
      <c r="AX20" s="1">
        <v>0.72</v>
      </c>
      <c r="AY20" s="1">
        <f t="shared" si="20"/>
        <v>0.91141666666666665</v>
      </c>
      <c r="AZ20" s="1">
        <v>2.8090000000000002</v>
      </c>
      <c r="BB20" s="284">
        <f>BC20*31</f>
        <v>26.535999999999998</v>
      </c>
      <c r="BC20" s="1">
        <v>0.85599999999999998</v>
      </c>
      <c r="BD20" s="1">
        <f t="shared" si="21"/>
        <v>0.87916666666666654</v>
      </c>
      <c r="BE20" s="1">
        <v>2.339</v>
      </c>
      <c r="BF20" s="1"/>
      <c r="BG20" s="284">
        <f>BH20*31</f>
        <v>25.916</v>
      </c>
      <c r="BH20" s="1">
        <v>0.83599999999999997</v>
      </c>
      <c r="BI20" s="1">
        <f t="shared" si="22"/>
        <v>0.82633333333333325</v>
      </c>
      <c r="BJ20" s="1">
        <v>3.9849999999999999</v>
      </c>
      <c r="BK20" s="1"/>
      <c r="BL20" s="284">
        <f>BM20*31</f>
        <v>106.733</v>
      </c>
      <c r="BM20" s="1">
        <v>3.4430000000000001</v>
      </c>
      <c r="BN20" s="1">
        <v>3.4430000000000001</v>
      </c>
      <c r="BP20" s="1"/>
      <c r="BQ20" s="284">
        <f>BR20*31</f>
        <v>20.584</v>
      </c>
      <c r="BR20" s="1">
        <v>0.66400000000000003</v>
      </c>
      <c r="BS20" s="1">
        <f t="shared" si="23"/>
        <v>0.63800000000000001</v>
      </c>
      <c r="BT20" s="1">
        <v>6.5060000000000002</v>
      </c>
      <c r="BU20" s="1"/>
      <c r="BV20" s="284">
        <f>BW20*31</f>
        <v>8.06</v>
      </c>
      <c r="BW20" s="1">
        <v>0.26</v>
      </c>
      <c r="BX20" s="1">
        <f t="shared" si="24"/>
        <v>0.26758333333333334</v>
      </c>
      <c r="BY20" s="1">
        <v>4.0640000000000001</v>
      </c>
      <c r="BZ20" s="1"/>
      <c r="CA20" s="284">
        <f>CB20*31</f>
        <v>12.927</v>
      </c>
      <c r="CB20" s="1">
        <v>0.41699999999999998</v>
      </c>
      <c r="CC20" s="1">
        <f t="shared" si="25"/>
        <v>0.53625</v>
      </c>
      <c r="CD20" s="1">
        <v>1.9990000000000001</v>
      </c>
      <c r="CE20" s="1"/>
      <c r="CF20" s="284">
        <f>CG20*31</f>
        <v>47.616</v>
      </c>
      <c r="CG20" s="1">
        <v>1.536</v>
      </c>
      <c r="CH20" s="1">
        <v>1.5329999999999999</v>
      </c>
      <c r="CJ20" s="1"/>
      <c r="CK20" s="284">
        <f>CL20*31</f>
        <v>300.11099999999999</v>
      </c>
      <c r="CL20" s="1">
        <v>9.6809999999999992</v>
      </c>
      <c r="CM20" s="1">
        <f t="shared" si="26"/>
        <v>8.7087500000000002</v>
      </c>
      <c r="CN20" s="1">
        <v>19.91</v>
      </c>
      <c r="CO20" s="1"/>
      <c r="CP20" s="284">
        <f>CQ20*31</f>
        <v>395.56</v>
      </c>
      <c r="CQ20" s="1">
        <v>12.76</v>
      </c>
      <c r="CR20" s="1">
        <f t="shared" si="27"/>
        <v>14.034333333333331</v>
      </c>
      <c r="CS20" s="1">
        <v>25.9</v>
      </c>
      <c r="CT20" s="1"/>
      <c r="CU20" s="284">
        <f>CV20*31</f>
        <v>119.44300000000001</v>
      </c>
      <c r="CV20" s="1">
        <v>3.8530000000000002</v>
      </c>
      <c r="CW20" s="1">
        <f t="shared" si="28"/>
        <v>4.0430000000000001</v>
      </c>
      <c r="CX20" s="1">
        <v>7.2</v>
      </c>
      <c r="CZ20" s="269">
        <f>DA20*31</f>
        <v>22.474999999999998</v>
      </c>
      <c r="DA20" s="1">
        <v>0.72499999999999998</v>
      </c>
      <c r="DB20" s="1"/>
      <c r="DC20" s="284">
        <f>DD20*31</f>
        <v>11.78</v>
      </c>
      <c r="DD20" s="1">
        <v>0.38</v>
      </c>
      <c r="DE20" s="1">
        <f t="shared" ref="DE20:DE27" si="33">SUM(DD9:DD20)/12</f>
        <v>0.37916666666666665</v>
      </c>
      <c r="DG20" s="1"/>
      <c r="DH20" s="284">
        <f>DI20*31</f>
        <v>89.186999999999998</v>
      </c>
      <c r="DI20" s="5">
        <f t="shared" si="0"/>
        <v>2.8769999999999998</v>
      </c>
      <c r="DJ20" s="1">
        <f t="shared" si="1"/>
        <v>2.9748333333333332</v>
      </c>
      <c r="DK20" s="1"/>
      <c r="DL20" s="1"/>
      <c r="DM20" s="284">
        <f>DN20*31</f>
        <v>2681.3759999999993</v>
      </c>
      <c r="DN20" s="1">
        <f t="shared" si="2"/>
        <v>86.495999999999981</v>
      </c>
      <c r="DO20" s="1">
        <f t="shared" si="3"/>
        <v>96.68483333333333</v>
      </c>
      <c r="DP20" s="1"/>
      <c r="DQ20" s="1"/>
      <c r="DR20" s="284">
        <f>DS20*31</f>
        <v>849.36900000000003</v>
      </c>
      <c r="DS20" s="1">
        <f t="shared" si="4"/>
        <v>27.399000000000001</v>
      </c>
      <c r="DT20" s="1" t="e">
        <f>SUM(CM20+CR20+CW20+#REF!+DE20)</f>
        <v>#REF!</v>
      </c>
      <c r="DU20" s="1"/>
      <c r="DV20" s="1"/>
      <c r="DW20" s="284">
        <f>DX20*31</f>
        <v>3530.7449999999994</v>
      </c>
      <c r="DX20" s="1">
        <f t="shared" si="31"/>
        <v>113.89499999999998</v>
      </c>
      <c r="DY20" s="1" t="e">
        <f t="shared" si="32"/>
        <v>#REF!</v>
      </c>
      <c r="EL20">
        <v>1999</v>
      </c>
      <c r="EM20" t="s">
        <v>763</v>
      </c>
      <c r="EN20" t="s">
        <v>841</v>
      </c>
      <c r="EO20">
        <v>16.988</v>
      </c>
    </row>
    <row r="21" spans="1:145" x14ac:dyDescent="0.25">
      <c r="A21" s="8">
        <v>1999</v>
      </c>
      <c r="B21" s="19" t="s">
        <v>772</v>
      </c>
      <c r="C21" s="19"/>
      <c r="D21" s="284">
        <f>E21*28</f>
        <v>17.079999999999998</v>
      </c>
      <c r="E21" s="1">
        <v>0.61</v>
      </c>
      <c r="F21" s="1">
        <f t="shared" si="12"/>
        <v>0.67233333333333334</v>
      </c>
      <c r="G21" s="1">
        <v>5.4</v>
      </c>
      <c r="N21" s="284">
        <f>O21*28</f>
        <v>91.195999999999998</v>
      </c>
      <c r="O21" s="1">
        <v>3.2570000000000001</v>
      </c>
      <c r="P21" s="1">
        <f t="shared" si="13"/>
        <v>3.8786666666666663</v>
      </c>
      <c r="Q21" s="1">
        <v>6</v>
      </c>
      <c r="S21" s="284">
        <f>T21*28</f>
        <v>131.79599999999999</v>
      </c>
      <c r="T21" s="1">
        <v>4.7069999999999999</v>
      </c>
      <c r="U21" s="1">
        <f t="shared" si="14"/>
        <v>5.1141666666666667</v>
      </c>
      <c r="V21" s="1">
        <v>8.0500000000000007</v>
      </c>
      <c r="W21" s="88"/>
      <c r="X21" s="284">
        <f>Y21*28</f>
        <v>548.63200000000006</v>
      </c>
      <c r="Y21" s="1">
        <v>19.594000000000001</v>
      </c>
      <c r="Z21" s="1">
        <f t="shared" si="15"/>
        <v>20.901499999999999</v>
      </c>
      <c r="AA21" s="1">
        <v>26.61</v>
      </c>
      <c r="AB21" s="1"/>
      <c r="AC21" s="284">
        <f>AD21*28</f>
        <v>680.42800000000011</v>
      </c>
      <c r="AD21" s="1">
        <f t="shared" si="30"/>
        <v>24.301000000000002</v>
      </c>
      <c r="AE21" s="1">
        <f t="shared" si="16"/>
        <v>26.015666666666664</v>
      </c>
      <c r="AF21" s="1">
        <f t="shared" si="29"/>
        <v>34.659999999999997</v>
      </c>
      <c r="AH21" s="284">
        <f>AI21*28</f>
        <v>1372.616</v>
      </c>
      <c r="AI21" s="1">
        <v>49.021999999999998</v>
      </c>
      <c r="AJ21" s="1">
        <f t="shared" si="17"/>
        <v>54.457333333333338</v>
      </c>
      <c r="AK21" s="1">
        <v>89.34</v>
      </c>
      <c r="AL21" s="1"/>
      <c r="AM21" s="284">
        <f>AN21*28</f>
        <v>22.400000000000002</v>
      </c>
      <c r="AN21" s="1">
        <v>0.8</v>
      </c>
      <c r="AO21" s="1">
        <f t="shared" si="18"/>
        <v>1.0405</v>
      </c>
      <c r="AP21" s="1">
        <v>1.956</v>
      </c>
      <c r="AQ21" s="1"/>
      <c r="AR21" s="284">
        <f>AS21*28</f>
        <v>130.98400000000001</v>
      </c>
      <c r="AS21" s="1">
        <v>4.6779999999999999</v>
      </c>
      <c r="AT21" s="1">
        <f t="shared" si="19"/>
        <v>4.7035833333333334</v>
      </c>
      <c r="AU21" s="1">
        <v>7.0670000000000002</v>
      </c>
      <c r="AV21" s="1"/>
      <c r="AW21" s="284">
        <f>AX21*28</f>
        <v>20.411999999999999</v>
      </c>
      <c r="AX21" s="1">
        <v>0.72899999999999998</v>
      </c>
      <c r="AY21" s="1">
        <f t="shared" si="20"/>
        <v>0.85408333333333319</v>
      </c>
      <c r="AZ21" s="1">
        <v>1.5649999999999999</v>
      </c>
      <c r="BB21" s="284">
        <f>BC21*28</f>
        <v>25.088000000000001</v>
      </c>
      <c r="BC21" s="1">
        <v>0.89600000000000002</v>
      </c>
      <c r="BD21" s="1">
        <f t="shared" si="21"/>
        <v>0.86441666666666672</v>
      </c>
      <c r="BE21" s="1">
        <v>1.5369999999999999</v>
      </c>
      <c r="BF21" s="1"/>
      <c r="BG21" s="284">
        <f>BH21*28</f>
        <v>22.456000000000003</v>
      </c>
      <c r="BH21" s="1">
        <v>0.80200000000000005</v>
      </c>
      <c r="BI21" s="1">
        <f t="shared" si="22"/>
        <v>0.81574999999999998</v>
      </c>
      <c r="BJ21" s="1">
        <v>2.6419999999999999</v>
      </c>
      <c r="BK21" s="1"/>
      <c r="BL21" s="284">
        <f>BM21*28</f>
        <v>96.403999999999996</v>
      </c>
      <c r="BM21" s="1">
        <v>3.4430000000000001</v>
      </c>
      <c r="BN21" s="1">
        <v>3.4430000000000001</v>
      </c>
      <c r="BP21" s="1"/>
      <c r="BQ21" s="284">
        <f>BR21*28</f>
        <v>17.864000000000001</v>
      </c>
      <c r="BR21" s="1">
        <v>0.63800000000000001</v>
      </c>
      <c r="BS21" s="1">
        <f t="shared" si="23"/>
        <v>0.64483333333333337</v>
      </c>
      <c r="BT21" s="1">
        <v>1.2609999999999999</v>
      </c>
      <c r="BU21" s="1"/>
      <c r="BV21" s="284">
        <f>BW21*28</f>
        <v>7.0839999999999996</v>
      </c>
      <c r="BW21" s="1">
        <v>0.253</v>
      </c>
      <c r="BX21" s="1">
        <f t="shared" si="24"/>
        <v>0.25158333333333333</v>
      </c>
      <c r="BY21" s="1">
        <v>0.52400000000000002</v>
      </c>
      <c r="BZ21" s="1"/>
      <c r="CA21" s="284">
        <f>CB21*28</f>
        <v>12.74</v>
      </c>
      <c r="CB21" s="1">
        <v>0.45500000000000002</v>
      </c>
      <c r="CC21" s="1">
        <f t="shared" si="25"/>
        <v>0.5136666666666666</v>
      </c>
      <c r="CD21" s="1">
        <v>0.751</v>
      </c>
      <c r="CE21" s="1"/>
      <c r="CF21" s="284">
        <f>CG21*28</f>
        <v>43.008000000000003</v>
      </c>
      <c r="CG21" s="1">
        <v>1.536</v>
      </c>
      <c r="CH21" s="1">
        <v>1.5329999999999999</v>
      </c>
      <c r="CJ21" s="1"/>
      <c r="CK21" s="284">
        <f>CL21*28</f>
        <v>280.30799999999999</v>
      </c>
      <c r="CL21" s="1">
        <v>10.010999999999999</v>
      </c>
      <c r="CM21" s="1">
        <f t="shared" si="26"/>
        <v>8.4668333333333319</v>
      </c>
      <c r="CN21" s="1">
        <v>15.64</v>
      </c>
      <c r="CO21" s="1"/>
      <c r="CP21" s="284">
        <f>CQ21*28</f>
        <v>339.38800000000003</v>
      </c>
      <c r="CQ21" s="1">
        <v>12.121</v>
      </c>
      <c r="CR21" s="1">
        <f t="shared" si="27"/>
        <v>13.761333333333333</v>
      </c>
      <c r="CS21" s="1">
        <v>23.5</v>
      </c>
      <c r="CT21" s="1"/>
      <c r="CU21" s="284">
        <f>CV21*28</f>
        <v>107.072</v>
      </c>
      <c r="CV21" s="1">
        <v>3.8239999999999998</v>
      </c>
      <c r="CW21" s="1">
        <f t="shared" si="28"/>
        <v>3.9666666666666663</v>
      </c>
      <c r="CX21" s="1">
        <v>6.4</v>
      </c>
      <c r="CZ21" s="269">
        <f>DA21*28</f>
        <v>20.187999999999999</v>
      </c>
      <c r="DA21" s="1">
        <v>0.72099999999999997</v>
      </c>
      <c r="DB21" s="1"/>
      <c r="DC21" s="284">
        <f>DD21*28</f>
        <v>10.64</v>
      </c>
      <c r="DD21" s="1">
        <v>0.38</v>
      </c>
      <c r="DE21" s="1">
        <f t="shared" si="33"/>
        <v>0.3793333333333333</v>
      </c>
      <c r="DG21" s="1"/>
      <c r="DH21" s="284">
        <f>DI21*28</f>
        <v>80.695999999999998</v>
      </c>
      <c r="DI21" s="5">
        <f t="shared" si="0"/>
        <v>2.8820000000000001</v>
      </c>
      <c r="DJ21" s="1">
        <f t="shared" si="1"/>
        <v>2.9430833333333331</v>
      </c>
      <c r="DK21" s="1"/>
      <c r="DL21" s="1"/>
      <c r="DM21" s="284">
        <f>DN21*28</f>
        <v>2398.3679999999999</v>
      </c>
      <c r="DN21" s="1">
        <f t="shared" si="2"/>
        <v>85.655999999999992</v>
      </c>
      <c r="DO21" s="1">
        <f t="shared" si="3"/>
        <v>93.802249999999987</v>
      </c>
      <c r="DP21" s="1"/>
      <c r="DQ21" s="1"/>
      <c r="DR21" s="284">
        <f>DS21*28</f>
        <v>757.59599999999989</v>
      </c>
      <c r="DS21" s="1">
        <f t="shared" si="4"/>
        <v>27.056999999999995</v>
      </c>
      <c r="DT21" s="1" t="e">
        <f>SUM(CM21+CR21+CW21+#REF!+DE21)</f>
        <v>#REF!</v>
      </c>
      <c r="DU21" s="1"/>
      <c r="DV21" s="1"/>
      <c r="DW21" s="284">
        <f>DX21*28</f>
        <v>3155.9639999999999</v>
      </c>
      <c r="DX21" s="1">
        <f t="shared" si="31"/>
        <v>112.71299999999999</v>
      </c>
      <c r="DY21" s="1" t="e">
        <f t="shared" si="32"/>
        <v>#REF!</v>
      </c>
      <c r="EL21">
        <v>1999</v>
      </c>
      <c r="EM21" t="s">
        <v>772</v>
      </c>
      <c r="EN21" t="s">
        <v>841</v>
      </c>
      <c r="EO21">
        <v>17.079999999999998</v>
      </c>
    </row>
    <row r="22" spans="1:145" x14ac:dyDescent="0.25">
      <c r="A22" s="8">
        <v>1999</v>
      </c>
      <c r="B22" s="19" t="s">
        <v>773</v>
      </c>
      <c r="C22" s="19"/>
      <c r="D22" s="284">
        <f>E22*31</f>
        <v>16.182000000000002</v>
      </c>
      <c r="E22" s="1">
        <v>0.52200000000000002</v>
      </c>
      <c r="F22" s="1">
        <f t="shared" ref="F22:F33" si="34">SUM(E11:E22)/12</f>
        <v>0.64974999999999994</v>
      </c>
      <c r="G22" s="1">
        <v>1.4</v>
      </c>
      <c r="N22" s="284">
        <f>O22*31</f>
        <v>109.36799999999999</v>
      </c>
      <c r="O22" s="1">
        <v>3.528</v>
      </c>
      <c r="P22" s="1">
        <f t="shared" si="13"/>
        <v>3.78125</v>
      </c>
      <c r="Q22" s="1">
        <v>6.4</v>
      </c>
      <c r="S22" s="284">
        <f>T22*31</f>
        <v>176.04900000000001</v>
      </c>
      <c r="T22" s="1">
        <v>5.6790000000000003</v>
      </c>
      <c r="U22" s="1">
        <f t="shared" si="14"/>
        <v>5.0581666666666667</v>
      </c>
      <c r="V22" s="1">
        <v>9.81</v>
      </c>
      <c r="W22" s="88"/>
      <c r="X22" s="284">
        <f>Y22*31</f>
        <v>673.87799999999993</v>
      </c>
      <c r="Y22" s="1">
        <v>21.738</v>
      </c>
      <c r="Z22" s="1">
        <f t="shared" si="15"/>
        <v>20.521666666666665</v>
      </c>
      <c r="AA22" s="1">
        <v>30.5</v>
      </c>
      <c r="AB22" s="1"/>
      <c r="AC22" s="284">
        <f>AD22*31</f>
        <v>849.92700000000002</v>
      </c>
      <c r="AD22" s="1">
        <f t="shared" si="30"/>
        <v>27.417000000000002</v>
      </c>
      <c r="AE22" s="1">
        <f t="shared" ref="AE22:AE28" si="35">SUM(AD11:AD22)/12</f>
        <v>25.57983333333333</v>
      </c>
      <c r="AF22" s="1">
        <f t="shared" si="29"/>
        <v>40.31</v>
      </c>
      <c r="AH22" s="284">
        <f>AI22*31</f>
        <v>1715.9119999999998</v>
      </c>
      <c r="AI22" s="1">
        <v>55.351999999999997</v>
      </c>
      <c r="AJ22" s="1">
        <f t="shared" si="17"/>
        <v>52.605166666666669</v>
      </c>
      <c r="AK22" s="1">
        <v>150.69999999999999</v>
      </c>
      <c r="AL22" s="1"/>
      <c r="AM22" s="284">
        <f>AN22*31</f>
        <v>29.945999999999998</v>
      </c>
      <c r="AN22" s="1">
        <v>0.96599999999999997</v>
      </c>
      <c r="AO22" s="1">
        <f t="shared" si="18"/>
        <v>0.99824999999999997</v>
      </c>
      <c r="AP22" s="1">
        <v>3.008</v>
      </c>
      <c r="AQ22" s="1"/>
      <c r="AR22" s="284">
        <f>AS22*31</f>
        <v>169.72499999999999</v>
      </c>
      <c r="AS22" s="1">
        <v>5.4749999999999996</v>
      </c>
      <c r="AT22" s="1">
        <f t="shared" si="19"/>
        <v>4.6728333333333332</v>
      </c>
      <c r="AU22" s="1">
        <v>9.4789999999999992</v>
      </c>
      <c r="AV22" s="1"/>
      <c r="AW22" s="284">
        <f>AX22*31</f>
        <v>23.187999999999999</v>
      </c>
      <c r="AX22" s="1">
        <v>0.748</v>
      </c>
      <c r="AY22" s="1">
        <f t="shared" si="20"/>
        <v>0.81433333333333324</v>
      </c>
      <c r="AZ22" s="1">
        <v>2.456</v>
      </c>
      <c r="BB22" s="284">
        <f>BC22*31</f>
        <v>29.821999999999999</v>
      </c>
      <c r="BC22" s="1">
        <v>0.96199999999999997</v>
      </c>
      <c r="BD22" s="1">
        <f t="shared" si="21"/>
        <v>0.8563333333333335</v>
      </c>
      <c r="BE22" s="1">
        <v>2.512</v>
      </c>
      <c r="BF22" s="1"/>
      <c r="BG22" s="284">
        <f>BH22*31</f>
        <v>30.38</v>
      </c>
      <c r="BH22" s="1">
        <v>0.98</v>
      </c>
      <c r="BI22" s="1">
        <f t="shared" si="22"/>
        <v>0.80483333333333329</v>
      </c>
      <c r="BJ22" s="1">
        <v>3.5739999999999998</v>
      </c>
      <c r="BK22" s="1"/>
      <c r="BL22" s="284">
        <f>BM22*31</f>
        <v>106.733</v>
      </c>
      <c r="BM22" s="1">
        <v>3.4430000000000001</v>
      </c>
      <c r="BN22" s="1">
        <v>3.4430000000000001</v>
      </c>
      <c r="BP22" s="1"/>
      <c r="BQ22" s="284">
        <f>BR22*31</f>
        <v>19.902000000000001</v>
      </c>
      <c r="BR22" s="1">
        <v>0.64200000000000002</v>
      </c>
      <c r="BS22" s="1">
        <f t="shared" si="23"/>
        <v>0.63958333333333339</v>
      </c>
      <c r="BT22" s="1">
        <v>1.554</v>
      </c>
      <c r="BU22" s="1"/>
      <c r="BV22" s="284">
        <f>BW22*31</f>
        <v>9.0830000000000002</v>
      </c>
      <c r="BW22" s="1">
        <v>0.29299999999999998</v>
      </c>
      <c r="BX22" s="1">
        <f t="shared" si="24"/>
        <v>0.24066666666666667</v>
      </c>
      <c r="BY22" s="1">
        <v>1.2529999999999999</v>
      </c>
      <c r="BZ22" s="1"/>
      <c r="CA22" s="284">
        <f>CB22*31</f>
        <v>16.523</v>
      </c>
      <c r="CB22" s="1">
        <v>0.53300000000000003</v>
      </c>
      <c r="CC22" s="1">
        <f t="shared" si="25"/>
        <v>0.50208333333333333</v>
      </c>
      <c r="CD22" s="1">
        <v>1.194</v>
      </c>
      <c r="CE22" s="1"/>
      <c r="CF22" s="284">
        <f>CG22*31</f>
        <v>47.616</v>
      </c>
      <c r="CG22" s="1">
        <v>1.536</v>
      </c>
      <c r="CH22" s="1">
        <f>SUM(CG11:CG22)/12</f>
        <v>1.534</v>
      </c>
      <c r="CJ22" s="1"/>
      <c r="CK22" s="284">
        <f>CL22*31</f>
        <v>361.61499999999995</v>
      </c>
      <c r="CL22" s="1">
        <v>11.664999999999999</v>
      </c>
      <c r="CM22" s="1">
        <f t="shared" si="26"/>
        <v>8.1989999999999998</v>
      </c>
      <c r="CN22" s="1">
        <v>18.37</v>
      </c>
      <c r="CO22" s="1"/>
      <c r="CP22" s="284">
        <f>CQ22*31</f>
        <v>452.25900000000001</v>
      </c>
      <c r="CQ22" s="1">
        <v>14.589</v>
      </c>
      <c r="CR22" s="1">
        <f t="shared" si="27"/>
        <v>13.644416666666666</v>
      </c>
      <c r="CS22" s="1">
        <v>24</v>
      </c>
      <c r="CT22" s="1"/>
      <c r="CU22" s="284">
        <f>CV22*31</f>
        <v>138.41499999999999</v>
      </c>
      <c r="CV22" s="1">
        <v>4.4649999999999999</v>
      </c>
      <c r="CW22" s="1">
        <f t="shared" si="28"/>
        <v>3.921416666666667</v>
      </c>
      <c r="CX22" s="1">
        <v>7.3</v>
      </c>
      <c r="CZ22" s="269">
        <f>DA22*31</f>
        <v>27.683</v>
      </c>
      <c r="DA22" s="1">
        <v>0.89300000000000002</v>
      </c>
      <c r="DB22" s="1"/>
      <c r="DC22" s="284">
        <f>DD22*31</f>
        <v>11.78</v>
      </c>
      <c r="DD22" s="1">
        <v>0.38</v>
      </c>
      <c r="DE22" s="1">
        <f t="shared" si="33"/>
        <v>0.37949999999999995</v>
      </c>
      <c r="DG22" s="1"/>
      <c r="DH22" s="284">
        <f>DI22*31</f>
        <v>93.123999999999995</v>
      </c>
      <c r="DI22" s="5">
        <f t="shared" si="0"/>
        <v>3.004</v>
      </c>
      <c r="DJ22" s="1">
        <f t="shared" si="1"/>
        <v>2.9163333333333332</v>
      </c>
      <c r="DK22" s="1"/>
      <c r="DL22" s="1"/>
      <c r="DM22" s="284">
        <f>DN22*31</f>
        <v>2988.0589999999997</v>
      </c>
      <c r="DN22" s="1">
        <f t="shared" si="2"/>
        <v>96.388999999999996</v>
      </c>
      <c r="DO22" s="1">
        <f t="shared" si="3"/>
        <v>91.28925000000001</v>
      </c>
      <c r="DP22" s="1"/>
      <c r="DQ22" s="1"/>
      <c r="DR22" s="284">
        <f>DS22*31</f>
        <v>991.75199999999995</v>
      </c>
      <c r="DS22" s="1">
        <f t="shared" si="4"/>
        <v>31.991999999999997</v>
      </c>
      <c r="DT22" s="1" t="e">
        <f>SUM(CM22+CR22+CW22+#REF!+DE22)</f>
        <v>#REF!</v>
      </c>
      <c r="DU22" s="1"/>
      <c r="DV22" s="1"/>
      <c r="DW22" s="284">
        <f>DX22*31</f>
        <v>3979.8110000000001</v>
      </c>
      <c r="DX22" s="1">
        <f t="shared" si="31"/>
        <v>128.381</v>
      </c>
      <c r="DY22" s="1" t="e">
        <f t="shared" si="32"/>
        <v>#REF!</v>
      </c>
      <c r="ED22" s="1">
        <f>EE22*92</f>
        <v>2651.0720000000001</v>
      </c>
      <c r="EE22" s="1">
        <f>AVERAGE(DS20:DS22)</f>
        <v>28.815999999999999</v>
      </c>
      <c r="EF22" s="1">
        <f>SUM(EE13+EE16+EE19+EE22)/4</f>
        <v>26.935083333333335</v>
      </c>
      <c r="EL22">
        <v>1999</v>
      </c>
      <c r="EM22" t="s">
        <v>773</v>
      </c>
      <c r="EN22" t="s">
        <v>841</v>
      </c>
      <c r="EO22">
        <v>16.182000000000002</v>
      </c>
    </row>
    <row r="23" spans="1:145" x14ac:dyDescent="0.25">
      <c r="A23" s="8">
        <v>1999</v>
      </c>
      <c r="B23" s="19" t="s">
        <v>774</v>
      </c>
      <c r="C23" s="19"/>
      <c r="D23" s="284">
        <f>E23*30</f>
        <v>12.09</v>
      </c>
      <c r="E23" s="1">
        <v>0.40300000000000002</v>
      </c>
      <c r="F23" s="1">
        <f t="shared" si="34"/>
        <v>0.56633333333333324</v>
      </c>
      <c r="G23" s="6">
        <v>1.2</v>
      </c>
      <c r="H23" s="6"/>
      <c r="I23" s="285"/>
      <c r="J23" s="6"/>
      <c r="K23" s="6"/>
      <c r="L23" s="6"/>
      <c r="N23" s="284">
        <f>O23*30</f>
        <v>109.74</v>
      </c>
      <c r="O23" s="1">
        <v>3.6579999999999999</v>
      </c>
      <c r="P23" s="1">
        <f t="shared" si="13"/>
        <v>3.7098333333333335</v>
      </c>
      <c r="Q23" s="1">
        <v>6.5</v>
      </c>
      <c r="S23" s="284">
        <f>T23*30</f>
        <v>161.36999999999998</v>
      </c>
      <c r="T23" s="1">
        <v>5.3789999999999996</v>
      </c>
      <c r="U23" s="1">
        <f t="shared" si="14"/>
        <v>5.0548333333333328</v>
      </c>
      <c r="V23" s="1">
        <v>7.4</v>
      </c>
      <c r="W23" s="88"/>
      <c r="X23" s="284">
        <f>Y23*30</f>
        <v>629.01</v>
      </c>
      <c r="Y23" s="1">
        <v>20.966999999999999</v>
      </c>
      <c r="Z23" s="1">
        <f t="shared" si="15"/>
        <v>20.214749999999999</v>
      </c>
      <c r="AA23" s="1">
        <v>28.6</v>
      </c>
      <c r="AB23" s="1"/>
      <c r="AC23" s="284">
        <f>AD23*30</f>
        <v>790.37999999999988</v>
      </c>
      <c r="AD23" s="1">
        <f t="shared" si="30"/>
        <v>26.345999999999997</v>
      </c>
      <c r="AE23" s="1">
        <f t="shared" si="35"/>
        <v>25.269583333333333</v>
      </c>
      <c r="AF23" s="1">
        <v>36</v>
      </c>
      <c r="AH23" s="284">
        <f>AI23*30</f>
        <v>1543.5900000000001</v>
      </c>
      <c r="AI23" s="1">
        <v>51.453000000000003</v>
      </c>
      <c r="AJ23" s="1">
        <f t="shared" si="17"/>
        <v>51.370416666666664</v>
      </c>
      <c r="AK23" s="1">
        <v>126.1</v>
      </c>
      <c r="AL23" s="1"/>
      <c r="AM23" s="284">
        <f>AN23*30</f>
        <v>26.04</v>
      </c>
      <c r="AN23" s="1">
        <v>0.86799999999999999</v>
      </c>
      <c r="AO23" s="1">
        <f t="shared" si="18"/>
        <v>0.9684166666666667</v>
      </c>
      <c r="AP23" s="1">
        <v>1.365</v>
      </c>
      <c r="AQ23" s="1"/>
      <c r="AR23" s="284">
        <f>AS23*30</f>
        <v>150.75</v>
      </c>
      <c r="AS23" s="1">
        <v>5.0250000000000004</v>
      </c>
      <c r="AT23" s="1">
        <f t="shared" si="19"/>
        <v>4.6733333333333329</v>
      </c>
      <c r="AU23" s="1">
        <v>7.1059999999999999</v>
      </c>
      <c r="AV23" s="1"/>
      <c r="AW23" s="284">
        <f>AX23*30</f>
        <v>22.44</v>
      </c>
      <c r="AX23" s="1">
        <v>0.748</v>
      </c>
      <c r="AY23" s="1">
        <f t="shared" si="20"/>
        <v>0.77549999999999997</v>
      </c>
      <c r="AZ23" s="88" t="s">
        <v>770</v>
      </c>
      <c r="BB23" s="284">
        <f>BC23*30</f>
        <v>30.509999999999998</v>
      </c>
      <c r="BC23" s="1">
        <v>1.0169999999999999</v>
      </c>
      <c r="BD23" s="1">
        <f t="shared" si="21"/>
        <v>0.86275000000000002</v>
      </c>
      <c r="BE23" s="1">
        <v>1.7010000000000001</v>
      </c>
      <c r="BF23" s="1"/>
      <c r="BG23" s="284">
        <f>BH23*30</f>
        <v>27.12</v>
      </c>
      <c r="BH23" s="1">
        <v>0.90400000000000003</v>
      </c>
      <c r="BI23" s="1">
        <f t="shared" si="22"/>
        <v>0.79283333333333339</v>
      </c>
      <c r="BJ23" s="1">
        <v>2.7549999999999999</v>
      </c>
      <c r="BK23" s="1"/>
      <c r="BL23" s="284">
        <f>BM23*30</f>
        <v>103.29</v>
      </c>
      <c r="BM23" s="1">
        <v>3.4430000000000001</v>
      </c>
      <c r="BN23" s="1">
        <v>3.4430000000000001</v>
      </c>
      <c r="BP23" s="1"/>
      <c r="BQ23" s="284">
        <f>BR23*30</f>
        <v>16.770000000000003</v>
      </c>
      <c r="BR23" s="1">
        <v>0.55900000000000005</v>
      </c>
      <c r="BS23" s="1">
        <f t="shared" si="23"/>
        <v>0.62958333333333338</v>
      </c>
      <c r="BT23" s="1">
        <v>1.137</v>
      </c>
      <c r="BU23" s="1"/>
      <c r="BV23" s="284">
        <f>BW23*30</f>
        <v>5.76</v>
      </c>
      <c r="BW23" s="1">
        <v>0.192</v>
      </c>
      <c r="BX23" s="1">
        <f t="shared" si="24"/>
        <v>0.23791666666666669</v>
      </c>
      <c r="BY23" s="1">
        <v>0.54900000000000004</v>
      </c>
      <c r="BZ23" s="1"/>
      <c r="CA23" s="284">
        <f>CB23*30</f>
        <v>14.79</v>
      </c>
      <c r="CB23" s="1">
        <v>0.49299999999999999</v>
      </c>
      <c r="CC23" s="1">
        <f t="shared" si="25"/>
        <v>0.49450000000000011</v>
      </c>
      <c r="CD23" s="1">
        <v>1.0109999999999999</v>
      </c>
      <c r="CE23" s="1"/>
      <c r="CF23" s="284">
        <f>CG23*30</f>
        <v>46.08</v>
      </c>
      <c r="CG23" s="1">
        <v>1.536</v>
      </c>
      <c r="CH23" s="1">
        <v>1.5349999999999999</v>
      </c>
      <c r="CJ23" s="1"/>
      <c r="CK23" s="284">
        <f>CL23*30</f>
        <v>334.26</v>
      </c>
      <c r="CL23" s="1">
        <v>11.141999999999999</v>
      </c>
      <c r="CM23" s="1">
        <f t="shared" si="26"/>
        <v>8.2004166666666674</v>
      </c>
      <c r="CN23" s="1">
        <v>28.68</v>
      </c>
      <c r="CO23" s="1"/>
      <c r="CP23" s="284">
        <f>CQ23*30</f>
        <v>393.29999999999995</v>
      </c>
      <c r="CQ23" s="1">
        <v>13.11</v>
      </c>
      <c r="CR23" s="1">
        <f t="shared" si="27"/>
        <v>13.516750000000002</v>
      </c>
      <c r="CS23" s="1">
        <v>23.5</v>
      </c>
      <c r="CT23" s="1"/>
      <c r="CU23" s="284">
        <f>CV23*30</f>
        <v>120.9</v>
      </c>
      <c r="CV23" s="1">
        <v>4.03</v>
      </c>
      <c r="CW23" s="1">
        <f t="shared" si="28"/>
        <v>3.8800000000000003</v>
      </c>
      <c r="CX23" s="1">
        <v>6.3</v>
      </c>
      <c r="CZ23" s="269">
        <f>DA23*30</f>
        <v>24.18</v>
      </c>
      <c r="DA23" s="1">
        <v>0.80600000000000005</v>
      </c>
      <c r="DB23" s="1"/>
      <c r="DC23" s="284">
        <f>DD23*30</f>
        <v>11.4</v>
      </c>
      <c r="DD23" s="1">
        <v>0.38</v>
      </c>
      <c r="DE23" s="1">
        <f t="shared" si="33"/>
        <v>0.3796666666666666</v>
      </c>
      <c r="DG23" s="1"/>
      <c r="DH23" s="284">
        <f>DI23*30</f>
        <v>83.4</v>
      </c>
      <c r="DI23" s="5">
        <f t="shared" si="0"/>
        <v>2.7800000000000002</v>
      </c>
      <c r="DJ23" s="1">
        <f t="shared" si="1"/>
        <v>2.8970000000000002</v>
      </c>
      <c r="DK23" s="1"/>
      <c r="DL23" s="1"/>
      <c r="DM23" s="284">
        <f>DN23*30</f>
        <v>2732.5499999999997</v>
      </c>
      <c r="DN23" s="1">
        <f t="shared" si="2"/>
        <v>91.084999999999994</v>
      </c>
      <c r="DO23" s="1">
        <f t="shared" si="3"/>
        <v>89.534999999999997</v>
      </c>
      <c r="DP23" s="1"/>
      <c r="DQ23" s="1"/>
      <c r="DR23" s="284">
        <f>DS23*30</f>
        <v>884.04</v>
      </c>
      <c r="DS23" s="1">
        <f t="shared" si="4"/>
        <v>29.468</v>
      </c>
      <c r="DT23" s="1" t="e">
        <f>SUM(CM23+CR23+CW23+#REF!+DE23)</f>
        <v>#REF!</v>
      </c>
      <c r="DU23" s="1"/>
      <c r="DV23" s="1"/>
      <c r="DW23" s="284">
        <f>DX23*30</f>
        <v>3616.59</v>
      </c>
      <c r="DX23" s="1">
        <f t="shared" si="31"/>
        <v>120.553</v>
      </c>
      <c r="DY23" s="1" t="e">
        <f t="shared" si="32"/>
        <v>#REF!</v>
      </c>
      <c r="EL23">
        <v>1999</v>
      </c>
      <c r="EM23" t="s">
        <v>774</v>
      </c>
      <c r="EN23" t="s">
        <v>841</v>
      </c>
      <c r="EO23">
        <v>12.09</v>
      </c>
    </row>
    <row r="24" spans="1:145" x14ac:dyDescent="0.25">
      <c r="A24" s="8">
        <v>1999</v>
      </c>
      <c r="B24" s="19" t="s">
        <v>715</v>
      </c>
      <c r="C24" s="19"/>
      <c r="D24" s="284">
        <f>E24*31</f>
        <v>11.407999999999999</v>
      </c>
      <c r="E24" s="1">
        <v>0.36799999999999999</v>
      </c>
      <c r="F24" s="1">
        <f t="shared" si="34"/>
        <v>0.48916666666666675</v>
      </c>
      <c r="G24" s="1">
        <v>1.2</v>
      </c>
      <c r="N24" s="284">
        <f>O24*31</f>
        <v>114.297</v>
      </c>
      <c r="O24" s="1">
        <v>3.6869999999999998</v>
      </c>
      <c r="P24" s="1">
        <f t="shared" si="13"/>
        <v>3.6216666666666661</v>
      </c>
      <c r="Q24" s="1">
        <v>6.5</v>
      </c>
      <c r="S24" s="284">
        <f>T24*31</f>
        <v>163.494</v>
      </c>
      <c r="T24" s="1">
        <v>5.274</v>
      </c>
      <c r="U24" s="1">
        <f t="shared" si="14"/>
        <v>4.9939166666666663</v>
      </c>
      <c r="V24" s="1">
        <v>7.4</v>
      </c>
      <c r="W24" s="88"/>
      <c r="X24" s="284">
        <f>Y24*31</f>
        <v>624.71199999999999</v>
      </c>
      <c r="Y24" s="1">
        <v>20.152000000000001</v>
      </c>
      <c r="Z24" s="1">
        <f t="shared" si="15"/>
        <v>19.751416666666668</v>
      </c>
      <c r="AA24" s="1">
        <v>28.6</v>
      </c>
      <c r="AB24" s="1"/>
      <c r="AC24" s="284">
        <f>AD24*31</f>
        <v>788.20600000000002</v>
      </c>
      <c r="AD24" s="1">
        <f t="shared" ref="AD24:AD29" si="36">SUM(T24+Y24)</f>
        <v>25.426000000000002</v>
      </c>
      <c r="AE24" s="1">
        <f t="shared" si="35"/>
        <v>24.745333333333331</v>
      </c>
      <c r="AF24" s="1">
        <v>36</v>
      </c>
      <c r="AH24" s="284">
        <f>AI24*31</f>
        <v>1660.1120000000001</v>
      </c>
      <c r="AI24" s="1">
        <v>53.552</v>
      </c>
      <c r="AJ24" s="1">
        <f t="shared" si="17"/>
        <v>50.028749999999995</v>
      </c>
      <c r="AK24" s="1">
        <v>126.1</v>
      </c>
      <c r="AL24" s="1"/>
      <c r="AM24" s="284">
        <f>AN24*31</f>
        <v>25.73</v>
      </c>
      <c r="AN24" s="1">
        <v>0.83</v>
      </c>
      <c r="AO24" s="1">
        <f t="shared" si="18"/>
        <v>0.9388333333333333</v>
      </c>
      <c r="AP24" s="88" t="s">
        <v>770</v>
      </c>
      <c r="AQ24" s="1"/>
      <c r="AR24" s="284">
        <f>AS24*31</f>
        <v>153.822</v>
      </c>
      <c r="AS24" s="1">
        <v>4.9619999999999997</v>
      </c>
      <c r="AT24" s="1">
        <f t="shared" si="19"/>
        <v>4.6416666666666666</v>
      </c>
      <c r="AU24" s="88" t="s">
        <v>770</v>
      </c>
      <c r="AV24" s="1"/>
      <c r="AW24" s="284">
        <f>AX24*31</f>
        <v>23.187999999999999</v>
      </c>
      <c r="AX24" s="1">
        <v>0.748</v>
      </c>
      <c r="AY24" s="1">
        <f t="shared" ref="AY24:AY34" si="37">SUM(AX13:AX24)/12</f>
        <v>0.7596666666666666</v>
      </c>
      <c r="AZ24" s="88" t="s">
        <v>770</v>
      </c>
      <c r="BB24" s="284">
        <f>BC24*31</f>
        <v>28.334</v>
      </c>
      <c r="BC24" s="1">
        <v>0.91400000000000003</v>
      </c>
      <c r="BD24" s="1">
        <f t="shared" si="21"/>
        <v>0.86191666666666655</v>
      </c>
      <c r="BE24" s="88" t="s">
        <v>770</v>
      </c>
      <c r="BF24" s="1"/>
      <c r="BG24" s="284">
        <f>BH24*31</f>
        <v>26.195</v>
      </c>
      <c r="BH24" s="1">
        <v>0.84499999999999997</v>
      </c>
      <c r="BI24" s="1">
        <f t="shared" si="22"/>
        <v>0.78066666666666684</v>
      </c>
      <c r="BJ24" s="88" t="s">
        <v>770</v>
      </c>
      <c r="BK24" s="1"/>
      <c r="BL24" s="284">
        <f>BM24*31</f>
        <v>106.733</v>
      </c>
      <c r="BM24" s="1">
        <v>3.4430000000000001</v>
      </c>
      <c r="BN24" s="1">
        <v>3.4430000000000001</v>
      </c>
      <c r="BP24" s="1"/>
      <c r="BQ24" s="284">
        <f>BR24*31</f>
        <v>15.717000000000001</v>
      </c>
      <c r="BR24" s="1">
        <v>0.50700000000000001</v>
      </c>
      <c r="BS24" s="1">
        <f t="shared" si="23"/>
        <v>0.61383333333333334</v>
      </c>
      <c r="BT24" s="88" t="s">
        <v>770</v>
      </c>
      <c r="BU24" s="1"/>
      <c r="BV24" s="284">
        <f>BW24*31</f>
        <v>5.5489999999999995</v>
      </c>
      <c r="BW24" s="1">
        <v>0.17899999999999999</v>
      </c>
      <c r="BX24" s="1">
        <f t="shared" si="24"/>
        <v>0.22625000000000003</v>
      </c>
      <c r="BY24" s="88" t="s">
        <v>770</v>
      </c>
      <c r="BZ24" s="1"/>
      <c r="CA24" s="284">
        <f>CB24*31</f>
        <v>14.600999999999999</v>
      </c>
      <c r="CB24" s="1">
        <v>0.47099999999999997</v>
      </c>
      <c r="CC24" s="1">
        <f t="shared" si="25"/>
        <v>0.48366666666666669</v>
      </c>
      <c r="CD24" s="88" t="s">
        <v>770</v>
      </c>
      <c r="CE24" s="1"/>
      <c r="CF24" s="284">
        <f>CG24*31</f>
        <v>47.616</v>
      </c>
      <c r="CG24" s="1">
        <v>1.536</v>
      </c>
      <c r="CH24" s="1">
        <v>1.5349999999999999</v>
      </c>
      <c r="CJ24" s="1"/>
      <c r="CK24" s="284">
        <f>CL24*31</f>
        <v>338.39600000000002</v>
      </c>
      <c r="CL24" s="1">
        <v>10.916</v>
      </c>
      <c r="CM24" s="1">
        <f t="shared" si="26"/>
        <v>8.1429999999999989</v>
      </c>
      <c r="CN24" s="1">
        <v>28.68</v>
      </c>
      <c r="CO24" s="1"/>
      <c r="CP24" s="284">
        <f>CQ24*31</f>
        <v>416.423</v>
      </c>
      <c r="CQ24" s="1">
        <v>13.433</v>
      </c>
      <c r="CR24" s="1">
        <f t="shared" si="27"/>
        <v>13.336333333333334</v>
      </c>
      <c r="CS24" s="1">
        <v>23.5</v>
      </c>
      <c r="CT24" s="1"/>
      <c r="CU24" s="284">
        <f>CV24*31</f>
        <v>118.916</v>
      </c>
      <c r="CV24" s="1">
        <v>3.8359999999999999</v>
      </c>
      <c r="CW24" s="1">
        <f t="shared" si="28"/>
        <v>3.8099166666666662</v>
      </c>
      <c r="CX24" s="1">
        <v>6.3</v>
      </c>
      <c r="CZ24" s="269">
        <f>DA24*31</f>
        <v>23.622</v>
      </c>
      <c r="DA24" s="1">
        <v>0.76200000000000001</v>
      </c>
      <c r="DB24" s="1"/>
      <c r="DC24" s="284">
        <f>DD24*31</f>
        <v>11.78</v>
      </c>
      <c r="DD24" s="1">
        <v>0.38</v>
      </c>
      <c r="DE24" s="1">
        <f t="shared" si="33"/>
        <v>0.37983333333333325</v>
      </c>
      <c r="DG24" s="1"/>
      <c r="DH24" s="284">
        <f>DI24*31</f>
        <v>83.483000000000004</v>
      </c>
      <c r="DI24" s="5">
        <f t="shared" si="0"/>
        <v>2.6930000000000001</v>
      </c>
      <c r="DJ24" s="1">
        <f t="shared" si="1"/>
        <v>2.8587499999999997</v>
      </c>
      <c r="DK24" s="1"/>
      <c r="DL24" s="1"/>
      <c r="DM24" s="284">
        <f>DN24*31</f>
        <v>2854.5420000000004</v>
      </c>
      <c r="DN24" s="1">
        <f t="shared" si="2"/>
        <v>92.082000000000008</v>
      </c>
      <c r="DO24" s="1">
        <f t="shared" si="3"/>
        <v>87.451916666666648</v>
      </c>
      <c r="DP24" s="1"/>
      <c r="DQ24" s="1"/>
      <c r="DR24" s="284">
        <f>DS24*31</f>
        <v>909.13699999999994</v>
      </c>
      <c r="DS24" s="1">
        <f t="shared" si="4"/>
        <v>29.326999999999998</v>
      </c>
      <c r="DT24" s="1" t="e">
        <f>SUM(CM24+CR24+CW24+#REF!+DE24)</f>
        <v>#REF!</v>
      </c>
      <c r="DU24" s="1"/>
      <c r="DV24" s="1"/>
      <c r="DW24" s="284">
        <f>DX24*31</f>
        <v>3763.6790000000001</v>
      </c>
      <c r="DX24" s="1">
        <f t="shared" si="31"/>
        <v>121.40900000000001</v>
      </c>
      <c r="DY24" s="1" t="e">
        <f t="shared" si="32"/>
        <v>#REF!</v>
      </c>
      <c r="EL24">
        <v>1999</v>
      </c>
      <c r="EM24" t="s">
        <v>715</v>
      </c>
      <c r="EN24" t="s">
        <v>841</v>
      </c>
      <c r="EO24">
        <v>11.407999999999999</v>
      </c>
    </row>
    <row r="25" spans="1:145" x14ac:dyDescent="0.25">
      <c r="A25" s="8">
        <v>1999</v>
      </c>
      <c r="B25" s="19" t="s">
        <v>718</v>
      </c>
      <c r="C25" s="19"/>
      <c r="D25" s="284">
        <f>E25*30</f>
        <v>13.860000000000001</v>
      </c>
      <c r="E25" s="1">
        <v>0.46200000000000002</v>
      </c>
      <c r="F25" s="1">
        <f t="shared" si="34"/>
        <v>0.45441666666666664</v>
      </c>
      <c r="G25" s="1">
        <v>1</v>
      </c>
      <c r="N25" s="284">
        <f>O25*30</f>
        <v>111.42</v>
      </c>
      <c r="O25" s="1">
        <v>3.714</v>
      </c>
      <c r="P25" s="1">
        <f t="shared" si="13"/>
        <v>3.5622499999999993</v>
      </c>
      <c r="Q25" s="1">
        <v>6.6</v>
      </c>
      <c r="S25" s="284">
        <f>T25*30</f>
        <v>151.95000000000002</v>
      </c>
      <c r="T25" s="1">
        <v>5.0650000000000004</v>
      </c>
      <c r="U25" s="1">
        <f t="shared" si="14"/>
        <v>4.9718333333333335</v>
      </c>
      <c r="V25" s="1">
        <v>7.92</v>
      </c>
      <c r="W25" s="88"/>
      <c r="X25" s="284">
        <f>Y25*30</f>
        <v>585.4799999999999</v>
      </c>
      <c r="Y25" s="1">
        <v>19.515999999999998</v>
      </c>
      <c r="Z25" s="1">
        <f t="shared" si="15"/>
        <v>19.444083333333332</v>
      </c>
      <c r="AA25" s="1">
        <v>25.84</v>
      </c>
      <c r="AB25" s="1"/>
      <c r="AC25" s="284">
        <f>AD25*30</f>
        <v>737.43</v>
      </c>
      <c r="AD25" s="1">
        <f t="shared" si="36"/>
        <v>24.581</v>
      </c>
      <c r="AE25" s="1">
        <f t="shared" si="35"/>
        <v>24.415916666666671</v>
      </c>
      <c r="AF25" s="1">
        <v>33.76</v>
      </c>
      <c r="AH25" s="284">
        <f>AI25*31</f>
        <v>1632.8630000000001</v>
      </c>
      <c r="AI25" s="1">
        <v>52.673000000000002</v>
      </c>
      <c r="AJ25" s="1">
        <f t="shared" si="17"/>
        <v>49.845666666666659</v>
      </c>
      <c r="AK25" s="1">
        <v>121</v>
      </c>
      <c r="AL25" s="1"/>
      <c r="AM25" s="284">
        <f>AN25*30</f>
        <v>24.330000000000002</v>
      </c>
      <c r="AN25" s="1">
        <v>0.81100000000000005</v>
      </c>
      <c r="AO25" s="1">
        <f t="shared" si="18"/>
        <v>0.92049999999999998</v>
      </c>
      <c r="AP25" s="88" t="s">
        <v>770</v>
      </c>
      <c r="AQ25" s="1"/>
      <c r="AR25" s="284">
        <f>AS25*30</f>
        <v>135.18</v>
      </c>
      <c r="AS25" s="1">
        <v>4.5060000000000002</v>
      </c>
      <c r="AT25" s="1">
        <f t="shared" si="19"/>
        <v>4.6330833333333326</v>
      </c>
      <c r="AU25" s="88" t="s">
        <v>770</v>
      </c>
      <c r="AV25" s="1"/>
      <c r="AW25" s="284">
        <f>AX25*30</f>
        <v>22.44</v>
      </c>
      <c r="AX25" s="1">
        <v>0.748</v>
      </c>
      <c r="AY25" s="1">
        <f t="shared" si="37"/>
        <v>0.75916666666666666</v>
      </c>
      <c r="AZ25" s="88" t="s">
        <v>770</v>
      </c>
      <c r="BB25" s="284">
        <f>BC25*30</f>
        <v>27.42</v>
      </c>
      <c r="BC25" s="1">
        <v>0.91400000000000003</v>
      </c>
      <c r="BD25" s="1">
        <f t="shared" ref="BD25:BD34" si="38">SUM(BC14:BC25)/12</f>
        <v>0.86916666666666664</v>
      </c>
      <c r="BE25" s="88" t="s">
        <v>770</v>
      </c>
      <c r="BF25" s="1"/>
      <c r="BG25" s="284">
        <f>BH25*30</f>
        <v>23.13</v>
      </c>
      <c r="BH25" s="1">
        <v>0.77100000000000002</v>
      </c>
      <c r="BI25" s="1">
        <f t="shared" ref="BI25:BI34" si="39">SUM(BH14:BH25)/12</f>
        <v>0.77500000000000024</v>
      </c>
      <c r="BJ25" s="88" t="s">
        <v>770</v>
      </c>
      <c r="BK25" s="1"/>
      <c r="BL25" s="284">
        <f>BM25*30</f>
        <v>103.29</v>
      </c>
      <c r="BM25" s="1">
        <v>3.4430000000000001</v>
      </c>
      <c r="BN25" s="1">
        <v>3.4430000000000001</v>
      </c>
      <c r="BP25" s="1"/>
      <c r="BQ25" s="284">
        <f>BR25*30</f>
        <v>15.57</v>
      </c>
      <c r="BR25" s="1">
        <v>0.51900000000000002</v>
      </c>
      <c r="BS25" s="1">
        <f t="shared" ref="BS25:BS34" si="40">SUM(BR14:BR25)/12</f>
        <v>0.60083333333333333</v>
      </c>
      <c r="BT25" s="88" t="s">
        <v>770</v>
      </c>
      <c r="BU25" s="1"/>
      <c r="BV25" s="284">
        <f>BW25*30</f>
        <v>7.05</v>
      </c>
      <c r="BW25" s="1">
        <v>0.23499999999999999</v>
      </c>
      <c r="BX25" s="1">
        <f t="shared" ref="BX25:BX34" si="41">SUM(BW14:BW25)/12</f>
        <v>0.22683333333333333</v>
      </c>
      <c r="BY25" s="88" t="s">
        <v>770</v>
      </c>
      <c r="BZ25" s="1"/>
      <c r="CA25" s="284">
        <f>CB25*30</f>
        <v>14.19</v>
      </c>
      <c r="CB25" s="1">
        <v>0.47299999999999998</v>
      </c>
      <c r="CC25" s="1">
        <f t="shared" ref="CC25:CC32" si="42">SUM(CB14:CB25)/12</f>
        <v>0.47791666666666671</v>
      </c>
      <c r="CD25" s="88" t="s">
        <v>770</v>
      </c>
      <c r="CE25" s="1"/>
      <c r="CF25" s="284">
        <f>CG25*30</f>
        <v>46.08</v>
      </c>
      <c r="CG25" s="1">
        <v>1.536</v>
      </c>
      <c r="CH25" s="1">
        <v>1.536</v>
      </c>
      <c r="CJ25" s="1"/>
      <c r="CK25" s="284">
        <f>CL25*30</f>
        <v>296.66999999999996</v>
      </c>
      <c r="CL25" s="1">
        <v>9.8889999999999993</v>
      </c>
      <c r="CM25" s="1">
        <f t="shared" si="26"/>
        <v>8.2135833333333306</v>
      </c>
      <c r="CN25" s="1">
        <v>13.24</v>
      </c>
      <c r="CO25" s="1"/>
      <c r="CP25" s="284">
        <f>CQ25*30</f>
        <v>378.81</v>
      </c>
      <c r="CQ25" s="1">
        <v>12.627000000000001</v>
      </c>
      <c r="CR25" s="1">
        <f t="shared" si="27"/>
        <v>13.1395</v>
      </c>
      <c r="CS25" s="1">
        <v>22.5</v>
      </c>
      <c r="CT25" s="1"/>
      <c r="CU25" s="284">
        <f>CV25*30</f>
        <v>111.99000000000001</v>
      </c>
      <c r="CV25" s="1">
        <v>3.7330000000000001</v>
      </c>
      <c r="CW25" s="1">
        <f t="shared" si="28"/>
        <v>3.7689166666666662</v>
      </c>
      <c r="CX25" s="1">
        <v>6</v>
      </c>
      <c r="CZ25" s="269">
        <f>DA25*30</f>
        <v>21.209999999999997</v>
      </c>
      <c r="DA25" s="1">
        <v>0.70699999999999996</v>
      </c>
      <c r="DB25" s="1"/>
      <c r="DC25" s="284">
        <f>DD25*30</f>
        <v>11.4</v>
      </c>
      <c r="DD25" s="1">
        <v>0.38</v>
      </c>
      <c r="DE25" s="1">
        <f t="shared" si="33"/>
        <v>0.37999999999999995</v>
      </c>
      <c r="DG25" s="1"/>
      <c r="DH25" s="284">
        <f>DI25*30</f>
        <v>82.89</v>
      </c>
      <c r="DI25" s="5">
        <f t="shared" si="0"/>
        <v>2.7629999999999999</v>
      </c>
      <c r="DJ25" s="1">
        <f t="shared" si="1"/>
        <v>2.8415833333333333</v>
      </c>
      <c r="DK25" s="1"/>
      <c r="DL25" s="1"/>
      <c r="DM25" s="284">
        <f>DN25*30</f>
        <v>2695.8</v>
      </c>
      <c r="DN25" s="1">
        <f t="shared" si="2"/>
        <v>89.860000000000014</v>
      </c>
      <c r="DO25" s="1">
        <f t="shared" si="3"/>
        <v>86.836583333333351</v>
      </c>
      <c r="DP25" s="1"/>
      <c r="DQ25" s="1"/>
      <c r="DR25" s="284">
        <f>DS25*30</f>
        <v>820.07999999999993</v>
      </c>
      <c r="DS25" s="1">
        <f t="shared" si="4"/>
        <v>27.335999999999999</v>
      </c>
      <c r="DT25" s="1" t="e">
        <f>SUM(CM25+CR25+CW25+#REF!+DE25)</f>
        <v>#REF!</v>
      </c>
      <c r="DU25" s="1"/>
      <c r="DV25" s="1"/>
      <c r="DW25" s="284">
        <f>DX25*30</f>
        <v>3515.8800000000006</v>
      </c>
      <c r="DX25" s="1">
        <f t="shared" si="31"/>
        <v>117.19600000000001</v>
      </c>
      <c r="DY25" s="1" t="e">
        <f t="shared" si="32"/>
        <v>#REF!</v>
      </c>
      <c r="ED25" s="1">
        <f>EE25*91</f>
        <v>2612.6403333333333</v>
      </c>
      <c r="EE25" s="1">
        <f>AVERAGE(DS23:DS25)</f>
        <v>28.710333333333335</v>
      </c>
      <c r="EF25" s="1">
        <f>SUM(EE16+EE19+EE22+EE25)/4</f>
        <v>26.232000000000003</v>
      </c>
      <c r="EL25">
        <v>1999</v>
      </c>
      <c r="EM25" t="s">
        <v>718</v>
      </c>
      <c r="EN25" t="s">
        <v>841</v>
      </c>
      <c r="EO25">
        <v>13.860000000000001</v>
      </c>
    </row>
    <row r="26" spans="1:145" x14ac:dyDescent="0.25">
      <c r="A26" s="8">
        <v>1999</v>
      </c>
      <c r="B26" s="19" t="s">
        <v>716</v>
      </c>
      <c r="C26" s="19"/>
      <c r="D26" s="284">
        <f>E26*31</f>
        <v>10.694999999999999</v>
      </c>
      <c r="E26" s="1">
        <v>0.34499999999999997</v>
      </c>
      <c r="F26" s="1">
        <f t="shared" si="34"/>
        <v>0.42024999999999996</v>
      </c>
      <c r="G26" s="1">
        <v>4.8</v>
      </c>
      <c r="N26" s="284">
        <f>O26*31</f>
        <v>116.467</v>
      </c>
      <c r="O26" s="1">
        <v>3.7570000000000001</v>
      </c>
      <c r="P26" s="1">
        <f t="shared" si="13"/>
        <v>3.5301666666666667</v>
      </c>
      <c r="Q26" s="1">
        <v>6.4</v>
      </c>
      <c r="S26" s="284">
        <f>T26*31</f>
        <v>146.53700000000001</v>
      </c>
      <c r="T26" s="1">
        <v>4.7270000000000003</v>
      </c>
      <c r="U26" s="1">
        <f t="shared" si="14"/>
        <v>4.8796666666666662</v>
      </c>
      <c r="V26" s="1">
        <v>7.12</v>
      </c>
      <c r="W26" s="88"/>
      <c r="X26" s="284">
        <f>Y26*31</f>
        <v>582.70699999999999</v>
      </c>
      <c r="Y26" s="1">
        <v>18.797000000000001</v>
      </c>
      <c r="Z26" s="1">
        <f t="shared" si="15"/>
        <v>19.260916666666663</v>
      </c>
      <c r="AA26" s="1">
        <v>23.92</v>
      </c>
      <c r="AB26" s="1"/>
      <c r="AC26" s="284">
        <f>AD26*31</f>
        <v>729.24400000000003</v>
      </c>
      <c r="AD26" s="1">
        <f t="shared" si="36"/>
        <v>23.524000000000001</v>
      </c>
      <c r="AE26" s="1">
        <f t="shared" si="35"/>
        <v>24.140583333333336</v>
      </c>
      <c r="AF26" s="1">
        <v>31.04</v>
      </c>
      <c r="AH26" s="284">
        <f>AI26*31</f>
        <v>1606.0170000000001</v>
      </c>
      <c r="AI26" s="1">
        <v>51.807000000000002</v>
      </c>
      <c r="AJ26" s="1">
        <f t="shared" si="17"/>
        <v>49.936916666666662</v>
      </c>
      <c r="AK26" s="88" t="s">
        <v>770</v>
      </c>
      <c r="AL26" s="1"/>
      <c r="AM26" s="284">
        <f>AN26*31</f>
        <v>24.583000000000002</v>
      </c>
      <c r="AN26" s="1">
        <v>0.79300000000000004</v>
      </c>
      <c r="AO26" s="1">
        <f t="shared" si="18"/>
        <v>0.89533333333333331</v>
      </c>
      <c r="AP26" s="88" t="s">
        <v>770</v>
      </c>
      <c r="AQ26" s="1"/>
      <c r="AR26" s="284">
        <f>AS26*31</f>
        <v>139.71699999999998</v>
      </c>
      <c r="AS26" s="1">
        <v>4.5069999999999997</v>
      </c>
      <c r="AT26" s="1">
        <f t="shared" si="19"/>
        <v>4.6358333333333333</v>
      </c>
      <c r="AU26" s="88" t="s">
        <v>770</v>
      </c>
      <c r="AV26" s="1"/>
      <c r="AW26" s="284">
        <f>AX26*31</f>
        <v>23.187999999999999</v>
      </c>
      <c r="AX26" s="1">
        <v>0.748</v>
      </c>
      <c r="AY26" s="1">
        <f t="shared" si="37"/>
        <v>0.74975000000000003</v>
      </c>
      <c r="AZ26" s="88" t="s">
        <v>770</v>
      </c>
      <c r="BB26" s="284">
        <f>BC26*31</f>
        <v>25.698999999999998</v>
      </c>
      <c r="BC26" s="1">
        <v>0.82899999999999996</v>
      </c>
      <c r="BD26" s="1">
        <f t="shared" si="38"/>
        <v>0.87075000000000002</v>
      </c>
      <c r="BE26" s="88" t="s">
        <v>770</v>
      </c>
      <c r="BF26" s="1"/>
      <c r="BG26" s="284">
        <f>BH26*31</f>
        <v>22.381999999999998</v>
      </c>
      <c r="BH26" s="1">
        <v>0.72199999999999998</v>
      </c>
      <c r="BI26" s="1">
        <f t="shared" si="39"/>
        <v>0.77375000000000005</v>
      </c>
      <c r="BJ26" s="88" t="s">
        <v>770</v>
      </c>
      <c r="BK26" s="1"/>
      <c r="BL26" s="284">
        <f>BM26*31</f>
        <v>106.733</v>
      </c>
      <c r="BM26" s="1">
        <v>3.4430000000000001</v>
      </c>
      <c r="BN26" s="1">
        <v>3.4430000000000001</v>
      </c>
      <c r="BP26" s="1"/>
      <c r="BQ26" s="284">
        <f>BR26*31</f>
        <v>16.275000000000002</v>
      </c>
      <c r="BR26" s="1">
        <v>0.52500000000000002</v>
      </c>
      <c r="BS26" s="1">
        <f t="shared" si="40"/>
        <v>0.5910833333333334</v>
      </c>
      <c r="BT26" s="88" t="s">
        <v>770</v>
      </c>
      <c r="BU26" s="1"/>
      <c r="BV26" s="284">
        <f>BW26*31</f>
        <v>7.3159999999999998</v>
      </c>
      <c r="BW26" s="1">
        <v>0.23599999999999999</v>
      </c>
      <c r="BX26" s="1">
        <f t="shared" si="41"/>
        <v>0.22824999999999998</v>
      </c>
      <c r="BY26" s="88" t="s">
        <v>770</v>
      </c>
      <c r="BZ26" s="1"/>
      <c r="CA26" s="284">
        <f>CB26*31</f>
        <v>14.26</v>
      </c>
      <c r="CB26" s="1">
        <v>0.46</v>
      </c>
      <c r="CC26" s="1">
        <f t="shared" si="42"/>
        <v>0.47399999999999998</v>
      </c>
      <c r="CD26" s="88" t="s">
        <v>770</v>
      </c>
      <c r="CE26" s="1"/>
      <c r="CF26" s="284">
        <f>CG26*31</f>
        <v>47.616</v>
      </c>
      <c r="CG26" s="1">
        <v>1.536</v>
      </c>
      <c r="CH26" s="1">
        <v>1.536</v>
      </c>
      <c r="CJ26" s="1"/>
      <c r="CK26" s="284">
        <f>CL26*31</f>
        <v>292.79500000000002</v>
      </c>
      <c r="CL26" s="1">
        <v>9.4450000000000003</v>
      </c>
      <c r="CM26" s="1">
        <f t="shared" si="26"/>
        <v>8.3923333333333332</v>
      </c>
      <c r="CN26" s="1">
        <v>13.19</v>
      </c>
      <c r="CO26" s="1"/>
      <c r="CP26" s="284">
        <f>CQ26*31</f>
        <v>357.73999999999995</v>
      </c>
      <c r="CQ26" s="1">
        <v>11.54</v>
      </c>
      <c r="CR26" s="1">
        <f t="shared" si="27"/>
        <v>12.930333333333335</v>
      </c>
      <c r="CS26" s="1">
        <v>22.3</v>
      </c>
      <c r="CT26" s="1"/>
      <c r="CU26" s="284">
        <f>CV26*31</f>
        <v>108.283</v>
      </c>
      <c r="CV26" s="1">
        <v>3.4929999999999999</v>
      </c>
      <c r="CW26" s="1">
        <f t="shared" si="28"/>
        <v>3.7383333333333333</v>
      </c>
      <c r="CX26" s="1">
        <v>5.4</v>
      </c>
      <c r="CZ26" s="269">
        <f>DA26*31</f>
        <v>20.584</v>
      </c>
      <c r="DA26" s="1">
        <v>0.66400000000000003</v>
      </c>
      <c r="DB26" s="1"/>
      <c r="DC26" s="284">
        <f>DD26*31</f>
        <v>11.78</v>
      </c>
      <c r="DD26" s="1">
        <v>0.38</v>
      </c>
      <c r="DE26" s="1">
        <f t="shared" si="33"/>
        <v>0.37999999999999995</v>
      </c>
      <c r="DG26" s="1"/>
      <c r="DH26" s="284">
        <f>DI26*31</f>
        <v>85.466999999999999</v>
      </c>
      <c r="DI26" s="5">
        <f t="shared" si="0"/>
        <v>2.7570000000000001</v>
      </c>
      <c r="DJ26" s="1">
        <f t="shared" si="1"/>
        <v>2.8293333333333335</v>
      </c>
      <c r="DK26" s="1"/>
      <c r="DL26" s="1"/>
      <c r="DM26" s="284">
        <f>DN26*31</f>
        <v>2719.2580000000003</v>
      </c>
      <c r="DN26" s="1">
        <f t="shared" si="2"/>
        <v>87.718000000000004</v>
      </c>
      <c r="DO26" s="1">
        <f t="shared" si="3"/>
        <v>86.567000000000007</v>
      </c>
      <c r="DP26" s="1"/>
      <c r="DQ26" s="1"/>
      <c r="DR26" s="284">
        <f>DS26*31</f>
        <v>791.1819999999999</v>
      </c>
      <c r="DS26" s="1">
        <f t="shared" si="4"/>
        <v>25.521999999999998</v>
      </c>
      <c r="DT26" s="1" t="e">
        <f>SUM(CM26+CR26+CW26+#REF!+DE26)</f>
        <v>#REF!</v>
      </c>
      <c r="DU26" s="1"/>
      <c r="DV26" s="1"/>
      <c r="DW26" s="284">
        <f>DX26*31</f>
        <v>3510.4400000000005</v>
      </c>
      <c r="DX26" s="1">
        <f t="shared" si="31"/>
        <v>113.24000000000001</v>
      </c>
      <c r="DY26" s="1" t="e">
        <f t="shared" si="32"/>
        <v>#REF!</v>
      </c>
      <c r="EL26">
        <v>1999</v>
      </c>
      <c r="EM26" t="s">
        <v>716</v>
      </c>
      <c r="EN26" t="s">
        <v>841</v>
      </c>
      <c r="EO26">
        <v>10.694999999999999</v>
      </c>
    </row>
    <row r="27" spans="1:145" x14ac:dyDescent="0.25">
      <c r="A27" s="8">
        <v>1999</v>
      </c>
      <c r="B27" s="19" t="s">
        <v>708</v>
      </c>
      <c r="C27" s="19"/>
      <c r="D27" s="284">
        <f>E27*31</f>
        <v>4.9290000000000003</v>
      </c>
      <c r="E27" s="1">
        <v>0.159</v>
      </c>
      <c r="F27" s="1">
        <f t="shared" si="34"/>
        <v>0.38408333333333328</v>
      </c>
      <c r="G27" s="1">
        <v>4</v>
      </c>
      <c r="N27" s="284">
        <f>O27*31</f>
        <v>107.07400000000001</v>
      </c>
      <c r="O27" s="1">
        <v>3.4540000000000002</v>
      </c>
      <c r="P27" s="1">
        <f t="shared" si="13"/>
        <v>3.4962499999999999</v>
      </c>
      <c r="Q27" s="1">
        <v>6.6</v>
      </c>
      <c r="S27" s="284">
        <f>T27*31</f>
        <v>129.02199999999999</v>
      </c>
      <c r="T27" s="1">
        <v>4.1619999999999999</v>
      </c>
      <c r="U27" s="1">
        <f t="shared" si="14"/>
        <v>4.7900833333333335</v>
      </c>
      <c r="V27" s="1">
        <v>7.28</v>
      </c>
      <c r="W27" s="88"/>
      <c r="X27" s="284">
        <f>Y27*31</f>
        <v>525.38800000000003</v>
      </c>
      <c r="Y27" s="1">
        <v>16.948</v>
      </c>
      <c r="Z27" s="1">
        <f t="shared" si="15"/>
        <v>19.06025</v>
      </c>
      <c r="AA27" s="1">
        <v>24.01</v>
      </c>
      <c r="AB27" s="1"/>
      <c r="AC27" s="284">
        <f>AD27*31</f>
        <v>654.41</v>
      </c>
      <c r="AD27" s="1">
        <f t="shared" si="36"/>
        <v>21.11</v>
      </c>
      <c r="AE27" s="1">
        <f t="shared" si="35"/>
        <v>23.850333333333339</v>
      </c>
      <c r="AF27" s="1">
        <v>31.29</v>
      </c>
      <c r="AH27" s="284">
        <f>AI27*31</f>
        <v>1541.0409999999999</v>
      </c>
      <c r="AI27" s="1">
        <v>49.710999999999999</v>
      </c>
      <c r="AJ27" s="1">
        <f t="shared" si="17"/>
        <v>50.024916666666677</v>
      </c>
      <c r="AK27" s="88" t="s">
        <v>770</v>
      </c>
      <c r="AL27" s="1"/>
      <c r="AM27" s="284">
        <f>AN27*31</f>
        <v>25.172000000000001</v>
      </c>
      <c r="AN27" s="1">
        <v>0.81200000000000006</v>
      </c>
      <c r="AO27" s="1">
        <f t="shared" si="18"/>
        <v>0.87783333333333324</v>
      </c>
      <c r="AP27" s="88">
        <v>4.9059999999999997</v>
      </c>
      <c r="AQ27" s="1"/>
      <c r="AR27" s="284">
        <f>AS27*31</f>
        <v>141.60799999999998</v>
      </c>
      <c r="AS27" s="1">
        <v>4.5679999999999996</v>
      </c>
      <c r="AT27" s="1">
        <f t="shared" ref="AT27:AT34" si="43">SUM(AS16:AS27)/12</f>
        <v>4.6469166666666668</v>
      </c>
      <c r="AU27" s="88">
        <v>10.081</v>
      </c>
      <c r="AV27" s="1"/>
      <c r="AW27" s="284">
        <f>AX27*31</f>
        <v>23.187999999999999</v>
      </c>
      <c r="AX27" s="1">
        <v>0.748</v>
      </c>
      <c r="AY27" s="1">
        <f t="shared" si="37"/>
        <v>0.73424999999999996</v>
      </c>
      <c r="AZ27" s="88" t="s">
        <v>770</v>
      </c>
      <c r="BB27" s="284">
        <f>BC27*31</f>
        <v>26.009</v>
      </c>
      <c r="BC27" s="1">
        <v>0.83899999999999997</v>
      </c>
      <c r="BD27" s="1">
        <f t="shared" si="38"/>
        <v>0.875</v>
      </c>
      <c r="BE27" s="88">
        <v>1.8280000000000001</v>
      </c>
      <c r="BF27" s="1"/>
      <c r="BG27" s="284">
        <f>BH27*31</f>
        <v>22.443999999999999</v>
      </c>
      <c r="BH27" s="1">
        <v>0.72399999999999998</v>
      </c>
      <c r="BI27" s="1">
        <f t="shared" si="39"/>
        <v>0.77674999999999994</v>
      </c>
      <c r="BJ27" s="88">
        <v>2.802</v>
      </c>
      <c r="BK27" s="1"/>
      <c r="BL27" s="284">
        <f>BM27*31</f>
        <v>104.718</v>
      </c>
      <c r="BM27" s="1">
        <v>3.3780000000000001</v>
      </c>
      <c r="BN27" s="1">
        <v>3.4319999999999999</v>
      </c>
      <c r="BP27" s="1"/>
      <c r="BQ27" s="284">
        <f>BR27*31</f>
        <v>16.461000000000002</v>
      </c>
      <c r="BR27" s="1">
        <v>0.53100000000000003</v>
      </c>
      <c r="BS27" s="1">
        <f t="shared" si="40"/>
        <v>0.58374999999999999</v>
      </c>
      <c r="BT27" s="88">
        <v>4.5019999999999998</v>
      </c>
      <c r="BU27" s="1"/>
      <c r="BV27" s="284">
        <f>BW27*31</f>
        <v>10.943</v>
      </c>
      <c r="BW27" s="1">
        <v>0.35299999999999998</v>
      </c>
      <c r="BX27" s="1">
        <f t="shared" si="41"/>
        <v>0.23883333333333331</v>
      </c>
      <c r="BY27" s="88">
        <v>1.88</v>
      </c>
      <c r="BZ27" s="1"/>
      <c r="CA27" s="284">
        <f>CB27*31</f>
        <v>15.004</v>
      </c>
      <c r="CB27" s="1">
        <v>0.48399999999999999</v>
      </c>
      <c r="CC27" s="1">
        <f t="shared" si="42"/>
        <v>0.46808333333333324</v>
      </c>
      <c r="CD27" s="88">
        <v>0.99099999999999999</v>
      </c>
      <c r="CE27" s="1"/>
      <c r="CF27" s="284">
        <f>CG27*31</f>
        <v>46.716999999999999</v>
      </c>
      <c r="CG27" s="1">
        <v>1.5069999999999999</v>
      </c>
      <c r="CH27" s="1">
        <v>1.5309999999999999</v>
      </c>
      <c r="CJ27" s="1"/>
      <c r="CK27" s="284">
        <f>CL27*31</f>
        <v>284.54900000000004</v>
      </c>
      <c r="CL27" s="1">
        <v>9.1790000000000003</v>
      </c>
      <c r="CM27" s="1">
        <f t="shared" si="26"/>
        <v>8.613666666666667</v>
      </c>
      <c r="CN27" s="1">
        <v>13.14</v>
      </c>
      <c r="CO27" s="1"/>
      <c r="CP27" s="284">
        <f>CQ27*31</f>
        <v>315.42500000000001</v>
      </c>
      <c r="CQ27" s="1">
        <v>10.175000000000001</v>
      </c>
      <c r="CR27" s="1">
        <f t="shared" si="27"/>
        <v>12.632833333333332</v>
      </c>
      <c r="CS27" s="1">
        <v>18.850000000000001</v>
      </c>
      <c r="CT27" s="1"/>
      <c r="CU27" s="284">
        <f>CV27*31</f>
        <v>104.377</v>
      </c>
      <c r="CV27" s="1">
        <v>3.367</v>
      </c>
      <c r="CW27" s="1">
        <f t="shared" si="28"/>
        <v>3.7198333333333333</v>
      </c>
      <c r="CX27" s="1">
        <v>8.8000000000000007</v>
      </c>
      <c r="CZ27" s="269">
        <f>DA27*31</f>
        <v>18.847999999999999</v>
      </c>
      <c r="DA27" s="1">
        <v>0.60799999999999998</v>
      </c>
      <c r="DB27" s="1"/>
      <c r="DC27" s="284">
        <f>DD27*31</f>
        <v>11.563000000000001</v>
      </c>
      <c r="DD27" s="1">
        <v>0.373</v>
      </c>
      <c r="DE27" s="1">
        <f t="shared" si="33"/>
        <v>0.37941666666666668</v>
      </c>
      <c r="DG27" s="1"/>
      <c r="DH27" s="284">
        <f>DI27*31</f>
        <v>89.125</v>
      </c>
      <c r="DI27" s="5">
        <f t="shared" si="0"/>
        <v>2.875</v>
      </c>
      <c r="DJ27" s="1">
        <f t="shared" si="1"/>
        <v>2.8216666666666663</v>
      </c>
      <c r="DK27" s="1"/>
      <c r="DL27" s="1"/>
      <c r="DM27" s="284">
        <f>DN27*31</f>
        <v>2561.4679999999998</v>
      </c>
      <c r="DN27" s="1">
        <f t="shared" si="2"/>
        <v>82.628</v>
      </c>
      <c r="DO27" s="1">
        <f t="shared" si="3"/>
        <v>86.276666666666685</v>
      </c>
      <c r="DP27" s="1"/>
      <c r="DQ27" s="1"/>
      <c r="DR27" s="284">
        <f>DS27*31</f>
        <v>734.76200000000006</v>
      </c>
      <c r="DS27" s="1">
        <f t="shared" si="4"/>
        <v>23.702000000000002</v>
      </c>
      <c r="DT27" s="1" t="e">
        <f>SUM(CM27+CR27+CW27+#REF!+DE27)</f>
        <v>#REF!</v>
      </c>
      <c r="DU27" s="1"/>
      <c r="DV27" s="1"/>
      <c r="DW27" s="284">
        <f>DX27*31</f>
        <v>3296.23</v>
      </c>
      <c r="DX27" s="1">
        <f t="shared" si="31"/>
        <v>106.33</v>
      </c>
      <c r="DY27" s="1" t="e">
        <f t="shared" si="32"/>
        <v>#REF!</v>
      </c>
      <c r="EL27">
        <v>1999</v>
      </c>
      <c r="EM27" t="s">
        <v>708</v>
      </c>
      <c r="EN27" t="s">
        <v>841</v>
      </c>
      <c r="EO27">
        <v>4.9290000000000003</v>
      </c>
    </row>
    <row r="28" spans="1:145" x14ac:dyDescent="0.25">
      <c r="A28" s="8">
        <v>1999</v>
      </c>
      <c r="B28" s="19" t="s">
        <v>709</v>
      </c>
      <c r="C28" s="19"/>
      <c r="D28" s="284">
        <f>E28*30</f>
        <v>12.57</v>
      </c>
      <c r="E28" s="1">
        <v>0.41899999999999998</v>
      </c>
      <c r="F28" s="1">
        <f t="shared" si="34"/>
        <v>0.3821666666666666</v>
      </c>
      <c r="G28" s="1">
        <v>4.0999999999999996</v>
      </c>
      <c r="N28" s="284">
        <f>O28*30</f>
        <v>111.27</v>
      </c>
      <c r="O28" s="1">
        <v>3.7090000000000001</v>
      </c>
      <c r="P28" s="1">
        <f t="shared" si="13"/>
        <v>3.4890000000000003</v>
      </c>
      <c r="Q28" s="1">
        <v>13.6</v>
      </c>
      <c r="S28" s="284">
        <f>T28*30</f>
        <v>161.25</v>
      </c>
      <c r="T28" s="1">
        <v>5.375</v>
      </c>
      <c r="U28" s="1">
        <f t="shared" si="14"/>
        <v>4.8359166666666669</v>
      </c>
      <c r="V28" s="1">
        <v>18.8</v>
      </c>
      <c r="W28" s="88"/>
      <c r="X28" s="284">
        <f>Y28*30</f>
        <v>584.73</v>
      </c>
      <c r="Y28" s="1">
        <v>19.491</v>
      </c>
      <c r="Z28" s="1">
        <f t="shared" si="15"/>
        <v>19.163749999999997</v>
      </c>
      <c r="AA28" s="1">
        <v>34.950000000000003</v>
      </c>
      <c r="AB28" s="1"/>
      <c r="AC28" s="284">
        <f>AD28*30</f>
        <v>745.98</v>
      </c>
      <c r="AD28" s="1">
        <f t="shared" si="36"/>
        <v>24.866</v>
      </c>
      <c r="AE28" s="1">
        <f t="shared" si="35"/>
        <v>23.999666666666666</v>
      </c>
      <c r="AF28" s="1">
        <v>53.75</v>
      </c>
      <c r="AH28" s="284">
        <f>AI28*30</f>
        <v>1796.73</v>
      </c>
      <c r="AI28" s="1">
        <v>59.890999999999998</v>
      </c>
      <c r="AJ28" s="1">
        <f t="shared" si="17"/>
        <v>50.996583333333341</v>
      </c>
      <c r="AK28" s="88">
        <v>200</v>
      </c>
      <c r="AL28" s="1"/>
      <c r="AM28" s="284">
        <f>AN28*30</f>
        <v>28.86</v>
      </c>
      <c r="AN28" s="1">
        <v>0.96199999999999997</v>
      </c>
      <c r="AO28" s="1">
        <f t="shared" si="18"/>
        <v>0.88158333333333327</v>
      </c>
      <c r="AP28" s="88">
        <v>20.638000000000002</v>
      </c>
      <c r="AQ28" s="1"/>
      <c r="AR28" s="284">
        <f>AS28*30</f>
        <v>162.81</v>
      </c>
      <c r="AS28" s="1">
        <v>5.4269999999999996</v>
      </c>
      <c r="AT28" s="1">
        <f t="shared" si="43"/>
        <v>4.7495833333333328</v>
      </c>
      <c r="AU28" s="88">
        <v>32.052999999999997</v>
      </c>
      <c r="AV28" s="1"/>
      <c r="AW28" s="284">
        <f>AX28*30</f>
        <v>22.44</v>
      </c>
      <c r="AX28" s="1">
        <v>0.748</v>
      </c>
      <c r="AY28" s="1">
        <f t="shared" si="37"/>
        <v>0.72391666666666676</v>
      </c>
      <c r="AZ28" s="88" t="s">
        <v>770</v>
      </c>
      <c r="BB28" s="284">
        <f>BC28*30</f>
        <v>26.94</v>
      </c>
      <c r="BC28" s="1">
        <v>0.89800000000000002</v>
      </c>
      <c r="BD28" s="1">
        <f t="shared" si="38"/>
        <v>0.88324999999999998</v>
      </c>
      <c r="BE28" s="1">
        <v>5.5860000000000003</v>
      </c>
      <c r="BF28" s="1"/>
      <c r="BG28" s="284">
        <f>BH28*30</f>
        <v>25.2</v>
      </c>
      <c r="BH28" s="1">
        <v>0.84</v>
      </c>
      <c r="BI28" s="1">
        <f t="shared" si="39"/>
        <v>0.79008333333333336</v>
      </c>
      <c r="BJ28" s="1">
        <v>7.2789999999999999</v>
      </c>
      <c r="BK28" s="1"/>
      <c r="BL28" s="284">
        <f>BM28*30</f>
        <v>101.34</v>
      </c>
      <c r="BM28" s="1">
        <v>3.3780000000000001</v>
      </c>
      <c r="BN28" s="1">
        <v>3.427</v>
      </c>
      <c r="BP28" s="1"/>
      <c r="BQ28" s="284">
        <f>BR28*30</f>
        <v>17.279999999999998</v>
      </c>
      <c r="BR28" s="1">
        <v>0.57599999999999996</v>
      </c>
      <c r="BS28" s="1">
        <f t="shared" si="40"/>
        <v>0.58183333333333331</v>
      </c>
      <c r="BT28" s="1">
        <v>6.76</v>
      </c>
      <c r="BU28" s="1"/>
      <c r="BV28" s="284">
        <f>BW28*30</f>
        <v>9.51</v>
      </c>
      <c r="BW28" s="1">
        <v>0.317</v>
      </c>
      <c r="BX28" s="1">
        <f t="shared" si="41"/>
        <v>0.24758333333333335</v>
      </c>
      <c r="BY28" s="1">
        <v>7.2729999999999997</v>
      </c>
      <c r="BZ28" s="1"/>
      <c r="CA28" s="284">
        <f>CB28*30</f>
        <v>14.549999999999999</v>
      </c>
      <c r="CB28" s="1">
        <v>0.48499999999999999</v>
      </c>
      <c r="CC28" s="1">
        <f t="shared" si="42"/>
        <v>0.4679166666666667</v>
      </c>
      <c r="CD28" s="88" t="s">
        <v>770</v>
      </c>
      <c r="CE28" s="1"/>
      <c r="CF28" s="284">
        <f>CG28*30</f>
        <v>45.209999999999994</v>
      </c>
      <c r="CG28" s="1">
        <v>1.5069999999999999</v>
      </c>
      <c r="CH28" s="1">
        <v>1.5289999999999999</v>
      </c>
      <c r="CJ28" s="1"/>
      <c r="CK28" s="284">
        <f>CL28*30</f>
        <v>315.36</v>
      </c>
      <c r="CL28" s="1">
        <v>10.512</v>
      </c>
      <c r="CM28" s="1">
        <f t="shared" si="26"/>
        <v>8.9839166666666657</v>
      </c>
      <c r="CN28" s="1">
        <v>30.25</v>
      </c>
      <c r="CO28" s="1"/>
      <c r="CP28" s="284">
        <f>CQ28*30</f>
        <v>371.84999999999997</v>
      </c>
      <c r="CQ28" s="1">
        <v>12.395</v>
      </c>
      <c r="CR28" s="1">
        <f t="shared" si="27"/>
        <v>12.573250000000002</v>
      </c>
      <c r="CS28" s="1">
        <v>24</v>
      </c>
      <c r="CT28" s="1"/>
      <c r="CU28" s="284">
        <f>CV28*30</f>
        <v>119.52</v>
      </c>
      <c r="CV28" s="1">
        <v>3.984</v>
      </c>
      <c r="CW28" s="1">
        <f t="shared" si="28"/>
        <v>3.7545000000000002</v>
      </c>
      <c r="CX28" s="1">
        <v>8.6</v>
      </c>
      <c r="CZ28" s="269">
        <f>DA28*30</f>
        <v>22.35</v>
      </c>
      <c r="DA28" s="1">
        <v>0.745</v>
      </c>
      <c r="DB28" s="1"/>
      <c r="DC28" s="284">
        <f>DD28*30</f>
        <v>11.19</v>
      </c>
      <c r="DD28" s="1">
        <v>0.373</v>
      </c>
      <c r="DE28" s="1">
        <v>0.378</v>
      </c>
      <c r="DG28" s="1"/>
      <c r="DH28" s="284">
        <f>DI28*30</f>
        <v>86.55</v>
      </c>
      <c r="DI28" s="5">
        <f t="shared" si="0"/>
        <v>2.8849999999999998</v>
      </c>
      <c r="DJ28" s="1">
        <f t="shared" si="1"/>
        <v>2.8263333333333334</v>
      </c>
      <c r="DK28" s="1"/>
      <c r="DL28" s="1"/>
      <c r="DM28" s="284">
        <f>DN28*30</f>
        <v>2947.59</v>
      </c>
      <c r="DN28" s="1">
        <f t="shared" si="2"/>
        <v>98.253</v>
      </c>
      <c r="DO28" s="1">
        <f t="shared" si="3"/>
        <v>87.496500000000012</v>
      </c>
      <c r="DP28" s="1"/>
      <c r="DQ28" s="1"/>
      <c r="DR28" s="284">
        <f>DS28*30</f>
        <v>840.27</v>
      </c>
      <c r="DS28" s="1">
        <f t="shared" si="4"/>
        <v>28.009</v>
      </c>
      <c r="DT28" s="1" t="e">
        <f>SUM(CM28+CR28+CW28+#REF!+DE28)</f>
        <v>#REF!</v>
      </c>
      <c r="DU28" s="1"/>
      <c r="DV28" s="1"/>
      <c r="DW28" s="284">
        <f>DX28*30</f>
        <v>3787.86</v>
      </c>
      <c r="DX28" s="1">
        <f t="shared" si="31"/>
        <v>126.262</v>
      </c>
      <c r="DY28" s="1" t="e">
        <f t="shared" si="32"/>
        <v>#REF!</v>
      </c>
      <c r="ED28" s="1">
        <f>EE28*92</f>
        <v>2368.4786666666669</v>
      </c>
      <c r="EE28" s="1">
        <f>AVERAGE(DS26:DS28)</f>
        <v>25.744333333333334</v>
      </c>
      <c r="EF28" s="1">
        <f>SUM(EE19+EE22+EE25+EE28)/4</f>
        <v>26.409416666666665</v>
      </c>
      <c r="EL28">
        <v>1999</v>
      </c>
      <c r="EM28" t="s">
        <v>709</v>
      </c>
      <c r="EN28" t="s">
        <v>841</v>
      </c>
      <c r="EO28">
        <v>12.57</v>
      </c>
    </row>
    <row r="29" spans="1:145" x14ac:dyDescent="0.25">
      <c r="A29" s="8">
        <v>1999</v>
      </c>
      <c r="B29" s="19" t="s">
        <v>710</v>
      </c>
      <c r="C29" s="19"/>
      <c r="D29" s="284">
        <f>E29*31</f>
        <v>158.00700000000001</v>
      </c>
      <c r="E29" s="1">
        <v>5.0970000000000004</v>
      </c>
      <c r="F29" s="1">
        <f t="shared" si="34"/>
        <v>0.77949999999999997</v>
      </c>
      <c r="G29" s="1">
        <v>20</v>
      </c>
      <c r="N29" s="284">
        <f>O29*31</f>
        <v>105.39999999999999</v>
      </c>
      <c r="O29" s="1">
        <v>3.4</v>
      </c>
      <c r="P29" s="1">
        <f t="shared" si="13"/>
        <v>3.4814166666666666</v>
      </c>
      <c r="Q29" s="1">
        <v>6</v>
      </c>
      <c r="S29" s="284">
        <f>T29*31</f>
        <v>162.71899999999999</v>
      </c>
      <c r="T29" s="1">
        <v>5.2489999999999997</v>
      </c>
      <c r="U29" s="1">
        <f t="shared" si="14"/>
        <v>4.9005833333333335</v>
      </c>
      <c r="V29" s="1">
        <v>7.86</v>
      </c>
      <c r="W29" s="88"/>
      <c r="X29" s="284">
        <f>Y29*31</f>
        <v>612.83899999999994</v>
      </c>
      <c r="Y29" s="1">
        <v>19.768999999999998</v>
      </c>
      <c r="Z29" s="1">
        <f t="shared" si="15"/>
        <v>19.306250000000002</v>
      </c>
      <c r="AA29" s="1">
        <v>26.01</v>
      </c>
      <c r="AB29" s="1"/>
      <c r="AC29" s="284">
        <f>AD29*31</f>
        <v>775.55799999999988</v>
      </c>
      <c r="AD29" s="1">
        <f t="shared" si="36"/>
        <v>25.017999999999997</v>
      </c>
      <c r="AE29" s="1">
        <f t="shared" ref="AE29:AE34" si="44">SUM(AD18:AD29)/12</f>
        <v>24.206833333333325</v>
      </c>
      <c r="AF29" s="1">
        <v>53.75</v>
      </c>
      <c r="AH29" s="284">
        <f>AI29*31</f>
        <v>1747.377</v>
      </c>
      <c r="AI29" s="1">
        <v>56.366999999999997</v>
      </c>
      <c r="AJ29" s="1">
        <f t="shared" si="17"/>
        <v>51.835333333333331</v>
      </c>
      <c r="AK29" s="1">
        <v>154.22999999999999</v>
      </c>
      <c r="AL29" s="1"/>
      <c r="AM29" s="284">
        <f>AN29*31</f>
        <v>27.248999999999999</v>
      </c>
      <c r="AN29" s="1">
        <v>0.879</v>
      </c>
      <c r="AO29" s="1">
        <f t="shared" si="18"/>
        <v>0.87616666666666665</v>
      </c>
      <c r="AP29" s="1">
        <v>1.552</v>
      </c>
      <c r="AQ29" s="1"/>
      <c r="AR29" s="284">
        <f>AS29*31</f>
        <v>147.994</v>
      </c>
      <c r="AS29" s="1">
        <v>4.774</v>
      </c>
      <c r="AT29" s="1">
        <f t="shared" si="43"/>
        <v>4.811916666666666</v>
      </c>
      <c r="AU29" s="1">
        <v>31.451000000000001</v>
      </c>
      <c r="AV29" s="1"/>
      <c r="AW29" s="284">
        <f>AX29*31</f>
        <v>23.187999999999999</v>
      </c>
      <c r="AX29" s="1">
        <v>0.748</v>
      </c>
      <c r="AY29" s="1">
        <f t="shared" si="37"/>
        <v>0.73250000000000004</v>
      </c>
      <c r="AZ29" s="88" t="s">
        <v>770</v>
      </c>
      <c r="BB29" s="284">
        <f>BC29*31</f>
        <v>26.442999999999998</v>
      </c>
      <c r="BC29" s="1">
        <v>0.85299999999999998</v>
      </c>
      <c r="BD29" s="1">
        <f t="shared" si="38"/>
        <v>0.88758333333333328</v>
      </c>
      <c r="BE29" s="1">
        <v>1.9490000000000001</v>
      </c>
      <c r="BF29" s="1"/>
      <c r="BG29" s="284">
        <f>BH29*31</f>
        <v>25.450999999999997</v>
      </c>
      <c r="BH29" s="1">
        <v>0.82099999999999995</v>
      </c>
      <c r="BI29" s="1">
        <f t="shared" si="39"/>
        <v>0.80074999999999996</v>
      </c>
      <c r="BJ29" s="1">
        <v>2.524</v>
      </c>
      <c r="BK29" s="1"/>
      <c r="BL29" s="284">
        <f>BM29*31</f>
        <v>104.718</v>
      </c>
      <c r="BM29" s="1">
        <v>3.3780000000000001</v>
      </c>
      <c r="BN29" s="1">
        <v>3.427</v>
      </c>
      <c r="BP29" s="1"/>
      <c r="BQ29" s="284">
        <f>BR29*31</f>
        <v>17.483999999999998</v>
      </c>
      <c r="BR29" s="1">
        <v>0.56399999999999995</v>
      </c>
      <c r="BS29" s="1">
        <f t="shared" si="40"/>
        <v>0.57741666666666658</v>
      </c>
      <c r="BT29" s="1">
        <v>5.08</v>
      </c>
      <c r="BU29" s="1"/>
      <c r="BV29" s="284">
        <f>BW29*31</f>
        <v>9.2379999999999995</v>
      </c>
      <c r="BW29" s="1">
        <v>0.29799999999999999</v>
      </c>
      <c r="BX29" s="1">
        <f t="shared" si="41"/>
        <v>0.25391666666666662</v>
      </c>
      <c r="BY29" s="1">
        <v>6.0460000000000003</v>
      </c>
      <c r="BZ29" s="1"/>
      <c r="CA29" s="284">
        <f>CB29*31</f>
        <v>15.624000000000001</v>
      </c>
      <c r="CB29" s="1">
        <v>0.504</v>
      </c>
      <c r="CC29" s="1">
        <f t="shared" si="42"/>
        <v>0.47166666666666668</v>
      </c>
      <c r="CD29" s="88" t="s">
        <v>770</v>
      </c>
      <c r="CE29" s="1"/>
      <c r="CF29" s="284">
        <f>CG29*31</f>
        <v>46.716999999999999</v>
      </c>
      <c r="CG29" s="1">
        <v>1.5069999999999999</v>
      </c>
      <c r="CH29" s="1">
        <v>1.5289999999999999</v>
      </c>
      <c r="CJ29" s="1"/>
      <c r="CK29" s="284">
        <f>CL29*31</f>
        <v>179.24199999999999</v>
      </c>
      <c r="CL29" s="1">
        <v>5.782</v>
      </c>
      <c r="CM29" s="1">
        <f t="shared" si="26"/>
        <v>9.0579999999999981</v>
      </c>
      <c r="CN29" s="1">
        <v>18.600000000000001</v>
      </c>
      <c r="CO29" s="1"/>
      <c r="CP29" s="284">
        <f>CQ29*31</f>
        <v>368.59000000000003</v>
      </c>
      <c r="CQ29" s="1">
        <v>11.89</v>
      </c>
      <c r="CR29" s="1">
        <f t="shared" si="27"/>
        <v>12.49</v>
      </c>
      <c r="CS29" s="1">
        <v>22</v>
      </c>
      <c r="CT29" s="1"/>
      <c r="CU29" s="284">
        <f>CV29*31</f>
        <v>123.194</v>
      </c>
      <c r="CV29" s="1">
        <v>3.9740000000000002</v>
      </c>
      <c r="CW29" s="1">
        <f t="shared" si="28"/>
        <v>3.7932500000000005</v>
      </c>
      <c r="CX29" s="1">
        <v>6.5</v>
      </c>
      <c r="CZ29" s="269">
        <f>DA29*31</f>
        <v>16.957000000000001</v>
      </c>
      <c r="DA29" s="1">
        <v>0.54700000000000004</v>
      </c>
      <c r="DB29" s="1"/>
      <c r="DC29" s="284">
        <f>DD29*31</f>
        <v>11.563000000000001</v>
      </c>
      <c r="DD29" s="1">
        <v>0.373</v>
      </c>
      <c r="DE29" s="1">
        <v>0.378</v>
      </c>
      <c r="DG29" s="1"/>
      <c r="DH29" s="284">
        <f>DI29*31</f>
        <v>89.062999999999988</v>
      </c>
      <c r="DI29" s="5">
        <f t="shared" si="0"/>
        <v>2.8729999999999998</v>
      </c>
      <c r="DJ29" s="1">
        <f t="shared" si="1"/>
        <v>2.8319999999999999</v>
      </c>
      <c r="DK29" s="1"/>
      <c r="DL29" s="1"/>
      <c r="DM29" s="284">
        <f>DN29*31</f>
        <v>3052.3220000000001</v>
      </c>
      <c r="DN29" s="1">
        <f t="shared" si="2"/>
        <v>98.462000000000003</v>
      </c>
      <c r="DO29" s="1">
        <f t="shared" si="3"/>
        <v>89.006999999999991</v>
      </c>
      <c r="DP29" s="1"/>
      <c r="DQ29" s="1"/>
      <c r="DR29" s="284">
        <f>DS29*31</f>
        <v>699.54600000000005</v>
      </c>
      <c r="DS29" s="1">
        <f t="shared" si="4"/>
        <v>22.566000000000003</v>
      </c>
      <c r="DT29" s="1" t="e">
        <f>SUM(CM29+CR29+CW29+#REF!+DE29)</f>
        <v>#REF!</v>
      </c>
      <c r="DU29" s="1"/>
      <c r="DV29" s="1"/>
      <c r="DW29" s="284">
        <f>DX29*31</f>
        <v>3751.8680000000004</v>
      </c>
      <c r="DX29" s="1">
        <f t="shared" si="31"/>
        <v>121.02800000000001</v>
      </c>
      <c r="DY29" s="1" t="e">
        <f t="shared" si="32"/>
        <v>#REF!</v>
      </c>
      <c r="EL29">
        <v>1999</v>
      </c>
      <c r="EM29" t="s">
        <v>710</v>
      </c>
      <c r="EN29" t="s">
        <v>841</v>
      </c>
      <c r="EO29">
        <v>158.00700000000001</v>
      </c>
    </row>
    <row r="30" spans="1:145" x14ac:dyDescent="0.25">
      <c r="A30" s="8">
        <v>1999</v>
      </c>
      <c r="B30" s="19" t="s">
        <v>711</v>
      </c>
      <c r="C30" s="19"/>
      <c r="D30" s="284">
        <f>E30*30</f>
        <v>242.15999999999997</v>
      </c>
      <c r="E30" s="1">
        <v>8.0719999999999992</v>
      </c>
      <c r="F30" s="1">
        <f t="shared" si="34"/>
        <v>1.4358333333333331</v>
      </c>
      <c r="G30" s="1">
        <v>20</v>
      </c>
      <c r="N30" s="284">
        <f>O30*30</f>
        <v>97.559999999999988</v>
      </c>
      <c r="O30" s="1">
        <v>3.2519999999999998</v>
      </c>
      <c r="P30" s="1">
        <f t="shared" si="13"/>
        <v>3.4835000000000007</v>
      </c>
      <c r="Q30" s="1">
        <v>6</v>
      </c>
      <c r="S30" s="284">
        <f>T30*30</f>
        <v>146.63999999999999</v>
      </c>
      <c r="T30" s="1">
        <v>4.8879999999999999</v>
      </c>
      <c r="U30" s="1">
        <f t="shared" si="14"/>
        <v>4.956083333333333</v>
      </c>
      <c r="V30" s="1">
        <v>7.87</v>
      </c>
      <c r="W30" s="88"/>
      <c r="X30" s="284">
        <f>Y30*30</f>
        <v>576.17999999999995</v>
      </c>
      <c r="Y30" s="1">
        <v>19.206</v>
      </c>
      <c r="Z30" s="1">
        <f t="shared" si="15"/>
        <v>19.43408333333333</v>
      </c>
      <c r="AA30" s="1">
        <v>25.97</v>
      </c>
      <c r="AB30" s="1"/>
      <c r="AC30" s="284">
        <f>AD30*30</f>
        <v>722.82</v>
      </c>
      <c r="AD30" s="1">
        <f t="shared" ref="AD30:AD73" si="45">SUM(T30+Y30)</f>
        <v>24.094000000000001</v>
      </c>
      <c r="AE30" s="1">
        <f t="shared" si="44"/>
        <v>24.390166666666662</v>
      </c>
      <c r="AF30" s="1">
        <v>33.840000000000003</v>
      </c>
      <c r="AH30" s="284">
        <f>AI30*30</f>
        <v>1615.56</v>
      </c>
      <c r="AI30" s="1">
        <v>53.851999999999997</v>
      </c>
      <c r="AJ30" s="1">
        <f t="shared" si="17"/>
        <v>52.47091666666666</v>
      </c>
      <c r="AK30" s="1">
        <v>147.69</v>
      </c>
      <c r="AL30" s="1"/>
      <c r="AM30" s="284">
        <f>AN30*30</f>
        <v>26.46</v>
      </c>
      <c r="AN30" s="1">
        <v>0.88200000000000001</v>
      </c>
      <c r="AO30" s="1">
        <f t="shared" si="18"/>
        <v>0.85825000000000007</v>
      </c>
      <c r="AP30" s="1">
        <v>1.907</v>
      </c>
      <c r="AQ30" s="1"/>
      <c r="AR30" s="284">
        <f>AS30*30</f>
        <v>124.62</v>
      </c>
      <c r="AS30" s="1">
        <v>4.1539999999999999</v>
      </c>
      <c r="AT30" s="1">
        <f t="shared" si="43"/>
        <v>4.8077499999999995</v>
      </c>
      <c r="AU30" s="1">
        <v>7.5549999999999997</v>
      </c>
      <c r="AV30" s="1"/>
      <c r="AW30" s="284">
        <f>AX30*30</f>
        <v>27.12</v>
      </c>
      <c r="AX30" s="1">
        <v>0.90400000000000003</v>
      </c>
      <c r="AY30" s="1">
        <f t="shared" si="37"/>
        <v>0.7506666666666667</v>
      </c>
      <c r="AZ30" s="1">
        <v>1.591</v>
      </c>
      <c r="BB30" s="284">
        <f>BC30*30</f>
        <v>24.869999999999997</v>
      </c>
      <c r="BC30" s="1">
        <v>0.82899999999999996</v>
      </c>
      <c r="BD30" s="1">
        <f t="shared" si="38"/>
        <v>0.88841666666666652</v>
      </c>
      <c r="BE30" s="1">
        <v>1.9910000000000001</v>
      </c>
      <c r="BF30" s="1"/>
      <c r="BG30" s="284">
        <f>BH30*30</f>
        <v>22.92</v>
      </c>
      <c r="BH30" s="1">
        <v>0.76400000000000001</v>
      </c>
      <c r="BI30" s="1">
        <f t="shared" si="39"/>
        <v>0.80766666666666653</v>
      </c>
      <c r="BJ30" s="1">
        <v>6.851</v>
      </c>
      <c r="BK30" s="1"/>
      <c r="BL30" s="284">
        <f>BM30*30</f>
        <v>101.34</v>
      </c>
      <c r="BM30" s="1">
        <v>3.3780000000000001</v>
      </c>
      <c r="BN30" s="1">
        <v>3.4159999999999999</v>
      </c>
      <c r="BP30" s="1"/>
      <c r="BQ30" s="284">
        <f>BR30*30</f>
        <v>16.830000000000002</v>
      </c>
      <c r="BR30" s="1">
        <v>0.56100000000000005</v>
      </c>
      <c r="BS30" s="1">
        <f t="shared" si="40"/>
        <v>0.57533333333333336</v>
      </c>
      <c r="BT30" s="1">
        <v>6.0250000000000004</v>
      </c>
      <c r="BU30" s="1"/>
      <c r="BV30" s="284">
        <f>BW30*30</f>
        <v>8.0400000000000009</v>
      </c>
      <c r="BW30" s="1">
        <v>0.26800000000000002</v>
      </c>
      <c r="BX30" s="1">
        <f t="shared" si="41"/>
        <v>0.25808333333333339</v>
      </c>
      <c r="BY30" s="1">
        <v>8.06</v>
      </c>
      <c r="BZ30" s="1"/>
      <c r="CA30" s="284">
        <f>CB30*30</f>
        <v>9.6300000000000008</v>
      </c>
      <c r="CB30" s="1">
        <v>0.32100000000000001</v>
      </c>
      <c r="CC30" s="1">
        <f t="shared" si="42"/>
        <v>0.45966666666666667</v>
      </c>
      <c r="CD30" s="1">
        <v>1.591</v>
      </c>
      <c r="CE30" s="1"/>
      <c r="CF30" s="284">
        <f>CG30*30</f>
        <v>45.209999999999994</v>
      </c>
      <c r="CG30" s="1">
        <v>1.5069999999999999</v>
      </c>
      <c r="CH30" s="1">
        <v>1.5289999999999999</v>
      </c>
      <c r="CJ30" s="1"/>
      <c r="CK30" s="284">
        <f>CL30*30</f>
        <v>75.03</v>
      </c>
      <c r="CL30" s="1">
        <v>2.5009999999999999</v>
      </c>
      <c r="CM30" s="1">
        <f t="shared" si="26"/>
        <v>8.8390000000000004</v>
      </c>
      <c r="CN30" s="1">
        <v>7.63</v>
      </c>
      <c r="CO30" s="1"/>
      <c r="CP30" s="284">
        <f>CQ30*30</f>
        <v>325.62</v>
      </c>
      <c r="CQ30" s="1">
        <v>10.853999999999999</v>
      </c>
      <c r="CR30" s="1">
        <f t="shared" si="27"/>
        <v>12.353499999999997</v>
      </c>
      <c r="CS30" s="1">
        <v>27</v>
      </c>
      <c r="CT30" s="1"/>
      <c r="CU30" s="284">
        <f>CV30*30</f>
        <v>117.42</v>
      </c>
      <c r="CV30" s="1">
        <v>3.9140000000000001</v>
      </c>
      <c r="CW30" s="1">
        <f t="shared" si="28"/>
        <v>3.8309999999999995</v>
      </c>
      <c r="CX30" s="1">
        <v>6.4</v>
      </c>
      <c r="CZ30" s="269">
        <f>DA30*30</f>
        <v>21.39</v>
      </c>
      <c r="DA30" s="1">
        <v>0.71299999999999997</v>
      </c>
      <c r="DB30" s="1"/>
      <c r="DC30" s="284">
        <f>DD30*30</f>
        <v>11.19</v>
      </c>
      <c r="DD30" s="1">
        <v>0.373</v>
      </c>
      <c r="DE30" s="1">
        <v>0.377</v>
      </c>
      <c r="DG30" s="1"/>
      <c r="DH30" s="284">
        <f>DI30*30</f>
        <v>79.710000000000008</v>
      </c>
      <c r="DI30" s="5">
        <f t="shared" si="0"/>
        <v>2.657</v>
      </c>
      <c r="DJ30" s="1">
        <f t="shared" si="1"/>
        <v>2.8220833333333335</v>
      </c>
      <c r="DK30" s="1"/>
      <c r="DL30" s="1"/>
      <c r="DM30" s="284">
        <f>DN30*30</f>
        <v>2925.72</v>
      </c>
      <c r="DN30" s="1">
        <f t="shared" si="2"/>
        <v>97.523999999999987</v>
      </c>
      <c r="DO30" s="1">
        <f t="shared" si="3"/>
        <v>90.487083333333302</v>
      </c>
      <c r="DP30" s="1"/>
      <c r="DQ30" s="1"/>
      <c r="DR30" s="284">
        <f>DS30*30</f>
        <v>550.65</v>
      </c>
      <c r="DS30" s="1">
        <f t="shared" si="4"/>
        <v>18.355</v>
      </c>
      <c r="DT30" s="1" t="e">
        <f>SUM(CM30+CR30+CW30+#REF!+DE30)</f>
        <v>#REF!</v>
      </c>
      <c r="DU30" s="1"/>
      <c r="DV30" s="1"/>
      <c r="DW30" s="284">
        <f>DX30*30</f>
        <v>3476.37</v>
      </c>
      <c r="DX30" s="1">
        <f t="shared" si="31"/>
        <v>115.87899999999999</v>
      </c>
      <c r="DY30" s="1" t="e">
        <f t="shared" si="32"/>
        <v>#REF!</v>
      </c>
      <c r="EL30">
        <v>1999</v>
      </c>
      <c r="EM30" t="s">
        <v>711</v>
      </c>
      <c r="EN30" t="s">
        <v>841</v>
      </c>
      <c r="EO30">
        <v>242.15999999999997</v>
      </c>
    </row>
    <row r="31" spans="1:145" x14ac:dyDescent="0.25">
      <c r="A31" s="8">
        <v>1999</v>
      </c>
      <c r="B31" s="19" t="s">
        <v>712</v>
      </c>
      <c r="C31" s="19"/>
      <c r="D31" s="284">
        <f>E31*31</f>
        <v>236.74699999999999</v>
      </c>
      <c r="E31" s="1">
        <v>7.6369999999999996</v>
      </c>
      <c r="F31" s="1">
        <f t="shared" si="34"/>
        <v>2.0535000000000001</v>
      </c>
      <c r="N31" s="284">
        <f>O31*31</f>
        <v>98.300999999999988</v>
      </c>
      <c r="O31" s="1">
        <v>3.1709999999999998</v>
      </c>
      <c r="P31" s="1">
        <f t="shared" si="13"/>
        <v>3.488666666666667</v>
      </c>
      <c r="Q31" s="1">
        <v>6</v>
      </c>
      <c r="S31" s="284">
        <f>T31*31</f>
        <v>161.78900000000002</v>
      </c>
      <c r="T31" s="1">
        <v>5.2190000000000003</v>
      </c>
      <c r="U31" s="1">
        <f t="shared" si="14"/>
        <v>5.0352500000000004</v>
      </c>
      <c r="V31" s="1">
        <v>10.39</v>
      </c>
      <c r="W31" s="88"/>
      <c r="X31" s="284">
        <f>Y31*31</f>
        <v>603.38400000000001</v>
      </c>
      <c r="Y31" s="1">
        <v>19.463999999999999</v>
      </c>
      <c r="Z31" s="1">
        <f t="shared" si="15"/>
        <v>19.572916666666664</v>
      </c>
      <c r="AA31" s="1">
        <v>30.08</v>
      </c>
      <c r="AB31" s="1"/>
      <c r="AC31" s="284">
        <f>AD31*31</f>
        <v>765.173</v>
      </c>
      <c r="AD31" s="1">
        <f t="shared" si="45"/>
        <v>24.683</v>
      </c>
      <c r="AE31" s="1">
        <f t="shared" si="44"/>
        <v>24.608166666666666</v>
      </c>
      <c r="AF31" s="1">
        <f>SUM(V31+AA31)</f>
        <v>40.47</v>
      </c>
      <c r="AH31" s="284">
        <f>AI31*31</f>
        <v>1735.2559999999999</v>
      </c>
      <c r="AI31" s="1">
        <v>55.975999999999999</v>
      </c>
      <c r="AJ31" s="1">
        <f t="shared" si="17"/>
        <v>53.286916666666663</v>
      </c>
      <c r="AK31" s="1">
        <v>133.57</v>
      </c>
      <c r="AL31" s="1"/>
      <c r="AM31" s="284">
        <f>AN31*31</f>
        <v>30.100999999999999</v>
      </c>
      <c r="AN31" s="1">
        <v>0.97099999999999997</v>
      </c>
      <c r="AO31" s="1">
        <f t="shared" si="18"/>
        <v>0.87166666666666659</v>
      </c>
      <c r="AP31" s="1">
        <v>2.0840000000000001</v>
      </c>
      <c r="AQ31" s="1"/>
      <c r="AR31" s="284">
        <f>AS31*31</f>
        <v>138.50800000000001</v>
      </c>
      <c r="AS31" s="1">
        <v>4.468</v>
      </c>
      <c r="AT31" s="1">
        <f t="shared" si="43"/>
        <v>4.8026666666666671</v>
      </c>
      <c r="AU31" s="1">
        <v>8.6839999999999993</v>
      </c>
      <c r="AV31" s="1"/>
      <c r="AW31" s="284">
        <f>AX31*31</f>
        <v>28.21</v>
      </c>
      <c r="AX31" s="1">
        <v>0.91</v>
      </c>
      <c r="AY31" s="1">
        <f t="shared" si="37"/>
        <v>0.77058333333333351</v>
      </c>
      <c r="AZ31" s="1">
        <v>0.96799999999999997</v>
      </c>
      <c r="BB31" s="284">
        <f>BC31*31</f>
        <v>27.155999999999999</v>
      </c>
      <c r="BC31" s="1">
        <v>0.876</v>
      </c>
      <c r="BD31" s="1">
        <f t="shared" si="38"/>
        <v>0.89024999999999987</v>
      </c>
      <c r="BE31" s="1">
        <v>1.655</v>
      </c>
      <c r="BF31" s="1"/>
      <c r="BG31" s="284">
        <f>BH31*31</f>
        <v>30.472999999999999</v>
      </c>
      <c r="BH31" s="1">
        <v>0.98299999999999998</v>
      </c>
      <c r="BI31" s="1">
        <f t="shared" si="39"/>
        <v>0.83266666666666656</v>
      </c>
      <c r="BJ31" s="1">
        <v>3.121</v>
      </c>
      <c r="BK31" s="1"/>
      <c r="BL31" s="284">
        <f>BM31*31</f>
        <v>104.718</v>
      </c>
      <c r="BM31" s="1">
        <v>3.3780000000000001</v>
      </c>
      <c r="BN31" s="1">
        <f t="shared" ref="BN31:BN36" si="46">SUM(BM20:BM31)/12</f>
        <v>3.4159166666666665</v>
      </c>
      <c r="BP31" s="1"/>
      <c r="BQ31" s="284">
        <f>BR31*31</f>
        <v>18.103999999999999</v>
      </c>
      <c r="BR31" s="1">
        <v>0.58399999999999996</v>
      </c>
      <c r="BS31" s="1">
        <f t="shared" si="40"/>
        <v>0.5724999999999999</v>
      </c>
      <c r="BT31" s="1">
        <v>2.1379999999999999</v>
      </c>
      <c r="BU31" s="1"/>
      <c r="BV31" s="284">
        <f>BW31*31</f>
        <v>9.3929999999999989</v>
      </c>
      <c r="BW31" s="1">
        <v>0.30299999999999999</v>
      </c>
      <c r="BX31" s="1">
        <f t="shared" si="41"/>
        <v>0.26558333333333334</v>
      </c>
      <c r="BY31" s="1">
        <v>0.89100000000000001</v>
      </c>
      <c r="BZ31" s="1"/>
      <c r="CA31" s="284">
        <f>CB31*31</f>
        <v>13.64</v>
      </c>
      <c r="CB31" s="1">
        <v>0.44</v>
      </c>
      <c r="CC31" s="1">
        <f t="shared" si="42"/>
        <v>0.46133333333333337</v>
      </c>
      <c r="CD31" s="1">
        <v>1.157</v>
      </c>
      <c r="CE31" s="1"/>
      <c r="CF31" s="284">
        <f>CG31*31</f>
        <v>46.716999999999999</v>
      </c>
      <c r="CG31" s="1">
        <v>1.5069999999999999</v>
      </c>
      <c r="CH31" s="1">
        <v>1.5289999999999999</v>
      </c>
      <c r="CJ31" s="1"/>
      <c r="CK31" s="284">
        <f>CL31*31</f>
        <v>106.64</v>
      </c>
      <c r="CL31" s="1">
        <v>3.44</v>
      </c>
      <c r="CM31" s="1">
        <f t="shared" si="26"/>
        <v>8.6802499999999991</v>
      </c>
      <c r="CN31" s="1">
        <v>10.5</v>
      </c>
      <c r="CO31" s="1"/>
      <c r="CP31" s="284">
        <f>CQ31*31</f>
        <v>359.44499999999999</v>
      </c>
      <c r="CQ31" s="1">
        <v>11.595000000000001</v>
      </c>
      <c r="CR31" s="1">
        <f t="shared" si="27"/>
        <v>12.257416666666666</v>
      </c>
      <c r="CS31" s="1">
        <v>26</v>
      </c>
      <c r="CT31" s="1"/>
      <c r="CU31" s="284">
        <f>CV31*31</f>
        <v>126.04599999999999</v>
      </c>
      <c r="CV31" s="1">
        <v>4.0659999999999998</v>
      </c>
      <c r="CW31" s="1">
        <f t="shared" si="28"/>
        <v>3.87825</v>
      </c>
      <c r="CX31" s="1">
        <v>7.2</v>
      </c>
      <c r="CZ31" s="269">
        <f>DA31*31</f>
        <v>23.343</v>
      </c>
      <c r="DA31" s="1">
        <v>0.753</v>
      </c>
      <c r="DB31" s="1"/>
      <c r="DC31" s="284">
        <f>DD31*31</f>
        <v>11.563000000000001</v>
      </c>
      <c r="DD31" s="1">
        <v>0.373</v>
      </c>
      <c r="DE31" s="1">
        <v>0.377</v>
      </c>
      <c r="DG31" s="1"/>
      <c r="DH31" s="284">
        <f>DI31*31</f>
        <v>87.853999999999985</v>
      </c>
      <c r="DI31" s="5">
        <f t="shared" si="0"/>
        <v>2.8339999999999996</v>
      </c>
      <c r="DJ31" s="1">
        <f t="shared" si="1"/>
        <v>2.8284166666666666</v>
      </c>
      <c r="DK31" s="1"/>
      <c r="DL31" s="1"/>
      <c r="DM31" s="284">
        <f>DN31*31</f>
        <v>3106.7890000000002</v>
      </c>
      <c r="DN31" s="1">
        <f t="shared" si="2"/>
        <v>100.21900000000001</v>
      </c>
      <c r="DO31" s="1">
        <f t="shared" si="3"/>
        <v>92.192583333333317</v>
      </c>
      <c r="DP31" s="1"/>
      <c r="DQ31" s="1"/>
      <c r="DR31" s="284">
        <f>DS31*31</f>
        <v>627.03700000000003</v>
      </c>
      <c r="DS31" s="1">
        <f t="shared" si="4"/>
        <v>20.227</v>
      </c>
      <c r="DT31" s="1" t="e">
        <f>SUM(CM31+CR31+CW31+#REF!+DE31)</f>
        <v>#REF!</v>
      </c>
      <c r="DU31" s="1"/>
      <c r="DV31" s="1"/>
      <c r="DW31" s="284">
        <f>DX31*31</f>
        <v>3733.8260000000005</v>
      </c>
      <c r="DX31" s="1">
        <f t="shared" si="31"/>
        <v>120.44600000000001</v>
      </c>
      <c r="DY31" s="1" t="e">
        <f t="shared" si="32"/>
        <v>#REF!</v>
      </c>
      <c r="ED31" s="1">
        <f>EE31*92</f>
        <v>1875.2053333333336</v>
      </c>
      <c r="EE31" s="1">
        <f>AVERAGE(DS29:DS31)</f>
        <v>20.382666666666669</v>
      </c>
      <c r="EF31" s="1">
        <f>SUM(EE22+EE25+EE28+EE31)/4</f>
        <v>25.913333333333334</v>
      </c>
      <c r="EL31">
        <v>1999</v>
      </c>
      <c r="EM31" t="s">
        <v>712</v>
      </c>
      <c r="EN31" t="s">
        <v>841</v>
      </c>
      <c r="EO31">
        <v>236.74699999999999</v>
      </c>
    </row>
    <row r="32" spans="1:145" x14ac:dyDescent="0.25">
      <c r="A32" s="8">
        <v>2000</v>
      </c>
      <c r="B32" s="19" t="s">
        <v>719</v>
      </c>
      <c r="C32" s="19"/>
      <c r="D32" s="284">
        <f>E32*31</f>
        <v>201.68600000000001</v>
      </c>
      <c r="E32" s="1">
        <v>6.5060000000000002</v>
      </c>
      <c r="F32" s="1">
        <f t="shared" si="34"/>
        <v>2.5500000000000003</v>
      </c>
      <c r="G32" s="1">
        <v>14.5</v>
      </c>
      <c r="N32" s="284">
        <f>O32*31</f>
        <v>97.277999999999992</v>
      </c>
      <c r="O32" s="1">
        <v>3.1379999999999999</v>
      </c>
      <c r="P32" s="1">
        <f t="shared" si="13"/>
        <v>3.4770833333333333</v>
      </c>
      <c r="Q32" s="1">
        <v>7.8</v>
      </c>
      <c r="S32" s="284">
        <f>T32*31</f>
        <v>160.48699999999999</v>
      </c>
      <c r="T32" s="1">
        <v>5.1769999999999996</v>
      </c>
      <c r="U32" s="1">
        <f t="shared" si="14"/>
        <v>5.0750833333333336</v>
      </c>
      <c r="V32" s="1">
        <v>8.16</v>
      </c>
      <c r="W32" s="88"/>
      <c r="X32" s="284">
        <f>Y32*31</f>
        <v>606.51499999999999</v>
      </c>
      <c r="Y32" s="1">
        <v>19.565000000000001</v>
      </c>
      <c r="Z32" s="1">
        <f t="shared" si="15"/>
        <v>19.600583333333329</v>
      </c>
      <c r="AA32" s="1">
        <v>26.14</v>
      </c>
      <c r="AB32" s="1"/>
      <c r="AC32" s="284">
        <f>AD32*31</f>
        <v>767.00200000000007</v>
      </c>
      <c r="AD32" s="1">
        <f t="shared" si="45"/>
        <v>24.742000000000001</v>
      </c>
      <c r="AE32" s="1">
        <f t="shared" si="44"/>
        <v>24.675666666666668</v>
      </c>
      <c r="AF32" s="1">
        <f>SUM(V32+AA32)</f>
        <v>34.299999999999997</v>
      </c>
      <c r="AH32" s="284">
        <f>AI32*31</f>
        <v>1676.356</v>
      </c>
      <c r="AI32" s="1">
        <v>54.076000000000001</v>
      </c>
      <c r="AJ32" s="1">
        <f t="shared" si="17"/>
        <v>53.644333333333343</v>
      </c>
      <c r="AK32" s="1">
        <v>126.89</v>
      </c>
      <c r="AL32" s="1"/>
      <c r="AM32" s="284">
        <f>AN32*31</f>
        <v>30.442</v>
      </c>
      <c r="AN32" s="1">
        <v>0.98199999999999998</v>
      </c>
      <c r="AO32" s="1">
        <f t="shared" si="18"/>
        <v>0.8796666666666666</v>
      </c>
      <c r="AP32" s="1">
        <v>2.8279999999999998</v>
      </c>
      <c r="AQ32" s="1"/>
      <c r="AR32" s="284">
        <f>AS32*31</f>
        <v>137.423</v>
      </c>
      <c r="AS32" s="1">
        <v>4.4329999999999998</v>
      </c>
      <c r="AT32" s="1">
        <f t="shared" si="43"/>
        <v>4.7480833333333328</v>
      </c>
      <c r="AU32" s="1">
        <v>11.891</v>
      </c>
      <c r="AV32" s="1"/>
      <c r="AW32" s="284">
        <f>AX32*31</f>
        <v>23.901</v>
      </c>
      <c r="AX32" s="1">
        <v>0.77100000000000002</v>
      </c>
      <c r="AY32" s="1">
        <f t="shared" si="37"/>
        <v>0.77483333333333348</v>
      </c>
      <c r="AZ32" s="1">
        <v>1.456</v>
      </c>
      <c r="BB32" s="284">
        <f>BC32*31</f>
        <v>29.047000000000001</v>
      </c>
      <c r="BC32" s="1">
        <v>0.93700000000000006</v>
      </c>
      <c r="BD32" s="1">
        <f t="shared" si="38"/>
        <v>0.89699999999999991</v>
      </c>
      <c r="BE32" s="1">
        <v>2.0329999999999999</v>
      </c>
      <c r="BF32" s="1"/>
      <c r="BG32" s="284">
        <f>BH32*31</f>
        <v>29.480999999999998</v>
      </c>
      <c r="BH32" s="1">
        <v>0.95099999999999996</v>
      </c>
      <c r="BI32" s="1">
        <f t="shared" si="39"/>
        <v>0.84224999999999994</v>
      </c>
      <c r="BJ32" s="1">
        <v>3.6869999999999998</v>
      </c>
      <c r="BK32" s="1"/>
      <c r="BL32" s="284">
        <f>BM32*31</f>
        <v>104.718</v>
      </c>
      <c r="BM32" s="1">
        <v>3.3780000000000001</v>
      </c>
      <c r="BN32" s="1">
        <f t="shared" si="46"/>
        <v>3.4105000000000003</v>
      </c>
      <c r="BP32" s="1"/>
      <c r="BQ32" s="284">
        <f>BR32*31</f>
        <v>18.413999999999998</v>
      </c>
      <c r="BR32" s="1">
        <v>0.59399999999999997</v>
      </c>
      <c r="BS32" s="1">
        <f t="shared" si="40"/>
        <v>0.56666666666666665</v>
      </c>
      <c r="BT32" s="1">
        <v>6.7439999999999998</v>
      </c>
      <c r="BU32" s="1"/>
      <c r="BV32" s="284">
        <f>BW32*31</f>
        <v>9.1760000000000002</v>
      </c>
      <c r="BW32" s="1">
        <v>0.29599999999999999</v>
      </c>
      <c r="BX32" s="1">
        <f t="shared" si="41"/>
        <v>0.26858333333333334</v>
      </c>
      <c r="BY32" s="1">
        <v>1.2789999999999999</v>
      </c>
      <c r="BZ32" s="1"/>
      <c r="CA32" s="284">
        <f>CB32*31</f>
        <v>15.407</v>
      </c>
      <c r="CB32" s="1">
        <v>0.497</v>
      </c>
      <c r="CC32" s="1">
        <f t="shared" si="42"/>
        <v>0.46799999999999997</v>
      </c>
      <c r="CD32" s="88" t="s">
        <v>770</v>
      </c>
      <c r="CE32" s="1"/>
      <c r="CF32" s="284">
        <f>CG32*31</f>
        <v>46.716999999999999</v>
      </c>
      <c r="CG32" s="1">
        <v>1.5069999999999999</v>
      </c>
      <c r="CH32" s="1">
        <v>1.5289999999999999</v>
      </c>
      <c r="CJ32" s="1"/>
      <c r="CK32" s="284">
        <f>CL32*31</f>
        <v>95.975999999999999</v>
      </c>
      <c r="CL32" s="1">
        <v>3.0960000000000001</v>
      </c>
      <c r="CM32" s="1">
        <f t="shared" si="26"/>
        <v>8.1314999999999991</v>
      </c>
      <c r="CN32" s="1">
        <v>19.91</v>
      </c>
      <c r="CO32" s="1"/>
      <c r="CP32" s="284">
        <f>CQ32*31</f>
        <v>351.78800000000001</v>
      </c>
      <c r="CQ32" s="1">
        <v>11.348000000000001</v>
      </c>
      <c r="CR32" s="1">
        <f t="shared" si="27"/>
        <v>12.139749999999999</v>
      </c>
      <c r="CS32" s="1">
        <v>20.6</v>
      </c>
      <c r="CT32" s="1"/>
      <c r="CU32" s="284">
        <f>CV32*31</f>
        <v>125.426</v>
      </c>
      <c r="CV32" s="1">
        <v>4.0460000000000003</v>
      </c>
      <c r="CW32" s="1">
        <f t="shared" si="28"/>
        <v>3.8943333333333339</v>
      </c>
      <c r="CX32" s="1">
        <v>6.2</v>
      </c>
      <c r="CZ32" s="269">
        <f>DA32*31</f>
        <v>22.785</v>
      </c>
      <c r="DA32" s="1">
        <v>0.73499999999999999</v>
      </c>
      <c r="DB32" s="1"/>
      <c r="DC32" s="284">
        <f>DD32*31</f>
        <v>12.028</v>
      </c>
      <c r="DD32" s="1">
        <v>0.38800000000000001</v>
      </c>
      <c r="DE32" s="1">
        <v>0.377</v>
      </c>
      <c r="DG32" s="1"/>
      <c r="DH32" s="284">
        <f>DI32*31</f>
        <v>89.713999999999999</v>
      </c>
      <c r="DI32" s="5">
        <f t="shared" si="0"/>
        <v>2.8940000000000001</v>
      </c>
      <c r="DJ32" s="1">
        <f t="shared" si="1"/>
        <v>2.8322500000000002</v>
      </c>
      <c r="DK32" s="1"/>
      <c r="DL32" s="1"/>
      <c r="DM32" s="284">
        <f>DN32*31</f>
        <v>3007.62</v>
      </c>
      <c r="DN32" s="1">
        <f t="shared" si="2"/>
        <v>97.02</v>
      </c>
      <c r="DO32" s="1">
        <f t="shared" si="3"/>
        <v>93.067166666666679</v>
      </c>
      <c r="DP32" s="1"/>
      <c r="DQ32" s="1"/>
      <c r="DR32" s="284">
        <f>DS32*31</f>
        <v>608.00300000000004</v>
      </c>
      <c r="DS32" s="1">
        <f t="shared" si="4"/>
        <v>19.613000000000003</v>
      </c>
      <c r="DT32" s="1" t="e">
        <f>SUM(CM32+CR32+CW32+#REF!+DE32)</f>
        <v>#REF!</v>
      </c>
      <c r="DU32" s="1"/>
      <c r="DV32" s="1"/>
      <c r="DW32" s="284">
        <f>DX32*31</f>
        <v>3615.623</v>
      </c>
      <c r="DX32" s="1">
        <f t="shared" si="31"/>
        <v>116.633</v>
      </c>
      <c r="DY32" s="1" t="e">
        <f t="shared" si="32"/>
        <v>#REF!</v>
      </c>
      <c r="EL32">
        <v>2000</v>
      </c>
      <c r="EM32" t="s">
        <v>719</v>
      </c>
      <c r="EN32" t="s">
        <v>841</v>
      </c>
      <c r="EO32">
        <v>201.68600000000001</v>
      </c>
    </row>
    <row r="33" spans="1:145" x14ac:dyDescent="0.25">
      <c r="A33" s="8">
        <v>2000</v>
      </c>
      <c r="B33" s="19" t="s">
        <v>713</v>
      </c>
      <c r="C33" s="19"/>
      <c r="D33" s="284">
        <f>E33*29</f>
        <v>198.59199999999998</v>
      </c>
      <c r="E33" s="1">
        <v>6.8479999999999999</v>
      </c>
      <c r="F33" s="1">
        <f t="shared" si="34"/>
        <v>3.0698333333333334</v>
      </c>
      <c r="G33" s="1">
        <v>9.5</v>
      </c>
      <c r="N33" s="284">
        <f>O33*29</f>
        <v>95.960999999999999</v>
      </c>
      <c r="O33" s="1">
        <v>3.3090000000000002</v>
      </c>
      <c r="P33" s="1">
        <f t="shared" si="13"/>
        <v>3.4814166666666662</v>
      </c>
      <c r="Q33" s="1">
        <v>6.8</v>
      </c>
      <c r="S33" s="284">
        <f>T33*29</f>
        <v>164.14000000000001</v>
      </c>
      <c r="T33" s="1">
        <v>5.66</v>
      </c>
      <c r="U33" s="1">
        <f t="shared" si="14"/>
        <v>5.1544999999999996</v>
      </c>
      <c r="V33" s="1">
        <v>10.41</v>
      </c>
      <c r="W33" s="88"/>
      <c r="X33" s="284">
        <f>Y33*29</f>
        <v>615.11899999999991</v>
      </c>
      <c r="Y33" s="1">
        <v>21.210999999999999</v>
      </c>
      <c r="Z33" s="1">
        <f t="shared" si="15"/>
        <v>19.73533333333333</v>
      </c>
      <c r="AA33" s="1">
        <v>30.97</v>
      </c>
      <c r="AB33" s="1"/>
      <c r="AC33" s="284">
        <f>AD33*29</f>
        <v>779.25900000000001</v>
      </c>
      <c r="AD33" s="1">
        <f t="shared" si="45"/>
        <v>26.870999999999999</v>
      </c>
      <c r="AE33" s="1">
        <f t="shared" si="44"/>
        <v>24.889833333333328</v>
      </c>
      <c r="AF33" s="1">
        <f>SUM(V33+AA33)</f>
        <v>41.379999999999995</v>
      </c>
      <c r="AH33" s="284">
        <f>AI33*29</f>
        <v>1727.7329999999999</v>
      </c>
      <c r="AI33" s="1">
        <v>59.576999999999998</v>
      </c>
      <c r="AJ33" s="1">
        <f t="shared" si="17"/>
        <v>54.523916666666672</v>
      </c>
      <c r="AK33" s="1">
        <v>119.6</v>
      </c>
      <c r="AL33" s="1"/>
      <c r="AM33" s="284">
        <f>AN33*29</f>
        <v>31.204000000000001</v>
      </c>
      <c r="AN33" s="1">
        <v>1.0760000000000001</v>
      </c>
      <c r="AO33" s="1">
        <f t="shared" si="18"/>
        <v>0.90266666666666662</v>
      </c>
      <c r="AP33" s="1">
        <v>1.93</v>
      </c>
      <c r="AQ33" s="1"/>
      <c r="AR33" s="284">
        <f>AS33*29</f>
        <v>137.43099999999998</v>
      </c>
      <c r="AS33" s="1">
        <v>4.7389999999999999</v>
      </c>
      <c r="AT33" s="1">
        <f t="shared" si="43"/>
        <v>4.7531666666666661</v>
      </c>
      <c r="AU33" s="1">
        <v>7.2990000000000004</v>
      </c>
      <c r="AV33" s="1"/>
      <c r="AW33" s="284">
        <f>AX33*29</f>
        <v>21.692</v>
      </c>
      <c r="AX33" s="1">
        <v>0.748</v>
      </c>
      <c r="AY33" s="1">
        <f t="shared" si="37"/>
        <v>0.77641666666666664</v>
      </c>
      <c r="AZ33" s="88" t="s">
        <v>770</v>
      </c>
      <c r="BB33" s="284">
        <f>BC33*29</f>
        <v>26.071000000000002</v>
      </c>
      <c r="BC33" s="1">
        <v>0.89900000000000002</v>
      </c>
      <c r="BD33" s="1">
        <f t="shared" si="38"/>
        <v>0.89724999999999999</v>
      </c>
      <c r="BE33" s="1">
        <v>1.7809999999999999</v>
      </c>
      <c r="BF33" s="1"/>
      <c r="BG33" s="284">
        <f>BH33*29</f>
        <v>27.811</v>
      </c>
      <c r="BH33" s="1">
        <v>0.95899999999999996</v>
      </c>
      <c r="BI33" s="1">
        <f t="shared" si="39"/>
        <v>0.85533333333333328</v>
      </c>
      <c r="BJ33" s="1">
        <v>2.6970000000000001</v>
      </c>
      <c r="BK33" s="1"/>
      <c r="BL33" s="284">
        <f>BM33*29</f>
        <v>97.962000000000003</v>
      </c>
      <c r="BM33" s="1">
        <v>3.3780000000000001</v>
      </c>
      <c r="BN33" s="1">
        <f t="shared" si="46"/>
        <v>3.4050833333333337</v>
      </c>
      <c r="BP33" s="1"/>
      <c r="BQ33" s="284">
        <f>BR33*29</f>
        <v>17.428999999999998</v>
      </c>
      <c r="BR33" s="1">
        <v>0.60099999999999998</v>
      </c>
      <c r="BS33" s="1">
        <f t="shared" si="40"/>
        <v>0.56358333333333333</v>
      </c>
      <c r="BT33" s="1">
        <v>1.5149999999999999</v>
      </c>
      <c r="BU33" s="1"/>
      <c r="BV33" s="284">
        <f>BW33*29</f>
        <v>6.7860000000000005</v>
      </c>
      <c r="BW33" s="1">
        <v>0.23400000000000001</v>
      </c>
      <c r="BX33" s="1">
        <f t="shared" si="41"/>
        <v>0.26699999999999996</v>
      </c>
      <c r="BY33" s="1">
        <v>0.91500000000000004</v>
      </c>
      <c r="BZ33" s="1"/>
      <c r="CA33" s="284">
        <f>CB33*29</f>
        <v>14.413</v>
      </c>
      <c r="CB33" s="1">
        <v>0.497</v>
      </c>
      <c r="CC33" s="1">
        <f t="shared" ref="CC33:CC38" si="47">SUM(CB22:CB33)/12</f>
        <v>0.47149999999999997</v>
      </c>
      <c r="CD33" s="88" t="s">
        <v>770</v>
      </c>
      <c r="CE33" s="1"/>
      <c r="CF33" s="284">
        <f>CG33*29</f>
        <v>43.702999999999996</v>
      </c>
      <c r="CG33" s="1">
        <v>1.5069999999999999</v>
      </c>
      <c r="CH33" s="1">
        <v>1.5289999999999999</v>
      </c>
      <c r="CJ33" s="1"/>
      <c r="CK33" s="284">
        <f>CL33*29</f>
        <v>87.087000000000003</v>
      </c>
      <c r="CL33" s="1">
        <v>3.0030000000000001</v>
      </c>
      <c r="CM33" s="1">
        <f t="shared" si="26"/>
        <v>7.5474999999999994</v>
      </c>
      <c r="CN33" s="1">
        <v>6.56</v>
      </c>
      <c r="CO33" s="1"/>
      <c r="CP33" s="284">
        <f>CQ33*29</f>
        <v>361.31099999999998</v>
      </c>
      <c r="CQ33" s="1">
        <v>12.459</v>
      </c>
      <c r="CR33" s="1">
        <f t="shared" si="27"/>
        <v>12.167916666666668</v>
      </c>
      <c r="CS33" s="1">
        <v>25</v>
      </c>
      <c r="CT33" s="1"/>
      <c r="CU33" s="284">
        <f>CV33*29</f>
        <v>124.41</v>
      </c>
      <c r="CV33" s="1">
        <v>4.29</v>
      </c>
      <c r="CW33" s="1">
        <f t="shared" si="28"/>
        <v>3.9331666666666667</v>
      </c>
      <c r="CX33" s="1">
        <v>7.2</v>
      </c>
      <c r="CZ33" s="269">
        <f>DA33*29</f>
        <v>23.142000000000003</v>
      </c>
      <c r="DA33" s="1">
        <v>0.79800000000000004</v>
      </c>
      <c r="DB33" s="1"/>
      <c r="DC33" s="284">
        <f>DD33*29</f>
        <v>11.252000000000001</v>
      </c>
      <c r="DD33" s="1">
        <v>0.38800000000000001</v>
      </c>
      <c r="DE33" s="1">
        <v>0.378</v>
      </c>
      <c r="DG33" s="1"/>
      <c r="DH33" s="284">
        <f>DI33*29</f>
        <v>82.330999999999989</v>
      </c>
      <c r="DI33" s="5">
        <f t="shared" si="0"/>
        <v>2.8389999999999995</v>
      </c>
      <c r="DJ33" s="1">
        <f t="shared" si="1"/>
        <v>2.831083333333333</v>
      </c>
      <c r="DK33" s="1"/>
      <c r="DL33" s="1"/>
      <c r="DM33" s="284">
        <f>DN33*29</f>
        <v>3061.3849999999998</v>
      </c>
      <c r="DN33" s="1">
        <f t="shared" si="2"/>
        <v>105.565</v>
      </c>
      <c r="DO33" s="1">
        <f t="shared" si="3"/>
        <v>94.723833333333332</v>
      </c>
      <c r="DP33" s="1"/>
      <c r="DQ33" s="1"/>
      <c r="DR33" s="284">
        <f>DS33*29</f>
        <v>607.202</v>
      </c>
      <c r="DS33" s="1">
        <f t="shared" si="4"/>
        <v>20.937999999999999</v>
      </c>
      <c r="DT33" s="1" t="e">
        <f>SUM(CM33+CR33+CW33+#REF!+DE33)</f>
        <v>#REF!</v>
      </c>
      <c r="DU33" s="1"/>
      <c r="DV33" s="1"/>
      <c r="DW33" s="284">
        <f>DX33*29</f>
        <v>3668.587</v>
      </c>
      <c r="DX33" s="1">
        <f t="shared" si="31"/>
        <v>126.503</v>
      </c>
      <c r="DY33" s="1" t="e">
        <f t="shared" si="32"/>
        <v>#REF!</v>
      </c>
      <c r="EL33">
        <v>2000</v>
      </c>
      <c r="EM33" t="s">
        <v>713</v>
      </c>
      <c r="EN33" t="s">
        <v>841</v>
      </c>
      <c r="EO33">
        <v>198.59199999999998</v>
      </c>
    </row>
    <row r="34" spans="1:145" x14ac:dyDescent="0.25">
      <c r="A34" s="8">
        <v>2000</v>
      </c>
      <c r="B34" s="19" t="s">
        <v>714</v>
      </c>
      <c r="C34" s="19"/>
      <c r="D34" s="284">
        <f>E34*31</f>
        <v>222.57999999999998</v>
      </c>
      <c r="E34" s="1">
        <v>7.18</v>
      </c>
      <c r="F34" s="1">
        <f t="shared" ref="F34:F42" si="48">SUM(E23:E34)/12</f>
        <v>3.6246666666666667</v>
      </c>
      <c r="G34" s="1">
        <v>10.5</v>
      </c>
      <c r="N34" s="284">
        <f>O34*31</f>
        <v>112.995</v>
      </c>
      <c r="O34" s="1">
        <v>3.645</v>
      </c>
      <c r="P34" s="1">
        <f t="shared" ref="P34:P55" si="49">SUM(O23:O34)/12</f>
        <v>3.4911666666666665</v>
      </c>
      <c r="Q34" s="1">
        <v>6.8</v>
      </c>
      <c r="S34" s="284">
        <f>T34*31</f>
        <v>192.60300000000001</v>
      </c>
      <c r="T34" s="1">
        <v>6.2130000000000001</v>
      </c>
      <c r="U34" s="1">
        <f t="shared" si="14"/>
        <v>5.1989999999999998</v>
      </c>
      <c r="V34" s="1">
        <v>10.41</v>
      </c>
      <c r="W34" s="88"/>
      <c r="X34" s="284">
        <f>Y34*31</f>
        <v>496.06199999999995</v>
      </c>
      <c r="Y34" s="1">
        <v>16.001999999999999</v>
      </c>
      <c r="Z34" s="1">
        <f t="shared" si="15"/>
        <v>19.257333333333332</v>
      </c>
      <c r="AA34" s="1">
        <v>30.97</v>
      </c>
      <c r="AB34" s="1"/>
      <c r="AC34" s="284">
        <f>AD34*31</f>
        <v>688.66499999999996</v>
      </c>
      <c r="AD34" s="1">
        <f t="shared" si="45"/>
        <v>22.215</v>
      </c>
      <c r="AE34" s="1">
        <f t="shared" si="44"/>
        <v>24.45633333333333</v>
      </c>
      <c r="AF34" s="1">
        <f>SUM(V34+AA34)</f>
        <v>41.379999999999995</v>
      </c>
      <c r="AH34" s="284">
        <f>AI34*31</f>
        <v>1918.528</v>
      </c>
      <c r="AI34" s="1">
        <v>61.887999999999998</v>
      </c>
      <c r="AJ34" s="1">
        <f t="shared" ref="AJ34:AJ79" si="50">SUM(AI23:AI34)/12</f>
        <v>55.068583333333343</v>
      </c>
      <c r="AK34" s="1">
        <v>119.6</v>
      </c>
      <c r="AL34" s="1"/>
      <c r="AM34" s="284">
        <f>AN34*31</f>
        <v>33.79</v>
      </c>
      <c r="AN34" s="1">
        <v>1.0900000000000001</v>
      </c>
      <c r="AO34" s="1">
        <f t="shared" si="18"/>
        <v>0.91299999999999992</v>
      </c>
      <c r="AP34" s="1">
        <v>2.508</v>
      </c>
      <c r="AQ34" s="1"/>
      <c r="AR34" s="284">
        <f>AS34*31</f>
        <v>155.55799999999999</v>
      </c>
      <c r="AS34" s="1">
        <v>5.0179999999999998</v>
      </c>
      <c r="AT34" s="1">
        <f t="shared" si="43"/>
        <v>4.7150833333333333</v>
      </c>
      <c r="AU34" s="1">
        <v>10.428000000000001</v>
      </c>
      <c r="AV34" s="1"/>
      <c r="AW34" s="284">
        <f>AX34*31</f>
        <v>23.187999999999999</v>
      </c>
      <c r="AX34" s="1">
        <v>0.748</v>
      </c>
      <c r="AY34" s="1">
        <f t="shared" si="37"/>
        <v>0.77641666666666664</v>
      </c>
      <c r="AZ34" s="88" t="s">
        <v>770</v>
      </c>
      <c r="BB34" s="284">
        <f>BC34*31</f>
        <v>27.776</v>
      </c>
      <c r="BC34" s="1">
        <v>0.89600000000000002</v>
      </c>
      <c r="BD34" s="1">
        <f t="shared" si="38"/>
        <v>0.89175000000000004</v>
      </c>
      <c r="BE34" s="1">
        <v>2.125</v>
      </c>
      <c r="BF34" s="1"/>
      <c r="BG34" s="284">
        <f>BH34*31</f>
        <v>30.286999999999999</v>
      </c>
      <c r="BH34" s="1">
        <v>0.97699999999999998</v>
      </c>
      <c r="BI34" s="1">
        <f t="shared" si="39"/>
        <v>0.85508333333333331</v>
      </c>
      <c r="BJ34" s="1">
        <v>3.0409999999999999</v>
      </c>
      <c r="BK34" s="1"/>
      <c r="BL34" s="284">
        <f>BM34*31</f>
        <v>104.718</v>
      </c>
      <c r="BM34" s="1">
        <v>3.3780000000000001</v>
      </c>
      <c r="BN34" s="1">
        <f t="shared" si="46"/>
        <v>3.3996666666666666</v>
      </c>
      <c r="BP34" s="1"/>
      <c r="BQ34" s="284">
        <f>BR34*31</f>
        <v>19.065000000000001</v>
      </c>
      <c r="BR34" s="1">
        <v>0.61499999999999999</v>
      </c>
      <c r="BS34" s="1">
        <f t="shared" si="40"/>
        <v>0.56133333333333335</v>
      </c>
      <c r="BT34" s="1">
        <v>1.673</v>
      </c>
      <c r="BU34" s="1"/>
      <c r="BV34" s="284">
        <f>BW34*31</f>
        <v>9.020999999999999</v>
      </c>
      <c r="BW34" s="1">
        <v>0.29099999999999998</v>
      </c>
      <c r="BX34" s="1">
        <f t="shared" si="41"/>
        <v>0.26683333333333331</v>
      </c>
      <c r="BY34" s="1">
        <v>0.80900000000000005</v>
      </c>
      <c r="BZ34" s="1"/>
      <c r="CA34" s="284">
        <f>CB34*31</f>
        <v>15.407</v>
      </c>
      <c r="CB34" s="1">
        <v>0.497</v>
      </c>
      <c r="CC34" s="1">
        <f t="shared" si="47"/>
        <v>0.46849999999999997</v>
      </c>
      <c r="CD34" s="88" t="s">
        <v>770</v>
      </c>
      <c r="CE34" s="1"/>
      <c r="CF34" s="284">
        <f>CG34*31</f>
        <v>46.716999999999999</v>
      </c>
      <c r="CG34" s="1">
        <v>1.5069999999999999</v>
      </c>
      <c r="CH34" s="1">
        <v>1.5289999999999999</v>
      </c>
      <c r="CJ34" s="1"/>
      <c r="CK34" s="284">
        <f>CL34*31</f>
        <v>95.603999999999999</v>
      </c>
      <c r="CL34" s="1">
        <v>3.0840000000000001</v>
      </c>
      <c r="CM34" s="1">
        <f t="shared" si="26"/>
        <v>6.832416666666667</v>
      </c>
      <c r="CN34" s="1">
        <v>6.56</v>
      </c>
      <c r="CO34" s="1"/>
      <c r="CP34" s="284">
        <f>CQ34*31</f>
        <v>377.45600000000002</v>
      </c>
      <c r="CQ34" s="1">
        <v>12.176</v>
      </c>
      <c r="CR34" s="1">
        <f t="shared" si="27"/>
        <v>11.966833333333332</v>
      </c>
      <c r="CS34" s="1">
        <v>25</v>
      </c>
      <c r="CT34" s="1"/>
      <c r="CU34" s="284">
        <f>CV34*31</f>
        <v>138.19800000000001</v>
      </c>
      <c r="CV34" s="1">
        <v>4.4580000000000002</v>
      </c>
      <c r="CW34" s="1">
        <f t="shared" si="28"/>
        <v>3.9325833333333331</v>
      </c>
      <c r="CX34" s="1">
        <v>7.2</v>
      </c>
      <c r="CZ34" s="269">
        <f>DA34*31</f>
        <v>27.248999999999999</v>
      </c>
      <c r="DA34" s="1">
        <v>0.879</v>
      </c>
      <c r="DB34" s="1"/>
      <c r="DC34" s="284">
        <f>DD34*31</f>
        <v>12.028</v>
      </c>
      <c r="DD34" s="1">
        <v>0.38800000000000001</v>
      </c>
      <c r="DE34" s="1">
        <v>0.379</v>
      </c>
      <c r="DG34" s="1"/>
      <c r="DH34" s="284">
        <f>DI34*31</f>
        <v>90.210000000000008</v>
      </c>
      <c r="DI34" s="5">
        <f t="shared" si="0"/>
        <v>2.91</v>
      </c>
      <c r="DJ34" s="1">
        <f t="shared" si="1"/>
        <v>2.8256666666666668</v>
      </c>
      <c r="DK34" s="1"/>
      <c r="DL34" s="1"/>
      <c r="DM34" s="284">
        <f>DN34*31</f>
        <v>3227.8750000000005</v>
      </c>
      <c r="DN34" s="1">
        <f t="shared" si="2"/>
        <v>104.12500000000001</v>
      </c>
      <c r="DO34" s="1">
        <f t="shared" si="3"/>
        <v>95.366083333333336</v>
      </c>
      <c r="DP34" s="1"/>
      <c r="DQ34" s="1"/>
      <c r="DR34" s="284">
        <f>DS34*31</f>
        <v>650.53500000000008</v>
      </c>
      <c r="DS34" s="1">
        <f t="shared" si="4"/>
        <v>20.985000000000003</v>
      </c>
      <c r="DT34" s="1" t="e">
        <f>SUM(CM34+CR34+CW34+#REF!+DE34)</f>
        <v>#REF!</v>
      </c>
      <c r="DU34" s="1"/>
      <c r="DV34" s="1"/>
      <c r="DW34" s="284">
        <f>DX34*31</f>
        <v>3878.4100000000003</v>
      </c>
      <c r="DX34" s="1">
        <f t="shared" si="31"/>
        <v>125.11000000000001</v>
      </c>
      <c r="DY34" s="1" t="e">
        <f t="shared" si="32"/>
        <v>#REF!</v>
      </c>
      <c r="ED34" s="1">
        <f>EE34*91</f>
        <v>1866.5920000000001</v>
      </c>
      <c r="EE34" s="1">
        <f>AVERAGE(DS32:DS34)</f>
        <v>20.512</v>
      </c>
      <c r="EF34" s="1">
        <f>SUM(EE25+EE28+EE31+EE34)/4</f>
        <v>23.837333333333333</v>
      </c>
      <c r="EL34">
        <v>2000</v>
      </c>
      <c r="EM34" t="s">
        <v>714</v>
      </c>
      <c r="EN34" t="s">
        <v>841</v>
      </c>
      <c r="EO34">
        <v>222.57999999999998</v>
      </c>
    </row>
    <row r="35" spans="1:145" x14ac:dyDescent="0.25">
      <c r="A35" s="8">
        <v>2000</v>
      </c>
      <c r="B35" t="s">
        <v>705</v>
      </c>
      <c r="D35" s="284">
        <f>E35*30</f>
        <v>228.45000000000002</v>
      </c>
      <c r="E35" s="1">
        <v>7.6150000000000002</v>
      </c>
      <c r="F35" s="1">
        <f t="shared" si="48"/>
        <v>4.2256666666666671</v>
      </c>
      <c r="G35" s="1">
        <v>17.2</v>
      </c>
      <c r="N35" s="284">
        <f>O35*30</f>
        <v>115.5</v>
      </c>
      <c r="O35" s="1">
        <v>3.85</v>
      </c>
      <c r="P35" s="1">
        <f t="shared" si="49"/>
        <v>3.5071666666666665</v>
      </c>
      <c r="Q35" s="1">
        <v>8</v>
      </c>
      <c r="S35" s="284">
        <f>T35*30</f>
        <v>202.56</v>
      </c>
      <c r="T35" s="1">
        <v>6.7519999999999998</v>
      </c>
      <c r="U35" s="1">
        <f t="shared" ref="U35:U73" si="51">SUM(T24:T35)/12</f>
        <v>5.3134166666666678</v>
      </c>
      <c r="V35" s="1">
        <v>11.5</v>
      </c>
      <c r="W35" s="88"/>
      <c r="X35" s="284">
        <f>Y35*30</f>
        <v>711.96</v>
      </c>
      <c r="Y35" s="1">
        <v>23.731999999999999</v>
      </c>
      <c r="Z35" s="1">
        <f t="shared" ref="Z35:Z73" si="52">SUM(Y24:Y35)/12</f>
        <v>19.487749999999998</v>
      </c>
      <c r="AA35" s="1">
        <v>32</v>
      </c>
      <c r="AB35" s="1"/>
      <c r="AC35" s="284">
        <f>AD35*30</f>
        <v>914.52</v>
      </c>
      <c r="AD35" s="1">
        <f t="shared" si="45"/>
        <v>30.483999999999998</v>
      </c>
      <c r="AE35" s="1">
        <f t="shared" ref="AE35:AE43" si="53">SUM(AD24:AD35)/12</f>
        <v>24.801166666666663</v>
      </c>
      <c r="AF35" s="1">
        <v>43.5</v>
      </c>
      <c r="AH35" s="284">
        <f>AI35*30</f>
        <v>1940.1599999999999</v>
      </c>
      <c r="AI35" s="1">
        <v>64.671999999999997</v>
      </c>
      <c r="AJ35" s="1">
        <f t="shared" si="50"/>
        <v>56.170166666666667</v>
      </c>
      <c r="AK35" s="1">
        <v>132.6</v>
      </c>
      <c r="AL35" s="1"/>
      <c r="AM35" s="284">
        <f>AN35*30</f>
        <v>34.619999999999997</v>
      </c>
      <c r="AN35" s="1">
        <v>1.1539999999999999</v>
      </c>
      <c r="AO35" s="1">
        <f t="shared" ref="AO35:AO42" si="54">SUM(AN24:AN35)/12</f>
        <v>0.9368333333333333</v>
      </c>
      <c r="AP35" s="1">
        <v>1.776</v>
      </c>
      <c r="AQ35" s="1"/>
      <c r="AR35" s="284">
        <f>AS35*30</f>
        <v>158.16</v>
      </c>
      <c r="AS35" s="1">
        <v>5.2720000000000002</v>
      </c>
      <c r="AT35" s="1">
        <f t="shared" ref="AT35:AT42" si="55">SUM(AS24:AS35)/12</f>
        <v>4.735666666666666</v>
      </c>
      <c r="AU35" s="1">
        <v>8.1059999999999999</v>
      </c>
      <c r="AV35" s="1"/>
      <c r="AW35" s="284">
        <f>AX35*30</f>
        <v>22.44</v>
      </c>
      <c r="AX35" s="1">
        <v>0.748</v>
      </c>
      <c r="AY35" s="1">
        <f t="shared" ref="AY35:AY42" si="56">SUM(AX24:AX35)/12</f>
        <v>0.77641666666666664</v>
      </c>
      <c r="AZ35" s="88">
        <v>0.68</v>
      </c>
      <c r="BB35" s="284">
        <f>BC35*30</f>
        <v>24.84</v>
      </c>
      <c r="BC35" s="1">
        <v>0.82799999999999996</v>
      </c>
      <c r="BD35" s="1">
        <f t="shared" ref="BD35:BD42" si="57">SUM(BC24:BC35)/12</f>
        <v>0.876</v>
      </c>
      <c r="BE35" s="1">
        <v>1.6339999999999999</v>
      </c>
      <c r="BF35" s="1"/>
      <c r="BG35" s="284">
        <f>BH35*30</f>
        <v>30.449999999999996</v>
      </c>
      <c r="BH35" s="1">
        <v>1.0149999999999999</v>
      </c>
      <c r="BI35" s="1">
        <f t="shared" ref="BI35:BI42" si="58">SUM(BH24:BH35)/12</f>
        <v>0.86433333333333329</v>
      </c>
      <c r="BJ35" s="1">
        <v>4.1959999999999997</v>
      </c>
      <c r="BK35" s="1"/>
      <c r="BL35" s="284">
        <f>BM35*30</f>
        <v>101.34</v>
      </c>
      <c r="BM35" s="1">
        <v>3.3780000000000001</v>
      </c>
      <c r="BN35" s="1">
        <f t="shared" si="46"/>
        <v>3.39425</v>
      </c>
      <c r="BP35" s="1"/>
      <c r="BQ35" s="284">
        <f>BR35*30</f>
        <v>18.899999999999999</v>
      </c>
      <c r="BR35" s="1">
        <v>0.63</v>
      </c>
      <c r="BS35" s="1">
        <f t="shared" ref="BS35:BS42" si="59">SUM(BR24:BR35)/12</f>
        <v>0.56725000000000003</v>
      </c>
      <c r="BT35" s="1">
        <v>1.1639999999999999</v>
      </c>
      <c r="BU35" s="1"/>
      <c r="BV35" s="284">
        <f>BW35*30</f>
        <v>10.110000000000001</v>
      </c>
      <c r="BW35" s="1">
        <v>0.33700000000000002</v>
      </c>
      <c r="BX35" s="1">
        <f t="shared" ref="BX35:BX42" si="60">SUM(BW24:BW35)/12</f>
        <v>0.27891666666666665</v>
      </c>
      <c r="BY35" s="1">
        <v>6.9870000000000001</v>
      </c>
      <c r="BZ35" s="1"/>
      <c r="CA35" s="284">
        <f>CB35*30</f>
        <v>14.91</v>
      </c>
      <c r="CB35" s="1">
        <v>0.497</v>
      </c>
      <c r="CC35" s="1">
        <f t="shared" si="47"/>
        <v>0.46883333333333327</v>
      </c>
      <c r="CD35" s="88">
        <v>6.63</v>
      </c>
      <c r="CE35" s="1"/>
      <c r="CF35" s="284">
        <f>CG35*30</f>
        <v>45.209999999999994</v>
      </c>
      <c r="CG35" s="1">
        <v>1.5069999999999999</v>
      </c>
      <c r="CH35" s="1">
        <v>1.5289999999999999</v>
      </c>
      <c r="CJ35" s="1"/>
      <c r="CK35" s="284">
        <f>CL35*30</f>
        <v>104.7</v>
      </c>
      <c r="CL35" s="1">
        <v>3.49</v>
      </c>
      <c r="CM35" s="1">
        <f t="shared" ref="CM35:CM57" si="61">SUM(CL24:CL35)/12</f>
        <v>6.1947499999999991</v>
      </c>
      <c r="CN35" s="1">
        <v>12.99</v>
      </c>
      <c r="CO35" s="1"/>
      <c r="CP35" s="284">
        <f>CQ35*30</f>
        <v>397.95000000000005</v>
      </c>
      <c r="CQ35" s="1">
        <v>13.265000000000001</v>
      </c>
      <c r="CR35" s="1">
        <f t="shared" ref="CR35:CR42" si="62">SUM(CQ24:CQ35)/12</f>
        <v>11.979750000000001</v>
      </c>
      <c r="CS35" s="1">
        <v>30</v>
      </c>
      <c r="CT35" s="1"/>
      <c r="CU35" s="284">
        <f>CV35*30</f>
        <v>141.06</v>
      </c>
      <c r="CV35" s="1">
        <v>4.702</v>
      </c>
      <c r="CW35" s="1">
        <f t="shared" ref="CW35:CW42" si="63">SUM(CV24:CV35)/12</f>
        <v>3.9885833333333327</v>
      </c>
      <c r="CX35" s="1">
        <v>7.6</v>
      </c>
      <c r="CZ35" s="269">
        <f>DA35*30</f>
        <v>29.099999999999998</v>
      </c>
      <c r="DA35" s="1">
        <v>0.97</v>
      </c>
      <c r="DB35" s="1"/>
      <c r="DC35" s="284">
        <f>DD35*30</f>
        <v>11.64</v>
      </c>
      <c r="DD35" s="1">
        <v>0.38800000000000001</v>
      </c>
      <c r="DE35" s="1">
        <v>0.379</v>
      </c>
      <c r="DG35" s="1"/>
      <c r="DH35" s="284">
        <f>DI35*30</f>
        <v>89.13</v>
      </c>
      <c r="DI35" s="5">
        <f t="shared" si="0"/>
        <v>2.9710000000000001</v>
      </c>
      <c r="DJ35" s="1">
        <f t="shared" si="1"/>
        <v>2.8439999999999999</v>
      </c>
      <c r="DK35" s="1"/>
      <c r="DL35" s="1"/>
      <c r="DM35" s="284">
        <f>DN35*30</f>
        <v>3481.35</v>
      </c>
      <c r="DN35" s="1">
        <f t="shared" si="2"/>
        <v>116.045</v>
      </c>
      <c r="DO35" s="1">
        <f t="shared" si="3"/>
        <v>97.443666666666672</v>
      </c>
      <c r="DP35" s="1"/>
      <c r="DQ35" s="1"/>
      <c r="DR35" s="284">
        <f>DS35*30</f>
        <v>684.45</v>
      </c>
      <c r="DS35" s="1">
        <f t="shared" si="4"/>
        <v>22.815000000000001</v>
      </c>
      <c r="DT35" s="1" t="e">
        <f>SUM(CM35+CR35+CW35+#REF!+DE35)</f>
        <v>#REF!</v>
      </c>
      <c r="DU35" s="1"/>
      <c r="DV35" s="1"/>
      <c r="DW35" s="284">
        <f>DX35*30</f>
        <v>4165.8</v>
      </c>
      <c r="DX35" s="1">
        <f t="shared" ref="DX35:DY37" si="64">SUM(DN35+DS35)</f>
        <v>138.86000000000001</v>
      </c>
      <c r="DY35" s="1" t="e">
        <f t="shared" si="64"/>
        <v>#REF!</v>
      </c>
      <c r="EL35">
        <v>2000</v>
      </c>
      <c r="EM35" t="s">
        <v>705</v>
      </c>
      <c r="EN35" t="s">
        <v>841</v>
      </c>
      <c r="EO35">
        <v>228.45000000000002</v>
      </c>
    </row>
    <row r="36" spans="1:145" x14ac:dyDescent="0.25">
      <c r="A36" s="8">
        <v>2000</v>
      </c>
      <c r="B36" t="s">
        <v>715</v>
      </c>
      <c r="D36" s="284">
        <f>E36*31</f>
        <v>211.26500000000001</v>
      </c>
      <c r="E36" s="1">
        <v>6.8150000000000004</v>
      </c>
      <c r="F36" s="1">
        <f t="shared" si="48"/>
        <v>4.7629166666666665</v>
      </c>
      <c r="G36" s="1">
        <v>12.1</v>
      </c>
      <c r="N36" s="284">
        <f>O36*31</f>
        <v>117.86199999999999</v>
      </c>
      <c r="O36" s="1">
        <v>3.802</v>
      </c>
      <c r="P36" s="1">
        <f t="shared" si="49"/>
        <v>3.51675</v>
      </c>
      <c r="Q36" s="1">
        <v>6.4</v>
      </c>
      <c r="S36" s="284">
        <f>T36*31</f>
        <v>192.91299999999998</v>
      </c>
      <c r="T36" s="1">
        <v>6.2229999999999999</v>
      </c>
      <c r="U36" s="1">
        <f t="shared" si="51"/>
        <v>5.392500000000001</v>
      </c>
      <c r="V36" s="1">
        <v>9.92</v>
      </c>
      <c r="W36" s="88"/>
      <c r="X36" s="284">
        <f>Y36*31</f>
        <v>697.84100000000001</v>
      </c>
      <c r="Y36" s="1">
        <v>22.510999999999999</v>
      </c>
      <c r="Z36" s="1">
        <f t="shared" si="52"/>
        <v>19.684333333333338</v>
      </c>
      <c r="AA36" s="1">
        <v>29.95</v>
      </c>
      <c r="AB36" s="1"/>
      <c r="AC36" s="284">
        <f>AD36*31</f>
        <v>890.75399999999991</v>
      </c>
      <c r="AD36" s="1">
        <f t="shared" si="45"/>
        <v>28.733999999999998</v>
      </c>
      <c r="AE36" s="1">
        <f t="shared" si="53"/>
        <v>25.07683333333333</v>
      </c>
      <c r="AF36" s="1">
        <v>39.869999999999997</v>
      </c>
      <c r="AH36" s="284">
        <f>AI36*31</f>
        <v>1809.5319999999999</v>
      </c>
      <c r="AI36" s="1">
        <v>58.372</v>
      </c>
      <c r="AJ36" s="1">
        <f t="shared" si="50"/>
        <v>56.571833333333331</v>
      </c>
      <c r="AK36" s="1">
        <v>167.48</v>
      </c>
      <c r="AL36" s="1"/>
      <c r="AM36" s="284">
        <f>AN36*31</f>
        <v>28.954000000000001</v>
      </c>
      <c r="AN36" s="1">
        <v>0.93400000000000005</v>
      </c>
      <c r="AO36" s="1">
        <f t="shared" si="54"/>
        <v>0.9454999999999999</v>
      </c>
      <c r="AP36" s="88" t="s">
        <v>770</v>
      </c>
      <c r="AQ36" s="1"/>
      <c r="AR36" s="284">
        <f>AS36*31</f>
        <v>138.322</v>
      </c>
      <c r="AS36" s="1">
        <v>4.4619999999999997</v>
      </c>
      <c r="AT36" s="1">
        <f t="shared" si="55"/>
        <v>4.6939999999999991</v>
      </c>
      <c r="AU36" s="88" t="s">
        <v>770</v>
      </c>
      <c r="AV36" s="1"/>
      <c r="AW36" s="284">
        <f>AX36*31</f>
        <v>23.187999999999999</v>
      </c>
      <c r="AX36" s="1">
        <v>0.748</v>
      </c>
      <c r="AY36" s="1">
        <f t="shared" si="56"/>
        <v>0.77641666666666664</v>
      </c>
      <c r="AZ36" s="88" t="s">
        <v>770</v>
      </c>
      <c r="BB36" s="284">
        <f>BC36*31</f>
        <v>24.552</v>
      </c>
      <c r="BC36" s="1">
        <v>0.79200000000000004</v>
      </c>
      <c r="BD36" s="1">
        <f t="shared" si="57"/>
        <v>0.86583333333333334</v>
      </c>
      <c r="BE36" s="88" t="s">
        <v>770</v>
      </c>
      <c r="BF36" s="1"/>
      <c r="BG36" s="284">
        <f>BH36*31</f>
        <v>25.512999999999998</v>
      </c>
      <c r="BH36" s="1">
        <v>0.82299999999999995</v>
      </c>
      <c r="BI36" s="1">
        <f t="shared" si="58"/>
        <v>0.86249999999999993</v>
      </c>
      <c r="BJ36" s="88" t="s">
        <v>770</v>
      </c>
      <c r="BK36" s="1"/>
      <c r="BL36" s="284">
        <f>BM36*31</f>
        <v>104.718</v>
      </c>
      <c r="BM36" s="1">
        <v>3.3780000000000001</v>
      </c>
      <c r="BN36" s="1">
        <f t="shared" si="46"/>
        <v>3.3888333333333329</v>
      </c>
      <c r="BP36" s="1"/>
      <c r="BQ36" s="284">
        <f>BR36*31</f>
        <v>18.413999999999998</v>
      </c>
      <c r="BR36" s="1">
        <v>0.59399999999999997</v>
      </c>
      <c r="BS36" s="1">
        <f t="shared" si="59"/>
        <v>0.57450000000000012</v>
      </c>
      <c r="BT36" s="88" t="s">
        <v>770</v>
      </c>
      <c r="BU36" s="1"/>
      <c r="BV36" s="284">
        <f>BW36*31</f>
        <v>8.370000000000001</v>
      </c>
      <c r="BW36" s="1">
        <v>0.27</v>
      </c>
      <c r="BX36" s="1">
        <f t="shared" si="60"/>
        <v>0.28650000000000003</v>
      </c>
      <c r="BY36" s="88" t="s">
        <v>770</v>
      </c>
      <c r="BZ36" s="1"/>
      <c r="CA36" s="284">
        <f>CB36*31</f>
        <v>15.407</v>
      </c>
      <c r="CB36" s="1">
        <v>0.497</v>
      </c>
      <c r="CC36" s="1">
        <f t="shared" si="47"/>
        <v>0.47100000000000003</v>
      </c>
      <c r="CD36" s="88" t="s">
        <v>770</v>
      </c>
      <c r="CE36" s="1"/>
      <c r="CF36" s="284">
        <f>CG36*31</f>
        <v>46.716999999999999</v>
      </c>
      <c r="CG36" s="1">
        <v>1.5069999999999999</v>
      </c>
      <c r="CH36" s="1">
        <v>1.5289999999999999</v>
      </c>
      <c r="CJ36" s="1"/>
      <c r="CK36" s="284">
        <f>CL36*31</f>
        <v>87.885000000000005</v>
      </c>
      <c r="CL36" s="1">
        <v>2.835</v>
      </c>
      <c r="CM36" s="1">
        <f t="shared" si="61"/>
        <v>5.5213333333333336</v>
      </c>
      <c r="CN36" s="1">
        <v>7.68</v>
      </c>
      <c r="CO36" s="1"/>
      <c r="CP36" s="284">
        <f>CQ36*31</f>
        <v>385.20600000000002</v>
      </c>
      <c r="CQ36" s="1">
        <v>12.426</v>
      </c>
      <c r="CR36" s="1">
        <f t="shared" si="62"/>
        <v>11.895833333333334</v>
      </c>
      <c r="CS36" s="1">
        <v>27</v>
      </c>
      <c r="CT36" s="1"/>
      <c r="CU36" s="284">
        <f>CV36*31</f>
        <v>134.50900000000001</v>
      </c>
      <c r="CV36" s="1">
        <v>4.3390000000000004</v>
      </c>
      <c r="CW36" s="1">
        <f t="shared" si="63"/>
        <v>4.0305</v>
      </c>
      <c r="CX36" s="1">
        <v>6.6</v>
      </c>
      <c r="CZ36" s="269">
        <f>DA36*31</f>
        <v>27.032</v>
      </c>
      <c r="DA36" s="1">
        <v>0.872</v>
      </c>
      <c r="DB36" s="1"/>
      <c r="DC36" s="284">
        <f>DD36*31</f>
        <v>12.028</v>
      </c>
      <c r="DD36" s="1">
        <v>0.38800000000000001</v>
      </c>
      <c r="DE36" s="1">
        <v>0.379</v>
      </c>
      <c r="DG36" s="1"/>
      <c r="DH36" s="284">
        <f>DI36*31</f>
        <v>88.908000000000001</v>
      </c>
      <c r="DI36" s="5">
        <f t="shared" si="0"/>
        <v>2.8679999999999999</v>
      </c>
      <c r="DJ36" s="1">
        <f t="shared" si="1"/>
        <v>2.8610000000000002</v>
      </c>
      <c r="DK36" s="1"/>
      <c r="DL36" s="1"/>
      <c r="DM36" s="284">
        <f>DN36*31</f>
        <v>3285.752</v>
      </c>
      <c r="DN36" s="1">
        <f t="shared" si="2"/>
        <v>105.992</v>
      </c>
      <c r="DO36" s="1">
        <f t="shared" si="3"/>
        <v>98.600416666666646</v>
      </c>
      <c r="DP36" s="1"/>
      <c r="DQ36" s="1"/>
      <c r="DR36" s="284">
        <f>DS36*31</f>
        <v>646.66000000000008</v>
      </c>
      <c r="DS36" s="1">
        <f t="shared" si="4"/>
        <v>20.860000000000003</v>
      </c>
      <c r="DT36" s="1" t="e">
        <f>SUM(CM36+CR36+CW36+#REF!+DE36)</f>
        <v>#REF!</v>
      </c>
      <c r="DU36" s="1"/>
      <c r="DV36" s="1"/>
      <c r="DW36" s="284">
        <f>DX36*31</f>
        <v>3932.4120000000003</v>
      </c>
      <c r="DX36" s="1">
        <f t="shared" si="64"/>
        <v>126.852</v>
      </c>
      <c r="DY36" s="1" t="e">
        <f t="shared" si="64"/>
        <v>#REF!</v>
      </c>
      <c r="EL36">
        <v>2000</v>
      </c>
      <c r="EM36" t="s">
        <v>715</v>
      </c>
      <c r="EN36" t="s">
        <v>841</v>
      </c>
      <c r="EO36">
        <v>211.26500000000001</v>
      </c>
    </row>
    <row r="37" spans="1:145" x14ac:dyDescent="0.25">
      <c r="A37" s="8">
        <v>2000</v>
      </c>
      <c r="B37" t="s">
        <v>718</v>
      </c>
      <c r="D37" s="284">
        <f>E37*30</f>
        <v>198.66</v>
      </c>
      <c r="E37" s="1">
        <v>6.6219999999999999</v>
      </c>
      <c r="F37" s="1">
        <f t="shared" si="48"/>
        <v>5.2762500000000001</v>
      </c>
      <c r="G37" s="88" t="s">
        <v>775</v>
      </c>
      <c r="H37" s="88"/>
      <c r="I37" s="283"/>
      <c r="J37" s="88"/>
      <c r="K37" s="88"/>
      <c r="L37" s="88"/>
      <c r="N37" s="284">
        <f>O37*30</f>
        <v>110.82</v>
      </c>
      <c r="O37" s="1">
        <v>3.694</v>
      </c>
      <c r="P37" s="1">
        <f t="shared" si="49"/>
        <v>3.5150833333333336</v>
      </c>
      <c r="Q37" s="1">
        <v>7</v>
      </c>
      <c r="S37" s="284">
        <f>T37*30</f>
        <v>185.25</v>
      </c>
      <c r="T37" s="1">
        <v>6.1749999999999998</v>
      </c>
      <c r="U37" s="1">
        <f t="shared" si="51"/>
        <v>5.4849999999999994</v>
      </c>
      <c r="V37" s="1">
        <v>8.2100000000000009</v>
      </c>
      <c r="X37" s="284">
        <f>Y37*30</f>
        <v>675.03000000000009</v>
      </c>
      <c r="Y37" s="1">
        <v>22.501000000000001</v>
      </c>
      <c r="Z37" s="1">
        <f t="shared" si="52"/>
        <v>19.933083333333336</v>
      </c>
      <c r="AA37" s="1">
        <v>27.43</v>
      </c>
      <c r="AC37" s="284">
        <f>AD37*30</f>
        <v>860.28000000000009</v>
      </c>
      <c r="AD37" s="1">
        <f t="shared" si="45"/>
        <v>28.676000000000002</v>
      </c>
      <c r="AE37" s="1">
        <f t="shared" si="53"/>
        <v>25.418083333333332</v>
      </c>
      <c r="AF37" s="1">
        <v>35.64</v>
      </c>
      <c r="AH37" s="284">
        <f>AI37*30</f>
        <v>1689.21</v>
      </c>
      <c r="AI37" s="1">
        <v>56.307000000000002</v>
      </c>
      <c r="AJ37" s="1">
        <f t="shared" si="50"/>
        <v>56.874666666666663</v>
      </c>
      <c r="AK37" s="1">
        <v>163.95</v>
      </c>
      <c r="AM37" s="284">
        <f>AN37*30</f>
        <v>27.21</v>
      </c>
      <c r="AN37" s="1">
        <v>0.90700000000000003</v>
      </c>
      <c r="AO37" s="1">
        <f t="shared" si="54"/>
        <v>0.95350000000000001</v>
      </c>
      <c r="AP37" s="88" t="s">
        <v>770</v>
      </c>
      <c r="AR37" s="284">
        <f>AS37*30</f>
        <v>144</v>
      </c>
      <c r="AS37" s="1">
        <v>4.8</v>
      </c>
      <c r="AT37" s="1">
        <f t="shared" si="55"/>
        <v>4.7184999999999997</v>
      </c>
      <c r="AU37" s="88" t="s">
        <v>770</v>
      </c>
      <c r="AW37" s="284">
        <f>AX37*30</f>
        <v>22.44</v>
      </c>
      <c r="AX37" s="1">
        <v>0.748</v>
      </c>
      <c r="AY37" s="1">
        <f t="shared" si="56"/>
        <v>0.77641666666666664</v>
      </c>
      <c r="AZ37" s="88" t="s">
        <v>770</v>
      </c>
      <c r="BB37" s="284">
        <f>BC37*30</f>
        <v>24.240000000000002</v>
      </c>
      <c r="BC37" s="1">
        <v>0.80800000000000005</v>
      </c>
      <c r="BD37" s="1">
        <f t="shared" si="57"/>
        <v>0.85699999999999987</v>
      </c>
      <c r="BE37" s="88" t="s">
        <v>770</v>
      </c>
      <c r="BF37" s="1"/>
      <c r="BG37" s="284">
        <f>BH37*30</f>
        <v>24</v>
      </c>
      <c r="BH37" s="1">
        <v>0.8</v>
      </c>
      <c r="BI37" s="1">
        <f t="shared" si="58"/>
        <v>0.86491666666666678</v>
      </c>
      <c r="BJ37" s="88" t="s">
        <v>770</v>
      </c>
      <c r="BK37" s="1"/>
      <c r="BL37" s="284">
        <f>BM37*30</f>
        <v>101.34</v>
      </c>
      <c r="BM37" s="1">
        <v>3.3780000000000001</v>
      </c>
      <c r="BN37" s="1">
        <f t="shared" ref="BN37:BN43" si="65">SUM(BM26:BM37)/12</f>
        <v>3.3834166666666667</v>
      </c>
      <c r="BP37" s="1"/>
      <c r="BQ37" s="284">
        <f>BR37*30</f>
        <v>18.149999999999999</v>
      </c>
      <c r="BR37" s="1">
        <v>0.60499999999999998</v>
      </c>
      <c r="BS37" s="1">
        <f t="shared" si="59"/>
        <v>0.58166666666666667</v>
      </c>
      <c r="BT37" s="88" t="s">
        <v>770</v>
      </c>
      <c r="BU37" s="1"/>
      <c r="BV37" s="284">
        <f>BW37*30</f>
        <v>8.4300000000000015</v>
      </c>
      <c r="BW37" s="1">
        <v>0.28100000000000003</v>
      </c>
      <c r="BX37" s="1">
        <f t="shared" si="60"/>
        <v>0.29033333333333333</v>
      </c>
      <c r="BY37" s="88" t="s">
        <v>770</v>
      </c>
      <c r="BZ37" s="1"/>
      <c r="CA37" s="284">
        <f>CB37*30</f>
        <v>14.91</v>
      </c>
      <c r="CB37" s="1">
        <v>0.497</v>
      </c>
      <c r="CC37" s="1">
        <f t="shared" si="47"/>
        <v>0.47299999999999992</v>
      </c>
      <c r="CD37" s="88" t="s">
        <v>770</v>
      </c>
      <c r="CE37" s="1"/>
      <c r="CF37" s="284">
        <f>CG37*30</f>
        <v>45.209999999999994</v>
      </c>
      <c r="CG37" s="1">
        <v>1.5069999999999999</v>
      </c>
      <c r="CH37" s="1">
        <v>1.5289999999999999</v>
      </c>
      <c r="CJ37" s="1"/>
      <c r="CK37" s="284">
        <f>CL37*30</f>
        <v>75.87</v>
      </c>
      <c r="CL37" s="1">
        <v>2.5289999999999999</v>
      </c>
      <c r="CM37" s="1">
        <f t="shared" si="61"/>
        <v>4.9080000000000004</v>
      </c>
      <c r="CN37" s="1">
        <v>8.01</v>
      </c>
      <c r="CO37" s="1"/>
      <c r="CP37" s="284">
        <f>CQ37*30</f>
        <v>374.58000000000004</v>
      </c>
      <c r="CQ37" s="1">
        <v>12.486000000000001</v>
      </c>
      <c r="CR37" s="1">
        <f t="shared" si="62"/>
        <v>11.884083333333331</v>
      </c>
      <c r="CS37" s="1">
        <v>21</v>
      </c>
      <c r="CT37" s="1"/>
      <c r="CU37" s="284">
        <f>CV37*30</f>
        <v>127.17</v>
      </c>
      <c r="CV37" s="1">
        <v>4.2389999999999999</v>
      </c>
      <c r="CW37" s="1">
        <f t="shared" si="63"/>
        <v>4.0726666666666658</v>
      </c>
      <c r="CX37" s="1">
        <v>6.5</v>
      </c>
      <c r="CZ37" s="269">
        <f>DA37*30</f>
        <v>23.790000000000003</v>
      </c>
      <c r="DA37" s="1">
        <v>0.79300000000000004</v>
      </c>
      <c r="DB37" s="1"/>
      <c r="DC37" s="284">
        <f>DD37*30</f>
        <v>11.64</v>
      </c>
      <c r="DD37" s="1">
        <v>0.38800000000000001</v>
      </c>
      <c r="DE37" s="1">
        <v>0.379</v>
      </c>
      <c r="DG37" s="1"/>
      <c r="DH37" s="284">
        <f>DI37*30</f>
        <v>86.699999999999989</v>
      </c>
      <c r="DI37" s="5">
        <f t="shared" si="0"/>
        <v>2.8899999999999997</v>
      </c>
      <c r="DJ37" s="1">
        <f t="shared" si="1"/>
        <v>2.8739999999999997</v>
      </c>
      <c r="DK37" s="1"/>
      <c r="DL37" s="1"/>
      <c r="DM37" s="284">
        <f>DN37*30</f>
        <v>3115.5000000000005</v>
      </c>
      <c r="DN37" s="1">
        <f t="shared" si="2"/>
        <v>103.85000000000001</v>
      </c>
      <c r="DO37" s="1">
        <f t="shared" si="3"/>
        <v>99.763833333333338</v>
      </c>
      <c r="DP37" s="1"/>
      <c r="DQ37" s="1"/>
      <c r="DR37" s="284">
        <f>DS37*30</f>
        <v>613.05000000000007</v>
      </c>
      <c r="DS37" s="1">
        <f t="shared" ref="DS37:DS68" si="66">SUM(CL37+CQ37+CV37+DA37+DD37)</f>
        <v>20.435000000000002</v>
      </c>
      <c r="DT37" s="1" t="e">
        <f>SUM(CM37+CR37+CW37+#REF!+DE37)</f>
        <v>#REF!</v>
      </c>
      <c r="DU37" s="1"/>
      <c r="DV37" s="1"/>
      <c r="DW37" s="284">
        <f>DX37*30</f>
        <v>3728.55</v>
      </c>
      <c r="DX37" s="1">
        <f t="shared" si="64"/>
        <v>124.28500000000001</v>
      </c>
      <c r="DY37" s="1" t="e">
        <f t="shared" si="64"/>
        <v>#REF!</v>
      </c>
      <c r="ED37" s="1">
        <f>EE37*91</f>
        <v>1944.6700000000005</v>
      </c>
      <c r="EE37" s="1">
        <f>AVERAGE(DS35:DS37)</f>
        <v>21.370000000000005</v>
      </c>
      <c r="EF37" s="1">
        <f>SUM(EE28+EE31+EE34+EE37)/4</f>
        <v>22.002250000000004</v>
      </c>
      <c r="EL37">
        <v>2000</v>
      </c>
      <c r="EM37" t="s">
        <v>718</v>
      </c>
      <c r="EN37" t="s">
        <v>841</v>
      </c>
      <c r="EO37">
        <v>198.66</v>
      </c>
    </row>
    <row r="38" spans="1:145" x14ac:dyDescent="0.25">
      <c r="A38" s="8">
        <v>2000</v>
      </c>
      <c r="B38" t="s">
        <v>716</v>
      </c>
      <c r="D38" s="284">
        <f>E38*31</f>
        <v>226.64099999999999</v>
      </c>
      <c r="E38" s="1">
        <v>7.3109999999999999</v>
      </c>
      <c r="F38" s="1">
        <f t="shared" si="48"/>
        <v>5.8567500000000008</v>
      </c>
      <c r="G38" s="88" t="s">
        <v>775</v>
      </c>
      <c r="H38" s="88"/>
      <c r="I38" s="283"/>
      <c r="J38" s="88"/>
      <c r="K38" s="88"/>
      <c r="L38" s="88"/>
      <c r="N38" s="284">
        <f>O38*31</f>
        <v>116.622</v>
      </c>
      <c r="O38" s="1">
        <v>3.762</v>
      </c>
      <c r="P38" s="1">
        <f t="shared" si="49"/>
        <v>3.5155000000000007</v>
      </c>
      <c r="Q38" s="88" t="s">
        <v>775</v>
      </c>
      <c r="S38" s="284">
        <f>T38*31</f>
        <v>176.63800000000001</v>
      </c>
      <c r="T38" s="1">
        <v>5.6980000000000004</v>
      </c>
      <c r="U38" s="1">
        <f t="shared" si="51"/>
        <v>5.5659166666666664</v>
      </c>
      <c r="V38" s="1">
        <v>7.66</v>
      </c>
      <c r="X38" s="284">
        <f>Y38*31</f>
        <v>676.20299999999997</v>
      </c>
      <c r="Y38" s="1">
        <v>21.812999999999999</v>
      </c>
      <c r="Z38" s="1">
        <f t="shared" si="52"/>
        <v>20.184416666666667</v>
      </c>
      <c r="AA38" s="1">
        <v>26.23</v>
      </c>
      <c r="AC38" s="284">
        <f>AD38*31</f>
        <v>852.84100000000001</v>
      </c>
      <c r="AD38" s="1">
        <f t="shared" si="45"/>
        <v>27.510999999999999</v>
      </c>
      <c r="AE38" s="1">
        <f t="shared" si="53"/>
        <v>25.750333333333334</v>
      </c>
      <c r="AF38" s="1">
        <v>33.89</v>
      </c>
      <c r="AH38" s="284">
        <f>AI38*31</f>
        <v>1737.1779999999999</v>
      </c>
      <c r="AI38">
        <v>56.037999999999997</v>
      </c>
      <c r="AJ38" s="1">
        <f t="shared" si="50"/>
        <v>57.227249999999998</v>
      </c>
      <c r="AK38">
        <v>172.34</v>
      </c>
      <c r="AM38" s="284">
        <f>AN38*31</f>
        <v>23.963000000000001</v>
      </c>
      <c r="AN38">
        <v>0.77300000000000002</v>
      </c>
      <c r="AO38" s="1">
        <f t="shared" si="54"/>
        <v>0.9518333333333332</v>
      </c>
      <c r="AP38" s="88" t="s">
        <v>770</v>
      </c>
      <c r="AR38" s="284">
        <f>AS38*31</f>
        <v>113.42899999999999</v>
      </c>
      <c r="AS38" s="1">
        <v>3.6589999999999998</v>
      </c>
      <c r="AT38" s="1">
        <f t="shared" si="55"/>
        <v>4.6478333333333328</v>
      </c>
      <c r="AU38" s="88" t="s">
        <v>770</v>
      </c>
      <c r="AW38" s="284">
        <f>AX38*31</f>
        <v>18.568999999999999</v>
      </c>
      <c r="AX38" s="1">
        <v>0.59899999999999998</v>
      </c>
      <c r="AY38" s="1">
        <f t="shared" si="56"/>
        <v>0.76400000000000012</v>
      </c>
      <c r="AZ38" s="88" t="s">
        <v>770</v>
      </c>
      <c r="BB38" s="284">
        <f>BC38*31</f>
        <v>19.096</v>
      </c>
      <c r="BC38" s="1">
        <v>0.61599999999999999</v>
      </c>
      <c r="BD38" s="1">
        <f t="shared" si="57"/>
        <v>0.83924999999999994</v>
      </c>
      <c r="BE38" s="88" t="s">
        <v>770</v>
      </c>
      <c r="BG38" s="284">
        <f>BH38*31</f>
        <v>23.187999999999999</v>
      </c>
      <c r="BH38" s="1">
        <v>0.748</v>
      </c>
      <c r="BI38" s="1">
        <f t="shared" si="58"/>
        <v>0.86708333333333332</v>
      </c>
      <c r="BJ38" s="88" t="s">
        <v>770</v>
      </c>
      <c r="BL38" s="284">
        <f>BM38*31</f>
        <v>106.733</v>
      </c>
      <c r="BM38" s="1">
        <v>3.4430000000000001</v>
      </c>
      <c r="BN38" s="1">
        <f t="shared" si="65"/>
        <v>3.3834166666666667</v>
      </c>
      <c r="BQ38" s="284">
        <f>BR38*31</f>
        <v>17.887</v>
      </c>
      <c r="BR38" s="1">
        <v>0.57699999999999996</v>
      </c>
      <c r="BS38" s="1">
        <f t="shared" si="59"/>
        <v>0.58599999999999997</v>
      </c>
      <c r="BT38" s="88" t="s">
        <v>770</v>
      </c>
      <c r="BV38" s="284">
        <f>BW38*31</f>
        <v>6.665</v>
      </c>
      <c r="BW38" s="1">
        <v>0.215</v>
      </c>
      <c r="BX38" s="1">
        <f t="shared" si="60"/>
        <v>0.28858333333333336</v>
      </c>
      <c r="BY38" s="88" t="s">
        <v>770</v>
      </c>
      <c r="CA38" s="284">
        <f>CB38*31</f>
        <v>12.338000000000001</v>
      </c>
      <c r="CB38" s="1">
        <v>0.39800000000000002</v>
      </c>
      <c r="CC38" s="1">
        <f t="shared" si="47"/>
        <v>0.46783333333333327</v>
      </c>
      <c r="CD38" s="88" t="s">
        <v>770</v>
      </c>
      <c r="CF38" s="284">
        <f>CG38*31</f>
        <v>47.616</v>
      </c>
      <c r="CG38" s="1">
        <v>1.536</v>
      </c>
      <c r="CH38" s="1">
        <v>1.5289999999999999</v>
      </c>
      <c r="CK38" s="284">
        <f>CL38*31</f>
        <v>72.106000000000009</v>
      </c>
      <c r="CL38" s="1">
        <v>2.3260000000000001</v>
      </c>
      <c r="CM38" s="1">
        <f t="shared" si="61"/>
        <v>4.314750000000001</v>
      </c>
      <c r="CN38" s="1">
        <v>8.0500000000000007</v>
      </c>
      <c r="CP38" s="284">
        <f>CQ38*31</f>
        <v>384.803</v>
      </c>
      <c r="CQ38" s="1">
        <v>12.413</v>
      </c>
      <c r="CR38" s="1">
        <f t="shared" si="62"/>
        <v>11.956833333333336</v>
      </c>
      <c r="CS38" s="88" t="s">
        <v>775</v>
      </c>
      <c r="CU38" s="284">
        <f>CV38*31</f>
        <v>126.232</v>
      </c>
      <c r="CV38" s="1">
        <v>4.0720000000000001</v>
      </c>
      <c r="CW38" s="1">
        <f t="shared" si="63"/>
        <v>4.1209166666666661</v>
      </c>
      <c r="CX38" s="88" t="s">
        <v>775</v>
      </c>
      <c r="CY38" s="88"/>
      <c r="CZ38" s="269">
        <f>DA38*31</f>
        <v>22.567999999999998</v>
      </c>
      <c r="DA38" s="1">
        <v>0.72799999999999998</v>
      </c>
      <c r="DC38" s="284">
        <f>DD38*31</f>
        <v>12.245000000000001</v>
      </c>
      <c r="DD38" s="1">
        <v>0.39500000000000002</v>
      </c>
      <c r="DE38" s="1">
        <v>0.379</v>
      </c>
      <c r="DH38" s="284">
        <f>DI38*31</f>
        <v>84.506</v>
      </c>
      <c r="DI38" s="5">
        <f t="shared" si="0"/>
        <v>2.726</v>
      </c>
      <c r="DJ38" s="1">
        <f t="shared" si="1"/>
        <v>2.8714166666666667</v>
      </c>
      <c r="DM38" s="284">
        <f>DN38*31</f>
        <v>3153.7540000000004</v>
      </c>
      <c r="DN38" s="1">
        <f t="shared" si="2"/>
        <v>101.73400000000001</v>
      </c>
      <c r="DO38" s="1">
        <f t="shared" si="3"/>
        <v>100.93183333333334</v>
      </c>
      <c r="DR38" s="284">
        <f>DS38*31</f>
        <v>617.95400000000006</v>
      </c>
      <c r="DS38" s="1">
        <f t="shared" si="66"/>
        <v>19.934000000000001</v>
      </c>
      <c r="DT38" s="1" t="e">
        <f>SUM(CM38+CR38+CW38+#REF!+DE38)</f>
        <v>#REF!</v>
      </c>
      <c r="DW38" s="284">
        <f>DX38*31</f>
        <v>3771.7080000000001</v>
      </c>
      <c r="DX38" s="1">
        <f t="shared" ref="DX38:DY40" si="67">SUM(DN38+DS38)</f>
        <v>121.66800000000001</v>
      </c>
      <c r="DY38" s="1" t="e">
        <f t="shared" si="67"/>
        <v>#REF!</v>
      </c>
      <c r="EL38">
        <v>2000</v>
      </c>
      <c r="EM38" t="s">
        <v>716</v>
      </c>
      <c r="EN38" t="s">
        <v>841</v>
      </c>
      <c r="EO38">
        <v>226.64099999999999</v>
      </c>
    </row>
    <row r="39" spans="1:145" x14ac:dyDescent="0.25">
      <c r="A39" s="8">
        <v>2000</v>
      </c>
      <c r="B39" t="s">
        <v>708</v>
      </c>
      <c r="D39" s="284">
        <f>E39*31</f>
        <v>219.10799999999998</v>
      </c>
      <c r="E39" s="1">
        <v>7.0679999999999996</v>
      </c>
      <c r="F39" s="1">
        <f t="shared" si="48"/>
        <v>6.4325000000000001</v>
      </c>
      <c r="G39" s="88" t="s">
        <v>775</v>
      </c>
      <c r="H39" s="88"/>
      <c r="I39" s="283"/>
      <c r="J39" s="88"/>
      <c r="K39" s="88"/>
      <c r="L39" s="88"/>
      <c r="N39" s="284">
        <f>O39*31</f>
        <v>112.22</v>
      </c>
      <c r="O39" s="1">
        <v>3.62</v>
      </c>
      <c r="P39" s="1">
        <f t="shared" si="49"/>
        <v>3.5293333333333337</v>
      </c>
      <c r="Q39" s="88" t="s">
        <v>775</v>
      </c>
      <c r="S39" s="284">
        <f>T39*31</f>
        <v>173.75500000000002</v>
      </c>
      <c r="T39" s="1">
        <v>5.6050000000000004</v>
      </c>
      <c r="U39" s="1">
        <f t="shared" si="51"/>
        <v>5.6861666666666659</v>
      </c>
      <c r="V39" s="1">
        <v>7.66</v>
      </c>
      <c r="X39" s="284">
        <f>Y39*31</f>
        <v>650.75200000000007</v>
      </c>
      <c r="Y39" s="1">
        <v>20.992000000000001</v>
      </c>
      <c r="Z39" s="1">
        <f t="shared" si="52"/>
        <v>20.521416666666664</v>
      </c>
      <c r="AA39" s="1">
        <v>26.23</v>
      </c>
      <c r="AC39" s="284">
        <f>AD39*31</f>
        <v>824.50700000000006</v>
      </c>
      <c r="AD39" s="1">
        <f t="shared" si="45"/>
        <v>26.597000000000001</v>
      </c>
      <c r="AE39" s="1">
        <f t="shared" si="53"/>
        <v>26.207583333333336</v>
      </c>
      <c r="AF39" s="1">
        <v>33.89</v>
      </c>
      <c r="AH39" s="284">
        <f>AI39*31</f>
        <v>1721.2749999999999</v>
      </c>
      <c r="AI39">
        <v>55.524999999999999</v>
      </c>
      <c r="AJ39" s="1">
        <f t="shared" si="50"/>
        <v>57.711749999999995</v>
      </c>
      <c r="AK39">
        <v>172.34</v>
      </c>
      <c r="AM39" s="284">
        <f>AN39*30</f>
        <v>25.23</v>
      </c>
      <c r="AN39">
        <v>0.84099999999999997</v>
      </c>
      <c r="AO39" s="1">
        <f t="shared" si="54"/>
        <v>0.95424999999999993</v>
      </c>
      <c r="AP39" s="88" t="s">
        <v>770</v>
      </c>
      <c r="AR39" s="284">
        <f>AS39*30</f>
        <v>138.54000000000002</v>
      </c>
      <c r="AS39" s="1">
        <v>4.6180000000000003</v>
      </c>
      <c r="AT39" s="1">
        <f t="shared" si="55"/>
        <v>4.6520000000000001</v>
      </c>
      <c r="AU39" s="88" t="s">
        <v>770</v>
      </c>
      <c r="AW39" s="284">
        <f>AX39*31</f>
        <v>22.536999999999999</v>
      </c>
      <c r="AX39" s="1">
        <v>0.72699999999999998</v>
      </c>
      <c r="AY39" s="1">
        <f t="shared" si="56"/>
        <v>0.76225000000000021</v>
      </c>
      <c r="AZ39" s="88" t="s">
        <v>770</v>
      </c>
      <c r="BB39" s="284">
        <f>BC39*31</f>
        <v>22.009999999999998</v>
      </c>
      <c r="BC39" s="1">
        <v>0.71</v>
      </c>
      <c r="BD39" s="1">
        <f t="shared" si="57"/>
        <v>0.82850000000000001</v>
      </c>
      <c r="BE39" s="88" t="s">
        <v>770</v>
      </c>
      <c r="BG39" s="284">
        <f>BH39*31</f>
        <v>29.666999999999998</v>
      </c>
      <c r="BH39" s="1">
        <v>0.95699999999999996</v>
      </c>
      <c r="BI39" s="1">
        <f t="shared" si="58"/>
        <v>0.88649999999999995</v>
      </c>
      <c r="BJ39" s="88" t="s">
        <v>770</v>
      </c>
      <c r="BL39" s="284">
        <f>BM39*31</f>
        <v>106.733</v>
      </c>
      <c r="BM39" s="1">
        <v>3.4430000000000001</v>
      </c>
      <c r="BN39" s="1">
        <f t="shared" si="65"/>
        <v>3.3888333333333329</v>
      </c>
      <c r="BQ39" s="284">
        <f>BR39*31</f>
        <v>17.545999999999999</v>
      </c>
      <c r="BR39" s="1">
        <v>0.56599999999999995</v>
      </c>
      <c r="BS39" s="1">
        <f t="shared" si="59"/>
        <v>0.58891666666666664</v>
      </c>
      <c r="BT39" s="88" t="s">
        <v>770</v>
      </c>
      <c r="BV39" s="284">
        <f>BW39*31</f>
        <v>7.843</v>
      </c>
      <c r="BW39" s="1">
        <v>0.253</v>
      </c>
      <c r="BX39" s="1">
        <f t="shared" si="60"/>
        <v>0.28025000000000005</v>
      </c>
      <c r="BY39" s="88" t="s">
        <v>770</v>
      </c>
      <c r="CA39" s="284">
        <f>CB39*31</f>
        <v>14.972999999999999</v>
      </c>
      <c r="CB39" s="1">
        <v>0.48299999999999998</v>
      </c>
      <c r="CC39" s="1">
        <f t="shared" ref="CC39:CC44" si="68">SUM(CB28:CB39)/12</f>
        <v>0.46774999999999989</v>
      </c>
      <c r="CD39" s="88" t="s">
        <v>770</v>
      </c>
      <c r="CF39" s="284">
        <f>CG39*31</f>
        <v>47.616</v>
      </c>
      <c r="CG39" s="1">
        <v>1.536</v>
      </c>
      <c r="CH39" s="1">
        <v>1.5289999999999999</v>
      </c>
      <c r="CK39" s="284">
        <f>CL39*31</f>
        <v>104.036</v>
      </c>
      <c r="CL39" s="1">
        <v>3.3559999999999999</v>
      </c>
      <c r="CM39" s="1">
        <f t="shared" si="61"/>
        <v>3.8295000000000008</v>
      </c>
      <c r="CN39" s="1">
        <v>8.0500000000000007</v>
      </c>
      <c r="CP39" s="284">
        <f>CQ39*31</f>
        <v>385.76400000000001</v>
      </c>
      <c r="CQ39" s="1">
        <v>12.444000000000001</v>
      </c>
      <c r="CR39" s="1">
        <f t="shared" si="62"/>
        <v>12.145916666666666</v>
      </c>
      <c r="CS39" s="88" t="s">
        <v>775</v>
      </c>
      <c r="CU39" s="284">
        <f>CV39*31</f>
        <v>126.69699999999999</v>
      </c>
      <c r="CV39" s="1">
        <v>4.0869999999999997</v>
      </c>
      <c r="CW39" s="1">
        <f t="shared" si="63"/>
        <v>4.1809166666666657</v>
      </c>
      <c r="CX39" s="88" t="s">
        <v>775</v>
      </c>
      <c r="CY39" s="88"/>
      <c r="CZ39" s="269">
        <f>DA39*31</f>
        <v>22.164999999999999</v>
      </c>
      <c r="DA39" s="1">
        <v>0.71499999999999997</v>
      </c>
      <c r="DC39" s="284">
        <f>DD39*31</f>
        <v>12.245000000000001</v>
      </c>
      <c r="DD39" s="1">
        <v>0.39500000000000002</v>
      </c>
      <c r="DE39" s="1">
        <v>0.379</v>
      </c>
      <c r="DH39" s="284">
        <f>DI39*31</f>
        <v>87.978000000000009</v>
      </c>
      <c r="DI39" s="5">
        <f t="shared" si="0"/>
        <v>2.8380000000000001</v>
      </c>
      <c r="DJ39" s="1">
        <f t="shared" si="1"/>
        <v>2.8659166666666662</v>
      </c>
      <c r="DM39" s="284">
        <f>DN39*31</f>
        <v>3139.3079999999995</v>
      </c>
      <c r="DN39" s="1">
        <f t="shared" si="2"/>
        <v>101.26799999999999</v>
      </c>
      <c r="DO39" s="1">
        <f t="shared" si="3"/>
        <v>102.48758333333335</v>
      </c>
      <c r="DR39" s="284">
        <f>DS39*31</f>
        <v>650.90700000000004</v>
      </c>
      <c r="DS39" s="1">
        <f t="shared" si="66"/>
        <v>20.997</v>
      </c>
      <c r="DT39" s="1" t="e">
        <f>SUM(CM39+CR39+CW39+#REF!+DE39)</f>
        <v>#REF!</v>
      </c>
      <c r="DW39" s="284">
        <f>DX39*31</f>
        <v>3790.2149999999997</v>
      </c>
      <c r="DX39" s="1">
        <f t="shared" si="67"/>
        <v>122.26499999999999</v>
      </c>
      <c r="DY39" s="1" t="e">
        <f t="shared" si="67"/>
        <v>#REF!</v>
      </c>
      <c r="EL39">
        <v>2000</v>
      </c>
      <c r="EM39" t="s">
        <v>708</v>
      </c>
      <c r="EN39" t="s">
        <v>841</v>
      </c>
      <c r="EO39">
        <v>219.10799999999998</v>
      </c>
    </row>
    <row r="40" spans="1:145" x14ac:dyDescent="0.25">
      <c r="A40" s="8">
        <v>2000</v>
      </c>
      <c r="B40" t="s">
        <v>709</v>
      </c>
      <c r="D40" s="284">
        <f>E40*30</f>
        <v>209.31</v>
      </c>
      <c r="E40" s="1">
        <v>6.9770000000000003</v>
      </c>
      <c r="F40" s="1">
        <f t="shared" si="48"/>
        <v>6.9790000000000001</v>
      </c>
      <c r="G40" s="88" t="s">
        <v>775</v>
      </c>
      <c r="H40" s="88"/>
      <c r="I40" s="283"/>
      <c r="J40" s="88"/>
      <c r="K40" s="88"/>
      <c r="L40" s="88"/>
      <c r="N40" s="284">
        <f>O40*30</f>
        <v>106.8</v>
      </c>
      <c r="O40" s="1">
        <v>3.56</v>
      </c>
      <c r="P40" s="1">
        <f t="shared" si="49"/>
        <v>3.5169166666666665</v>
      </c>
      <c r="Q40" s="1">
        <v>6.4</v>
      </c>
      <c r="S40" s="284">
        <f>T40*30</f>
        <v>160.38</v>
      </c>
      <c r="T40" s="1">
        <v>5.3460000000000001</v>
      </c>
      <c r="U40" s="1">
        <f t="shared" si="51"/>
        <v>5.6837499999999999</v>
      </c>
      <c r="V40" s="1">
        <v>10.69</v>
      </c>
      <c r="X40" s="284">
        <f>Y40*30</f>
        <v>628.71</v>
      </c>
      <c r="Y40" s="1">
        <v>20.957000000000001</v>
      </c>
      <c r="Z40" s="1">
        <f t="shared" si="52"/>
        <v>20.643583333333329</v>
      </c>
      <c r="AA40" s="1">
        <v>31.83</v>
      </c>
      <c r="AC40" s="284">
        <f>AD40*30</f>
        <v>789.09</v>
      </c>
      <c r="AD40" s="1">
        <f t="shared" si="45"/>
        <v>26.303000000000001</v>
      </c>
      <c r="AE40" s="1">
        <f t="shared" si="53"/>
        <v>26.327333333333332</v>
      </c>
      <c r="AF40" s="1">
        <v>42.42</v>
      </c>
      <c r="AH40" s="284">
        <f>AI40*31</f>
        <v>1739.2860000000001</v>
      </c>
      <c r="AI40">
        <v>56.106000000000002</v>
      </c>
      <c r="AJ40" s="1">
        <f t="shared" si="50"/>
        <v>57.396333333333324</v>
      </c>
      <c r="AK40">
        <v>132.97</v>
      </c>
      <c r="AM40" s="284">
        <f>AN40*31</f>
        <v>27.404</v>
      </c>
      <c r="AN40">
        <v>0.88400000000000001</v>
      </c>
      <c r="AO40" s="1">
        <f t="shared" si="54"/>
        <v>0.94774999999999998</v>
      </c>
      <c r="AP40" s="88" t="s">
        <v>770</v>
      </c>
      <c r="AR40" s="284">
        <f>AS40*31</f>
        <v>154.34899999999999</v>
      </c>
      <c r="AS40" s="1">
        <v>4.9790000000000001</v>
      </c>
      <c r="AT40" s="1">
        <f t="shared" si="55"/>
        <v>4.6146666666666674</v>
      </c>
      <c r="AU40" s="88" t="s">
        <v>770</v>
      </c>
      <c r="AW40" s="284">
        <f>AX40*30</f>
        <v>22.44</v>
      </c>
      <c r="AX40" s="1">
        <v>0.748</v>
      </c>
      <c r="AY40" s="1">
        <f t="shared" si="56"/>
        <v>0.76224999999999998</v>
      </c>
      <c r="AZ40" s="88" t="s">
        <v>770</v>
      </c>
      <c r="BB40" s="284">
        <f>BC40*30</f>
        <v>23.310000000000002</v>
      </c>
      <c r="BC40" s="1">
        <v>0.77700000000000002</v>
      </c>
      <c r="BD40" s="1">
        <f t="shared" si="57"/>
        <v>0.81841666666666668</v>
      </c>
      <c r="BE40" s="88" t="s">
        <v>770</v>
      </c>
      <c r="BG40" s="284">
        <f>BH40*30</f>
        <v>27.21</v>
      </c>
      <c r="BH40" s="1">
        <v>0.90700000000000003</v>
      </c>
      <c r="BI40" s="1">
        <f t="shared" si="58"/>
        <v>0.89208333333333334</v>
      </c>
      <c r="BJ40" s="88" t="s">
        <v>770</v>
      </c>
      <c r="BL40" s="284">
        <f>BM40*30</f>
        <v>103.29</v>
      </c>
      <c r="BM40" s="1">
        <v>3.4430000000000001</v>
      </c>
      <c r="BN40" s="1">
        <f t="shared" si="65"/>
        <v>3.3942499999999995</v>
      </c>
      <c r="BQ40" s="284">
        <f>BR40*30</f>
        <v>17.309999999999999</v>
      </c>
      <c r="BR40" s="1">
        <v>0.57699999999999996</v>
      </c>
      <c r="BS40" s="1">
        <f t="shared" si="59"/>
        <v>0.58900000000000008</v>
      </c>
      <c r="BT40" s="88" t="s">
        <v>770</v>
      </c>
      <c r="BV40" s="284">
        <f>BW40*30</f>
        <v>8.61</v>
      </c>
      <c r="BW40" s="1">
        <v>0.28699999999999998</v>
      </c>
      <c r="BX40" s="1">
        <f t="shared" si="60"/>
        <v>0.27775</v>
      </c>
      <c r="BY40" s="88" t="s">
        <v>770</v>
      </c>
      <c r="CA40" s="284">
        <f>CB40*30</f>
        <v>16.59</v>
      </c>
      <c r="CB40" s="1">
        <v>0.55300000000000005</v>
      </c>
      <c r="CC40" s="1">
        <f t="shared" si="68"/>
        <v>0.4734166666666666</v>
      </c>
      <c r="CD40" s="88" t="s">
        <v>770</v>
      </c>
      <c r="CF40" s="284">
        <f>CG40*30</f>
        <v>46.08</v>
      </c>
      <c r="CG40" s="1">
        <v>1.536</v>
      </c>
      <c r="CH40" s="1">
        <f t="shared" ref="CH40:CH55" si="69">SUM(CG29:CG40)/12</f>
        <v>1.5142499999999999</v>
      </c>
      <c r="CK40" s="284">
        <f>CL40*30</f>
        <v>94.47</v>
      </c>
      <c r="CL40" s="1">
        <v>3.149</v>
      </c>
      <c r="CM40" s="1">
        <f t="shared" si="61"/>
        <v>3.2159166666666668</v>
      </c>
      <c r="CN40" s="1">
        <v>9.27</v>
      </c>
      <c r="CP40" s="284">
        <f>CQ40*30</f>
        <v>380.67</v>
      </c>
      <c r="CQ40" s="1">
        <v>12.689</v>
      </c>
      <c r="CR40" s="1">
        <f t="shared" si="62"/>
        <v>12.170416666666666</v>
      </c>
      <c r="CS40" s="88" t="s">
        <v>775</v>
      </c>
      <c r="CU40" s="284">
        <f>CV40*30</f>
        <v>118.08</v>
      </c>
      <c r="CV40" s="1">
        <v>3.9359999999999999</v>
      </c>
      <c r="CW40" s="1">
        <f t="shared" si="63"/>
        <v>4.1769166666666662</v>
      </c>
      <c r="CX40" s="88" t="s">
        <v>775</v>
      </c>
      <c r="CY40" s="88"/>
      <c r="CZ40" s="269">
        <f>DA40*30</f>
        <v>21.75</v>
      </c>
      <c r="DA40" s="1">
        <v>0.72499999999999998</v>
      </c>
      <c r="DC40" s="284">
        <f>DD40*30</f>
        <v>11.850000000000001</v>
      </c>
      <c r="DD40" s="1">
        <v>0.39500000000000002</v>
      </c>
      <c r="DE40" s="1">
        <v>0.376</v>
      </c>
      <c r="DH40" s="284">
        <f>DI40*30</f>
        <v>88.589999999999989</v>
      </c>
      <c r="DI40" s="5">
        <f t="shared" ref="DI40:DI71" si="70">SUM(BR40+BW40+CB40+CG40)</f>
        <v>2.9529999999999998</v>
      </c>
      <c r="DJ40" s="1">
        <f t="shared" ref="DJ40:DJ56" si="71">SUM(DI29:DI40)/12</f>
        <v>2.8544166666666668</v>
      </c>
      <c r="DM40" s="284">
        <f>DN40*30</f>
        <v>3051.93</v>
      </c>
      <c r="DN40" s="1">
        <f t="shared" ref="DN40:DN71" si="72">SUM(E40+O40+AD40+AI40+AN40+AS40+AX40+BC40+BH40+BM40-DI40)</f>
        <v>101.73099999999999</v>
      </c>
      <c r="DO40" s="1">
        <f t="shared" ref="DO40:DO55" si="73">SUM(DN29:DN40)/12</f>
        <v>102.79458333333332</v>
      </c>
      <c r="DR40" s="284">
        <f>DS40*30</f>
        <v>626.82000000000005</v>
      </c>
      <c r="DS40" s="1">
        <f t="shared" si="66"/>
        <v>20.894000000000002</v>
      </c>
      <c r="DT40" s="1" t="e">
        <f>SUM(CM40+CR40+CW40+#REF!+DE40)</f>
        <v>#REF!</v>
      </c>
      <c r="DW40" s="284">
        <f>DX40*30</f>
        <v>3678.75</v>
      </c>
      <c r="DX40" s="1">
        <f t="shared" si="67"/>
        <v>122.625</v>
      </c>
      <c r="DY40" s="1">
        <f t="shared" ref="DY40:DY55" si="74">SUM(DX29:DX40)/12</f>
        <v>123.51283333333333</v>
      </c>
      <c r="ED40" s="1">
        <f>EE40*92</f>
        <v>1895.9666666666667</v>
      </c>
      <c r="EE40" s="1">
        <f>AVERAGE(DS38:DS40)</f>
        <v>20.608333333333334</v>
      </c>
      <c r="EF40" s="1">
        <f>SUM(EE31+EE34+EE37+EE40)/4</f>
        <v>20.718250000000001</v>
      </c>
      <c r="EL40">
        <v>2000</v>
      </c>
      <c r="EM40" t="s">
        <v>709</v>
      </c>
      <c r="EN40" t="s">
        <v>841</v>
      </c>
      <c r="EO40">
        <v>209.31</v>
      </c>
    </row>
    <row r="41" spans="1:145" x14ac:dyDescent="0.25">
      <c r="A41" s="8">
        <v>2000</v>
      </c>
      <c r="B41" t="s">
        <v>710</v>
      </c>
      <c r="D41" s="284">
        <f>E41*31</f>
        <v>209.49799999999999</v>
      </c>
      <c r="E41" s="1">
        <v>6.758</v>
      </c>
      <c r="F41" s="1">
        <f t="shared" si="48"/>
        <v>7.1174166666666663</v>
      </c>
      <c r="G41" s="88" t="s">
        <v>775</v>
      </c>
      <c r="H41" s="88"/>
      <c r="I41" s="283"/>
      <c r="J41" s="88"/>
      <c r="K41" s="88"/>
      <c r="L41" s="88"/>
      <c r="N41" s="284">
        <f>O41*31</f>
        <v>106.175</v>
      </c>
      <c r="O41" s="1">
        <v>3.4249999999999998</v>
      </c>
      <c r="P41" s="1">
        <f t="shared" si="49"/>
        <v>3.5190000000000001</v>
      </c>
      <c r="Q41" s="1">
        <v>6.1</v>
      </c>
      <c r="S41" s="284">
        <f>T41*31</f>
        <v>153.512</v>
      </c>
      <c r="T41" s="1">
        <v>4.952</v>
      </c>
      <c r="U41" s="1">
        <f t="shared" si="51"/>
        <v>5.6589999999999998</v>
      </c>
      <c r="V41" s="1">
        <v>7.66</v>
      </c>
      <c r="X41" s="284">
        <f>Y41*31</f>
        <v>634.1049999999999</v>
      </c>
      <c r="Y41" s="1">
        <v>20.454999999999998</v>
      </c>
      <c r="Z41" s="1">
        <f t="shared" si="52"/>
        <v>20.700749999999999</v>
      </c>
      <c r="AA41" s="1">
        <v>27.38</v>
      </c>
      <c r="AC41" s="284">
        <f>AD41*31</f>
        <v>787.61699999999985</v>
      </c>
      <c r="AD41" s="1">
        <f t="shared" si="45"/>
        <v>25.406999999999996</v>
      </c>
      <c r="AE41" s="1">
        <f t="shared" si="53"/>
        <v>26.359750000000002</v>
      </c>
      <c r="AF41" s="1">
        <v>35.04</v>
      </c>
      <c r="AH41" s="284">
        <f>AI41*31</f>
        <v>1634.6299999999999</v>
      </c>
      <c r="AI41" s="1">
        <v>52.73</v>
      </c>
      <c r="AJ41" s="1">
        <f t="shared" si="50"/>
        <v>57.093249999999991</v>
      </c>
      <c r="AK41" s="1">
        <v>152.53</v>
      </c>
      <c r="AM41" s="284">
        <f>AN41*31</f>
        <v>25.946999999999999</v>
      </c>
      <c r="AN41">
        <v>0.83699999999999997</v>
      </c>
      <c r="AO41" s="1">
        <f t="shared" si="54"/>
        <v>0.94424999999999992</v>
      </c>
      <c r="AP41" s="88" t="s">
        <v>770</v>
      </c>
      <c r="AR41" s="284">
        <f>AS41*31</f>
        <v>148.55199999999999</v>
      </c>
      <c r="AS41" s="1">
        <v>4.7919999999999998</v>
      </c>
      <c r="AT41" s="1">
        <f t="shared" si="55"/>
        <v>4.6161666666666674</v>
      </c>
      <c r="AU41" s="88" t="s">
        <v>770</v>
      </c>
      <c r="AW41" s="284">
        <f>AX41*31</f>
        <v>23.187999999999999</v>
      </c>
      <c r="AX41" s="1">
        <v>0.748</v>
      </c>
      <c r="AY41" s="1">
        <f t="shared" si="56"/>
        <v>0.76224999999999998</v>
      </c>
      <c r="AZ41" s="88" t="s">
        <v>770</v>
      </c>
      <c r="BB41" s="284">
        <f>BC41*31</f>
        <v>24.614000000000001</v>
      </c>
      <c r="BC41" s="1">
        <v>0.79400000000000004</v>
      </c>
      <c r="BD41" s="1">
        <f t="shared" si="57"/>
        <v>0.81349999999999989</v>
      </c>
      <c r="BE41" s="88" t="s">
        <v>770</v>
      </c>
      <c r="BG41" s="284">
        <f>BH41*31</f>
        <v>25.916</v>
      </c>
      <c r="BH41" s="1">
        <v>0.83599999999999997</v>
      </c>
      <c r="BI41" s="1">
        <f t="shared" si="58"/>
        <v>0.89333333333333342</v>
      </c>
      <c r="BJ41" s="88" t="s">
        <v>770</v>
      </c>
      <c r="BL41" s="284">
        <f>BM41*31</f>
        <v>106.733</v>
      </c>
      <c r="BM41" s="1">
        <v>3.4430000000000001</v>
      </c>
      <c r="BN41" s="1">
        <f t="shared" si="65"/>
        <v>3.3996666666666666</v>
      </c>
      <c r="BQ41" s="284">
        <f>BR41*31</f>
        <v>19.22</v>
      </c>
      <c r="BR41" s="1">
        <v>0.62</v>
      </c>
      <c r="BS41" s="1">
        <f t="shared" si="59"/>
        <v>0.59366666666666668</v>
      </c>
      <c r="BT41" s="88" t="s">
        <v>770</v>
      </c>
      <c r="BV41" s="284">
        <f>BW41*31</f>
        <v>7.7190000000000003</v>
      </c>
      <c r="BW41" s="1">
        <v>0.249</v>
      </c>
      <c r="BX41" s="1">
        <f t="shared" si="60"/>
        <v>0.27366666666666667</v>
      </c>
      <c r="BY41" s="88" t="s">
        <v>770</v>
      </c>
      <c r="CA41" s="284">
        <f>CB41*31</f>
        <v>15.841000000000001</v>
      </c>
      <c r="CB41" s="1">
        <v>0.51100000000000001</v>
      </c>
      <c r="CC41" s="1">
        <f t="shared" si="68"/>
        <v>0.47399999999999992</v>
      </c>
      <c r="CD41" s="88" t="s">
        <v>770</v>
      </c>
      <c r="CF41" s="284">
        <f>CG41*31</f>
        <v>47.616</v>
      </c>
      <c r="CG41" s="1">
        <v>1.536</v>
      </c>
      <c r="CH41" s="1">
        <f t="shared" si="69"/>
        <v>1.5166666666666666</v>
      </c>
      <c r="CK41" s="284">
        <f>CL41*30</f>
        <v>73.53</v>
      </c>
      <c r="CL41" s="1">
        <v>2.4510000000000001</v>
      </c>
      <c r="CM41" s="1">
        <f t="shared" si="61"/>
        <v>2.938333333333333</v>
      </c>
      <c r="CN41" s="1">
        <v>6.22</v>
      </c>
      <c r="CP41" s="284">
        <f>CQ41*31</f>
        <v>360.964</v>
      </c>
      <c r="CQ41" s="1">
        <v>11.644</v>
      </c>
      <c r="CR41" s="1">
        <f t="shared" si="62"/>
        <v>12.149916666666668</v>
      </c>
      <c r="CS41" s="88" t="s">
        <v>775</v>
      </c>
      <c r="CU41" s="284">
        <f>CV41*31</f>
        <v>118.66799999999999</v>
      </c>
      <c r="CV41" s="1">
        <v>3.8279999999999998</v>
      </c>
      <c r="CW41" s="1">
        <f t="shared" si="63"/>
        <v>4.1647499999999997</v>
      </c>
      <c r="CX41" s="88" t="s">
        <v>775</v>
      </c>
      <c r="CY41" s="88"/>
      <c r="CZ41" s="269">
        <f>DA41*31</f>
        <v>21.358999999999998</v>
      </c>
      <c r="DA41" s="1">
        <v>0.68899999999999995</v>
      </c>
      <c r="DC41" s="284">
        <f>DD41*31</f>
        <v>12.245000000000001</v>
      </c>
      <c r="DD41" s="1">
        <v>0.39500000000000002</v>
      </c>
      <c r="DE41" s="1">
        <v>0.376</v>
      </c>
      <c r="DH41" s="284">
        <f>DI41*31</f>
        <v>90.396000000000001</v>
      </c>
      <c r="DI41" s="5">
        <f t="shared" si="70"/>
        <v>2.9159999999999999</v>
      </c>
      <c r="DJ41" s="1">
        <f t="shared" si="71"/>
        <v>2.8580000000000001</v>
      </c>
      <c r="DM41" s="284">
        <f>DN41*31</f>
        <v>3002.4740000000002</v>
      </c>
      <c r="DN41" s="1">
        <f t="shared" si="72"/>
        <v>96.853999999999999</v>
      </c>
      <c r="DO41" s="1">
        <f t="shared" si="73"/>
        <v>102.66058333333332</v>
      </c>
      <c r="DR41" s="284">
        <f>DS41*31</f>
        <v>589.2170000000001</v>
      </c>
      <c r="DS41" s="1">
        <f t="shared" si="66"/>
        <v>19.007000000000001</v>
      </c>
      <c r="DT41" s="1" t="e">
        <f>SUM(CM41+CR41+CW41+#REF!+DE41)</f>
        <v>#REF!</v>
      </c>
      <c r="DW41" s="284">
        <f>DX41*31</f>
        <v>3591.6910000000003</v>
      </c>
      <c r="DX41" s="1">
        <f t="shared" ref="DX41:DX55" si="75">SUM(DN41+DS41)</f>
        <v>115.861</v>
      </c>
      <c r="DY41" s="1">
        <f t="shared" si="74"/>
        <v>123.08224999999999</v>
      </c>
      <c r="EL41">
        <v>2000</v>
      </c>
      <c r="EM41" t="s">
        <v>710</v>
      </c>
      <c r="EN41" t="s">
        <v>841</v>
      </c>
      <c r="EO41">
        <v>209.49799999999999</v>
      </c>
    </row>
    <row r="42" spans="1:145" x14ac:dyDescent="0.25">
      <c r="A42" s="8">
        <v>2000</v>
      </c>
      <c r="B42" t="s">
        <v>711</v>
      </c>
      <c r="D42" s="284">
        <f>E42*30</f>
        <v>183.93</v>
      </c>
      <c r="E42" s="1">
        <v>6.1310000000000002</v>
      </c>
      <c r="F42" s="1">
        <f t="shared" si="48"/>
        <v>6.9556666666666658</v>
      </c>
      <c r="G42" s="88" t="s">
        <v>775</v>
      </c>
      <c r="H42" s="88"/>
      <c r="I42" s="283"/>
      <c r="J42" s="88"/>
      <c r="K42" s="88"/>
      <c r="L42" s="88"/>
      <c r="N42" s="284">
        <f>O42*30</f>
        <v>93.600000000000009</v>
      </c>
      <c r="O42" s="1">
        <v>3.12</v>
      </c>
      <c r="P42" s="1">
        <f t="shared" si="49"/>
        <v>3.5079999999999996</v>
      </c>
      <c r="Q42" s="1">
        <v>6.1</v>
      </c>
      <c r="S42" s="284">
        <f>T42*30</f>
        <v>139.91999999999999</v>
      </c>
      <c r="T42" s="1">
        <v>4.6639999999999997</v>
      </c>
      <c r="U42" s="1">
        <f t="shared" si="51"/>
        <v>5.6403333333333334</v>
      </c>
      <c r="V42" s="1">
        <v>8.16</v>
      </c>
      <c r="X42" s="284">
        <f>Y42*30</f>
        <v>616.91999999999996</v>
      </c>
      <c r="Y42" s="1">
        <v>20.564</v>
      </c>
      <c r="Z42" s="1">
        <f t="shared" si="52"/>
        <v>20.813916666666664</v>
      </c>
      <c r="AA42" s="1">
        <v>28.54</v>
      </c>
      <c r="AC42" s="284">
        <f>AD42*30</f>
        <v>756.84</v>
      </c>
      <c r="AD42" s="1">
        <f t="shared" si="45"/>
        <v>25.228000000000002</v>
      </c>
      <c r="AE42" s="1">
        <f t="shared" si="53"/>
        <v>26.454250000000002</v>
      </c>
      <c r="AF42" s="1">
        <v>36.700000000000003</v>
      </c>
      <c r="AH42" s="284">
        <f>AI42*30</f>
        <v>1546.86</v>
      </c>
      <c r="AI42">
        <v>51.561999999999998</v>
      </c>
      <c r="AJ42" s="1">
        <f t="shared" si="50"/>
        <v>56.902416666666674</v>
      </c>
      <c r="AK42" s="1">
        <v>125.43</v>
      </c>
      <c r="AM42" s="284">
        <f>AN42*30</f>
        <v>28.2</v>
      </c>
      <c r="AN42" s="1">
        <v>0.94</v>
      </c>
      <c r="AO42" s="1">
        <f t="shared" si="54"/>
        <v>0.94908333333333328</v>
      </c>
      <c r="AP42" s="88" t="s">
        <v>770</v>
      </c>
      <c r="AR42" s="284">
        <f>AS42*30</f>
        <v>114.03</v>
      </c>
      <c r="AS42" s="1">
        <v>3.8010000000000002</v>
      </c>
      <c r="AT42" s="1">
        <f t="shared" si="55"/>
        <v>4.5867500000000003</v>
      </c>
      <c r="AU42" s="88" t="s">
        <v>770</v>
      </c>
      <c r="AW42" s="284">
        <f>AX42*30</f>
        <v>22.44</v>
      </c>
      <c r="AX42" s="1">
        <v>0.748</v>
      </c>
      <c r="AY42" s="1">
        <f t="shared" si="56"/>
        <v>0.74925000000000008</v>
      </c>
      <c r="AZ42" s="88" t="s">
        <v>770</v>
      </c>
      <c r="BB42" s="284">
        <f>BC42*30</f>
        <v>25.38</v>
      </c>
      <c r="BC42" s="1">
        <v>0.84599999999999997</v>
      </c>
      <c r="BD42" s="1">
        <f t="shared" si="57"/>
        <v>0.81491666666666662</v>
      </c>
      <c r="BE42" s="88" t="s">
        <v>770</v>
      </c>
      <c r="BG42" s="284">
        <f>BH42*30</f>
        <v>24.689999999999998</v>
      </c>
      <c r="BH42" s="1">
        <v>0.82299999999999995</v>
      </c>
      <c r="BI42" s="1">
        <f t="shared" si="58"/>
        <v>0.8982500000000001</v>
      </c>
      <c r="BJ42" s="88" t="s">
        <v>770</v>
      </c>
      <c r="BL42" s="284">
        <f>BM42*30</f>
        <v>103.29</v>
      </c>
      <c r="BM42" s="1">
        <v>3.4430000000000001</v>
      </c>
      <c r="BN42" s="1">
        <f t="shared" si="65"/>
        <v>3.4050833333333332</v>
      </c>
      <c r="BQ42" s="284">
        <f>BR42*30</f>
        <v>22.86</v>
      </c>
      <c r="BR42" s="1">
        <v>0.76200000000000001</v>
      </c>
      <c r="BS42" s="1">
        <f t="shared" si="59"/>
        <v>0.61041666666666661</v>
      </c>
      <c r="BT42" s="88" t="s">
        <v>770</v>
      </c>
      <c r="BV42" s="284">
        <f>BW42*30</f>
        <v>7.35</v>
      </c>
      <c r="BW42" s="1">
        <v>0.245</v>
      </c>
      <c r="BX42" s="1">
        <f t="shared" si="60"/>
        <v>0.27174999999999999</v>
      </c>
      <c r="BY42" s="88" t="s">
        <v>770</v>
      </c>
      <c r="CA42" s="284">
        <f>CB42*30</f>
        <v>14.76</v>
      </c>
      <c r="CB42" s="1">
        <v>0.49199999999999999</v>
      </c>
      <c r="CC42" s="1">
        <f t="shared" si="68"/>
        <v>0.48825000000000002</v>
      </c>
      <c r="CD42" s="88" t="s">
        <v>770</v>
      </c>
      <c r="CF42" s="284">
        <f>CG42*30</f>
        <v>46.08</v>
      </c>
      <c r="CG42" s="1">
        <v>1.536</v>
      </c>
      <c r="CH42" s="1">
        <f t="shared" si="69"/>
        <v>1.5190833333333333</v>
      </c>
      <c r="CK42" s="284">
        <f>CL42*30</f>
        <v>81.900000000000006</v>
      </c>
      <c r="CL42" s="1">
        <v>2.73</v>
      </c>
      <c r="CM42" s="1">
        <f t="shared" si="61"/>
        <v>2.9574166666666666</v>
      </c>
      <c r="CN42" s="1">
        <v>7.63</v>
      </c>
      <c r="CP42" s="284">
        <f>CQ42*30</f>
        <v>347.94</v>
      </c>
      <c r="CQ42" s="1">
        <v>11.598000000000001</v>
      </c>
      <c r="CR42" s="1">
        <f t="shared" si="62"/>
        <v>12.211916666666669</v>
      </c>
      <c r="CS42" s="88" t="s">
        <v>775</v>
      </c>
      <c r="CU42" s="284">
        <f>CV42*30</f>
        <v>113.91000000000001</v>
      </c>
      <c r="CV42" s="1">
        <v>3.7970000000000002</v>
      </c>
      <c r="CW42" s="1">
        <f t="shared" si="63"/>
        <v>4.1549999999999994</v>
      </c>
      <c r="CX42" s="88" t="s">
        <v>775</v>
      </c>
      <c r="CY42" s="88"/>
      <c r="CZ42" s="269">
        <f>DA42*30</f>
        <v>20.759999999999998</v>
      </c>
      <c r="DA42" s="1">
        <v>0.69199999999999995</v>
      </c>
      <c r="DC42" s="284">
        <f>DD42*30</f>
        <v>11.850000000000001</v>
      </c>
      <c r="DD42" s="1">
        <v>0.39500000000000002</v>
      </c>
      <c r="DE42" s="1">
        <v>0.376</v>
      </c>
      <c r="DH42" s="284">
        <f>DI42*30</f>
        <v>91.050000000000011</v>
      </c>
      <c r="DI42" s="5">
        <f t="shared" si="70"/>
        <v>3.0350000000000001</v>
      </c>
      <c r="DJ42" s="1">
        <f t="shared" si="71"/>
        <v>2.8895</v>
      </c>
      <c r="DM42" s="284">
        <f>DN42*30</f>
        <v>2808.21</v>
      </c>
      <c r="DN42" s="1">
        <f t="shared" si="72"/>
        <v>93.606999999999999</v>
      </c>
      <c r="DO42" s="1">
        <f t="shared" si="73"/>
        <v>102.33416666666666</v>
      </c>
      <c r="DR42" s="284">
        <f>DS42*30</f>
        <v>576.36</v>
      </c>
      <c r="DS42" s="1">
        <f t="shared" si="66"/>
        <v>19.212</v>
      </c>
      <c r="DT42" s="1" t="e">
        <f>SUM(CM42+CR42+CW42+#REF!+DE42)</f>
        <v>#REF!</v>
      </c>
      <c r="DW42" s="284">
        <f>DX42*30</f>
        <v>3384.57</v>
      </c>
      <c r="DX42" s="1">
        <f t="shared" si="75"/>
        <v>112.819</v>
      </c>
      <c r="DY42" s="1">
        <f t="shared" si="74"/>
        <v>122.82724999999999</v>
      </c>
      <c r="EL42">
        <v>2000</v>
      </c>
      <c r="EM42" t="s">
        <v>711</v>
      </c>
      <c r="EN42" t="s">
        <v>841</v>
      </c>
      <c r="EO42">
        <v>183.93</v>
      </c>
    </row>
    <row r="43" spans="1:145" x14ac:dyDescent="0.25">
      <c r="A43" s="8">
        <v>2000</v>
      </c>
      <c r="B43" t="s">
        <v>712</v>
      </c>
      <c r="D43" s="284">
        <f>E43*31</f>
        <v>185.00800000000001</v>
      </c>
      <c r="E43" s="1">
        <v>5.968</v>
      </c>
      <c r="F43" s="1">
        <f t="shared" ref="F43:F55" si="76">SUM(E32:E43)/12</f>
        <v>6.816583333333333</v>
      </c>
      <c r="G43" s="88" t="s">
        <v>770</v>
      </c>
      <c r="H43" s="88"/>
      <c r="I43" s="283"/>
      <c r="J43" s="88"/>
      <c r="K43" s="88"/>
      <c r="L43" s="88"/>
      <c r="N43" s="284">
        <f>O43*31</f>
        <v>93.774999999999991</v>
      </c>
      <c r="O43" s="1">
        <v>3.0249999999999999</v>
      </c>
      <c r="P43" s="1">
        <f t="shared" si="49"/>
        <v>3.4958333333333331</v>
      </c>
      <c r="Q43" s="1">
        <v>5.8</v>
      </c>
      <c r="S43" s="284">
        <f>T43*31</f>
        <v>146.01</v>
      </c>
      <c r="T43" s="1">
        <v>4.71</v>
      </c>
      <c r="U43" s="1">
        <f t="shared" si="51"/>
        <v>5.5979166666666664</v>
      </c>
      <c r="V43" s="1">
        <v>9.18</v>
      </c>
      <c r="X43" s="284">
        <f>Y43*31</f>
        <v>644.02499999999998</v>
      </c>
      <c r="Y43" s="1">
        <v>20.774999999999999</v>
      </c>
      <c r="Z43" s="1">
        <f t="shared" si="52"/>
        <v>20.923166666666663</v>
      </c>
      <c r="AA43" s="1">
        <v>32.799999999999997</v>
      </c>
      <c r="AC43" s="284">
        <f>AD43*31</f>
        <v>790.03499999999997</v>
      </c>
      <c r="AD43" s="1">
        <f t="shared" si="45"/>
        <v>25.484999999999999</v>
      </c>
      <c r="AE43" s="1">
        <f t="shared" si="53"/>
        <v>26.521083333333333</v>
      </c>
      <c r="AF43" s="1">
        <v>41.98</v>
      </c>
      <c r="AH43" s="284">
        <f>AI43*31</f>
        <v>1624.2450000000001</v>
      </c>
      <c r="AI43">
        <v>52.395000000000003</v>
      </c>
      <c r="AJ43" s="1">
        <f t="shared" si="50"/>
        <v>56.604000000000006</v>
      </c>
      <c r="AK43">
        <v>136.61000000000001</v>
      </c>
      <c r="AM43" s="284">
        <f>AN43*31</f>
        <v>26.722000000000001</v>
      </c>
      <c r="AN43">
        <v>0.86199999999999999</v>
      </c>
      <c r="AO43" s="1">
        <f t="shared" ref="AO43:AO55" si="77">SUM(AN32:AN43)/12</f>
        <v>0.94</v>
      </c>
      <c r="AP43" s="88" t="s">
        <v>770</v>
      </c>
      <c r="AR43" s="284">
        <f>AS43*31</f>
        <v>148.67600000000002</v>
      </c>
      <c r="AS43" s="1">
        <v>4.7960000000000003</v>
      </c>
      <c r="AT43" s="1">
        <f t="shared" ref="AT43:AT55" si="78">SUM(AS32:AS43)/12</f>
        <v>4.6140833333333342</v>
      </c>
      <c r="AU43" s="88" t="s">
        <v>770</v>
      </c>
      <c r="AW43" s="284">
        <f>AX43*31</f>
        <v>23.187999999999999</v>
      </c>
      <c r="AX43" s="1">
        <v>0.748</v>
      </c>
      <c r="AY43" s="1">
        <f t="shared" ref="AY43:AY55" si="79">SUM(AX32:AX43)/12</f>
        <v>0.73575000000000002</v>
      </c>
      <c r="AZ43" s="88" t="s">
        <v>770</v>
      </c>
      <c r="BB43" s="284">
        <f>BC43*31</f>
        <v>26.722000000000001</v>
      </c>
      <c r="BC43" s="1">
        <v>0.86199999999999999</v>
      </c>
      <c r="BD43" s="1">
        <f t="shared" ref="BD43:BD49" si="80">SUM(BC32:BC43)/12</f>
        <v>0.81375000000000008</v>
      </c>
      <c r="BE43" s="88" t="s">
        <v>770</v>
      </c>
      <c r="BG43" s="284">
        <f>BH43*31</f>
        <v>27.404</v>
      </c>
      <c r="BH43" s="1">
        <v>0.88400000000000001</v>
      </c>
      <c r="BI43" s="1">
        <f t="shared" ref="BI43:BI55" si="81">SUM(BH32:BH43)/12</f>
        <v>0.89000000000000012</v>
      </c>
      <c r="BJ43" s="88" t="s">
        <v>770</v>
      </c>
      <c r="BL43" s="284">
        <f>BM43*31</f>
        <v>106.733</v>
      </c>
      <c r="BM43" s="1">
        <v>3.4430000000000001</v>
      </c>
      <c r="BN43" s="1">
        <f t="shared" si="65"/>
        <v>3.4105000000000003</v>
      </c>
      <c r="BQ43" s="284">
        <f>BR43*31</f>
        <v>29.356999999999999</v>
      </c>
      <c r="BR43" s="1">
        <v>0.94699999999999995</v>
      </c>
      <c r="BS43" s="1">
        <f t="shared" ref="BS43:BS55" si="82">SUM(BR32:BR43)/12</f>
        <v>0.64066666666666661</v>
      </c>
      <c r="BT43" s="88" t="s">
        <v>770</v>
      </c>
      <c r="BV43" s="284">
        <f>BW43*31</f>
        <v>7.5949999999999998</v>
      </c>
      <c r="BW43" s="1">
        <v>0.245</v>
      </c>
      <c r="BX43" s="1">
        <f t="shared" ref="BX43:BX55" si="83">SUM(BW32:BW43)/12</f>
        <v>0.26691666666666669</v>
      </c>
      <c r="BY43" s="88" t="s">
        <v>770</v>
      </c>
      <c r="CA43" s="284">
        <f>CB43*31</f>
        <v>15.468999999999999</v>
      </c>
      <c r="CB43" s="1">
        <v>0.499</v>
      </c>
      <c r="CC43" s="1">
        <f t="shared" si="68"/>
        <v>0.4931666666666667</v>
      </c>
      <c r="CD43" s="88" t="s">
        <v>770</v>
      </c>
      <c r="CF43" s="284">
        <f>CG43*31</f>
        <v>47.616</v>
      </c>
      <c r="CG43" s="1">
        <v>1.536</v>
      </c>
      <c r="CH43" s="1">
        <f t="shared" si="69"/>
        <v>1.5214999999999999</v>
      </c>
      <c r="CK43" s="284">
        <f>CL43*31</f>
        <v>87.295999999999992</v>
      </c>
      <c r="CL43" s="1">
        <v>2.8159999999999998</v>
      </c>
      <c r="CM43" s="1">
        <f t="shared" si="61"/>
        <v>2.905416666666667</v>
      </c>
      <c r="CN43" s="1">
        <v>8.3699999999999992</v>
      </c>
      <c r="CP43" s="284">
        <f>CQ43*31</f>
        <v>339.791</v>
      </c>
      <c r="CQ43" s="1">
        <v>10.961</v>
      </c>
      <c r="CR43" s="1">
        <f t="shared" ref="CR43:CR62" si="84">SUM(CQ32:CQ43)/12</f>
        <v>12.159083333333337</v>
      </c>
      <c r="CS43" s="88" t="s">
        <v>770</v>
      </c>
      <c r="CU43" s="284">
        <f>CV43*31</f>
        <v>125.76700000000001</v>
      </c>
      <c r="CV43" s="1">
        <v>4.0570000000000004</v>
      </c>
      <c r="CW43" s="1">
        <f t="shared" ref="CW43:CW65" si="85">SUM(CV32:CV43)/12</f>
        <v>4.1542500000000002</v>
      </c>
      <c r="CX43" s="88" t="s">
        <v>770</v>
      </c>
      <c r="CY43" s="88"/>
      <c r="CZ43" s="269">
        <f>DA43*31</f>
        <v>23.25</v>
      </c>
      <c r="DA43" s="1">
        <v>0.75</v>
      </c>
      <c r="DC43" s="284">
        <f>DD43*31</f>
        <v>12.245000000000001</v>
      </c>
      <c r="DD43" s="1">
        <v>0.39500000000000002</v>
      </c>
      <c r="DE43" s="1">
        <f t="shared" ref="DE43:DE56" si="86">SUM(DD32:DD43)/12</f>
        <v>0.39150000000000001</v>
      </c>
      <c r="DH43" s="284">
        <f>DI43*31</f>
        <v>100.03699999999999</v>
      </c>
      <c r="DI43" s="5">
        <f t="shared" si="70"/>
        <v>3.2269999999999999</v>
      </c>
      <c r="DJ43" s="1">
        <f t="shared" si="71"/>
        <v>2.92225</v>
      </c>
      <c r="DM43" s="284">
        <f>DN43*31</f>
        <v>2952.471</v>
      </c>
      <c r="DN43" s="1">
        <f t="shared" si="72"/>
        <v>95.241</v>
      </c>
      <c r="DO43" s="1">
        <f t="shared" si="73"/>
        <v>101.91933333333333</v>
      </c>
      <c r="DR43" s="284">
        <f>DS43*31</f>
        <v>588.34900000000005</v>
      </c>
      <c r="DS43" s="1">
        <f t="shared" si="66"/>
        <v>18.979000000000003</v>
      </c>
      <c r="DT43" s="1" t="e">
        <f>SUM(CM43+CR43+CW43+#REF!+DE43)</f>
        <v>#REF!</v>
      </c>
      <c r="DW43" s="284">
        <f>DX43*31</f>
        <v>3540.82</v>
      </c>
      <c r="DX43" s="1">
        <f t="shared" si="75"/>
        <v>114.22</v>
      </c>
      <c r="DY43" s="1">
        <f t="shared" si="74"/>
        <v>122.30841666666667</v>
      </c>
      <c r="ED43" s="1">
        <f>EE43*92</f>
        <v>1754.0720000000001</v>
      </c>
      <c r="EE43" s="1">
        <f>AVERAGE(DS41:DS43)</f>
        <v>19.066000000000003</v>
      </c>
      <c r="EF43" s="1">
        <f>SUM(EE34+EE37+EE40+EE43)/4</f>
        <v>20.389083333333335</v>
      </c>
      <c r="EL43">
        <v>2000</v>
      </c>
      <c r="EM43" t="s">
        <v>712</v>
      </c>
      <c r="EN43" t="s">
        <v>841</v>
      </c>
      <c r="EO43">
        <v>185.00800000000001</v>
      </c>
    </row>
    <row r="44" spans="1:145" s="1" customFormat="1" x14ac:dyDescent="0.25">
      <c r="A44" s="23">
        <v>2001</v>
      </c>
      <c r="B44" s="1" t="s">
        <v>719</v>
      </c>
      <c r="D44" s="284">
        <f>E44*31</f>
        <v>175.39800000000002</v>
      </c>
      <c r="E44" s="1">
        <v>5.6580000000000004</v>
      </c>
      <c r="F44" s="1">
        <f t="shared" si="76"/>
        <v>6.7459166666666661</v>
      </c>
      <c r="G44" s="88" t="s">
        <v>770</v>
      </c>
      <c r="H44" s="88"/>
      <c r="I44" s="283"/>
      <c r="J44" s="88"/>
      <c r="K44" s="88"/>
      <c r="L44" s="88"/>
      <c r="N44" s="284">
        <f>O44*31</f>
        <v>88.876999999999995</v>
      </c>
      <c r="O44" s="1">
        <v>2.867</v>
      </c>
      <c r="P44" s="1">
        <f t="shared" si="49"/>
        <v>3.4732499999999997</v>
      </c>
      <c r="Q44" s="1">
        <v>6</v>
      </c>
      <c r="S44" s="284">
        <f>T44*31</f>
        <v>152.334</v>
      </c>
      <c r="T44" s="1">
        <v>4.9139999999999997</v>
      </c>
      <c r="U44" s="1">
        <f t="shared" si="51"/>
        <v>5.5760000000000005</v>
      </c>
      <c r="V44" s="1">
        <v>9</v>
      </c>
      <c r="W44" s="88"/>
      <c r="X44" s="284">
        <f>Y44*31</f>
        <v>670.71600000000001</v>
      </c>
      <c r="Y44" s="1">
        <v>21.635999999999999</v>
      </c>
      <c r="Z44" s="1">
        <f t="shared" si="52"/>
        <v>21.095749999999999</v>
      </c>
      <c r="AA44" s="1">
        <v>30.76</v>
      </c>
      <c r="AC44" s="284">
        <f>AD44*31</f>
        <v>823.05</v>
      </c>
      <c r="AD44" s="1">
        <f t="shared" si="45"/>
        <v>26.549999999999997</v>
      </c>
      <c r="AE44" s="1">
        <f t="shared" ref="AE44:AE62" si="87">SUM(AD33:AD44)/12</f>
        <v>26.671750000000003</v>
      </c>
      <c r="AF44" s="1">
        <v>39.76</v>
      </c>
      <c r="AH44" s="284">
        <f>AI44*31</f>
        <v>1646.9680000000001</v>
      </c>
      <c r="AI44" s="1">
        <v>53.128</v>
      </c>
      <c r="AJ44" s="1">
        <f t="shared" si="50"/>
        <v>56.525000000000006</v>
      </c>
      <c r="AK44" s="1">
        <v>148.88999999999999</v>
      </c>
      <c r="AM44" s="284">
        <f>AN44*31</f>
        <v>26.628999999999998</v>
      </c>
      <c r="AN44" s="1">
        <v>0.85899999999999999</v>
      </c>
      <c r="AO44" s="1">
        <f t="shared" si="77"/>
        <v>0.92974999999999997</v>
      </c>
      <c r="AP44" s="88" t="s">
        <v>770</v>
      </c>
      <c r="AR44" s="284">
        <f>AS44*31</f>
        <v>148.64500000000001</v>
      </c>
      <c r="AS44" s="1">
        <v>4.7949999999999999</v>
      </c>
      <c r="AT44" s="1">
        <f t="shared" si="78"/>
        <v>4.6442500000000004</v>
      </c>
      <c r="AU44" s="88" t="s">
        <v>770</v>
      </c>
      <c r="AW44" s="284">
        <f>AX44*31</f>
        <v>23.187999999999999</v>
      </c>
      <c r="AX44" s="1">
        <v>0.748</v>
      </c>
      <c r="AY44" s="1">
        <f t="shared" si="79"/>
        <v>0.73383333333333345</v>
      </c>
      <c r="AZ44" s="88" t="s">
        <v>770</v>
      </c>
      <c r="BB44" s="284">
        <f>BC44*31</f>
        <v>26.195</v>
      </c>
      <c r="BC44" s="1">
        <v>0.84499999999999997</v>
      </c>
      <c r="BD44" s="1">
        <f t="shared" si="80"/>
        <v>0.80608333333333337</v>
      </c>
      <c r="BE44" s="88" t="s">
        <v>770</v>
      </c>
      <c r="BG44" s="284">
        <f>BH44*31</f>
        <v>28.086000000000002</v>
      </c>
      <c r="BH44" s="1">
        <v>0.90600000000000003</v>
      </c>
      <c r="BI44" s="1">
        <f t="shared" si="81"/>
        <v>0.88625000000000009</v>
      </c>
      <c r="BJ44" s="88" t="s">
        <v>770</v>
      </c>
      <c r="BL44" s="284">
        <f>BM44*31</f>
        <v>106.733</v>
      </c>
      <c r="BM44" s="1">
        <v>3.4430000000000001</v>
      </c>
      <c r="BN44" s="1">
        <f t="shared" ref="BN44:BN55" si="88">SUM(BM33:BM44)/12</f>
        <v>3.4159166666666665</v>
      </c>
      <c r="BQ44" s="284">
        <f>BR44*31</f>
        <v>22.971</v>
      </c>
      <c r="BR44" s="1">
        <v>0.74099999999999999</v>
      </c>
      <c r="BS44" s="1">
        <f t="shared" si="82"/>
        <v>0.6529166666666667</v>
      </c>
      <c r="BT44" s="88" t="s">
        <v>770</v>
      </c>
      <c r="BV44" s="284">
        <f>BW44*31</f>
        <v>7.5949999999999998</v>
      </c>
      <c r="BW44" s="1">
        <v>0.245</v>
      </c>
      <c r="BX44" s="1">
        <f t="shared" si="83"/>
        <v>0.26266666666666671</v>
      </c>
      <c r="BY44" s="88" t="s">
        <v>770</v>
      </c>
      <c r="CA44" s="284">
        <f>CB44*31</f>
        <v>16.151</v>
      </c>
      <c r="CB44" s="1">
        <v>0.52100000000000002</v>
      </c>
      <c r="CC44" s="1">
        <f t="shared" si="68"/>
        <v>0.49516666666666659</v>
      </c>
      <c r="CD44" s="88" t="s">
        <v>770</v>
      </c>
      <c r="CF44" s="284">
        <f>CG44*31</f>
        <v>47.616</v>
      </c>
      <c r="CG44" s="1">
        <v>1.536</v>
      </c>
      <c r="CH44" s="1">
        <f t="shared" si="69"/>
        <v>1.5239166666666666</v>
      </c>
      <c r="CK44" s="284">
        <f>CL44*31</f>
        <v>86.303999999999988</v>
      </c>
      <c r="CL44" s="1">
        <v>2.7839999999999998</v>
      </c>
      <c r="CM44" s="1">
        <f t="shared" si="61"/>
        <v>2.8794166666666663</v>
      </c>
      <c r="CN44" s="1">
        <v>7.17</v>
      </c>
      <c r="CP44" s="284">
        <f>CQ44*31</f>
        <v>345.34000000000003</v>
      </c>
      <c r="CQ44" s="1">
        <v>11.14</v>
      </c>
      <c r="CR44" s="1">
        <f t="shared" si="84"/>
        <v>12.141750000000002</v>
      </c>
      <c r="CS44" s="88">
        <v>24.5</v>
      </c>
      <c r="CU44" s="284">
        <f>CV44*31</f>
        <v>118.69900000000001</v>
      </c>
      <c r="CV44" s="1">
        <v>3.8290000000000002</v>
      </c>
      <c r="CW44" s="1">
        <f t="shared" si="85"/>
        <v>4.136166666666667</v>
      </c>
      <c r="CX44" s="88">
        <v>6.6</v>
      </c>
      <c r="CY44" s="88"/>
      <c r="CZ44" s="269">
        <f>DA44*31</f>
        <v>22.381999999999998</v>
      </c>
      <c r="DA44" s="1">
        <v>0.72199999999999998</v>
      </c>
      <c r="DC44" s="284">
        <f>DD44*31</f>
        <v>12.245000000000001</v>
      </c>
      <c r="DD44" s="1">
        <v>0.39500000000000002</v>
      </c>
      <c r="DE44" s="1">
        <f t="shared" si="86"/>
        <v>0.39208333333333334</v>
      </c>
      <c r="DH44" s="284">
        <f>DI44*31</f>
        <v>94.332999999999998</v>
      </c>
      <c r="DI44" s="5">
        <f t="shared" si="70"/>
        <v>3.0430000000000001</v>
      </c>
      <c r="DJ44" s="1">
        <f t="shared" si="71"/>
        <v>2.9346666666666663</v>
      </c>
      <c r="DM44" s="284">
        <f>DN44*31</f>
        <v>2999.4360000000001</v>
      </c>
      <c r="DN44" s="1">
        <f t="shared" si="72"/>
        <v>96.756</v>
      </c>
      <c r="DO44" s="1">
        <f t="shared" si="73"/>
        <v>101.89733333333335</v>
      </c>
      <c r="DR44" s="284">
        <f>DS44*31</f>
        <v>584.97</v>
      </c>
      <c r="DS44" s="1">
        <f t="shared" si="66"/>
        <v>18.87</v>
      </c>
      <c r="DT44" s="1" t="e">
        <f>SUM(CM44+CR44+CW44+#REF!+DE44)</f>
        <v>#REF!</v>
      </c>
      <c r="DW44" s="284">
        <f>DX44*31</f>
        <v>3584.4059999999999</v>
      </c>
      <c r="DX44" s="1">
        <f t="shared" si="75"/>
        <v>115.626</v>
      </c>
      <c r="DY44" s="1">
        <f t="shared" si="74"/>
        <v>122.22449999999999</v>
      </c>
      <c r="EL44" s="1">
        <v>2001</v>
      </c>
      <c r="EM44" s="1" t="s">
        <v>719</v>
      </c>
      <c r="EN44" s="1" t="s">
        <v>841</v>
      </c>
      <c r="EO44" s="1">
        <v>175.39800000000002</v>
      </c>
    </row>
    <row r="45" spans="1:145" s="1" customFormat="1" x14ac:dyDescent="0.25">
      <c r="A45" s="23">
        <v>2001</v>
      </c>
      <c r="B45" s="12" t="s">
        <v>713</v>
      </c>
      <c r="C45" s="12"/>
      <c r="D45" s="284">
        <f>E45*28</f>
        <v>177.01599999999999</v>
      </c>
      <c r="E45" s="1">
        <v>6.3220000000000001</v>
      </c>
      <c r="F45" s="1">
        <f t="shared" si="76"/>
        <v>6.7020833333333334</v>
      </c>
      <c r="G45" s="88" t="s">
        <v>770</v>
      </c>
      <c r="H45" s="88"/>
      <c r="I45" s="283"/>
      <c r="J45" s="88"/>
      <c r="K45" s="88"/>
      <c r="L45" s="88"/>
      <c r="N45" s="284">
        <f>O45*28</f>
        <v>89.712000000000003</v>
      </c>
      <c r="O45" s="1">
        <v>3.2040000000000002</v>
      </c>
      <c r="P45" s="1">
        <f t="shared" si="49"/>
        <v>3.4644999999999997</v>
      </c>
      <c r="Q45" s="1">
        <v>5.8</v>
      </c>
      <c r="S45" s="284">
        <f>T45*28</f>
        <v>150.66800000000001</v>
      </c>
      <c r="T45" s="1">
        <v>5.3810000000000002</v>
      </c>
      <c r="U45" s="1">
        <f t="shared" si="51"/>
        <v>5.5527500000000005</v>
      </c>
      <c r="V45" s="1">
        <v>8.57</v>
      </c>
      <c r="W45" s="88"/>
      <c r="X45" s="284">
        <f>Y45*28</f>
        <v>637.11200000000008</v>
      </c>
      <c r="Y45" s="1">
        <v>22.754000000000001</v>
      </c>
      <c r="Z45" s="1">
        <f t="shared" si="52"/>
        <v>21.224333333333334</v>
      </c>
      <c r="AA45" s="1">
        <v>30.33</v>
      </c>
      <c r="AC45" s="284">
        <f>AD45*28</f>
        <v>787.78000000000009</v>
      </c>
      <c r="AD45" s="1">
        <f t="shared" si="45"/>
        <v>28.135000000000002</v>
      </c>
      <c r="AE45" s="1">
        <f t="shared" si="87"/>
        <v>26.777083333333337</v>
      </c>
      <c r="AF45" s="1">
        <v>38.9</v>
      </c>
      <c r="AH45" s="284">
        <f>AI45*28</f>
        <v>1583.96</v>
      </c>
      <c r="AI45" s="1">
        <v>56.57</v>
      </c>
      <c r="AJ45" s="1">
        <f t="shared" si="50"/>
        <v>56.274416666666674</v>
      </c>
      <c r="AK45" s="1">
        <v>150.59</v>
      </c>
      <c r="AM45" s="284">
        <f>AN45*28</f>
        <v>25.032</v>
      </c>
      <c r="AN45" s="1">
        <v>0.89400000000000002</v>
      </c>
      <c r="AO45" s="1">
        <f t="shared" si="77"/>
        <v>0.9145833333333333</v>
      </c>
      <c r="AP45" s="88" t="s">
        <v>770</v>
      </c>
      <c r="AR45" s="284">
        <f>AS45*28</f>
        <v>131.74</v>
      </c>
      <c r="AS45" s="1">
        <v>4.7050000000000001</v>
      </c>
      <c r="AT45" s="1">
        <f t="shared" si="78"/>
        <v>4.6414166666666672</v>
      </c>
      <c r="AU45" s="88" t="s">
        <v>770</v>
      </c>
      <c r="AW45" s="284">
        <f>AX45*28</f>
        <v>23.603999999999999</v>
      </c>
      <c r="AX45" s="1">
        <v>0.84299999999999997</v>
      </c>
      <c r="AY45" s="1">
        <f t="shared" si="79"/>
        <v>0.74175000000000013</v>
      </c>
      <c r="AZ45" s="88" t="s">
        <v>770</v>
      </c>
      <c r="BB45" s="284">
        <f>BC45*28</f>
        <v>24.22</v>
      </c>
      <c r="BC45" s="1">
        <v>0.86499999999999999</v>
      </c>
      <c r="BD45" s="1">
        <f t="shared" si="80"/>
        <v>0.80325000000000013</v>
      </c>
      <c r="BE45" s="88" t="s">
        <v>770</v>
      </c>
      <c r="BG45" s="284">
        <f>BH45*28</f>
        <v>28.699999999999996</v>
      </c>
      <c r="BH45" s="1">
        <v>1.0249999999999999</v>
      </c>
      <c r="BI45" s="1">
        <f t="shared" si="81"/>
        <v>0.89175000000000015</v>
      </c>
      <c r="BJ45" s="88" t="s">
        <v>770</v>
      </c>
      <c r="BL45" s="284">
        <f>BM45*28</f>
        <v>96.403999999999996</v>
      </c>
      <c r="BM45" s="1">
        <v>3.4430000000000001</v>
      </c>
      <c r="BN45" s="1">
        <f t="shared" si="88"/>
        <v>3.4213333333333336</v>
      </c>
      <c r="BQ45" s="284">
        <f>BR45*28</f>
        <v>16.239999999999998</v>
      </c>
      <c r="BR45" s="1">
        <v>0.57999999999999996</v>
      </c>
      <c r="BS45" s="1">
        <f t="shared" si="82"/>
        <v>0.65116666666666656</v>
      </c>
      <c r="BT45" s="88" t="s">
        <v>770</v>
      </c>
      <c r="BV45" s="284">
        <f>BW45*28</f>
        <v>6.8599999999999994</v>
      </c>
      <c r="BW45" s="1">
        <v>0.245</v>
      </c>
      <c r="BX45" s="1">
        <f t="shared" si="83"/>
        <v>0.26358333333333339</v>
      </c>
      <c r="BY45" s="88" t="s">
        <v>770</v>
      </c>
      <c r="CA45" s="284">
        <f>CB45*28</f>
        <v>14.924000000000001</v>
      </c>
      <c r="CB45" s="1">
        <v>0.53300000000000003</v>
      </c>
      <c r="CC45" s="1">
        <f t="shared" ref="CC45:CC55" si="89">SUM(CB34:CB45)/12</f>
        <v>0.4981666666666667</v>
      </c>
      <c r="CD45" s="88" t="s">
        <v>770</v>
      </c>
      <c r="CF45" s="284">
        <f>CG45*28</f>
        <v>43.008000000000003</v>
      </c>
      <c r="CG45" s="1">
        <v>1.536</v>
      </c>
      <c r="CH45" s="1">
        <f t="shared" si="69"/>
        <v>1.5263333333333333</v>
      </c>
      <c r="CK45" s="284">
        <f>CL45*28</f>
        <v>82.795999999999992</v>
      </c>
      <c r="CL45" s="1">
        <v>2.9569999999999999</v>
      </c>
      <c r="CM45" s="1">
        <f t="shared" si="61"/>
        <v>2.8755833333333332</v>
      </c>
      <c r="CN45" s="1">
        <v>7.59</v>
      </c>
      <c r="CP45" s="284">
        <f>CQ45*28</f>
        <v>332.08</v>
      </c>
      <c r="CQ45" s="1">
        <v>11.86</v>
      </c>
      <c r="CR45" s="1">
        <f t="shared" si="84"/>
        <v>12.091833333333335</v>
      </c>
      <c r="CS45" s="1">
        <v>21.5</v>
      </c>
      <c r="CU45" s="284">
        <f>CV45*28</f>
        <v>116.452</v>
      </c>
      <c r="CV45" s="1">
        <v>4.1589999999999998</v>
      </c>
      <c r="CW45" s="1">
        <f t="shared" si="85"/>
        <v>4.1252500000000003</v>
      </c>
      <c r="CX45" s="1">
        <v>6.5</v>
      </c>
      <c r="CZ45" s="269">
        <f>DA45*28</f>
        <v>21.896000000000001</v>
      </c>
      <c r="DA45" s="1">
        <v>0.78200000000000003</v>
      </c>
      <c r="DC45" s="284">
        <f>DD45*28</f>
        <v>11.06</v>
      </c>
      <c r="DD45" s="1">
        <v>0.39500000000000002</v>
      </c>
      <c r="DE45" s="1">
        <f t="shared" si="86"/>
        <v>0.39266666666666666</v>
      </c>
      <c r="DH45" s="284">
        <f>DI45*28</f>
        <v>81.032000000000011</v>
      </c>
      <c r="DI45" s="5">
        <f t="shared" si="70"/>
        <v>2.8940000000000001</v>
      </c>
      <c r="DJ45" s="1">
        <f t="shared" si="71"/>
        <v>2.9392499999999999</v>
      </c>
      <c r="DM45" s="284">
        <f>DN45*28</f>
        <v>2887.136</v>
      </c>
      <c r="DN45" s="1">
        <f t="shared" si="72"/>
        <v>103.11199999999999</v>
      </c>
      <c r="DO45" s="1">
        <f t="shared" si="73"/>
        <v>101.69291666666669</v>
      </c>
      <c r="DR45" s="284">
        <f>DS45*28</f>
        <v>564.28399999999999</v>
      </c>
      <c r="DS45" s="1">
        <f t="shared" si="66"/>
        <v>20.152999999999999</v>
      </c>
      <c r="DT45" s="1" t="e">
        <f>SUM(CM45+CR45+CW45+#REF!+DE45)</f>
        <v>#REF!</v>
      </c>
      <c r="DW45" s="284">
        <f>DX45*28</f>
        <v>3451.4199999999996</v>
      </c>
      <c r="DX45" s="1">
        <f t="shared" si="75"/>
        <v>123.26499999999999</v>
      </c>
      <c r="DY45" s="1">
        <f t="shared" si="74"/>
        <v>121.95466666666668</v>
      </c>
      <c r="EL45" s="1">
        <v>2001</v>
      </c>
      <c r="EM45" s="1" t="s">
        <v>713</v>
      </c>
      <c r="EN45" s="1" t="s">
        <v>841</v>
      </c>
      <c r="EO45" s="1">
        <v>177.01599999999999</v>
      </c>
    </row>
    <row r="46" spans="1:145" s="1" customFormat="1" x14ac:dyDescent="0.25">
      <c r="A46" s="23">
        <v>2001</v>
      </c>
      <c r="B46" s="1" t="s">
        <v>714</v>
      </c>
      <c r="D46" s="284">
        <f>E46*31</f>
        <v>207.63800000000001</v>
      </c>
      <c r="E46" s="1">
        <v>6.6980000000000004</v>
      </c>
      <c r="F46" s="1">
        <f t="shared" si="76"/>
        <v>6.6619166666666674</v>
      </c>
      <c r="G46" s="88" t="s">
        <v>770</v>
      </c>
      <c r="H46" s="88"/>
      <c r="I46" s="283"/>
      <c r="J46" s="88"/>
      <c r="K46" s="88"/>
      <c r="L46" s="88"/>
      <c r="N46" s="284">
        <f>O46*31</f>
        <v>105.245</v>
      </c>
      <c r="O46" s="1">
        <v>3.395</v>
      </c>
      <c r="P46" s="1">
        <f t="shared" si="49"/>
        <v>3.4436666666666671</v>
      </c>
      <c r="Q46" s="1">
        <v>6.6</v>
      </c>
      <c r="S46" s="284">
        <f>T46*31</f>
        <v>178.96299999999999</v>
      </c>
      <c r="T46" s="1">
        <v>5.7729999999999997</v>
      </c>
      <c r="U46" s="1">
        <f t="shared" si="51"/>
        <v>5.5160833333333334</v>
      </c>
      <c r="V46" s="1">
        <v>10.47</v>
      </c>
      <c r="W46" s="88"/>
      <c r="X46" s="284">
        <f>Y46*31</f>
        <v>715.01499999999999</v>
      </c>
      <c r="Y46" s="1">
        <v>23.065000000000001</v>
      </c>
      <c r="Z46" s="1">
        <f t="shared" si="52"/>
        <v>21.812916666666666</v>
      </c>
      <c r="AA46" s="1">
        <v>33.5</v>
      </c>
      <c r="AC46" s="284">
        <f>AD46*31</f>
        <v>893.97800000000007</v>
      </c>
      <c r="AD46" s="1">
        <f t="shared" si="45"/>
        <v>28.838000000000001</v>
      </c>
      <c r="AE46" s="1">
        <f t="shared" si="87"/>
        <v>27.329000000000004</v>
      </c>
      <c r="AF46" s="1">
        <v>43.97</v>
      </c>
      <c r="AH46" s="284">
        <f>AI46*31</f>
        <v>1820.847</v>
      </c>
      <c r="AI46" s="1">
        <v>58.737000000000002</v>
      </c>
      <c r="AJ46" s="1">
        <f t="shared" si="50"/>
        <v>56.011833333333335</v>
      </c>
      <c r="AK46" s="1">
        <v>133.94</v>
      </c>
      <c r="AM46" s="284">
        <f>AN46*31</f>
        <v>30.131999999999998</v>
      </c>
      <c r="AN46" s="1">
        <v>0.97199999999999998</v>
      </c>
      <c r="AO46" s="1">
        <f t="shared" si="77"/>
        <v>0.90474999999999994</v>
      </c>
      <c r="AP46" s="88" t="s">
        <v>770</v>
      </c>
      <c r="AR46" s="284">
        <f>AS46*31</f>
        <v>142.53799999999998</v>
      </c>
      <c r="AS46" s="1">
        <v>4.5979999999999999</v>
      </c>
      <c r="AT46" s="1">
        <f t="shared" si="78"/>
        <v>4.606416666666667</v>
      </c>
      <c r="AU46" s="88" t="s">
        <v>770</v>
      </c>
      <c r="AW46" s="284">
        <f>AX46*31</f>
        <v>27.094000000000001</v>
      </c>
      <c r="AX46" s="1">
        <v>0.874</v>
      </c>
      <c r="AY46" s="1">
        <f t="shared" si="79"/>
        <v>0.75225000000000009</v>
      </c>
      <c r="AZ46" s="88" t="s">
        <v>770</v>
      </c>
      <c r="BB46" s="284">
        <f>BC46*31</f>
        <v>26.597999999999999</v>
      </c>
      <c r="BC46" s="1">
        <v>0.85799999999999998</v>
      </c>
      <c r="BD46" s="1">
        <f t="shared" si="80"/>
        <v>0.80008333333333326</v>
      </c>
      <c r="BE46" s="88" t="s">
        <v>770</v>
      </c>
      <c r="BG46" s="284">
        <f>BH46*31</f>
        <v>37.355000000000004</v>
      </c>
      <c r="BH46" s="1">
        <v>1.2050000000000001</v>
      </c>
      <c r="BI46" s="1">
        <f t="shared" si="81"/>
        <v>0.91075000000000017</v>
      </c>
      <c r="BJ46" s="88" t="s">
        <v>770</v>
      </c>
      <c r="BL46" s="284">
        <f>BM46*31</f>
        <v>106.733</v>
      </c>
      <c r="BM46" s="1">
        <v>3.4430000000000001</v>
      </c>
      <c r="BN46" s="1">
        <f t="shared" si="88"/>
        <v>3.4267500000000002</v>
      </c>
      <c r="BQ46" s="284">
        <f>BR46*31</f>
        <v>16.802</v>
      </c>
      <c r="BR46" s="1">
        <v>0.54200000000000004</v>
      </c>
      <c r="BS46" s="1">
        <f t="shared" si="82"/>
        <v>0.64508333333333323</v>
      </c>
      <c r="BT46" s="88" t="s">
        <v>770</v>
      </c>
      <c r="BV46" s="284">
        <f>BW46*31</f>
        <v>8.8659999999999997</v>
      </c>
      <c r="BW46" s="1">
        <v>0.28599999999999998</v>
      </c>
      <c r="BX46" s="1">
        <f t="shared" si="83"/>
        <v>0.26316666666666672</v>
      </c>
      <c r="BY46" s="88" t="s">
        <v>770</v>
      </c>
      <c r="CA46" s="284">
        <f>CB46*31</f>
        <v>17.483999999999998</v>
      </c>
      <c r="CB46" s="1">
        <v>0.56399999999999995</v>
      </c>
      <c r="CC46" s="1">
        <f t="shared" si="89"/>
        <v>0.50375000000000003</v>
      </c>
      <c r="CD46" s="88" t="s">
        <v>770</v>
      </c>
      <c r="CF46" s="284">
        <f>CG46*31</f>
        <v>47.616</v>
      </c>
      <c r="CG46" s="1">
        <v>1.536</v>
      </c>
      <c r="CH46" s="1">
        <f t="shared" si="69"/>
        <v>1.5287499999999998</v>
      </c>
      <c r="CK46" s="284">
        <f>CL46*31</f>
        <v>115.506</v>
      </c>
      <c r="CL46" s="1">
        <v>3.726</v>
      </c>
      <c r="CM46" s="1">
        <f t="shared" si="61"/>
        <v>2.9290833333333333</v>
      </c>
      <c r="CN46" s="1">
        <v>10.29</v>
      </c>
      <c r="CP46" s="284">
        <f>CQ46*31</f>
        <v>398.815</v>
      </c>
      <c r="CQ46" s="1">
        <v>12.865</v>
      </c>
      <c r="CR46" s="1">
        <f t="shared" si="84"/>
        <v>12.149250000000002</v>
      </c>
      <c r="CS46" s="1">
        <v>27.5</v>
      </c>
      <c r="CU46" s="284">
        <f>CV46*31</f>
        <v>135.06700000000001</v>
      </c>
      <c r="CV46" s="1">
        <v>4.3570000000000002</v>
      </c>
      <c r="CW46" s="1">
        <f t="shared" si="85"/>
        <v>4.1168333333333331</v>
      </c>
      <c r="CX46" s="1">
        <v>7.2</v>
      </c>
      <c r="CZ46" s="269">
        <f>DA46*31</f>
        <v>26.442999999999998</v>
      </c>
      <c r="DA46" s="1">
        <v>0.85299999999999998</v>
      </c>
      <c r="DC46" s="284">
        <f>DD46*31</f>
        <v>12.245000000000001</v>
      </c>
      <c r="DD46" s="1">
        <v>0.39500000000000002</v>
      </c>
      <c r="DE46" s="1">
        <f t="shared" si="86"/>
        <v>0.39324999999999993</v>
      </c>
      <c r="DH46" s="284">
        <f>DI46*31</f>
        <v>90.768000000000001</v>
      </c>
      <c r="DI46" s="5">
        <f t="shared" si="70"/>
        <v>2.9279999999999999</v>
      </c>
      <c r="DJ46" s="1">
        <f t="shared" si="71"/>
        <v>2.9407499999999995</v>
      </c>
      <c r="DM46" s="284">
        <f>DN46*31</f>
        <v>3307.39</v>
      </c>
      <c r="DN46" s="1">
        <f t="shared" si="72"/>
        <v>106.69</v>
      </c>
      <c r="DO46" s="1">
        <f t="shared" si="73"/>
        <v>101.90666666666668</v>
      </c>
      <c r="DR46" s="284">
        <f>DS46*31</f>
        <v>688.07600000000002</v>
      </c>
      <c r="DS46" s="1">
        <f t="shared" si="66"/>
        <v>22.196000000000002</v>
      </c>
      <c r="DT46" s="1" t="e">
        <f>SUM(CM46+CR46+CW46+#REF!+DE46)</f>
        <v>#REF!</v>
      </c>
      <c r="DW46" s="284">
        <f>DX46*31</f>
        <v>3995.4659999999999</v>
      </c>
      <c r="DX46" s="1">
        <f t="shared" si="75"/>
        <v>128.886</v>
      </c>
      <c r="DY46" s="1">
        <f t="shared" si="74"/>
        <v>122.26933333333334</v>
      </c>
      <c r="ED46" s="1">
        <f>EE46*92</f>
        <v>1877.3826666666666</v>
      </c>
      <c r="EE46" s="1">
        <f>AVERAGE(DS44:DS46)</f>
        <v>20.406333333333333</v>
      </c>
      <c r="EF46" s="1">
        <f>SUM(EE37+EE40+EE43+EE46)/4</f>
        <v>20.362666666666669</v>
      </c>
      <c r="EL46" s="1">
        <v>2001</v>
      </c>
      <c r="EM46" s="1" t="s">
        <v>714</v>
      </c>
      <c r="EN46" s="1" t="s">
        <v>841</v>
      </c>
      <c r="EO46" s="1">
        <v>207.63800000000001</v>
      </c>
    </row>
    <row r="47" spans="1:145" s="1" customFormat="1" x14ac:dyDescent="0.25">
      <c r="A47" s="23">
        <v>2001</v>
      </c>
      <c r="B47" s="1" t="s">
        <v>705</v>
      </c>
      <c r="D47" s="284">
        <f>E47*30</f>
        <v>212.55</v>
      </c>
      <c r="E47" s="1">
        <v>7.085</v>
      </c>
      <c r="F47" s="1">
        <f t="shared" si="76"/>
        <v>6.61775</v>
      </c>
      <c r="G47" s="88" t="s">
        <v>770</v>
      </c>
      <c r="H47" s="88"/>
      <c r="I47" s="283"/>
      <c r="J47" s="88"/>
      <c r="K47" s="88"/>
      <c r="L47" s="88"/>
      <c r="N47" s="284">
        <f>O47*30</f>
        <v>107.73</v>
      </c>
      <c r="O47" s="1">
        <v>3.5910000000000002</v>
      </c>
      <c r="P47" s="1">
        <f t="shared" si="49"/>
        <v>3.4220833333333336</v>
      </c>
      <c r="Q47" s="1">
        <v>6.2</v>
      </c>
      <c r="S47" s="284">
        <f>T47*30</f>
        <v>178.20000000000002</v>
      </c>
      <c r="T47" s="1">
        <v>5.94</v>
      </c>
      <c r="U47" s="1">
        <f t="shared" si="51"/>
        <v>5.4484166666666667</v>
      </c>
      <c r="V47" s="1">
        <v>10.27</v>
      </c>
      <c r="W47" s="88"/>
      <c r="X47" s="284">
        <f>Y47*30</f>
        <v>691.95</v>
      </c>
      <c r="Y47" s="1">
        <v>23.065000000000001</v>
      </c>
      <c r="Z47" s="1">
        <f t="shared" si="52"/>
        <v>21.757333333333332</v>
      </c>
      <c r="AA47" s="1">
        <v>32.26</v>
      </c>
      <c r="AC47" s="284">
        <f>AD47*30</f>
        <v>870.15000000000009</v>
      </c>
      <c r="AD47" s="1">
        <f t="shared" si="45"/>
        <v>29.005000000000003</v>
      </c>
      <c r="AE47" s="1">
        <f t="shared" si="87"/>
        <v>27.205750000000005</v>
      </c>
      <c r="AF47" s="1">
        <v>42.53</v>
      </c>
      <c r="AH47" s="284">
        <f>AI47*30</f>
        <v>1777.02</v>
      </c>
      <c r="AI47" s="1">
        <v>59.234000000000002</v>
      </c>
      <c r="AJ47" s="1">
        <f t="shared" si="50"/>
        <v>55.558666666666674</v>
      </c>
      <c r="AK47" s="1">
        <v>104.77</v>
      </c>
      <c r="AM47" s="284">
        <f>AN47*30</f>
        <v>27.630000000000003</v>
      </c>
      <c r="AN47" s="1">
        <v>0.92100000000000004</v>
      </c>
      <c r="AO47" s="1">
        <f t="shared" si="77"/>
        <v>0.88533333333333319</v>
      </c>
      <c r="AP47" s="88" t="s">
        <v>770</v>
      </c>
      <c r="AR47" s="284">
        <f>AS47*30</f>
        <v>137.64000000000001</v>
      </c>
      <c r="AS47" s="1">
        <v>4.5880000000000001</v>
      </c>
      <c r="AT47" s="1">
        <f t="shared" si="78"/>
        <v>4.5494166666666667</v>
      </c>
      <c r="AU47" s="88" t="s">
        <v>770</v>
      </c>
      <c r="AW47" s="284">
        <f>AX47*30</f>
        <v>26.22</v>
      </c>
      <c r="AX47" s="1">
        <v>0.874</v>
      </c>
      <c r="AY47" s="1">
        <f t="shared" si="79"/>
        <v>0.76275000000000004</v>
      </c>
      <c r="AZ47" s="88" t="s">
        <v>770</v>
      </c>
      <c r="BB47" s="284">
        <f>BC47*30</f>
        <v>24.389999999999997</v>
      </c>
      <c r="BC47" s="1">
        <v>0.81299999999999994</v>
      </c>
      <c r="BD47" s="1">
        <f t="shared" si="80"/>
        <v>0.7988333333333334</v>
      </c>
      <c r="BE47" s="88" t="s">
        <v>770</v>
      </c>
      <c r="BG47" s="284">
        <f>BH47*30</f>
        <v>35.19</v>
      </c>
      <c r="BH47" s="1">
        <v>1.173</v>
      </c>
      <c r="BI47" s="1">
        <f t="shared" si="81"/>
        <v>0.92391666666666661</v>
      </c>
      <c r="BJ47" s="88" t="s">
        <v>770</v>
      </c>
      <c r="BL47" s="284">
        <f>BM47*31</f>
        <v>106.733</v>
      </c>
      <c r="BM47" s="1">
        <v>3.4430000000000001</v>
      </c>
      <c r="BN47" s="1">
        <f t="shared" si="88"/>
        <v>3.4321666666666668</v>
      </c>
      <c r="BQ47" s="284">
        <f>BR47*31</f>
        <v>17.887</v>
      </c>
      <c r="BR47" s="1">
        <v>0.57699999999999996</v>
      </c>
      <c r="BS47" s="1">
        <f t="shared" si="82"/>
        <v>0.64066666666666661</v>
      </c>
      <c r="BT47" s="88" t="s">
        <v>770</v>
      </c>
      <c r="BV47" s="284">
        <f>BW47*31</f>
        <v>7.9359999999999999</v>
      </c>
      <c r="BW47" s="1">
        <v>0.25600000000000001</v>
      </c>
      <c r="BX47" s="1">
        <f t="shared" si="83"/>
        <v>0.25641666666666674</v>
      </c>
      <c r="BY47" s="88" t="s">
        <v>770</v>
      </c>
      <c r="CA47" s="284">
        <f>CB47*31</f>
        <v>17.452999999999999</v>
      </c>
      <c r="CB47" s="1">
        <v>0.56299999999999994</v>
      </c>
      <c r="CC47" s="1">
        <f t="shared" si="89"/>
        <v>0.50925000000000009</v>
      </c>
      <c r="CD47" s="88" t="s">
        <v>770</v>
      </c>
      <c r="CF47" s="284">
        <f>CG47*31</f>
        <v>47.616</v>
      </c>
      <c r="CG47" s="1">
        <v>1.536</v>
      </c>
      <c r="CH47" s="1">
        <f t="shared" si="69"/>
        <v>1.5311666666666666</v>
      </c>
      <c r="CK47" s="284">
        <f>CL47*31</f>
        <v>124.03100000000001</v>
      </c>
      <c r="CL47" s="1">
        <v>4.0010000000000003</v>
      </c>
      <c r="CM47" s="1">
        <f t="shared" si="61"/>
        <v>2.9716666666666662</v>
      </c>
      <c r="CN47" s="1">
        <v>8.93</v>
      </c>
      <c r="CP47" s="284">
        <f>CQ47*31</f>
        <v>397.66800000000001</v>
      </c>
      <c r="CQ47" s="1">
        <v>12.827999999999999</v>
      </c>
      <c r="CR47" s="1">
        <f t="shared" si="84"/>
        <v>12.112833333333334</v>
      </c>
      <c r="CS47" s="1">
        <v>24.25</v>
      </c>
      <c r="CU47" s="284">
        <f>CV47*31</f>
        <v>136.15200000000002</v>
      </c>
      <c r="CV47" s="1">
        <v>4.3920000000000003</v>
      </c>
      <c r="CW47" s="1">
        <f t="shared" si="85"/>
        <v>4.0910000000000002</v>
      </c>
      <c r="CX47" s="1">
        <v>6.8</v>
      </c>
      <c r="CZ47" s="269">
        <f>DA47*31</f>
        <v>27.062999999999999</v>
      </c>
      <c r="DA47" s="1">
        <v>0.873</v>
      </c>
      <c r="DC47" s="284">
        <f>DD47*31</f>
        <v>12.245000000000001</v>
      </c>
      <c r="DD47" s="1">
        <v>0.39500000000000002</v>
      </c>
      <c r="DE47" s="1">
        <f t="shared" si="86"/>
        <v>0.39383333333333326</v>
      </c>
      <c r="DH47" s="284">
        <f>DI47*31</f>
        <v>90.891999999999996</v>
      </c>
      <c r="DI47" s="5">
        <f t="shared" si="70"/>
        <v>2.9319999999999999</v>
      </c>
      <c r="DJ47" s="1">
        <f t="shared" si="71"/>
        <v>2.9375</v>
      </c>
      <c r="DM47" s="284">
        <f>DN47*31</f>
        <v>3341.645</v>
      </c>
      <c r="DN47" s="1">
        <f t="shared" si="72"/>
        <v>107.795</v>
      </c>
      <c r="DO47" s="1">
        <f t="shared" si="73"/>
        <v>101.21916666666668</v>
      </c>
      <c r="DR47" s="284">
        <f>DS47*31</f>
        <v>697.15899999999999</v>
      </c>
      <c r="DS47" s="1">
        <f t="shared" si="66"/>
        <v>22.489000000000001</v>
      </c>
      <c r="DT47" s="1" t="e">
        <f>SUM(CM47+CR47+CW47+#REF!+DE47)</f>
        <v>#REF!</v>
      </c>
      <c r="DW47" s="284">
        <f>DX47*31</f>
        <v>4038.8039999999996</v>
      </c>
      <c r="DX47" s="1">
        <f t="shared" si="75"/>
        <v>130.28399999999999</v>
      </c>
      <c r="DY47" s="1">
        <f t="shared" si="74"/>
        <v>121.55466666666666</v>
      </c>
      <c r="EL47" s="1">
        <v>2001</v>
      </c>
      <c r="EM47" s="1" t="s">
        <v>705</v>
      </c>
      <c r="EN47" s="1" t="s">
        <v>841</v>
      </c>
      <c r="EO47" s="1">
        <v>212.55</v>
      </c>
    </row>
    <row r="48" spans="1:145" s="1" customFormat="1" x14ac:dyDescent="0.25">
      <c r="A48" s="23">
        <v>2001</v>
      </c>
      <c r="B48" s="1" t="s">
        <v>715</v>
      </c>
      <c r="D48" s="284">
        <f>E48*31</f>
        <v>224.22299999999998</v>
      </c>
      <c r="E48" s="1">
        <v>7.2329999999999997</v>
      </c>
      <c r="F48" s="1">
        <f t="shared" si="76"/>
        <v>6.6525833333333333</v>
      </c>
      <c r="G48" s="88" t="s">
        <v>770</v>
      </c>
      <c r="H48" s="88"/>
      <c r="I48" s="283"/>
      <c r="J48" s="88"/>
      <c r="K48" s="88"/>
      <c r="L48" s="88"/>
      <c r="N48" s="284">
        <f>O48*31</f>
        <v>113.646</v>
      </c>
      <c r="O48" s="1">
        <v>3.6659999999999999</v>
      </c>
      <c r="P48" s="1">
        <f t="shared" si="49"/>
        <v>3.4107500000000002</v>
      </c>
      <c r="Q48" s="1">
        <v>6.8</v>
      </c>
      <c r="S48" s="284">
        <f>T48*31</f>
        <v>176.39000000000001</v>
      </c>
      <c r="T48" s="1">
        <v>5.69</v>
      </c>
      <c r="U48" s="1">
        <f t="shared" si="51"/>
        <v>5.4039999999999999</v>
      </c>
      <c r="V48" s="1">
        <v>31.61</v>
      </c>
      <c r="W48" s="88"/>
      <c r="X48" s="284">
        <f>Y48*31</f>
        <v>698.1819999999999</v>
      </c>
      <c r="Y48" s="1">
        <v>22.521999999999998</v>
      </c>
      <c r="Z48" s="1">
        <f t="shared" si="52"/>
        <v>21.75825</v>
      </c>
      <c r="AA48" s="1">
        <v>9.92</v>
      </c>
      <c r="AC48" s="284">
        <f>AD48*31</f>
        <v>874.572</v>
      </c>
      <c r="AD48" s="1">
        <f t="shared" si="45"/>
        <v>28.212</v>
      </c>
      <c r="AE48" s="1">
        <f t="shared" si="87"/>
        <v>27.16225</v>
      </c>
      <c r="AF48" s="1">
        <v>41.53</v>
      </c>
      <c r="AH48" s="284">
        <f>AI48*31</f>
        <v>1857.923</v>
      </c>
      <c r="AI48" s="1">
        <v>59.933</v>
      </c>
      <c r="AJ48" s="1">
        <f t="shared" si="50"/>
        <v>55.688749999999999</v>
      </c>
      <c r="AK48" s="1">
        <v>150.47</v>
      </c>
      <c r="AM48" s="284">
        <f>AN48*31</f>
        <v>29.542999999999999</v>
      </c>
      <c r="AN48" s="1">
        <v>0.95299999999999996</v>
      </c>
      <c r="AO48" s="1">
        <f t="shared" si="77"/>
        <v>0.88691666666666658</v>
      </c>
      <c r="AP48" s="88" t="s">
        <v>770</v>
      </c>
      <c r="AR48" s="284">
        <f>AS48*31</f>
        <v>135.99699999999999</v>
      </c>
      <c r="AS48" s="1">
        <v>4.3869999999999996</v>
      </c>
      <c r="AT48" s="1">
        <f t="shared" si="78"/>
        <v>4.543166666666667</v>
      </c>
      <c r="AU48" s="88" t="s">
        <v>770</v>
      </c>
      <c r="AW48" s="284">
        <f>AX48*31</f>
        <v>27.094000000000001</v>
      </c>
      <c r="AX48" s="1">
        <v>0.874</v>
      </c>
      <c r="AY48" s="1">
        <f t="shared" si="79"/>
        <v>0.7732500000000001</v>
      </c>
      <c r="AZ48" s="88" t="s">
        <v>770</v>
      </c>
      <c r="BB48" s="284">
        <f>BC48*31</f>
        <v>26.597999999999999</v>
      </c>
      <c r="BC48" s="1">
        <v>0.85799999999999998</v>
      </c>
      <c r="BD48" s="1">
        <f t="shared" si="80"/>
        <v>0.80433333333333346</v>
      </c>
      <c r="BE48" s="88" t="s">
        <v>770</v>
      </c>
      <c r="BG48" s="284">
        <f>BH48*31</f>
        <v>27.28</v>
      </c>
      <c r="BH48" s="1">
        <v>0.88</v>
      </c>
      <c r="BI48" s="1">
        <f t="shared" si="81"/>
        <v>0.92866666666666664</v>
      </c>
      <c r="BJ48" s="88" t="s">
        <v>770</v>
      </c>
      <c r="BL48" s="284">
        <f>BM48*31</f>
        <v>106.733</v>
      </c>
      <c r="BM48" s="1">
        <v>3.4430000000000001</v>
      </c>
      <c r="BN48" s="1">
        <f t="shared" si="88"/>
        <v>3.437583333333333</v>
      </c>
      <c r="BQ48" s="284">
        <f>BR48*31</f>
        <v>17.824999999999999</v>
      </c>
      <c r="BR48" s="1">
        <v>0.57499999999999996</v>
      </c>
      <c r="BS48" s="1">
        <f t="shared" si="82"/>
        <v>0.63908333333333334</v>
      </c>
      <c r="BT48" s="88" t="s">
        <v>770</v>
      </c>
      <c r="BV48" s="284">
        <f>BW48*31</f>
        <v>8.06</v>
      </c>
      <c r="BW48" s="1">
        <v>0.26</v>
      </c>
      <c r="BX48" s="1">
        <f t="shared" si="83"/>
        <v>0.25558333333333333</v>
      </c>
      <c r="BY48" s="88" t="s">
        <v>770</v>
      </c>
      <c r="CA48" s="284">
        <f>CB48*31</f>
        <v>17.298000000000002</v>
      </c>
      <c r="CB48" s="1">
        <v>0.55800000000000005</v>
      </c>
      <c r="CC48" s="1">
        <f t="shared" si="89"/>
        <v>0.51433333333333331</v>
      </c>
      <c r="CD48" s="88" t="s">
        <v>770</v>
      </c>
      <c r="CF48" s="284">
        <f>CG48*31</f>
        <v>47.616</v>
      </c>
      <c r="CG48" s="1">
        <v>1.536</v>
      </c>
      <c r="CH48" s="1">
        <f t="shared" si="69"/>
        <v>1.5335833333333333</v>
      </c>
      <c r="CK48" s="284">
        <f>CL48*31</f>
        <v>108.376</v>
      </c>
      <c r="CL48" s="1">
        <v>3.496</v>
      </c>
      <c r="CM48" s="1">
        <f t="shared" si="61"/>
        <v>3.0267499999999998</v>
      </c>
      <c r="CN48" s="1">
        <v>9.2899999999999991</v>
      </c>
      <c r="CP48" s="284">
        <f>CQ48*31</f>
        <v>396.738</v>
      </c>
      <c r="CQ48" s="1">
        <v>12.798</v>
      </c>
      <c r="CR48" s="1">
        <f t="shared" si="84"/>
        <v>12.143833333333333</v>
      </c>
      <c r="CS48" s="1">
        <v>29</v>
      </c>
      <c r="CU48" s="284">
        <f>CV48*30</f>
        <v>129.12</v>
      </c>
      <c r="CV48" s="1">
        <v>4.3040000000000003</v>
      </c>
      <c r="CW48" s="1">
        <f t="shared" si="85"/>
        <v>4.0880833333333335</v>
      </c>
      <c r="CX48" s="1">
        <v>9.1999999999999993</v>
      </c>
      <c r="CZ48" s="269">
        <f>DA48*30</f>
        <v>25.919999999999998</v>
      </c>
      <c r="DA48" s="1">
        <v>0.86399999999999999</v>
      </c>
      <c r="DC48" s="284">
        <f>DD48*31</f>
        <v>12.245000000000001</v>
      </c>
      <c r="DD48" s="1">
        <v>0.39500000000000002</v>
      </c>
      <c r="DE48" s="1">
        <f t="shared" si="86"/>
        <v>0.39441666666666669</v>
      </c>
      <c r="DH48" s="284">
        <f>DI48*31</f>
        <v>90.799000000000007</v>
      </c>
      <c r="DI48" s="5">
        <f t="shared" si="70"/>
        <v>2.9290000000000003</v>
      </c>
      <c r="DJ48" s="1">
        <f t="shared" si="71"/>
        <v>2.9425833333333333</v>
      </c>
      <c r="DM48" s="284">
        <f>DN48*31</f>
        <v>3332.8099999999995</v>
      </c>
      <c r="DN48" s="1">
        <f t="shared" si="72"/>
        <v>107.50999999999999</v>
      </c>
      <c r="DO48" s="1">
        <f t="shared" si="73"/>
        <v>101.34566666666666</v>
      </c>
      <c r="DR48" s="284">
        <f>DS48*30</f>
        <v>655.71</v>
      </c>
      <c r="DS48" s="1">
        <f t="shared" si="66"/>
        <v>21.856999999999999</v>
      </c>
      <c r="DT48" s="1" t="e">
        <f>SUM(CM48+CR48+CW48+#REF!+DE48)</f>
        <v>#REF!</v>
      </c>
      <c r="DW48" s="284">
        <f>DX48*31</f>
        <v>4010.3769999999995</v>
      </c>
      <c r="DX48" s="1">
        <f t="shared" si="75"/>
        <v>129.36699999999999</v>
      </c>
      <c r="DY48" s="1">
        <f t="shared" si="74"/>
        <v>121.76425</v>
      </c>
      <c r="EL48" s="1">
        <v>2001</v>
      </c>
      <c r="EM48" s="1" t="s">
        <v>715</v>
      </c>
      <c r="EN48" s="1" t="s">
        <v>841</v>
      </c>
      <c r="EO48" s="1">
        <v>224.22299999999998</v>
      </c>
    </row>
    <row r="49" spans="1:145" s="1" customFormat="1" x14ac:dyDescent="0.25">
      <c r="A49" s="23">
        <v>2001</v>
      </c>
      <c r="B49" s="1" t="s">
        <v>718</v>
      </c>
      <c r="D49" s="284">
        <f>E49*30</f>
        <v>226.23000000000002</v>
      </c>
      <c r="E49" s="1">
        <v>7.5410000000000004</v>
      </c>
      <c r="F49" s="1">
        <f t="shared" si="76"/>
        <v>6.7291666666666679</v>
      </c>
      <c r="G49" s="88" t="s">
        <v>770</v>
      </c>
      <c r="H49" s="88"/>
      <c r="I49" s="283"/>
      <c r="J49" s="88"/>
      <c r="K49" s="88"/>
      <c r="L49" s="88"/>
      <c r="N49" s="284">
        <f>O49*30</f>
        <v>114.66</v>
      </c>
      <c r="O49" s="1">
        <v>3.8220000000000001</v>
      </c>
      <c r="P49" s="1">
        <f t="shared" si="49"/>
        <v>3.421416666666667</v>
      </c>
      <c r="Q49" s="1">
        <v>8</v>
      </c>
      <c r="S49" s="284">
        <f>T49*30</f>
        <v>191.45999999999998</v>
      </c>
      <c r="T49" s="1">
        <v>6.3819999999999997</v>
      </c>
      <c r="U49" s="1">
        <f t="shared" si="51"/>
        <v>5.4212500000000006</v>
      </c>
      <c r="V49" s="1">
        <v>37.47</v>
      </c>
      <c r="W49" s="88"/>
      <c r="X49" s="284">
        <f>Y49*30</f>
        <v>704.43000000000006</v>
      </c>
      <c r="Y49" s="1">
        <v>23.481000000000002</v>
      </c>
      <c r="Z49" s="1">
        <f t="shared" si="52"/>
        <v>21.839916666666667</v>
      </c>
      <c r="AA49" s="1">
        <v>15.4</v>
      </c>
      <c r="AC49" s="284">
        <f>AD49*30</f>
        <v>895.89</v>
      </c>
      <c r="AD49" s="1">
        <f t="shared" si="45"/>
        <v>29.863</v>
      </c>
      <c r="AE49" s="1">
        <f t="shared" si="87"/>
        <v>27.261166666666668</v>
      </c>
      <c r="AF49" s="1">
        <v>52.87</v>
      </c>
      <c r="AH49" s="284">
        <f>AI49*30</f>
        <v>1785.45</v>
      </c>
      <c r="AI49" s="1">
        <v>59.515000000000001</v>
      </c>
      <c r="AJ49" s="1">
        <f t="shared" si="50"/>
        <v>55.956083333333332</v>
      </c>
      <c r="AK49" s="1">
        <v>180.97</v>
      </c>
      <c r="AM49" s="284">
        <f>AN49*30</f>
        <v>32.01</v>
      </c>
      <c r="AN49" s="1">
        <v>1.0669999999999999</v>
      </c>
      <c r="AO49" s="1">
        <f t="shared" si="77"/>
        <v>0.90024999999999988</v>
      </c>
      <c r="AP49" s="88" t="s">
        <v>770</v>
      </c>
      <c r="AR49" s="284">
        <f>AS49*30</f>
        <v>143.85</v>
      </c>
      <c r="AS49" s="1">
        <v>4.7949999999999999</v>
      </c>
      <c r="AT49" s="1">
        <f t="shared" si="78"/>
        <v>4.5427500000000007</v>
      </c>
      <c r="AU49" s="88" t="s">
        <v>770</v>
      </c>
      <c r="AW49" s="284">
        <f>AX49*30</f>
        <v>28.080000000000002</v>
      </c>
      <c r="AX49" s="1">
        <v>0.93600000000000005</v>
      </c>
      <c r="AY49" s="1">
        <f t="shared" si="79"/>
        <v>0.78891666666666671</v>
      </c>
      <c r="AZ49" s="88" t="s">
        <v>770</v>
      </c>
      <c r="BB49" s="284">
        <f>BC49*31</f>
        <v>29.016000000000002</v>
      </c>
      <c r="BC49" s="1">
        <v>0.93600000000000005</v>
      </c>
      <c r="BD49" s="1">
        <f t="shared" si="80"/>
        <v>0.81499999999999995</v>
      </c>
      <c r="BE49" s="88" t="s">
        <v>770</v>
      </c>
      <c r="BG49" s="284">
        <f>BH49*30</f>
        <v>25.68</v>
      </c>
      <c r="BH49" s="1">
        <v>0.85599999999999998</v>
      </c>
      <c r="BI49" s="1">
        <f t="shared" si="81"/>
        <v>0.93333333333333346</v>
      </c>
      <c r="BJ49" s="88" t="s">
        <v>770</v>
      </c>
      <c r="BL49" s="284">
        <f>BM49*30</f>
        <v>103.29</v>
      </c>
      <c r="BM49" s="1">
        <v>3.4430000000000001</v>
      </c>
      <c r="BN49" s="1">
        <f t="shared" si="88"/>
        <v>3.4430000000000001</v>
      </c>
      <c r="BQ49" s="284">
        <f>BR49*30</f>
        <v>19.260000000000002</v>
      </c>
      <c r="BR49" s="1">
        <v>0.64200000000000002</v>
      </c>
      <c r="BS49" s="1">
        <f t="shared" si="82"/>
        <v>0.64216666666666666</v>
      </c>
      <c r="BT49" s="88" t="s">
        <v>770</v>
      </c>
      <c r="BV49" s="284">
        <f>BW49*30</f>
        <v>8.2800000000000011</v>
      </c>
      <c r="BW49" s="1">
        <v>0.27600000000000002</v>
      </c>
      <c r="BX49" s="1">
        <f t="shared" si="83"/>
        <v>0.25516666666666671</v>
      </c>
      <c r="BY49" s="88" t="s">
        <v>770</v>
      </c>
      <c r="CA49" s="284">
        <f>CB49*30</f>
        <v>16.260000000000002</v>
      </c>
      <c r="CB49" s="1">
        <v>0.54200000000000004</v>
      </c>
      <c r="CC49" s="1">
        <f t="shared" si="89"/>
        <v>0.51808333333333334</v>
      </c>
      <c r="CD49" s="88" t="s">
        <v>770</v>
      </c>
      <c r="CF49" s="284">
        <f>CG49*30</f>
        <v>46.08</v>
      </c>
      <c r="CG49" s="1">
        <v>1.536</v>
      </c>
      <c r="CH49" s="1">
        <f t="shared" si="69"/>
        <v>1.5359999999999998</v>
      </c>
      <c r="CK49" s="284">
        <f>CL49*30</f>
        <v>115.83000000000001</v>
      </c>
      <c r="CL49" s="1">
        <v>3.8610000000000002</v>
      </c>
      <c r="CM49" s="1">
        <f t="shared" si="61"/>
        <v>3.13775</v>
      </c>
      <c r="CN49" s="1">
        <v>13.96</v>
      </c>
      <c r="CP49" s="284">
        <f>CQ49*30</f>
        <v>413.25</v>
      </c>
      <c r="CQ49" s="1">
        <v>13.775</v>
      </c>
      <c r="CR49" s="1">
        <f t="shared" si="84"/>
        <v>12.251249999999999</v>
      </c>
      <c r="CS49" s="1">
        <v>31</v>
      </c>
      <c r="CU49" s="284">
        <f>CV49*30</f>
        <v>134.13</v>
      </c>
      <c r="CV49" s="1">
        <v>4.4710000000000001</v>
      </c>
      <c r="CW49" s="1">
        <f t="shared" si="85"/>
        <v>4.1074166666666665</v>
      </c>
      <c r="CX49" s="1">
        <v>8.8000000000000007</v>
      </c>
      <c r="CZ49" s="269">
        <f>DA49*30</f>
        <v>25.259999999999998</v>
      </c>
      <c r="DA49" s="1">
        <v>0.84199999999999997</v>
      </c>
      <c r="DC49" s="284">
        <f>DD49*30</f>
        <v>11.850000000000001</v>
      </c>
      <c r="DD49" s="1">
        <v>0.39500000000000002</v>
      </c>
      <c r="DE49" s="1">
        <f t="shared" si="86"/>
        <v>0.39500000000000002</v>
      </c>
      <c r="DH49" s="284">
        <f>DI49*30</f>
        <v>89.88</v>
      </c>
      <c r="DI49" s="5">
        <f t="shared" si="70"/>
        <v>2.996</v>
      </c>
      <c r="DJ49" s="1">
        <f t="shared" si="71"/>
        <v>2.9514166666666668</v>
      </c>
      <c r="DM49" s="284">
        <f>DN49*30</f>
        <v>3293.34</v>
      </c>
      <c r="DN49" s="1">
        <f t="shared" si="72"/>
        <v>109.77800000000001</v>
      </c>
      <c r="DO49" s="1">
        <f t="shared" si="73"/>
        <v>101.83966666666664</v>
      </c>
      <c r="DR49" s="284">
        <f>DS49*30</f>
        <v>700.31999999999994</v>
      </c>
      <c r="DS49" s="1">
        <f t="shared" si="66"/>
        <v>23.343999999999998</v>
      </c>
      <c r="DT49" s="1" t="e">
        <f>SUM(CM49+CR49+CW49+#REF!+DE49)</f>
        <v>#REF!</v>
      </c>
      <c r="DW49" s="284">
        <f>DX49*30</f>
        <v>3993.6600000000003</v>
      </c>
      <c r="DX49" s="1">
        <f t="shared" si="75"/>
        <v>133.12200000000001</v>
      </c>
      <c r="DY49" s="1">
        <f t="shared" si="74"/>
        <v>122.50066666666665</v>
      </c>
      <c r="ED49" s="1">
        <f>EE49*92</f>
        <v>2075.8266666666668</v>
      </c>
      <c r="EE49" s="1">
        <f>AVERAGE(DS47:DS49)</f>
        <v>22.563333333333333</v>
      </c>
      <c r="EF49" s="1">
        <f>SUM(EE40+EE43+EE46+EE49)/4</f>
        <v>20.661000000000001</v>
      </c>
      <c r="EL49" s="1">
        <v>2001</v>
      </c>
      <c r="EM49" s="1" t="s">
        <v>718</v>
      </c>
      <c r="EN49" s="1" t="s">
        <v>841</v>
      </c>
      <c r="EO49" s="1">
        <v>226.23000000000002</v>
      </c>
    </row>
    <row r="50" spans="1:145" s="1" customFormat="1" x14ac:dyDescent="0.25">
      <c r="A50" s="23">
        <v>2001</v>
      </c>
      <c r="B50" s="1" t="s">
        <v>716</v>
      </c>
      <c r="D50" s="284">
        <f>E50*31</f>
        <v>233.833</v>
      </c>
      <c r="E50" s="1">
        <v>7.5430000000000001</v>
      </c>
      <c r="F50" s="1">
        <f t="shared" si="76"/>
        <v>6.7485000000000008</v>
      </c>
      <c r="G50" s="88" t="s">
        <v>770</v>
      </c>
      <c r="H50" s="88"/>
      <c r="I50" s="283"/>
      <c r="J50" s="88"/>
      <c r="K50" s="88"/>
      <c r="L50" s="88"/>
      <c r="N50" s="284">
        <f>O50*31</f>
        <v>118.51300000000001</v>
      </c>
      <c r="O50" s="1">
        <v>3.823</v>
      </c>
      <c r="P50" s="1">
        <f t="shared" si="49"/>
        <v>3.4265000000000003</v>
      </c>
      <c r="Q50" s="1">
        <v>10.5</v>
      </c>
      <c r="S50" s="284">
        <f>T50*31</f>
        <v>184.45000000000002</v>
      </c>
      <c r="T50" s="1">
        <v>5.95</v>
      </c>
      <c r="U50" s="1">
        <f t="shared" si="51"/>
        <v>5.4422499999999987</v>
      </c>
      <c r="V50" s="1">
        <v>8.5399999999999991</v>
      </c>
      <c r="W50" s="88"/>
      <c r="X50" s="284">
        <f>Y50*31</f>
        <v>689.19200000000001</v>
      </c>
      <c r="Y50" s="1">
        <v>22.231999999999999</v>
      </c>
      <c r="Z50" s="1">
        <f t="shared" si="52"/>
        <v>21.874833333333328</v>
      </c>
      <c r="AA50" s="1">
        <v>33.71</v>
      </c>
      <c r="AC50" s="284">
        <f>AD50*31</f>
        <v>873.64199999999994</v>
      </c>
      <c r="AD50" s="1">
        <f t="shared" si="45"/>
        <v>28.181999999999999</v>
      </c>
      <c r="AE50" s="1">
        <f t="shared" si="87"/>
        <v>27.317083333333333</v>
      </c>
      <c r="AF50" s="1">
        <v>42.25</v>
      </c>
      <c r="AH50" s="284">
        <f>AI50*31</f>
        <v>1777.8500000000001</v>
      </c>
      <c r="AI50" s="1">
        <v>57.35</v>
      </c>
      <c r="AJ50" s="1">
        <f t="shared" si="50"/>
        <v>56.065416666666664</v>
      </c>
      <c r="AK50" s="1">
        <v>154.96</v>
      </c>
      <c r="AM50" s="284">
        <f>AN50*31</f>
        <v>27.032</v>
      </c>
      <c r="AN50" s="1">
        <v>0.872</v>
      </c>
      <c r="AO50" s="1">
        <f t="shared" si="77"/>
        <v>0.90849999999999997</v>
      </c>
      <c r="AP50" s="88" t="s">
        <v>770</v>
      </c>
      <c r="AR50" s="284">
        <f>AS50*31</f>
        <v>179.18</v>
      </c>
      <c r="AS50" s="1">
        <v>5.78</v>
      </c>
      <c r="AT50" s="1">
        <f t="shared" si="78"/>
        <v>4.7195</v>
      </c>
      <c r="AU50" s="88" t="s">
        <v>770</v>
      </c>
      <c r="AW50" s="284">
        <f>AX50*31</f>
        <v>29.016000000000002</v>
      </c>
      <c r="AX50" s="1">
        <v>0.93600000000000005</v>
      </c>
      <c r="AY50" s="1">
        <f t="shared" si="79"/>
        <v>0.81700000000000006</v>
      </c>
      <c r="AZ50" s="88" t="s">
        <v>770</v>
      </c>
      <c r="BB50" s="284">
        <f>BC50*30</f>
        <v>24.72</v>
      </c>
      <c r="BC50" s="1">
        <v>0.82399999999999995</v>
      </c>
      <c r="BD50" s="1">
        <f t="shared" ref="BD50:BD55" si="90">SUM(BC39:BC50)/12</f>
        <v>0.83233333333333326</v>
      </c>
      <c r="BE50" s="88" t="s">
        <v>770</v>
      </c>
      <c r="BG50" s="284">
        <f>BH50*31</f>
        <v>24.769000000000002</v>
      </c>
      <c r="BH50" s="1">
        <v>0.79900000000000004</v>
      </c>
      <c r="BI50" s="1">
        <f t="shared" si="81"/>
        <v>0.93758333333333332</v>
      </c>
      <c r="BJ50" s="88" t="s">
        <v>770</v>
      </c>
      <c r="BL50" s="284">
        <f>BM50*31</f>
        <v>106.733</v>
      </c>
      <c r="BM50" s="1">
        <v>3.4430000000000001</v>
      </c>
      <c r="BN50" s="1">
        <f t="shared" si="88"/>
        <v>3.4430000000000001</v>
      </c>
      <c r="BQ50" s="284">
        <f>BR50*31</f>
        <v>19.375</v>
      </c>
      <c r="BR50" s="1">
        <v>0.625</v>
      </c>
      <c r="BS50" s="1">
        <f t="shared" si="82"/>
        <v>0.64616666666666667</v>
      </c>
      <c r="BT50" s="88" t="s">
        <v>770</v>
      </c>
      <c r="BV50" s="284">
        <f>BW50*31</f>
        <v>8.3079999999999998</v>
      </c>
      <c r="BW50" s="1">
        <v>0.26800000000000002</v>
      </c>
      <c r="BX50" s="1">
        <f t="shared" si="83"/>
        <v>0.25958333333333328</v>
      </c>
      <c r="BY50" s="88" t="s">
        <v>770</v>
      </c>
      <c r="CA50" s="284">
        <f>CB50*31</f>
        <v>15.934000000000001</v>
      </c>
      <c r="CB50" s="1">
        <v>0.51400000000000001</v>
      </c>
      <c r="CC50" s="1">
        <f t="shared" si="89"/>
        <v>0.52774999999999994</v>
      </c>
      <c r="CD50" s="88" t="s">
        <v>770</v>
      </c>
      <c r="CF50" s="284">
        <f>CG50*31</f>
        <v>47.616</v>
      </c>
      <c r="CG50" s="1">
        <v>1.536</v>
      </c>
      <c r="CH50" s="1">
        <f t="shared" si="69"/>
        <v>1.5359999999999998</v>
      </c>
      <c r="CK50" s="284">
        <f>CL50*31</f>
        <v>124.744</v>
      </c>
      <c r="CL50" s="1">
        <v>4.024</v>
      </c>
      <c r="CM50" s="1">
        <f t="shared" si="61"/>
        <v>3.2792499999999998</v>
      </c>
      <c r="CN50" s="1">
        <v>10.199999999999999</v>
      </c>
      <c r="CP50" s="284">
        <f>CQ50*31</f>
        <v>395.40500000000003</v>
      </c>
      <c r="CQ50" s="1">
        <v>12.755000000000001</v>
      </c>
      <c r="CR50" s="1">
        <f t="shared" si="84"/>
        <v>12.27975</v>
      </c>
      <c r="CS50" s="1">
        <v>23</v>
      </c>
      <c r="CU50" s="284">
        <f>CV50*31</f>
        <v>128.40200000000002</v>
      </c>
      <c r="CV50" s="1">
        <v>4.1420000000000003</v>
      </c>
      <c r="CW50" s="1">
        <f t="shared" si="85"/>
        <v>4.1132499999999999</v>
      </c>
      <c r="CX50" s="1">
        <v>6.5</v>
      </c>
      <c r="CZ50" s="269">
        <f>DA50*31</f>
        <v>24.738</v>
      </c>
      <c r="DA50" s="1">
        <v>0.79800000000000004</v>
      </c>
      <c r="DC50" s="284">
        <f>DD50*31</f>
        <v>12.586</v>
      </c>
      <c r="DD50" s="1">
        <v>0.40600000000000003</v>
      </c>
      <c r="DE50" s="1">
        <f t="shared" si="86"/>
        <v>0.39591666666666669</v>
      </c>
      <c r="DH50" s="284">
        <f>DI50*31</f>
        <v>91.233000000000004</v>
      </c>
      <c r="DI50" s="5">
        <f t="shared" si="70"/>
        <v>2.9430000000000001</v>
      </c>
      <c r="DJ50" s="1">
        <f t="shared" si="71"/>
        <v>2.9695</v>
      </c>
      <c r="DM50" s="284">
        <f>DN50*31</f>
        <v>3304.8790000000004</v>
      </c>
      <c r="DN50" s="1">
        <f t="shared" si="72"/>
        <v>106.60900000000001</v>
      </c>
      <c r="DO50" s="1">
        <f t="shared" si="73"/>
        <v>102.24591666666663</v>
      </c>
      <c r="DR50" s="284">
        <f>DS50*31</f>
        <v>685.875</v>
      </c>
      <c r="DS50" s="1">
        <f t="shared" si="66"/>
        <v>22.125</v>
      </c>
      <c r="DT50" s="1" t="e">
        <f>SUM(CM50+CR50+CW50+#REF!+DE50)</f>
        <v>#REF!</v>
      </c>
      <c r="DW50" s="284">
        <f>DX50*31</f>
        <v>3990.7540000000004</v>
      </c>
      <c r="DX50" s="1">
        <f t="shared" si="75"/>
        <v>128.73400000000001</v>
      </c>
      <c r="DY50" s="1">
        <f t="shared" si="74"/>
        <v>123.08949999999999</v>
      </c>
      <c r="EL50" s="1">
        <v>2001</v>
      </c>
      <c r="EM50" s="1" t="s">
        <v>716</v>
      </c>
      <c r="EN50" s="1" t="s">
        <v>841</v>
      </c>
      <c r="EO50" s="1">
        <v>233.833</v>
      </c>
    </row>
    <row r="51" spans="1:145" x14ac:dyDescent="0.25">
      <c r="A51" s="23">
        <v>2001</v>
      </c>
      <c r="B51" s="1" t="s">
        <v>708</v>
      </c>
      <c r="C51" s="1"/>
      <c r="D51" s="284">
        <f>E51*31</f>
        <v>231.69400000000002</v>
      </c>
      <c r="E51" s="1">
        <v>7.4740000000000002</v>
      </c>
      <c r="F51" s="1">
        <f t="shared" si="76"/>
        <v>6.7823333333333338</v>
      </c>
      <c r="G51" s="88" t="s">
        <v>770</v>
      </c>
      <c r="H51" s="88"/>
      <c r="I51" s="283"/>
      <c r="J51" s="88"/>
      <c r="K51" s="88"/>
      <c r="L51" s="88"/>
      <c r="N51" s="284">
        <f>O51*31</f>
        <v>117.428</v>
      </c>
      <c r="O51" s="1">
        <v>3.7879999999999998</v>
      </c>
      <c r="P51" s="1">
        <f t="shared" si="49"/>
        <v>3.4405000000000001</v>
      </c>
      <c r="Q51" s="1">
        <v>12.8</v>
      </c>
      <c r="S51" s="284">
        <f>T51*31</f>
        <v>165.81900000000002</v>
      </c>
      <c r="T51" s="1">
        <v>5.3490000000000002</v>
      </c>
      <c r="U51" s="1">
        <f t="shared" si="51"/>
        <v>5.4209166666666659</v>
      </c>
      <c r="V51" s="1">
        <v>12.53</v>
      </c>
      <c r="X51" s="284">
        <f>Y51*31</f>
        <v>670.84</v>
      </c>
      <c r="Y51" s="1">
        <v>21.64</v>
      </c>
      <c r="Z51" s="1">
        <f t="shared" si="52"/>
        <v>21.928833333333333</v>
      </c>
      <c r="AA51" s="1">
        <v>36.020000000000003</v>
      </c>
      <c r="AC51" s="284">
        <f>AD51*31</f>
        <v>836.65899999999999</v>
      </c>
      <c r="AD51" s="1">
        <f t="shared" si="45"/>
        <v>26.989000000000001</v>
      </c>
      <c r="AE51" s="1">
        <f t="shared" si="87"/>
        <v>27.349749999999997</v>
      </c>
      <c r="AF51" s="1">
        <v>48.55</v>
      </c>
      <c r="AH51" s="284">
        <f>AI51*31</f>
        <v>1712.192</v>
      </c>
      <c r="AI51">
        <v>55.231999999999999</v>
      </c>
      <c r="AJ51" s="1">
        <f t="shared" si="50"/>
        <v>56.040999999999997</v>
      </c>
      <c r="AK51">
        <v>130.54</v>
      </c>
      <c r="AM51" s="284">
        <f>AN51*31</f>
        <v>24.614000000000001</v>
      </c>
      <c r="AN51">
        <v>0.79400000000000004</v>
      </c>
      <c r="AO51" s="1">
        <f t="shared" si="77"/>
        <v>0.90458333333333341</v>
      </c>
      <c r="AP51" s="88" t="s">
        <v>770</v>
      </c>
      <c r="AR51" s="284">
        <f>AS51*31</f>
        <v>166.68699999999998</v>
      </c>
      <c r="AS51" s="1">
        <v>5.3769999999999998</v>
      </c>
      <c r="AT51" s="1">
        <f t="shared" si="78"/>
        <v>4.7827500000000009</v>
      </c>
      <c r="AU51" s="88" t="s">
        <v>770</v>
      </c>
      <c r="AW51" s="284">
        <f>AX51*31</f>
        <v>27.094000000000001</v>
      </c>
      <c r="AX51" s="1">
        <v>0.874</v>
      </c>
      <c r="AY51" s="1">
        <f t="shared" si="79"/>
        <v>0.82925000000000004</v>
      </c>
      <c r="AZ51" s="88" t="s">
        <v>770</v>
      </c>
      <c r="BB51" s="284">
        <f>BC51*31</f>
        <v>25.853999999999999</v>
      </c>
      <c r="BC51" s="1">
        <v>0.83399999999999996</v>
      </c>
      <c r="BD51" s="1">
        <f t="shared" si="90"/>
        <v>0.84266666666666667</v>
      </c>
      <c r="BE51" s="88" t="s">
        <v>770</v>
      </c>
      <c r="BG51" s="284">
        <f>BH51*31</f>
        <v>26.288</v>
      </c>
      <c r="BH51" s="1">
        <v>0.84799999999999998</v>
      </c>
      <c r="BI51" s="1">
        <f t="shared" si="81"/>
        <v>0.9285000000000001</v>
      </c>
      <c r="BJ51" s="88" t="s">
        <v>770</v>
      </c>
      <c r="BL51" s="284">
        <f>BM51*31</f>
        <v>106.733</v>
      </c>
      <c r="BM51" s="1">
        <v>3.4430000000000001</v>
      </c>
      <c r="BN51" s="1">
        <f t="shared" si="88"/>
        <v>3.4430000000000001</v>
      </c>
      <c r="BQ51" s="284">
        <f>BR51*31</f>
        <v>19.684999999999999</v>
      </c>
      <c r="BR51" s="1">
        <v>0.63500000000000001</v>
      </c>
      <c r="BS51" s="1">
        <f t="shared" si="82"/>
        <v>0.6519166666666667</v>
      </c>
      <c r="BT51" s="88" t="s">
        <v>770</v>
      </c>
      <c r="BV51" s="284">
        <f>BW51*31</f>
        <v>8.4320000000000004</v>
      </c>
      <c r="BW51" s="1">
        <v>0.27200000000000002</v>
      </c>
      <c r="BX51" s="1">
        <f t="shared" si="83"/>
        <v>0.2611666666666666</v>
      </c>
      <c r="BY51" s="88" t="s">
        <v>770</v>
      </c>
      <c r="CA51" s="284">
        <f>CB51*31</f>
        <v>15.965</v>
      </c>
      <c r="CB51" s="1">
        <v>0.51500000000000001</v>
      </c>
      <c r="CC51" s="1">
        <f t="shared" si="89"/>
        <v>0.53041666666666665</v>
      </c>
      <c r="CD51" s="88" t="s">
        <v>770</v>
      </c>
      <c r="CF51" s="284">
        <f>CG51*31</f>
        <v>47.616</v>
      </c>
      <c r="CG51" s="1">
        <v>1.536</v>
      </c>
      <c r="CH51" s="1">
        <f t="shared" si="69"/>
        <v>1.5359999999999998</v>
      </c>
      <c r="CK51" s="284">
        <f>CL51*31</f>
        <v>173.56900000000002</v>
      </c>
      <c r="CL51" s="1">
        <v>5.5990000000000002</v>
      </c>
      <c r="CM51" s="1">
        <f t="shared" si="61"/>
        <v>3.4661666666666662</v>
      </c>
      <c r="CN51" s="1">
        <v>9.66</v>
      </c>
      <c r="CP51" s="284">
        <f>CQ51*31</f>
        <v>391.87099999999998</v>
      </c>
      <c r="CQ51" s="1">
        <v>12.641</v>
      </c>
      <c r="CR51" s="1">
        <f t="shared" si="84"/>
        <v>12.296166666666666</v>
      </c>
      <c r="CS51" s="1">
        <v>27</v>
      </c>
      <c r="CU51" s="284">
        <f>CV51*31</f>
        <v>124.86799999999998</v>
      </c>
      <c r="CV51" s="1">
        <v>4.0279999999999996</v>
      </c>
      <c r="CW51" s="1">
        <f t="shared" si="85"/>
        <v>4.1083333333333334</v>
      </c>
      <c r="CX51" s="1">
        <v>9.1999999999999993</v>
      </c>
      <c r="CZ51" s="269">
        <f>DA51*31</f>
        <v>22.785</v>
      </c>
      <c r="DA51" s="1">
        <v>0.73499999999999999</v>
      </c>
      <c r="DC51" s="284">
        <f>DD51*31</f>
        <v>12.586</v>
      </c>
      <c r="DD51" s="1">
        <v>0.40600000000000003</v>
      </c>
      <c r="DE51" s="1">
        <f t="shared" si="86"/>
        <v>0.39683333333333332</v>
      </c>
      <c r="DH51" s="284">
        <f>DI51*31</f>
        <v>91.698000000000008</v>
      </c>
      <c r="DI51" s="5">
        <f t="shared" si="70"/>
        <v>2.9580000000000002</v>
      </c>
      <c r="DJ51" s="1">
        <f t="shared" si="71"/>
        <v>2.9794999999999998</v>
      </c>
      <c r="DM51" s="284">
        <f>DN51*31</f>
        <v>3183.5449999999996</v>
      </c>
      <c r="DN51" s="1">
        <f t="shared" si="72"/>
        <v>102.69499999999999</v>
      </c>
      <c r="DO51" s="1">
        <f t="shared" si="73"/>
        <v>102.36483333333332</v>
      </c>
      <c r="DR51" s="284">
        <f>DS51*31</f>
        <v>725.67899999999997</v>
      </c>
      <c r="DS51" s="1">
        <f t="shared" si="66"/>
        <v>23.408999999999999</v>
      </c>
      <c r="DT51" s="1" t="e">
        <f>SUM(CM51+CR51+CW51+#REF!+DE51)</f>
        <v>#REF!</v>
      </c>
      <c r="DW51" s="284">
        <f>DX51*31</f>
        <v>3909.2239999999997</v>
      </c>
      <c r="DX51" s="1">
        <f t="shared" si="75"/>
        <v>126.10399999999998</v>
      </c>
      <c r="DY51" s="1">
        <f t="shared" si="74"/>
        <v>123.40941666666667</v>
      </c>
      <c r="EL51">
        <v>2001</v>
      </c>
      <c r="EM51" t="s">
        <v>708</v>
      </c>
      <c r="EN51" t="s">
        <v>841</v>
      </c>
      <c r="EO51">
        <v>231.69400000000002</v>
      </c>
    </row>
    <row r="52" spans="1:145" x14ac:dyDescent="0.25">
      <c r="A52" s="23">
        <v>2001</v>
      </c>
      <c r="B52" s="1" t="s">
        <v>709</v>
      </c>
      <c r="C52" s="1"/>
      <c r="D52" s="284">
        <f>E52*30</f>
        <v>219.60000000000002</v>
      </c>
      <c r="E52" s="1">
        <v>7.32</v>
      </c>
      <c r="F52" s="1">
        <f t="shared" si="76"/>
        <v>6.8109166666666665</v>
      </c>
      <c r="G52" s="88" t="s">
        <v>770</v>
      </c>
      <c r="H52" s="88"/>
      <c r="I52" s="283"/>
      <c r="J52" s="88"/>
      <c r="K52" s="88"/>
      <c r="L52" s="88"/>
      <c r="N52" s="284">
        <f>O52*30</f>
        <v>111.3</v>
      </c>
      <c r="O52" s="1">
        <v>3.71</v>
      </c>
      <c r="P52" s="1">
        <f t="shared" si="49"/>
        <v>3.4529999999999998</v>
      </c>
      <c r="Q52" s="6" t="s">
        <v>775</v>
      </c>
      <c r="S52" s="284">
        <f>T52*30</f>
        <v>149.52000000000001</v>
      </c>
      <c r="T52" s="1">
        <v>4.984</v>
      </c>
      <c r="U52" s="1">
        <f t="shared" si="51"/>
        <v>5.3907499999999997</v>
      </c>
      <c r="V52" s="6" t="s">
        <v>775</v>
      </c>
      <c r="X52" s="284">
        <f>Y52*30</f>
        <v>625.11</v>
      </c>
      <c r="Y52" s="1">
        <v>20.837</v>
      </c>
      <c r="Z52" s="1">
        <f t="shared" si="52"/>
        <v>21.918833333333328</v>
      </c>
      <c r="AA52" s="6" t="s">
        <v>775</v>
      </c>
      <c r="AC52" s="284">
        <f>AD52*30</f>
        <v>774.62999999999988</v>
      </c>
      <c r="AD52" s="1">
        <f t="shared" si="45"/>
        <v>25.820999999999998</v>
      </c>
      <c r="AE52" s="1">
        <f t="shared" si="87"/>
        <v>27.309583333333325</v>
      </c>
      <c r="AF52" s="6" t="s">
        <v>770</v>
      </c>
      <c r="AH52" s="284">
        <f>AI52*30</f>
        <v>1595.91</v>
      </c>
      <c r="AI52">
        <v>53.197000000000003</v>
      </c>
      <c r="AJ52" s="1">
        <f t="shared" si="50"/>
        <v>55.798583333333333</v>
      </c>
      <c r="AK52">
        <v>160.07</v>
      </c>
      <c r="AM52" s="284">
        <f>AN52*30</f>
        <v>22.8</v>
      </c>
      <c r="AN52" s="1">
        <v>0.76</v>
      </c>
      <c r="AO52" s="1">
        <f t="shared" si="77"/>
        <v>0.89424999999999999</v>
      </c>
      <c r="AP52" s="88" t="s">
        <v>770</v>
      </c>
      <c r="AR52" s="284">
        <f>AS52*30</f>
        <v>141.6</v>
      </c>
      <c r="AS52" s="1">
        <v>4.72</v>
      </c>
      <c r="AT52" s="1">
        <f t="shared" si="78"/>
        <v>4.761166666666667</v>
      </c>
      <c r="AU52" s="88" t="s">
        <v>770</v>
      </c>
      <c r="AW52" s="284">
        <f>AX52*30</f>
        <v>26.22</v>
      </c>
      <c r="AX52" s="1">
        <v>0.874</v>
      </c>
      <c r="AY52" s="1">
        <f t="shared" si="79"/>
        <v>0.83975</v>
      </c>
      <c r="AZ52" s="88" t="s">
        <v>770</v>
      </c>
      <c r="BB52" s="284">
        <f>BC52*30</f>
        <v>25.53</v>
      </c>
      <c r="BC52" s="1">
        <v>0.85099999999999998</v>
      </c>
      <c r="BD52" s="1">
        <f t="shared" si="90"/>
        <v>0.84883333333333333</v>
      </c>
      <c r="BE52" s="88" t="s">
        <v>770</v>
      </c>
      <c r="BG52" s="284">
        <f>BH52*30</f>
        <v>25.259999999999998</v>
      </c>
      <c r="BH52" s="1">
        <v>0.84199999999999997</v>
      </c>
      <c r="BI52" s="1">
        <f t="shared" si="81"/>
        <v>0.92308333333333348</v>
      </c>
      <c r="BJ52" s="88" t="s">
        <v>770</v>
      </c>
      <c r="BL52" s="284">
        <f>BM52*30</f>
        <v>103.29</v>
      </c>
      <c r="BM52" s="1">
        <v>3.4430000000000001</v>
      </c>
      <c r="BN52" s="1">
        <f t="shared" si="88"/>
        <v>3.4430000000000001</v>
      </c>
      <c r="BQ52" s="284">
        <f>BR52*30</f>
        <v>19.05</v>
      </c>
      <c r="BR52" s="1">
        <v>0.63500000000000001</v>
      </c>
      <c r="BS52" s="1">
        <f t="shared" si="82"/>
        <v>0.65675000000000006</v>
      </c>
      <c r="BT52" s="88" t="s">
        <v>770</v>
      </c>
      <c r="BV52" s="284">
        <f>BW52*30</f>
        <v>8.16</v>
      </c>
      <c r="BW52" s="1">
        <v>0.27200000000000002</v>
      </c>
      <c r="BX52" s="1">
        <f t="shared" si="83"/>
        <v>0.25991666666666674</v>
      </c>
      <c r="BY52" s="88" t="s">
        <v>770</v>
      </c>
      <c r="CA52" s="284">
        <f>CB52*30</f>
        <v>13.770000000000001</v>
      </c>
      <c r="CB52" s="1">
        <v>0.45900000000000002</v>
      </c>
      <c r="CC52" s="1">
        <f t="shared" si="89"/>
        <v>0.52258333333333329</v>
      </c>
      <c r="CD52" s="88" t="s">
        <v>770</v>
      </c>
      <c r="CF52" s="284">
        <f>CG52*30</f>
        <v>46.08</v>
      </c>
      <c r="CG52" s="1">
        <v>1.536</v>
      </c>
      <c r="CH52" s="1">
        <f t="shared" si="69"/>
        <v>1.5359999999999998</v>
      </c>
      <c r="CK52" s="284">
        <f>CL52*30</f>
        <v>49.47</v>
      </c>
      <c r="CL52" s="1">
        <v>1.649</v>
      </c>
      <c r="CM52" s="1">
        <f t="shared" si="61"/>
        <v>3.3411666666666662</v>
      </c>
      <c r="CN52" s="1">
        <v>4.88</v>
      </c>
      <c r="CP52" s="284">
        <f>CQ52*30</f>
        <v>348.96</v>
      </c>
      <c r="CQ52" s="1">
        <v>11.632</v>
      </c>
      <c r="CR52" s="1">
        <f t="shared" si="84"/>
        <v>12.208083333333335</v>
      </c>
      <c r="CS52" s="1" t="s">
        <v>775</v>
      </c>
      <c r="CU52" s="284">
        <f>CV52*30</f>
        <v>114.21</v>
      </c>
      <c r="CV52" s="1">
        <v>3.8069999999999999</v>
      </c>
      <c r="CW52" s="1">
        <f t="shared" si="85"/>
        <v>4.0975833333333336</v>
      </c>
      <c r="CX52" s="1" t="s">
        <v>775</v>
      </c>
      <c r="CZ52" s="269">
        <f>DA52*30</f>
        <v>21.72</v>
      </c>
      <c r="DA52" s="1">
        <v>0.72399999999999998</v>
      </c>
      <c r="DC52" s="284">
        <f>DD52*30</f>
        <v>12.180000000000001</v>
      </c>
      <c r="DD52" s="1">
        <v>0.40600000000000003</v>
      </c>
      <c r="DE52" s="1">
        <f t="shared" si="86"/>
        <v>0.39774999999999999</v>
      </c>
      <c r="DH52" s="284">
        <f>DI52*30</f>
        <v>87.06</v>
      </c>
      <c r="DI52" s="5">
        <f t="shared" si="70"/>
        <v>2.9020000000000001</v>
      </c>
      <c r="DJ52" s="1">
        <f t="shared" si="71"/>
        <v>2.9752499999999995</v>
      </c>
      <c r="DM52" s="284">
        <f>DN52*30</f>
        <v>2959.08</v>
      </c>
      <c r="DN52" s="1">
        <f t="shared" si="72"/>
        <v>98.635999999999996</v>
      </c>
      <c r="DO52" s="1">
        <f t="shared" si="73"/>
        <v>102.10691666666666</v>
      </c>
      <c r="DR52" s="284">
        <f>DS52*30</f>
        <v>546.53999999999985</v>
      </c>
      <c r="DS52" s="1">
        <f t="shared" si="66"/>
        <v>18.217999999999996</v>
      </c>
      <c r="DT52" s="1" t="e">
        <f>SUM(CM52+CR52+CW52+#REF!+DE52)</f>
        <v>#REF!</v>
      </c>
      <c r="DW52" s="284">
        <f>DX52*30</f>
        <v>3505.6199999999994</v>
      </c>
      <c r="DX52" s="1">
        <f t="shared" si="75"/>
        <v>116.85399999999998</v>
      </c>
      <c r="DY52" s="1">
        <f t="shared" si="74"/>
        <v>122.92849999999999</v>
      </c>
      <c r="ED52" s="1">
        <f>EE52*92</f>
        <v>1955.0613333333331</v>
      </c>
      <c r="EE52" s="1">
        <f>AVERAGE(DS50:DS52)</f>
        <v>21.250666666666664</v>
      </c>
      <c r="EF52" s="1">
        <f>SUM(EE43+EE46+EE49+EE52)/4</f>
        <v>20.821583333333333</v>
      </c>
      <c r="EL52">
        <v>2001</v>
      </c>
      <c r="EM52" t="s">
        <v>709</v>
      </c>
      <c r="EN52" t="s">
        <v>841</v>
      </c>
      <c r="EO52">
        <v>219.60000000000002</v>
      </c>
    </row>
    <row r="53" spans="1:145" x14ac:dyDescent="0.25">
      <c r="A53" s="23">
        <v>2001</v>
      </c>
      <c r="B53" s="1" t="s">
        <v>710</v>
      </c>
      <c r="C53" s="1"/>
      <c r="D53" s="284">
        <f>E53*31</f>
        <v>215.91499999999999</v>
      </c>
      <c r="E53" s="1">
        <v>6.9649999999999999</v>
      </c>
      <c r="F53" s="1">
        <f t="shared" si="76"/>
        <v>6.8281666666666654</v>
      </c>
      <c r="G53" s="88" t="s">
        <v>770</v>
      </c>
      <c r="H53" s="88"/>
      <c r="I53" s="283"/>
      <c r="J53" s="88"/>
      <c r="K53" s="88"/>
      <c r="L53" s="88"/>
      <c r="N53" s="284">
        <f>O53*31</f>
        <v>109.523</v>
      </c>
      <c r="O53" s="1">
        <v>3.5329999999999999</v>
      </c>
      <c r="P53" s="1">
        <f t="shared" si="49"/>
        <v>3.4620000000000002</v>
      </c>
      <c r="Q53" s="1">
        <v>6.4</v>
      </c>
      <c r="S53" s="284">
        <f>T53*31</f>
        <v>143.43699999999998</v>
      </c>
      <c r="T53" s="1">
        <v>4.6269999999999998</v>
      </c>
      <c r="U53" s="1">
        <f t="shared" si="51"/>
        <v>5.363666666666667</v>
      </c>
      <c r="V53" s="1">
        <v>7.46</v>
      </c>
      <c r="X53" s="284">
        <f>Y53*31</f>
        <v>606.26699999999994</v>
      </c>
      <c r="Y53" s="1">
        <v>19.556999999999999</v>
      </c>
      <c r="Z53" s="1">
        <f t="shared" si="52"/>
        <v>21.843999999999998</v>
      </c>
      <c r="AA53" s="1">
        <v>27.51</v>
      </c>
      <c r="AC53" s="284">
        <f>AD53*31</f>
        <v>749.70399999999995</v>
      </c>
      <c r="AD53" s="1">
        <f t="shared" si="45"/>
        <v>24.183999999999997</v>
      </c>
      <c r="AE53" s="1">
        <f t="shared" si="87"/>
        <v>27.207666666666665</v>
      </c>
      <c r="AF53" s="1">
        <v>34.97</v>
      </c>
      <c r="AH53" s="284">
        <f>AI53*31</f>
        <v>1639.2180000000001</v>
      </c>
      <c r="AI53" s="1">
        <v>52.878</v>
      </c>
      <c r="AJ53" s="1">
        <f t="shared" si="50"/>
        <v>55.810916666666664</v>
      </c>
      <c r="AK53" s="1">
        <v>198.88</v>
      </c>
      <c r="AM53" s="284">
        <f>AN53*31</f>
        <v>22.971</v>
      </c>
      <c r="AN53" s="1">
        <v>0.74099999999999999</v>
      </c>
      <c r="AO53" s="1">
        <f t="shared" si="77"/>
        <v>0.88625000000000009</v>
      </c>
      <c r="AP53" s="88" t="s">
        <v>770</v>
      </c>
      <c r="AR53" s="284">
        <f>AS53*31</f>
        <v>120.962</v>
      </c>
      <c r="AS53" s="1">
        <v>3.9020000000000001</v>
      </c>
      <c r="AT53" s="1">
        <f t="shared" si="78"/>
        <v>4.6870000000000003</v>
      </c>
      <c r="AU53" s="88" t="s">
        <v>770</v>
      </c>
      <c r="AW53" s="284">
        <f>AX53*31</f>
        <v>27.094000000000001</v>
      </c>
      <c r="AX53" s="1">
        <v>0.874</v>
      </c>
      <c r="AY53" s="1">
        <f t="shared" si="79"/>
        <v>0.85025000000000006</v>
      </c>
      <c r="AZ53" s="88" t="s">
        <v>770</v>
      </c>
      <c r="BB53" s="284">
        <f>BC53*31</f>
        <v>25.946999999999999</v>
      </c>
      <c r="BC53" s="1">
        <v>0.83699999999999997</v>
      </c>
      <c r="BD53" s="1">
        <f t="shared" si="90"/>
        <v>0.8524166666666666</v>
      </c>
      <c r="BE53" s="88" t="s">
        <v>770</v>
      </c>
      <c r="BG53" s="284">
        <f>BH53*31</f>
        <v>25.202999999999999</v>
      </c>
      <c r="BH53" s="1">
        <v>0.81299999999999994</v>
      </c>
      <c r="BI53" s="1">
        <f t="shared" si="81"/>
        <v>0.9211666666666668</v>
      </c>
      <c r="BJ53" s="88" t="s">
        <v>770</v>
      </c>
      <c r="BL53" s="284">
        <f>BM53*31</f>
        <v>106.733</v>
      </c>
      <c r="BM53" s="1">
        <v>3.4430000000000001</v>
      </c>
      <c r="BN53" s="1">
        <f t="shared" si="88"/>
        <v>3.4430000000000001</v>
      </c>
      <c r="BQ53" s="284">
        <f>BR53*31</f>
        <v>19.684999999999999</v>
      </c>
      <c r="BR53" s="1">
        <v>0.63500000000000001</v>
      </c>
      <c r="BS53" s="1">
        <f t="shared" si="82"/>
        <v>0.65800000000000003</v>
      </c>
      <c r="BT53" s="88" t="s">
        <v>770</v>
      </c>
      <c r="BV53" s="284">
        <f>BW53*31</f>
        <v>8.4320000000000004</v>
      </c>
      <c r="BW53" s="1">
        <v>0.27200000000000002</v>
      </c>
      <c r="BX53" s="1">
        <f t="shared" si="83"/>
        <v>0.26183333333333336</v>
      </c>
      <c r="BY53" s="88" t="s">
        <v>770</v>
      </c>
      <c r="CA53" s="284">
        <f>CB53*31</f>
        <v>13.981</v>
      </c>
      <c r="CB53" s="1">
        <v>0.45100000000000001</v>
      </c>
      <c r="CC53" s="1">
        <f t="shared" si="89"/>
        <v>0.51758333333333317</v>
      </c>
      <c r="CD53" s="88" t="s">
        <v>770</v>
      </c>
      <c r="CF53" s="284">
        <f>CG53*31</f>
        <v>47.616</v>
      </c>
      <c r="CG53" s="1">
        <v>1.536</v>
      </c>
      <c r="CH53" s="1">
        <f t="shared" si="69"/>
        <v>1.5359999999999998</v>
      </c>
      <c r="CK53" s="284">
        <f>CL53*31</f>
        <v>16.616</v>
      </c>
      <c r="CL53" s="1">
        <v>0.53600000000000003</v>
      </c>
      <c r="CM53" s="1">
        <f t="shared" si="61"/>
        <v>3.1815833333333337</v>
      </c>
      <c r="CN53" s="1">
        <v>3.11</v>
      </c>
      <c r="CP53" s="284">
        <f>CQ53*31</f>
        <v>348.161</v>
      </c>
      <c r="CQ53" s="1">
        <v>11.231</v>
      </c>
      <c r="CR53" s="1">
        <f t="shared" si="84"/>
        <v>12.173666666666668</v>
      </c>
      <c r="CS53" s="1">
        <v>23</v>
      </c>
      <c r="CU53" s="284">
        <f>CV53*31</f>
        <v>118.97800000000001</v>
      </c>
      <c r="CV53" s="1">
        <v>3.8380000000000001</v>
      </c>
      <c r="CW53" s="1">
        <f t="shared" si="85"/>
        <v>4.098416666666667</v>
      </c>
      <c r="CX53" s="1">
        <v>6</v>
      </c>
      <c r="CZ53" s="269">
        <f>DA53*31</f>
        <v>22.474999999999998</v>
      </c>
      <c r="DA53" s="1">
        <v>0.72499999999999998</v>
      </c>
      <c r="DC53" s="284">
        <f>DD53*31</f>
        <v>12.586</v>
      </c>
      <c r="DD53" s="1">
        <v>0.40600000000000003</v>
      </c>
      <c r="DE53" s="1">
        <f t="shared" si="86"/>
        <v>0.39866666666666667</v>
      </c>
      <c r="DH53" s="284">
        <f>DI53*31</f>
        <v>89.713999999999999</v>
      </c>
      <c r="DI53" s="5">
        <f t="shared" si="70"/>
        <v>2.8940000000000001</v>
      </c>
      <c r="DJ53" s="1">
        <f t="shared" si="71"/>
        <v>2.9734166666666666</v>
      </c>
      <c r="DM53" s="284">
        <f>DN53*31</f>
        <v>2953.556</v>
      </c>
      <c r="DN53" s="1">
        <f t="shared" si="72"/>
        <v>95.275999999999996</v>
      </c>
      <c r="DO53" s="1">
        <f t="shared" si="73"/>
        <v>101.97541666666667</v>
      </c>
      <c r="DR53" s="284">
        <f>DS53*31</f>
        <v>518.81600000000003</v>
      </c>
      <c r="DS53" s="1">
        <f t="shared" si="66"/>
        <v>16.736000000000001</v>
      </c>
      <c r="DT53" s="1" t="e">
        <f>SUM(CM53+CR53+CW53+#REF!+DE53)</f>
        <v>#REF!</v>
      </c>
      <c r="DW53" s="284">
        <f>DX53*31</f>
        <v>3472.3719999999998</v>
      </c>
      <c r="DX53" s="1">
        <f t="shared" si="75"/>
        <v>112.012</v>
      </c>
      <c r="DY53" s="1">
        <f t="shared" si="74"/>
        <v>122.60775</v>
      </c>
      <c r="EL53">
        <v>2001</v>
      </c>
      <c r="EM53" t="s">
        <v>710</v>
      </c>
      <c r="EN53" t="s">
        <v>841</v>
      </c>
      <c r="EO53">
        <v>215.91499999999999</v>
      </c>
    </row>
    <row r="54" spans="1:145" x14ac:dyDescent="0.25">
      <c r="A54" s="23">
        <v>2001</v>
      </c>
      <c r="B54" s="1" t="s">
        <v>711</v>
      </c>
      <c r="C54" s="1"/>
      <c r="D54" s="284">
        <f>E54*30</f>
        <v>190.26</v>
      </c>
      <c r="E54" s="1">
        <v>6.3419999999999996</v>
      </c>
      <c r="F54" s="1">
        <f t="shared" si="76"/>
        <v>6.8457499999999989</v>
      </c>
      <c r="G54" s="88" t="s">
        <v>770</v>
      </c>
      <c r="H54" s="88"/>
      <c r="I54" s="283"/>
      <c r="J54" s="88"/>
      <c r="K54" s="88"/>
      <c r="L54" s="88"/>
      <c r="N54" s="284">
        <f>O54*30</f>
        <v>96.42</v>
      </c>
      <c r="O54" s="1">
        <v>3.214</v>
      </c>
      <c r="P54" s="1">
        <f t="shared" si="49"/>
        <v>3.4698333333333333</v>
      </c>
      <c r="Q54" s="1">
        <v>6.4</v>
      </c>
      <c r="S54" s="284">
        <f>T54*30</f>
        <v>136.01999999999998</v>
      </c>
      <c r="T54" s="1">
        <v>4.5339999999999998</v>
      </c>
      <c r="U54" s="1">
        <f t="shared" si="51"/>
        <v>5.3528333333333338</v>
      </c>
      <c r="V54" s="1">
        <v>7.46</v>
      </c>
      <c r="X54" s="284">
        <f>Y54*30</f>
        <v>559.29</v>
      </c>
      <c r="Y54" s="1">
        <v>18.643000000000001</v>
      </c>
      <c r="Z54" s="1">
        <f t="shared" si="52"/>
        <v>21.683916666666665</v>
      </c>
      <c r="AA54" s="1">
        <v>27.51</v>
      </c>
      <c r="AC54" s="284">
        <f>AD54*30</f>
        <v>695.31</v>
      </c>
      <c r="AD54" s="1">
        <f t="shared" si="45"/>
        <v>23.177</v>
      </c>
      <c r="AE54" s="1">
        <f t="shared" si="87"/>
        <v>27.036750000000001</v>
      </c>
      <c r="AF54" s="1">
        <v>24.16</v>
      </c>
      <c r="AH54" s="284">
        <f>AI54*30</f>
        <v>1572.9</v>
      </c>
      <c r="AI54" s="1">
        <v>52.43</v>
      </c>
      <c r="AJ54" s="1">
        <f t="shared" si="50"/>
        <v>55.883249999999997</v>
      </c>
      <c r="AK54" s="1">
        <v>130.54</v>
      </c>
      <c r="AM54" s="284">
        <f>AN54*30</f>
        <v>23.04</v>
      </c>
      <c r="AN54" s="1">
        <v>0.76800000000000002</v>
      </c>
      <c r="AO54" s="1">
        <f t="shared" si="77"/>
        <v>0.87191666666666678</v>
      </c>
      <c r="AP54" s="88" t="s">
        <v>770</v>
      </c>
      <c r="AR54" s="284">
        <f>AS54*30</f>
        <v>107.25</v>
      </c>
      <c r="AS54" s="1">
        <v>3.5750000000000002</v>
      </c>
      <c r="AT54" s="1">
        <f t="shared" si="78"/>
        <v>4.668166666666667</v>
      </c>
      <c r="AU54" s="88" t="s">
        <v>770</v>
      </c>
      <c r="AW54" s="284">
        <f>AX54*30</f>
        <v>26.22</v>
      </c>
      <c r="AX54" s="1">
        <v>0.874</v>
      </c>
      <c r="AY54" s="1">
        <f t="shared" si="79"/>
        <v>0.86075000000000002</v>
      </c>
      <c r="AZ54" s="88" t="s">
        <v>770</v>
      </c>
      <c r="BB54" s="284">
        <f>BC54*30</f>
        <v>25.38</v>
      </c>
      <c r="BC54" s="1">
        <v>0.84599999999999997</v>
      </c>
      <c r="BD54" s="1">
        <f t="shared" si="90"/>
        <v>0.8524166666666666</v>
      </c>
      <c r="BE54" s="88" t="s">
        <v>770</v>
      </c>
      <c r="BG54" s="284">
        <f>BH54*30</f>
        <v>23.310000000000002</v>
      </c>
      <c r="BH54" s="1">
        <v>0.77700000000000002</v>
      </c>
      <c r="BI54" s="1">
        <f t="shared" si="81"/>
        <v>0.91733333333333344</v>
      </c>
      <c r="BJ54" s="88" t="s">
        <v>770</v>
      </c>
      <c r="BL54" s="284">
        <f>BM54*30</f>
        <v>103.29</v>
      </c>
      <c r="BM54" s="1">
        <v>3.4430000000000001</v>
      </c>
      <c r="BN54" s="1">
        <f t="shared" si="88"/>
        <v>3.4430000000000001</v>
      </c>
      <c r="BQ54" s="284">
        <f>BR54*30</f>
        <v>19.05</v>
      </c>
      <c r="BR54" s="1">
        <v>0.63500000000000001</v>
      </c>
      <c r="BS54" s="1">
        <f t="shared" si="82"/>
        <v>0.64741666666666664</v>
      </c>
      <c r="BT54" s="88" t="s">
        <v>770</v>
      </c>
      <c r="BV54" s="284">
        <f>BW54*30</f>
        <v>8.16</v>
      </c>
      <c r="BW54" s="1">
        <v>0.27200000000000002</v>
      </c>
      <c r="BX54" s="1">
        <f t="shared" si="83"/>
        <v>0.26408333333333339</v>
      </c>
      <c r="BY54" s="88" t="s">
        <v>770</v>
      </c>
      <c r="CA54" s="284">
        <f>CB54*30</f>
        <v>13.770000000000001</v>
      </c>
      <c r="CB54" s="1">
        <v>0.45900000000000002</v>
      </c>
      <c r="CC54" s="1">
        <f t="shared" si="89"/>
        <v>0.51483333333333314</v>
      </c>
      <c r="CD54" s="88" t="s">
        <v>770</v>
      </c>
      <c r="CF54" s="284">
        <f>CG54*30</f>
        <v>46.08</v>
      </c>
      <c r="CG54" s="1">
        <v>1.536</v>
      </c>
      <c r="CH54" s="1">
        <f t="shared" si="69"/>
        <v>1.5359999999999998</v>
      </c>
      <c r="CK54" s="284">
        <f>CL54*30</f>
        <v>19.8</v>
      </c>
      <c r="CL54" s="1">
        <v>0.66</v>
      </c>
      <c r="CM54" s="1">
        <f t="shared" si="61"/>
        <v>3.0090833333333329</v>
      </c>
      <c r="CN54" s="1">
        <v>5.4</v>
      </c>
      <c r="CP54" s="284">
        <f>CQ54*31</f>
        <v>403.21699999999998</v>
      </c>
      <c r="CQ54" s="1">
        <v>13.007</v>
      </c>
      <c r="CR54" s="1">
        <f t="shared" si="84"/>
        <v>12.291083333333335</v>
      </c>
      <c r="CS54" s="1">
        <v>25</v>
      </c>
      <c r="CU54" s="284">
        <f>CV54*30</f>
        <v>111.21</v>
      </c>
      <c r="CV54" s="1">
        <v>3.7069999999999999</v>
      </c>
      <c r="CW54" s="1">
        <f t="shared" si="85"/>
        <v>4.0909166666666668</v>
      </c>
      <c r="CX54" s="1">
        <v>5.0999999999999996</v>
      </c>
      <c r="CZ54" s="269">
        <f>DA54*30</f>
        <v>22.38</v>
      </c>
      <c r="DA54" s="1">
        <v>0.746</v>
      </c>
      <c r="DC54" s="284">
        <f>DD54*30</f>
        <v>12.180000000000001</v>
      </c>
      <c r="DD54" s="1">
        <v>0.40600000000000003</v>
      </c>
      <c r="DE54" s="1">
        <f t="shared" si="86"/>
        <v>0.39958333333333335</v>
      </c>
      <c r="DH54" s="284">
        <f>DI54*30</f>
        <v>87.06</v>
      </c>
      <c r="DI54" s="5">
        <f t="shared" si="70"/>
        <v>2.9020000000000001</v>
      </c>
      <c r="DJ54" s="1">
        <f t="shared" si="71"/>
        <v>2.9623333333333335</v>
      </c>
      <c r="DM54" s="284">
        <f>DN54*30</f>
        <v>2776.3199999999997</v>
      </c>
      <c r="DN54" s="1">
        <f t="shared" si="72"/>
        <v>92.543999999999997</v>
      </c>
      <c r="DO54" s="1">
        <f t="shared" si="73"/>
        <v>101.88683333333336</v>
      </c>
      <c r="DR54" s="284">
        <f>DS54*30</f>
        <v>555.77999999999986</v>
      </c>
      <c r="DS54" s="1">
        <f t="shared" si="66"/>
        <v>18.525999999999996</v>
      </c>
      <c r="DT54" s="1" t="e">
        <f>SUM(CM54+CR54+CW54+#REF!+DE54)</f>
        <v>#REF!</v>
      </c>
      <c r="DW54" s="284">
        <f>DX54*30</f>
        <v>3332.1</v>
      </c>
      <c r="DX54" s="1">
        <f t="shared" si="75"/>
        <v>111.07</v>
      </c>
      <c r="DY54" s="1">
        <f t="shared" si="74"/>
        <v>122.46199999999999</v>
      </c>
      <c r="EL54">
        <v>2001</v>
      </c>
      <c r="EM54" t="s">
        <v>711</v>
      </c>
      <c r="EN54" t="s">
        <v>841</v>
      </c>
      <c r="EO54">
        <v>190.26</v>
      </c>
    </row>
    <row r="55" spans="1:145" x14ac:dyDescent="0.25">
      <c r="A55" s="23">
        <v>2001</v>
      </c>
      <c r="B55" s="1" t="s">
        <v>712</v>
      </c>
      <c r="C55" s="1"/>
      <c r="D55" s="284">
        <f>E55*31</f>
        <v>197.09799999999998</v>
      </c>
      <c r="E55" s="1">
        <v>6.3579999999999997</v>
      </c>
      <c r="F55" s="1">
        <f t="shared" si="76"/>
        <v>6.8782500000000004</v>
      </c>
      <c r="G55" s="88" t="s">
        <v>770</v>
      </c>
      <c r="H55" s="88"/>
      <c r="I55" s="283"/>
      <c r="J55" s="88"/>
      <c r="K55" s="88"/>
      <c r="L55" s="88"/>
      <c r="N55" s="284">
        <f>O55*31</f>
        <v>99.882000000000005</v>
      </c>
      <c r="O55" s="1">
        <v>3.222</v>
      </c>
      <c r="P55" s="1">
        <f t="shared" si="49"/>
        <v>3.4862500000000001</v>
      </c>
      <c r="Q55" s="1">
        <v>6</v>
      </c>
      <c r="S55" s="284">
        <f>T55*31</f>
        <v>141.67000000000002</v>
      </c>
      <c r="T55" s="1">
        <v>4.57</v>
      </c>
      <c r="U55" s="1">
        <f t="shared" si="51"/>
        <v>5.3411666666666671</v>
      </c>
      <c r="V55" s="1">
        <v>7.43</v>
      </c>
      <c r="X55" s="284">
        <f>Y55*31</f>
        <v>603.78700000000003</v>
      </c>
      <c r="Y55" s="1">
        <v>19.477</v>
      </c>
      <c r="Z55" s="1">
        <f t="shared" si="52"/>
        <v>21.575749999999996</v>
      </c>
      <c r="AA55" s="1">
        <v>27.47</v>
      </c>
      <c r="AC55" s="284">
        <f>AD55*31</f>
        <v>745.45699999999999</v>
      </c>
      <c r="AD55" s="1">
        <f t="shared" si="45"/>
        <v>24.047000000000001</v>
      </c>
      <c r="AE55" s="1">
        <f t="shared" si="87"/>
        <v>26.916916666666669</v>
      </c>
      <c r="AF55" s="1">
        <v>34.9</v>
      </c>
      <c r="AH55" s="284">
        <f>AI55*31</f>
        <v>1591.385</v>
      </c>
      <c r="AI55" s="1">
        <v>51.335000000000001</v>
      </c>
      <c r="AJ55" s="1">
        <f t="shared" si="50"/>
        <v>55.794916666666673</v>
      </c>
      <c r="AK55" s="1">
        <v>145</v>
      </c>
      <c r="AM55" s="284">
        <f>AN55*31</f>
        <v>22.692</v>
      </c>
      <c r="AN55" s="1">
        <v>0.73199999999999998</v>
      </c>
      <c r="AO55" s="1">
        <f t="shared" si="77"/>
        <v>0.86108333333333331</v>
      </c>
      <c r="AP55" s="88" t="s">
        <v>770</v>
      </c>
      <c r="AR55" s="284">
        <f>AS55*31</f>
        <v>110.825</v>
      </c>
      <c r="AS55" s="1">
        <v>3.5750000000000002</v>
      </c>
      <c r="AT55" s="1">
        <f t="shared" si="78"/>
        <v>4.5664166666666679</v>
      </c>
      <c r="AU55" s="88" t="s">
        <v>770</v>
      </c>
      <c r="AW55" s="284">
        <f>AX55*31</f>
        <v>27.094000000000001</v>
      </c>
      <c r="AX55" s="1">
        <v>0.874</v>
      </c>
      <c r="AY55" s="1">
        <f t="shared" si="79"/>
        <v>0.87124999999999997</v>
      </c>
      <c r="AZ55" s="88" t="s">
        <v>770</v>
      </c>
      <c r="BB55" s="284">
        <f>BC55*31</f>
        <v>25.419999999999998</v>
      </c>
      <c r="BC55" s="1">
        <v>0.82</v>
      </c>
      <c r="BD55" s="1">
        <f t="shared" si="90"/>
        <v>0.84891666666666665</v>
      </c>
      <c r="BE55" s="88" t="s">
        <v>770</v>
      </c>
      <c r="BG55" s="284">
        <f>BH55*31</f>
        <v>23.839000000000002</v>
      </c>
      <c r="BH55" s="1">
        <v>0.76900000000000002</v>
      </c>
      <c r="BI55" s="1">
        <f t="shared" si="81"/>
        <v>0.90775000000000006</v>
      </c>
      <c r="BJ55" s="88" t="s">
        <v>770</v>
      </c>
      <c r="BL55" s="284">
        <f>BM55*31</f>
        <v>106.733</v>
      </c>
      <c r="BM55" s="1">
        <v>3.4430000000000001</v>
      </c>
      <c r="BN55" s="1">
        <f t="shared" si="88"/>
        <v>3.4430000000000001</v>
      </c>
      <c r="BQ55" s="284">
        <f>BR55*31</f>
        <v>19.684999999999999</v>
      </c>
      <c r="BR55" s="1">
        <v>0.63500000000000001</v>
      </c>
      <c r="BS55" s="1">
        <f t="shared" si="82"/>
        <v>0.62141666666666662</v>
      </c>
      <c r="BT55" s="88" t="s">
        <v>770</v>
      </c>
      <c r="BV55" s="284">
        <f>BW55*31</f>
        <v>8.4320000000000004</v>
      </c>
      <c r="BW55" s="1">
        <v>0.27200000000000002</v>
      </c>
      <c r="BX55" s="1">
        <f t="shared" si="83"/>
        <v>0.26633333333333337</v>
      </c>
      <c r="BY55" s="88" t="s">
        <v>770</v>
      </c>
      <c r="CA55" s="284">
        <f>CB55*31</f>
        <v>14.167</v>
      </c>
      <c r="CB55" s="1">
        <v>0.45700000000000002</v>
      </c>
      <c r="CC55" s="1">
        <f t="shared" si="89"/>
        <v>0.5113333333333332</v>
      </c>
      <c r="CD55" s="88" t="s">
        <v>770</v>
      </c>
      <c r="CF55" s="284">
        <f>CG55*31</f>
        <v>47.616</v>
      </c>
      <c r="CG55" s="1">
        <v>1.536</v>
      </c>
      <c r="CH55" s="1">
        <f t="shared" si="69"/>
        <v>1.5359999999999998</v>
      </c>
      <c r="CK55" s="284">
        <f>CL55*31</f>
        <v>47.182000000000002</v>
      </c>
      <c r="CL55" s="1">
        <v>1.522</v>
      </c>
      <c r="CM55" s="1">
        <f t="shared" si="61"/>
        <v>2.9012499999999997</v>
      </c>
      <c r="CN55" s="1">
        <v>6.49</v>
      </c>
      <c r="CP55" s="284">
        <f>CQ55*31</f>
        <v>403.34099999999995</v>
      </c>
      <c r="CQ55" s="1">
        <v>13.010999999999999</v>
      </c>
      <c r="CR55" s="1">
        <f t="shared" si="84"/>
        <v>12.461916666666667</v>
      </c>
      <c r="CS55" s="1">
        <v>23.5</v>
      </c>
      <c r="CU55" s="284">
        <f>CV55*31</f>
        <v>114.886</v>
      </c>
      <c r="CV55" s="1">
        <v>3.706</v>
      </c>
      <c r="CW55" s="1">
        <f t="shared" si="85"/>
        <v>4.0616666666666665</v>
      </c>
      <c r="CX55" s="1">
        <v>6</v>
      </c>
      <c r="CZ55" s="269">
        <f>DA55*31</f>
        <v>23.280999999999999</v>
      </c>
      <c r="DA55" s="1">
        <v>0.751</v>
      </c>
      <c r="DC55" s="284">
        <f>DD55*31</f>
        <v>12.586</v>
      </c>
      <c r="DD55" s="1">
        <v>0.40600000000000003</v>
      </c>
      <c r="DE55" s="1">
        <f t="shared" si="86"/>
        <v>0.40050000000000002</v>
      </c>
      <c r="DH55" s="284">
        <f>DI55*31</f>
        <v>89.9</v>
      </c>
      <c r="DI55" s="5">
        <f t="shared" si="70"/>
        <v>2.9000000000000004</v>
      </c>
      <c r="DJ55" s="1">
        <f t="shared" si="71"/>
        <v>2.9350833333333335</v>
      </c>
      <c r="DM55" s="284">
        <f>DN55*31</f>
        <v>2860.5249999999996</v>
      </c>
      <c r="DN55" s="1">
        <f t="shared" si="72"/>
        <v>92.274999999999991</v>
      </c>
      <c r="DO55" s="1">
        <f t="shared" si="73"/>
        <v>101.6396666666667</v>
      </c>
      <c r="DR55" s="284">
        <f>DS55*31</f>
        <v>601.27600000000007</v>
      </c>
      <c r="DS55" s="1">
        <f t="shared" si="66"/>
        <v>19.396000000000001</v>
      </c>
      <c r="DT55" s="1" t="e">
        <f>SUM(CM55+CR55+CW55+#REF!+DE55)</f>
        <v>#REF!</v>
      </c>
      <c r="DW55" s="284">
        <f>DX55*31</f>
        <v>3461.8009999999999</v>
      </c>
      <c r="DX55" s="1">
        <f t="shared" si="75"/>
        <v>111.67099999999999</v>
      </c>
      <c r="DY55" s="1">
        <f t="shared" si="74"/>
        <v>122.24958333333332</v>
      </c>
      <c r="ED55" s="1">
        <f>EE55*92</f>
        <v>1676.1786666666669</v>
      </c>
      <c r="EE55" s="1">
        <f>AVERAGE(DS53:DS55)</f>
        <v>18.219333333333335</v>
      </c>
      <c r="EF55" s="1">
        <f>SUM(EE46+EE49+EE52+EE55)/4</f>
        <v>20.609916666666667</v>
      </c>
      <c r="EL55">
        <v>2001</v>
      </c>
      <c r="EM55" t="s">
        <v>712</v>
      </c>
      <c r="EN55" t="s">
        <v>841</v>
      </c>
      <c r="EO55">
        <v>197.09799999999998</v>
      </c>
    </row>
    <row r="56" spans="1:145" x14ac:dyDescent="0.25">
      <c r="A56" s="23">
        <v>2002</v>
      </c>
      <c r="B56" s="1" t="s">
        <v>719</v>
      </c>
      <c r="C56" s="1"/>
      <c r="D56" s="284">
        <f>E56*31</f>
        <v>183.98499999999999</v>
      </c>
      <c r="E56" s="1">
        <v>5.9349999999999996</v>
      </c>
      <c r="F56" s="1">
        <f t="shared" ref="F56:F61" si="91">SUM(E45:E56)/12</f>
        <v>6.9013333333333335</v>
      </c>
      <c r="G56" s="88" t="s">
        <v>770</v>
      </c>
      <c r="H56" s="88"/>
      <c r="I56" s="283"/>
      <c r="J56" s="88"/>
      <c r="K56" s="88"/>
      <c r="L56" s="88"/>
      <c r="N56" s="284">
        <f>O56*31</f>
        <v>93.248000000000005</v>
      </c>
      <c r="O56" s="1">
        <v>3.008</v>
      </c>
      <c r="P56" s="1">
        <f t="shared" ref="P56:P67" si="92">SUM(O45:O56)/12</f>
        <v>3.4980000000000007</v>
      </c>
      <c r="Q56" s="1">
        <v>6</v>
      </c>
      <c r="S56" s="284">
        <f>T56*31</f>
        <v>141.60799999999998</v>
      </c>
      <c r="T56" s="1">
        <v>4.5679999999999996</v>
      </c>
      <c r="U56" s="1">
        <f t="shared" si="51"/>
        <v>5.312333333333334</v>
      </c>
      <c r="V56" s="1">
        <v>7.55</v>
      </c>
      <c r="X56" s="284">
        <f>Y56*31</f>
        <v>643.68399999999997</v>
      </c>
      <c r="Y56" s="1">
        <v>20.763999999999999</v>
      </c>
      <c r="Z56" s="1">
        <f t="shared" si="52"/>
        <v>21.503083333333333</v>
      </c>
      <c r="AA56" s="1">
        <v>51.02</v>
      </c>
      <c r="AC56" s="284">
        <f>AD56*31</f>
        <v>785.29200000000003</v>
      </c>
      <c r="AD56" s="1">
        <f t="shared" si="45"/>
        <v>25.332000000000001</v>
      </c>
      <c r="AE56" s="1">
        <f t="shared" si="87"/>
        <v>26.815416666666668</v>
      </c>
      <c r="AF56" s="1">
        <v>58.57</v>
      </c>
      <c r="AH56" s="284">
        <f>AI56*31</f>
        <v>1598.019</v>
      </c>
      <c r="AI56" s="1">
        <v>51.548999999999999</v>
      </c>
      <c r="AJ56" s="1">
        <f t="shared" si="50"/>
        <v>55.663333333333334</v>
      </c>
      <c r="AK56" s="1">
        <v>152.77000000000001</v>
      </c>
      <c r="AM56" s="284">
        <f>AN56*31</f>
        <v>23.219000000000001</v>
      </c>
      <c r="AN56" s="1">
        <v>0.749</v>
      </c>
      <c r="AO56" s="1">
        <f t="shared" ref="AO56:AO61" si="93">SUM(AN45:AN56)/12</f>
        <v>0.85191666666666654</v>
      </c>
      <c r="AP56" s="88" t="s">
        <v>770</v>
      </c>
      <c r="AR56" s="284">
        <f>AS56*31</f>
        <v>110.825</v>
      </c>
      <c r="AS56" s="1">
        <v>3.5750000000000002</v>
      </c>
      <c r="AT56" s="1">
        <f t="shared" ref="AT56:AT61" si="94">SUM(AS45:AS56)/12</f>
        <v>4.4647500000000013</v>
      </c>
      <c r="AU56" s="88" t="s">
        <v>770</v>
      </c>
      <c r="AW56" s="284">
        <f>AX56*31</f>
        <v>27.094000000000001</v>
      </c>
      <c r="AX56" s="1">
        <v>0.874</v>
      </c>
      <c r="AY56" s="1">
        <f t="shared" ref="AY56:AY61" si="95">SUM(AX45:AX56)/12</f>
        <v>0.88175000000000014</v>
      </c>
      <c r="AZ56" s="88" t="s">
        <v>770</v>
      </c>
      <c r="BB56" s="284">
        <f>BC56*31</f>
        <v>27.466000000000001</v>
      </c>
      <c r="BC56" s="1">
        <v>0.88600000000000001</v>
      </c>
      <c r="BD56" s="1">
        <f t="shared" ref="BD56:BD61" si="96">SUM(BC45:BC56)/12</f>
        <v>0.85233333333333317</v>
      </c>
      <c r="BE56" s="88" t="s">
        <v>770</v>
      </c>
      <c r="BG56" s="284">
        <f>BH56*31</f>
        <v>23.839000000000002</v>
      </c>
      <c r="BH56" s="1">
        <v>0.76900000000000002</v>
      </c>
      <c r="BI56" s="1">
        <f t="shared" ref="BI56:BI61" si="97">SUM(BH45:BH56)/12</f>
        <v>0.89633333333333332</v>
      </c>
      <c r="BJ56" s="88" t="s">
        <v>770</v>
      </c>
      <c r="BL56" s="284">
        <f>BM56*31</f>
        <v>106.733</v>
      </c>
      <c r="BM56" s="1">
        <v>3.4430000000000001</v>
      </c>
      <c r="BN56" s="1">
        <f t="shared" ref="BN56:BN61" si="98">SUM(BM45:BM56)/12</f>
        <v>3.4430000000000001</v>
      </c>
      <c r="BQ56" s="284">
        <f>BR56*31</f>
        <v>19.684999999999999</v>
      </c>
      <c r="BR56" s="1">
        <v>0.63500000000000001</v>
      </c>
      <c r="BS56" s="1">
        <f t="shared" ref="BS56:BS61" si="99">SUM(BR45:BR56)/12</f>
        <v>0.61258333333333326</v>
      </c>
      <c r="BT56" s="88" t="s">
        <v>770</v>
      </c>
      <c r="BV56" s="284">
        <f>BW56*31</f>
        <v>8.4320000000000004</v>
      </c>
      <c r="BW56" s="1">
        <v>0.27200000000000002</v>
      </c>
      <c r="BX56" s="1">
        <f t="shared" ref="BX56:BX61" si="100">SUM(BW45:BW56)/12</f>
        <v>0.2685833333333334</v>
      </c>
      <c r="BY56" s="88" t="s">
        <v>770</v>
      </c>
      <c r="CA56" s="284">
        <f>CB56*31</f>
        <v>15.097</v>
      </c>
      <c r="CB56" s="1">
        <v>0.48699999999999999</v>
      </c>
      <c r="CC56" s="1">
        <f t="shared" ref="CC56:CC61" si="101">SUM(CB45:CB56)/12</f>
        <v>0.50849999999999995</v>
      </c>
      <c r="CD56" s="88" t="s">
        <v>770</v>
      </c>
      <c r="CF56" s="284">
        <f>CG56*31</f>
        <v>47.616</v>
      </c>
      <c r="CG56" s="1">
        <v>1.536</v>
      </c>
      <c r="CH56" s="1">
        <f t="shared" ref="CH56:CH62" si="102">SUM(CG45:CG56)/12</f>
        <v>1.5359999999999998</v>
      </c>
      <c r="CK56" s="284">
        <f>CL56*31</f>
        <v>43.617000000000004</v>
      </c>
      <c r="CL56" s="1">
        <v>1.407</v>
      </c>
      <c r="CM56" s="1">
        <f t="shared" si="61"/>
        <v>2.7865000000000002</v>
      </c>
      <c r="CN56" s="1">
        <v>5.17</v>
      </c>
      <c r="CP56" s="284">
        <f>CQ56*31</f>
        <v>407.27800000000002</v>
      </c>
      <c r="CQ56" s="1">
        <v>13.138</v>
      </c>
      <c r="CR56" s="1">
        <f t="shared" si="84"/>
        <v>12.628416666666668</v>
      </c>
      <c r="CS56" s="1">
        <v>26</v>
      </c>
      <c r="CU56" s="284">
        <f>CV56*31</f>
        <v>119.505</v>
      </c>
      <c r="CV56" s="1">
        <v>3.855</v>
      </c>
      <c r="CW56" s="1">
        <f t="shared" si="85"/>
        <v>4.0638333333333341</v>
      </c>
      <c r="CX56" s="1">
        <v>7.2</v>
      </c>
      <c r="CZ56" s="269">
        <f>DA56*31</f>
        <v>24.087</v>
      </c>
      <c r="DA56" s="1">
        <v>0.77700000000000002</v>
      </c>
      <c r="DC56" s="284">
        <f>DD56*31</f>
        <v>12.586</v>
      </c>
      <c r="DD56" s="1">
        <v>0.40600000000000003</v>
      </c>
      <c r="DE56" s="1">
        <f t="shared" si="86"/>
        <v>0.4014166666666667</v>
      </c>
      <c r="DH56" s="284">
        <f>DI56*31</f>
        <v>90.83</v>
      </c>
      <c r="DI56" s="5">
        <f t="shared" si="70"/>
        <v>2.93</v>
      </c>
      <c r="DJ56" s="1">
        <f t="shared" si="71"/>
        <v>2.9256666666666664</v>
      </c>
      <c r="DM56" s="284">
        <f>DN56*31</f>
        <v>2888.8899999999994</v>
      </c>
      <c r="DN56" s="1">
        <f t="shared" si="72"/>
        <v>93.189999999999984</v>
      </c>
      <c r="DO56" s="1">
        <f t="shared" ref="DO56:DO62" si="103">SUM(DN45:DN56)/12</f>
        <v>101.34250000000002</v>
      </c>
      <c r="DR56" s="284">
        <f>DS56*31</f>
        <v>607.07299999999998</v>
      </c>
      <c r="DS56" s="1">
        <f t="shared" si="66"/>
        <v>19.582999999999998</v>
      </c>
      <c r="DT56" s="1" t="e">
        <f>SUM(CM56+CR56+CW56+#REF!+DE56)</f>
        <v>#REF!</v>
      </c>
      <c r="DW56" s="284">
        <f>DX56*31</f>
        <v>3495.9629999999993</v>
      </c>
      <c r="DX56" s="1">
        <f t="shared" ref="DX56:DX61" si="104">SUM(DN56+DS56)</f>
        <v>112.77299999999998</v>
      </c>
      <c r="DY56" s="1">
        <f t="shared" ref="DY56:DY61" si="105">SUM(DX45:DX56)/12</f>
        <v>122.01183333333331</v>
      </c>
      <c r="EL56">
        <v>2002</v>
      </c>
      <c r="EM56" t="s">
        <v>719</v>
      </c>
      <c r="EN56" t="s">
        <v>841</v>
      </c>
      <c r="EO56">
        <v>183.98499999999999</v>
      </c>
    </row>
    <row r="57" spans="1:145" x14ac:dyDescent="0.25">
      <c r="A57" s="23">
        <v>2002</v>
      </c>
      <c r="B57" s="1" t="s">
        <v>713</v>
      </c>
      <c r="C57" s="1"/>
      <c r="D57" s="284">
        <f>E57*28</f>
        <v>160.58000000000001</v>
      </c>
      <c r="E57" s="1">
        <v>5.7350000000000003</v>
      </c>
      <c r="F57" s="1">
        <f t="shared" si="91"/>
        <v>6.8524166666666666</v>
      </c>
      <c r="G57" s="88" t="s">
        <v>770</v>
      </c>
      <c r="H57" s="88"/>
      <c r="I57" s="283"/>
      <c r="J57" s="88"/>
      <c r="K57" s="88"/>
      <c r="L57" s="88"/>
      <c r="N57" s="284">
        <f>O57*28</f>
        <v>81.368000000000009</v>
      </c>
      <c r="O57" s="1">
        <v>2.9060000000000001</v>
      </c>
      <c r="P57" s="1">
        <f t="shared" si="92"/>
        <v>3.4731666666666672</v>
      </c>
      <c r="Q57" s="1">
        <v>5.16</v>
      </c>
      <c r="S57" s="284">
        <f>T57*28</f>
        <v>124.62799999999999</v>
      </c>
      <c r="T57" s="1">
        <v>4.4509999999999996</v>
      </c>
      <c r="U57" s="1">
        <f t="shared" si="51"/>
        <v>5.2348333333333334</v>
      </c>
      <c r="V57" s="1">
        <v>7.31</v>
      </c>
      <c r="X57" s="284">
        <f>Y57*28</f>
        <v>631.00800000000004</v>
      </c>
      <c r="Y57" s="1">
        <v>22.536000000000001</v>
      </c>
      <c r="Z57" s="1">
        <f t="shared" si="52"/>
        <v>21.484916666666663</v>
      </c>
      <c r="AA57" s="1">
        <v>29.26</v>
      </c>
      <c r="AC57" s="284">
        <f>AD57*28</f>
        <v>755.63600000000008</v>
      </c>
      <c r="AD57" s="1">
        <f t="shared" si="45"/>
        <v>26.987000000000002</v>
      </c>
      <c r="AE57" s="1">
        <f t="shared" si="87"/>
        <v>26.719750000000001</v>
      </c>
      <c r="AF57" s="1">
        <v>36.57</v>
      </c>
      <c r="AH57" s="284">
        <f>AI57*28</f>
        <v>1421.3920000000001</v>
      </c>
      <c r="AI57" s="1">
        <v>50.764000000000003</v>
      </c>
      <c r="AJ57" s="1">
        <f t="shared" si="50"/>
        <v>55.179499999999997</v>
      </c>
      <c r="AK57" s="1">
        <v>132.97</v>
      </c>
      <c r="AM57" s="284">
        <f>AN57*28</f>
        <v>18.283999999999999</v>
      </c>
      <c r="AN57" s="1">
        <v>0.65300000000000002</v>
      </c>
      <c r="AO57" s="1">
        <f t="shared" si="93"/>
        <v>0.83183333333333342</v>
      </c>
      <c r="AP57" s="88" t="s">
        <v>770</v>
      </c>
      <c r="AR57" s="284">
        <f>AS57*28</f>
        <v>98.391999999999996</v>
      </c>
      <c r="AS57" s="1">
        <v>3.5139999999999998</v>
      </c>
      <c r="AT57" s="1">
        <f t="shared" si="94"/>
        <v>4.3655000000000017</v>
      </c>
      <c r="AU57" s="88" t="s">
        <v>770</v>
      </c>
      <c r="AW57" s="284">
        <f>AX57*28</f>
        <v>21.7</v>
      </c>
      <c r="AX57" s="1">
        <v>0.77500000000000002</v>
      </c>
      <c r="AY57" s="1">
        <f t="shared" si="95"/>
        <v>0.87608333333333333</v>
      </c>
      <c r="AZ57" s="88" t="s">
        <v>770</v>
      </c>
      <c r="BB57" s="284">
        <f>BC57*28</f>
        <v>21.42</v>
      </c>
      <c r="BC57" s="1">
        <v>0.76500000000000001</v>
      </c>
      <c r="BD57" s="1">
        <f t="shared" si="96"/>
        <v>0.84399999999999986</v>
      </c>
      <c r="BE57" s="88" t="s">
        <v>770</v>
      </c>
      <c r="BG57" s="284">
        <f>BH57*28</f>
        <v>17.22</v>
      </c>
      <c r="BH57" s="1">
        <v>0.61499999999999999</v>
      </c>
      <c r="BI57" s="1">
        <f t="shared" si="97"/>
        <v>0.86216666666666664</v>
      </c>
      <c r="BJ57" s="88" t="s">
        <v>770</v>
      </c>
      <c r="BL57" s="284">
        <f>BM57*28</f>
        <v>96.403999999999996</v>
      </c>
      <c r="BM57" s="1">
        <v>3.4430000000000001</v>
      </c>
      <c r="BN57" s="1">
        <f t="shared" si="98"/>
        <v>3.4430000000000001</v>
      </c>
      <c r="BQ57" s="284">
        <f>BR57*28</f>
        <v>12.012</v>
      </c>
      <c r="BR57" s="1">
        <v>0.42899999999999999</v>
      </c>
      <c r="BS57" s="1">
        <f t="shared" si="99"/>
        <v>0.6</v>
      </c>
      <c r="BT57" s="88" t="s">
        <v>770</v>
      </c>
      <c r="BV57" s="284">
        <f>BW57*28</f>
        <v>4.032</v>
      </c>
      <c r="BW57" s="1">
        <v>0.14399999999999999</v>
      </c>
      <c r="BX57" s="1">
        <f t="shared" si="100"/>
        <v>0.26016666666666671</v>
      </c>
      <c r="BY57" s="88" t="s">
        <v>770</v>
      </c>
      <c r="CA57" s="284">
        <f>CB57*28</f>
        <v>11.368</v>
      </c>
      <c r="CB57" s="1">
        <v>0.40600000000000003</v>
      </c>
      <c r="CC57" s="1">
        <f t="shared" si="101"/>
        <v>0.49791666666666656</v>
      </c>
      <c r="CD57" s="88" t="s">
        <v>770</v>
      </c>
      <c r="CF57" s="284">
        <f>CG57*28</f>
        <v>43.008000000000003</v>
      </c>
      <c r="CG57" s="1">
        <v>1.536</v>
      </c>
      <c r="CH57" s="1">
        <f t="shared" si="102"/>
        <v>1.5359999999999998</v>
      </c>
      <c r="CK57" s="284">
        <f>CL57*28</f>
        <v>35.475999999999999</v>
      </c>
      <c r="CL57" s="1">
        <v>1.2669999999999999</v>
      </c>
      <c r="CM57" s="1">
        <f t="shared" si="61"/>
        <v>2.6456666666666666</v>
      </c>
      <c r="CN57" s="1">
        <v>39.97</v>
      </c>
      <c r="CP57" s="284">
        <f>CQ57*28</f>
        <v>357.64400000000001</v>
      </c>
      <c r="CQ57" s="1">
        <v>12.773</v>
      </c>
      <c r="CR57" s="1">
        <f t="shared" si="84"/>
        <v>12.704500000000001</v>
      </c>
      <c r="CS57" s="1">
        <v>27.5</v>
      </c>
      <c r="CU57" s="284">
        <f>CV57*28</f>
        <v>101.92</v>
      </c>
      <c r="CV57" s="1">
        <v>3.64</v>
      </c>
      <c r="CW57" s="1">
        <f t="shared" si="85"/>
        <v>4.0205833333333336</v>
      </c>
      <c r="CX57" s="1">
        <v>5.6</v>
      </c>
      <c r="CZ57" s="269">
        <f>DA57*28</f>
        <v>20.3</v>
      </c>
      <c r="DA57" s="1">
        <v>0.72499999999999998</v>
      </c>
      <c r="DC57" s="284">
        <f>DD57*28</f>
        <v>11.368</v>
      </c>
      <c r="DD57" s="1">
        <v>0.40600000000000003</v>
      </c>
      <c r="DE57" s="1">
        <f t="shared" ref="DE57:DE62" si="106">SUM(DD46:DD57)/12</f>
        <v>0.40233333333333338</v>
      </c>
      <c r="DH57" s="284">
        <f>DI57*28</f>
        <v>70.42</v>
      </c>
      <c r="DI57" s="5">
        <f t="shared" si="70"/>
        <v>2.5150000000000001</v>
      </c>
      <c r="DJ57" s="1">
        <f t="shared" ref="DJ57:DJ62" si="107">SUM(DI46:DI57)/12</f>
        <v>2.8940833333333331</v>
      </c>
      <c r="DM57" s="284">
        <f>DN57*28</f>
        <v>2621.9759999999997</v>
      </c>
      <c r="DN57" s="1">
        <f t="shared" si="72"/>
        <v>93.641999999999996</v>
      </c>
      <c r="DO57" s="1">
        <f t="shared" si="103"/>
        <v>100.55333333333333</v>
      </c>
      <c r="DR57" s="284">
        <f>DS57*28</f>
        <v>526.70799999999997</v>
      </c>
      <c r="DS57" s="1">
        <f t="shared" si="66"/>
        <v>18.811</v>
      </c>
      <c r="DT57" s="1" t="e">
        <f>SUM(CM57+CR57+CW57+#REF!+DE57)</f>
        <v>#REF!</v>
      </c>
      <c r="DW57" s="284">
        <f>DX57*28</f>
        <v>3148.6840000000002</v>
      </c>
      <c r="DX57" s="1">
        <f t="shared" si="104"/>
        <v>112.453</v>
      </c>
      <c r="DY57" s="1">
        <f t="shared" si="105"/>
        <v>121.1108333333333</v>
      </c>
      <c r="EL57">
        <v>2002</v>
      </c>
      <c r="EM57" t="s">
        <v>713</v>
      </c>
      <c r="EN57" t="s">
        <v>841</v>
      </c>
      <c r="EO57">
        <v>160.58000000000001</v>
      </c>
    </row>
    <row r="58" spans="1:145" x14ac:dyDescent="0.25">
      <c r="A58" s="23">
        <v>2002</v>
      </c>
      <c r="B58" s="1" t="s">
        <v>714</v>
      </c>
      <c r="C58" s="1"/>
      <c r="D58" s="284">
        <f>E58*31</f>
        <v>183.923</v>
      </c>
      <c r="E58" s="1">
        <v>5.9329999999999998</v>
      </c>
      <c r="F58" s="1">
        <f t="shared" si="91"/>
        <v>6.7886666666666668</v>
      </c>
      <c r="G58" s="88" t="s">
        <v>770</v>
      </c>
      <c r="H58" s="88"/>
      <c r="I58" s="283"/>
      <c r="J58" s="88"/>
      <c r="K58" s="88"/>
      <c r="L58" s="88"/>
      <c r="N58" s="284">
        <f>O58*31</f>
        <v>93.713000000000008</v>
      </c>
      <c r="O58" s="1">
        <v>3.0230000000000001</v>
      </c>
      <c r="P58" s="1">
        <f t="shared" si="92"/>
        <v>3.442166666666667</v>
      </c>
      <c r="Q58" s="1">
        <v>5.8</v>
      </c>
      <c r="S58" s="284">
        <f>T58*31</f>
        <v>144.863</v>
      </c>
      <c r="T58" s="1">
        <v>4.673</v>
      </c>
      <c r="U58" s="1">
        <f t="shared" si="51"/>
        <v>5.1431666666666667</v>
      </c>
      <c r="V58" s="1">
        <v>7.93</v>
      </c>
      <c r="X58" s="284">
        <f>Y58*31</f>
        <v>718.82799999999997</v>
      </c>
      <c r="Y58" s="1">
        <v>23.187999999999999</v>
      </c>
      <c r="Z58" s="1">
        <f t="shared" si="52"/>
        <v>21.495166666666666</v>
      </c>
      <c r="AA58" s="1">
        <v>30.85</v>
      </c>
      <c r="AC58" s="284">
        <f>AD58*31</f>
        <v>863.69099999999992</v>
      </c>
      <c r="AD58" s="1">
        <f t="shared" si="45"/>
        <v>27.860999999999997</v>
      </c>
      <c r="AE58" s="1">
        <f t="shared" si="87"/>
        <v>26.638333333333335</v>
      </c>
      <c r="AF58" s="1">
        <v>38.78</v>
      </c>
      <c r="AH58" s="284">
        <f>AI58*31</f>
        <v>1647.5260000000001</v>
      </c>
      <c r="AI58" s="1">
        <v>53.146000000000001</v>
      </c>
      <c r="AJ58" s="1">
        <f t="shared" si="50"/>
        <v>54.713583333333332</v>
      </c>
      <c r="AK58" s="1">
        <v>125.43</v>
      </c>
      <c r="AM58" s="284">
        <f>AN58*31</f>
        <v>22.847000000000001</v>
      </c>
      <c r="AN58" s="1">
        <v>0.73699999999999999</v>
      </c>
      <c r="AO58" s="1">
        <f t="shared" si="93"/>
        <v>0.81225000000000003</v>
      </c>
      <c r="AP58" s="88" t="s">
        <v>770</v>
      </c>
      <c r="AR58" s="284">
        <f>AS58*31</f>
        <v>116.622</v>
      </c>
      <c r="AS58" s="1">
        <v>3.762</v>
      </c>
      <c r="AT58" s="1">
        <f t="shared" si="94"/>
        <v>4.2958333333333343</v>
      </c>
      <c r="AU58" s="88" t="s">
        <v>770</v>
      </c>
      <c r="AW58" s="284">
        <f>AX58*31</f>
        <v>28.799000000000003</v>
      </c>
      <c r="AX58" s="1">
        <v>0.92900000000000005</v>
      </c>
      <c r="AY58" s="1">
        <f t="shared" si="95"/>
        <v>0.8806666666666666</v>
      </c>
      <c r="AZ58" s="88" t="s">
        <v>770</v>
      </c>
      <c r="BB58" s="284">
        <f>BC58*31</f>
        <v>28.427</v>
      </c>
      <c r="BC58" s="1">
        <v>0.91700000000000004</v>
      </c>
      <c r="BD58" s="1">
        <f t="shared" si="96"/>
        <v>0.84891666666666665</v>
      </c>
      <c r="BE58" s="88" t="s">
        <v>770</v>
      </c>
      <c r="BG58" s="284">
        <f>BH58*31</f>
        <v>20.801000000000002</v>
      </c>
      <c r="BH58" s="1">
        <v>0.67100000000000004</v>
      </c>
      <c r="BI58" s="1">
        <f t="shared" si="97"/>
        <v>0.81766666666666665</v>
      </c>
      <c r="BJ58" s="88" t="s">
        <v>770</v>
      </c>
      <c r="BL58" s="284">
        <f>BM58*31</f>
        <v>106.733</v>
      </c>
      <c r="BM58" s="1">
        <v>3.4430000000000001</v>
      </c>
      <c r="BN58" s="1">
        <f t="shared" si="98"/>
        <v>3.4430000000000001</v>
      </c>
      <c r="BQ58" s="284">
        <f>BR58*31</f>
        <v>15.872</v>
      </c>
      <c r="BR58" s="1">
        <v>0.51200000000000001</v>
      </c>
      <c r="BS58" s="1">
        <f t="shared" si="99"/>
        <v>0.59750000000000003</v>
      </c>
      <c r="BT58" s="88" t="s">
        <v>770</v>
      </c>
      <c r="BV58" s="284">
        <f>BW58*31</f>
        <v>5.766</v>
      </c>
      <c r="BW58" s="1">
        <v>0.186</v>
      </c>
      <c r="BX58" s="1">
        <f t="shared" si="100"/>
        <v>0.25183333333333335</v>
      </c>
      <c r="BY58" s="88" t="s">
        <v>770</v>
      </c>
      <c r="CA58" s="284">
        <f>CB58*31</f>
        <v>14.972999999999999</v>
      </c>
      <c r="CB58" s="1">
        <v>0.48299999999999998</v>
      </c>
      <c r="CC58" s="1">
        <f t="shared" si="101"/>
        <v>0.49116666666666658</v>
      </c>
      <c r="CD58" s="88" t="s">
        <v>770</v>
      </c>
      <c r="CF58" s="284">
        <f>CG58*31</f>
        <v>47.616</v>
      </c>
      <c r="CG58" s="1">
        <v>1.536</v>
      </c>
      <c r="CH58" s="1">
        <f t="shared" si="102"/>
        <v>1.5359999999999998</v>
      </c>
      <c r="CK58" s="284">
        <f>CL58*31</f>
        <v>56.016999999999996</v>
      </c>
      <c r="CL58" s="1">
        <v>1.8069999999999999</v>
      </c>
      <c r="CM58" s="1">
        <f t="shared" ref="CM58:CM69" si="108">SUM(CL47:CL58)/12</f>
        <v>2.4857499999999999</v>
      </c>
      <c r="CN58" s="1">
        <v>8.57</v>
      </c>
      <c r="CP58" s="284">
        <f>CQ58*31</f>
        <v>419.58499999999998</v>
      </c>
      <c r="CQ58" s="1">
        <v>13.535</v>
      </c>
      <c r="CR58" s="1">
        <f t="shared" si="84"/>
        <v>12.760333333333334</v>
      </c>
      <c r="CS58" s="1">
        <v>26.3</v>
      </c>
      <c r="CU58" s="284">
        <f>CV58*31</f>
        <v>117.521</v>
      </c>
      <c r="CV58" s="1">
        <v>3.7909999999999999</v>
      </c>
      <c r="CW58" s="1">
        <f t="shared" si="85"/>
        <v>3.9734166666666666</v>
      </c>
      <c r="CX58" s="1">
        <v>7.8</v>
      </c>
      <c r="CZ58" s="269">
        <f>DA58*31</f>
        <v>21.823999999999998</v>
      </c>
      <c r="DA58" s="1">
        <v>0.70399999999999996</v>
      </c>
      <c r="DC58" s="284">
        <f>DD58*31</f>
        <v>12.586</v>
      </c>
      <c r="DD58" s="1">
        <v>0.40600000000000003</v>
      </c>
      <c r="DE58" s="1">
        <f t="shared" si="106"/>
        <v>0.40325000000000005</v>
      </c>
      <c r="DH58" s="284">
        <f>DI58*31</f>
        <v>84.227000000000004</v>
      </c>
      <c r="DI58" s="5">
        <f t="shared" si="70"/>
        <v>2.7170000000000001</v>
      </c>
      <c r="DJ58" s="1">
        <f t="shared" si="107"/>
        <v>2.8765000000000001</v>
      </c>
      <c r="DM58" s="284">
        <f>DN58*31</f>
        <v>3028.855</v>
      </c>
      <c r="DN58" s="1">
        <f t="shared" si="72"/>
        <v>97.704999999999998</v>
      </c>
      <c r="DO58" s="1">
        <f t="shared" si="103"/>
        <v>99.804583333333312</v>
      </c>
      <c r="DR58" s="284">
        <f>DS58*31</f>
        <v>627.5329999999999</v>
      </c>
      <c r="DS58" s="1">
        <f t="shared" si="66"/>
        <v>20.242999999999999</v>
      </c>
      <c r="DT58" s="1" t="e">
        <f>SUM(CM58+CR58+CW58+#REF!+DE58)</f>
        <v>#REF!</v>
      </c>
      <c r="DW58" s="284">
        <f>DX58*31</f>
        <v>3656.3879999999999</v>
      </c>
      <c r="DX58" s="1">
        <f t="shared" si="104"/>
        <v>117.94799999999999</v>
      </c>
      <c r="DY58" s="1">
        <f t="shared" si="105"/>
        <v>120.19933333333331</v>
      </c>
      <c r="ED58" s="1">
        <f>EE58*92</f>
        <v>1798.2013333333332</v>
      </c>
      <c r="EE58" s="1">
        <f>AVERAGE(DS56:DS58)</f>
        <v>19.545666666666666</v>
      </c>
      <c r="EF58" s="1">
        <f>SUM(EE49+EE52+EE55+EE58)/4</f>
        <v>20.394749999999998</v>
      </c>
      <c r="EL58">
        <v>2002</v>
      </c>
      <c r="EM58" t="s">
        <v>714</v>
      </c>
      <c r="EN58" t="s">
        <v>841</v>
      </c>
      <c r="EO58">
        <v>183.923</v>
      </c>
    </row>
    <row r="59" spans="1:145" x14ac:dyDescent="0.25">
      <c r="A59" s="23">
        <v>2002</v>
      </c>
      <c r="B59" s="1" t="s">
        <v>705</v>
      </c>
      <c r="C59" s="1"/>
      <c r="D59" s="284">
        <f>E59*30</f>
        <v>190.95000000000002</v>
      </c>
      <c r="E59" s="1">
        <v>6.3650000000000002</v>
      </c>
      <c r="F59" s="1">
        <f t="shared" si="91"/>
        <v>6.7286666666666681</v>
      </c>
      <c r="G59" s="88" t="s">
        <v>770</v>
      </c>
      <c r="H59" s="88"/>
      <c r="I59" s="283"/>
      <c r="J59" s="88"/>
      <c r="K59" s="88"/>
      <c r="L59" s="88"/>
      <c r="N59" s="284">
        <f>O59*30</f>
        <v>96.78</v>
      </c>
      <c r="O59" s="1">
        <v>3.226</v>
      </c>
      <c r="P59" s="1">
        <f t="shared" si="92"/>
        <v>3.4117500000000001</v>
      </c>
      <c r="Q59" s="1">
        <v>8.4</v>
      </c>
      <c r="S59" s="284">
        <f>T59*30</f>
        <v>141.63</v>
      </c>
      <c r="T59" s="1">
        <v>4.7210000000000001</v>
      </c>
      <c r="U59" s="1">
        <f t="shared" si="51"/>
        <v>5.0415833333333326</v>
      </c>
      <c r="V59" s="1">
        <v>10.83</v>
      </c>
      <c r="X59" s="284">
        <f>Y59*30</f>
        <v>707.28</v>
      </c>
      <c r="Y59" s="1">
        <v>23.576000000000001</v>
      </c>
      <c r="Z59" s="1">
        <f t="shared" si="52"/>
        <v>21.537750000000003</v>
      </c>
      <c r="AA59" s="1">
        <v>36.700000000000003</v>
      </c>
      <c r="AC59" s="284">
        <f>AD59*30</f>
        <v>848.91</v>
      </c>
      <c r="AD59" s="1">
        <f t="shared" si="45"/>
        <v>28.297000000000001</v>
      </c>
      <c r="AE59" s="1">
        <f t="shared" si="87"/>
        <v>26.579333333333334</v>
      </c>
      <c r="AF59" s="1">
        <v>47.53</v>
      </c>
      <c r="AH59" s="284">
        <f>AI59*30</f>
        <v>1612.74</v>
      </c>
      <c r="AI59" s="1">
        <v>53.758000000000003</v>
      </c>
      <c r="AJ59" s="1">
        <f t="shared" si="50"/>
        <v>54.257249999999992</v>
      </c>
      <c r="AK59" s="1">
        <v>138.56</v>
      </c>
      <c r="AM59" s="284">
        <f>AN59*30</f>
        <v>20.7</v>
      </c>
      <c r="AN59" s="1">
        <v>0.69</v>
      </c>
      <c r="AO59" s="1">
        <f t="shared" si="93"/>
        <v>0.79299999999999982</v>
      </c>
      <c r="AP59" s="88" t="s">
        <v>770</v>
      </c>
      <c r="AR59" s="284">
        <f>AS59*30</f>
        <v>111.17999999999999</v>
      </c>
      <c r="AS59" s="1">
        <v>3.706</v>
      </c>
      <c r="AT59" s="1">
        <f t="shared" si="94"/>
        <v>4.2223333333333342</v>
      </c>
      <c r="AU59" s="88" t="s">
        <v>770</v>
      </c>
      <c r="AW59" s="284">
        <f>AX59*30</f>
        <v>24.99</v>
      </c>
      <c r="AX59" s="1">
        <v>0.83299999999999996</v>
      </c>
      <c r="AY59" s="1">
        <f t="shared" si="95"/>
        <v>0.87724999999999997</v>
      </c>
      <c r="AZ59" s="88" t="s">
        <v>770</v>
      </c>
      <c r="BB59" s="284">
        <f>BC59*30</f>
        <v>24.66</v>
      </c>
      <c r="BC59" s="1">
        <v>0.82199999999999995</v>
      </c>
      <c r="BD59" s="1">
        <f t="shared" si="96"/>
        <v>0.84966666666666668</v>
      </c>
      <c r="BE59" s="88" t="s">
        <v>770</v>
      </c>
      <c r="BG59" s="284">
        <f>BH59*30</f>
        <v>19.41</v>
      </c>
      <c r="BH59" s="1">
        <v>0.64700000000000002</v>
      </c>
      <c r="BI59" s="1">
        <f t="shared" si="97"/>
        <v>0.77383333333333326</v>
      </c>
      <c r="BJ59" s="88" t="s">
        <v>770</v>
      </c>
      <c r="BL59" s="284">
        <f>BM59*30</f>
        <v>103.29</v>
      </c>
      <c r="BM59" s="1">
        <v>3.4430000000000001</v>
      </c>
      <c r="BN59" s="1">
        <f t="shared" si="98"/>
        <v>3.4430000000000001</v>
      </c>
      <c r="BQ59" s="284">
        <f>BR59*30</f>
        <v>14.010000000000002</v>
      </c>
      <c r="BR59" s="1">
        <v>0.46700000000000003</v>
      </c>
      <c r="BS59" s="1">
        <f t="shared" si="99"/>
        <v>0.58833333333333326</v>
      </c>
      <c r="BT59" s="88" t="s">
        <v>770</v>
      </c>
      <c r="BV59" s="284">
        <f>BW59*30</f>
        <v>5.7</v>
      </c>
      <c r="BW59" s="1">
        <v>0.19</v>
      </c>
      <c r="BX59" s="1">
        <f t="shared" si="100"/>
        <v>0.24633333333333332</v>
      </c>
      <c r="BY59" s="88" t="s">
        <v>770</v>
      </c>
      <c r="CA59" s="284">
        <f>CB59*30</f>
        <v>12.719999999999999</v>
      </c>
      <c r="CB59" s="1">
        <v>0.42399999999999999</v>
      </c>
      <c r="CC59" s="1">
        <f t="shared" si="101"/>
        <v>0.47958333333333331</v>
      </c>
      <c r="CD59" s="88" t="s">
        <v>770</v>
      </c>
      <c r="CF59" s="284">
        <f>CG59*30</f>
        <v>46.08</v>
      </c>
      <c r="CG59" s="1">
        <v>1.536</v>
      </c>
      <c r="CH59" s="1">
        <f t="shared" si="102"/>
        <v>1.5359999999999998</v>
      </c>
      <c r="CK59" s="284">
        <f>CL59*30</f>
        <v>65.160000000000011</v>
      </c>
      <c r="CL59" s="1">
        <v>2.1720000000000002</v>
      </c>
      <c r="CM59" s="1">
        <f t="shared" si="108"/>
        <v>2.3333333333333335</v>
      </c>
      <c r="CN59" s="1">
        <v>10.43</v>
      </c>
      <c r="CP59" s="284">
        <f>CQ59*30</f>
        <v>405.48</v>
      </c>
      <c r="CQ59" s="1">
        <v>13.516</v>
      </c>
      <c r="CR59" s="1">
        <f t="shared" si="84"/>
        <v>12.817666666666666</v>
      </c>
      <c r="CS59" s="1">
        <v>30.5</v>
      </c>
      <c r="CU59" s="284">
        <f>CV59*30</f>
        <v>112.38</v>
      </c>
      <c r="CV59" s="1">
        <v>3.746</v>
      </c>
      <c r="CW59" s="1">
        <f t="shared" si="85"/>
        <v>3.9195833333333332</v>
      </c>
      <c r="CX59" s="1">
        <v>7.2</v>
      </c>
      <c r="CZ59" s="269">
        <f>DA59*30</f>
        <v>21.87</v>
      </c>
      <c r="DA59" s="1">
        <v>0.72899999999999998</v>
      </c>
      <c r="DC59" s="284">
        <f>DD59*30</f>
        <v>12.180000000000001</v>
      </c>
      <c r="DD59" s="1">
        <v>0.40600000000000003</v>
      </c>
      <c r="DE59" s="1">
        <f t="shared" si="106"/>
        <v>0.40416666666666673</v>
      </c>
      <c r="DH59" s="284">
        <f>DI59*30</f>
        <v>78.510000000000005</v>
      </c>
      <c r="DI59" s="5">
        <f t="shared" si="70"/>
        <v>2.617</v>
      </c>
      <c r="DJ59" s="1">
        <f t="shared" si="107"/>
        <v>2.8502499999999995</v>
      </c>
      <c r="DM59" s="284">
        <f>DN59*30</f>
        <v>2975.1000000000004</v>
      </c>
      <c r="DN59" s="1">
        <f t="shared" si="72"/>
        <v>99.170000000000016</v>
      </c>
      <c r="DO59" s="1">
        <f t="shared" si="103"/>
        <v>99.085833333333326</v>
      </c>
      <c r="DR59" s="284">
        <f>DS59*30</f>
        <v>617.06999999999994</v>
      </c>
      <c r="DS59" s="1">
        <f t="shared" si="66"/>
        <v>20.568999999999999</v>
      </c>
      <c r="DT59" s="1" t="e">
        <f>SUM(CM59+CR59+CW59+#REF!+DE59)</f>
        <v>#REF!</v>
      </c>
      <c r="DW59" s="284">
        <f>DX59*30</f>
        <v>3592.1700000000005</v>
      </c>
      <c r="DX59" s="1">
        <f t="shared" si="104"/>
        <v>119.73900000000002</v>
      </c>
      <c r="DY59" s="1">
        <f t="shared" si="105"/>
        <v>119.32058333333333</v>
      </c>
      <c r="EL59">
        <v>2002</v>
      </c>
      <c r="EM59" t="s">
        <v>705</v>
      </c>
      <c r="EN59" t="s">
        <v>841</v>
      </c>
      <c r="EO59">
        <v>190.95000000000002</v>
      </c>
    </row>
    <row r="60" spans="1:145" x14ac:dyDescent="0.25">
      <c r="A60" s="23">
        <v>2002</v>
      </c>
      <c r="B60" s="1" t="s">
        <v>715</v>
      </c>
      <c r="C60" s="1"/>
      <c r="D60" s="284">
        <f>E60*31</f>
        <v>210.11799999999999</v>
      </c>
      <c r="E60" s="1">
        <v>6.7779999999999996</v>
      </c>
      <c r="F60" s="1">
        <f t="shared" si="91"/>
        <v>6.6907500000000004</v>
      </c>
      <c r="G60" s="88" t="s">
        <v>770</v>
      </c>
      <c r="H60" s="88"/>
      <c r="I60" s="283"/>
      <c r="J60" s="88"/>
      <c r="K60" s="88"/>
      <c r="L60" s="88"/>
      <c r="N60" s="284">
        <f>O60*31</f>
        <v>106.485</v>
      </c>
      <c r="O60" s="1">
        <v>3.4350000000000001</v>
      </c>
      <c r="P60" s="1">
        <f t="shared" si="92"/>
        <v>3.3925000000000001</v>
      </c>
      <c r="Q60" s="1">
        <v>11.4</v>
      </c>
      <c r="S60" s="284">
        <f>T60*31</f>
        <v>171.64699999999999</v>
      </c>
      <c r="T60" s="1">
        <v>5.5369999999999999</v>
      </c>
      <c r="U60" s="1">
        <f t="shared" si="51"/>
        <v>5.028833333333333</v>
      </c>
      <c r="V60" s="1">
        <v>9.92</v>
      </c>
      <c r="X60" s="284">
        <f>Y60*31</f>
        <v>759.62400000000002</v>
      </c>
      <c r="Y60" s="1">
        <v>24.504000000000001</v>
      </c>
      <c r="Z60" s="1">
        <f t="shared" si="52"/>
        <v>21.702916666666667</v>
      </c>
      <c r="AA60" s="1">
        <v>35.33</v>
      </c>
      <c r="AC60" s="284">
        <f>AD60*31</f>
        <v>931.27099999999996</v>
      </c>
      <c r="AD60" s="1">
        <f t="shared" si="45"/>
        <v>30.041</v>
      </c>
      <c r="AE60" s="1">
        <f t="shared" si="87"/>
        <v>26.731750000000002</v>
      </c>
      <c r="AF60" s="1">
        <f t="shared" ref="AF60:AF72" si="109">SUM(V60+AA60)</f>
        <v>45.25</v>
      </c>
      <c r="AH60" s="284">
        <f>AI60*31</f>
        <v>1695.979</v>
      </c>
      <c r="AI60" s="1">
        <v>54.709000000000003</v>
      </c>
      <c r="AJ60" s="1">
        <f t="shared" si="50"/>
        <v>53.821916666666674</v>
      </c>
      <c r="AK60" s="1">
        <v>192.02</v>
      </c>
      <c r="AM60" s="284">
        <f>AN60*31</f>
        <v>23.094999999999999</v>
      </c>
      <c r="AN60" s="1">
        <v>0.745</v>
      </c>
      <c r="AO60" s="1">
        <f t="shared" si="93"/>
        <v>0.7756666666666665</v>
      </c>
      <c r="AP60" s="88" t="s">
        <v>770</v>
      </c>
      <c r="AR60" s="284">
        <f>AS60*31</f>
        <v>114.886</v>
      </c>
      <c r="AS60" s="1">
        <v>3.706</v>
      </c>
      <c r="AT60" s="1">
        <f t="shared" si="94"/>
        <v>4.1655833333333341</v>
      </c>
      <c r="AU60" s="88" t="s">
        <v>770</v>
      </c>
      <c r="AW60" s="284">
        <f>AX60*31</f>
        <v>28.706000000000003</v>
      </c>
      <c r="AX60" s="1">
        <v>0.92600000000000005</v>
      </c>
      <c r="AY60" s="1">
        <f t="shared" si="95"/>
        <v>0.88158333333333327</v>
      </c>
      <c r="AZ60" s="88" t="s">
        <v>770</v>
      </c>
      <c r="BB60" s="284">
        <f>BC60*31</f>
        <v>28.303000000000001</v>
      </c>
      <c r="BC60" s="1">
        <v>0.91300000000000003</v>
      </c>
      <c r="BD60" s="1">
        <f t="shared" si="96"/>
        <v>0.85424999999999995</v>
      </c>
      <c r="BE60" s="88" t="s">
        <v>770</v>
      </c>
      <c r="BG60" s="284">
        <f>BH60*31</f>
        <v>24.366</v>
      </c>
      <c r="BH60" s="1">
        <v>0.78600000000000003</v>
      </c>
      <c r="BI60" s="1">
        <f t="shared" si="97"/>
        <v>0.76600000000000001</v>
      </c>
      <c r="BJ60" s="88" t="s">
        <v>770</v>
      </c>
      <c r="BL60" s="284">
        <f>BM60*31</f>
        <v>106.733</v>
      </c>
      <c r="BM60" s="1">
        <v>3.4430000000000001</v>
      </c>
      <c r="BN60" s="1">
        <f t="shared" si="98"/>
        <v>3.4430000000000001</v>
      </c>
      <c r="BQ60" s="284">
        <f>BR60*31</f>
        <v>16.182000000000002</v>
      </c>
      <c r="BR60" s="1">
        <v>0.52200000000000002</v>
      </c>
      <c r="BS60" s="1">
        <f t="shared" si="99"/>
        <v>0.58391666666666653</v>
      </c>
      <c r="BT60" s="88" t="s">
        <v>770</v>
      </c>
      <c r="BV60" s="284">
        <f>BW60*31</f>
        <v>6.5720000000000001</v>
      </c>
      <c r="BW60" s="1">
        <v>0.21199999999999999</v>
      </c>
      <c r="BX60" s="1">
        <f t="shared" si="100"/>
        <v>0.24233333333333337</v>
      </c>
      <c r="BY60" s="88" t="s">
        <v>770</v>
      </c>
      <c r="CA60" s="284">
        <f>CB60*31</f>
        <v>14.384</v>
      </c>
      <c r="CB60" s="1">
        <v>0.46400000000000002</v>
      </c>
      <c r="CC60" s="1">
        <f t="shared" si="101"/>
        <v>0.47175000000000006</v>
      </c>
      <c r="CD60" s="88" t="s">
        <v>770</v>
      </c>
      <c r="CF60" s="284">
        <f>CG60*31</f>
        <v>47.616</v>
      </c>
      <c r="CG60" s="1">
        <v>1.536</v>
      </c>
      <c r="CH60" s="1">
        <f t="shared" si="102"/>
        <v>1.5359999999999998</v>
      </c>
      <c r="CK60" s="284">
        <f>CL60*31</f>
        <v>76.228999999999999</v>
      </c>
      <c r="CL60" s="1">
        <v>2.4590000000000001</v>
      </c>
      <c r="CM60" s="1">
        <f t="shared" si="108"/>
        <v>2.246916666666666</v>
      </c>
      <c r="CN60" s="1">
        <v>11.27</v>
      </c>
      <c r="CP60" s="284">
        <f>CQ60*31</f>
        <v>430.80700000000002</v>
      </c>
      <c r="CQ60" s="1">
        <v>13.897</v>
      </c>
      <c r="CR60" s="1">
        <f t="shared" si="84"/>
        <v>12.909249999999998</v>
      </c>
      <c r="CS60" s="1">
        <v>31</v>
      </c>
      <c r="CU60" s="284">
        <f>CV60*31</f>
        <v>118.97800000000001</v>
      </c>
      <c r="CV60" s="1">
        <v>3.8380000000000001</v>
      </c>
      <c r="CW60" s="1">
        <f t="shared" si="85"/>
        <v>3.8807499999999995</v>
      </c>
      <c r="CX60" s="1">
        <v>7.6</v>
      </c>
      <c r="CZ60" s="269">
        <f>DA60*31</f>
        <v>21.482999999999997</v>
      </c>
      <c r="DA60" s="1">
        <v>0.69299999999999995</v>
      </c>
      <c r="DC60" s="284">
        <f>DD60*31</f>
        <v>12.586</v>
      </c>
      <c r="DD60" s="1">
        <v>0.40600000000000003</v>
      </c>
      <c r="DE60" s="1">
        <f t="shared" si="106"/>
        <v>0.4050833333333333</v>
      </c>
      <c r="DH60" s="284">
        <f>DI60*31</f>
        <v>84.754000000000005</v>
      </c>
      <c r="DI60" s="5">
        <f t="shared" si="70"/>
        <v>2.734</v>
      </c>
      <c r="DJ60" s="1">
        <f t="shared" si="107"/>
        <v>2.8339999999999996</v>
      </c>
      <c r="DM60" s="284">
        <f>DN60*31</f>
        <v>3185.1880000000001</v>
      </c>
      <c r="DN60" s="1">
        <f t="shared" si="72"/>
        <v>102.748</v>
      </c>
      <c r="DO60" s="1">
        <f t="shared" si="103"/>
        <v>98.688999999999979</v>
      </c>
      <c r="DR60" s="284">
        <f>DS60*31</f>
        <v>660.08300000000008</v>
      </c>
      <c r="DS60" s="1">
        <f t="shared" si="66"/>
        <v>21.293000000000003</v>
      </c>
      <c r="DT60" s="1" t="e">
        <f>SUM(CM60+CR60+CW60+#REF!+DE60)</f>
        <v>#REF!</v>
      </c>
      <c r="DW60" s="284">
        <f>DX60*31</f>
        <v>3845.2710000000002</v>
      </c>
      <c r="DX60" s="1">
        <f t="shared" si="104"/>
        <v>124.04100000000001</v>
      </c>
      <c r="DY60" s="1">
        <f t="shared" si="105"/>
        <v>118.87675000000002</v>
      </c>
      <c r="EL60">
        <v>2002</v>
      </c>
      <c r="EM60" t="s">
        <v>715</v>
      </c>
      <c r="EN60" t="s">
        <v>841</v>
      </c>
      <c r="EO60">
        <v>210.11799999999999</v>
      </c>
    </row>
    <row r="61" spans="1:145" x14ac:dyDescent="0.25">
      <c r="A61" s="23">
        <v>2002</v>
      </c>
      <c r="B61" s="1" t="s">
        <v>718</v>
      </c>
      <c r="C61" s="1"/>
      <c r="D61" s="284">
        <f>E61*30</f>
        <v>210.35999999999999</v>
      </c>
      <c r="E61" s="1">
        <v>7.0119999999999996</v>
      </c>
      <c r="F61" s="1">
        <f t="shared" si="91"/>
        <v>6.6466666666666674</v>
      </c>
      <c r="G61" s="88" t="s">
        <v>770</v>
      </c>
      <c r="H61" s="88"/>
      <c r="I61" s="283"/>
      <c r="J61" s="88"/>
      <c r="K61" s="88"/>
      <c r="L61" s="88"/>
      <c r="N61" s="284">
        <f>O61*30</f>
        <v>106.61999999999999</v>
      </c>
      <c r="O61" s="1">
        <v>3.5539999999999998</v>
      </c>
      <c r="P61" s="1">
        <f t="shared" si="92"/>
        <v>3.3701666666666665</v>
      </c>
      <c r="Q61" s="1">
        <v>6.2</v>
      </c>
      <c r="S61" s="284">
        <f>T61*30</f>
        <v>141.35999999999999</v>
      </c>
      <c r="T61" s="1">
        <v>4.7119999999999997</v>
      </c>
      <c r="U61" s="1">
        <f t="shared" si="51"/>
        <v>4.8896666666666668</v>
      </c>
      <c r="V61" s="1">
        <v>15.37</v>
      </c>
      <c r="X61" s="284">
        <f>Y61*30</f>
        <v>743.88</v>
      </c>
      <c r="Y61" s="1">
        <v>24.795999999999999</v>
      </c>
      <c r="Z61" s="1">
        <f t="shared" si="52"/>
        <v>21.8125</v>
      </c>
      <c r="AA61" s="1">
        <v>33.619999999999997</v>
      </c>
      <c r="AC61" s="284">
        <f>AD61*30</f>
        <v>885.24</v>
      </c>
      <c r="AD61" s="1">
        <f t="shared" si="45"/>
        <v>29.507999999999999</v>
      </c>
      <c r="AE61" s="1">
        <f t="shared" si="87"/>
        <v>26.70216666666666</v>
      </c>
      <c r="AF61" s="1">
        <f t="shared" si="109"/>
        <v>48.989999999999995</v>
      </c>
      <c r="AH61" s="284">
        <f>AI61*30</f>
        <v>1574.52</v>
      </c>
      <c r="AI61" s="1">
        <v>52.484000000000002</v>
      </c>
      <c r="AJ61" s="1">
        <f t="shared" si="50"/>
        <v>53.235999999999997</v>
      </c>
      <c r="AK61" s="1">
        <v>147.66999999999999</v>
      </c>
      <c r="AM61" s="284">
        <f>AN61*30</f>
        <v>23.91</v>
      </c>
      <c r="AN61" s="1">
        <v>0.79700000000000004</v>
      </c>
      <c r="AO61" s="1">
        <f t="shared" si="93"/>
        <v>0.75316666666666665</v>
      </c>
      <c r="AP61" s="88" t="s">
        <v>770</v>
      </c>
      <c r="AR61" s="284">
        <f>AS61*30</f>
        <v>111.24000000000001</v>
      </c>
      <c r="AS61" s="1">
        <v>3.7080000000000002</v>
      </c>
      <c r="AT61" s="1">
        <f t="shared" si="94"/>
        <v>4.0750000000000002</v>
      </c>
      <c r="AU61" s="88" t="s">
        <v>770</v>
      </c>
      <c r="AW61" s="284">
        <f>AX61*30</f>
        <v>20.28</v>
      </c>
      <c r="AX61" s="1">
        <v>0.67600000000000005</v>
      </c>
      <c r="AY61" s="1">
        <f t="shared" si="95"/>
        <v>0.85991666666666677</v>
      </c>
      <c r="AZ61" s="88" t="s">
        <v>770</v>
      </c>
      <c r="BB61" s="284">
        <f>BC61*30</f>
        <v>20.010000000000002</v>
      </c>
      <c r="BC61" s="1">
        <v>0.66700000000000004</v>
      </c>
      <c r="BD61" s="1">
        <f t="shared" si="96"/>
        <v>0.83183333333333331</v>
      </c>
      <c r="BE61" s="88" t="s">
        <v>770</v>
      </c>
      <c r="BG61" s="284">
        <f>BH61*30</f>
        <v>21.66</v>
      </c>
      <c r="BH61" s="1">
        <v>0.72199999999999998</v>
      </c>
      <c r="BI61" s="1">
        <f t="shared" si="97"/>
        <v>0.75483333333333336</v>
      </c>
      <c r="BJ61" s="88" t="s">
        <v>770</v>
      </c>
      <c r="BL61" s="284">
        <f>BM61*30</f>
        <v>103.29</v>
      </c>
      <c r="BM61" s="1">
        <v>3.4430000000000001</v>
      </c>
      <c r="BN61" s="1">
        <f t="shared" si="98"/>
        <v>3.4430000000000001</v>
      </c>
      <c r="BQ61" s="284">
        <f>BR61*30</f>
        <v>15.81</v>
      </c>
      <c r="BR61" s="1">
        <v>0.52700000000000002</v>
      </c>
      <c r="BS61" s="1">
        <f t="shared" si="99"/>
        <v>0.57433333333333325</v>
      </c>
      <c r="BT61" s="88" t="s">
        <v>770</v>
      </c>
      <c r="BV61" s="284">
        <f>BW61*30</f>
        <v>6.27</v>
      </c>
      <c r="BW61" s="1">
        <v>0.20899999999999999</v>
      </c>
      <c r="BX61" s="1">
        <f t="shared" si="100"/>
        <v>0.23675000000000002</v>
      </c>
      <c r="BY61" s="88" t="s">
        <v>770</v>
      </c>
      <c r="CA61" s="284">
        <f>CB61*30</f>
        <v>13.83</v>
      </c>
      <c r="CB61" s="1">
        <v>0.46100000000000002</v>
      </c>
      <c r="CC61" s="1">
        <f t="shared" si="101"/>
        <v>0.46500000000000008</v>
      </c>
      <c r="CD61" s="88" t="s">
        <v>770</v>
      </c>
      <c r="CF61" s="284">
        <f>CG61*30</f>
        <v>46.08</v>
      </c>
      <c r="CG61" s="1">
        <v>1.536</v>
      </c>
      <c r="CH61" s="1">
        <f t="shared" si="102"/>
        <v>1.5359999999999998</v>
      </c>
      <c r="CK61" s="284">
        <f>CL61*30</f>
        <v>60</v>
      </c>
      <c r="CL61" s="1">
        <v>2</v>
      </c>
      <c r="CM61" s="1">
        <f t="shared" si="108"/>
        <v>2.0918333333333332</v>
      </c>
      <c r="CN61" s="1">
        <v>4.46</v>
      </c>
      <c r="CP61" s="284">
        <f>CQ61*30</f>
        <v>390.27</v>
      </c>
      <c r="CQ61" s="1">
        <v>13.009</v>
      </c>
      <c r="CR61" s="1">
        <f t="shared" si="84"/>
        <v>12.845416666666665</v>
      </c>
      <c r="CS61" s="1">
        <v>32</v>
      </c>
      <c r="CU61" s="284">
        <f>CV61*30</f>
        <v>108.80999999999999</v>
      </c>
      <c r="CV61" s="1">
        <v>3.6269999999999998</v>
      </c>
      <c r="CW61" s="1">
        <f t="shared" si="85"/>
        <v>3.8104166666666672</v>
      </c>
      <c r="CX61" s="1">
        <v>6.2</v>
      </c>
      <c r="CZ61" s="269">
        <f>DA61*30</f>
        <v>20.400000000000002</v>
      </c>
      <c r="DA61" s="1">
        <v>0.68</v>
      </c>
      <c r="DC61" s="284">
        <f>DD61*30</f>
        <v>12.180000000000001</v>
      </c>
      <c r="DD61" s="1">
        <v>0.40600000000000003</v>
      </c>
      <c r="DE61" s="1">
        <f t="shared" si="106"/>
        <v>0.40599999999999997</v>
      </c>
      <c r="DH61" s="284">
        <f>DI61*30</f>
        <v>81.990000000000009</v>
      </c>
      <c r="DI61" s="5">
        <f t="shared" si="70"/>
        <v>2.7330000000000001</v>
      </c>
      <c r="DJ61" s="1">
        <f t="shared" si="107"/>
        <v>2.8120833333333333</v>
      </c>
      <c r="DM61" s="284">
        <f>DN61*30</f>
        <v>2995.1399999999994</v>
      </c>
      <c r="DN61" s="1">
        <f t="shared" si="72"/>
        <v>99.83799999999998</v>
      </c>
      <c r="DO61" s="1">
        <f t="shared" si="103"/>
        <v>97.86066666666666</v>
      </c>
      <c r="DR61" s="284">
        <f>DS61*30</f>
        <v>591.66</v>
      </c>
      <c r="DS61" s="1">
        <f t="shared" si="66"/>
        <v>19.721999999999998</v>
      </c>
      <c r="DT61" s="1" t="e">
        <f>SUM(CM61+CR61+CW61+#REF!+DE61)</f>
        <v>#REF!</v>
      </c>
      <c r="DW61" s="284">
        <f>DX61*30</f>
        <v>3586.7999999999993</v>
      </c>
      <c r="DX61" s="1">
        <f t="shared" si="104"/>
        <v>119.55999999999997</v>
      </c>
      <c r="DY61" s="1">
        <f t="shared" si="105"/>
        <v>117.74658333333332</v>
      </c>
      <c r="ED61" s="1">
        <f>EE61*91</f>
        <v>1868.0480000000002</v>
      </c>
      <c r="EE61" s="1">
        <f>AVERAGE(DS59:DS61)</f>
        <v>20.528000000000002</v>
      </c>
      <c r="EF61" s="1">
        <f>SUM(EE52+EE55+EE58+EE61)/4</f>
        <v>19.885916666666667</v>
      </c>
      <c r="EL61">
        <v>2002</v>
      </c>
      <c r="EM61" t="s">
        <v>718</v>
      </c>
      <c r="EN61" t="s">
        <v>841</v>
      </c>
      <c r="EO61">
        <v>210.35999999999999</v>
      </c>
    </row>
    <row r="62" spans="1:145" x14ac:dyDescent="0.25">
      <c r="A62" s="23">
        <v>2002</v>
      </c>
      <c r="B62" s="1" t="s">
        <v>716</v>
      </c>
      <c r="C62" s="1"/>
      <c r="D62" s="284">
        <f>E62*31</f>
        <v>222.48699999999999</v>
      </c>
      <c r="E62" s="1">
        <v>7.1769999999999996</v>
      </c>
      <c r="F62" s="1">
        <f t="shared" ref="F62:F67" si="110">SUM(E51:E62)/12</f>
        <v>6.6161666666666674</v>
      </c>
      <c r="G62" s="88" t="s">
        <v>770</v>
      </c>
      <c r="H62" s="88"/>
      <c r="I62" s="283"/>
      <c r="J62" s="88"/>
      <c r="K62" s="88"/>
      <c r="L62" s="88"/>
      <c r="N62" s="284">
        <f>O62*31</f>
        <v>112.747</v>
      </c>
      <c r="O62" s="1">
        <v>3.637</v>
      </c>
      <c r="P62" s="1">
        <f t="shared" si="92"/>
        <v>3.3546666666666667</v>
      </c>
      <c r="Q62" s="1">
        <v>7.1</v>
      </c>
      <c r="S62" s="284">
        <f>T62*31</f>
        <v>136.24499999999998</v>
      </c>
      <c r="T62" s="1">
        <v>4.3949999999999996</v>
      </c>
      <c r="U62" s="1">
        <f t="shared" si="51"/>
        <v>4.7600833333333332</v>
      </c>
      <c r="V62" s="1">
        <v>7.5</v>
      </c>
      <c r="X62" s="284">
        <f>Y62*31</f>
        <v>764.11900000000003</v>
      </c>
      <c r="Y62" s="1">
        <v>24.649000000000001</v>
      </c>
      <c r="Z62" s="1">
        <f t="shared" si="52"/>
        <v>22.013916666666663</v>
      </c>
      <c r="AA62" s="1">
        <v>31.27</v>
      </c>
      <c r="AC62" s="284">
        <f>AD62*31</f>
        <v>900.36400000000003</v>
      </c>
      <c r="AD62" s="1">
        <f t="shared" si="45"/>
        <v>29.044</v>
      </c>
      <c r="AE62" s="1">
        <f t="shared" si="87"/>
        <v>26.773999999999997</v>
      </c>
      <c r="AF62" s="1">
        <f t="shared" si="109"/>
        <v>38.769999999999996</v>
      </c>
      <c r="AH62" s="284">
        <f>AI62*31</f>
        <v>1586.8589999999999</v>
      </c>
      <c r="AI62" s="1">
        <v>51.189</v>
      </c>
      <c r="AJ62" s="1">
        <f t="shared" si="50"/>
        <v>52.72258333333334</v>
      </c>
      <c r="AK62" s="1">
        <v>150.71</v>
      </c>
      <c r="AM62" s="284">
        <f>AN62*31</f>
        <v>24.583000000000002</v>
      </c>
      <c r="AN62" s="1">
        <v>0.79300000000000004</v>
      </c>
      <c r="AO62" s="1">
        <f t="shared" ref="AO62:AO67" si="111">SUM(AN51:AN62)/12</f>
        <v>0.74658333333333315</v>
      </c>
      <c r="AP62" s="88" t="s">
        <v>770</v>
      </c>
      <c r="AR62" s="284">
        <f>AS62*31</f>
        <v>123.783</v>
      </c>
      <c r="AS62" s="1">
        <v>3.9929999999999999</v>
      </c>
      <c r="AT62" s="1">
        <f t="shared" ref="AT62:AT67" si="112">SUM(AS51:AS62)/12</f>
        <v>3.9260833333333331</v>
      </c>
      <c r="AU62" s="88" t="s">
        <v>770</v>
      </c>
      <c r="AW62" s="284">
        <f>AX62*31</f>
        <v>27.434999999999999</v>
      </c>
      <c r="AX62" s="1">
        <v>0.88500000000000001</v>
      </c>
      <c r="AY62" s="1">
        <f t="shared" ref="AY62:AY67" si="113">SUM(AX51:AX62)/12</f>
        <v>0.85566666666666669</v>
      </c>
      <c r="AZ62" s="88" t="s">
        <v>770</v>
      </c>
      <c r="BB62" s="284">
        <f>BC62*31</f>
        <v>27.062999999999999</v>
      </c>
      <c r="BC62" s="1">
        <v>0.873</v>
      </c>
      <c r="BD62" s="1">
        <f t="shared" ref="BD62:BD67" si="114">SUM(BC51:BC62)/12</f>
        <v>0.83591666666666653</v>
      </c>
      <c r="BE62" s="88" t="s">
        <v>770</v>
      </c>
      <c r="BG62" s="284">
        <f>BH62*31</f>
        <v>21.885999999999999</v>
      </c>
      <c r="BH62" s="1">
        <v>0.70599999999999996</v>
      </c>
      <c r="BI62" s="1">
        <f t="shared" ref="BI62:BI67" si="115">SUM(BH51:BH62)/12</f>
        <v>0.74708333333333332</v>
      </c>
      <c r="BJ62" s="88" t="s">
        <v>770</v>
      </c>
      <c r="BL62" s="284">
        <f>BM62*31</f>
        <v>106.733</v>
      </c>
      <c r="BM62" s="1">
        <v>3.4430000000000001</v>
      </c>
      <c r="BN62" s="1">
        <f t="shared" ref="BN62:BN67" si="116">SUM(BM51:BM62)/12</f>
        <v>3.4430000000000001</v>
      </c>
      <c r="BQ62" s="284">
        <f>BR62*31</f>
        <v>16.926000000000002</v>
      </c>
      <c r="BR62" s="1">
        <v>0.54600000000000004</v>
      </c>
      <c r="BS62" s="1">
        <f t="shared" ref="BS62:BS67" si="117">SUM(BR51:BR62)/12</f>
        <v>0.56774999999999998</v>
      </c>
      <c r="BT62" s="88" t="s">
        <v>770</v>
      </c>
      <c r="BV62" s="284">
        <f>BW62*31</f>
        <v>5.3319999999999999</v>
      </c>
      <c r="BW62" s="1">
        <v>0.17199999999999999</v>
      </c>
      <c r="BX62" s="1">
        <f t="shared" ref="BX62:BX67" si="118">SUM(BW51:BW62)/12</f>
        <v>0.22875000000000004</v>
      </c>
      <c r="BY62" s="88" t="s">
        <v>770</v>
      </c>
      <c r="CA62" s="284">
        <f>CB62*31</f>
        <v>15.004</v>
      </c>
      <c r="CB62" s="1">
        <v>0.48399999999999999</v>
      </c>
      <c r="CC62" s="1">
        <f t="shared" ref="CC62:CC67" si="119">SUM(CB51:CB62)/12</f>
        <v>0.46250000000000013</v>
      </c>
      <c r="CD62" s="88" t="s">
        <v>770</v>
      </c>
      <c r="CF62" s="284">
        <f>CG62*31</f>
        <v>47.616</v>
      </c>
      <c r="CG62" s="1">
        <v>1.536</v>
      </c>
      <c r="CH62" s="1">
        <f t="shared" si="102"/>
        <v>1.5359999999999998</v>
      </c>
      <c r="CK62" s="284">
        <f>CL62*31</f>
        <v>29.728999999999999</v>
      </c>
      <c r="CL62" s="1">
        <v>0.95899999999999996</v>
      </c>
      <c r="CM62" s="1">
        <f t="shared" si="108"/>
        <v>1.8364166666666666</v>
      </c>
      <c r="CN62" s="1">
        <v>5.91</v>
      </c>
      <c r="CP62" s="284">
        <f>CQ62*31</f>
        <v>384.09000000000003</v>
      </c>
      <c r="CQ62" s="1">
        <v>12.39</v>
      </c>
      <c r="CR62" s="1">
        <f t="shared" si="84"/>
        <v>12.814999999999998</v>
      </c>
      <c r="CS62" s="1">
        <v>30</v>
      </c>
      <c r="CU62" s="284">
        <f>CV62*31</f>
        <v>106.175</v>
      </c>
      <c r="CV62" s="1">
        <v>3.4249999999999998</v>
      </c>
      <c r="CW62" s="1">
        <f t="shared" si="85"/>
        <v>3.750666666666667</v>
      </c>
      <c r="CX62" s="1">
        <v>6.2</v>
      </c>
      <c r="CZ62" s="269">
        <f>DA62*31</f>
        <v>20.429000000000002</v>
      </c>
      <c r="DA62" s="1">
        <v>0.65900000000000003</v>
      </c>
      <c r="DC62" s="284">
        <f>DD62*31</f>
        <v>12.586</v>
      </c>
      <c r="DD62" s="1">
        <v>0.40600000000000003</v>
      </c>
      <c r="DE62" s="1">
        <f t="shared" si="106"/>
        <v>0.40599999999999997</v>
      </c>
      <c r="DH62" s="284">
        <f>DI62*31</f>
        <v>84.878</v>
      </c>
      <c r="DI62" s="5">
        <f t="shared" si="70"/>
        <v>2.738</v>
      </c>
      <c r="DJ62" s="1">
        <f t="shared" si="107"/>
        <v>2.7950000000000004</v>
      </c>
      <c r="DM62" s="284">
        <f>DN62*31</f>
        <v>3069.0620000000004</v>
      </c>
      <c r="DN62" s="1">
        <f t="shared" si="72"/>
        <v>99.00200000000001</v>
      </c>
      <c r="DO62" s="1">
        <f t="shared" si="103"/>
        <v>97.226749999999981</v>
      </c>
      <c r="DR62" s="284">
        <f>DS62*31</f>
        <v>553.00900000000001</v>
      </c>
      <c r="DS62" s="1">
        <f t="shared" si="66"/>
        <v>17.838999999999999</v>
      </c>
      <c r="DT62" s="1" t="e">
        <f>SUM(CM62+CR62+CW62+#REF!+DE62)</f>
        <v>#REF!</v>
      </c>
      <c r="DW62" s="284">
        <f>DX62*31</f>
        <v>3622.0710000000004</v>
      </c>
      <c r="DX62" s="1">
        <f t="shared" ref="DX62:DX67" si="120">SUM(DN62+DS62)</f>
        <v>116.84100000000001</v>
      </c>
      <c r="DY62" s="1">
        <f t="shared" ref="DY62:DY67" si="121">SUM(DX51:DX62)/12</f>
        <v>116.75549999999998</v>
      </c>
      <c r="EL62">
        <v>2002</v>
      </c>
      <c r="EM62" t="s">
        <v>716</v>
      </c>
      <c r="EN62" t="s">
        <v>841</v>
      </c>
      <c r="EO62">
        <v>222.48699999999999</v>
      </c>
    </row>
    <row r="63" spans="1:145" x14ac:dyDescent="0.25">
      <c r="A63" s="23">
        <v>2002</v>
      </c>
      <c r="B63" s="1" t="s">
        <v>708</v>
      </c>
      <c r="C63" s="1"/>
      <c r="D63" s="284">
        <f>E63*31</f>
        <v>211.97800000000001</v>
      </c>
      <c r="E63" s="1">
        <v>6.8380000000000001</v>
      </c>
      <c r="F63" s="1">
        <f t="shared" si="110"/>
        <v>6.5631666666666648</v>
      </c>
      <c r="G63" s="88" t="s">
        <v>770</v>
      </c>
      <c r="H63" s="88"/>
      <c r="I63" s="283"/>
      <c r="J63" s="88"/>
      <c r="K63" s="88"/>
      <c r="L63" s="88"/>
      <c r="N63" s="284">
        <f>O63*31</f>
        <v>107.41499999999999</v>
      </c>
      <c r="O63" s="1">
        <v>3.4649999999999999</v>
      </c>
      <c r="P63" s="1">
        <f t="shared" si="92"/>
        <v>3.3277499999999995</v>
      </c>
      <c r="Q63" s="1">
        <v>6.4</v>
      </c>
      <c r="S63" s="284">
        <f>T63*31</f>
        <v>126.294</v>
      </c>
      <c r="T63" s="1">
        <v>4.0739999999999998</v>
      </c>
      <c r="U63" s="1">
        <f t="shared" si="51"/>
        <v>4.6538333333333322</v>
      </c>
      <c r="V63" s="1">
        <v>7.14</v>
      </c>
      <c r="X63" s="284">
        <f>Y63*31</f>
        <v>765.63800000000003</v>
      </c>
      <c r="Y63" s="1">
        <v>24.698</v>
      </c>
      <c r="Z63" s="1">
        <f t="shared" si="52"/>
        <v>22.268749999999997</v>
      </c>
      <c r="AA63" s="1">
        <v>31.23</v>
      </c>
      <c r="AC63" s="284">
        <f>AD63*31</f>
        <v>891.9319999999999</v>
      </c>
      <c r="AD63" s="1">
        <f t="shared" si="45"/>
        <v>28.771999999999998</v>
      </c>
      <c r="AE63" s="1">
        <f t="shared" ref="AE63:AE73" si="122">SUM(AD52:AD63)/12</f>
        <v>26.922583333333325</v>
      </c>
      <c r="AF63" s="1">
        <f t="shared" si="109"/>
        <v>38.369999999999997</v>
      </c>
      <c r="AH63" s="284">
        <f>AI63*31</f>
        <v>1580.6279999999999</v>
      </c>
      <c r="AI63" s="1">
        <v>50.988</v>
      </c>
      <c r="AJ63" s="1">
        <f t="shared" si="50"/>
        <v>52.368916666666657</v>
      </c>
      <c r="AK63" s="1">
        <v>180.24</v>
      </c>
      <c r="AM63" s="284">
        <f>AN63*31</f>
        <v>23.684000000000001</v>
      </c>
      <c r="AN63" s="1">
        <v>0.76400000000000001</v>
      </c>
      <c r="AO63" s="1">
        <f t="shared" si="111"/>
        <v>0.74408333333333321</v>
      </c>
      <c r="AP63" s="88" t="s">
        <v>770</v>
      </c>
      <c r="AR63" s="284">
        <f>AS63*31</f>
        <v>126.20099999999999</v>
      </c>
      <c r="AS63" s="1">
        <v>4.0709999999999997</v>
      </c>
      <c r="AT63" s="1">
        <f t="shared" si="112"/>
        <v>3.8172499999999996</v>
      </c>
      <c r="AU63" s="88" t="s">
        <v>770</v>
      </c>
      <c r="AW63" s="284">
        <f>AX63*31</f>
        <v>25.605999999999998</v>
      </c>
      <c r="AX63" s="1">
        <v>0.82599999999999996</v>
      </c>
      <c r="AY63" s="1">
        <f t="shared" si="113"/>
        <v>0.85166666666666668</v>
      </c>
      <c r="AZ63" s="88" t="s">
        <v>770</v>
      </c>
      <c r="BB63" s="284">
        <f>BC63*31</f>
        <v>25.264999999999997</v>
      </c>
      <c r="BC63" s="1">
        <v>0.81499999999999995</v>
      </c>
      <c r="BD63" s="1">
        <f t="shared" si="114"/>
        <v>0.83433333333333326</v>
      </c>
      <c r="BE63" s="88" t="s">
        <v>770</v>
      </c>
      <c r="BG63" s="284">
        <f>BH63*31</f>
        <v>20.491</v>
      </c>
      <c r="BH63" s="1">
        <v>0.66100000000000003</v>
      </c>
      <c r="BI63" s="1">
        <f t="shared" si="115"/>
        <v>0.73149999999999993</v>
      </c>
      <c r="BJ63" s="88" t="s">
        <v>770</v>
      </c>
      <c r="BL63" s="284">
        <f>BM63*31</f>
        <v>106.733</v>
      </c>
      <c r="BM63" s="1">
        <v>3.4430000000000001</v>
      </c>
      <c r="BN63" s="1">
        <f t="shared" si="116"/>
        <v>3.4430000000000001</v>
      </c>
      <c r="BQ63" s="284">
        <f>BR63*31</f>
        <v>16.337</v>
      </c>
      <c r="BR63" s="1">
        <v>0.52700000000000002</v>
      </c>
      <c r="BS63" s="1">
        <f t="shared" si="117"/>
        <v>0.55874999999999997</v>
      </c>
      <c r="BT63" s="88" t="s">
        <v>770</v>
      </c>
      <c r="BV63" s="284">
        <f>BW63*31</f>
        <v>5.1150000000000002</v>
      </c>
      <c r="BW63" s="1">
        <v>0.16500000000000001</v>
      </c>
      <c r="BX63" s="1">
        <f t="shared" si="118"/>
        <v>0.21983333333333335</v>
      </c>
      <c r="BY63" s="88" t="s">
        <v>770</v>
      </c>
      <c r="CA63" s="284">
        <f>CB63*31</f>
        <v>14.879999999999999</v>
      </c>
      <c r="CB63" s="1">
        <v>0.48</v>
      </c>
      <c r="CC63" s="1">
        <f t="shared" si="119"/>
        <v>0.4595833333333334</v>
      </c>
      <c r="CD63" s="88" t="s">
        <v>770</v>
      </c>
      <c r="CF63" s="284">
        <f>CG63*31</f>
        <v>47.616</v>
      </c>
      <c r="CG63" s="1">
        <v>1.536</v>
      </c>
      <c r="CH63" s="1">
        <f t="shared" ref="CH63:CH68" si="123">SUM(CG52:CG63)/12</f>
        <v>1.5359999999999998</v>
      </c>
      <c r="CK63" s="284">
        <f>CL63*31</f>
        <v>25.698999999999998</v>
      </c>
      <c r="CL63" s="1">
        <v>0.82899999999999996</v>
      </c>
      <c r="CM63" s="1">
        <f t="shared" si="108"/>
        <v>1.4389166666666668</v>
      </c>
      <c r="CN63" s="1">
        <v>5.39</v>
      </c>
      <c r="CP63" s="284">
        <f>CQ63*31</f>
        <v>355.72499999999997</v>
      </c>
      <c r="CQ63" s="1">
        <v>11.475</v>
      </c>
      <c r="CR63" s="1">
        <f t="shared" ref="CR63:CR73" si="124">SUM(CQ52:CQ63)/12</f>
        <v>12.717833333333333</v>
      </c>
      <c r="CS63" s="1">
        <v>32.25</v>
      </c>
      <c r="CU63" s="284">
        <f>CV63*31</f>
        <v>94.673999999999992</v>
      </c>
      <c r="CV63" s="1">
        <v>3.0539999999999998</v>
      </c>
      <c r="CW63" s="1">
        <f t="shared" si="85"/>
        <v>3.6694999999999998</v>
      </c>
      <c r="CX63" s="1">
        <v>5.6</v>
      </c>
      <c r="CZ63" s="269">
        <f>DA63*31</f>
        <v>22.195999999999998</v>
      </c>
      <c r="DA63" s="1">
        <v>0.71599999999999997</v>
      </c>
      <c r="DC63" s="284">
        <f>DD63*31</f>
        <v>12.586</v>
      </c>
      <c r="DD63" s="1">
        <v>0.40600000000000003</v>
      </c>
      <c r="DE63" s="1">
        <f t="shared" ref="DE63:DE68" si="125">SUM(DD52:DD63)/12</f>
        <v>0.40599999999999997</v>
      </c>
      <c r="DH63" s="284">
        <f>DI63*31</f>
        <v>83.948000000000008</v>
      </c>
      <c r="DI63" s="5">
        <f t="shared" si="70"/>
        <v>2.7080000000000002</v>
      </c>
      <c r="DJ63" s="1">
        <f t="shared" ref="DJ63:DJ68" si="126">SUM(DI52:DI63)/12</f>
        <v>2.7741666666666664</v>
      </c>
      <c r="DM63" s="284">
        <f>DN63*31</f>
        <v>3035.9849999999997</v>
      </c>
      <c r="DN63" s="1">
        <f t="shared" si="72"/>
        <v>97.934999999999988</v>
      </c>
      <c r="DO63" s="1">
        <f t="shared" ref="DO63:DO68" si="127">SUM(DN52:DN63)/12</f>
        <v>96.83008333333332</v>
      </c>
      <c r="DR63" s="284">
        <f>DS63*31</f>
        <v>510.88</v>
      </c>
      <c r="DS63" s="1">
        <f t="shared" si="66"/>
        <v>16.48</v>
      </c>
      <c r="DT63" s="1" t="e">
        <f>SUM(CM63+CR63+CW63+#REF!+DE63)</f>
        <v>#REF!</v>
      </c>
      <c r="DW63" s="284">
        <f>DX63*31</f>
        <v>3546.8649999999998</v>
      </c>
      <c r="DX63" s="1">
        <f t="shared" si="120"/>
        <v>114.41499999999999</v>
      </c>
      <c r="DY63" s="1">
        <f t="shared" si="121"/>
        <v>115.78141666666666</v>
      </c>
      <c r="EL63">
        <v>2002</v>
      </c>
      <c r="EM63" t="s">
        <v>708</v>
      </c>
      <c r="EN63" t="s">
        <v>841</v>
      </c>
      <c r="EO63">
        <v>211.97800000000001</v>
      </c>
    </row>
    <row r="64" spans="1:145" x14ac:dyDescent="0.25">
      <c r="A64" s="23">
        <v>2002</v>
      </c>
      <c r="B64" s="1" t="s">
        <v>709</v>
      </c>
      <c r="C64" s="1"/>
      <c r="D64" s="284">
        <f>E64*30</f>
        <v>208.38</v>
      </c>
      <c r="E64" s="1">
        <v>6.9459999999999997</v>
      </c>
      <c r="F64" s="1">
        <f t="shared" si="110"/>
        <v>6.5319999999999991</v>
      </c>
      <c r="G64" s="88" t="s">
        <v>770</v>
      </c>
      <c r="H64" s="88"/>
      <c r="I64" s="283"/>
      <c r="J64" s="88"/>
      <c r="K64" s="88"/>
      <c r="L64" s="88"/>
      <c r="N64" s="284">
        <f>O64*30</f>
        <v>105.6</v>
      </c>
      <c r="O64" s="1">
        <v>3.52</v>
      </c>
      <c r="P64" s="1">
        <f t="shared" si="92"/>
        <v>3.3119166666666668</v>
      </c>
      <c r="Q64" s="1">
        <v>6.4</v>
      </c>
      <c r="S64" s="284">
        <f>T64*30</f>
        <v>126.9</v>
      </c>
      <c r="T64" s="1">
        <v>4.2300000000000004</v>
      </c>
      <c r="U64" s="1">
        <f t="shared" si="51"/>
        <v>4.5910000000000002</v>
      </c>
      <c r="V64" s="1">
        <v>7.6</v>
      </c>
      <c r="X64" s="284">
        <f>Y64*30</f>
        <v>745.89</v>
      </c>
      <c r="Y64" s="1">
        <v>24.863</v>
      </c>
      <c r="Z64" s="1">
        <f t="shared" si="52"/>
        <v>22.604249999999997</v>
      </c>
      <c r="AA64" s="1">
        <v>31.87</v>
      </c>
      <c r="AC64" s="284">
        <f>AD64*30</f>
        <v>872.79</v>
      </c>
      <c r="AD64" s="1">
        <f t="shared" si="45"/>
        <v>29.093</v>
      </c>
      <c r="AE64" s="1">
        <f t="shared" si="122"/>
        <v>27.195250000000001</v>
      </c>
      <c r="AF64" s="1">
        <f t="shared" si="109"/>
        <v>39.47</v>
      </c>
      <c r="AH64" s="284">
        <f>AI64*30</f>
        <v>1546.4099999999999</v>
      </c>
      <c r="AI64" s="1">
        <v>51.546999999999997</v>
      </c>
      <c r="AJ64" s="1">
        <f t="shared" si="50"/>
        <v>52.231416666666668</v>
      </c>
      <c r="AK64" s="1">
        <v>159.82</v>
      </c>
      <c r="AM64" s="284">
        <f>AN64*30</f>
        <v>23.25</v>
      </c>
      <c r="AN64" s="1">
        <v>0.77500000000000002</v>
      </c>
      <c r="AO64" s="1">
        <f t="shared" si="111"/>
        <v>0.7453333333333334</v>
      </c>
      <c r="AP64" s="88" t="s">
        <v>770</v>
      </c>
      <c r="AR64" s="284">
        <f>AS64*30</f>
        <v>119.88</v>
      </c>
      <c r="AS64" s="1">
        <v>3.996</v>
      </c>
      <c r="AT64" s="1">
        <f t="shared" si="112"/>
        <v>3.7569166666666667</v>
      </c>
      <c r="AU64" s="88" t="s">
        <v>770</v>
      </c>
      <c r="AW64" s="284">
        <f>AX64*30</f>
        <v>24.419999999999998</v>
      </c>
      <c r="AX64" s="1">
        <v>0.81399999999999995</v>
      </c>
      <c r="AY64" s="1">
        <f t="shared" si="113"/>
        <v>0.84666666666666679</v>
      </c>
      <c r="AZ64" s="88" t="s">
        <v>770</v>
      </c>
      <c r="BB64" s="284">
        <f>BC64*30</f>
        <v>24.09</v>
      </c>
      <c r="BC64" s="1">
        <v>0.80300000000000005</v>
      </c>
      <c r="BD64" s="1">
        <f t="shared" si="114"/>
        <v>0.83033333333333337</v>
      </c>
      <c r="BE64" s="88" t="s">
        <v>770</v>
      </c>
      <c r="BG64" s="284">
        <f>BH64*30</f>
        <v>19.2</v>
      </c>
      <c r="BH64" s="1">
        <v>0.64</v>
      </c>
      <c r="BI64" s="1">
        <f t="shared" si="115"/>
        <v>0.71466666666666667</v>
      </c>
      <c r="BJ64" s="88" t="s">
        <v>770</v>
      </c>
      <c r="BL64" s="284">
        <f>BM64*30</f>
        <v>103.29</v>
      </c>
      <c r="BM64" s="1">
        <v>3.4430000000000001</v>
      </c>
      <c r="BN64" s="1">
        <f t="shared" si="116"/>
        <v>3.4430000000000001</v>
      </c>
      <c r="BQ64" s="284">
        <f>BR64*30</f>
        <v>17.64</v>
      </c>
      <c r="BR64" s="1">
        <v>0.58799999999999997</v>
      </c>
      <c r="BS64" s="1">
        <f t="shared" si="117"/>
        <v>0.5548333333333334</v>
      </c>
      <c r="BT64" s="88" t="s">
        <v>770</v>
      </c>
      <c r="BV64" s="284">
        <f>BW64*30</f>
        <v>6.18</v>
      </c>
      <c r="BW64" s="1">
        <v>0.20599999999999999</v>
      </c>
      <c r="BX64" s="1">
        <f t="shared" si="118"/>
        <v>0.21433333333333335</v>
      </c>
      <c r="BY64" s="88" t="s">
        <v>770</v>
      </c>
      <c r="CA64" s="284">
        <f>CB64*30</f>
        <v>15.450000000000001</v>
      </c>
      <c r="CB64" s="1">
        <v>0.51500000000000001</v>
      </c>
      <c r="CC64" s="1">
        <f t="shared" si="119"/>
        <v>0.46425000000000005</v>
      </c>
      <c r="CD64" s="88" t="s">
        <v>770</v>
      </c>
      <c r="CF64" s="284">
        <f>CG64*30</f>
        <v>46.08</v>
      </c>
      <c r="CG64" s="1">
        <v>1.536</v>
      </c>
      <c r="CH64" s="1">
        <f t="shared" si="123"/>
        <v>1.5359999999999998</v>
      </c>
      <c r="CK64" s="284">
        <f>CL64*30</f>
        <v>27.6</v>
      </c>
      <c r="CL64" s="1">
        <v>0.92</v>
      </c>
      <c r="CM64" s="1">
        <f t="shared" si="108"/>
        <v>1.3781666666666668</v>
      </c>
      <c r="CN64" s="1">
        <v>3.79</v>
      </c>
      <c r="CP64" s="284">
        <f>CQ64*30</f>
        <v>371.96999999999997</v>
      </c>
      <c r="CQ64" s="1">
        <v>12.398999999999999</v>
      </c>
      <c r="CR64" s="1">
        <f t="shared" si="124"/>
        <v>12.781750000000001</v>
      </c>
      <c r="CS64" s="1">
        <v>37.5</v>
      </c>
      <c r="CU64" s="284">
        <f>CV64*30</f>
        <v>84.72</v>
      </c>
      <c r="CV64" s="1">
        <v>2.8239999999999998</v>
      </c>
      <c r="CW64" s="1">
        <f t="shared" si="85"/>
        <v>3.5875833333333329</v>
      </c>
      <c r="CX64" s="88" t="s">
        <v>770</v>
      </c>
      <c r="CY64" s="88"/>
      <c r="CZ64" s="269">
        <f>DA64*30</f>
        <v>21</v>
      </c>
      <c r="DA64" s="1">
        <v>0.7</v>
      </c>
      <c r="DC64" s="284">
        <f>DD64*30</f>
        <v>12.180000000000001</v>
      </c>
      <c r="DD64" s="1">
        <v>0.40600000000000003</v>
      </c>
      <c r="DE64" s="1">
        <f t="shared" si="125"/>
        <v>0.40599999999999997</v>
      </c>
      <c r="DH64" s="284">
        <f>DI64*30</f>
        <v>85.35</v>
      </c>
      <c r="DI64" s="5">
        <f t="shared" si="70"/>
        <v>2.8449999999999998</v>
      </c>
      <c r="DJ64" s="1">
        <f t="shared" si="126"/>
        <v>2.7694166666666669</v>
      </c>
      <c r="DM64" s="284">
        <f>DN64*30</f>
        <v>2961.9599999999996</v>
      </c>
      <c r="DN64" s="1">
        <f t="shared" si="72"/>
        <v>98.731999999999985</v>
      </c>
      <c r="DO64" s="1">
        <f t="shared" si="127"/>
        <v>96.838083333333316</v>
      </c>
      <c r="DR64" s="284">
        <f>DS64*30</f>
        <v>517.46999999999991</v>
      </c>
      <c r="DS64" s="1">
        <f t="shared" si="66"/>
        <v>17.248999999999999</v>
      </c>
      <c r="DT64" s="1" t="e">
        <f>SUM(CM64+CR64+CW64+#REF!+DE64)</f>
        <v>#REF!</v>
      </c>
      <c r="DW64" s="284">
        <f>DX64*30</f>
        <v>3479.4299999999994</v>
      </c>
      <c r="DX64" s="1">
        <f t="shared" si="120"/>
        <v>115.98099999999998</v>
      </c>
      <c r="DY64" s="1">
        <f t="shared" si="121"/>
        <v>115.70866666666667</v>
      </c>
      <c r="ED64" s="1">
        <f>EE64*92</f>
        <v>1581.4186666666667</v>
      </c>
      <c r="EE64" s="1">
        <f>AVERAGE(DS62:DS64)</f>
        <v>17.189333333333334</v>
      </c>
      <c r="EF64" s="1">
        <f>SUM(EE55+EE58+EE61+EE64)/4</f>
        <v>18.870583333333336</v>
      </c>
      <c r="EL64">
        <v>2002</v>
      </c>
      <c r="EM64" t="s">
        <v>709</v>
      </c>
      <c r="EN64" t="s">
        <v>841</v>
      </c>
      <c r="EO64">
        <v>208.38</v>
      </c>
    </row>
    <row r="65" spans="1:145" x14ac:dyDescent="0.25">
      <c r="A65" s="23">
        <v>2002</v>
      </c>
      <c r="B65" s="1" t="s">
        <v>710</v>
      </c>
      <c r="C65" s="1"/>
      <c r="D65" s="284">
        <f>E65*31</f>
        <v>210.76900000000001</v>
      </c>
      <c r="E65" s="1">
        <v>6.7990000000000004</v>
      </c>
      <c r="F65" s="1">
        <f t="shared" si="110"/>
        <v>6.5181666666666667</v>
      </c>
      <c r="G65" s="88" t="s">
        <v>770</v>
      </c>
      <c r="H65" s="88"/>
      <c r="I65" s="283"/>
      <c r="J65" s="88"/>
      <c r="K65" s="88"/>
      <c r="L65" s="88"/>
      <c r="N65" s="284">
        <f>O65*31</f>
        <v>106.82600000000001</v>
      </c>
      <c r="O65" s="1">
        <v>3.4460000000000002</v>
      </c>
      <c r="P65" s="1">
        <f t="shared" si="92"/>
        <v>3.3046666666666664</v>
      </c>
      <c r="Q65" s="1">
        <v>7.2</v>
      </c>
      <c r="S65" s="284">
        <f>T65*31</f>
        <v>132.68</v>
      </c>
      <c r="T65" s="1">
        <v>4.28</v>
      </c>
      <c r="U65" s="1">
        <f t="shared" si="51"/>
        <v>4.5620833333333337</v>
      </c>
      <c r="V65" s="1">
        <v>9.14</v>
      </c>
      <c r="X65" s="284">
        <f>Y65*31</f>
        <v>768.08699999999999</v>
      </c>
      <c r="Y65" s="1">
        <v>24.777000000000001</v>
      </c>
      <c r="Z65" s="1">
        <f t="shared" si="52"/>
        <v>23.039249999999999</v>
      </c>
      <c r="AA65" s="1">
        <v>34.82</v>
      </c>
      <c r="AC65" s="284">
        <f>AD65*31</f>
        <v>900.76700000000005</v>
      </c>
      <c r="AD65" s="1">
        <f t="shared" si="45"/>
        <v>29.057000000000002</v>
      </c>
      <c r="AE65" s="1">
        <f t="shared" si="122"/>
        <v>27.60133333333334</v>
      </c>
      <c r="AF65" s="1">
        <f t="shared" si="109"/>
        <v>43.96</v>
      </c>
      <c r="AH65" s="284">
        <f>AI65*31</f>
        <v>1652.6100000000001</v>
      </c>
      <c r="AI65" s="1">
        <v>53.31</v>
      </c>
      <c r="AJ65" s="1">
        <f t="shared" si="50"/>
        <v>52.267416666666669</v>
      </c>
      <c r="AK65" s="1">
        <v>187.89</v>
      </c>
      <c r="AM65" s="284">
        <f>AN65*31</f>
        <v>24.428000000000001</v>
      </c>
      <c r="AN65" s="1">
        <v>0.78800000000000003</v>
      </c>
      <c r="AO65" s="1">
        <f t="shared" si="111"/>
        <v>0.74925000000000008</v>
      </c>
      <c r="AP65" s="88" t="s">
        <v>770</v>
      </c>
      <c r="AR65" s="284">
        <f>AS65*31</f>
        <v>127.75100000000002</v>
      </c>
      <c r="AS65" s="1">
        <v>4.1210000000000004</v>
      </c>
      <c r="AT65" s="1">
        <f t="shared" si="112"/>
        <v>3.7751666666666672</v>
      </c>
      <c r="AU65" s="88" t="s">
        <v>770</v>
      </c>
      <c r="AW65" s="284">
        <f>AX65*31</f>
        <v>29.325999999999997</v>
      </c>
      <c r="AX65" s="1">
        <v>0.94599999999999995</v>
      </c>
      <c r="AY65" s="1">
        <f t="shared" si="113"/>
        <v>0.85266666666666657</v>
      </c>
      <c r="AZ65" s="88" t="s">
        <v>770</v>
      </c>
      <c r="BB65" s="284">
        <f>BC65*31</f>
        <v>28.923000000000002</v>
      </c>
      <c r="BC65" s="1">
        <v>0.93300000000000005</v>
      </c>
      <c r="BD65" s="1">
        <f t="shared" si="114"/>
        <v>0.83833333333333337</v>
      </c>
      <c r="BE65" s="88" t="s">
        <v>770</v>
      </c>
      <c r="BG65" s="284">
        <f>BH65*31</f>
        <v>20.026</v>
      </c>
      <c r="BH65" s="1">
        <v>0.64600000000000002</v>
      </c>
      <c r="BI65" s="1">
        <f t="shared" si="115"/>
        <v>0.70074999999999987</v>
      </c>
      <c r="BJ65" s="88" t="s">
        <v>770</v>
      </c>
      <c r="BL65" s="284">
        <f>BM65*31</f>
        <v>106.733</v>
      </c>
      <c r="BM65" s="1">
        <v>3.4430000000000001</v>
      </c>
      <c r="BN65" s="1">
        <f t="shared" si="116"/>
        <v>3.4430000000000001</v>
      </c>
      <c r="BQ65" s="284">
        <f>BR65*31</f>
        <v>15.004</v>
      </c>
      <c r="BR65" s="1">
        <v>0.48399999999999999</v>
      </c>
      <c r="BS65" s="1">
        <f t="shared" si="117"/>
        <v>0.54225000000000001</v>
      </c>
      <c r="BT65" s="88" t="s">
        <v>770</v>
      </c>
      <c r="BV65" s="284">
        <f>BW65*30</f>
        <v>6.63</v>
      </c>
      <c r="BW65" s="1">
        <v>0.221</v>
      </c>
      <c r="BX65" s="1">
        <f t="shared" si="118"/>
        <v>0.21008333333333332</v>
      </c>
      <c r="BY65" s="88" t="s">
        <v>770</v>
      </c>
      <c r="CA65" s="284">
        <f>CB65*31</f>
        <v>17.267000000000003</v>
      </c>
      <c r="CB65" s="1">
        <v>0.55700000000000005</v>
      </c>
      <c r="CC65" s="1">
        <f t="shared" si="119"/>
        <v>0.47308333333333336</v>
      </c>
      <c r="CD65" s="88" t="s">
        <v>770</v>
      </c>
      <c r="CF65" s="284">
        <f>CG65*31</f>
        <v>47.616</v>
      </c>
      <c r="CG65" s="1">
        <v>1.536</v>
      </c>
      <c r="CH65" s="1">
        <f t="shared" si="123"/>
        <v>1.5359999999999998</v>
      </c>
      <c r="CK65" s="284">
        <f>CL65*31</f>
        <v>107.911</v>
      </c>
      <c r="CL65" s="1">
        <v>3.4809999999999999</v>
      </c>
      <c r="CM65" s="1">
        <f t="shared" si="108"/>
        <v>1.6235833333333336</v>
      </c>
      <c r="CN65" s="1">
        <v>7.78</v>
      </c>
      <c r="CP65" s="284">
        <f>CQ65*31</f>
        <v>389.267</v>
      </c>
      <c r="CQ65" s="1">
        <v>12.557</v>
      </c>
      <c r="CR65" s="1">
        <f t="shared" si="124"/>
        <v>12.892249999999999</v>
      </c>
      <c r="CS65" s="1">
        <v>31</v>
      </c>
      <c r="CU65" s="284">
        <f>CV65*31</f>
        <v>84.350999999999999</v>
      </c>
      <c r="CV65" s="1">
        <v>2.7210000000000001</v>
      </c>
      <c r="CW65" s="1">
        <f t="shared" si="85"/>
        <v>3.4944999999999999</v>
      </c>
      <c r="CX65" s="88" t="s">
        <v>770</v>
      </c>
      <c r="CY65" s="88"/>
      <c r="CZ65" s="269">
        <f>DA65*31</f>
        <v>22.63</v>
      </c>
      <c r="DA65" s="1">
        <v>0.73</v>
      </c>
      <c r="DC65" s="284">
        <f>DD65*31</f>
        <v>12.586</v>
      </c>
      <c r="DD65" s="1">
        <v>0.40600000000000003</v>
      </c>
      <c r="DE65" s="1">
        <f t="shared" si="125"/>
        <v>0.40599999999999997</v>
      </c>
      <c r="DH65" s="284">
        <f>DI65*31</f>
        <v>86.738</v>
      </c>
      <c r="DI65" s="5">
        <f t="shared" si="70"/>
        <v>2.798</v>
      </c>
      <c r="DJ65" s="1">
        <f t="shared" si="126"/>
        <v>2.7614166666666673</v>
      </c>
      <c r="DM65" s="284">
        <f>DN65*31</f>
        <v>3121.4210000000003</v>
      </c>
      <c r="DN65" s="1">
        <f t="shared" si="72"/>
        <v>100.691</v>
      </c>
      <c r="DO65" s="1">
        <f t="shared" si="127"/>
        <v>97.289333333333332</v>
      </c>
      <c r="DR65" s="284">
        <f>DS65*31</f>
        <v>616.745</v>
      </c>
      <c r="DS65" s="1">
        <f t="shared" si="66"/>
        <v>19.895</v>
      </c>
      <c r="DT65" s="1" t="e">
        <f>SUM(CM65+CR65+CW65+#REF!+DE65)</f>
        <v>#REF!</v>
      </c>
      <c r="DW65" s="284">
        <f>DX65*31</f>
        <v>3738.1660000000002</v>
      </c>
      <c r="DX65" s="1">
        <f t="shared" si="120"/>
        <v>120.586</v>
      </c>
      <c r="DY65" s="1">
        <f t="shared" si="121"/>
        <v>116.42316666666666</v>
      </c>
      <c r="EB65" s="242">
        <v>5</v>
      </c>
      <c r="EL65">
        <v>2002</v>
      </c>
      <c r="EM65" t="s">
        <v>710</v>
      </c>
      <c r="EN65" t="s">
        <v>841</v>
      </c>
      <c r="EO65">
        <v>210.76900000000001</v>
      </c>
    </row>
    <row r="66" spans="1:145" x14ac:dyDescent="0.25">
      <c r="A66" s="23">
        <v>2002</v>
      </c>
      <c r="B66" s="1" t="s">
        <v>711</v>
      </c>
      <c r="C66" s="1"/>
      <c r="D66" s="284">
        <f>E66*30</f>
        <v>196.92000000000002</v>
      </c>
      <c r="E66" s="1">
        <v>6.5640000000000001</v>
      </c>
      <c r="F66" s="1">
        <f t="shared" si="110"/>
        <v>6.5366666666666662</v>
      </c>
      <c r="G66" s="88" t="s">
        <v>770</v>
      </c>
      <c r="H66" s="88"/>
      <c r="I66" s="283"/>
      <c r="J66" s="88"/>
      <c r="K66" s="88"/>
      <c r="L66" s="88"/>
      <c r="N66" s="284">
        <f>O66*30</f>
        <v>99.78</v>
      </c>
      <c r="O66" s="1">
        <v>3.3260000000000001</v>
      </c>
      <c r="P66" s="1">
        <f t="shared" si="92"/>
        <v>3.3140000000000001</v>
      </c>
      <c r="Q66" s="1">
        <v>6.4</v>
      </c>
      <c r="S66" s="284">
        <f>T66*30</f>
        <v>150.18</v>
      </c>
      <c r="T66" s="1">
        <v>5.0060000000000002</v>
      </c>
      <c r="U66" s="1">
        <f t="shared" si="51"/>
        <v>4.6014166666666663</v>
      </c>
      <c r="V66" s="1">
        <v>9.32</v>
      </c>
      <c r="X66" s="284">
        <f>Y66*30</f>
        <v>771.63</v>
      </c>
      <c r="Y66" s="1">
        <v>25.721</v>
      </c>
      <c r="Z66" s="1">
        <f t="shared" si="52"/>
        <v>23.62908333333333</v>
      </c>
      <c r="AA66" s="1">
        <v>34.69</v>
      </c>
      <c r="AC66" s="284">
        <f>AD66*30</f>
        <v>921.81000000000006</v>
      </c>
      <c r="AD66" s="1">
        <f t="shared" si="45"/>
        <v>30.727</v>
      </c>
      <c r="AE66" s="1">
        <f t="shared" si="122"/>
        <v>28.230500000000003</v>
      </c>
      <c r="AF66" s="1">
        <f t="shared" si="109"/>
        <v>44.01</v>
      </c>
      <c r="AH66" s="284">
        <f>AI66*30</f>
        <v>1814.46</v>
      </c>
      <c r="AI66" s="1">
        <v>60.481999999999999</v>
      </c>
      <c r="AJ66" s="1">
        <f t="shared" si="50"/>
        <v>52.938416666666662</v>
      </c>
      <c r="AK66" s="1">
        <v>152.53</v>
      </c>
      <c r="AM66" s="284">
        <f>AN66*30</f>
        <v>27.720000000000002</v>
      </c>
      <c r="AN66" s="1">
        <v>0.92400000000000004</v>
      </c>
      <c r="AO66" s="1">
        <f t="shared" si="111"/>
        <v>0.76224999999999998</v>
      </c>
      <c r="AP66" s="88" t="s">
        <v>770</v>
      </c>
      <c r="AR66" s="284">
        <f>AS66*30</f>
        <v>145.73999999999998</v>
      </c>
      <c r="AS66" s="1">
        <v>4.8579999999999997</v>
      </c>
      <c r="AT66" s="1">
        <f t="shared" si="112"/>
        <v>3.8820833333333336</v>
      </c>
      <c r="AU66" s="88" t="s">
        <v>770</v>
      </c>
      <c r="AW66" s="284">
        <f>AX66*30</f>
        <v>31.529999999999998</v>
      </c>
      <c r="AX66" s="1">
        <v>1.0509999999999999</v>
      </c>
      <c r="AY66" s="1">
        <f t="shared" si="113"/>
        <v>0.86741666666666661</v>
      </c>
      <c r="AZ66" s="88" t="s">
        <v>770</v>
      </c>
      <c r="BB66" s="284">
        <f>BC66*30</f>
        <v>31.11</v>
      </c>
      <c r="BC66" s="1">
        <v>1.0369999999999999</v>
      </c>
      <c r="BD66" s="1">
        <f t="shared" si="114"/>
        <v>0.85425000000000006</v>
      </c>
      <c r="BE66" s="88" t="s">
        <v>770</v>
      </c>
      <c r="BG66" s="284">
        <f>BH66*30</f>
        <v>28.56</v>
      </c>
      <c r="BH66" s="1">
        <v>0.95199999999999996</v>
      </c>
      <c r="BI66" s="1">
        <f t="shared" si="115"/>
        <v>0.71533333333333315</v>
      </c>
      <c r="BJ66" s="88" t="s">
        <v>770</v>
      </c>
      <c r="BL66" s="284">
        <f>BM66*30</f>
        <v>103.29</v>
      </c>
      <c r="BM66" s="1">
        <v>3.4430000000000001</v>
      </c>
      <c r="BN66" s="1">
        <f t="shared" si="116"/>
        <v>3.4430000000000001</v>
      </c>
      <c r="BQ66" s="284">
        <f>BR66*30</f>
        <v>18.09</v>
      </c>
      <c r="BR66" s="1">
        <v>0.60299999999999998</v>
      </c>
      <c r="BS66" s="1">
        <f t="shared" si="117"/>
        <v>0.53958333333333341</v>
      </c>
      <c r="BT66" s="88" t="s">
        <v>770</v>
      </c>
      <c r="BV66" s="284">
        <f>BW66*30</f>
        <v>8.1000000000000014</v>
      </c>
      <c r="BW66" s="1">
        <v>0.27</v>
      </c>
      <c r="BX66" s="1">
        <f t="shared" si="118"/>
        <v>0.20991666666666667</v>
      </c>
      <c r="BY66" s="88" t="s">
        <v>770</v>
      </c>
      <c r="CA66" s="284">
        <f>CB66*30</f>
        <v>18.03</v>
      </c>
      <c r="CB66" s="1">
        <v>0.60099999999999998</v>
      </c>
      <c r="CC66" s="1">
        <f t="shared" si="119"/>
        <v>0.48491666666666666</v>
      </c>
      <c r="CD66" s="88" t="s">
        <v>770</v>
      </c>
      <c r="CF66" s="284">
        <f>CG66*30</f>
        <v>46.08</v>
      </c>
      <c r="CG66" s="1">
        <v>1.536</v>
      </c>
      <c r="CH66" s="1">
        <f t="shared" si="123"/>
        <v>1.5359999999999998</v>
      </c>
      <c r="CK66" s="284">
        <f>CL66*30</f>
        <v>75</v>
      </c>
      <c r="CL66" s="1">
        <v>2.5</v>
      </c>
      <c r="CM66" s="1">
        <f t="shared" si="108"/>
        <v>1.7769166666666667</v>
      </c>
      <c r="CN66" s="1">
        <v>8.14</v>
      </c>
      <c r="CP66" s="284">
        <f>CQ66*30</f>
        <v>368.88</v>
      </c>
      <c r="CQ66" s="1">
        <v>12.295999999999999</v>
      </c>
      <c r="CR66" s="1">
        <f t="shared" si="124"/>
        <v>12.832999999999998</v>
      </c>
      <c r="CS66" s="1">
        <v>32.450000000000003</v>
      </c>
      <c r="CU66" s="284">
        <f>CV66*30</f>
        <v>96.3</v>
      </c>
      <c r="CV66" s="1">
        <v>3.21</v>
      </c>
      <c r="CW66" s="1">
        <f t="shared" ref="CW66:CW73" si="128">SUM(CV55:CV66)/12</f>
        <v>3.4530833333333337</v>
      </c>
      <c r="CX66" s="88" t="s">
        <v>770</v>
      </c>
      <c r="CY66" s="88"/>
      <c r="CZ66" s="269">
        <f>DA66*30</f>
        <v>25.86</v>
      </c>
      <c r="DA66" s="1">
        <v>0.86199999999999999</v>
      </c>
      <c r="DC66" s="284">
        <f>DD66*30</f>
        <v>12.180000000000001</v>
      </c>
      <c r="DD66" s="1">
        <v>0.40600000000000003</v>
      </c>
      <c r="DE66" s="1">
        <f t="shared" si="125"/>
        <v>0.40599999999999997</v>
      </c>
      <c r="DH66" s="284">
        <f>DI66*30</f>
        <v>90.3</v>
      </c>
      <c r="DI66" s="5">
        <f t="shared" si="70"/>
        <v>3.01</v>
      </c>
      <c r="DJ66" s="1">
        <f t="shared" si="126"/>
        <v>2.7704166666666672</v>
      </c>
      <c r="DM66" s="284">
        <f>DN66*30</f>
        <v>3310.6200000000003</v>
      </c>
      <c r="DN66" s="1">
        <f t="shared" si="72"/>
        <v>110.35400000000001</v>
      </c>
      <c r="DO66" s="1">
        <f t="shared" si="127"/>
        <v>98.773499999999999</v>
      </c>
      <c r="DR66" s="284">
        <f>DS66*30</f>
        <v>578.21999999999991</v>
      </c>
      <c r="DS66" s="1">
        <f t="shared" si="66"/>
        <v>19.273999999999997</v>
      </c>
      <c r="DT66" s="1" t="e">
        <f>SUM(CM66+CR66+CW66+#REF!+DE66)</f>
        <v>#REF!</v>
      </c>
      <c r="DW66" s="284">
        <f>DX66*30</f>
        <v>3888.8400000000006</v>
      </c>
      <c r="DX66" s="1">
        <f t="shared" si="120"/>
        <v>129.62800000000001</v>
      </c>
      <c r="DY66" s="1">
        <f t="shared" si="121"/>
        <v>117.96966666666667</v>
      </c>
      <c r="EB66" s="242">
        <v>4.34</v>
      </c>
      <c r="EL66">
        <v>2002</v>
      </c>
      <c r="EM66" t="s">
        <v>711</v>
      </c>
      <c r="EN66" t="s">
        <v>841</v>
      </c>
      <c r="EO66">
        <v>196.92000000000002</v>
      </c>
    </row>
    <row r="67" spans="1:145" ht="15.5" x14ac:dyDescent="0.35">
      <c r="A67" s="23">
        <v>2002</v>
      </c>
      <c r="B67" s="1" t="s">
        <v>712</v>
      </c>
      <c r="C67" s="1"/>
      <c r="D67" s="284">
        <f>E67*31</f>
        <v>206.429</v>
      </c>
      <c r="E67" s="1">
        <v>6.6589999999999998</v>
      </c>
      <c r="F67" s="1">
        <f t="shared" si="110"/>
        <v>6.56175</v>
      </c>
      <c r="G67" s="88" t="s">
        <v>770</v>
      </c>
      <c r="H67" s="88"/>
      <c r="I67" s="283"/>
      <c r="J67" s="88"/>
      <c r="K67" s="88"/>
      <c r="L67" s="88"/>
      <c r="N67" s="284">
        <f>O67*31</f>
        <v>104.625</v>
      </c>
      <c r="O67" s="1">
        <v>3.375</v>
      </c>
      <c r="P67" s="1">
        <f t="shared" si="92"/>
        <v>3.3267500000000001</v>
      </c>
      <c r="Q67" s="1">
        <v>6</v>
      </c>
      <c r="S67" s="284">
        <f>T67*31</f>
        <v>173.01100000000002</v>
      </c>
      <c r="T67" s="1">
        <v>5.5810000000000004</v>
      </c>
      <c r="U67" s="1">
        <f t="shared" si="51"/>
        <v>4.6856666666666662</v>
      </c>
      <c r="V67" s="1">
        <v>8.8800000000000008</v>
      </c>
      <c r="X67" s="284">
        <f>Y67*31</f>
        <v>806.52699999999993</v>
      </c>
      <c r="Y67" s="1">
        <v>26.016999999999999</v>
      </c>
      <c r="Z67" s="1">
        <f t="shared" si="52"/>
        <v>24.174083333333332</v>
      </c>
      <c r="AA67" s="1">
        <v>27.47</v>
      </c>
      <c r="AC67" s="284">
        <f>AD67*31</f>
        <v>979.53800000000001</v>
      </c>
      <c r="AD67" s="1">
        <f t="shared" si="45"/>
        <v>31.597999999999999</v>
      </c>
      <c r="AE67" s="1">
        <f t="shared" si="122"/>
        <v>28.859750000000002</v>
      </c>
      <c r="AF67" s="1">
        <f t="shared" si="109"/>
        <v>36.35</v>
      </c>
      <c r="AH67" s="284">
        <f>AI67*31</f>
        <v>1973.5529999999999</v>
      </c>
      <c r="AI67" s="1">
        <v>63.662999999999997</v>
      </c>
      <c r="AJ67" s="1">
        <f t="shared" si="50"/>
        <v>53.965749999999993</v>
      </c>
      <c r="AK67" s="1">
        <v>167.72</v>
      </c>
      <c r="AM67" s="284">
        <f>AN67*31</f>
        <v>28.303000000000001</v>
      </c>
      <c r="AN67" s="1">
        <v>0.91300000000000003</v>
      </c>
      <c r="AO67" s="1">
        <f t="shared" si="111"/>
        <v>0.77733333333333343</v>
      </c>
      <c r="AP67" s="88" t="s">
        <v>770</v>
      </c>
      <c r="AR67" s="284">
        <f>AS67*31</f>
        <v>162.161</v>
      </c>
      <c r="AS67" s="1">
        <v>5.2309999999999999</v>
      </c>
      <c r="AT67" s="1">
        <f t="shared" si="112"/>
        <v>4.0200833333333339</v>
      </c>
      <c r="AU67" s="88" t="s">
        <v>770</v>
      </c>
      <c r="AW67" s="284">
        <f>AX67*31</f>
        <v>25.605999999999998</v>
      </c>
      <c r="AX67" s="1">
        <v>0.82599999999999996</v>
      </c>
      <c r="AY67" s="1">
        <f t="shared" si="113"/>
        <v>0.86341666666666672</v>
      </c>
      <c r="AZ67" s="88" t="s">
        <v>770</v>
      </c>
      <c r="BB67" s="284">
        <f>BC67*31</f>
        <v>34.317</v>
      </c>
      <c r="BC67" s="1">
        <v>1.107</v>
      </c>
      <c r="BD67" s="1">
        <f t="shared" si="114"/>
        <v>0.87816666666666665</v>
      </c>
      <c r="BE67" s="88" t="s">
        <v>770</v>
      </c>
      <c r="BG67" s="284">
        <f>BH67*31</f>
        <v>34.596000000000004</v>
      </c>
      <c r="BH67" s="1">
        <v>1.1160000000000001</v>
      </c>
      <c r="BI67" s="1">
        <f t="shared" si="115"/>
        <v>0.74424999999999997</v>
      </c>
      <c r="BJ67" s="88" t="s">
        <v>770</v>
      </c>
      <c r="BL67" s="284">
        <f>BM67*31</f>
        <v>106.733</v>
      </c>
      <c r="BM67" s="1">
        <v>3.4430000000000001</v>
      </c>
      <c r="BN67" s="1">
        <f t="shared" si="116"/>
        <v>3.4430000000000001</v>
      </c>
      <c r="BQ67" s="284">
        <f>BR67*31</f>
        <v>18.972000000000001</v>
      </c>
      <c r="BR67" s="1">
        <v>0.61199999999999999</v>
      </c>
      <c r="BS67" s="1">
        <f t="shared" si="117"/>
        <v>0.53766666666666674</v>
      </c>
      <c r="BT67" s="88" t="s">
        <v>770</v>
      </c>
      <c r="BV67" s="284">
        <f>BW67*31</f>
        <v>9.4239999999999995</v>
      </c>
      <c r="BW67" s="1">
        <v>0.30399999999999999</v>
      </c>
      <c r="BX67" s="1">
        <f t="shared" si="118"/>
        <v>0.21258333333333332</v>
      </c>
      <c r="BY67" s="88" t="s">
        <v>770</v>
      </c>
      <c r="CA67" s="284">
        <f>CB67*31</f>
        <v>19.437000000000001</v>
      </c>
      <c r="CB67" s="1">
        <v>0.627</v>
      </c>
      <c r="CC67" s="1">
        <f t="shared" si="119"/>
        <v>0.49908333333333332</v>
      </c>
      <c r="CD67" s="88" t="s">
        <v>770</v>
      </c>
      <c r="CF67" s="284">
        <f>CG67*31</f>
        <v>47.616</v>
      </c>
      <c r="CG67" s="1">
        <v>1.536</v>
      </c>
      <c r="CH67" s="1">
        <f t="shared" si="123"/>
        <v>1.5359999999999998</v>
      </c>
      <c r="CK67" s="284">
        <f>CL67*31</f>
        <v>124.40299999999999</v>
      </c>
      <c r="CL67" s="1">
        <v>4.0129999999999999</v>
      </c>
      <c r="CM67" s="1">
        <f t="shared" si="108"/>
        <v>1.9844999999999999</v>
      </c>
      <c r="CN67" s="1">
        <v>9.74</v>
      </c>
      <c r="CP67" s="284">
        <f>CQ67*31</f>
        <v>438.30899999999997</v>
      </c>
      <c r="CQ67" s="1">
        <v>14.138999999999999</v>
      </c>
      <c r="CR67" s="1">
        <f t="shared" si="124"/>
        <v>12.927</v>
      </c>
      <c r="CS67" s="1">
        <v>34.200000000000003</v>
      </c>
      <c r="CU67" s="284">
        <f>CV67*31</f>
        <v>109.80199999999999</v>
      </c>
      <c r="CV67" s="1">
        <v>3.5419999999999998</v>
      </c>
      <c r="CW67" s="1">
        <f t="shared" si="128"/>
        <v>3.4394166666666668</v>
      </c>
      <c r="CX67" s="88" t="s">
        <v>770</v>
      </c>
      <c r="CY67" s="88"/>
      <c r="CZ67" s="269">
        <f>DA67*31</f>
        <v>27.683</v>
      </c>
      <c r="DA67" s="1">
        <v>0.89300000000000002</v>
      </c>
      <c r="DC67" s="284">
        <f>DD67*31</f>
        <v>12.586</v>
      </c>
      <c r="DD67" s="1">
        <v>0.40600000000000003</v>
      </c>
      <c r="DE67" s="1">
        <f t="shared" si="125"/>
        <v>0.40599999999999997</v>
      </c>
      <c r="DH67" s="284">
        <f>DI67*31</f>
        <v>95.448999999999998</v>
      </c>
      <c r="DI67" s="5">
        <f t="shared" si="70"/>
        <v>3.0789999999999997</v>
      </c>
      <c r="DJ67" s="1">
        <f t="shared" si="126"/>
        <v>2.7853333333333334</v>
      </c>
      <c r="DM67" s="284">
        <f>DN67*31</f>
        <v>3560.4119999999994</v>
      </c>
      <c r="DN67" s="1">
        <f t="shared" si="72"/>
        <v>114.85199999999998</v>
      </c>
      <c r="DO67" s="1">
        <f t="shared" si="127"/>
        <v>100.65491666666667</v>
      </c>
      <c r="DR67" s="284">
        <f>DS67*31</f>
        <v>712.78300000000002</v>
      </c>
      <c r="DS67" s="1">
        <f t="shared" si="66"/>
        <v>22.993000000000002</v>
      </c>
      <c r="DT67" s="1" t="e">
        <f>SUM(CM67+CR67+CW67+#REF!+DE67)</f>
        <v>#REF!</v>
      </c>
      <c r="DW67" s="284">
        <f>DX67*31</f>
        <v>4273.1949999999988</v>
      </c>
      <c r="DX67" s="1">
        <f t="shared" si="120"/>
        <v>137.84499999999997</v>
      </c>
      <c r="DY67" s="1">
        <f t="shared" si="121"/>
        <v>120.15083333333332</v>
      </c>
      <c r="EB67" s="242">
        <v>4.45</v>
      </c>
      <c r="EC67" s="17"/>
      <c r="ED67" s="1">
        <f>EE67*92</f>
        <v>1906.3013333333333</v>
      </c>
      <c r="EE67" s="1">
        <f>AVERAGE(DS65:DS67)</f>
        <v>20.720666666666666</v>
      </c>
      <c r="EF67" s="1">
        <f>SUM(EE58+EE61+EE64+EE67)/4</f>
        <v>19.495916666666666</v>
      </c>
      <c r="EL67">
        <v>2002</v>
      </c>
      <c r="EM67" t="s">
        <v>712</v>
      </c>
      <c r="EN67" t="s">
        <v>841</v>
      </c>
      <c r="EO67">
        <v>206.429</v>
      </c>
    </row>
    <row r="68" spans="1:145" ht="15.5" x14ac:dyDescent="0.35">
      <c r="A68" s="23">
        <v>2003</v>
      </c>
      <c r="B68" s="1" t="s">
        <v>719</v>
      </c>
      <c r="C68" s="1"/>
      <c r="D68" s="284">
        <f>E68*31</f>
        <v>194.61799999999999</v>
      </c>
      <c r="E68" s="1">
        <v>6.2779999999999996</v>
      </c>
      <c r="F68" s="1">
        <f t="shared" ref="F68:F73" si="129">SUM(E57:E68)/12</f>
        <v>6.5903333333333336</v>
      </c>
      <c r="G68" s="88" t="s">
        <v>770</v>
      </c>
      <c r="H68" s="88"/>
      <c r="I68" s="283"/>
      <c r="J68" s="88"/>
      <c r="K68" s="88"/>
      <c r="L68" s="88"/>
      <c r="N68" s="284">
        <f>O68*31</f>
        <v>98.611000000000004</v>
      </c>
      <c r="O68" s="1">
        <v>3.181</v>
      </c>
      <c r="P68" s="1">
        <f t="shared" ref="P68:P79" si="130">SUM(O57:O68)/12</f>
        <v>3.3411666666666666</v>
      </c>
      <c r="Q68" s="1">
        <v>5.95</v>
      </c>
      <c r="S68" s="284">
        <f>T68*31</f>
        <v>181.93899999999999</v>
      </c>
      <c r="T68" s="1">
        <v>5.8689999999999998</v>
      </c>
      <c r="U68" s="1">
        <f t="shared" si="51"/>
        <v>4.794083333333333</v>
      </c>
      <c r="V68" s="1">
        <v>11.2</v>
      </c>
      <c r="X68" s="284">
        <f>Y68*31</f>
        <v>848.78</v>
      </c>
      <c r="Y68" s="1">
        <v>27.38</v>
      </c>
      <c r="Z68" s="1">
        <f t="shared" si="52"/>
        <v>24.725416666666671</v>
      </c>
      <c r="AA68" s="1">
        <v>37.700000000000003</v>
      </c>
      <c r="AC68" s="284">
        <f>AD68*31</f>
        <v>1030.7189999999998</v>
      </c>
      <c r="AD68" s="1">
        <f t="shared" si="45"/>
        <v>33.248999999999995</v>
      </c>
      <c r="AE68" s="1">
        <f t="shared" si="122"/>
        <v>29.519499999999994</v>
      </c>
      <c r="AF68" s="1">
        <f t="shared" si="109"/>
        <v>48.900000000000006</v>
      </c>
      <c r="AH68" s="284">
        <f>AI68*31</f>
        <v>1980.528</v>
      </c>
      <c r="AI68" s="1">
        <v>63.887999999999998</v>
      </c>
      <c r="AJ68" s="1">
        <f t="shared" si="50"/>
        <v>54.994000000000007</v>
      </c>
      <c r="AK68" s="1">
        <v>171.4</v>
      </c>
      <c r="AM68" s="284">
        <f>AN68*31</f>
        <v>22.413</v>
      </c>
      <c r="AN68" s="1">
        <v>0.72299999999999998</v>
      </c>
      <c r="AO68" s="1">
        <f t="shared" ref="AO68:AO73" si="131">SUM(AN57:AN68)/12</f>
        <v>0.77516666666666678</v>
      </c>
      <c r="AP68" s="88" t="s">
        <v>770</v>
      </c>
      <c r="AR68" s="284">
        <f>AS68*31</f>
        <v>195.29999999999998</v>
      </c>
      <c r="AS68" s="1">
        <v>6.3</v>
      </c>
      <c r="AT68" s="1">
        <f t="shared" ref="AT68:AT73" si="132">SUM(AS57:AS68)/12</f>
        <v>4.2471666666666659</v>
      </c>
      <c r="AU68" s="88" t="s">
        <v>770</v>
      </c>
      <c r="AW68" s="284">
        <f>AX68*31</f>
        <v>12.431000000000001</v>
      </c>
      <c r="AX68" s="1">
        <v>0.40100000000000002</v>
      </c>
      <c r="AY68" s="1">
        <f t="shared" ref="AY68:AY73" si="133">SUM(AX57:AX68)/12</f>
        <v>0.82399999999999995</v>
      </c>
      <c r="AZ68" s="88" t="s">
        <v>770</v>
      </c>
      <c r="BB68" s="284">
        <f>BC68*31</f>
        <v>31.372</v>
      </c>
      <c r="BC68" s="1">
        <v>1.012</v>
      </c>
      <c r="BD68" s="1">
        <f t="shared" ref="BD68:BD73" si="134">SUM(BC57:BC68)/12</f>
        <v>0.8886666666666666</v>
      </c>
      <c r="BE68" s="88" t="s">
        <v>770</v>
      </c>
      <c r="BG68" s="284">
        <f>BH68*31</f>
        <v>27.466000000000001</v>
      </c>
      <c r="BH68" s="1">
        <v>0.88600000000000001</v>
      </c>
      <c r="BI68" s="1">
        <f t="shared" ref="BI68:BI73" si="135">SUM(BH57:BH68)/12</f>
        <v>0.75399999999999989</v>
      </c>
      <c r="BJ68" s="88" t="s">
        <v>770</v>
      </c>
      <c r="BL68" s="284">
        <f>BM68*31</f>
        <v>106.733</v>
      </c>
      <c r="BM68" s="1">
        <v>3.4430000000000001</v>
      </c>
      <c r="BN68" s="1">
        <f t="shared" ref="BN68:BN73" si="136">SUM(BM57:BM68)/12</f>
        <v>3.4430000000000001</v>
      </c>
      <c r="BQ68" s="284">
        <f>BR68*31</f>
        <v>27.218</v>
      </c>
      <c r="BR68" s="1">
        <v>0.878</v>
      </c>
      <c r="BS68" s="1">
        <f t="shared" ref="BS68:BS73" si="137">SUM(BR57:BR68)/12</f>
        <v>0.55791666666666673</v>
      </c>
      <c r="BT68" s="88" t="s">
        <v>770</v>
      </c>
      <c r="BV68" s="284">
        <f>BW68*31</f>
        <v>11.036</v>
      </c>
      <c r="BW68" s="1">
        <v>0.35599999999999998</v>
      </c>
      <c r="BX68" s="1">
        <f t="shared" ref="BX68:BX73" si="138">SUM(BW57:BW68)/12</f>
        <v>0.21958333333333332</v>
      </c>
      <c r="BY68" s="88" t="s">
        <v>770</v>
      </c>
      <c r="CA68" s="284">
        <f>CB68*31</f>
        <v>19.437000000000001</v>
      </c>
      <c r="CB68" s="1">
        <v>0.627</v>
      </c>
      <c r="CC68" s="1">
        <f t="shared" ref="CC68:CC73" si="139">SUM(CB57:CB68)/12</f>
        <v>0.51074999999999993</v>
      </c>
      <c r="CD68" s="88" t="s">
        <v>770</v>
      </c>
      <c r="CF68" s="284">
        <f>CG68*31</f>
        <v>47.616</v>
      </c>
      <c r="CG68" s="1">
        <v>1.536</v>
      </c>
      <c r="CH68" s="1">
        <f t="shared" si="123"/>
        <v>1.5359999999999998</v>
      </c>
      <c r="CK68" s="284">
        <f>CL68*31</f>
        <v>103.57100000000001</v>
      </c>
      <c r="CL68" s="1">
        <v>3.3410000000000002</v>
      </c>
      <c r="CM68" s="1">
        <f t="shared" si="108"/>
        <v>2.1456666666666666</v>
      </c>
      <c r="CN68" s="1">
        <v>11.26</v>
      </c>
      <c r="CP68" s="284">
        <f>CQ68*31</f>
        <v>441.09899999999999</v>
      </c>
      <c r="CQ68" s="1">
        <v>14.228999999999999</v>
      </c>
      <c r="CR68" s="1">
        <f t="shared" si="124"/>
        <v>13.017916666666665</v>
      </c>
      <c r="CS68" s="1">
        <v>32.5</v>
      </c>
      <c r="CU68" s="284">
        <f>CV68*31</f>
        <v>104.904</v>
      </c>
      <c r="CV68" s="1">
        <v>3.3839999999999999</v>
      </c>
      <c r="CW68" s="1">
        <f t="shared" si="128"/>
        <v>3.4001666666666668</v>
      </c>
      <c r="CX68" s="88">
        <v>6.3</v>
      </c>
      <c r="CY68" s="88"/>
      <c r="CZ68" s="269">
        <f>DA68*31</f>
        <v>29.45</v>
      </c>
      <c r="DA68" s="1">
        <v>0.95</v>
      </c>
      <c r="DC68" s="284">
        <f>DD68*31</f>
        <v>12.586</v>
      </c>
      <c r="DD68" s="1">
        <v>0.40600000000000003</v>
      </c>
      <c r="DE68" s="1">
        <f t="shared" si="125"/>
        <v>0.40599999999999997</v>
      </c>
      <c r="DH68" s="284">
        <f>DI68*31</f>
        <v>105.307</v>
      </c>
      <c r="DI68" s="5">
        <f t="shared" si="70"/>
        <v>3.3970000000000002</v>
      </c>
      <c r="DJ68" s="1">
        <f t="shared" si="126"/>
        <v>2.8242499999999997</v>
      </c>
      <c r="DM68" s="284">
        <f>DN68*31</f>
        <v>3594.8839999999996</v>
      </c>
      <c r="DN68" s="1">
        <f t="shared" si="72"/>
        <v>115.96399999999998</v>
      </c>
      <c r="DO68" s="1">
        <f t="shared" si="127"/>
        <v>102.55274999999999</v>
      </c>
      <c r="DR68" s="284">
        <f>DS68*31</f>
        <v>691.61</v>
      </c>
      <c r="DS68" s="1">
        <f t="shared" si="66"/>
        <v>22.31</v>
      </c>
      <c r="DT68" s="1" t="e">
        <f>SUM(CM68+CR68+CW68+#REF!+DE68)</f>
        <v>#REF!</v>
      </c>
      <c r="DW68" s="284">
        <f>DX68*31</f>
        <v>4286.4939999999988</v>
      </c>
      <c r="DX68" s="1">
        <f t="shared" ref="DX68:DX73" si="140">SUM(DN68+DS68)</f>
        <v>138.27399999999997</v>
      </c>
      <c r="DY68" s="1">
        <f t="shared" ref="DY68:DY73" si="141">SUM(DX57:DX68)/12</f>
        <v>122.27591666666665</v>
      </c>
      <c r="EB68" s="242">
        <v>2.41</v>
      </c>
      <c r="EC68" s="17"/>
      <c r="EL68">
        <v>2003</v>
      </c>
      <c r="EM68" t="s">
        <v>719</v>
      </c>
      <c r="EN68" t="s">
        <v>841</v>
      </c>
      <c r="EO68">
        <v>194.61799999999999</v>
      </c>
    </row>
    <row r="69" spans="1:145" ht="15.5" x14ac:dyDescent="0.35">
      <c r="A69" s="23">
        <v>2003</v>
      </c>
      <c r="B69" s="1" t="s">
        <v>713</v>
      </c>
      <c r="C69" s="1"/>
      <c r="D69" s="284">
        <f>E69*28</f>
        <v>199.78</v>
      </c>
      <c r="E69" s="1">
        <v>7.1349999999999998</v>
      </c>
      <c r="F69" s="1">
        <f t="shared" si="129"/>
        <v>6.7070000000000007</v>
      </c>
      <c r="G69" s="88" t="s">
        <v>770</v>
      </c>
      <c r="H69" s="88"/>
      <c r="I69" s="283"/>
      <c r="J69" s="88"/>
      <c r="K69" s="88"/>
      <c r="L69" s="88"/>
      <c r="N69" s="284">
        <f>O69*28</f>
        <v>101.248</v>
      </c>
      <c r="O69" s="1">
        <v>3.6160000000000001</v>
      </c>
      <c r="P69" s="1">
        <f t="shared" si="130"/>
        <v>3.4003333333333337</v>
      </c>
      <c r="Q69" s="1">
        <v>6.6</v>
      </c>
      <c r="S69" s="284">
        <f>T69*28</f>
        <v>192.92</v>
      </c>
      <c r="T69" s="1">
        <v>6.89</v>
      </c>
      <c r="U69" s="1">
        <f t="shared" si="51"/>
        <v>4.9973333333333336</v>
      </c>
      <c r="V69" s="1">
        <v>23</v>
      </c>
      <c r="X69" s="284">
        <f>Y69*28</f>
        <v>800.01599999999996</v>
      </c>
      <c r="Y69" s="1">
        <v>28.571999999999999</v>
      </c>
      <c r="Z69" s="1">
        <f t="shared" si="52"/>
        <v>25.228416666666664</v>
      </c>
      <c r="AA69" s="1">
        <v>45.6</v>
      </c>
      <c r="AC69" s="284">
        <f>AD69*28</f>
        <v>992.93599999999992</v>
      </c>
      <c r="AD69" s="1">
        <f t="shared" si="45"/>
        <v>35.461999999999996</v>
      </c>
      <c r="AE69" s="1">
        <f t="shared" si="122"/>
        <v>30.225749999999994</v>
      </c>
      <c r="AF69" s="1">
        <f t="shared" si="109"/>
        <v>68.599999999999994</v>
      </c>
      <c r="AH69" s="284">
        <f>AI69*28</f>
        <v>2034.3400000000001</v>
      </c>
      <c r="AI69" s="1">
        <v>72.655000000000001</v>
      </c>
      <c r="AJ69" s="1">
        <f t="shared" si="50"/>
        <v>56.818250000000006</v>
      </c>
      <c r="AK69" s="1">
        <v>232.9</v>
      </c>
      <c r="AM69" s="284">
        <f>AN69*28</f>
        <v>28.083999999999996</v>
      </c>
      <c r="AN69" s="1">
        <v>1.0029999999999999</v>
      </c>
      <c r="AO69" s="1">
        <f t="shared" si="131"/>
        <v>0.80433333333333357</v>
      </c>
      <c r="AP69" s="88" t="s">
        <v>770</v>
      </c>
      <c r="AR69" s="284">
        <f>AS69*28</f>
        <v>123.78800000000001</v>
      </c>
      <c r="AS69" s="1">
        <v>4.4210000000000003</v>
      </c>
      <c r="AT69" s="1">
        <f t="shared" si="132"/>
        <v>4.3227499999999992</v>
      </c>
      <c r="AU69" s="88" t="s">
        <v>770</v>
      </c>
      <c r="AW69" s="284">
        <f>AX69*28</f>
        <v>13.86</v>
      </c>
      <c r="AX69" s="1">
        <v>0.495</v>
      </c>
      <c r="AY69" s="1">
        <f t="shared" si="133"/>
        <v>0.80066666666666653</v>
      </c>
      <c r="AZ69" s="88" t="s">
        <v>770</v>
      </c>
      <c r="BB69" s="284">
        <f>BC69*28</f>
        <v>32.116</v>
      </c>
      <c r="BC69" s="1">
        <v>1.147</v>
      </c>
      <c r="BD69" s="1">
        <f t="shared" si="134"/>
        <v>0.92049999999999998</v>
      </c>
      <c r="BE69" s="88" t="s">
        <v>770</v>
      </c>
      <c r="BG69" s="284">
        <f>BH69*28</f>
        <v>29.763999999999999</v>
      </c>
      <c r="BH69" s="1">
        <v>1.0629999999999999</v>
      </c>
      <c r="BI69" s="1">
        <f t="shared" si="135"/>
        <v>0.79133333333333322</v>
      </c>
      <c r="BJ69" s="88" t="s">
        <v>770</v>
      </c>
      <c r="BL69" s="284">
        <f>BM69*28</f>
        <v>96.403999999999996</v>
      </c>
      <c r="BM69" s="1">
        <v>3.4430000000000001</v>
      </c>
      <c r="BN69" s="1">
        <f t="shared" si="136"/>
        <v>3.4430000000000001</v>
      </c>
      <c r="BQ69" s="284">
        <f>BR69*28</f>
        <v>38.192</v>
      </c>
      <c r="BR69" s="1">
        <v>1.3640000000000001</v>
      </c>
      <c r="BS69" s="1">
        <f t="shared" si="137"/>
        <v>0.63583333333333336</v>
      </c>
      <c r="BT69" s="88" t="s">
        <v>770</v>
      </c>
      <c r="BV69" s="284">
        <f>BW69*28</f>
        <v>6.2439999999999998</v>
      </c>
      <c r="BW69" s="1">
        <v>0.223</v>
      </c>
      <c r="BX69" s="1">
        <f t="shared" si="138"/>
        <v>0.22616666666666663</v>
      </c>
      <c r="BY69" s="88" t="s">
        <v>770</v>
      </c>
      <c r="CA69" s="284">
        <f>CB69*28</f>
        <v>18.368000000000002</v>
      </c>
      <c r="CB69" s="1">
        <v>0.65600000000000003</v>
      </c>
      <c r="CC69" s="1">
        <f t="shared" si="139"/>
        <v>0.53158333333333319</v>
      </c>
      <c r="CD69" s="88" t="s">
        <v>770</v>
      </c>
      <c r="CF69" s="284">
        <f>CG69*28</f>
        <v>43.008000000000003</v>
      </c>
      <c r="CG69" s="1">
        <v>1.536</v>
      </c>
      <c r="CH69" s="1">
        <f t="shared" ref="CH69:CH75" si="142">SUM(CG58:CG69)/12</f>
        <v>1.5359999999999998</v>
      </c>
      <c r="CK69" s="284">
        <f>CL69*28</f>
        <v>124.292</v>
      </c>
      <c r="CL69" s="1">
        <v>4.4390000000000001</v>
      </c>
      <c r="CM69" s="1">
        <f t="shared" si="108"/>
        <v>2.41</v>
      </c>
      <c r="CN69" s="1">
        <v>64.38</v>
      </c>
      <c r="CP69" s="284">
        <f>CQ69*28</f>
        <v>369.37599999999998</v>
      </c>
      <c r="CQ69" s="1">
        <v>13.192</v>
      </c>
      <c r="CR69" s="1">
        <f t="shared" si="124"/>
        <v>13.052833333333334</v>
      </c>
      <c r="CS69" s="1">
        <v>31.9</v>
      </c>
      <c r="CU69" s="284">
        <f>CV69*28</f>
        <v>105.50399999999999</v>
      </c>
      <c r="CV69" s="1">
        <v>3.7679999999999998</v>
      </c>
      <c r="CW69" s="1">
        <f t="shared" si="128"/>
        <v>3.4108333333333332</v>
      </c>
      <c r="CX69" s="1">
        <v>8.1</v>
      </c>
      <c r="CZ69" s="269">
        <f>DA69*28</f>
        <v>30.66</v>
      </c>
      <c r="DA69" s="1">
        <v>1.095</v>
      </c>
      <c r="DC69" s="284">
        <f>DD69*28</f>
        <v>11.368</v>
      </c>
      <c r="DD69" s="1">
        <v>0.40600000000000003</v>
      </c>
      <c r="DE69" s="1">
        <f t="shared" ref="DE69:DE75" si="143">SUM(DD58:DD69)/12</f>
        <v>0.40599999999999997</v>
      </c>
      <c r="DH69" s="284">
        <f>DI69*28</f>
        <v>105.81200000000001</v>
      </c>
      <c r="DI69" s="5">
        <f t="shared" si="70"/>
        <v>3.7790000000000004</v>
      </c>
      <c r="DJ69" s="1">
        <f t="shared" ref="DJ69:DJ75" si="144">SUM(DI58:DI69)/12</f>
        <v>2.9295833333333334</v>
      </c>
      <c r="DM69" s="284">
        <f>DN69*28</f>
        <v>3546.5080000000007</v>
      </c>
      <c r="DN69" s="1">
        <f t="shared" si="72"/>
        <v>126.66100000000003</v>
      </c>
      <c r="DO69" s="1">
        <f t="shared" ref="DO69:DO75" si="145">SUM(DN58:DN69)/12</f>
        <v>105.30433333333333</v>
      </c>
      <c r="DR69" s="284">
        <f>DS69*28</f>
        <v>641.19999999999993</v>
      </c>
      <c r="DS69" s="1">
        <f t="shared" ref="DS69:DS100" si="146">SUM(CL69+CQ69+CV69+DA69+DD69)</f>
        <v>22.9</v>
      </c>
      <c r="DT69" s="1" t="e">
        <f>SUM(CM69+CR69+CW69+#REF!+DE69)</f>
        <v>#REF!</v>
      </c>
      <c r="DW69" s="284">
        <f>DX69*28</f>
        <v>4187.7080000000005</v>
      </c>
      <c r="DX69" s="1">
        <f t="shared" si="140"/>
        <v>149.56100000000004</v>
      </c>
      <c r="DY69" s="1">
        <f t="shared" si="141"/>
        <v>125.36824999999999</v>
      </c>
      <c r="EB69" s="242">
        <v>6.98</v>
      </c>
      <c r="EC69" s="17"/>
      <c r="EL69">
        <v>2003</v>
      </c>
      <c r="EM69" t="s">
        <v>713</v>
      </c>
      <c r="EN69" t="s">
        <v>841</v>
      </c>
      <c r="EO69">
        <v>199.78</v>
      </c>
    </row>
    <row r="70" spans="1:145" ht="15.5" x14ac:dyDescent="0.35">
      <c r="A70" s="23">
        <v>2003</v>
      </c>
      <c r="B70" s="1" t="s">
        <v>714</v>
      </c>
      <c r="C70" s="1"/>
      <c r="D70" s="284">
        <f>E70*31</f>
        <v>250.17000000000002</v>
      </c>
      <c r="E70" s="1">
        <v>8.07</v>
      </c>
      <c r="F70" s="1">
        <f t="shared" si="129"/>
        <v>6.8850833333333341</v>
      </c>
      <c r="G70" s="88" t="s">
        <v>770</v>
      </c>
      <c r="H70" s="88"/>
      <c r="I70" s="283"/>
      <c r="J70" s="88"/>
      <c r="K70" s="88"/>
      <c r="L70" s="88"/>
      <c r="N70" s="284">
        <f>O70*31</f>
        <v>126.78999999999999</v>
      </c>
      <c r="O70" s="1">
        <v>4.09</v>
      </c>
      <c r="P70" s="1">
        <f t="shared" si="130"/>
        <v>3.4892499999999997</v>
      </c>
      <c r="Q70" s="1">
        <v>9</v>
      </c>
      <c r="S70" s="284">
        <f>T70*31</f>
        <v>251.19299999999998</v>
      </c>
      <c r="T70" s="1">
        <v>8.1029999999999998</v>
      </c>
      <c r="U70" s="1">
        <f t="shared" si="51"/>
        <v>5.2831666666666672</v>
      </c>
      <c r="V70" s="1">
        <v>15.4</v>
      </c>
      <c r="X70" s="284">
        <f>Y70*31</f>
        <v>999.25400000000002</v>
      </c>
      <c r="Y70" s="1">
        <v>32.234000000000002</v>
      </c>
      <c r="Z70" s="1">
        <f t="shared" si="52"/>
        <v>25.982249999999997</v>
      </c>
      <c r="AA70" s="1">
        <v>42.7</v>
      </c>
      <c r="AC70" s="284">
        <f>AD70*31</f>
        <v>1250.4470000000001</v>
      </c>
      <c r="AD70" s="1">
        <f t="shared" si="45"/>
        <v>40.337000000000003</v>
      </c>
      <c r="AE70" s="1">
        <f t="shared" si="122"/>
        <v>31.265416666666663</v>
      </c>
      <c r="AF70" s="1">
        <f t="shared" si="109"/>
        <v>58.1</v>
      </c>
      <c r="AH70" s="284">
        <f>AI70*31</f>
        <v>2388.2089999999998</v>
      </c>
      <c r="AI70" s="1">
        <v>77.039000000000001</v>
      </c>
      <c r="AJ70" s="1">
        <f t="shared" si="50"/>
        <v>58.809333333333342</v>
      </c>
      <c r="AK70" s="1">
        <v>177.1</v>
      </c>
      <c r="AM70" s="284">
        <f>AN70*31</f>
        <v>27.838000000000001</v>
      </c>
      <c r="AN70" s="1">
        <v>0.89800000000000002</v>
      </c>
      <c r="AO70" s="1">
        <f t="shared" si="131"/>
        <v>0.81775000000000009</v>
      </c>
      <c r="AP70" s="88" t="s">
        <v>770</v>
      </c>
      <c r="AR70" s="284">
        <f>AS70*31</f>
        <v>174.18899999999999</v>
      </c>
      <c r="AS70" s="1">
        <v>5.6189999999999998</v>
      </c>
      <c r="AT70" s="1">
        <f t="shared" si="132"/>
        <v>4.4775</v>
      </c>
      <c r="AU70" s="88" t="s">
        <v>770</v>
      </c>
      <c r="AW70" s="284">
        <f>AX70*31</f>
        <v>19.033999999999999</v>
      </c>
      <c r="AX70" s="1">
        <v>0.61399999999999999</v>
      </c>
      <c r="AY70" s="1">
        <f t="shared" si="133"/>
        <v>0.77441666666666664</v>
      </c>
      <c r="AZ70" s="88" t="s">
        <v>770</v>
      </c>
      <c r="BB70" s="284">
        <f>BC70*31</f>
        <v>32.426000000000002</v>
      </c>
      <c r="BC70" s="1">
        <v>1.046</v>
      </c>
      <c r="BD70" s="1">
        <f t="shared" si="134"/>
        <v>0.93124999999999991</v>
      </c>
      <c r="BE70" s="88" t="s">
        <v>770</v>
      </c>
      <c r="BG70" s="284">
        <f>BH70*31</f>
        <v>29.201999999999998</v>
      </c>
      <c r="BH70" s="1">
        <v>0.94199999999999995</v>
      </c>
      <c r="BI70" s="1">
        <f t="shared" si="135"/>
        <v>0.81391666666666662</v>
      </c>
      <c r="BJ70" s="88" t="s">
        <v>770</v>
      </c>
      <c r="BL70" s="284">
        <f>BM70*31</f>
        <v>106.733</v>
      </c>
      <c r="BM70" s="1">
        <v>3.4430000000000001</v>
      </c>
      <c r="BN70" s="1">
        <f t="shared" si="136"/>
        <v>3.4430000000000001</v>
      </c>
      <c r="BQ70" s="284">
        <f>BR70*31</f>
        <v>21.823999999999998</v>
      </c>
      <c r="BR70" s="1">
        <v>0.70399999999999996</v>
      </c>
      <c r="BS70" s="1">
        <f t="shared" si="137"/>
        <v>0.65183333333333338</v>
      </c>
      <c r="BT70" s="88" t="s">
        <v>770</v>
      </c>
      <c r="BV70" s="284">
        <f>BW70*31</f>
        <v>7.4710000000000001</v>
      </c>
      <c r="BW70" s="1">
        <v>0.24099999999999999</v>
      </c>
      <c r="BX70" s="1">
        <f t="shared" si="138"/>
        <v>0.23075000000000001</v>
      </c>
      <c r="BY70" s="88" t="s">
        <v>770</v>
      </c>
      <c r="CA70" s="284">
        <f>CB70*31</f>
        <v>19.777999999999999</v>
      </c>
      <c r="CB70" s="1">
        <v>0.63800000000000001</v>
      </c>
      <c r="CC70" s="1">
        <f t="shared" si="139"/>
        <v>0.54449999999999987</v>
      </c>
      <c r="CD70" s="88" t="s">
        <v>770</v>
      </c>
      <c r="CF70" s="284">
        <f>CG70*31</f>
        <v>47.616</v>
      </c>
      <c r="CG70" s="1">
        <v>1.536</v>
      </c>
      <c r="CH70" s="1">
        <f t="shared" si="142"/>
        <v>1.5359999999999998</v>
      </c>
      <c r="CK70" s="284">
        <f>CL70*31</f>
        <v>230.88800000000001</v>
      </c>
      <c r="CL70" s="1">
        <v>7.4480000000000004</v>
      </c>
      <c r="CM70" s="1">
        <f t="shared" ref="CM70:CM79" si="147">SUM(CL59:CL70)/12</f>
        <v>2.8800833333333333</v>
      </c>
      <c r="CN70" s="1">
        <v>11.61</v>
      </c>
      <c r="CP70" s="284">
        <f>CQ70*31</f>
        <v>527.31000000000006</v>
      </c>
      <c r="CQ70" s="1">
        <v>17.010000000000002</v>
      </c>
      <c r="CR70" s="1">
        <f t="shared" si="124"/>
        <v>13.342416666666665</v>
      </c>
      <c r="CS70" s="1">
        <v>37</v>
      </c>
      <c r="CU70" s="284">
        <f>CV70*31</f>
        <v>141.32900000000001</v>
      </c>
      <c r="CV70" s="1">
        <v>4.5590000000000002</v>
      </c>
      <c r="CW70" s="1">
        <f t="shared" si="128"/>
        <v>3.4748333333333328</v>
      </c>
      <c r="CX70" s="1">
        <v>8.1999999999999993</v>
      </c>
      <c r="CZ70" s="269">
        <f>DA70*31</f>
        <v>39.028999999999996</v>
      </c>
      <c r="DA70" s="1">
        <v>1.2589999999999999</v>
      </c>
      <c r="DC70" s="284">
        <f>DD70*31</f>
        <v>12.586</v>
      </c>
      <c r="DD70" s="1">
        <v>0.40600000000000003</v>
      </c>
      <c r="DE70" s="1">
        <f t="shared" si="143"/>
        <v>0.40599999999999997</v>
      </c>
      <c r="DH70" s="284">
        <f>DI70*31</f>
        <v>96.688999999999993</v>
      </c>
      <c r="DI70" s="5">
        <f t="shared" si="70"/>
        <v>3.1189999999999998</v>
      </c>
      <c r="DJ70" s="1">
        <f t="shared" si="144"/>
        <v>2.9630833333333335</v>
      </c>
      <c r="DM70" s="284">
        <f>DN70*31</f>
        <v>4308.3490000000002</v>
      </c>
      <c r="DN70" s="1">
        <f t="shared" si="72"/>
        <v>138.97900000000001</v>
      </c>
      <c r="DO70" s="1">
        <f t="shared" si="145"/>
        <v>108.74383333333334</v>
      </c>
      <c r="DR70" s="284">
        <f>DS70*31</f>
        <v>951.14200000000005</v>
      </c>
      <c r="DS70" s="1">
        <f t="shared" si="146"/>
        <v>30.682000000000002</v>
      </c>
      <c r="DT70" s="1" t="e">
        <f>SUM(CM70+CR70+CW70+#REF!+DE70)</f>
        <v>#REF!</v>
      </c>
      <c r="DW70" s="284">
        <f>DX70*31</f>
        <v>5259.491</v>
      </c>
      <c r="DX70" s="1">
        <f t="shared" si="140"/>
        <v>169.661</v>
      </c>
      <c r="DY70" s="1">
        <f t="shared" si="141"/>
        <v>129.67766666666668</v>
      </c>
      <c r="EB70" s="242">
        <v>4.2</v>
      </c>
      <c r="EC70" s="17"/>
      <c r="ED70" s="1">
        <f>EE70*92</f>
        <v>2327.3546666666666</v>
      </c>
      <c r="EE70" s="1">
        <f>AVERAGE(DS68:DS70)</f>
        <v>25.297333333333331</v>
      </c>
      <c r="EF70" s="1">
        <f>SUM(EE61+EE64+EE67+EE70)/4</f>
        <v>20.933833333333332</v>
      </c>
      <c r="EL70">
        <v>2003</v>
      </c>
      <c r="EM70" t="s">
        <v>714</v>
      </c>
      <c r="EN70" t="s">
        <v>841</v>
      </c>
      <c r="EO70">
        <v>250.17000000000002</v>
      </c>
    </row>
    <row r="71" spans="1:145" ht="15.5" x14ac:dyDescent="0.35">
      <c r="A71" s="23">
        <v>2003</v>
      </c>
      <c r="B71" s="1" t="s">
        <v>705</v>
      </c>
      <c r="C71" s="1"/>
      <c r="D71" s="284">
        <f>E71*30</f>
        <v>32.369999999999997</v>
      </c>
      <c r="E71" s="1">
        <v>1.079</v>
      </c>
      <c r="F71" s="1">
        <f t="shared" si="129"/>
        <v>6.4445833333333331</v>
      </c>
      <c r="G71" s="88" t="s">
        <v>770</v>
      </c>
      <c r="H71" s="88"/>
      <c r="I71" s="283"/>
      <c r="J71" s="88"/>
      <c r="K71" s="88"/>
      <c r="L71" s="88"/>
      <c r="N71" s="284">
        <f>O71*30</f>
        <v>120.83999999999999</v>
      </c>
      <c r="O71" s="1">
        <v>4.0279999999999996</v>
      </c>
      <c r="P71" s="1">
        <f t="shared" si="130"/>
        <v>3.5560833333333339</v>
      </c>
      <c r="Q71" s="1">
        <v>6.8</v>
      </c>
      <c r="S71" s="284">
        <f>T71*30</f>
        <v>216.69</v>
      </c>
      <c r="T71" s="1">
        <v>7.2229999999999999</v>
      </c>
      <c r="U71" s="1">
        <f t="shared" si="51"/>
        <v>5.4916666666666671</v>
      </c>
      <c r="V71" s="1">
        <v>10.7</v>
      </c>
      <c r="X71" s="284">
        <f>Y71*30</f>
        <v>914.49</v>
      </c>
      <c r="Y71" s="1">
        <v>30.483000000000001</v>
      </c>
      <c r="Z71" s="1">
        <f t="shared" si="52"/>
        <v>26.557833333333331</v>
      </c>
      <c r="AA71" s="1">
        <v>37.17</v>
      </c>
      <c r="AC71" s="284">
        <f>AD71*30</f>
        <v>1131.18</v>
      </c>
      <c r="AD71" s="1">
        <f t="shared" si="45"/>
        <v>37.706000000000003</v>
      </c>
      <c r="AE71" s="1">
        <f t="shared" si="122"/>
        <v>32.049499999999995</v>
      </c>
      <c r="AF71" s="1">
        <f t="shared" si="109"/>
        <v>47.870000000000005</v>
      </c>
      <c r="AH71" s="284">
        <f>AI71*30</f>
        <v>2079.36</v>
      </c>
      <c r="AI71" s="1">
        <v>69.311999999999998</v>
      </c>
      <c r="AJ71" s="1">
        <f t="shared" si="50"/>
        <v>60.105500000000006</v>
      </c>
      <c r="AK71" s="1">
        <v>162.25</v>
      </c>
      <c r="AM71" s="284">
        <f>AN71*30</f>
        <v>21.63</v>
      </c>
      <c r="AN71" s="1">
        <v>0.72099999999999997</v>
      </c>
      <c r="AO71" s="1">
        <f t="shared" si="131"/>
        <v>0.82033333333333325</v>
      </c>
      <c r="AP71" s="88" t="s">
        <v>770</v>
      </c>
      <c r="AR71" s="284">
        <f>AS71*30</f>
        <v>157.14000000000001</v>
      </c>
      <c r="AS71" s="1">
        <v>5.2380000000000004</v>
      </c>
      <c r="AT71" s="1">
        <f t="shared" si="132"/>
        <v>4.6051666666666664</v>
      </c>
      <c r="AU71" s="88" t="s">
        <v>770</v>
      </c>
      <c r="AW71" s="284">
        <f>AX71*30</f>
        <v>15.450000000000001</v>
      </c>
      <c r="AX71" s="1">
        <v>0.51500000000000001</v>
      </c>
      <c r="AY71" s="1">
        <f t="shared" si="133"/>
        <v>0.74791666666666667</v>
      </c>
      <c r="AZ71" s="88" t="s">
        <v>770</v>
      </c>
      <c r="BB71" s="284">
        <f>BC71*30</f>
        <v>22.47</v>
      </c>
      <c r="BC71" s="1">
        <v>0.749</v>
      </c>
      <c r="BD71" s="1">
        <f t="shared" si="134"/>
        <v>0.92516666666666669</v>
      </c>
      <c r="BE71" s="88" t="s">
        <v>770</v>
      </c>
      <c r="BG71" s="284">
        <f>BH71*30</f>
        <v>23.04</v>
      </c>
      <c r="BH71" s="1">
        <v>0.76800000000000002</v>
      </c>
      <c r="BI71" s="1">
        <f t="shared" si="135"/>
        <v>0.82400000000000018</v>
      </c>
      <c r="BJ71" s="88" t="s">
        <v>770</v>
      </c>
      <c r="BL71" s="284">
        <f>BM71*30</f>
        <v>103.29</v>
      </c>
      <c r="BM71" s="1">
        <v>3.4430000000000001</v>
      </c>
      <c r="BN71" s="1">
        <f t="shared" si="136"/>
        <v>3.4430000000000001</v>
      </c>
      <c r="BQ71" s="284">
        <f>BR71*31</f>
        <v>18.320999999999998</v>
      </c>
      <c r="BR71" s="1">
        <v>0.59099999999999997</v>
      </c>
      <c r="BS71" s="1">
        <f t="shared" si="137"/>
        <v>0.66216666666666668</v>
      </c>
      <c r="BT71" s="88" t="s">
        <v>770</v>
      </c>
      <c r="BV71" s="284">
        <f>BW71*30</f>
        <v>7.2299999999999995</v>
      </c>
      <c r="BW71" s="1">
        <v>0.24099999999999999</v>
      </c>
      <c r="BX71" s="1">
        <f t="shared" si="138"/>
        <v>0.23500000000000001</v>
      </c>
      <c r="BY71" s="88" t="s">
        <v>770</v>
      </c>
      <c r="CA71" s="284">
        <f>CB71*31</f>
        <v>18.475999999999999</v>
      </c>
      <c r="CB71" s="1">
        <v>0.59599999999999997</v>
      </c>
      <c r="CC71" s="1">
        <f t="shared" si="139"/>
        <v>0.55883333333333329</v>
      </c>
      <c r="CD71" s="88" t="s">
        <v>770</v>
      </c>
      <c r="CF71" s="284">
        <f>CG71*30</f>
        <v>46.08</v>
      </c>
      <c r="CG71" s="1">
        <v>1.536</v>
      </c>
      <c r="CH71" s="1">
        <f t="shared" si="142"/>
        <v>1.5359999999999998</v>
      </c>
      <c r="CK71" s="284">
        <f>CL71*30</f>
        <v>409.46999999999997</v>
      </c>
      <c r="CL71" s="1">
        <v>13.648999999999999</v>
      </c>
      <c r="CM71" s="1">
        <f t="shared" si="147"/>
        <v>3.8365000000000005</v>
      </c>
      <c r="CN71" s="1">
        <v>20.61</v>
      </c>
      <c r="CP71" s="284">
        <f>CQ71*30</f>
        <v>487.65</v>
      </c>
      <c r="CQ71" s="1">
        <v>16.254999999999999</v>
      </c>
      <c r="CR71" s="1">
        <f t="shared" si="124"/>
        <v>13.570666666666666</v>
      </c>
      <c r="CS71" s="1">
        <v>34.5</v>
      </c>
      <c r="CU71" s="284">
        <f>CV71*30</f>
        <v>127.68</v>
      </c>
      <c r="CV71" s="1">
        <v>4.2560000000000002</v>
      </c>
      <c r="CW71" s="1">
        <f t="shared" si="128"/>
        <v>3.5173333333333332</v>
      </c>
      <c r="CX71" s="1">
        <v>6.8</v>
      </c>
      <c r="CZ71" s="269">
        <f>DA71*30</f>
        <v>35.79</v>
      </c>
      <c r="DA71" s="1">
        <v>1.1930000000000001</v>
      </c>
      <c r="DC71" s="284">
        <f>DD71*30</f>
        <v>12.180000000000001</v>
      </c>
      <c r="DD71" s="1">
        <v>0.40600000000000003</v>
      </c>
      <c r="DE71" s="1">
        <f t="shared" si="143"/>
        <v>0.40599999999999997</v>
      </c>
      <c r="DH71" s="284">
        <f>DI71*30</f>
        <v>88.92</v>
      </c>
      <c r="DI71" s="5">
        <f t="shared" si="70"/>
        <v>2.964</v>
      </c>
      <c r="DJ71" s="1">
        <f t="shared" si="144"/>
        <v>2.9919999999999995</v>
      </c>
      <c r="DM71" s="284">
        <f>DN71*30</f>
        <v>3617.85</v>
      </c>
      <c r="DN71" s="1">
        <f t="shared" si="72"/>
        <v>120.595</v>
      </c>
      <c r="DO71" s="1">
        <f t="shared" si="145"/>
        <v>110.52924999999999</v>
      </c>
      <c r="DR71" s="284">
        <f>DS71*30</f>
        <v>1072.7699999999998</v>
      </c>
      <c r="DS71" s="1">
        <f t="shared" si="146"/>
        <v>35.758999999999993</v>
      </c>
      <c r="DT71" s="1" t="e">
        <f>SUM(CM71+CR71+CW71+#REF!+DE71)</f>
        <v>#REF!</v>
      </c>
      <c r="DW71" s="284">
        <f>DX71*30</f>
        <v>4690.62</v>
      </c>
      <c r="DX71" s="1">
        <f t="shared" si="140"/>
        <v>156.35399999999998</v>
      </c>
      <c r="DY71" s="1">
        <f t="shared" si="141"/>
        <v>132.72891666666666</v>
      </c>
      <c r="EB71" s="242">
        <v>2.5499999999999998</v>
      </c>
      <c r="EC71" s="17"/>
      <c r="EL71">
        <v>2003</v>
      </c>
      <c r="EM71" t="s">
        <v>705</v>
      </c>
      <c r="EN71" t="s">
        <v>841</v>
      </c>
      <c r="EO71">
        <v>32.369999999999997</v>
      </c>
    </row>
    <row r="72" spans="1:145" ht="15.5" x14ac:dyDescent="0.35">
      <c r="A72" s="23">
        <v>2003</v>
      </c>
      <c r="B72" s="1" t="s">
        <v>715</v>
      </c>
      <c r="C72" s="1"/>
      <c r="D72" s="284">
        <f>E72*31</f>
        <v>41.54</v>
      </c>
      <c r="E72" s="1">
        <v>1.34</v>
      </c>
      <c r="F72" s="1">
        <f t="shared" si="129"/>
        <v>5.9914166666666659</v>
      </c>
      <c r="G72" s="88" t="s">
        <v>770</v>
      </c>
      <c r="H72" s="88"/>
      <c r="I72" s="283"/>
      <c r="J72" s="88"/>
      <c r="K72" s="88"/>
      <c r="L72" s="88"/>
      <c r="N72" s="284">
        <f>O72*31</f>
        <v>128.40200000000002</v>
      </c>
      <c r="O72" s="1">
        <v>4.1420000000000003</v>
      </c>
      <c r="P72" s="1">
        <f t="shared" si="130"/>
        <v>3.6150000000000002</v>
      </c>
      <c r="Q72" s="1">
        <v>10.5</v>
      </c>
      <c r="S72" s="284">
        <f>T72*31</f>
        <v>231.41499999999999</v>
      </c>
      <c r="T72" s="1">
        <v>7.4649999999999999</v>
      </c>
      <c r="U72" s="1">
        <f t="shared" si="51"/>
        <v>5.6523333333333339</v>
      </c>
      <c r="V72" s="1">
        <v>13.4</v>
      </c>
      <c r="X72" s="284">
        <f>Y72*31</f>
        <v>969.15300000000002</v>
      </c>
      <c r="Y72" s="1">
        <v>31.263000000000002</v>
      </c>
      <c r="Z72" s="1">
        <f t="shared" si="52"/>
        <v>27.121083333333331</v>
      </c>
      <c r="AA72" s="1">
        <v>41</v>
      </c>
      <c r="AC72" s="284">
        <f>AD72*31</f>
        <v>1200.568</v>
      </c>
      <c r="AD72" s="1">
        <f t="shared" si="45"/>
        <v>38.728000000000002</v>
      </c>
      <c r="AE72" s="1">
        <f t="shared" si="122"/>
        <v>32.77341666666667</v>
      </c>
      <c r="AF72" s="1">
        <f t="shared" si="109"/>
        <v>54.4</v>
      </c>
      <c r="AH72" s="284">
        <f>AI72*31</f>
        <v>2165.5360000000001</v>
      </c>
      <c r="AI72" s="1">
        <v>69.855999999999995</v>
      </c>
      <c r="AJ72" s="1">
        <f t="shared" si="50"/>
        <v>61.367750000000001</v>
      </c>
      <c r="AK72" s="1">
        <v>190.6</v>
      </c>
      <c r="AM72" s="284">
        <f>AN72*31</f>
        <v>25.048000000000002</v>
      </c>
      <c r="AN72" s="1">
        <v>0.80800000000000005</v>
      </c>
      <c r="AO72" s="1">
        <f t="shared" si="131"/>
        <v>0.82558333333333334</v>
      </c>
      <c r="AP72" s="88" t="s">
        <v>770</v>
      </c>
      <c r="AR72" s="284">
        <f>AS72*31</f>
        <v>177.816</v>
      </c>
      <c r="AS72" s="1">
        <v>5.7359999999999998</v>
      </c>
      <c r="AT72" s="1">
        <f t="shared" si="132"/>
        <v>4.7743333333333329</v>
      </c>
      <c r="AU72" s="88" t="s">
        <v>770</v>
      </c>
      <c r="AW72" s="284">
        <f>AX72*31</f>
        <v>14.662999999999998</v>
      </c>
      <c r="AX72" s="1">
        <v>0.47299999999999998</v>
      </c>
      <c r="AY72" s="1">
        <f t="shared" si="133"/>
        <v>0.71016666666666672</v>
      </c>
      <c r="AZ72" s="88" t="s">
        <v>770</v>
      </c>
      <c r="BB72" s="284">
        <f>BC72*31</f>
        <v>29.852999999999998</v>
      </c>
      <c r="BC72" s="1">
        <v>0.96299999999999997</v>
      </c>
      <c r="BD72" s="1">
        <f t="shared" si="134"/>
        <v>0.92933333333333323</v>
      </c>
      <c r="BE72" s="88" t="s">
        <v>770</v>
      </c>
      <c r="BG72" s="284">
        <f>BH72*31</f>
        <v>26.411999999999999</v>
      </c>
      <c r="BH72" s="1">
        <v>0.85199999999999998</v>
      </c>
      <c r="BI72" s="1">
        <f t="shared" si="135"/>
        <v>0.82950000000000002</v>
      </c>
      <c r="BJ72" s="88" t="s">
        <v>770</v>
      </c>
      <c r="BL72" s="284">
        <f>BM72*31</f>
        <v>106.733</v>
      </c>
      <c r="BM72" s="1">
        <v>3.4430000000000001</v>
      </c>
      <c r="BN72" s="1">
        <f t="shared" si="136"/>
        <v>3.4430000000000001</v>
      </c>
      <c r="BQ72" s="284">
        <f>BR72*31</f>
        <v>19.282</v>
      </c>
      <c r="BR72" s="1">
        <v>0.622</v>
      </c>
      <c r="BS72" s="1">
        <f t="shared" si="137"/>
        <v>0.6705000000000001</v>
      </c>
      <c r="BT72" s="88" t="s">
        <v>770</v>
      </c>
      <c r="BV72" s="284">
        <f>BW72*31</f>
        <v>8.0289999999999999</v>
      </c>
      <c r="BW72" s="1">
        <v>0.25900000000000001</v>
      </c>
      <c r="BX72" s="1">
        <f t="shared" si="138"/>
        <v>0.23891666666666667</v>
      </c>
      <c r="BY72" s="88" t="s">
        <v>770</v>
      </c>
      <c r="CA72" s="284">
        <f>CB72*30</f>
        <v>18.809999999999999</v>
      </c>
      <c r="CB72" s="1">
        <v>0.627</v>
      </c>
      <c r="CC72" s="1">
        <f t="shared" si="139"/>
        <v>0.57241666666666657</v>
      </c>
      <c r="CD72" s="88" t="s">
        <v>770</v>
      </c>
      <c r="CF72" s="284">
        <f>CG72*31</f>
        <v>47.616</v>
      </c>
      <c r="CG72" s="1">
        <v>1.536</v>
      </c>
      <c r="CH72" s="1">
        <f t="shared" si="142"/>
        <v>1.5359999999999998</v>
      </c>
      <c r="CK72" s="284">
        <f>CL72*31</f>
        <v>391.71599999999995</v>
      </c>
      <c r="CL72" s="1">
        <v>12.635999999999999</v>
      </c>
      <c r="CM72" s="1">
        <f t="shared" si="147"/>
        <v>4.6845833333333333</v>
      </c>
      <c r="CN72" s="1">
        <v>24.05</v>
      </c>
      <c r="CP72" s="284">
        <f>CQ72*31</f>
        <v>508.18299999999999</v>
      </c>
      <c r="CQ72" s="1">
        <v>16.393000000000001</v>
      </c>
      <c r="CR72" s="1">
        <f t="shared" si="124"/>
        <v>13.778666666666666</v>
      </c>
      <c r="CS72" s="1">
        <v>39</v>
      </c>
      <c r="CU72" s="284">
        <f>CV72*31</f>
        <v>135.47</v>
      </c>
      <c r="CV72" s="1">
        <v>4.37</v>
      </c>
      <c r="CW72" s="1">
        <f t="shared" si="128"/>
        <v>3.5616666666666661</v>
      </c>
      <c r="CX72" s="1">
        <v>8.8000000000000007</v>
      </c>
      <c r="CZ72" s="269">
        <f>DA72*31</f>
        <v>36.641999999999996</v>
      </c>
      <c r="DA72" s="1">
        <v>1.1819999999999999</v>
      </c>
      <c r="DC72" s="284">
        <f>DD72*31</f>
        <v>12.586</v>
      </c>
      <c r="DD72" s="1">
        <v>0.40600000000000003</v>
      </c>
      <c r="DE72" s="1">
        <f t="shared" si="143"/>
        <v>0.40599999999999997</v>
      </c>
      <c r="DH72" s="284">
        <f>DI72*31</f>
        <v>94.364000000000004</v>
      </c>
      <c r="DI72" s="5">
        <f t="shared" ref="DI72:DI103" si="148">SUM(BR72+BW72+CB72+CG72)</f>
        <v>3.044</v>
      </c>
      <c r="DJ72" s="1">
        <f t="shared" si="144"/>
        <v>3.0178333333333334</v>
      </c>
      <c r="DM72" s="284">
        <f>DN72*31</f>
        <v>3822.2070000000003</v>
      </c>
      <c r="DN72" s="1">
        <f t="shared" ref="DN72:DN103" si="149">SUM(E72+O72+AD72+AI72+AN72+AS72+AX72+BC72+BH72+BM72-DI72)</f>
        <v>123.29700000000001</v>
      </c>
      <c r="DO72" s="1">
        <f t="shared" si="145"/>
        <v>112.24166666666667</v>
      </c>
      <c r="DR72" s="284">
        <f>DS72*31</f>
        <v>1084.597</v>
      </c>
      <c r="DS72" s="1">
        <f t="shared" si="146"/>
        <v>34.987000000000002</v>
      </c>
      <c r="DT72" s="1" t="e">
        <f>SUM(CM72+CR72+CW72+#REF!+DE72)</f>
        <v>#REF!</v>
      </c>
      <c r="DW72" s="284">
        <f>DX72*31</f>
        <v>4906.804000000001</v>
      </c>
      <c r="DX72" s="1">
        <f t="shared" si="140"/>
        <v>158.28400000000002</v>
      </c>
      <c r="DY72" s="1">
        <f t="shared" si="141"/>
        <v>135.58250000000001</v>
      </c>
      <c r="EB72" s="242">
        <v>7.06</v>
      </c>
      <c r="EC72" s="17"/>
      <c r="EL72">
        <v>2003</v>
      </c>
      <c r="EM72" t="s">
        <v>715</v>
      </c>
      <c r="EN72" t="s">
        <v>841</v>
      </c>
      <c r="EO72">
        <v>41.54</v>
      </c>
    </row>
    <row r="73" spans="1:145" ht="15.5" x14ac:dyDescent="0.35">
      <c r="A73" s="23">
        <v>2003</v>
      </c>
      <c r="B73" s="1" t="s">
        <v>718</v>
      </c>
      <c r="C73" s="1"/>
      <c r="D73" s="284">
        <f>E73*30</f>
        <v>44.43</v>
      </c>
      <c r="E73" s="1">
        <v>1.4810000000000001</v>
      </c>
      <c r="F73" s="1">
        <f t="shared" si="129"/>
        <v>5.5304999999999991</v>
      </c>
      <c r="G73" s="88" t="s">
        <v>770</v>
      </c>
      <c r="H73" s="88"/>
      <c r="I73" s="283"/>
      <c r="J73" s="88"/>
      <c r="K73" s="88"/>
      <c r="L73" s="88"/>
      <c r="N73" s="284">
        <f>O73*30</f>
        <v>139.47</v>
      </c>
      <c r="O73" s="1">
        <v>4.649</v>
      </c>
      <c r="P73" s="1">
        <f t="shared" si="130"/>
        <v>3.7062500000000003</v>
      </c>
      <c r="Q73" s="1">
        <v>9.6</v>
      </c>
      <c r="S73" s="284">
        <f>T73*30</f>
        <v>278.73</v>
      </c>
      <c r="T73" s="1">
        <v>9.2910000000000004</v>
      </c>
      <c r="U73" s="1">
        <f t="shared" si="51"/>
        <v>6.0339166666666664</v>
      </c>
      <c r="V73" s="88" t="s">
        <v>770</v>
      </c>
      <c r="X73" s="284">
        <f>Y73*30</f>
        <v>1063.1999999999998</v>
      </c>
      <c r="Y73" s="1">
        <v>35.44</v>
      </c>
      <c r="Z73" s="1">
        <f t="shared" si="52"/>
        <v>28.008083333333332</v>
      </c>
      <c r="AA73" s="88" t="s">
        <v>770</v>
      </c>
      <c r="AC73" s="284">
        <f>AD73*30</f>
        <v>1341.9299999999998</v>
      </c>
      <c r="AD73" s="1">
        <f t="shared" si="45"/>
        <v>44.730999999999995</v>
      </c>
      <c r="AE73" s="1">
        <f t="shared" si="122"/>
        <v>34.042000000000002</v>
      </c>
      <c r="AF73" s="88" t="s">
        <v>770</v>
      </c>
      <c r="AH73" s="284">
        <f>AI73*30</f>
        <v>2352.39</v>
      </c>
      <c r="AI73" s="1">
        <v>78.412999999999997</v>
      </c>
      <c r="AJ73" s="1">
        <f t="shared" si="50"/>
        <v>63.528500000000001</v>
      </c>
      <c r="AK73" s="1">
        <v>190.4</v>
      </c>
      <c r="AM73" s="284">
        <f>AN73*30</f>
        <v>31.83</v>
      </c>
      <c r="AN73" s="1">
        <v>1.0609999999999999</v>
      </c>
      <c r="AO73" s="1">
        <f t="shared" si="131"/>
        <v>0.84758333333333324</v>
      </c>
      <c r="AP73" s="88" t="s">
        <v>770</v>
      </c>
      <c r="AR73" s="284">
        <f>AS73*30</f>
        <v>198.39000000000001</v>
      </c>
      <c r="AS73" s="1">
        <v>6.6130000000000004</v>
      </c>
      <c r="AT73" s="1">
        <f t="shared" si="132"/>
        <v>5.0164166666666663</v>
      </c>
      <c r="AU73" s="88" t="s">
        <v>770</v>
      </c>
      <c r="AW73" s="284">
        <f>AX73*30</f>
        <v>16.170000000000002</v>
      </c>
      <c r="AX73" s="1">
        <v>0.53900000000000003</v>
      </c>
      <c r="AY73" s="1">
        <f t="shared" si="133"/>
        <v>0.69874999999999998</v>
      </c>
      <c r="AZ73" s="88" t="s">
        <v>770</v>
      </c>
      <c r="BB73" s="284">
        <f>BC73*30</f>
        <v>33.03</v>
      </c>
      <c r="BC73" s="1">
        <v>1.101</v>
      </c>
      <c r="BD73" s="1">
        <f t="shared" si="134"/>
        <v>0.96549999999999991</v>
      </c>
      <c r="BE73" s="88" t="s">
        <v>770</v>
      </c>
      <c r="BG73" s="284">
        <f>BH73*30</f>
        <v>34.5</v>
      </c>
      <c r="BH73" s="1">
        <v>1.1499999999999999</v>
      </c>
      <c r="BI73" s="1">
        <f t="shared" si="135"/>
        <v>0.86516666666666675</v>
      </c>
      <c r="BJ73" s="88" t="s">
        <v>770</v>
      </c>
      <c r="BL73" s="284">
        <f>BM73*30</f>
        <v>103.29</v>
      </c>
      <c r="BM73" s="1">
        <v>3.4430000000000001</v>
      </c>
      <c r="BN73" s="1">
        <f t="shared" si="136"/>
        <v>3.4430000000000001</v>
      </c>
      <c r="BQ73" s="284">
        <f>BR73*30</f>
        <v>20.130000000000003</v>
      </c>
      <c r="BR73" s="1">
        <v>0.67100000000000004</v>
      </c>
      <c r="BS73" s="1">
        <f t="shared" si="137"/>
        <v>0.6825</v>
      </c>
      <c r="BT73" s="88" t="s">
        <v>770</v>
      </c>
      <c r="BV73" s="284">
        <f>BW73*30</f>
        <v>6.57</v>
      </c>
      <c r="BW73" s="1">
        <v>0.219</v>
      </c>
      <c r="BX73" s="1">
        <f t="shared" si="138"/>
        <v>0.23974999999999999</v>
      </c>
      <c r="BY73" s="88" t="s">
        <v>770</v>
      </c>
      <c r="CA73" s="284">
        <f>CB73*30</f>
        <v>20.82</v>
      </c>
      <c r="CB73" s="1">
        <v>0.69399999999999995</v>
      </c>
      <c r="CC73" s="1">
        <f t="shared" si="139"/>
        <v>0.59183333333333332</v>
      </c>
      <c r="CD73" s="88" t="s">
        <v>770</v>
      </c>
      <c r="CF73" s="284">
        <f>CG73*30</f>
        <v>46.08</v>
      </c>
      <c r="CG73" s="1">
        <v>1.536</v>
      </c>
      <c r="CH73" s="1">
        <f t="shared" si="142"/>
        <v>1.5359999999999998</v>
      </c>
      <c r="CK73" s="284">
        <f>CL73*30</f>
        <v>444.6</v>
      </c>
      <c r="CL73" s="1">
        <v>14.82</v>
      </c>
      <c r="CM73" s="1">
        <f t="shared" si="147"/>
        <v>5.7529166666666667</v>
      </c>
      <c r="CN73" s="1">
        <v>32.200000000000003</v>
      </c>
      <c r="CP73" s="284">
        <f>CQ73*30</f>
        <v>606.99</v>
      </c>
      <c r="CQ73" s="1">
        <v>20.233000000000001</v>
      </c>
      <c r="CR73" s="1">
        <f t="shared" si="124"/>
        <v>14.380666666666668</v>
      </c>
      <c r="CS73" s="1">
        <v>39.5</v>
      </c>
      <c r="CU73" s="284">
        <f>CV73*30</f>
        <v>148.35000000000002</v>
      </c>
      <c r="CV73" s="1">
        <v>4.9450000000000003</v>
      </c>
      <c r="CW73" s="1">
        <f t="shared" si="128"/>
        <v>3.6714999999999995</v>
      </c>
      <c r="CX73" s="1">
        <v>8.4</v>
      </c>
      <c r="CZ73" s="269">
        <f>DA73*30</f>
        <v>42.75</v>
      </c>
      <c r="DA73" s="1">
        <v>1.425</v>
      </c>
      <c r="DC73" s="284">
        <f>DD73*30</f>
        <v>12.180000000000001</v>
      </c>
      <c r="DD73" s="1">
        <v>0.40600000000000003</v>
      </c>
      <c r="DE73" s="1">
        <f t="shared" si="143"/>
        <v>0.40599999999999997</v>
      </c>
      <c r="DH73" s="284">
        <f>DI73*30</f>
        <v>93.600000000000009</v>
      </c>
      <c r="DI73" s="5">
        <f t="shared" si="148"/>
        <v>3.12</v>
      </c>
      <c r="DJ73" s="1">
        <f t="shared" si="144"/>
        <v>3.0500833333333333</v>
      </c>
      <c r="DM73" s="284">
        <f>DN73*30</f>
        <v>4201.83</v>
      </c>
      <c r="DN73" s="1">
        <f t="shared" si="149"/>
        <v>140.06100000000001</v>
      </c>
      <c r="DO73" s="1">
        <f t="shared" si="145"/>
        <v>115.59358333333334</v>
      </c>
      <c r="DR73" s="284">
        <f>DS73*30</f>
        <v>1254.8699999999999</v>
      </c>
      <c r="DS73" s="1">
        <f t="shared" si="146"/>
        <v>41.828999999999994</v>
      </c>
      <c r="DT73" s="1" t="e">
        <f>SUM(CM73+CR73+CW73+#REF!+DE73)</f>
        <v>#REF!</v>
      </c>
      <c r="DW73" s="284">
        <f>DX73*30</f>
        <v>5456.7</v>
      </c>
      <c r="DX73" s="1">
        <f t="shared" si="140"/>
        <v>181.89</v>
      </c>
      <c r="DY73" s="1">
        <f t="shared" si="141"/>
        <v>140.77666666666667</v>
      </c>
      <c r="EB73" s="242">
        <v>7.87</v>
      </c>
      <c r="EC73" s="17"/>
      <c r="ED73" s="1">
        <f>EE73*91</f>
        <v>3414.7750000000001</v>
      </c>
      <c r="EE73" s="1">
        <f>AVERAGE(DS71:DS73)</f>
        <v>37.524999999999999</v>
      </c>
      <c r="EF73" s="1">
        <f>SUM(EE64+EE67+EE70+EE73)/4</f>
        <v>25.183083333333329</v>
      </c>
      <c r="EL73">
        <v>2003</v>
      </c>
      <c r="EM73" t="s">
        <v>718</v>
      </c>
      <c r="EN73" t="s">
        <v>841</v>
      </c>
      <c r="EO73">
        <v>44.43</v>
      </c>
    </row>
    <row r="74" spans="1:145" ht="15.5" x14ac:dyDescent="0.35">
      <c r="A74" s="23">
        <v>2003</v>
      </c>
      <c r="B74" s="1" t="s">
        <v>716</v>
      </c>
      <c r="C74" s="1"/>
      <c r="D74" s="284">
        <f>E74*31</f>
        <v>59.519999999999996</v>
      </c>
      <c r="E74" s="1">
        <v>1.92</v>
      </c>
      <c r="F74" s="1">
        <f t="shared" ref="F74:F82" si="150">SUM(E63:E74)/12</f>
        <v>5.0924166666666668</v>
      </c>
      <c r="G74" s="88" t="s">
        <v>770</v>
      </c>
      <c r="H74" s="88"/>
      <c r="I74" s="283"/>
      <c r="J74" s="88"/>
      <c r="K74" s="88"/>
      <c r="L74" s="88"/>
      <c r="M74" s="1"/>
      <c r="N74" s="284">
        <f>O74*31</f>
        <v>146.53700000000001</v>
      </c>
      <c r="O74" s="1">
        <v>4.7270000000000003</v>
      </c>
      <c r="P74" s="1">
        <f t="shared" si="130"/>
        <v>3.7970833333333331</v>
      </c>
      <c r="Q74" s="1">
        <v>12.56</v>
      </c>
      <c r="R74" s="1"/>
      <c r="S74" s="284">
        <f>T74*31</f>
        <v>230.98099999999999</v>
      </c>
      <c r="T74" s="1">
        <v>7.4509999999999996</v>
      </c>
      <c r="U74" s="1">
        <f t="shared" ref="U74:U79" si="151">SUM(T63:T74)/12</f>
        <v>6.2885833333333325</v>
      </c>
      <c r="V74" s="88" t="s">
        <v>770</v>
      </c>
      <c r="X74" s="284">
        <f>Y74*31</f>
        <v>970.88900000000001</v>
      </c>
      <c r="Y74" s="1">
        <v>31.318999999999999</v>
      </c>
      <c r="Z74" s="1">
        <f t="shared" ref="Z74:Z79" si="152">SUM(Y63:Y74)/12</f>
        <v>28.563916666666668</v>
      </c>
      <c r="AA74" s="88" t="s">
        <v>770</v>
      </c>
      <c r="AC74" s="284">
        <f>AD74*31</f>
        <v>1201.8699999999999</v>
      </c>
      <c r="AD74" s="1">
        <f>SUM(T74+Y74)</f>
        <v>38.769999999999996</v>
      </c>
      <c r="AE74" s="1">
        <f t="shared" ref="AE74:AE79" si="153">SUM(AD63:AD74)/12</f>
        <v>34.852499999999999</v>
      </c>
      <c r="AF74" s="88">
        <v>56.91</v>
      </c>
      <c r="AH74" s="284">
        <f>AI74*31</f>
        <v>1980.962</v>
      </c>
      <c r="AI74">
        <v>63.902000000000001</v>
      </c>
      <c r="AJ74" s="1">
        <f t="shared" si="50"/>
        <v>64.587916666666672</v>
      </c>
      <c r="AK74" s="1">
        <v>168.8</v>
      </c>
      <c r="AM74" s="284">
        <f>AN74*31</f>
        <v>26.318999999999999</v>
      </c>
      <c r="AN74">
        <v>0.84899999999999998</v>
      </c>
      <c r="AO74" s="1">
        <f t="shared" ref="AO74:AO79" si="154">SUM(AN63:AN74)/12</f>
        <v>0.85225000000000006</v>
      </c>
      <c r="AP74" s="88" t="s">
        <v>770</v>
      </c>
      <c r="AR74" s="284">
        <f>AS74*31</f>
        <v>145.452</v>
      </c>
      <c r="AS74" s="1">
        <v>4.6920000000000002</v>
      </c>
      <c r="AT74" s="1">
        <f t="shared" ref="AT74:AT79" si="155">SUM(AS63:AS74)/12</f>
        <v>5.0746666666666664</v>
      </c>
      <c r="AU74" s="88" t="s">
        <v>770</v>
      </c>
      <c r="AW74" s="284">
        <f>AX74*31</f>
        <v>16.244</v>
      </c>
      <c r="AX74" s="1">
        <v>0.52400000000000002</v>
      </c>
      <c r="AY74" s="1">
        <f t="shared" ref="AY74:AY79" si="156">SUM(AX63:AX74)/12</f>
        <v>0.66866666666666641</v>
      </c>
      <c r="AZ74" s="88" t="s">
        <v>770</v>
      </c>
      <c r="BB74" s="284">
        <f>BC74*31</f>
        <v>26.753</v>
      </c>
      <c r="BC74" s="1">
        <v>0.86299999999999999</v>
      </c>
      <c r="BD74" s="1">
        <f t="shared" ref="BD74:BD79" si="157">SUM(BC63:BC74)/12</f>
        <v>0.96466666666666667</v>
      </c>
      <c r="BE74" s="88" t="s">
        <v>770</v>
      </c>
      <c r="BG74" s="284">
        <f>BH74*31</f>
        <v>34.006999999999998</v>
      </c>
      <c r="BH74" s="1">
        <v>1.097</v>
      </c>
      <c r="BI74" s="1">
        <f t="shared" ref="BI74:BI79" si="158">SUM(BH63:BH74)/12</f>
        <v>0.89774999999999994</v>
      </c>
      <c r="BJ74" s="88" t="s">
        <v>770</v>
      </c>
      <c r="BL74" s="284">
        <f>BM74*31</f>
        <v>106.733</v>
      </c>
      <c r="BM74" s="1">
        <v>3.4430000000000001</v>
      </c>
      <c r="BN74" s="1">
        <f t="shared" ref="BN74:BN82" si="159">SUM(BM63:BM74)/12</f>
        <v>3.4430000000000001</v>
      </c>
      <c r="BQ74" s="284">
        <f>BR74*31</f>
        <v>20.615000000000002</v>
      </c>
      <c r="BR74" s="1">
        <v>0.66500000000000004</v>
      </c>
      <c r="BS74" s="1">
        <f t="shared" ref="BS74:BS79" si="160">SUM(BR63:BR74)/12</f>
        <v>0.69241666666666679</v>
      </c>
      <c r="BT74" s="88" t="s">
        <v>770</v>
      </c>
      <c r="BV74" s="284">
        <f>BW74*31</f>
        <v>11.966000000000001</v>
      </c>
      <c r="BW74" s="1">
        <v>0.38600000000000001</v>
      </c>
      <c r="BX74" s="1">
        <f t="shared" ref="BX74:BX79" si="161">SUM(BW63:BW74)/12</f>
        <v>0.25758333333333333</v>
      </c>
      <c r="BY74" s="88" t="s">
        <v>770</v>
      </c>
      <c r="CA74" s="284">
        <f>CB74*31</f>
        <v>20.057000000000002</v>
      </c>
      <c r="CB74" s="1">
        <v>0.64700000000000002</v>
      </c>
      <c r="CC74" s="1">
        <f t="shared" ref="CC74:CC79" si="162">SUM(CB63:CB74)/12</f>
        <v>0.6054166666666666</v>
      </c>
      <c r="CD74" s="88" t="s">
        <v>770</v>
      </c>
      <c r="CF74" s="284">
        <f>CG74*31</f>
        <v>47.616</v>
      </c>
      <c r="CG74" s="1">
        <v>1.536</v>
      </c>
      <c r="CH74" s="1">
        <f t="shared" si="142"/>
        <v>1.5359999999999998</v>
      </c>
      <c r="CK74" s="284">
        <f>CL74*31</f>
        <v>383.12900000000002</v>
      </c>
      <c r="CL74" s="1">
        <v>12.359</v>
      </c>
      <c r="CM74" s="1">
        <f t="shared" si="147"/>
        <v>6.702916666666666</v>
      </c>
      <c r="CN74" s="1">
        <v>22.68</v>
      </c>
      <c r="CP74" s="284">
        <f>CQ74*31</f>
        <v>530.28600000000006</v>
      </c>
      <c r="CQ74" s="1">
        <v>17.106000000000002</v>
      </c>
      <c r="CR74" s="1">
        <f t="shared" ref="CR74:CR79" si="163">SUM(CQ63:CQ74)/12</f>
        <v>14.773666666666665</v>
      </c>
      <c r="CS74" s="1">
        <v>33</v>
      </c>
      <c r="CU74" s="284">
        <f>CV74*31</f>
        <v>139.28300000000002</v>
      </c>
      <c r="CV74" s="1">
        <v>4.4930000000000003</v>
      </c>
      <c r="CW74" s="1">
        <f t="shared" ref="CW74:CW79" si="164">SUM(CV63:CV74)/12</f>
        <v>3.7605000000000004</v>
      </c>
      <c r="CX74" s="1">
        <v>7.5</v>
      </c>
      <c r="CZ74" s="269">
        <f>DA74*31</f>
        <v>37.323999999999998</v>
      </c>
      <c r="DA74" s="1">
        <v>1.204</v>
      </c>
      <c r="DC74" s="284">
        <f>DD74*31</f>
        <v>12.586</v>
      </c>
      <c r="DD74" s="1">
        <v>0.40600000000000003</v>
      </c>
      <c r="DE74" s="1">
        <f t="shared" si="143"/>
        <v>0.40599999999999997</v>
      </c>
      <c r="DH74" s="284">
        <f>DI74*31</f>
        <v>100.254</v>
      </c>
      <c r="DI74" s="5">
        <f t="shared" si="148"/>
        <v>3.234</v>
      </c>
      <c r="DJ74" s="1">
        <f t="shared" si="144"/>
        <v>3.091416666666666</v>
      </c>
      <c r="DM74" s="284">
        <f>DN74*31</f>
        <v>3644.1429999999996</v>
      </c>
      <c r="DN74" s="1">
        <f t="shared" si="149"/>
        <v>117.55299999999998</v>
      </c>
      <c r="DO74" s="1">
        <f t="shared" si="145"/>
        <v>117.13949999999998</v>
      </c>
      <c r="DR74" s="284">
        <f>DS74*31</f>
        <v>1102.6080000000002</v>
      </c>
      <c r="DS74" s="1">
        <f t="shared" si="146"/>
        <v>35.568000000000005</v>
      </c>
      <c r="DT74" s="1" t="e">
        <f>SUM(CM74+CR74+CW74+#REF!+DE74)</f>
        <v>#REF!</v>
      </c>
      <c r="DW74" s="284">
        <f>DX74*31</f>
        <v>4746.7509999999993</v>
      </c>
      <c r="DX74" s="1">
        <f t="shared" ref="DX74:DX79" si="165">SUM(DN74+DS74)</f>
        <v>153.12099999999998</v>
      </c>
      <c r="DY74" s="1">
        <f t="shared" ref="DY74:DY79" si="166">SUM(DX63:DX74)/12</f>
        <v>143.80000000000004</v>
      </c>
      <c r="EB74" s="242">
        <v>5.76</v>
      </c>
      <c r="EC74" s="17"/>
      <c r="EL74">
        <v>2003</v>
      </c>
      <c r="EM74" t="s">
        <v>716</v>
      </c>
      <c r="EN74" t="s">
        <v>841</v>
      </c>
      <c r="EO74">
        <v>59.519999999999996</v>
      </c>
    </row>
    <row r="75" spans="1:145" ht="15.5" x14ac:dyDescent="0.35">
      <c r="A75" s="23">
        <v>2003</v>
      </c>
      <c r="B75" s="1" t="s">
        <v>708</v>
      </c>
      <c r="C75" s="1"/>
      <c r="D75" s="284">
        <f>E75*31</f>
        <v>72.725999999999999</v>
      </c>
      <c r="E75" s="1">
        <v>2.3460000000000001</v>
      </c>
      <c r="F75" s="1">
        <f t="shared" si="150"/>
        <v>4.7180833333333334</v>
      </c>
      <c r="G75" s="88" t="s">
        <v>770</v>
      </c>
      <c r="H75" s="88"/>
      <c r="I75" s="283"/>
      <c r="J75" s="88"/>
      <c r="K75" s="88"/>
      <c r="L75" s="88"/>
      <c r="N75" s="284">
        <f>O75*31</f>
        <v>125.581</v>
      </c>
      <c r="O75" s="1">
        <v>4.0510000000000002</v>
      </c>
      <c r="P75" s="1">
        <f t="shared" si="130"/>
        <v>3.8459166666666662</v>
      </c>
      <c r="Q75" s="1">
        <v>7.2</v>
      </c>
      <c r="S75" s="284">
        <f>T75*31</f>
        <v>201.779</v>
      </c>
      <c r="T75" s="1">
        <v>6.5090000000000003</v>
      </c>
      <c r="U75" s="1">
        <f t="shared" si="151"/>
        <v>6.4914999999999994</v>
      </c>
      <c r="V75" s="88" t="s">
        <v>770</v>
      </c>
      <c r="X75" s="284">
        <f>Y75*31</f>
        <v>933.50299999999993</v>
      </c>
      <c r="Y75" s="1">
        <v>30.113</v>
      </c>
      <c r="Z75" s="1">
        <f t="shared" si="152"/>
        <v>29.015166666666669</v>
      </c>
      <c r="AA75" s="88" t="s">
        <v>770</v>
      </c>
      <c r="AC75" s="284">
        <f>AD75*31</f>
        <v>1135.2819999999999</v>
      </c>
      <c r="AD75" s="1">
        <f>SUM(T75+Y75)</f>
        <v>36.622</v>
      </c>
      <c r="AE75" s="1">
        <f t="shared" si="153"/>
        <v>35.506666666666668</v>
      </c>
      <c r="AF75" s="88">
        <v>44.09</v>
      </c>
      <c r="AH75" s="284">
        <f>AI75*31</f>
        <v>1741.9829999999999</v>
      </c>
      <c r="AI75" s="1">
        <v>56.192999999999998</v>
      </c>
      <c r="AJ75" s="1">
        <f t="shared" si="50"/>
        <v>65.021666666666661</v>
      </c>
      <c r="AK75" s="1">
        <v>173.2</v>
      </c>
      <c r="AM75" s="284">
        <f>AN75*31</f>
        <v>17.576999999999998</v>
      </c>
      <c r="AN75" s="1">
        <v>0.56699999999999995</v>
      </c>
      <c r="AO75" s="1">
        <f t="shared" si="154"/>
        <v>0.83583333333333343</v>
      </c>
      <c r="AP75" s="88" t="s">
        <v>770</v>
      </c>
      <c r="AR75" s="284">
        <f>AS75*31</f>
        <v>176.48299999999998</v>
      </c>
      <c r="AS75" s="1">
        <v>5.6929999999999996</v>
      </c>
      <c r="AT75" s="1">
        <f t="shared" si="155"/>
        <v>5.2098333333333331</v>
      </c>
      <c r="AU75" s="88" t="s">
        <v>770</v>
      </c>
      <c r="AW75" s="284">
        <f>AX75*31</f>
        <v>14.198</v>
      </c>
      <c r="AX75" s="1">
        <v>0.45800000000000002</v>
      </c>
      <c r="AY75" s="1">
        <f t="shared" si="156"/>
        <v>0.63800000000000001</v>
      </c>
      <c r="AZ75" s="88" t="s">
        <v>770</v>
      </c>
      <c r="BB75" s="284">
        <f>BC75*31</f>
        <v>23.466999999999999</v>
      </c>
      <c r="BC75" s="1">
        <v>0.75700000000000001</v>
      </c>
      <c r="BD75" s="1">
        <f t="shared" si="157"/>
        <v>0.95983333333333321</v>
      </c>
      <c r="BE75" s="88" t="s">
        <v>770</v>
      </c>
      <c r="BG75" s="284">
        <f>BH75*31</f>
        <v>26.132999999999999</v>
      </c>
      <c r="BH75" s="1">
        <v>0.84299999999999997</v>
      </c>
      <c r="BI75" s="1">
        <f t="shared" si="158"/>
        <v>0.91291666666666671</v>
      </c>
      <c r="BJ75" s="88" t="s">
        <v>770</v>
      </c>
      <c r="BL75" s="284">
        <f>BM75*31</f>
        <v>106.733</v>
      </c>
      <c r="BM75" s="1">
        <v>3.4430000000000001</v>
      </c>
      <c r="BN75" s="1">
        <f t="shared" si="159"/>
        <v>3.4430000000000001</v>
      </c>
      <c r="BQ75" s="284">
        <f>BR75*31</f>
        <v>19.623000000000001</v>
      </c>
      <c r="BR75" s="1">
        <v>0.63300000000000001</v>
      </c>
      <c r="BS75" s="1">
        <f t="shared" si="160"/>
        <v>0.70124999999999993</v>
      </c>
      <c r="BT75" s="88" t="s">
        <v>770</v>
      </c>
      <c r="BV75" s="284">
        <f>BW75*31</f>
        <v>5.7039999999999997</v>
      </c>
      <c r="BW75" s="1">
        <v>0.184</v>
      </c>
      <c r="BX75" s="1">
        <f t="shared" si="161"/>
        <v>0.25916666666666671</v>
      </c>
      <c r="BY75" s="88" t="s">
        <v>770</v>
      </c>
      <c r="CA75" s="284">
        <f>CB75*31</f>
        <v>16.957000000000001</v>
      </c>
      <c r="CB75" s="1">
        <v>0.54700000000000004</v>
      </c>
      <c r="CC75" s="1">
        <f t="shared" si="162"/>
        <v>0.61099999999999999</v>
      </c>
      <c r="CD75" s="88" t="s">
        <v>770</v>
      </c>
      <c r="CF75" s="284">
        <f>CG75*31</f>
        <v>47.616</v>
      </c>
      <c r="CG75" s="1">
        <v>1.536</v>
      </c>
      <c r="CH75" s="1">
        <f t="shared" si="142"/>
        <v>1.5359999999999998</v>
      </c>
      <c r="CK75" s="284">
        <f>CL75*31</f>
        <v>299.89400000000001</v>
      </c>
      <c r="CL75" s="1">
        <v>9.6739999999999995</v>
      </c>
      <c r="CM75" s="1">
        <f t="shared" si="147"/>
        <v>7.4399999999999977</v>
      </c>
      <c r="CN75" s="1">
        <v>15.58</v>
      </c>
      <c r="CP75" s="284">
        <f>CQ75*31</f>
        <v>402.28700000000003</v>
      </c>
      <c r="CQ75" s="1">
        <v>12.977</v>
      </c>
      <c r="CR75" s="1">
        <f t="shared" si="163"/>
        <v>14.89883333333333</v>
      </c>
      <c r="CS75" s="1">
        <v>34</v>
      </c>
      <c r="CU75" s="284">
        <f>CV75*31</f>
        <v>125.82900000000001</v>
      </c>
      <c r="CV75" s="1">
        <v>4.0590000000000002</v>
      </c>
      <c r="CW75" s="1">
        <f t="shared" si="164"/>
        <v>3.8442500000000002</v>
      </c>
      <c r="CX75" s="1">
        <v>7.25</v>
      </c>
      <c r="CZ75" s="269">
        <f>DA75*31</f>
        <v>30.844999999999999</v>
      </c>
      <c r="DA75" s="1">
        <v>0.995</v>
      </c>
      <c r="DC75" s="284">
        <f>DD75*31</f>
        <v>12.586</v>
      </c>
      <c r="DD75" s="1">
        <v>0.40600000000000003</v>
      </c>
      <c r="DE75" s="1">
        <f t="shared" si="143"/>
        <v>0.40599999999999997</v>
      </c>
      <c r="DH75" s="284">
        <f>DI75*31</f>
        <v>89.899999999999991</v>
      </c>
      <c r="DI75" s="5">
        <f t="shared" si="148"/>
        <v>2.9</v>
      </c>
      <c r="DJ75" s="1">
        <f t="shared" si="144"/>
        <v>3.1074166666666669</v>
      </c>
      <c r="DM75" s="284">
        <f>DN75*31</f>
        <v>3350.2629999999995</v>
      </c>
      <c r="DN75" s="1">
        <f t="shared" si="149"/>
        <v>108.07299999999998</v>
      </c>
      <c r="DO75" s="1">
        <f t="shared" si="145"/>
        <v>117.98433333333332</v>
      </c>
      <c r="DR75" s="284">
        <f>DS75*31</f>
        <v>871.44100000000003</v>
      </c>
      <c r="DS75" s="1">
        <f t="shared" si="146"/>
        <v>28.111000000000001</v>
      </c>
      <c r="DT75" s="1" t="e">
        <f>SUM(CM75+CR75+CW75+#REF!+DE75)</f>
        <v>#REF!</v>
      </c>
      <c r="DW75" s="284">
        <f>DX75*31</f>
        <v>4221.7039999999988</v>
      </c>
      <c r="DX75" s="1">
        <f t="shared" si="165"/>
        <v>136.18399999999997</v>
      </c>
      <c r="DY75" s="1">
        <f t="shared" si="166"/>
        <v>145.61408333333335</v>
      </c>
      <c r="EB75" s="242">
        <v>4.6500000000000004</v>
      </c>
      <c r="EC75" s="17"/>
      <c r="EL75">
        <v>2003</v>
      </c>
      <c r="EM75" t="s">
        <v>708</v>
      </c>
      <c r="EN75" t="s">
        <v>841</v>
      </c>
      <c r="EO75">
        <v>72.725999999999999</v>
      </c>
    </row>
    <row r="76" spans="1:145" ht="15.5" x14ac:dyDescent="0.35">
      <c r="A76" s="23">
        <v>2003</v>
      </c>
      <c r="B76" s="1" t="s">
        <v>709</v>
      </c>
      <c r="C76" s="1"/>
      <c r="D76" s="284">
        <f>E76*30</f>
        <v>105.69</v>
      </c>
      <c r="E76" s="1">
        <v>3.5230000000000001</v>
      </c>
      <c r="F76" s="1">
        <f t="shared" si="150"/>
        <v>4.4328333333333338</v>
      </c>
      <c r="G76" s="88" t="s">
        <v>770</v>
      </c>
      <c r="H76" s="88"/>
      <c r="I76" s="283"/>
      <c r="J76" s="88"/>
      <c r="K76" s="88"/>
      <c r="L76" s="88"/>
      <c r="N76" s="284">
        <f>O76*30</f>
        <v>138.57</v>
      </c>
      <c r="O76" s="1">
        <v>4.6189999999999998</v>
      </c>
      <c r="P76" s="1">
        <f t="shared" si="130"/>
        <v>3.9375</v>
      </c>
      <c r="Q76" s="1">
        <v>7</v>
      </c>
      <c r="S76" s="284">
        <f>T76*30</f>
        <v>197.79</v>
      </c>
      <c r="T76" s="1">
        <v>6.593</v>
      </c>
      <c r="U76" s="1">
        <f t="shared" si="151"/>
        <v>6.688416666666666</v>
      </c>
      <c r="V76" s="88" t="s">
        <v>770</v>
      </c>
      <c r="X76" s="284">
        <f>Y76*30</f>
        <v>839.46</v>
      </c>
      <c r="Y76" s="1">
        <v>27.981999999999999</v>
      </c>
      <c r="Z76" s="1">
        <f t="shared" si="152"/>
        <v>29.275083333333338</v>
      </c>
      <c r="AA76" s="88" t="s">
        <v>770</v>
      </c>
      <c r="AC76" s="284">
        <f>AD76*30</f>
        <v>1037.25</v>
      </c>
      <c r="AD76" s="1">
        <f>SUM(T76+Y76)</f>
        <v>34.575000000000003</v>
      </c>
      <c r="AE76" s="1">
        <f t="shared" si="153"/>
        <v>35.963500000000003</v>
      </c>
      <c r="AF76" s="1">
        <v>44.61</v>
      </c>
      <c r="AH76" s="284">
        <f>AI76*30</f>
        <v>2017.71</v>
      </c>
      <c r="AI76" s="1">
        <v>67.257000000000005</v>
      </c>
      <c r="AJ76" s="1">
        <f t="shared" si="50"/>
        <v>66.330833333333331</v>
      </c>
      <c r="AK76" s="1">
        <v>199</v>
      </c>
      <c r="AM76" s="284">
        <f>AN76*30</f>
        <v>20.010000000000002</v>
      </c>
      <c r="AN76" s="1">
        <v>0.66700000000000004</v>
      </c>
      <c r="AO76" s="1">
        <f t="shared" si="154"/>
        <v>0.8268333333333332</v>
      </c>
      <c r="AP76" s="88" t="s">
        <v>770</v>
      </c>
      <c r="AR76" s="284">
        <f>AS76*30</f>
        <v>159.24</v>
      </c>
      <c r="AS76" s="1">
        <v>5.3079999999999998</v>
      </c>
      <c r="AT76" s="1">
        <f t="shared" si="155"/>
        <v>5.3191666666666659</v>
      </c>
      <c r="AU76" s="88" t="s">
        <v>770</v>
      </c>
      <c r="AW76" s="284">
        <f>AX76*30</f>
        <v>14.64</v>
      </c>
      <c r="AX76" s="1">
        <v>0.48799999999999999</v>
      </c>
      <c r="AY76" s="1">
        <f t="shared" si="156"/>
        <v>0.61083333333333334</v>
      </c>
      <c r="AZ76" s="88" t="s">
        <v>770</v>
      </c>
      <c r="BB76" s="284">
        <f>BC76*30</f>
        <v>22.95</v>
      </c>
      <c r="BC76" s="1">
        <v>0.76500000000000001</v>
      </c>
      <c r="BD76" s="1">
        <f t="shared" si="157"/>
        <v>0.95666666666666667</v>
      </c>
      <c r="BE76" s="88" t="s">
        <v>770</v>
      </c>
      <c r="BG76" s="284">
        <f>BH76*30</f>
        <v>28.2</v>
      </c>
      <c r="BH76" s="1">
        <v>0.94</v>
      </c>
      <c r="BI76" s="1">
        <f t="shared" si="158"/>
        <v>0.93791666666666662</v>
      </c>
      <c r="BJ76" s="88" t="s">
        <v>770</v>
      </c>
      <c r="BL76" s="284">
        <f>BM76*30</f>
        <v>103.29</v>
      </c>
      <c r="BM76" s="1">
        <v>3.4430000000000001</v>
      </c>
      <c r="BN76" s="1">
        <f t="shared" si="159"/>
        <v>3.4430000000000001</v>
      </c>
      <c r="BQ76" s="284">
        <f>BR76*30</f>
        <v>18.3</v>
      </c>
      <c r="BR76" s="1">
        <v>0.61</v>
      </c>
      <c r="BS76" s="1">
        <f t="shared" si="160"/>
        <v>0.70308333333333328</v>
      </c>
      <c r="BT76" s="88" t="s">
        <v>770</v>
      </c>
      <c r="BV76" s="284">
        <f>BW76*30</f>
        <v>5.52</v>
      </c>
      <c r="BW76" s="1">
        <v>0.184</v>
      </c>
      <c r="BX76" s="1">
        <f t="shared" si="161"/>
        <v>0.25733333333333336</v>
      </c>
      <c r="BY76" s="88" t="s">
        <v>770</v>
      </c>
      <c r="CA76" s="284">
        <f>CB76*30</f>
        <v>17.099999999999998</v>
      </c>
      <c r="CB76" s="1">
        <v>0.56999999999999995</v>
      </c>
      <c r="CC76" s="1">
        <f t="shared" si="162"/>
        <v>0.61558333333333326</v>
      </c>
      <c r="CD76" s="88" t="s">
        <v>770</v>
      </c>
      <c r="CF76" s="284">
        <f>CG76*30</f>
        <v>46.08</v>
      </c>
      <c r="CG76" s="1">
        <v>1.536</v>
      </c>
      <c r="CH76" s="1">
        <f t="shared" ref="CH76:CH81" si="167">SUM(CG65:CG76)/12</f>
        <v>1.5359999999999998</v>
      </c>
      <c r="CK76" s="284">
        <f>CL76*30</f>
        <v>286.89000000000004</v>
      </c>
      <c r="CL76" s="1">
        <v>9.5630000000000006</v>
      </c>
      <c r="CM76" s="1">
        <f t="shared" si="147"/>
        <v>8.1602499999999996</v>
      </c>
      <c r="CN76" s="1">
        <v>18.309999999999999</v>
      </c>
      <c r="CP76" s="284">
        <f>CQ76*30</f>
        <v>360.59999999999997</v>
      </c>
      <c r="CQ76" s="1">
        <v>12.02</v>
      </c>
      <c r="CR76" s="1">
        <f t="shared" si="163"/>
        <v>14.86725</v>
      </c>
      <c r="CS76" s="1">
        <v>20.7</v>
      </c>
      <c r="CU76" s="284">
        <f>CV76*30</f>
        <v>117.6</v>
      </c>
      <c r="CV76" s="1">
        <v>3.92</v>
      </c>
      <c r="CW76" s="1">
        <f t="shared" si="164"/>
        <v>3.9355833333333337</v>
      </c>
      <c r="CX76" s="1">
        <v>10.7</v>
      </c>
      <c r="CZ76" s="269">
        <f>DA76*30</f>
        <v>39.840000000000003</v>
      </c>
      <c r="DA76" s="1">
        <v>1.3280000000000001</v>
      </c>
      <c r="DC76" s="284">
        <f>DD76*30</f>
        <v>12.180000000000001</v>
      </c>
      <c r="DD76" s="1">
        <v>0.40600000000000003</v>
      </c>
      <c r="DE76" s="1">
        <f t="shared" ref="DE76:DE81" si="168">SUM(DD65:DD76)/12</f>
        <v>0.40599999999999997</v>
      </c>
      <c r="DH76" s="284">
        <f>DI76*30</f>
        <v>87</v>
      </c>
      <c r="DI76" s="5">
        <f t="shared" si="148"/>
        <v>2.9</v>
      </c>
      <c r="DJ76" s="1">
        <f t="shared" ref="DJ76:DJ82" si="169">SUM(DI65:DI76)/12</f>
        <v>3.1120000000000001</v>
      </c>
      <c r="DM76" s="284">
        <f>DN76*30</f>
        <v>3560.55</v>
      </c>
      <c r="DN76" s="1">
        <f t="shared" si="149"/>
        <v>118.685</v>
      </c>
      <c r="DO76" s="1">
        <f t="shared" ref="DO76:DO82" si="170">SUM(DN65:DN76)/12</f>
        <v>119.64708333333333</v>
      </c>
      <c r="DR76" s="284">
        <f>DS76*30</f>
        <v>817.1099999999999</v>
      </c>
      <c r="DS76" s="1">
        <f t="shared" si="146"/>
        <v>27.236999999999998</v>
      </c>
      <c r="DT76" s="1" t="e">
        <f>SUM(CM76+CR76+CW76+#REF!+DE76)</f>
        <v>#REF!</v>
      </c>
      <c r="DW76" s="284">
        <f>DX76*30</f>
        <v>4377.66</v>
      </c>
      <c r="DX76" s="1">
        <f t="shared" si="165"/>
        <v>145.922</v>
      </c>
      <c r="DY76" s="1">
        <f t="shared" si="166"/>
        <v>148.10916666666668</v>
      </c>
      <c r="EB76" s="242">
        <v>6.87</v>
      </c>
      <c r="EC76" s="17"/>
      <c r="ED76" s="1">
        <f>EE76*92</f>
        <v>2788.0906666666665</v>
      </c>
      <c r="EE76" s="1">
        <f>AVERAGE(DS74:DS76)</f>
        <v>30.305333333333333</v>
      </c>
      <c r="EF76" s="1">
        <f>SUM(EE67+EE70+EE73+EE76)/4</f>
        <v>28.462083333333336</v>
      </c>
      <c r="EL76">
        <v>2003</v>
      </c>
      <c r="EM76" t="s">
        <v>709</v>
      </c>
      <c r="EN76" t="s">
        <v>841</v>
      </c>
      <c r="EO76">
        <v>105.69</v>
      </c>
    </row>
    <row r="77" spans="1:145" ht="15.5" x14ac:dyDescent="0.35">
      <c r="A77" s="8">
        <v>2003</v>
      </c>
      <c r="B77" s="24" t="s">
        <v>710</v>
      </c>
      <c r="D77" s="285">
        <v>228.1</v>
      </c>
      <c r="E77" s="33">
        <v>7.3580645161290317</v>
      </c>
      <c r="F77" s="1">
        <f t="shared" si="150"/>
        <v>4.4794220430107528</v>
      </c>
      <c r="G77" s="6">
        <v>12.73</v>
      </c>
      <c r="H77" s="6"/>
      <c r="I77" s="285"/>
      <c r="J77" s="6"/>
      <c r="K77" s="6"/>
      <c r="L77" s="6"/>
      <c r="M77" s="32"/>
      <c r="N77" s="285">
        <v>107.81100000000001</v>
      </c>
      <c r="O77" s="6">
        <v>3.4777741935483872</v>
      </c>
      <c r="P77" s="1">
        <f t="shared" si="130"/>
        <v>3.9401478494623654</v>
      </c>
      <c r="Q77" s="6">
        <v>8.4</v>
      </c>
      <c r="R77" s="32"/>
      <c r="S77" s="285">
        <f>201.12</f>
        <v>201.12</v>
      </c>
      <c r="T77" s="6">
        <v>6.4877419354838715</v>
      </c>
      <c r="U77" s="1">
        <f t="shared" si="151"/>
        <v>6.8723951612903234</v>
      </c>
      <c r="V77" s="6">
        <v>14.02</v>
      </c>
      <c r="W77" s="185"/>
      <c r="X77" s="285">
        <v>784.41</v>
      </c>
      <c r="Y77" s="6">
        <v>25.303548387096772</v>
      </c>
      <c r="Z77" s="1">
        <f t="shared" si="152"/>
        <v>29.3189623655914</v>
      </c>
      <c r="AA77" s="6">
        <v>37.94</v>
      </c>
      <c r="AB77" s="32"/>
      <c r="AC77" s="298">
        <v>985.53</v>
      </c>
      <c r="AD77" s="35">
        <v>31.791290322580643</v>
      </c>
      <c r="AE77" s="1">
        <f t="shared" si="153"/>
        <v>36.191357526881724</v>
      </c>
      <c r="AF77" s="35">
        <v>51.96</v>
      </c>
      <c r="AG77" s="32"/>
      <c r="AH77" s="285">
        <v>1916.23</v>
      </c>
      <c r="AI77" s="6">
        <v>61.813870967741934</v>
      </c>
      <c r="AJ77" s="1">
        <f t="shared" si="50"/>
        <v>67.039489247311835</v>
      </c>
      <c r="AK77" s="6">
        <v>193.97</v>
      </c>
      <c r="AL77" s="32"/>
      <c r="AM77" s="285">
        <v>17.382000000000001</v>
      </c>
      <c r="AN77" s="6">
        <v>0.56070967741935485</v>
      </c>
      <c r="AO77" s="1">
        <f t="shared" si="154"/>
        <v>0.8078924731182795</v>
      </c>
      <c r="AP77" s="88" t="s">
        <v>770</v>
      </c>
      <c r="AQ77" s="32"/>
      <c r="AR77" s="285">
        <v>155.09100000000001</v>
      </c>
      <c r="AS77" s="6">
        <v>5.0029354838709681</v>
      </c>
      <c r="AT77" s="1">
        <f t="shared" si="155"/>
        <v>5.3926612903225797</v>
      </c>
      <c r="AU77" s="88" t="s">
        <v>770</v>
      </c>
      <c r="AV77" s="32"/>
      <c r="AW77" s="285">
        <v>12.311999999999999</v>
      </c>
      <c r="AX77" s="6">
        <v>0.39716129032258063</v>
      </c>
      <c r="AY77" s="1">
        <f t="shared" si="156"/>
        <v>0.56509677419354842</v>
      </c>
      <c r="AZ77" s="88" t="s">
        <v>770</v>
      </c>
      <c r="BA77" s="32"/>
      <c r="BB77" s="285">
        <v>27.361000000000001</v>
      </c>
      <c r="BC77" s="6">
        <v>0.88261290322580643</v>
      </c>
      <c r="BD77" s="1">
        <f t="shared" si="157"/>
        <v>0.95246774193548378</v>
      </c>
      <c r="BE77" s="88" t="s">
        <v>770</v>
      </c>
      <c r="BF77" s="32"/>
      <c r="BG77" s="285">
        <v>25.056000000000001</v>
      </c>
      <c r="BH77" s="6">
        <v>0.80825806451612903</v>
      </c>
      <c r="BI77" s="1">
        <f t="shared" si="158"/>
        <v>0.95143817204301084</v>
      </c>
      <c r="BJ77" s="88" t="s">
        <v>770</v>
      </c>
      <c r="BK77" s="32"/>
      <c r="BL77" s="285">
        <v>106.72548420329669</v>
      </c>
      <c r="BM77" s="6">
        <v>3.4427575549450546</v>
      </c>
      <c r="BN77" s="1">
        <f t="shared" si="159"/>
        <v>3.4429797962454214</v>
      </c>
      <c r="BP77" s="32"/>
      <c r="BQ77" s="284">
        <v>19.239999999999998</v>
      </c>
      <c r="BR77" s="1">
        <v>0.62064516129032254</v>
      </c>
      <c r="BS77" s="1">
        <f t="shared" si="160"/>
        <v>0.71447043010752687</v>
      </c>
      <c r="BT77" s="88" t="s">
        <v>770</v>
      </c>
      <c r="BU77" s="32"/>
      <c r="BV77" s="284">
        <v>6.8730000000000002</v>
      </c>
      <c r="BW77" s="1">
        <v>0.22170967741935485</v>
      </c>
      <c r="BX77" s="1">
        <f t="shared" si="161"/>
        <v>0.25739247311827962</v>
      </c>
      <c r="BY77" s="88" t="s">
        <v>770</v>
      </c>
      <c r="BZ77" s="32"/>
      <c r="CA77" s="285">
        <v>18.273</v>
      </c>
      <c r="CB77" s="6">
        <v>0.58945161290322579</v>
      </c>
      <c r="CC77" s="1">
        <f t="shared" si="162"/>
        <v>0.61828763440860213</v>
      </c>
      <c r="CD77" s="88" t="s">
        <v>770</v>
      </c>
      <c r="CE77" s="32"/>
      <c r="CF77" s="285">
        <v>47.630137362637356</v>
      </c>
      <c r="CG77" s="6">
        <v>1.5364560439560437</v>
      </c>
      <c r="CH77" s="1">
        <f t="shared" si="167"/>
        <v>1.5360380036630035</v>
      </c>
      <c r="CJ77" s="32"/>
      <c r="CK77" s="285">
        <v>218.62</v>
      </c>
      <c r="CL77" s="6">
        <v>7.0522580645161295</v>
      </c>
      <c r="CM77" s="1">
        <f t="shared" si="147"/>
        <v>8.457854838709677</v>
      </c>
      <c r="CN77" s="6">
        <v>18.72</v>
      </c>
      <c r="CO77" s="32"/>
      <c r="CP77" s="285">
        <v>336.38299999999998</v>
      </c>
      <c r="CQ77" s="6">
        <v>10.851064516129032</v>
      </c>
      <c r="CR77" s="1">
        <f t="shared" si="163"/>
        <v>14.725088709677422</v>
      </c>
      <c r="CS77" s="6">
        <v>26.5</v>
      </c>
      <c r="CT77" s="32"/>
      <c r="CU77" s="285">
        <v>132.28399999999999</v>
      </c>
      <c r="CV77" s="6">
        <v>4.2672258064516129</v>
      </c>
      <c r="CW77" s="1">
        <f t="shared" si="164"/>
        <v>4.0644354838709686</v>
      </c>
      <c r="CX77" s="6">
        <v>8.1999999999999993</v>
      </c>
      <c r="CY77" s="6"/>
      <c r="CZ77" s="270">
        <v>31.103000000000002</v>
      </c>
      <c r="DA77" s="6">
        <v>1.0033225806451613</v>
      </c>
      <c r="DB77" s="32"/>
      <c r="DC77" s="285">
        <v>12.583</v>
      </c>
      <c r="DD77" s="6">
        <v>0.40590322580645161</v>
      </c>
      <c r="DE77" s="1">
        <f t="shared" si="168"/>
        <v>0.40599193548387097</v>
      </c>
      <c r="DG77" s="32"/>
      <c r="DH77" s="284">
        <f>DI77*31</f>
        <v>92.016137362637352</v>
      </c>
      <c r="DI77" s="5">
        <f t="shared" si="148"/>
        <v>2.9682624955689469</v>
      </c>
      <c r="DJ77" s="1">
        <f t="shared" si="169"/>
        <v>3.1261885412974117</v>
      </c>
      <c r="DM77" s="284">
        <f>DN77*31</f>
        <v>3489.5823468406597</v>
      </c>
      <c r="DN77" s="1">
        <f t="shared" si="149"/>
        <v>112.56717247873095</v>
      </c>
      <c r="DO77" s="1">
        <f t="shared" si="170"/>
        <v>120.63676437322759</v>
      </c>
      <c r="DR77" s="284">
        <f>DS77*31</f>
        <v>730.97299999999996</v>
      </c>
      <c r="DS77" s="1">
        <f t="shared" si="146"/>
        <v>23.579774193548385</v>
      </c>
      <c r="DT77" s="1" t="e">
        <f>SUM(CM77+CR77+CW77+#REF!+DE77)</f>
        <v>#REF!</v>
      </c>
      <c r="DW77" s="284">
        <f>DX77*31</f>
        <v>4220.5553468406597</v>
      </c>
      <c r="DX77" s="1">
        <f t="shared" si="165"/>
        <v>136.14694667227934</v>
      </c>
      <c r="DY77" s="1">
        <f t="shared" si="166"/>
        <v>149.40591222268998</v>
      </c>
      <c r="EB77" s="242">
        <v>3.93</v>
      </c>
      <c r="EC77" s="17"/>
      <c r="EI77" s="1">
        <f t="shared" ref="EI77:EI108" si="171">SUM(E77+CL77)</f>
        <v>14.410322580645161</v>
      </c>
      <c r="EJ77" s="1">
        <f t="shared" ref="EJ77:EJ108" si="172">SUM(F77+CM77)</f>
        <v>12.937276881720429</v>
      </c>
      <c r="EK77" s="1">
        <f>SUM(EJ77-EI77)</f>
        <v>-1.4730456989247322</v>
      </c>
      <c r="EL77">
        <v>2003</v>
      </c>
      <c r="EM77" t="s">
        <v>710</v>
      </c>
      <c r="EN77" t="s">
        <v>841</v>
      </c>
      <c r="EO77">
        <v>228.1</v>
      </c>
    </row>
    <row r="78" spans="1:145" ht="15.5" x14ac:dyDescent="0.35">
      <c r="A78" s="8">
        <v>2003</v>
      </c>
      <c r="B78" s="24" t="s">
        <v>711</v>
      </c>
      <c r="D78" s="285">
        <v>189.64</v>
      </c>
      <c r="E78" s="33">
        <v>6.3213333333333326</v>
      </c>
      <c r="F78" s="1">
        <f t="shared" si="150"/>
        <v>4.4591998207885313</v>
      </c>
      <c r="G78" s="6">
        <v>13.24</v>
      </c>
      <c r="H78" s="6"/>
      <c r="I78" s="285"/>
      <c r="J78" s="6"/>
      <c r="K78" s="6"/>
      <c r="L78" s="6"/>
      <c r="M78" s="32"/>
      <c r="N78" s="285">
        <v>128.96299999999999</v>
      </c>
      <c r="O78" s="6">
        <v>4.2987666666666664</v>
      </c>
      <c r="P78" s="1">
        <f t="shared" si="130"/>
        <v>4.021211738351254</v>
      </c>
      <c r="Q78" s="6">
        <v>9.9</v>
      </c>
      <c r="R78" s="32"/>
      <c r="S78" s="285">
        <v>225.47</v>
      </c>
      <c r="T78" s="6">
        <v>7.5156666666666663</v>
      </c>
      <c r="U78" s="1">
        <f t="shared" si="151"/>
        <v>7.0815340501792114</v>
      </c>
      <c r="V78" s="6">
        <v>18.39</v>
      </c>
      <c r="W78" s="185"/>
      <c r="X78" s="285">
        <v>825.95</v>
      </c>
      <c r="Y78" s="6">
        <v>27.53166666666667</v>
      </c>
      <c r="Z78" s="1">
        <f t="shared" si="152"/>
        <v>29.46985125448029</v>
      </c>
      <c r="AA78" s="6">
        <v>40.33</v>
      </c>
      <c r="AB78" s="32"/>
      <c r="AC78" s="298">
        <v>1051.42</v>
      </c>
      <c r="AD78" s="35">
        <v>35.047333333333334</v>
      </c>
      <c r="AE78" s="1">
        <f t="shared" si="153"/>
        <v>36.551385304659497</v>
      </c>
      <c r="AF78" s="35">
        <v>58.72</v>
      </c>
      <c r="AG78" s="32"/>
      <c r="AH78" s="285">
        <v>2088.65</v>
      </c>
      <c r="AI78" s="6">
        <v>69.62166666666667</v>
      </c>
      <c r="AJ78" s="1">
        <f t="shared" si="50"/>
        <v>67.801128136200717</v>
      </c>
      <c r="AK78" s="6">
        <v>161.52000000000001</v>
      </c>
      <c r="AL78" s="32"/>
      <c r="AM78" s="285">
        <v>23.440999999999999</v>
      </c>
      <c r="AN78" s="6">
        <v>0.78136666666666665</v>
      </c>
      <c r="AO78" s="1">
        <f t="shared" si="154"/>
        <v>0.79600636200716857</v>
      </c>
      <c r="AP78" s="88" t="s">
        <v>770</v>
      </c>
      <c r="AQ78" s="32"/>
      <c r="AR78" s="285">
        <v>170.822</v>
      </c>
      <c r="AS78" s="6">
        <v>5.6940666666666671</v>
      </c>
      <c r="AT78" s="1">
        <f t="shared" si="155"/>
        <v>5.4623335125448023</v>
      </c>
      <c r="AU78" s="88" t="s">
        <v>770</v>
      </c>
      <c r="AV78" s="32"/>
      <c r="AW78" s="285">
        <v>16.157</v>
      </c>
      <c r="AX78" s="6">
        <v>0.53856666666666664</v>
      </c>
      <c r="AY78" s="1">
        <f t="shared" si="156"/>
        <v>0.52239399641577056</v>
      </c>
      <c r="AZ78" s="88" t="s">
        <v>770</v>
      </c>
      <c r="BA78" s="32"/>
      <c r="BB78" s="285">
        <v>30.388999999999999</v>
      </c>
      <c r="BC78" s="6">
        <v>1.0129666666666666</v>
      </c>
      <c r="BD78" s="1">
        <f t="shared" si="157"/>
        <v>0.9504649641577062</v>
      </c>
      <c r="BE78" s="88" t="s">
        <v>770</v>
      </c>
      <c r="BF78" s="32"/>
      <c r="BG78" s="285">
        <v>28.492999999999999</v>
      </c>
      <c r="BH78" s="6">
        <v>0.94976666666666665</v>
      </c>
      <c r="BI78" s="1">
        <f t="shared" si="158"/>
        <v>0.95125206093189973</v>
      </c>
      <c r="BJ78" s="88" t="s">
        <v>770</v>
      </c>
      <c r="BK78" s="32"/>
      <c r="BL78" s="285">
        <v>103.28272664835164</v>
      </c>
      <c r="BM78" s="6">
        <v>3.4427575549450546</v>
      </c>
      <c r="BN78" s="1">
        <f t="shared" si="159"/>
        <v>3.4429595924908427</v>
      </c>
      <c r="BP78" s="32"/>
      <c r="BQ78" s="284">
        <v>18.812999999999999</v>
      </c>
      <c r="BR78" s="1">
        <v>0.62709999999999999</v>
      </c>
      <c r="BS78" s="1">
        <f t="shared" si="160"/>
        <v>0.71647876344086026</v>
      </c>
      <c r="BT78" s="88" t="s">
        <v>770</v>
      </c>
      <c r="BU78" s="32"/>
      <c r="BV78" s="284">
        <v>8.5549999999999997</v>
      </c>
      <c r="BW78" s="1">
        <v>0.28516666666666668</v>
      </c>
      <c r="BX78" s="1">
        <f t="shared" si="161"/>
        <v>0.25865636200716846</v>
      </c>
      <c r="BY78" s="88" t="s">
        <v>770</v>
      </c>
      <c r="BZ78" s="32"/>
      <c r="CA78" s="285">
        <v>19.48</v>
      </c>
      <c r="CB78" s="6">
        <v>0.64933333333333332</v>
      </c>
      <c r="CC78" s="1">
        <f t="shared" si="162"/>
        <v>0.62231541218637998</v>
      </c>
      <c r="CD78" s="88" t="s">
        <v>770</v>
      </c>
      <c r="CE78" s="32"/>
      <c r="CF78" s="285">
        <v>46.093681318681313</v>
      </c>
      <c r="CG78" s="6">
        <v>1.5364560439560437</v>
      </c>
      <c r="CH78" s="1">
        <f t="shared" si="167"/>
        <v>1.5360760073260071</v>
      </c>
      <c r="CJ78" s="32"/>
      <c r="CK78" s="285">
        <v>303.45999999999998</v>
      </c>
      <c r="CL78" s="6">
        <v>10.115333333333332</v>
      </c>
      <c r="CM78" s="1">
        <f t="shared" si="147"/>
        <v>9.0924659498207863</v>
      </c>
      <c r="CN78" s="6">
        <v>18.52</v>
      </c>
      <c r="CO78" s="32"/>
      <c r="CP78" s="285">
        <v>337.93</v>
      </c>
      <c r="CQ78" s="6">
        <v>11.264333333333333</v>
      </c>
      <c r="CR78" s="1">
        <f t="shared" si="163"/>
        <v>14.639116487455199</v>
      </c>
      <c r="CS78" s="6">
        <v>21.29</v>
      </c>
      <c r="CT78" s="32"/>
      <c r="CU78" s="285">
        <v>141.221</v>
      </c>
      <c r="CV78" s="6">
        <v>4.7073666666666671</v>
      </c>
      <c r="CW78" s="1">
        <f t="shared" si="164"/>
        <v>4.1892160394265234</v>
      </c>
      <c r="CX78" s="6">
        <v>8.8000000000000007</v>
      </c>
      <c r="CY78" s="6"/>
      <c r="CZ78" s="270">
        <v>31.792000000000002</v>
      </c>
      <c r="DA78" s="6">
        <v>1.0597333333333334</v>
      </c>
      <c r="DB78" s="32"/>
      <c r="DC78" s="285">
        <v>12.177</v>
      </c>
      <c r="DD78" s="6">
        <v>0.40589999999999998</v>
      </c>
      <c r="DE78" s="1">
        <f t="shared" si="168"/>
        <v>0.40598360215053764</v>
      </c>
      <c r="DF78" s="6"/>
      <c r="DG78" s="32"/>
      <c r="DH78" s="284">
        <f>DI78*30</f>
        <v>92.941681318681319</v>
      </c>
      <c r="DI78" s="5">
        <f t="shared" si="148"/>
        <v>3.0980560439560438</v>
      </c>
      <c r="DJ78" s="1">
        <f t="shared" si="169"/>
        <v>3.1335265449604162</v>
      </c>
      <c r="DM78" s="284">
        <f>DN78*30</f>
        <v>3738.3160453296709</v>
      </c>
      <c r="DN78" s="1">
        <f t="shared" si="149"/>
        <v>124.61053484432236</v>
      </c>
      <c r="DO78" s="1">
        <f t="shared" si="170"/>
        <v>121.82480894358777</v>
      </c>
      <c r="DR78" s="284">
        <f>DS78*30</f>
        <v>826.57999999999993</v>
      </c>
      <c r="DS78" s="1">
        <f t="shared" si="146"/>
        <v>27.552666666666664</v>
      </c>
      <c r="DT78" s="1" t="e">
        <f>SUM(CM78+CR78+CW78+#REF!+DE78)</f>
        <v>#REF!</v>
      </c>
      <c r="DW78" s="284">
        <f>DX78*30</f>
        <v>4564.8960453296704</v>
      </c>
      <c r="DX78" s="1">
        <f t="shared" si="165"/>
        <v>152.16320151098901</v>
      </c>
      <c r="DY78" s="1">
        <f t="shared" si="166"/>
        <v>151.28384568193903</v>
      </c>
      <c r="EB78" s="242">
        <v>4.2300000000000004</v>
      </c>
      <c r="EC78" s="17"/>
      <c r="EI78" s="1">
        <f t="shared" si="171"/>
        <v>16.436666666666664</v>
      </c>
      <c r="EJ78" s="1">
        <f t="shared" si="172"/>
        <v>13.551665770609318</v>
      </c>
      <c r="EK78" s="1">
        <f t="shared" ref="EK78:EK90" si="173">SUM(EJ78-EI78)</f>
        <v>-2.8850008960573454</v>
      </c>
      <c r="EL78">
        <v>2003</v>
      </c>
      <c r="EM78" t="s">
        <v>711</v>
      </c>
      <c r="EN78" t="s">
        <v>841</v>
      </c>
      <c r="EO78">
        <v>189.64</v>
      </c>
    </row>
    <row r="79" spans="1:145" ht="15.5" x14ac:dyDescent="0.35">
      <c r="A79" s="8">
        <v>2003</v>
      </c>
      <c r="B79" s="24" t="s">
        <v>712</v>
      </c>
      <c r="D79" s="285">
        <v>175.15</v>
      </c>
      <c r="E79" s="33">
        <v>5.65</v>
      </c>
      <c r="F79" s="1">
        <f t="shared" si="150"/>
        <v>4.3751164874551973</v>
      </c>
      <c r="G79" s="6">
        <v>15.33</v>
      </c>
      <c r="H79" s="6"/>
      <c r="I79" s="285"/>
      <c r="J79" s="6"/>
      <c r="K79" s="6"/>
      <c r="L79" s="6"/>
      <c r="M79" s="32"/>
      <c r="N79" s="285">
        <v>127.967</v>
      </c>
      <c r="O79" s="6">
        <v>4.1279677419354837</v>
      </c>
      <c r="P79" s="1">
        <f t="shared" si="130"/>
        <v>4.0839590501792111</v>
      </c>
      <c r="Q79" s="6">
        <v>8.8000000000000007</v>
      </c>
      <c r="R79" s="32"/>
      <c r="S79" s="285">
        <v>275.55</v>
      </c>
      <c r="T79" s="6">
        <v>8.8887096774193548</v>
      </c>
      <c r="U79" s="1">
        <f t="shared" si="151"/>
        <v>7.3571765232974897</v>
      </c>
      <c r="V79" s="6">
        <v>19.489999999999998</v>
      </c>
      <c r="W79" s="185"/>
      <c r="X79" s="285">
        <v>919.13</v>
      </c>
      <c r="Y79" s="6">
        <v>29.649354838709677</v>
      </c>
      <c r="Z79" s="1">
        <f t="shared" si="152"/>
        <v>29.772547491039429</v>
      </c>
      <c r="AA79" s="6">
        <v>41.36</v>
      </c>
      <c r="AB79" s="32"/>
      <c r="AC79" s="298">
        <v>1194.68</v>
      </c>
      <c r="AD79" s="35">
        <v>38.538064516129033</v>
      </c>
      <c r="AE79" s="1">
        <f t="shared" si="153"/>
        <v>37.129724014336922</v>
      </c>
      <c r="AF79" s="35">
        <v>60.85</v>
      </c>
      <c r="AG79" s="32"/>
      <c r="AH79" s="285">
        <v>2183.75</v>
      </c>
      <c r="AI79" s="6">
        <v>70.443548387096769</v>
      </c>
      <c r="AJ79" s="1">
        <f t="shared" si="50"/>
        <v>68.366173835125451</v>
      </c>
      <c r="AK79" s="6">
        <v>194.46</v>
      </c>
      <c r="AL79" s="32"/>
      <c r="AM79" s="285">
        <v>26.890999999999998</v>
      </c>
      <c r="AN79" s="6">
        <v>0.8674516129032257</v>
      </c>
      <c r="AO79" s="1">
        <f t="shared" si="154"/>
        <v>0.79221066308243726</v>
      </c>
      <c r="AP79" s="88" t="s">
        <v>770</v>
      </c>
      <c r="AQ79" s="32"/>
      <c r="AR79" s="285">
        <v>191.012</v>
      </c>
      <c r="AS79" s="6">
        <v>6.1616774193548389</v>
      </c>
      <c r="AT79" s="1">
        <f t="shared" si="155"/>
        <v>5.5398899641577062</v>
      </c>
      <c r="AU79" s="36" t="s">
        <v>776</v>
      </c>
      <c r="AV79" s="32"/>
      <c r="AW79" s="285">
        <v>27.2636</v>
      </c>
      <c r="AX79" s="6">
        <v>0.87947096774193545</v>
      </c>
      <c r="AY79" s="1">
        <f t="shared" si="156"/>
        <v>0.52684991039426521</v>
      </c>
      <c r="AZ79" s="36" t="s">
        <v>776</v>
      </c>
      <c r="BA79" s="32"/>
      <c r="BB79" s="285">
        <v>35.993000000000002</v>
      </c>
      <c r="BC79" s="6">
        <v>1.1610645161290323</v>
      </c>
      <c r="BD79" s="1">
        <f t="shared" si="157"/>
        <v>0.9549703405017923</v>
      </c>
      <c r="BE79" s="6"/>
      <c r="BF79" s="32"/>
      <c r="BG79" s="285">
        <v>30.721</v>
      </c>
      <c r="BH79" s="6">
        <v>0.99099999999999999</v>
      </c>
      <c r="BI79" s="1">
        <f t="shared" si="158"/>
        <v>0.94083539426523288</v>
      </c>
      <c r="BJ79" s="6"/>
      <c r="BK79" s="32"/>
      <c r="BL79" s="285">
        <v>106.72548420329669</v>
      </c>
      <c r="BM79" s="6">
        <v>3.4427575549450546</v>
      </c>
      <c r="BN79" s="1">
        <f t="shared" si="159"/>
        <v>3.442939388736264</v>
      </c>
      <c r="BO79" s="6" t="s">
        <v>776</v>
      </c>
      <c r="BP79" s="32"/>
      <c r="BQ79" s="284">
        <v>20.010999999999999</v>
      </c>
      <c r="BR79" s="1">
        <v>0.64551612903225808</v>
      </c>
      <c r="BS79" s="1">
        <f t="shared" si="160"/>
        <v>0.71927177419354837</v>
      </c>
      <c r="BT79" s="88" t="s">
        <v>770</v>
      </c>
      <c r="BU79" s="32"/>
      <c r="BV79" s="284">
        <v>10.645</v>
      </c>
      <c r="BW79" s="1">
        <v>0.34338709677419355</v>
      </c>
      <c r="BX79" s="1">
        <f t="shared" si="161"/>
        <v>0.26193862007168461</v>
      </c>
      <c r="BY79" s="6" t="s">
        <v>777</v>
      </c>
      <c r="BZ79" s="32"/>
      <c r="CA79" s="285">
        <v>21.308</v>
      </c>
      <c r="CB79" s="6">
        <v>0.6873548387096774</v>
      </c>
      <c r="CC79" s="1">
        <f t="shared" si="162"/>
        <v>0.62734498207885303</v>
      </c>
      <c r="CD79" s="6" t="s">
        <v>776</v>
      </c>
      <c r="CE79" s="32"/>
      <c r="CF79" s="285">
        <v>47.630137362637356</v>
      </c>
      <c r="CG79" s="6">
        <v>1.5364560439560437</v>
      </c>
      <c r="CH79" s="1">
        <f t="shared" si="167"/>
        <v>1.5361140109890108</v>
      </c>
      <c r="CI79" s="6" t="s">
        <v>776</v>
      </c>
      <c r="CJ79" s="32"/>
      <c r="CK79" s="285">
        <v>410.74</v>
      </c>
      <c r="CL79" s="6">
        <v>13.249677419354839</v>
      </c>
      <c r="CM79" s="1">
        <f t="shared" si="147"/>
        <v>9.8621890681003581</v>
      </c>
      <c r="CN79" s="6">
        <v>23.86</v>
      </c>
      <c r="CO79" s="32"/>
      <c r="CP79" s="285">
        <v>382.774</v>
      </c>
      <c r="CQ79" s="6">
        <v>12.347548387096774</v>
      </c>
      <c r="CR79" s="1">
        <f t="shared" si="163"/>
        <v>14.489828853046596</v>
      </c>
      <c r="CS79" s="6">
        <v>24.9</v>
      </c>
      <c r="CT79" s="32"/>
      <c r="CU79" s="285">
        <v>161.12899999999999</v>
      </c>
      <c r="CV79" s="6">
        <v>5.197709677419355</v>
      </c>
      <c r="CW79" s="1">
        <f t="shared" si="164"/>
        <v>4.3271918458781355</v>
      </c>
      <c r="CX79" s="6">
        <v>7.8</v>
      </c>
      <c r="CY79" s="6"/>
      <c r="CZ79" s="270">
        <v>41.228999999999999</v>
      </c>
      <c r="DA79" s="6">
        <v>1.3299677419354838</v>
      </c>
      <c r="DB79" s="32"/>
      <c r="DC79" s="285">
        <v>12.583</v>
      </c>
      <c r="DD79" s="6">
        <v>0.40590322580645161</v>
      </c>
      <c r="DE79" s="1">
        <f t="shared" si="168"/>
        <v>0.40597553763440858</v>
      </c>
      <c r="DF79" s="6" t="s">
        <v>777</v>
      </c>
      <c r="DG79" s="32"/>
      <c r="DH79" s="284">
        <f t="shared" ref="DH79:DH85" si="174">DI79*31</f>
        <v>99.594137362637355</v>
      </c>
      <c r="DI79" s="5">
        <f t="shared" si="148"/>
        <v>3.2127141084721726</v>
      </c>
      <c r="DJ79" s="1">
        <f t="shared" si="169"/>
        <v>3.1446693873330971</v>
      </c>
      <c r="DM79" s="284">
        <f t="shared" ref="DM79:DM84" si="175">DN79*31</f>
        <v>4000.5589468406592</v>
      </c>
      <c r="DN79" s="1">
        <f t="shared" si="149"/>
        <v>129.05028860776321</v>
      </c>
      <c r="DO79" s="1">
        <f t="shared" si="170"/>
        <v>123.00799966090138</v>
      </c>
      <c r="DR79" s="284">
        <f t="shared" ref="DR79:DR84" si="176">DS79*31</f>
        <v>1008.455</v>
      </c>
      <c r="DS79" s="1">
        <f t="shared" si="146"/>
        <v>32.530806451612904</v>
      </c>
      <c r="DT79" s="1" t="e">
        <f>SUM(CM79+CR79+CW79+#REF!+DE79)</f>
        <v>#REF!</v>
      </c>
      <c r="DW79" s="284">
        <f t="shared" ref="DW79:DW84" si="177">DX79*31</f>
        <v>5009.0139468406596</v>
      </c>
      <c r="DX79" s="1">
        <f t="shared" si="165"/>
        <v>161.58109505937611</v>
      </c>
      <c r="DY79" s="1">
        <f t="shared" si="166"/>
        <v>153.2618536035537</v>
      </c>
      <c r="EB79" s="242">
        <v>4.32</v>
      </c>
      <c r="EC79" s="17"/>
      <c r="ED79" s="1">
        <f>EE79*92</f>
        <v>2565.6729175627238</v>
      </c>
      <c r="EE79" s="1">
        <f>AVERAGE(DS77:DS79)</f>
        <v>27.887749103942649</v>
      </c>
      <c r="EF79" s="1">
        <f>SUM(EE70+EE73+EE76+EE79)/4</f>
        <v>30.253853942652331</v>
      </c>
      <c r="EI79" s="1">
        <f t="shared" si="171"/>
        <v>18.899677419354838</v>
      </c>
      <c r="EJ79" s="1">
        <f t="shared" si="172"/>
        <v>14.237305555555555</v>
      </c>
      <c r="EK79" s="1">
        <f t="shared" si="173"/>
        <v>-4.662371863799283</v>
      </c>
      <c r="EL79">
        <v>2003</v>
      </c>
      <c r="EM79" t="s">
        <v>712</v>
      </c>
      <c r="EN79" t="s">
        <v>841</v>
      </c>
      <c r="EO79">
        <v>175.15</v>
      </c>
    </row>
    <row r="80" spans="1:145" ht="15.5" x14ac:dyDescent="0.35">
      <c r="A80" s="8">
        <v>2004</v>
      </c>
      <c r="B80" s="24" t="s">
        <v>719</v>
      </c>
      <c r="D80" s="285">
        <v>271.42</v>
      </c>
      <c r="E80" s="33">
        <v>8.7554838709677423</v>
      </c>
      <c r="F80" s="1">
        <f t="shared" si="150"/>
        <v>4.5815734767025091</v>
      </c>
      <c r="G80" s="6">
        <v>13.22</v>
      </c>
      <c r="H80" s="6"/>
      <c r="I80" s="285"/>
      <c r="J80" s="6"/>
      <c r="K80" s="6"/>
      <c r="L80" s="6"/>
      <c r="M80" s="32"/>
      <c r="N80" s="285">
        <v>106.877</v>
      </c>
      <c r="O80" s="6">
        <v>3.4476451612903225</v>
      </c>
      <c r="P80" s="1">
        <f t="shared" ref="P80:P85" si="178">SUM(O69:O80)/12</f>
        <v>4.1061794802867384</v>
      </c>
      <c r="Q80" s="6">
        <v>6.2</v>
      </c>
      <c r="R80" s="32"/>
      <c r="S80" s="285">
        <v>228.75</v>
      </c>
      <c r="T80" s="6">
        <v>7.379032258064516</v>
      </c>
      <c r="U80" s="1">
        <f t="shared" ref="U80:U85" si="179">SUM(T69:T80)/12</f>
        <v>7.4830125448028655</v>
      </c>
      <c r="V80" s="6">
        <v>10.59</v>
      </c>
      <c r="W80" s="185"/>
      <c r="X80" s="285">
        <v>828.51</v>
      </c>
      <c r="Y80" s="6">
        <v>26.726129032258065</v>
      </c>
      <c r="Z80" s="1">
        <f t="shared" ref="Z80:Z85" si="180">SUM(Y69:Y80)/12</f>
        <v>29.718058243727601</v>
      </c>
      <c r="AA80" s="6">
        <v>33.71</v>
      </c>
      <c r="AB80" s="32"/>
      <c r="AC80" s="298">
        <v>1057.26</v>
      </c>
      <c r="AD80" s="35">
        <v>34.105161290322577</v>
      </c>
      <c r="AE80" s="1">
        <f t="shared" ref="AE80:AE85" si="181">SUM(AD69:AD80)/12</f>
        <v>37.201070788530465</v>
      </c>
      <c r="AF80" s="35">
        <v>44.3</v>
      </c>
      <c r="AG80" s="32"/>
      <c r="AH80" s="285">
        <v>1886.11</v>
      </c>
      <c r="AI80" s="6">
        <v>60.842258064516123</v>
      </c>
      <c r="AJ80" s="1">
        <f t="shared" ref="AJ80:AJ85" si="182">SUM(AI69:AI80)/12</f>
        <v>68.112362007168457</v>
      </c>
      <c r="AK80" s="6">
        <v>136</v>
      </c>
      <c r="AL80" s="32"/>
      <c r="AM80" s="285">
        <v>18.72</v>
      </c>
      <c r="AN80" s="6">
        <v>0.60387096774193549</v>
      </c>
      <c r="AO80" s="1">
        <f t="shared" ref="AO80:AO85" si="183">SUM(AN69:AN80)/12</f>
        <v>0.7822832437275985</v>
      </c>
      <c r="AP80" s="6" t="s">
        <v>777</v>
      </c>
      <c r="AQ80" s="32"/>
      <c r="AR80" s="285">
        <v>143.93299999999999</v>
      </c>
      <c r="AS80" s="6">
        <v>4.6429999999999998</v>
      </c>
      <c r="AT80" s="1">
        <f t="shared" ref="AT80:AT85" si="184">SUM(AS69:AS80)/12</f>
        <v>5.401806630824372</v>
      </c>
      <c r="AU80" s="36" t="s">
        <v>776</v>
      </c>
      <c r="AV80" s="32"/>
      <c r="AW80" s="285">
        <v>21.492999999999999</v>
      </c>
      <c r="AX80" s="6">
        <v>0.69332258064516128</v>
      </c>
      <c r="AY80" s="1">
        <f t="shared" ref="AY80:AY85" si="185">SUM(AX69:AX80)/12</f>
        <v>0.55121012544802872</v>
      </c>
      <c r="AZ80" s="36" t="s">
        <v>776</v>
      </c>
      <c r="BA80" s="32"/>
      <c r="BB80" s="285">
        <v>49.637</v>
      </c>
      <c r="BC80" s="6">
        <v>1.6011935483870967</v>
      </c>
      <c r="BD80" s="1">
        <f t="shared" ref="BD80:BD85" si="186">SUM(BC69:BC80)/12</f>
        <v>1.0040698028673833</v>
      </c>
      <c r="BE80" s="6" t="s">
        <v>777</v>
      </c>
      <c r="BF80" s="32"/>
      <c r="BG80" s="285">
        <v>21.495999999999999</v>
      </c>
      <c r="BH80" s="6">
        <v>0.69341935483870965</v>
      </c>
      <c r="BI80" s="1">
        <f t="shared" ref="BI80:BI85" si="187">SUM(BH69:BH80)/12</f>
        <v>0.92478700716845885</v>
      </c>
      <c r="BJ80" s="6" t="s">
        <v>777</v>
      </c>
      <c r="BK80" s="32"/>
      <c r="BL80" s="285">
        <v>106.72548420329669</v>
      </c>
      <c r="BM80" s="6">
        <v>3.4427575549450546</v>
      </c>
      <c r="BN80" s="1">
        <f t="shared" si="159"/>
        <v>3.4429191849816849</v>
      </c>
      <c r="BO80" s="6" t="s">
        <v>776</v>
      </c>
      <c r="BP80" s="32"/>
      <c r="BQ80" s="284">
        <v>15.930999999999999</v>
      </c>
      <c r="BR80" s="1">
        <v>0.51390322580645154</v>
      </c>
      <c r="BS80" s="1">
        <f t="shared" ref="BS80:BS85" si="188">SUM(BR69:BR80)/12</f>
        <v>0.68893037634408605</v>
      </c>
      <c r="BT80" s="6" t="s">
        <v>777</v>
      </c>
      <c r="BU80" s="32"/>
      <c r="BV80" s="284">
        <v>6.0650000000000004</v>
      </c>
      <c r="BW80" s="1">
        <v>0.19564516129032258</v>
      </c>
      <c r="BX80" s="1">
        <f t="shared" ref="BX80:BX85" si="189">SUM(BW69:BW80)/12</f>
        <v>0.24857571684587812</v>
      </c>
      <c r="BY80" s="6" t="s">
        <v>777</v>
      </c>
      <c r="BZ80" s="32"/>
      <c r="CA80" s="285">
        <v>15.946</v>
      </c>
      <c r="CB80" s="6">
        <v>0.51438709677419359</v>
      </c>
      <c r="CC80" s="1">
        <f t="shared" ref="CC80:CC85" si="190">SUM(CB69:CB80)/12</f>
        <v>0.61796057347670252</v>
      </c>
      <c r="CD80" s="6" t="s">
        <v>776</v>
      </c>
      <c r="CE80" s="32"/>
      <c r="CF80" s="285">
        <v>47.630137362637356</v>
      </c>
      <c r="CG80" s="6">
        <v>1.5364560439560437</v>
      </c>
      <c r="CH80" s="1">
        <f t="shared" si="167"/>
        <v>1.5361520146520145</v>
      </c>
      <c r="CI80" s="6" t="s">
        <v>776</v>
      </c>
      <c r="CJ80" s="32"/>
      <c r="CK80" s="285">
        <v>203.53</v>
      </c>
      <c r="CL80" s="6">
        <v>6.5654838709677419</v>
      </c>
      <c r="CM80" s="1">
        <f t="shared" ref="CM80:CM85" si="191">SUM(CL69:CL80)/12</f>
        <v>10.13089605734767</v>
      </c>
      <c r="CN80" s="6">
        <v>17.11</v>
      </c>
      <c r="CO80" s="32"/>
      <c r="CP80" s="285">
        <v>339.84399999999999</v>
      </c>
      <c r="CQ80" s="6">
        <v>10.962709677419355</v>
      </c>
      <c r="CR80" s="1">
        <f t="shared" ref="CR80:CR85" si="192">SUM(CQ69:CQ80)/12</f>
        <v>14.21763799283154</v>
      </c>
      <c r="CS80" s="6">
        <v>19</v>
      </c>
      <c r="CT80" s="32"/>
      <c r="CU80" s="285">
        <v>142.75299999999999</v>
      </c>
      <c r="CV80" s="6">
        <v>4.6049354838709675</v>
      </c>
      <c r="CW80" s="1">
        <f t="shared" ref="CW80:CW85" si="193">SUM(CV69:CV80)/12</f>
        <v>4.4289364695340501</v>
      </c>
      <c r="CX80" s="6">
        <v>7.4</v>
      </c>
      <c r="CY80" s="6"/>
      <c r="CZ80" s="270">
        <v>35.832999999999998</v>
      </c>
      <c r="DA80" s="6">
        <v>1.1559032258064517</v>
      </c>
      <c r="DB80" s="32"/>
      <c r="DC80" s="285">
        <v>12.582678571428572</v>
      </c>
      <c r="DD80" s="6">
        <v>0.40589285714285717</v>
      </c>
      <c r="DE80" s="1">
        <f t="shared" si="168"/>
        <v>0.40596660906298004</v>
      </c>
      <c r="DF80" s="6" t="s">
        <v>777</v>
      </c>
      <c r="DG80" s="32"/>
      <c r="DH80" s="284">
        <f t="shared" si="174"/>
        <v>85.572137362637363</v>
      </c>
      <c r="DI80" s="5">
        <f t="shared" si="148"/>
        <v>2.7603915278270117</v>
      </c>
      <c r="DJ80" s="1">
        <f t="shared" si="169"/>
        <v>3.0916186813186806</v>
      </c>
      <c r="DM80" s="284">
        <f t="shared" si="175"/>
        <v>3598.0993468406596</v>
      </c>
      <c r="DN80" s="1">
        <f t="shared" si="149"/>
        <v>116.06772086582772</v>
      </c>
      <c r="DO80" s="1">
        <f t="shared" si="170"/>
        <v>123.01664306638702</v>
      </c>
      <c r="DR80" s="284">
        <f t="shared" si="176"/>
        <v>734.5426785714285</v>
      </c>
      <c r="DS80" s="1">
        <f t="shared" si="146"/>
        <v>23.694925115207372</v>
      </c>
      <c r="DT80" s="1" t="e">
        <f>SUM(CM80+CR80+CW80+#REF!+DE80)</f>
        <v>#REF!</v>
      </c>
      <c r="DW80" s="284">
        <f t="shared" si="177"/>
        <v>4332.6420254120876</v>
      </c>
      <c r="DX80" s="1">
        <f t="shared" ref="DX80:DX85" si="194">SUM(DN80+DS80)</f>
        <v>139.76264598103509</v>
      </c>
      <c r="DY80" s="1">
        <f t="shared" ref="DY80:DY86" si="195">SUM(DX69:DX80)/12</f>
        <v>153.38590743530662</v>
      </c>
      <c r="EB80" s="242">
        <v>1.35</v>
      </c>
      <c r="EC80" s="17"/>
      <c r="EI80" s="1">
        <f t="shared" si="171"/>
        <v>15.320967741935483</v>
      </c>
      <c r="EJ80" s="1">
        <f t="shared" si="172"/>
        <v>14.712469534050179</v>
      </c>
      <c r="EK80" s="1">
        <f t="shared" si="173"/>
        <v>-0.60849820788530451</v>
      </c>
      <c r="EL80">
        <v>2004</v>
      </c>
      <c r="EM80" t="s">
        <v>719</v>
      </c>
      <c r="EN80" t="s">
        <v>841</v>
      </c>
      <c r="EO80">
        <v>271.42</v>
      </c>
    </row>
    <row r="81" spans="1:145" ht="15.5" x14ac:dyDescent="0.35">
      <c r="A81" s="8">
        <v>2004</v>
      </c>
      <c r="B81" s="24" t="s">
        <v>713</v>
      </c>
      <c r="D81" s="285">
        <v>214.77</v>
      </c>
      <c r="E81" s="33">
        <v>7.4058620689655177</v>
      </c>
      <c r="F81" s="1">
        <f t="shared" si="150"/>
        <v>4.6041453157829695</v>
      </c>
      <c r="G81" s="6">
        <v>13.55</v>
      </c>
      <c r="H81" s="6"/>
      <c r="I81" s="285"/>
      <c r="J81" s="6"/>
      <c r="K81" s="6"/>
      <c r="L81" s="6"/>
      <c r="M81" s="32"/>
      <c r="N81" s="285">
        <v>109.029</v>
      </c>
      <c r="O81" s="6">
        <v>3.7596206896551725</v>
      </c>
      <c r="P81" s="1">
        <f t="shared" si="178"/>
        <v>4.1181478710913355</v>
      </c>
      <c r="Q81" s="6">
        <v>8.6</v>
      </c>
      <c r="R81" s="32"/>
      <c r="S81" s="285">
        <v>227.32</v>
      </c>
      <c r="T81" s="6">
        <v>7.8386206896551718</v>
      </c>
      <c r="U81" s="1">
        <f t="shared" si="179"/>
        <v>7.562064268940798</v>
      </c>
      <c r="V81" s="6">
        <v>17.09</v>
      </c>
      <c r="W81" s="185"/>
      <c r="X81" s="285">
        <v>802.04</v>
      </c>
      <c r="Y81" s="6">
        <v>27.65655172413793</v>
      </c>
      <c r="Z81" s="1">
        <f t="shared" si="180"/>
        <v>29.641770887405766</v>
      </c>
      <c r="AA81" s="6">
        <v>39.14</v>
      </c>
      <c r="AB81" s="32"/>
      <c r="AC81" s="298">
        <v>1029.3599999999999</v>
      </c>
      <c r="AD81" s="35">
        <v>35.4951724137931</v>
      </c>
      <c r="AE81" s="1">
        <f t="shared" si="181"/>
        <v>37.203835156346564</v>
      </c>
      <c r="AF81" s="35">
        <v>56.23</v>
      </c>
      <c r="AG81" s="32"/>
      <c r="AH81" s="285">
        <v>2148.4499999999998</v>
      </c>
      <c r="AI81" s="6">
        <v>74.08448275862068</v>
      </c>
      <c r="AJ81" s="1">
        <f t="shared" si="182"/>
        <v>68.231485570386852</v>
      </c>
      <c r="AK81" s="6">
        <v>197.01</v>
      </c>
      <c r="AL81" s="32"/>
      <c r="AM81" s="285">
        <v>24.863</v>
      </c>
      <c r="AN81" s="6">
        <v>0.85724137931034483</v>
      </c>
      <c r="AO81" s="1">
        <f t="shared" si="183"/>
        <v>0.77013669200346069</v>
      </c>
      <c r="AP81" s="6" t="s">
        <v>777</v>
      </c>
      <c r="AQ81" s="32"/>
      <c r="AR81" s="285">
        <v>248.90799999999999</v>
      </c>
      <c r="AS81" s="6">
        <v>8.5830344827586202</v>
      </c>
      <c r="AT81" s="1">
        <f t="shared" si="184"/>
        <v>5.7486428377209249</v>
      </c>
      <c r="AU81" s="36" t="s">
        <v>776</v>
      </c>
      <c r="AV81" s="32"/>
      <c r="AW81" s="285">
        <v>18.803999999999998</v>
      </c>
      <c r="AX81" s="6">
        <v>0.64841379310344827</v>
      </c>
      <c r="AY81" s="1">
        <f t="shared" si="185"/>
        <v>0.56399460820664948</v>
      </c>
      <c r="AZ81" s="36" t="s">
        <v>776</v>
      </c>
      <c r="BA81" s="32"/>
      <c r="BB81" s="285">
        <v>18.978999999999999</v>
      </c>
      <c r="BC81" s="6">
        <v>0.65444827586206888</v>
      </c>
      <c r="BD81" s="1">
        <f t="shared" si="186"/>
        <v>0.96302382585588919</v>
      </c>
      <c r="BE81" s="6" t="s">
        <v>776</v>
      </c>
      <c r="BF81" s="32"/>
      <c r="BG81" s="285">
        <v>31.378</v>
      </c>
      <c r="BH81" s="6">
        <v>1.0820000000000001</v>
      </c>
      <c r="BI81" s="1">
        <f t="shared" si="187"/>
        <v>0.92637034050179201</v>
      </c>
      <c r="BJ81" s="6" t="s">
        <v>777</v>
      </c>
      <c r="BK81" s="32"/>
      <c r="BL81" s="285">
        <v>99.83996909340658</v>
      </c>
      <c r="BM81" s="6">
        <v>3.4427575549450546</v>
      </c>
      <c r="BN81" s="1">
        <f t="shared" si="159"/>
        <v>3.4428989812271062</v>
      </c>
      <c r="BO81" s="6" t="s">
        <v>776</v>
      </c>
      <c r="BP81" s="32"/>
      <c r="BQ81" s="284">
        <v>17.109000000000002</v>
      </c>
      <c r="BR81" s="1">
        <v>0.58996551724137936</v>
      </c>
      <c r="BS81" s="1">
        <f t="shared" si="188"/>
        <v>0.62442750278086778</v>
      </c>
      <c r="BT81" s="6" t="s">
        <v>777</v>
      </c>
      <c r="BU81" s="32"/>
      <c r="BV81" s="284">
        <v>8.9529999999999994</v>
      </c>
      <c r="BW81" s="1">
        <v>0.30872413793103448</v>
      </c>
      <c r="BX81" s="1">
        <f t="shared" si="189"/>
        <v>0.25571939500679769</v>
      </c>
      <c r="BY81" s="6" t="s">
        <v>777</v>
      </c>
      <c r="BZ81" s="32"/>
      <c r="CA81" s="285">
        <v>18.504000000000001</v>
      </c>
      <c r="CB81" s="6">
        <v>0.63806896551724146</v>
      </c>
      <c r="CC81" s="1">
        <f t="shared" si="190"/>
        <v>0.61646632060313933</v>
      </c>
      <c r="CD81" s="6" t="s">
        <v>776</v>
      </c>
      <c r="CE81" s="32"/>
      <c r="CF81" s="285">
        <v>44.557225274725269</v>
      </c>
      <c r="CG81" s="6">
        <v>1.5364560439560437</v>
      </c>
      <c r="CH81" s="1">
        <f t="shared" si="167"/>
        <v>1.5361900183150181</v>
      </c>
      <c r="CI81" s="6" t="s">
        <v>776</v>
      </c>
      <c r="CJ81" s="32"/>
      <c r="CK81" s="285">
        <v>254.37</v>
      </c>
      <c r="CL81" s="6">
        <v>8.7713793103448285</v>
      </c>
      <c r="CM81" s="1">
        <f t="shared" si="191"/>
        <v>10.491927666543072</v>
      </c>
      <c r="CN81" s="6">
        <v>20.36</v>
      </c>
      <c r="CO81" s="32"/>
      <c r="CP81" s="285">
        <v>336.166</v>
      </c>
      <c r="CQ81" s="6">
        <v>11.591931034482759</v>
      </c>
      <c r="CR81" s="1">
        <f t="shared" si="192"/>
        <v>14.084298912371771</v>
      </c>
      <c r="CS81" s="6">
        <v>29</v>
      </c>
      <c r="CT81" s="32"/>
      <c r="CU81" s="285">
        <v>138.75800000000001</v>
      </c>
      <c r="CV81" s="6">
        <v>4.7847586206896553</v>
      </c>
      <c r="CW81" s="1">
        <f t="shared" si="193"/>
        <v>4.5136663545915221</v>
      </c>
      <c r="CX81" s="6">
        <v>9.8000000000000007</v>
      </c>
      <c r="CY81" s="6"/>
      <c r="CZ81" s="270">
        <v>35.203000000000003</v>
      </c>
      <c r="DA81" s="6">
        <v>1.213896551724138</v>
      </c>
      <c r="DB81" s="32"/>
      <c r="DC81" s="285">
        <v>11.770892857142858</v>
      </c>
      <c r="DD81" s="6">
        <v>0.40589285714285717</v>
      </c>
      <c r="DE81" s="1">
        <f t="shared" si="168"/>
        <v>0.40595768049155145</v>
      </c>
      <c r="DF81" s="6" t="s">
        <v>777</v>
      </c>
      <c r="DG81" s="32"/>
      <c r="DH81" s="284">
        <f t="shared" si="174"/>
        <v>95.269654604016665</v>
      </c>
      <c r="DI81" s="5">
        <f t="shared" si="148"/>
        <v>3.073214664645699</v>
      </c>
      <c r="DJ81" s="1">
        <f t="shared" si="169"/>
        <v>3.0328032367058229</v>
      </c>
      <c r="DM81" s="284">
        <f>DN81*29</f>
        <v>3855.2547438186807</v>
      </c>
      <c r="DN81" s="1">
        <f t="shared" si="149"/>
        <v>132.9398187523683</v>
      </c>
      <c r="DO81" s="1">
        <f t="shared" si="170"/>
        <v>123.53987796241772</v>
      </c>
      <c r="DR81" s="284">
        <f>DS81*29</f>
        <v>776.2678928571429</v>
      </c>
      <c r="DS81" s="1">
        <f t="shared" si="146"/>
        <v>26.767858374384236</v>
      </c>
      <c r="DT81" s="1" t="e">
        <f>SUM(CM81+CR81+CW81+#REF!+DE81)</f>
        <v>#REF!</v>
      </c>
      <c r="DW81" s="284">
        <f>DX81*29</f>
        <v>4631.5226366758234</v>
      </c>
      <c r="DX81" s="1">
        <f t="shared" si="194"/>
        <v>159.70767712675254</v>
      </c>
      <c r="DY81" s="1">
        <f t="shared" si="195"/>
        <v>154.231463862536</v>
      </c>
      <c r="EB81" s="242">
        <v>2.2799999999999998</v>
      </c>
      <c r="EC81" s="17"/>
      <c r="EI81" s="1">
        <f t="shared" si="171"/>
        <v>16.177241379310345</v>
      </c>
      <c r="EJ81" s="1">
        <f t="shared" si="172"/>
        <v>15.096072982326042</v>
      </c>
      <c r="EK81" s="1">
        <f t="shared" si="173"/>
        <v>-1.0811683969843031</v>
      </c>
      <c r="EL81">
        <v>2004</v>
      </c>
      <c r="EM81" t="s">
        <v>713</v>
      </c>
      <c r="EN81" t="s">
        <v>841</v>
      </c>
      <c r="EO81">
        <v>214.77</v>
      </c>
    </row>
    <row r="82" spans="1:145" s="1" customFormat="1" ht="15.5" x14ac:dyDescent="0.35">
      <c r="A82" s="8">
        <v>2004</v>
      </c>
      <c r="B82" s="1" t="s">
        <v>714</v>
      </c>
      <c r="D82" s="284">
        <v>238.22</v>
      </c>
      <c r="E82" s="1">
        <v>7.6845161290322581</v>
      </c>
      <c r="F82" s="1">
        <f t="shared" si="150"/>
        <v>4.5720216598689909</v>
      </c>
      <c r="G82" s="1">
        <v>12.7297972846915</v>
      </c>
      <c r="I82" s="284"/>
      <c r="N82" s="284">
        <v>94.593000000000004</v>
      </c>
      <c r="O82" s="1">
        <v>3.0513870967741936</v>
      </c>
      <c r="P82" s="1">
        <f t="shared" si="178"/>
        <v>4.0315967958225194</v>
      </c>
      <c r="Q82" s="1">
        <v>6.2</v>
      </c>
      <c r="S82" s="284">
        <v>216.79</v>
      </c>
      <c r="T82" s="1">
        <v>6.9932258064516128</v>
      </c>
      <c r="U82" s="1">
        <f t="shared" si="179"/>
        <v>7.4695830861450991</v>
      </c>
      <c r="V82" s="1">
        <v>12.36</v>
      </c>
      <c r="W82" s="88"/>
      <c r="X82" s="284">
        <v>821.72</v>
      </c>
      <c r="Y82" s="1">
        <v>26.507096774193549</v>
      </c>
      <c r="Z82" s="1">
        <f t="shared" si="180"/>
        <v>29.164528951921891</v>
      </c>
      <c r="AA82" s="1">
        <v>36.700000000000003</v>
      </c>
      <c r="AC82" s="284">
        <v>1038.51</v>
      </c>
      <c r="AD82" s="1">
        <v>33.500322580645161</v>
      </c>
      <c r="AE82" s="1">
        <f t="shared" si="181"/>
        <v>36.634112038066995</v>
      </c>
      <c r="AF82" s="1">
        <v>49.06</v>
      </c>
      <c r="AH82" s="284">
        <v>2050.7600000000002</v>
      </c>
      <c r="AI82" s="1">
        <v>66.153548387096777</v>
      </c>
      <c r="AJ82" s="1">
        <f t="shared" si="182"/>
        <v>67.324364602644906</v>
      </c>
      <c r="AK82" s="1">
        <v>190.2</v>
      </c>
      <c r="AM82" s="284">
        <v>22.213000000000001</v>
      </c>
      <c r="AN82" s="1">
        <v>0.71654838709677426</v>
      </c>
      <c r="AO82" s="1">
        <f t="shared" si="183"/>
        <v>0.75501572426152508</v>
      </c>
      <c r="AP82" s="1" t="s">
        <v>777</v>
      </c>
      <c r="AR82" s="284">
        <v>134.13399999999999</v>
      </c>
      <c r="AS82" s="1">
        <v>4.3269032258064515</v>
      </c>
      <c r="AT82" s="1">
        <f t="shared" si="184"/>
        <v>5.6409681065381285</v>
      </c>
      <c r="AU82" s="1" t="s">
        <v>776</v>
      </c>
      <c r="AW82" s="284">
        <v>10.794</v>
      </c>
      <c r="AX82" s="1">
        <v>0.34819354838709676</v>
      </c>
      <c r="AY82" s="1">
        <f t="shared" si="185"/>
        <v>0.54184407057224082</v>
      </c>
      <c r="AZ82" s="1" t="s">
        <v>776</v>
      </c>
      <c r="BB82" s="284">
        <v>26.23</v>
      </c>
      <c r="BC82" s="1">
        <v>0.84612903225806457</v>
      </c>
      <c r="BD82" s="1">
        <f t="shared" si="186"/>
        <v>0.94636791187739444</v>
      </c>
      <c r="BE82" s="1" t="s">
        <v>776</v>
      </c>
      <c r="BG82" s="284">
        <v>27.363</v>
      </c>
      <c r="BH82" s="1">
        <v>0.88267741935483868</v>
      </c>
      <c r="BI82" s="1">
        <f t="shared" si="187"/>
        <v>0.92142679211469536</v>
      </c>
      <c r="BJ82" s="1" t="s">
        <v>777</v>
      </c>
      <c r="BL82" s="284">
        <v>106.72548420329669</v>
      </c>
      <c r="BM82" s="1">
        <v>3.4427575549450546</v>
      </c>
      <c r="BN82" s="1">
        <f t="shared" si="159"/>
        <v>3.4428787774725271</v>
      </c>
      <c r="BO82" s="1" t="s">
        <v>776</v>
      </c>
      <c r="BQ82" s="284">
        <v>17.318999999999999</v>
      </c>
      <c r="BR82" s="1">
        <v>0.55867741935483872</v>
      </c>
      <c r="BS82" s="1">
        <f t="shared" si="188"/>
        <v>0.61231728772710425</v>
      </c>
      <c r="BT82" s="1" t="s">
        <v>777</v>
      </c>
      <c r="BV82" s="284">
        <v>5.9459999999999997</v>
      </c>
      <c r="BW82" s="1">
        <v>0.19180645161290322</v>
      </c>
      <c r="BX82" s="1">
        <f t="shared" si="189"/>
        <v>0.25161993264120625</v>
      </c>
      <c r="BY82" s="1" t="s">
        <v>777</v>
      </c>
      <c r="CA82" s="284">
        <v>17.678000000000001</v>
      </c>
      <c r="CB82" s="1">
        <v>0.57025806451612904</v>
      </c>
      <c r="CC82" s="1">
        <f t="shared" si="190"/>
        <v>0.61082115931281677</v>
      </c>
      <c r="CD82" s="1" t="s">
        <v>776</v>
      </c>
      <c r="CF82" s="284">
        <v>47.630137362637356</v>
      </c>
      <c r="CG82" s="1">
        <v>1.5364560439560437</v>
      </c>
      <c r="CH82" s="1">
        <f t="shared" ref="CH82:CH88" si="196">SUM(CG71:CG82)/12</f>
        <v>1.5362280219780218</v>
      </c>
      <c r="CI82" s="1" t="s">
        <v>776</v>
      </c>
      <c r="CK82" s="284">
        <v>240.72</v>
      </c>
      <c r="CL82" s="1">
        <v>7.7651612903225802</v>
      </c>
      <c r="CM82" s="1">
        <f t="shared" si="191"/>
        <v>10.518357774069953</v>
      </c>
      <c r="CN82" s="1">
        <v>18.079999999999998</v>
      </c>
      <c r="CP82" s="284">
        <v>342.09</v>
      </c>
      <c r="CQ82" s="1">
        <v>11.035161290322581</v>
      </c>
      <c r="CR82" s="1">
        <f t="shared" si="192"/>
        <v>13.586395686565318</v>
      </c>
      <c r="CS82" s="1">
        <v>25</v>
      </c>
      <c r="CU82" s="284">
        <v>142.84299999999999</v>
      </c>
      <c r="CV82" s="1">
        <v>4.6078387096774192</v>
      </c>
      <c r="CW82" s="1">
        <f t="shared" si="193"/>
        <v>4.5177362470646392</v>
      </c>
      <c r="CX82" s="1">
        <v>8.3800000000000008</v>
      </c>
      <c r="CZ82" s="269">
        <v>34.472000000000001</v>
      </c>
      <c r="DA82" s="1">
        <v>1.1120000000000001</v>
      </c>
      <c r="DC82" s="284">
        <v>12.582678571428572</v>
      </c>
      <c r="DD82" s="1">
        <v>0.40589285714285717</v>
      </c>
      <c r="DE82" s="1">
        <f t="shared" ref="DE82:DE88" si="197">SUM(DD71:DD82)/12</f>
        <v>0.40594875192012286</v>
      </c>
      <c r="DF82" s="1" t="s">
        <v>777</v>
      </c>
      <c r="DH82" s="284">
        <f t="shared" si="174"/>
        <v>88.573137362637354</v>
      </c>
      <c r="DI82" s="5">
        <f t="shared" si="148"/>
        <v>2.8571979794399147</v>
      </c>
      <c r="DJ82" s="1">
        <f t="shared" si="169"/>
        <v>3.0109864016591494</v>
      </c>
      <c r="DM82" s="284">
        <f t="shared" si="175"/>
        <v>3660.9693468406595</v>
      </c>
      <c r="DN82" s="1">
        <f t="shared" si="149"/>
        <v>118.09578538195676</v>
      </c>
      <c r="DO82" s="1">
        <f t="shared" si="170"/>
        <v>121.79961007758079</v>
      </c>
      <c r="DR82" s="284">
        <f t="shared" si="176"/>
        <v>772.70767857142857</v>
      </c>
      <c r="DS82" s="1">
        <f t="shared" si="146"/>
        <v>24.92605414746544</v>
      </c>
      <c r="DT82" s="1" t="e">
        <f>SUM(CM82+CR82+CW82+#REF!+DE82)</f>
        <v>#REF!</v>
      </c>
      <c r="DW82" s="284">
        <f t="shared" si="177"/>
        <v>4433.6770254120884</v>
      </c>
      <c r="DX82" s="1">
        <f t="shared" si="194"/>
        <v>143.02183952942221</v>
      </c>
      <c r="DY82" s="1">
        <f t="shared" si="195"/>
        <v>152.0115338233212</v>
      </c>
      <c r="EB82" s="242">
        <v>2.09</v>
      </c>
      <c r="EC82" s="17"/>
      <c r="ED82" s="1">
        <f>EE82*92</f>
        <v>2311.9243542030831</v>
      </c>
      <c r="EE82" s="1">
        <f>AVERAGE(DS80:DS82)</f>
        <v>25.129612545685685</v>
      </c>
      <c r="EF82" s="1">
        <f>SUM(EE73+EE76+EE79+EE82)/4</f>
        <v>30.211923745740418</v>
      </c>
      <c r="EI82" s="1">
        <f t="shared" si="171"/>
        <v>15.449677419354838</v>
      </c>
      <c r="EJ82" s="1">
        <f t="shared" si="172"/>
        <v>15.090379433938944</v>
      </c>
      <c r="EK82" s="1">
        <f t="shared" si="173"/>
        <v>-0.35929798541589442</v>
      </c>
      <c r="EL82" s="1">
        <v>2004</v>
      </c>
      <c r="EM82" s="1" t="s">
        <v>714</v>
      </c>
      <c r="EN82" s="1" t="s">
        <v>841</v>
      </c>
      <c r="EO82" s="1">
        <v>238.22</v>
      </c>
    </row>
    <row r="83" spans="1:145" s="1" customFormat="1" ht="15.5" x14ac:dyDescent="0.35">
      <c r="A83" s="23">
        <v>2004</v>
      </c>
      <c r="B83" s="1" t="s">
        <v>705</v>
      </c>
      <c r="D83" s="284">
        <v>233.41</v>
      </c>
      <c r="E83" s="1">
        <v>7.7803333333333331</v>
      </c>
      <c r="F83" s="1">
        <f t="shared" ref="F83:F88" si="198">SUM(E72:E83)/12</f>
        <v>5.1304661043134354</v>
      </c>
      <c r="G83" s="1">
        <v>13.45</v>
      </c>
      <c r="I83" s="284"/>
      <c r="N83" s="284">
        <v>106.754</v>
      </c>
      <c r="O83" s="1">
        <v>3.5584666666666669</v>
      </c>
      <c r="P83" s="1">
        <f t="shared" si="178"/>
        <v>3.9924690180447411</v>
      </c>
      <c r="Q83" s="1">
        <v>7.62</v>
      </c>
      <c r="S83" s="284">
        <v>234.31</v>
      </c>
      <c r="T83" s="1">
        <v>7.8103333333333333</v>
      </c>
      <c r="U83" s="1">
        <f t="shared" si="179"/>
        <v>7.5185275305895445</v>
      </c>
      <c r="V83" s="1">
        <v>13.28</v>
      </c>
      <c r="W83" s="88"/>
      <c r="X83" s="284">
        <v>844.32</v>
      </c>
      <c r="Y83" s="1">
        <v>28.144000000000002</v>
      </c>
      <c r="Z83" s="1">
        <f t="shared" si="180"/>
        <v>28.969612285255224</v>
      </c>
      <c r="AA83" s="1">
        <v>37.68</v>
      </c>
      <c r="AC83" s="284">
        <v>1078.6300000000001</v>
      </c>
      <c r="AD83" s="1">
        <v>35.954333333333338</v>
      </c>
      <c r="AE83" s="1">
        <f t="shared" si="181"/>
        <v>36.488139815844768</v>
      </c>
      <c r="AF83" s="1">
        <v>50.96</v>
      </c>
      <c r="AH83" s="284">
        <v>2058.25</v>
      </c>
      <c r="AI83" s="1">
        <v>68.608333333333334</v>
      </c>
      <c r="AJ83" s="1">
        <f t="shared" si="182"/>
        <v>67.265725713756026</v>
      </c>
      <c r="AK83" s="1">
        <v>189.583</v>
      </c>
      <c r="AM83" s="284">
        <v>23.835000000000001</v>
      </c>
      <c r="AN83" s="1">
        <v>0.79449999999999998</v>
      </c>
      <c r="AO83" s="1">
        <f t="shared" si="183"/>
        <v>0.76114072426152513</v>
      </c>
      <c r="AP83" s="1" t="s">
        <v>776</v>
      </c>
      <c r="AR83" s="284">
        <v>140.06299999999999</v>
      </c>
      <c r="AS83" s="1">
        <v>4.6687666666666665</v>
      </c>
      <c r="AT83" s="1">
        <f t="shared" si="184"/>
        <v>5.5935319954270177</v>
      </c>
      <c r="AU83" s="1" t="s">
        <v>776</v>
      </c>
      <c r="AW83" s="284">
        <v>9.1959999999999997</v>
      </c>
      <c r="AX83" s="1">
        <v>0.30653333333333332</v>
      </c>
      <c r="AY83" s="1">
        <f t="shared" si="185"/>
        <v>0.52447184835001859</v>
      </c>
      <c r="AZ83" s="1" t="s">
        <v>776</v>
      </c>
      <c r="BB83" s="284">
        <v>27.05</v>
      </c>
      <c r="BC83" s="1">
        <v>0.90166666666666673</v>
      </c>
      <c r="BD83" s="1">
        <f t="shared" si="186"/>
        <v>0.95909013409961685</v>
      </c>
      <c r="BE83" s="1" t="s">
        <v>776</v>
      </c>
      <c r="BG83" s="284">
        <v>28.209</v>
      </c>
      <c r="BH83" s="1">
        <v>0.94030000000000002</v>
      </c>
      <c r="BI83" s="1">
        <f t="shared" si="187"/>
        <v>0.93578512544802861</v>
      </c>
      <c r="BJ83" s="1" t="s">
        <v>776</v>
      </c>
      <c r="BL83" s="284">
        <v>103.28272664835164</v>
      </c>
      <c r="BM83" s="1">
        <v>3.4427575549450546</v>
      </c>
      <c r="BN83" s="1">
        <f t="shared" ref="BN83:BN88" si="199">SUM(BM72:BM83)/12</f>
        <v>3.4428585737179485</v>
      </c>
      <c r="BO83" s="1" t="s">
        <v>776</v>
      </c>
      <c r="BQ83" s="284">
        <v>17.393000000000001</v>
      </c>
      <c r="BR83" s="1">
        <v>0.57976666666666665</v>
      </c>
      <c r="BS83" s="1">
        <f t="shared" si="188"/>
        <v>0.61138117661599301</v>
      </c>
      <c r="BT83" s="1" t="s">
        <v>776</v>
      </c>
      <c r="BV83" s="284">
        <v>6.8570000000000002</v>
      </c>
      <c r="BW83" s="1">
        <v>0.22856666666666667</v>
      </c>
      <c r="BX83" s="1">
        <f t="shared" si="189"/>
        <v>0.25058382153009512</v>
      </c>
      <c r="BY83" s="1" t="s">
        <v>776</v>
      </c>
      <c r="CA83" s="284">
        <v>18.885999999999999</v>
      </c>
      <c r="CB83" s="1">
        <v>0.62953333333333328</v>
      </c>
      <c r="CC83" s="1">
        <f t="shared" si="190"/>
        <v>0.61361560375726121</v>
      </c>
      <c r="CD83" s="1" t="s">
        <v>776</v>
      </c>
      <c r="CF83" s="284">
        <v>46.093681318681313</v>
      </c>
      <c r="CG83" s="1">
        <v>1.5364560439560437</v>
      </c>
      <c r="CH83" s="1">
        <f t="shared" si="196"/>
        <v>1.5362660256410254</v>
      </c>
      <c r="CI83" s="1" t="s">
        <v>776</v>
      </c>
      <c r="CK83" s="284">
        <v>239.36600000000001</v>
      </c>
      <c r="CL83" s="1">
        <v>7.9788666666666668</v>
      </c>
      <c r="CM83" s="1">
        <f t="shared" si="191"/>
        <v>10.045846662958843</v>
      </c>
      <c r="CN83" s="1">
        <v>20.329999999999998</v>
      </c>
      <c r="CP83" s="284">
        <v>311.63099999999997</v>
      </c>
      <c r="CQ83" s="1">
        <v>10.387699999999999</v>
      </c>
      <c r="CR83" s="1">
        <f t="shared" si="192"/>
        <v>13.097454019898651</v>
      </c>
      <c r="CS83" s="1">
        <v>24.5</v>
      </c>
      <c r="CU83" s="284">
        <v>144.697</v>
      </c>
      <c r="CV83" s="1">
        <v>4.8232333333333335</v>
      </c>
      <c r="CW83" s="1">
        <f t="shared" si="193"/>
        <v>4.565005691509084</v>
      </c>
      <c r="CX83" s="1">
        <v>7.8</v>
      </c>
      <c r="CZ83" s="269">
        <v>37.01</v>
      </c>
      <c r="DA83" s="1">
        <v>1.2336666666666667</v>
      </c>
      <c r="DC83" s="284">
        <v>12.176785714285716</v>
      </c>
      <c r="DD83" s="1">
        <v>0.40589285714285717</v>
      </c>
      <c r="DE83" s="1">
        <f t="shared" si="197"/>
        <v>0.40593982334869433</v>
      </c>
      <c r="DF83" s="1" t="s">
        <v>777</v>
      </c>
      <c r="DH83" s="284">
        <f t="shared" si="174"/>
        <v>92.204004029304016</v>
      </c>
      <c r="DI83" s="5">
        <f t="shared" si="148"/>
        <v>2.9743227106227104</v>
      </c>
      <c r="DJ83" s="1">
        <f t="shared" ref="DJ83:DJ88" si="200">SUM(DI72:DI83)/12</f>
        <v>3.0118466275443754</v>
      </c>
      <c r="DM83" s="284">
        <f>DN83*30</f>
        <v>3719.4500453296705</v>
      </c>
      <c r="DN83" s="1">
        <f t="shared" si="149"/>
        <v>123.98166817765568</v>
      </c>
      <c r="DO83" s="1">
        <f t="shared" ref="DO83:DO88" si="201">SUM(DN72:DN83)/12</f>
        <v>122.08183242571874</v>
      </c>
      <c r="DR83" s="284">
        <f>DS83*30</f>
        <v>744.88078571428571</v>
      </c>
      <c r="DS83" s="1">
        <f t="shared" si="146"/>
        <v>24.829359523809522</v>
      </c>
      <c r="DT83" s="1" t="e">
        <f>SUM(CM83+CR83+CW83+#REF!+DE83)</f>
        <v>#REF!</v>
      </c>
      <c r="DW83" s="284">
        <f>DX83*30</f>
        <v>4464.3308310439561</v>
      </c>
      <c r="DX83" s="1">
        <f t="shared" si="194"/>
        <v>148.81102770146521</v>
      </c>
      <c r="DY83" s="1">
        <f t="shared" si="195"/>
        <v>151.38295279844328</v>
      </c>
      <c r="EB83" s="242">
        <v>3.84</v>
      </c>
      <c r="EC83" s="17"/>
      <c r="EI83" s="1">
        <f t="shared" si="171"/>
        <v>15.7592</v>
      </c>
      <c r="EJ83" s="1">
        <f t="shared" si="172"/>
        <v>15.176312767272279</v>
      </c>
      <c r="EK83" s="1">
        <f t="shared" si="173"/>
        <v>-0.58288723272772103</v>
      </c>
      <c r="EL83" s="1">
        <v>2004</v>
      </c>
      <c r="EM83" s="1" t="s">
        <v>705</v>
      </c>
      <c r="EN83" s="1" t="s">
        <v>841</v>
      </c>
      <c r="EO83" s="1">
        <v>233.41</v>
      </c>
    </row>
    <row r="84" spans="1:145" s="1" customFormat="1" ht="15.5" x14ac:dyDescent="0.35">
      <c r="A84" s="23">
        <v>2004</v>
      </c>
      <c r="B84" s="1" t="s">
        <v>715</v>
      </c>
      <c r="D84" s="284">
        <v>319.52999999999997</v>
      </c>
      <c r="E84" s="1">
        <v>10.307419354838709</v>
      </c>
      <c r="F84" s="1">
        <f t="shared" si="198"/>
        <v>5.8777510505499935</v>
      </c>
      <c r="G84" s="1">
        <v>13.45</v>
      </c>
      <c r="I84" s="284"/>
      <c r="N84" s="284">
        <v>123.56100000000001</v>
      </c>
      <c r="O84" s="1">
        <v>3.9858387096774197</v>
      </c>
      <c r="P84" s="1">
        <f t="shared" si="178"/>
        <v>3.9794555771845257</v>
      </c>
      <c r="Q84" s="1">
        <v>6.62</v>
      </c>
      <c r="S84" s="284">
        <v>219.18</v>
      </c>
      <c r="T84" s="1">
        <v>7.0703225806451613</v>
      </c>
      <c r="U84" s="1">
        <f t="shared" si="179"/>
        <v>7.4856377456433094</v>
      </c>
      <c r="V84" s="1">
        <v>9.6300000000000008</v>
      </c>
      <c r="W84" s="88"/>
      <c r="X84" s="284">
        <v>828.68</v>
      </c>
      <c r="Y84" s="1">
        <v>26.731612903225805</v>
      </c>
      <c r="Z84" s="1">
        <f t="shared" si="180"/>
        <v>28.591996693857372</v>
      </c>
      <c r="AA84" s="1">
        <v>32.6</v>
      </c>
      <c r="AC84" s="284">
        <v>1047.8599999999999</v>
      </c>
      <c r="AD84" s="1">
        <v>33.801935483870963</v>
      </c>
      <c r="AE84" s="1">
        <f t="shared" si="181"/>
        <v>36.077634439500684</v>
      </c>
      <c r="AF84" s="1">
        <v>42.23</v>
      </c>
      <c r="AH84" s="284">
        <v>1948.79</v>
      </c>
      <c r="AI84" s="1">
        <v>62.864193548387092</v>
      </c>
      <c r="AJ84" s="1">
        <f t="shared" si="182"/>
        <v>66.683075176121619</v>
      </c>
      <c r="AK84" s="1">
        <v>141.31899999999999</v>
      </c>
      <c r="AM84" s="284">
        <v>24.826754880682898</v>
      </c>
      <c r="AN84" s="1">
        <v>0.80086306066719026</v>
      </c>
      <c r="AO84" s="1">
        <f t="shared" si="183"/>
        <v>0.76054597931712431</v>
      </c>
      <c r="AP84" s="1" t="s">
        <v>776</v>
      </c>
      <c r="AR84" s="284">
        <v>136.995642857143</v>
      </c>
      <c r="AS84" s="1">
        <v>4.4192142857142906</v>
      </c>
      <c r="AT84" s="1">
        <f t="shared" si="184"/>
        <v>5.4837998525698746</v>
      </c>
      <c r="AU84" s="1" t="s">
        <v>776</v>
      </c>
      <c r="AW84" s="284">
        <v>10.891552750955499</v>
      </c>
      <c r="AX84" s="1">
        <v>0.35134041132114513</v>
      </c>
      <c r="AY84" s="1">
        <f t="shared" si="185"/>
        <v>0.51433354929344732</v>
      </c>
      <c r="AZ84" s="1" t="s">
        <v>776</v>
      </c>
      <c r="BB84" s="284">
        <v>24.3759642857143</v>
      </c>
      <c r="BC84" s="1">
        <v>0.78632142857142906</v>
      </c>
      <c r="BD84" s="1">
        <f t="shared" si="186"/>
        <v>0.94436691981390253</v>
      </c>
      <c r="BE84" s="1" t="s">
        <v>776</v>
      </c>
      <c r="BG84" s="284">
        <v>26.755214285714299</v>
      </c>
      <c r="BH84" s="1">
        <v>0.86307142857142904</v>
      </c>
      <c r="BI84" s="1">
        <f t="shared" si="187"/>
        <v>0.93670774449564764</v>
      </c>
      <c r="BJ84" s="1" t="s">
        <v>776</v>
      </c>
      <c r="BL84" s="284">
        <v>106.72548420329669</v>
      </c>
      <c r="BM84" s="1">
        <v>3.4427575549450546</v>
      </c>
      <c r="BN84" s="1">
        <f t="shared" si="199"/>
        <v>3.4428383699633698</v>
      </c>
      <c r="BO84" s="1" t="s">
        <v>776</v>
      </c>
      <c r="BQ84" s="284">
        <v>17.568142857142899</v>
      </c>
      <c r="BR84" s="1">
        <v>0.56671428571428706</v>
      </c>
      <c r="BS84" s="1">
        <f t="shared" si="188"/>
        <v>0.60677403375885031</v>
      </c>
      <c r="BT84" s="1" t="s">
        <v>776</v>
      </c>
      <c r="BV84" s="284">
        <v>6.4247500000000004</v>
      </c>
      <c r="BW84" s="1">
        <v>0.20725000000000002</v>
      </c>
      <c r="BX84" s="1">
        <f t="shared" si="189"/>
        <v>0.24627132153009515</v>
      </c>
      <c r="BY84" s="1" t="s">
        <v>776</v>
      </c>
      <c r="CA84" s="284">
        <v>19.425928571428599</v>
      </c>
      <c r="CB84" s="1">
        <v>0.62664285714285806</v>
      </c>
      <c r="CC84" s="1">
        <f t="shared" si="190"/>
        <v>0.61358584185249931</v>
      </c>
      <c r="CD84" s="1" t="s">
        <v>776</v>
      </c>
      <c r="CF84" s="284">
        <v>47.630137362637356</v>
      </c>
      <c r="CG84" s="1">
        <v>1.5364560439560437</v>
      </c>
      <c r="CH84" s="1">
        <f t="shared" si="196"/>
        <v>1.5363040293040291</v>
      </c>
      <c r="CI84" s="1" t="s">
        <v>776</v>
      </c>
      <c r="CK84" s="284">
        <v>116.35</v>
      </c>
      <c r="CL84" s="1">
        <v>3.7532258064516126</v>
      </c>
      <c r="CM84" s="1">
        <f t="shared" si="191"/>
        <v>9.3056154801631425</v>
      </c>
      <c r="CN84" s="1">
        <v>10.6200008392334</v>
      </c>
      <c r="CP84" s="284">
        <v>222.50800000000001</v>
      </c>
      <c r="CQ84" s="1">
        <v>7.1776774193548389</v>
      </c>
      <c r="CR84" s="1">
        <f t="shared" si="192"/>
        <v>12.329510471511554</v>
      </c>
      <c r="CS84" s="1">
        <v>16.59</v>
      </c>
      <c r="CU84" s="284">
        <v>148.274</v>
      </c>
      <c r="CV84" s="1">
        <v>4.7830322580645159</v>
      </c>
      <c r="CW84" s="1">
        <f t="shared" si="193"/>
        <v>4.5994250463477941</v>
      </c>
      <c r="CX84" s="1">
        <v>9.3000000000000007</v>
      </c>
      <c r="CZ84" s="269">
        <v>27.844000000000001</v>
      </c>
      <c r="DA84" s="1">
        <v>0.89819354838709686</v>
      </c>
      <c r="DC84" s="284">
        <v>12.582678571428572</v>
      </c>
      <c r="DD84" s="1">
        <v>0.40589285714285717</v>
      </c>
      <c r="DE84" s="1">
        <f t="shared" si="197"/>
        <v>0.40593089477726574</v>
      </c>
      <c r="DF84" s="1" t="s">
        <v>776</v>
      </c>
      <c r="DH84" s="284">
        <f t="shared" si="174"/>
        <v>91.048958791208861</v>
      </c>
      <c r="DI84" s="5">
        <f t="shared" si="148"/>
        <v>2.9370631868131891</v>
      </c>
      <c r="DJ84" s="1">
        <f t="shared" si="200"/>
        <v>3.0029352264454743</v>
      </c>
      <c r="DM84" s="284">
        <f t="shared" si="175"/>
        <v>3679.2626544722975</v>
      </c>
      <c r="DN84" s="1">
        <f t="shared" si="149"/>
        <v>118.68589207975154</v>
      </c>
      <c r="DO84" s="1">
        <f t="shared" si="201"/>
        <v>121.69757343236471</v>
      </c>
      <c r="DR84" s="284">
        <f t="shared" si="176"/>
        <v>527.55867857142857</v>
      </c>
      <c r="DS84" s="1">
        <f t="shared" si="146"/>
        <v>17.01802188940092</v>
      </c>
      <c r="DT84" s="1" t="e">
        <f>SUM(CM84+CR84+CW84+#REF!+DE84)</f>
        <v>#REF!</v>
      </c>
      <c r="DW84" s="284">
        <f t="shared" si="177"/>
        <v>4206.8213330437266</v>
      </c>
      <c r="DX84" s="1">
        <f t="shared" si="194"/>
        <v>135.70391396915247</v>
      </c>
      <c r="DY84" s="1">
        <f t="shared" si="195"/>
        <v>149.50127896253932</v>
      </c>
      <c r="EB84" s="242">
        <v>2.98</v>
      </c>
      <c r="EC84" s="17"/>
      <c r="EI84" s="1">
        <f t="shared" si="171"/>
        <v>14.060645161290321</v>
      </c>
      <c r="EJ84" s="1">
        <f t="shared" si="172"/>
        <v>15.183366530713137</v>
      </c>
      <c r="EK84" s="1">
        <f t="shared" si="173"/>
        <v>1.1227213694228162</v>
      </c>
      <c r="EL84" s="1">
        <v>2004</v>
      </c>
      <c r="EM84" s="1" t="s">
        <v>715</v>
      </c>
      <c r="EN84" s="1" t="s">
        <v>841</v>
      </c>
      <c r="EO84" s="1">
        <v>319.52999999999997</v>
      </c>
    </row>
    <row r="85" spans="1:145" s="1" customFormat="1" ht="15.5" x14ac:dyDescent="0.35">
      <c r="A85" s="8">
        <v>2004</v>
      </c>
      <c r="B85" s="1" t="s">
        <v>718</v>
      </c>
      <c r="D85" s="284">
        <v>294.74</v>
      </c>
      <c r="E85" s="1">
        <v>9.8246666666666673</v>
      </c>
      <c r="F85" s="1">
        <f t="shared" si="198"/>
        <v>6.57305660610555</v>
      </c>
      <c r="G85" s="1">
        <v>13.2497977424552</v>
      </c>
      <c r="I85" s="284"/>
      <c r="N85" s="284">
        <v>116.82</v>
      </c>
      <c r="O85" s="1">
        <v>3.8939999999999997</v>
      </c>
      <c r="P85" s="1">
        <f t="shared" si="178"/>
        <v>3.916538910517859</v>
      </c>
      <c r="Q85" s="1">
        <v>7</v>
      </c>
      <c r="S85" s="284">
        <v>196.24</v>
      </c>
      <c r="T85" s="1">
        <v>6.5413333333333332</v>
      </c>
      <c r="U85" s="1">
        <f t="shared" si="179"/>
        <v>7.2564988567544182</v>
      </c>
      <c r="V85" s="1">
        <v>9.5</v>
      </c>
      <c r="W85" s="88"/>
      <c r="X85" s="284">
        <v>772.63</v>
      </c>
      <c r="Y85" s="1">
        <v>25.754333333333332</v>
      </c>
      <c r="Z85" s="1">
        <f t="shared" si="180"/>
        <v>27.784857804968482</v>
      </c>
      <c r="AA85" s="1">
        <v>32.340000000000003</v>
      </c>
      <c r="AC85" s="284">
        <v>968.87</v>
      </c>
      <c r="AD85" s="1">
        <v>32.295666666666669</v>
      </c>
      <c r="AE85" s="1">
        <f t="shared" si="181"/>
        <v>35.041356661722901</v>
      </c>
      <c r="AF85" s="1">
        <v>41.84</v>
      </c>
      <c r="AH85" s="284">
        <v>1825.43</v>
      </c>
      <c r="AI85" s="1">
        <v>60.847666666666669</v>
      </c>
      <c r="AJ85" s="1">
        <f t="shared" si="182"/>
        <v>65.219297398343841</v>
      </c>
      <c r="AK85" s="1">
        <v>173.8</v>
      </c>
      <c r="AM85" s="284">
        <v>19.40709</v>
      </c>
      <c r="AN85" s="1">
        <v>0.64690300000000001</v>
      </c>
      <c r="AO85" s="1">
        <f t="shared" si="183"/>
        <v>0.72603789598379109</v>
      </c>
      <c r="AP85" s="1" t="s">
        <v>776</v>
      </c>
      <c r="AR85" s="284">
        <v>140.46289999999999</v>
      </c>
      <c r="AS85" s="1">
        <v>4.6820966666666664</v>
      </c>
      <c r="AT85" s="1">
        <f t="shared" si="184"/>
        <v>5.3228912414587652</v>
      </c>
      <c r="AU85" s="1" t="s">
        <v>776</v>
      </c>
      <c r="AW85" s="284">
        <v>10.5387</v>
      </c>
      <c r="AX85" s="1">
        <v>0.35128999999999999</v>
      </c>
      <c r="AY85" s="1">
        <f t="shared" si="185"/>
        <v>0.49869104929344732</v>
      </c>
      <c r="AZ85" s="1" t="s">
        <v>776</v>
      </c>
      <c r="BB85" s="284">
        <v>27.478059999999999</v>
      </c>
      <c r="BC85" s="1">
        <v>0.91593533333333332</v>
      </c>
      <c r="BD85" s="1">
        <f t="shared" si="186"/>
        <v>0.9289448642583471</v>
      </c>
      <c r="BE85" s="1" t="s">
        <v>776</v>
      </c>
      <c r="BG85" s="284">
        <v>20.418379999999999</v>
      </c>
      <c r="BH85" s="1">
        <v>0.68061266666666664</v>
      </c>
      <c r="BI85" s="1">
        <f t="shared" si="187"/>
        <v>0.89759213338453669</v>
      </c>
      <c r="BJ85" s="1" t="s">
        <v>776</v>
      </c>
      <c r="BL85" s="284">
        <v>103.28272664835164</v>
      </c>
      <c r="BM85" s="1">
        <v>3.4427575549450546</v>
      </c>
      <c r="BN85" s="1">
        <f t="shared" si="199"/>
        <v>3.4428181662087902</v>
      </c>
      <c r="BO85" s="1" t="s">
        <v>776</v>
      </c>
      <c r="BQ85" s="284">
        <v>17.1464</v>
      </c>
      <c r="BR85" s="1">
        <v>0.57154666666666665</v>
      </c>
      <c r="BS85" s="1">
        <f t="shared" si="188"/>
        <v>0.59848625598107252</v>
      </c>
      <c r="BT85" s="1" t="s">
        <v>776</v>
      </c>
      <c r="BV85" s="284">
        <v>5.6767741935483897</v>
      </c>
      <c r="BW85" s="1">
        <v>0.18922580645161299</v>
      </c>
      <c r="BX85" s="1">
        <f t="shared" si="189"/>
        <v>0.24379013873439626</v>
      </c>
      <c r="BY85" s="1" t="s">
        <v>776</v>
      </c>
      <c r="CA85" s="284">
        <v>15.615482999999999</v>
      </c>
      <c r="CB85" s="1">
        <v>0.52051609999999993</v>
      </c>
      <c r="CC85" s="1">
        <f t="shared" si="190"/>
        <v>0.59912885018583273</v>
      </c>
      <c r="CD85" s="1" t="s">
        <v>776</v>
      </c>
      <c r="CF85" s="284">
        <v>46.093681318681313</v>
      </c>
      <c r="CG85" s="1">
        <v>1.5364560439560437</v>
      </c>
      <c r="CH85" s="1">
        <f t="shared" si="196"/>
        <v>1.5363420329670328</v>
      </c>
      <c r="CI85" s="1" t="s">
        <v>776</v>
      </c>
      <c r="CK85" s="284">
        <v>103.36</v>
      </c>
      <c r="CL85" s="1">
        <v>3.4453333333333331</v>
      </c>
      <c r="CM85" s="1">
        <f t="shared" si="191"/>
        <v>8.3577265912742558</v>
      </c>
      <c r="CN85" s="1">
        <v>7.1099996499999998</v>
      </c>
      <c r="CP85" s="284">
        <v>210.22800000000001</v>
      </c>
      <c r="CQ85" s="1">
        <v>7.0076000000000001</v>
      </c>
      <c r="CR85" s="1">
        <f t="shared" si="192"/>
        <v>11.227393804844889</v>
      </c>
      <c r="CS85" s="1">
        <v>19.3</v>
      </c>
      <c r="CU85" s="284">
        <v>139.47399999999999</v>
      </c>
      <c r="CV85" s="1">
        <v>4.6491333333333333</v>
      </c>
      <c r="CW85" s="1">
        <f t="shared" si="193"/>
        <v>4.5747694907922378</v>
      </c>
      <c r="CX85" s="1">
        <v>7.4</v>
      </c>
      <c r="CZ85" s="269">
        <v>31.74</v>
      </c>
      <c r="DA85" s="1">
        <v>1.0580000000000001</v>
      </c>
      <c r="DC85" s="284">
        <v>12.176785714285716</v>
      </c>
      <c r="DD85" s="1">
        <v>0.40589285714285717</v>
      </c>
      <c r="DE85" s="1">
        <f t="shared" si="197"/>
        <v>0.40592196620583715</v>
      </c>
      <c r="DF85" s="1" t="s">
        <v>776</v>
      </c>
      <c r="DH85" s="284">
        <f t="shared" si="174"/>
        <v>87.350083129304025</v>
      </c>
      <c r="DI85" s="1">
        <f t="shared" si="148"/>
        <v>2.8177446170743234</v>
      </c>
      <c r="DJ85" s="1">
        <f t="shared" si="200"/>
        <v>2.9777472778683349</v>
      </c>
      <c r="DM85" s="284">
        <f>DN85*30</f>
        <v>3442.9155181361225</v>
      </c>
      <c r="DN85" s="1">
        <f t="shared" si="149"/>
        <v>114.76385060453741</v>
      </c>
      <c r="DO85" s="1">
        <f t="shared" si="201"/>
        <v>119.58947764940949</v>
      </c>
      <c r="DR85" s="284">
        <f>DS85*30</f>
        <v>496.97878571428578</v>
      </c>
      <c r="DS85" s="1">
        <f t="shared" si="146"/>
        <v>16.565959523809525</v>
      </c>
      <c r="DT85" s="1" t="e">
        <f>SUM(CM85+CR85+CW85+#REF!+DE85)</f>
        <v>#REF!</v>
      </c>
      <c r="DW85" s="284">
        <f>DX85*30</f>
        <v>3939.8943038504081</v>
      </c>
      <c r="DX85" s="1">
        <f t="shared" si="194"/>
        <v>131.32981012834694</v>
      </c>
      <c r="DY85" s="1">
        <f t="shared" si="195"/>
        <v>145.28792980656823</v>
      </c>
      <c r="EB85" s="242">
        <v>4.5999999999999996</v>
      </c>
      <c r="EC85" s="17"/>
      <c r="ED85" s="1">
        <f>EE85*92</f>
        <v>1791.3424554019457</v>
      </c>
      <c r="EE85" s="1">
        <f>AVERAGE(DS83:DS85)</f>
        <v>19.471113645673324</v>
      </c>
      <c r="EF85" s="1">
        <f>SUM(EE76+EE79+EE82+EE85)/4</f>
        <v>25.698452157158748</v>
      </c>
      <c r="EI85" s="1">
        <f t="shared" si="171"/>
        <v>13.27</v>
      </c>
      <c r="EJ85" s="1">
        <f t="shared" si="172"/>
        <v>14.930783197379807</v>
      </c>
      <c r="EK85" s="1">
        <f t="shared" si="173"/>
        <v>1.6607831973798071</v>
      </c>
      <c r="EL85" s="1">
        <v>2004</v>
      </c>
      <c r="EM85" s="1" t="s">
        <v>718</v>
      </c>
      <c r="EN85" s="1" t="s">
        <v>841</v>
      </c>
      <c r="EO85" s="1">
        <v>294.74</v>
      </c>
    </row>
    <row r="86" spans="1:145" s="1" customFormat="1" ht="15.5" x14ac:dyDescent="0.35">
      <c r="A86" s="23">
        <v>2004</v>
      </c>
      <c r="B86" s="1" t="s">
        <v>716</v>
      </c>
      <c r="D86" s="284">
        <v>297.32</v>
      </c>
      <c r="E86" s="1">
        <v>9.5909677419354828</v>
      </c>
      <c r="F86" s="1">
        <f t="shared" si="198"/>
        <v>7.2123039179335073</v>
      </c>
      <c r="G86" s="1">
        <v>15.49</v>
      </c>
      <c r="I86" s="284"/>
      <c r="N86" s="284">
        <v>121.41500000000001</v>
      </c>
      <c r="O86" s="1">
        <v>3.9166129032258068</v>
      </c>
      <c r="P86" s="1">
        <f>SUM(O75:O86)/12</f>
        <v>3.8490066524533422</v>
      </c>
      <c r="Q86" s="1">
        <v>20</v>
      </c>
      <c r="S86" s="284">
        <v>193.8</v>
      </c>
      <c r="T86" s="1">
        <v>6.2516129032258068</v>
      </c>
      <c r="U86" s="1">
        <f>SUM(T75:T86)/12</f>
        <v>7.1565499320232355</v>
      </c>
      <c r="V86" s="1">
        <v>23.43</v>
      </c>
      <c r="W86" s="88"/>
      <c r="X86" s="284">
        <v>779.25</v>
      </c>
      <c r="Y86" s="1">
        <v>25.137096774193548</v>
      </c>
      <c r="Z86" s="1">
        <f>SUM(Y75:Y86)/12</f>
        <v>27.269699202817943</v>
      </c>
      <c r="AA86" s="1">
        <v>44.22</v>
      </c>
      <c r="AC86" s="284">
        <v>973.05</v>
      </c>
      <c r="AD86" s="1">
        <v>31.388709677419353</v>
      </c>
      <c r="AE86" s="1">
        <f>SUM(AD75:AD86)/12</f>
        <v>34.426249134841179</v>
      </c>
      <c r="AF86" s="1">
        <v>67.650000000000006</v>
      </c>
      <c r="AH86" s="284">
        <v>2105.7800000000002</v>
      </c>
      <c r="AI86" s="1">
        <v>67.928387096774202</v>
      </c>
      <c r="AJ86" s="1">
        <f>SUM(AI75:AI86)/12</f>
        <v>65.554829656408344</v>
      </c>
      <c r="AK86" s="1">
        <v>199</v>
      </c>
      <c r="AM86" s="284">
        <v>22.021000000000001</v>
      </c>
      <c r="AN86" s="1">
        <v>0.71035483870967742</v>
      </c>
      <c r="AO86" s="1">
        <f>SUM(AN75:AN86)/12</f>
        <v>0.71448413254293086</v>
      </c>
      <c r="AP86" s="1" t="s">
        <v>776</v>
      </c>
      <c r="AR86" s="284">
        <v>147.64699999999999</v>
      </c>
      <c r="AS86" s="1">
        <v>4.7628064516129029</v>
      </c>
      <c r="AT86" s="1">
        <f>SUM(AS75:AS86)/12</f>
        <v>5.3287917790931729</v>
      </c>
      <c r="AU86" s="1" t="s">
        <v>776</v>
      </c>
      <c r="AW86" s="284">
        <v>8.0549999999999997</v>
      </c>
      <c r="AX86" s="1">
        <v>0.25983870967741934</v>
      </c>
      <c r="AY86" s="1">
        <f>SUM(AX75:AX86)/12</f>
        <v>0.4766776084332322</v>
      </c>
      <c r="AZ86" s="1" t="s">
        <v>776</v>
      </c>
      <c r="BB86" s="284">
        <v>23.02525</v>
      </c>
      <c r="BC86" s="1">
        <v>0.74275000000000002</v>
      </c>
      <c r="BD86" s="1">
        <f>SUM(BC75:BC86)/12</f>
        <v>0.91892403092501385</v>
      </c>
      <c r="BE86" s="1" t="s">
        <v>776</v>
      </c>
      <c r="BG86" s="284">
        <v>29.48196875</v>
      </c>
      <c r="BH86" s="1">
        <v>0.95103124999999999</v>
      </c>
      <c r="BI86" s="1">
        <f>SUM(BH75:BH86)/12</f>
        <v>0.88542807088453668</v>
      </c>
      <c r="BJ86" s="1" t="s">
        <v>776</v>
      </c>
      <c r="BL86" s="284">
        <v>106.72548420329669</v>
      </c>
      <c r="BM86" s="1">
        <v>3.4427575549450546</v>
      </c>
      <c r="BN86" s="1">
        <f t="shared" si="199"/>
        <v>3.4427979624542115</v>
      </c>
      <c r="BO86" s="1" t="s">
        <v>776</v>
      </c>
      <c r="BQ86" s="284">
        <v>18.773</v>
      </c>
      <c r="BR86" s="1">
        <v>0.60558064516129029</v>
      </c>
      <c r="BS86" s="1">
        <f>SUM(BR75:BR86)/12</f>
        <v>0.59353464307784665</v>
      </c>
      <c r="BT86" s="1" t="s">
        <v>776</v>
      </c>
      <c r="BV86" s="284">
        <v>7.5620000000000003</v>
      </c>
      <c r="BW86" s="1">
        <v>0.24393548387096775</v>
      </c>
      <c r="BX86" s="1">
        <f>SUM(BW75:BW86)/12</f>
        <v>0.23195142905697688</v>
      </c>
      <c r="BY86" s="1" t="s">
        <v>776</v>
      </c>
      <c r="CA86" s="284">
        <v>22.379093749999999</v>
      </c>
      <c r="CB86" s="1">
        <v>0.72190624999999997</v>
      </c>
      <c r="CC86" s="1">
        <f>SUM(CB75:CB86)/12</f>
        <v>0.60537103768583267</v>
      </c>
      <c r="CD86" s="1" t="s">
        <v>776</v>
      </c>
      <c r="CF86" s="284">
        <v>47.630137362637356</v>
      </c>
      <c r="CG86" s="1">
        <v>1.5364560439560437</v>
      </c>
      <c r="CH86" s="1">
        <f t="shared" si="196"/>
        <v>1.5363800366300364</v>
      </c>
      <c r="CI86" s="1" t="s">
        <v>776</v>
      </c>
      <c r="CK86" s="284">
        <v>95.14</v>
      </c>
      <c r="CL86" s="1">
        <v>3.069032258064516</v>
      </c>
      <c r="CM86" s="1">
        <f>SUM(CL75:CL86)/12</f>
        <v>7.5835626127796312</v>
      </c>
      <c r="CN86" s="1">
        <v>14.48</v>
      </c>
      <c r="CP86" s="284">
        <v>207.316</v>
      </c>
      <c r="CQ86" s="1">
        <v>6.6876129032258067</v>
      </c>
      <c r="CR86" s="1">
        <f>SUM(CQ75:CQ86)/12</f>
        <v>10.359194880113705</v>
      </c>
      <c r="CS86" s="1">
        <v>16.3</v>
      </c>
      <c r="CU86" s="284">
        <v>138.55500000000001</v>
      </c>
      <c r="CV86" s="1">
        <v>4.4695161290322583</v>
      </c>
      <c r="CW86" s="1">
        <f>SUM(CV75:CV86)/12</f>
        <v>4.5728125015449264</v>
      </c>
      <c r="CX86" s="1">
        <v>11.58</v>
      </c>
      <c r="CZ86" s="269">
        <v>33.103000000000002</v>
      </c>
      <c r="DA86" s="1">
        <v>1.0678387096774193</v>
      </c>
      <c r="DC86" s="284">
        <v>12.582678571428572</v>
      </c>
      <c r="DD86" s="1">
        <v>0.40589285714285717</v>
      </c>
      <c r="DE86" s="1">
        <f t="shared" si="197"/>
        <v>0.40591303763440861</v>
      </c>
      <c r="DF86" s="1" t="s">
        <v>776</v>
      </c>
      <c r="DH86" s="284">
        <f t="shared" ref="DH86:DH91" si="202">DI86*31</f>
        <v>96.344231112637345</v>
      </c>
      <c r="DI86" s="1">
        <f t="shared" si="148"/>
        <v>3.1078784229883016</v>
      </c>
      <c r="DJ86" s="1">
        <f t="shared" si="200"/>
        <v>2.9672371464506928</v>
      </c>
      <c r="DM86" s="284">
        <f t="shared" ref="DM86:DM92" si="203">DN86*31</f>
        <v>3738.1764718406598</v>
      </c>
      <c r="DN86" s="1">
        <f t="shared" si="149"/>
        <v>120.5863378013116</v>
      </c>
      <c r="DO86" s="1">
        <f t="shared" si="201"/>
        <v>119.84225579951878</v>
      </c>
      <c r="DR86" s="284">
        <f t="shared" ref="DR86:DR92" si="204">DS86*31</f>
        <v>486.69667857142855</v>
      </c>
      <c r="DS86" s="1">
        <f t="shared" si="146"/>
        <v>15.699892857142856</v>
      </c>
      <c r="DT86" s="1" t="e">
        <f>SUM(CM86+CR86+CW86+#REF!+DE86)</f>
        <v>#REF!</v>
      </c>
      <c r="DW86" s="284">
        <f t="shared" ref="DW86:DW92" si="205">DX86*31</f>
        <v>4224.8731504120879</v>
      </c>
      <c r="DX86" s="1">
        <f t="shared" ref="DX86:DX92" si="206">SUM(DN86+DS86)</f>
        <v>136.28623065845446</v>
      </c>
      <c r="DY86" s="1">
        <f t="shared" si="195"/>
        <v>143.88503236143947</v>
      </c>
      <c r="EB86" s="242">
        <v>6.98</v>
      </c>
      <c r="EC86" s="17"/>
      <c r="EI86" s="1">
        <f t="shared" si="171"/>
        <v>12.659999999999998</v>
      </c>
      <c r="EJ86" s="1">
        <f t="shared" si="172"/>
        <v>14.795866530713138</v>
      </c>
      <c r="EK86" s="1">
        <f t="shared" si="173"/>
        <v>2.1358665307131393</v>
      </c>
      <c r="EL86" s="1">
        <v>2004</v>
      </c>
      <c r="EM86" s="1" t="s">
        <v>716</v>
      </c>
      <c r="EN86" s="1" t="s">
        <v>841</v>
      </c>
      <c r="EO86" s="1">
        <v>297.32</v>
      </c>
    </row>
    <row r="87" spans="1:145" s="1" customFormat="1" ht="15.5" x14ac:dyDescent="0.35">
      <c r="A87" s="23">
        <v>2004</v>
      </c>
      <c r="B87" s="1" t="s">
        <v>708</v>
      </c>
      <c r="D87" s="284">
        <v>300.83</v>
      </c>
      <c r="E87" s="1">
        <v>9.7041935483870958</v>
      </c>
      <c r="F87" s="1">
        <f t="shared" si="198"/>
        <v>7.825486713632432</v>
      </c>
      <c r="G87" s="1">
        <v>13.859797399132001</v>
      </c>
      <c r="I87" s="284"/>
      <c r="N87" s="284">
        <v>115.47190000000001</v>
      </c>
      <c r="O87" s="1">
        <v>3.7249000000000003</v>
      </c>
      <c r="P87" s="1">
        <f>SUM(O76:O87)/12</f>
        <v>3.8218316524533424</v>
      </c>
      <c r="Q87" s="1">
        <v>8</v>
      </c>
      <c r="S87" s="284">
        <v>189.7</v>
      </c>
      <c r="T87" s="1">
        <v>6.1193548387096772</v>
      </c>
      <c r="U87" s="1">
        <f>SUM(T76:T87)/12</f>
        <v>7.124079501915709</v>
      </c>
      <c r="V87" s="1">
        <v>11.81</v>
      </c>
      <c r="W87" s="88"/>
      <c r="X87" s="284">
        <v>784.46</v>
      </c>
      <c r="Y87" s="1">
        <v>25.30516129032258</v>
      </c>
      <c r="Z87" s="1">
        <f>SUM(Y76:Y87)/12</f>
        <v>26.869045977011492</v>
      </c>
      <c r="AA87" s="1">
        <v>36.909999999999997</v>
      </c>
      <c r="AC87" s="284">
        <v>974.16</v>
      </c>
      <c r="AD87" s="1">
        <v>31.424516129032259</v>
      </c>
      <c r="AE87" s="1">
        <f>SUM(AD76:AD87)/12</f>
        <v>33.993125478927205</v>
      </c>
      <c r="AF87" s="1">
        <v>48.72</v>
      </c>
      <c r="AH87" s="284">
        <v>2187.79</v>
      </c>
      <c r="AI87" s="1">
        <v>70.573870967741939</v>
      </c>
      <c r="AJ87" s="1">
        <f>SUM(AI76:AI87)/12</f>
        <v>66.753235570386849</v>
      </c>
      <c r="AK87" s="1">
        <v>188.26</v>
      </c>
      <c r="AM87" s="284">
        <v>26.052</v>
      </c>
      <c r="AN87" s="1">
        <v>0.84038709677419354</v>
      </c>
      <c r="AO87" s="1">
        <f>SUM(AN76:AN87)/12</f>
        <v>0.73726639060744692</v>
      </c>
      <c r="AP87" s="1" t="s">
        <v>776</v>
      </c>
      <c r="AR87" s="284">
        <v>158.0762</v>
      </c>
      <c r="AS87" s="1">
        <v>5.0992322580645162</v>
      </c>
      <c r="AT87" s="1">
        <f>SUM(AS76:AS87)/12</f>
        <v>5.2793111339318832</v>
      </c>
      <c r="AU87" s="1" t="s">
        <v>776</v>
      </c>
      <c r="AW87" s="284">
        <v>6.2382330000000001</v>
      </c>
      <c r="AX87" s="1">
        <v>0.20123332258064516</v>
      </c>
      <c r="AY87" s="1">
        <f>SUM(AX76:AX87)/12</f>
        <v>0.45528038531495257</v>
      </c>
      <c r="AZ87" s="1" t="s">
        <v>776</v>
      </c>
      <c r="BB87" s="284">
        <v>25.401399999999999</v>
      </c>
      <c r="BC87" s="1">
        <v>0.81940000000000002</v>
      </c>
      <c r="BD87" s="1">
        <f>SUM(BC76:BC87)/12</f>
        <v>0.92412403092501372</v>
      </c>
      <c r="BE87" s="1" t="s">
        <v>776</v>
      </c>
      <c r="BG87" s="284">
        <v>28.251333333333299</v>
      </c>
      <c r="BH87" s="1">
        <v>0.91133333333333222</v>
      </c>
      <c r="BI87" s="1">
        <f>SUM(BH76:BH87)/12</f>
        <v>0.8911225153289809</v>
      </c>
      <c r="BJ87" s="1" t="s">
        <v>776</v>
      </c>
      <c r="BL87" s="284">
        <v>106.72548420329669</v>
      </c>
      <c r="BM87" s="1">
        <v>3.4427575549450546</v>
      </c>
      <c r="BN87" s="1">
        <f t="shared" si="199"/>
        <v>3.4427777586996329</v>
      </c>
      <c r="BO87" s="1" t="s">
        <v>776</v>
      </c>
      <c r="BQ87" s="284">
        <v>17.985166666666</v>
      </c>
      <c r="BR87" s="1">
        <v>0.58016666666664518</v>
      </c>
      <c r="BS87" s="1">
        <f>SUM(BR76:BR87)/12</f>
        <v>0.58913186530006723</v>
      </c>
      <c r="BT87" s="1" t="s">
        <v>776</v>
      </c>
      <c r="BV87" s="284">
        <v>7.2690000000000001</v>
      </c>
      <c r="BW87" s="1">
        <v>0.23449999999999999</v>
      </c>
      <c r="BX87" s="1">
        <f>SUM(BW76:BW87)/12</f>
        <v>0.23615976239031025</v>
      </c>
      <c r="BY87" s="1" t="s">
        <v>776</v>
      </c>
      <c r="CA87" s="284">
        <v>23.549666666666699</v>
      </c>
      <c r="CB87" s="1">
        <v>0.75966666666666771</v>
      </c>
      <c r="CC87" s="1">
        <f>SUM(CB76:CB87)/12</f>
        <v>0.62309325990805497</v>
      </c>
      <c r="CD87" s="1" t="s">
        <v>776</v>
      </c>
      <c r="CF87" s="284">
        <v>47.630137362637356</v>
      </c>
      <c r="CG87" s="1">
        <v>1.5364560439560437</v>
      </c>
      <c r="CH87" s="1">
        <f t="shared" si="196"/>
        <v>1.5364180402930401</v>
      </c>
      <c r="CI87" s="1" t="s">
        <v>776</v>
      </c>
      <c r="CK87" s="284">
        <v>77.55</v>
      </c>
      <c r="CL87" s="1">
        <v>2.5016129032258063</v>
      </c>
      <c r="CM87" s="1">
        <f>SUM(CL76:CL87)/12</f>
        <v>6.9858636880484477</v>
      </c>
      <c r="CN87" s="1">
        <v>6.59</v>
      </c>
      <c r="CP87" s="284">
        <v>191.63890000000001</v>
      </c>
      <c r="CQ87" s="1">
        <v>6.1819000000000006</v>
      </c>
      <c r="CR87" s="1">
        <f>SUM(CQ76:CQ87)/12</f>
        <v>9.7929365467803731</v>
      </c>
      <c r="CS87" s="1">
        <v>19.450000762939499</v>
      </c>
      <c r="CU87" s="284">
        <v>130.39943333333301</v>
      </c>
      <c r="CV87" s="1">
        <v>4.2064333333333233</v>
      </c>
      <c r="CW87" s="1">
        <f>SUM(CV76:CV87)/12</f>
        <v>4.5850986126560365</v>
      </c>
      <c r="CX87" s="1">
        <v>7</v>
      </c>
      <c r="CZ87" s="269">
        <v>19.991900000000001</v>
      </c>
      <c r="DA87" s="1">
        <v>0.64490000000000003</v>
      </c>
      <c r="DC87" s="284">
        <v>12.582678571428572</v>
      </c>
      <c r="DD87" s="1">
        <v>0.40589285714285717</v>
      </c>
      <c r="DE87" s="1">
        <f t="shared" si="197"/>
        <v>0.40590410906298002</v>
      </c>
      <c r="DF87" s="1" t="s">
        <v>776</v>
      </c>
      <c r="DH87" s="284">
        <f t="shared" si="202"/>
        <v>96.434470695970063</v>
      </c>
      <c r="DI87" s="1">
        <f t="shared" si="148"/>
        <v>3.1107893772893567</v>
      </c>
      <c r="DJ87" s="1">
        <f t="shared" si="200"/>
        <v>2.9848029278914727</v>
      </c>
      <c r="DM87" s="284">
        <f t="shared" si="203"/>
        <v>3832.5620798406608</v>
      </c>
      <c r="DN87" s="1">
        <f t="shared" si="149"/>
        <v>123.6310348335697</v>
      </c>
      <c r="DO87" s="1">
        <f t="shared" si="201"/>
        <v>121.13875870231625</v>
      </c>
      <c r="DR87" s="284">
        <f t="shared" si="204"/>
        <v>432.16291190476159</v>
      </c>
      <c r="DS87" s="1">
        <f t="shared" si="146"/>
        <v>13.940739093701987</v>
      </c>
      <c r="DT87" s="1" t="e">
        <f>SUM(CM87+CR87+CW87+#REF!+DE87)</f>
        <v>#REF!</v>
      </c>
      <c r="DW87" s="284">
        <f t="shared" si="205"/>
        <v>4264.7249917454228</v>
      </c>
      <c r="DX87" s="1">
        <f t="shared" si="206"/>
        <v>137.57177392727169</v>
      </c>
      <c r="DY87" s="1">
        <f t="shared" ref="DY87:DY92" si="207">SUM(DX76:DX87)/12</f>
        <v>144.0006801887121</v>
      </c>
      <c r="EB87" s="242">
        <v>5.09</v>
      </c>
      <c r="EC87" s="17"/>
      <c r="EI87" s="1">
        <f t="shared" si="171"/>
        <v>12.205806451612903</v>
      </c>
      <c r="EJ87" s="1">
        <f t="shared" si="172"/>
        <v>14.81135040168088</v>
      </c>
      <c r="EK87" s="1">
        <f t="shared" si="173"/>
        <v>2.6055439500679771</v>
      </c>
      <c r="EL87" s="1">
        <v>2004</v>
      </c>
      <c r="EM87" s="1" t="s">
        <v>708</v>
      </c>
      <c r="EN87" s="1" t="s">
        <v>841</v>
      </c>
      <c r="EO87" s="1">
        <v>300.83</v>
      </c>
    </row>
    <row r="88" spans="1:145" s="1" customFormat="1" ht="15.5" x14ac:dyDescent="0.35">
      <c r="A88" s="23">
        <v>2004</v>
      </c>
      <c r="B88" s="1" t="s">
        <v>709</v>
      </c>
      <c r="D88" s="284">
        <v>269.93</v>
      </c>
      <c r="E88" s="1">
        <v>8.9976666666666674</v>
      </c>
      <c r="F88" s="1">
        <f t="shared" si="198"/>
        <v>8.2817089358546543</v>
      </c>
      <c r="G88" s="1">
        <v>13.058999999999999</v>
      </c>
      <c r="I88" s="284"/>
      <c r="N88" s="284">
        <v>113.15300000000001</v>
      </c>
      <c r="O88" s="1">
        <v>3.7717666666666667</v>
      </c>
      <c r="P88" s="1">
        <f>SUM(O77:O88)/12</f>
        <v>3.7512288746755651</v>
      </c>
      <c r="Q88" s="1">
        <v>7.6</v>
      </c>
      <c r="S88" s="284">
        <v>167.51</v>
      </c>
      <c r="T88" s="1">
        <v>5.5836666666666668</v>
      </c>
      <c r="U88" s="1">
        <f>SUM(T77:T88)/12</f>
        <v>7.0399683908045985</v>
      </c>
      <c r="V88" s="1">
        <v>9.73</v>
      </c>
      <c r="W88" s="88"/>
      <c r="X88" s="284">
        <v>726.12</v>
      </c>
      <c r="Y88" s="1">
        <v>24.204000000000001</v>
      </c>
      <c r="Z88" s="1">
        <f>SUM(Y77:Y88)/12</f>
        <v>26.554212643678159</v>
      </c>
      <c r="AA88" s="1">
        <v>32.729999999999997</v>
      </c>
      <c r="AC88" s="284">
        <v>893.63</v>
      </c>
      <c r="AD88" s="1">
        <v>29.787666666666667</v>
      </c>
      <c r="AE88" s="1">
        <f>SUM(AD77:AD88)/12</f>
        <v>33.594181034482759</v>
      </c>
      <c r="AF88" s="1">
        <v>42.46</v>
      </c>
      <c r="AH88" s="284">
        <v>1815.422</v>
      </c>
      <c r="AI88" s="1">
        <v>60.514066666666665</v>
      </c>
      <c r="AJ88" s="1">
        <f>SUM(AI77:AI88)/12</f>
        <v>66.191324459275748</v>
      </c>
      <c r="AK88" s="1">
        <v>187.41</v>
      </c>
      <c r="AM88" s="284">
        <v>25.3850281032712</v>
      </c>
      <c r="AN88" s="1">
        <v>0.8461676034423733</v>
      </c>
      <c r="AO88" s="1">
        <f>SUM(AN77:AN88)/12</f>
        <v>0.75219702422764467</v>
      </c>
      <c r="AP88" s="1" t="s">
        <v>776</v>
      </c>
      <c r="AR88" s="284">
        <v>141.370344827586</v>
      </c>
      <c r="AS88" s="1">
        <v>4.7123448275861994</v>
      </c>
      <c r="AT88" s="1">
        <f>SUM(AS77:AS88)/12</f>
        <v>5.2296732028973993</v>
      </c>
      <c r="AU88" s="1" t="s">
        <v>776</v>
      </c>
      <c r="AW88" s="284">
        <v>9.4454766740443095</v>
      </c>
      <c r="AX88" s="1">
        <v>0.31484922246814367</v>
      </c>
      <c r="AY88" s="1">
        <f>SUM(AX77:AX88)/12</f>
        <v>0.44085115385396462</v>
      </c>
      <c r="AZ88" s="1" t="s">
        <v>776</v>
      </c>
      <c r="BB88" s="284">
        <v>26.065862068965501</v>
      </c>
      <c r="BC88" s="1">
        <v>0.86886206896551665</v>
      </c>
      <c r="BD88" s="1">
        <f>SUM(BC77:BC88)/12</f>
        <v>0.93277920333880671</v>
      </c>
      <c r="BE88" s="1" t="s">
        <v>776</v>
      </c>
      <c r="BG88" s="284">
        <v>26.0224137931034</v>
      </c>
      <c r="BH88" s="1">
        <v>0.86741379310344668</v>
      </c>
      <c r="BI88" s="1">
        <f>SUM(BH77:BH88)/12</f>
        <v>0.88507366475426819</v>
      </c>
      <c r="BJ88" s="1" t="s">
        <v>776</v>
      </c>
      <c r="BL88" s="284">
        <v>103.28272664835164</v>
      </c>
      <c r="BM88" s="1">
        <v>3.4427575549450546</v>
      </c>
      <c r="BN88" s="1">
        <f t="shared" si="199"/>
        <v>3.4427575549450542</v>
      </c>
      <c r="BO88" s="1" t="s">
        <v>776</v>
      </c>
      <c r="BQ88" s="284">
        <v>11.4</v>
      </c>
      <c r="BR88" s="1">
        <v>0.38</v>
      </c>
      <c r="BS88" s="1">
        <f>SUM(BR77:BR88)/12</f>
        <v>0.56996519863340045</v>
      </c>
      <c r="BT88" s="1" t="s">
        <v>776</v>
      </c>
      <c r="BV88" s="284">
        <v>5.2975862068900001</v>
      </c>
      <c r="BW88" s="1">
        <v>0.17658620689633334</v>
      </c>
      <c r="BX88" s="1">
        <f>SUM(BW77:BW88)/12</f>
        <v>0.235541946298338</v>
      </c>
      <c r="BY88" s="1" t="s">
        <v>776</v>
      </c>
      <c r="CA88" s="284">
        <v>21.639310300000002</v>
      </c>
      <c r="CB88" s="1">
        <v>0.72131034333333344</v>
      </c>
      <c r="CC88" s="1">
        <f>SUM(CB77:CB88)/12</f>
        <v>0.63570245518583268</v>
      </c>
      <c r="CD88" s="1" t="s">
        <v>776</v>
      </c>
      <c r="CF88" s="284">
        <v>46.093681318681313</v>
      </c>
      <c r="CG88" s="1">
        <v>1.5364560439560437</v>
      </c>
      <c r="CH88" s="1">
        <f t="shared" si="196"/>
        <v>1.5364560439560437</v>
      </c>
      <c r="CI88" s="1" t="s">
        <v>776</v>
      </c>
      <c r="CK88" s="284">
        <v>77.290000000000006</v>
      </c>
      <c r="CL88" s="1">
        <v>2.5763333333333334</v>
      </c>
      <c r="CM88" s="1">
        <f>SUM(CL77:CL88)/12</f>
        <v>6.4036414658262268</v>
      </c>
      <c r="CN88" s="1">
        <v>7.1199998000000004</v>
      </c>
      <c r="CP88" s="284">
        <v>188.65799999999999</v>
      </c>
      <c r="CQ88" s="1">
        <v>6.2885999999999997</v>
      </c>
      <c r="CR88" s="1">
        <f>SUM(CQ77:CQ88)/12</f>
        <v>9.3153198801137069</v>
      </c>
      <c r="CS88" s="1">
        <v>13.899999599999999</v>
      </c>
      <c r="CU88" s="284">
        <v>125.977</v>
      </c>
      <c r="CV88" s="1">
        <v>4.1992333333333338</v>
      </c>
      <c r="CW88" s="1">
        <f>SUM(CV77:CV88)/12</f>
        <v>4.6083680571004804</v>
      </c>
      <c r="CX88" s="1">
        <v>7.1</v>
      </c>
      <c r="CZ88" s="269">
        <v>27.111000000000001</v>
      </c>
      <c r="DA88" s="1">
        <v>0.90370000000000006</v>
      </c>
      <c r="DC88" s="284">
        <v>12.176785714285716</v>
      </c>
      <c r="DD88" s="1">
        <v>0.40589285714285717</v>
      </c>
      <c r="DE88" s="1">
        <f t="shared" si="197"/>
        <v>0.40589518049155143</v>
      </c>
      <c r="DF88" s="1" t="s">
        <v>776</v>
      </c>
      <c r="DH88" s="284">
        <f t="shared" si="202"/>
        <v>87.24493041975704</v>
      </c>
      <c r="DI88" s="1">
        <f t="shared" si="148"/>
        <v>2.8143525941857108</v>
      </c>
      <c r="DJ88" s="1">
        <f t="shared" si="200"/>
        <v>2.9776656440736153</v>
      </c>
      <c r="DM88" s="284">
        <f>DN88*30</f>
        <v>3339.2762742897507</v>
      </c>
      <c r="DN88" s="1">
        <f t="shared" si="149"/>
        <v>111.30920914299169</v>
      </c>
      <c r="DO88" s="1">
        <f t="shared" si="201"/>
        <v>120.52410946423224</v>
      </c>
      <c r="DR88" s="284">
        <f>DS88*30</f>
        <v>431.21278571428576</v>
      </c>
      <c r="DS88" s="1">
        <f t="shared" si="146"/>
        <v>14.373759523809525</v>
      </c>
      <c r="DT88" s="1" t="e">
        <f>SUM(CM88+CR88+CW88+#REF!+DE88)</f>
        <v>#REF!</v>
      </c>
      <c r="DW88" s="284">
        <f>DX88*30</f>
        <v>3770.4890600040367</v>
      </c>
      <c r="DX88" s="1">
        <f t="shared" si="206"/>
        <v>125.68296866680122</v>
      </c>
      <c r="DY88" s="1">
        <f t="shared" si="207"/>
        <v>142.31409424427886</v>
      </c>
      <c r="EB88" s="242">
        <v>3.99</v>
      </c>
      <c r="EC88" s="17"/>
      <c r="ED88" s="1">
        <f>EE88*92</f>
        <v>1349.7746718894007</v>
      </c>
      <c r="EE88" s="1">
        <f>AVERAGE(DS86:DS88)</f>
        <v>14.671463824884789</v>
      </c>
      <c r="EF88" s="1">
        <f>SUM(EE79+EE82+EE85+EE88)/4</f>
        <v>21.789984780046609</v>
      </c>
      <c r="EI88" s="1">
        <f t="shared" si="171"/>
        <v>11.574000000000002</v>
      </c>
      <c r="EJ88" s="1">
        <f t="shared" si="172"/>
        <v>14.685350401680882</v>
      </c>
      <c r="EK88" s="1">
        <f t="shared" si="173"/>
        <v>3.1113504016808804</v>
      </c>
      <c r="EL88" s="1">
        <v>2004</v>
      </c>
      <c r="EM88" s="1" t="s">
        <v>709</v>
      </c>
      <c r="EN88" s="1" t="s">
        <v>841</v>
      </c>
      <c r="EO88" s="1">
        <v>269.93</v>
      </c>
    </row>
    <row r="89" spans="1:145" ht="15.5" x14ac:dyDescent="0.35">
      <c r="A89" s="8">
        <v>2004</v>
      </c>
      <c r="B89" s="24" t="s">
        <v>710</v>
      </c>
      <c r="D89" s="285">
        <v>298.221</v>
      </c>
      <c r="E89" s="33">
        <v>9.6200322580645157</v>
      </c>
      <c r="F89" s="33">
        <v>8.2817089358546543</v>
      </c>
      <c r="G89" s="6">
        <v>14.019797246544501</v>
      </c>
      <c r="H89" s="6"/>
      <c r="I89" s="285"/>
      <c r="J89" s="6"/>
      <c r="K89" s="6"/>
      <c r="L89" s="6"/>
      <c r="M89" s="32"/>
      <c r="N89" s="285">
        <v>100.21599999999999</v>
      </c>
      <c r="O89" s="6">
        <v>3.2327741935483867</v>
      </c>
      <c r="P89" s="33">
        <v>3.7512288746755651</v>
      </c>
      <c r="Q89" s="6">
        <v>5.9009999999999998</v>
      </c>
      <c r="R89" s="32"/>
      <c r="S89" s="285">
        <v>161.05699999999999</v>
      </c>
      <c r="T89" s="6">
        <v>5.1953870967741933</v>
      </c>
      <c r="U89" s="33">
        <v>7.0399683908045985</v>
      </c>
      <c r="V89" s="6">
        <v>7.95</v>
      </c>
      <c r="W89" s="185"/>
      <c r="X89" s="285">
        <v>714.17700000000002</v>
      </c>
      <c r="Y89" s="6">
        <v>23.037967741935486</v>
      </c>
      <c r="Z89" s="33">
        <v>26.554212643678159</v>
      </c>
      <c r="AA89" s="6">
        <v>29.18</v>
      </c>
      <c r="AB89" s="32"/>
      <c r="AC89" s="298">
        <v>875.23400000000004</v>
      </c>
      <c r="AD89" s="35">
        <v>28.23335483870968</v>
      </c>
      <c r="AE89" s="1">
        <f>SUM(AD78:AD89)/12</f>
        <v>33.297686410826842</v>
      </c>
      <c r="AF89" s="35">
        <v>37.130000000000003</v>
      </c>
      <c r="AG89" s="32"/>
      <c r="AH89" s="285">
        <v>1752.925</v>
      </c>
      <c r="AI89" s="6">
        <v>56.545967741935485</v>
      </c>
      <c r="AJ89" s="33">
        <v>66.191324459275748</v>
      </c>
      <c r="AK89" s="6">
        <v>194.09</v>
      </c>
      <c r="AL89" s="32"/>
      <c r="AM89" s="285">
        <v>24.024999999999999</v>
      </c>
      <c r="AN89" s="6">
        <v>0.77499999999999991</v>
      </c>
      <c r="AO89" s="33">
        <v>0.75219702422764467</v>
      </c>
      <c r="AP89" s="6" t="s">
        <v>776</v>
      </c>
      <c r="AQ89" s="32"/>
      <c r="AR89" s="285">
        <v>143.61454545399999</v>
      </c>
      <c r="AS89" s="6">
        <v>4.6327272727096771</v>
      </c>
      <c r="AT89" s="33">
        <v>5.2296732028973993</v>
      </c>
      <c r="AU89" s="6" t="s">
        <v>776</v>
      </c>
      <c r="AV89" s="32"/>
      <c r="AW89" s="285">
        <v>11.749000000000001</v>
      </c>
      <c r="AX89" s="6">
        <v>0.379</v>
      </c>
      <c r="AY89" s="33">
        <v>0.44085115385396462</v>
      </c>
      <c r="AZ89" s="6" t="s">
        <v>776</v>
      </c>
      <c r="BA89" s="32"/>
      <c r="BB89" s="285">
        <v>27.7149393939</v>
      </c>
      <c r="BC89" s="6">
        <v>0.8940303030290323</v>
      </c>
      <c r="BD89" s="33">
        <v>0.93277920333880671</v>
      </c>
      <c r="BE89" s="6" t="s">
        <v>776</v>
      </c>
      <c r="BF89" s="32"/>
      <c r="BG89" s="285">
        <v>20.622515151515199</v>
      </c>
      <c r="BH89" s="6">
        <v>0.66524242424242575</v>
      </c>
      <c r="BI89" s="33">
        <v>0.88507366475426819</v>
      </c>
      <c r="BJ89" s="6" t="s">
        <v>776</v>
      </c>
      <c r="BK89" s="32"/>
      <c r="BL89" s="285">
        <v>138.76832760989012</v>
      </c>
      <c r="BM89" s="6">
        <v>4.4763976648351651</v>
      </c>
      <c r="BN89" s="33">
        <v>3.4427575549450542</v>
      </c>
      <c r="BO89" s="6" t="s">
        <v>776</v>
      </c>
      <c r="BP89" s="32"/>
      <c r="BQ89" s="284">
        <v>20.969151499999999</v>
      </c>
      <c r="BR89" s="1">
        <v>0.67642424193548378</v>
      </c>
      <c r="BS89" s="33">
        <v>0.56996519863340045</v>
      </c>
      <c r="BT89" s="6" t="s">
        <v>776</v>
      </c>
      <c r="BU89" s="32"/>
      <c r="BV89" s="284">
        <v>11.5601818181</v>
      </c>
      <c r="BW89" s="1">
        <v>0.37290909090645163</v>
      </c>
      <c r="BX89" s="33">
        <v>0.235541946298338</v>
      </c>
      <c r="BY89" s="6" t="s">
        <v>776</v>
      </c>
      <c r="BZ89" s="32"/>
      <c r="CA89" s="285">
        <v>19.897303030300002</v>
      </c>
      <c r="CB89" s="6">
        <v>0.64184848484838719</v>
      </c>
      <c r="CC89" s="33">
        <v>0.63570245518583268</v>
      </c>
      <c r="CD89" s="6" t="s">
        <v>776</v>
      </c>
      <c r="CE89" s="32"/>
      <c r="CF89" s="285">
        <v>47.313643543956047</v>
      </c>
      <c r="CG89" s="6">
        <v>1.526246565934066</v>
      </c>
      <c r="CH89" s="33">
        <v>1.5364560439560437</v>
      </c>
      <c r="CI89" s="6" t="s">
        <v>776</v>
      </c>
      <c r="CJ89" s="32"/>
      <c r="CK89" s="285">
        <v>49.798999999999999</v>
      </c>
      <c r="CL89" s="6">
        <v>1.6064193548387096</v>
      </c>
      <c r="CM89" s="33">
        <v>6.4036414658262268</v>
      </c>
      <c r="CN89" s="6">
        <v>10.540000915526999</v>
      </c>
      <c r="CO89" s="32"/>
      <c r="CP89" s="285">
        <v>173.53899999999999</v>
      </c>
      <c r="CQ89" s="6">
        <v>5.5980322580645154</v>
      </c>
      <c r="CR89" s="33">
        <v>9.3153198801137069</v>
      </c>
      <c r="CS89" s="6">
        <v>12.76</v>
      </c>
      <c r="CT89" s="32"/>
      <c r="CU89" s="285">
        <v>120.714</v>
      </c>
      <c r="CV89" s="6">
        <v>3.8940000000000001</v>
      </c>
      <c r="CW89" s="33">
        <v>4.6083680571004804</v>
      </c>
      <c r="CX89" s="6">
        <v>6.8929999999999998</v>
      </c>
      <c r="CY89" s="6"/>
      <c r="CZ89" s="270">
        <v>26.048999999999999</v>
      </c>
      <c r="DA89" s="6">
        <v>0.84029032258064518</v>
      </c>
      <c r="DB89" s="32"/>
      <c r="DC89" s="285">
        <v>12.940328296703298</v>
      </c>
      <c r="DD89" s="6">
        <v>0.41742994505494507</v>
      </c>
      <c r="DE89" s="33">
        <v>0.40579498626373622</v>
      </c>
      <c r="DF89" s="6" t="s">
        <v>776</v>
      </c>
      <c r="DG89" s="32"/>
      <c r="DH89" s="284">
        <f>DI89*31</f>
        <v>99.740279892356043</v>
      </c>
      <c r="DI89" s="1">
        <f t="shared" si="148"/>
        <v>3.2174283836243887</v>
      </c>
      <c r="DJ89" s="1">
        <f t="shared" ref="DJ89:DJ94" si="208">SUM(DI78:DI89)/12</f>
        <v>2.9984294680782355</v>
      </c>
      <c r="DM89" s="284">
        <f>DN89*31</f>
        <v>3293.3500477169487</v>
      </c>
      <c r="DN89" s="1">
        <f t="shared" si="149"/>
        <v>106.23709831344996</v>
      </c>
      <c r="DO89" s="1">
        <f t="shared" ref="DO89:DO94" si="209">SUM(DN78:DN89)/12</f>
        <v>119.99660328379214</v>
      </c>
      <c r="DR89" s="284">
        <f>DS89*31</f>
        <v>383.04132829670328</v>
      </c>
      <c r="DS89" s="1">
        <f t="shared" si="146"/>
        <v>12.356171880538815</v>
      </c>
      <c r="DT89" s="1" t="e">
        <f>SUM(CM89+CR89+CW89+#REF!+DE89)</f>
        <v>#REF!</v>
      </c>
      <c r="DW89" s="284">
        <f>DX89*31</f>
        <v>3676.391376013652</v>
      </c>
      <c r="DX89" s="1">
        <f>SUM(DN89+DS89)</f>
        <v>118.59327019398877</v>
      </c>
      <c r="DY89" s="1">
        <f>SUM(DX78:DX89)/12</f>
        <v>140.85128787108795</v>
      </c>
      <c r="EB89" s="242">
        <v>1.74</v>
      </c>
      <c r="EC89" s="17"/>
      <c r="EI89" s="1">
        <f t="shared" si="171"/>
        <v>11.226451612903226</v>
      </c>
      <c r="EJ89" s="1">
        <f t="shared" si="172"/>
        <v>14.685350401680882</v>
      </c>
      <c r="EK89" s="1">
        <f t="shared" si="173"/>
        <v>3.4588987887776561</v>
      </c>
      <c r="EL89">
        <v>2004</v>
      </c>
      <c r="EM89" t="s">
        <v>710</v>
      </c>
      <c r="EN89" t="s">
        <v>841</v>
      </c>
      <c r="EO89">
        <v>298.221</v>
      </c>
    </row>
    <row r="90" spans="1:145" ht="15.5" x14ac:dyDescent="0.35">
      <c r="A90" s="8">
        <v>2004</v>
      </c>
      <c r="B90" s="24" t="s">
        <v>711</v>
      </c>
      <c r="D90" s="285">
        <v>320.79000000000002</v>
      </c>
      <c r="E90" s="33">
        <v>10.693000000000001</v>
      </c>
      <c r="F90" s="33">
        <v>8.4702062476826097</v>
      </c>
      <c r="G90" s="6">
        <v>16.22</v>
      </c>
      <c r="H90" s="6"/>
      <c r="I90" s="285"/>
      <c r="J90" s="6"/>
      <c r="K90" s="6"/>
      <c r="L90" s="6"/>
      <c r="M90" s="32"/>
      <c r="N90" s="285">
        <v>100.447</v>
      </c>
      <c r="O90" s="6">
        <v>3.3482333333333334</v>
      </c>
      <c r="P90" s="33">
        <v>3.7308122080088988</v>
      </c>
      <c r="Q90" s="6">
        <v>7.5510000000000002</v>
      </c>
      <c r="R90" s="32"/>
      <c r="S90" s="285">
        <v>167.09</v>
      </c>
      <c r="T90" s="6">
        <v>5.5696666666666665</v>
      </c>
      <c r="U90" s="33">
        <v>6.9322721542454593</v>
      </c>
      <c r="V90" s="6">
        <v>10.01</v>
      </c>
      <c r="W90" s="185"/>
      <c r="X90" s="285">
        <v>702.28</v>
      </c>
      <c r="Y90" s="6">
        <v>23.409333333333333</v>
      </c>
      <c r="Z90" s="33">
        <v>26.365414256581385</v>
      </c>
      <c r="AA90" s="6">
        <v>33.07</v>
      </c>
      <c r="AB90" s="32"/>
      <c r="AC90" s="298">
        <v>869.37</v>
      </c>
      <c r="AD90" s="35">
        <v>28.978999999999999</v>
      </c>
      <c r="AE90" s="35">
        <v>33.297686410826842</v>
      </c>
      <c r="AF90" s="35">
        <v>43.08</v>
      </c>
      <c r="AG90" s="32"/>
      <c r="AH90" s="285">
        <v>1851.91</v>
      </c>
      <c r="AI90" s="6">
        <v>61.730333333333334</v>
      </c>
      <c r="AJ90" s="33">
        <v>65.752332523791878</v>
      </c>
      <c r="AK90" s="6">
        <v>183.4</v>
      </c>
      <c r="AL90" s="32"/>
      <c r="AM90" s="285">
        <v>23.7</v>
      </c>
      <c r="AN90" s="6">
        <v>0.78999999999999992</v>
      </c>
      <c r="AO90" s="33">
        <v>0.77005455110936516</v>
      </c>
      <c r="AP90" s="6" t="s">
        <v>776</v>
      </c>
      <c r="AQ90" s="32"/>
      <c r="AR90" s="285">
        <v>144.364</v>
      </c>
      <c r="AS90" s="6">
        <v>4.8121333333333336</v>
      </c>
      <c r="AT90" s="33">
        <v>5.1988225186339578</v>
      </c>
      <c r="AU90" s="6" t="s">
        <v>776</v>
      </c>
      <c r="AV90" s="32"/>
      <c r="AW90" s="285">
        <v>10.71</v>
      </c>
      <c r="AX90" s="6">
        <v>0.35700000000000004</v>
      </c>
      <c r="AY90" s="33">
        <v>0.43933771299374963</v>
      </c>
      <c r="AZ90" s="6" t="s">
        <v>776</v>
      </c>
      <c r="BA90" s="32"/>
      <c r="BB90" s="285">
        <v>26.195</v>
      </c>
      <c r="BC90" s="6">
        <v>0.87316666666666665</v>
      </c>
      <c r="BD90" s="33">
        <v>0.9337306533224089</v>
      </c>
      <c r="BE90" s="6" t="s">
        <v>776</v>
      </c>
      <c r="BF90" s="32"/>
      <c r="BG90" s="285">
        <v>27.099</v>
      </c>
      <c r="BH90" s="6">
        <v>0.90329999999999999</v>
      </c>
      <c r="BI90" s="33">
        <v>0.8731556947314596</v>
      </c>
      <c r="BJ90" s="6" t="s">
        <v>776</v>
      </c>
      <c r="BK90" s="32"/>
      <c r="BL90" s="285">
        <v>136.63335164835166</v>
      </c>
      <c r="BM90" s="6">
        <v>4.554445054945055</v>
      </c>
      <c r="BN90" s="33">
        <v>3.5353981799450547</v>
      </c>
      <c r="BO90" s="6" t="s">
        <v>776</v>
      </c>
      <c r="BP90" s="32"/>
      <c r="BQ90" s="284">
        <v>15.786</v>
      </c>
      <c r="BR90" s="1">
        <v>0.5262</v>
      </c>
      <c r="BS90" s="33">
        <v>0.57461345535383057</v>
      </c>
      <c r="BT90" s="6" t="s">
        <v>776</v>
      </c>
      <c r="BU90" s="32"/>
      <c r="BV90" s="284">
        <v>6.1559999999999997</v>
      </c>
      <c r="BW90" s="1">
        <v>0.20519999999999999</v>
      </c>
      <c r="BX90" s="33">
        <v>0.24814189742226275</v>
      </c>
      <c r="BY90" s="6" t="s">
        <v>776</v>
      </c>
      <c r="BZ90" s="32"/>
      <c r="CA90" s="285">
        <v>17.277000000000001</v>
      </c>
      <c r="CB90" s="6">
        <v>0.57590000000000008</v>
      </c>
      <c r="CC90" s="33">
        <v>0.64006886118126294</v>
      </c>
      <c r="CD90" s="6" t="s">
        <v>776</v>
      </c>
      <c r="CE90" s="32"/>
      <c r="CF90" s="285">
        <v>45.787396978021981</v>
      </c>
      <c r="CG90" s="6">
        <v>1.526246565934066</v>
      </c>
      <c r="CH90" s="33">
        <v>1.5356052541208791</v>
      </c>
      <c r="CI90" s="6" t="s">
        <v>776</v>
      </c>
      <c r="CJ90" s="32"/>
      <c r="CK90" s="285">
        <v>41.97</v>
      </c>
      <c r="CL90" s="6">
        <v>1.399</v>
      </c>
      <c r="CM90" s="33">
        <v>5.9498215733531081</v>
      </c>
      <c r="CN90" s="6">
        <v>5.32</v>
      </c>
      <c r="CO90" s="32"/>
      <c r="CP90" s="285">
        <v>177.70699999999999</v>
      </c>
      <c r="CQ90" s="6">
        <v>5.9235666666666669</v>
      </c>
      <c r="CR90" s="33">
        <v>8.8775671919416634</v>
      </c>
      <c r="CS90" s="6">
        <v>13.16</v>
      </c>
      <c r="CT90" s="32"/>
      <c r="CU90" s="285">
        <v>129.19300000000001</v>
      </c>
      <c r="CV90" s="6">
        <v>4.3064333333333336</v>
      </c>
      <c r="CW90" s="33">
        <v>4.5772659065628458</v>
      </c>
      <c r="CX90" s="6">
        <v>7.4180000000000001</v>
      </c>
      <c r="CY90" s="6"/>
      <c r="CZ90" s="270">
        <v>27.309000000000001</v>
      </c>
      <c r="DA90" s="6">
        <v>0.9103</v>
      </c>
      <c r="DB90" s="32"/>
      <c r="DC90" s="285">
        <v>12.522898351648353</v>
      </c>
      <c r="DD90" s="6">
        <v>0.41742994505494507</v>
      </c>
      <c r="DE90" s="33">
        <v>0.40678903388278392</v>
      </c>
      <c r="DF90" s="6" t="s">
        <v>776</v>
      </c>
      <c r="DH90" s="284">
        <f>DI90*30</f>
        <v>85.006396978021982</v>
      </c>
      <c r="DI90" s="5">
        <f t="shared" si="148"/>
        <v>2.833546565934066</v>
      </c>
      <c r="DJ90" s="1">
        <f t="shared" si="208"/>
        <v>2.9763870115764033</v>
      </c>
      <c r="DM90" s="284">
        <f>DN90*30</f>
        <v>3426.2119546703298</v>
      </c>
      <c r="DN90" s="1">
        <f t="shared" si="149"/>
        <v>114.20706515567765</v>
      </c>
      <c r="DO90" s="1">
        <f t="shared" si="209"/>
        <v>119.12964747640508</v>
      </c>
      <c r="DR90" s="284">
        <f>DS90*30</f>
        <v>388.70189835164837</v>
      </c>
      <c r="DS90" s="1">
        <f t="shared" si="146"/>
        <v>12.956729945054946</v>
      </c>
      <c r="DT90" s="1" t="e">
        <f>SUM(CM90+CR90+CW90+#REF!+DE90)</f>
        <v>#REF!</v>
      </c>
      <c r="DW90" s="284">
        <f>DX90*30</f>
        <v>3814.913853021978</v>
      </c>
      <c r="DX90" s="1">
        <f t="shared" si="206"/>
        <v>127.1637951007326</v>
      </c>
      <c r="DY90" s="1">
        <f t="shared" si="207"/>
        <v>138.76800400356657</v>
      </c>
      <c r="EB90" s="242">
        <v>4.5</v>
      </c>
      <c r="EC90" s="17"/>
      <c r="EI90" s="1">
        <f t="shared" si="171"/>
        <v>12.092000000000002</v>
      </c>
      <c r="EJ90" s="1">
        <f t="shared" si="172"/>
        <v>14.420027821035717</v>
      </c>
      <c r="EK90" s="1">
        <f t="shared" si="173"/>
        <v>2.3280278210357146</v>
      </c>
      <c r="EL90">
        <v>2004</v>
      </c>
      <c r="EM90" t="s">
        <v>711</v>
      </c>
      <c r="EN90" t="s">
        <v>841</v>
      </c>
      <c r="EO90">
        <v>320.79000000000002</v>
      </c>
    </row>
    <row r="91" spans="1:145" x14ac:dyDescent="0.25">
      <c r="A91" s="8">
        <v>2004</v>
      </c>
      <c r="B91" s="24" t="s">
        <v>712</v>
      </c>
      <c r="D91" s="285">
        <v>347.09</v>
      </c>
      <c r="E91" s="33">
        <v>11.196451612903225</v>
      </c>
      <c r="F91" s="33">
        <v>8.8345118032381649</v>
      </c>
      <c r="G91" s="6">
        <v>17.97</v>
      </c>
      <c r="H91" s="6"/>
      <c r="I91" s="285"/>
      <c r="J91" s="6"/>
      <c r="K91" s="6"/>
      <c r="L91" s="6"/>
      <c r="M91" s="32"/>
      <c r="N91" s="285">
        <v>99.003</v>
      </c>
      <c r="O91" s="6">
        <v>3.1936451612903225</v>
      </c>
      <c r="P91" s="33">
        <v>3.6516010968977874</v>
      </c>
      <c r="Q91" s="6">
        <v>9.34</v>
      </c>
      <c r="R91" s="32"/>
      <c r="S91" s="285">
        <v>185.96</v>
      </c>
      <c r="T91" s="6">
        <v>5.9987096774193551</v>
      </c>
      <c r="U91" s="33">
        <v>6.7701054875787916</v>
      </c>
      <c r="V91" s="6">
        <v>10.96</v>
      </c>
      <c r="W91" s="185"/>
      <c r="X91" s="285">
        <v>741.92</v>
      </c>
      <c r="Y91" s="6">
        <v>23.932903225806449</v>
      </c>
      <c r="Z91" s="33">
        <v>26.021886478803605</v>
      </c>
      <c r="AA91" s="6">
        <v>34.56</v>
      </c>
      <c r="AB91" s="32"/>
      <c r="AC91" s="298">
        <v>927.88</v>
      </c>
      <c r="AD91" s="35">
        <v>29.931612903225805</v>
      </c>
      <c r="AE91" s="35">
        <v>32.791991966382405</v>
      </c>
      <c r="AF91" s="35">
        <v>45.52</v>
      </c>
      <c r="AG91" s="32"/>
      <c r="AH91" s="285">
        <v>1935.17</v>
      </c>
      <c r="AI91" s="6">
        <v>62.424838709677424</v>
      </c>
      <c r="AJ91" s="33">
        <v>65.094721412680755</v>
      </c>
      <c r="AK91" s="6">
        <v>181.7</v>
      </c>
      <c r="AL91" s="32"/>
      <c r="AM91" s="285">
        <v>24.978000000000002</v>
      </c>
      <c r="AN91" s="6">
        <v>0.80574193548387096</v>
      </c>
      <c r="AO91" s="33">
        <v>0.77077399555380943</v>
      </c>
      <c r="AP91" s="6" t="s">
        <v>776</v>
      </c>
      <c r="AQ91" s="32"/>
      <c r="AR91" s="285">
        <v>168.00200000000001</v>
      </c>
      <c r="AS91" s="6">
        <v>5.41941935483871</v>
      </c>
      <c r="AT91" s="33">
        <v>5.1253280741895137</v>
      </c>
      <c r="AU91" s="6" t="s">
        <v>776</v>
      </c>
      <c r="AV91" s="32"/>
      <c r="AW91" s="285">
        <v>11.672000000000001</v>
      </c>
      <c r="AX91" s="6">
        <v>0.37651612903225806</v>
      </c>
      <c r="AY91" s="33">
        <v>0.42420715743819409</v>
      </c>
      <c r="AZ91" s="6" t="s">
        <v>776</v>
      </c>
      <c r="BA91" s="32"/>
      <c r="BB91" s="285">
        <v>31.74</v>
      </c>
      <c r="BC91" s="6">
        <v>1.0238709677419355</v>
      </c>
      <c r="BD91" s="33">
        <v>0.92208065332240885</v>
      </c>
      <c r="BE91" s="6" t="s">
        <v>776</v>
      </c>
      <c r="BF91" s="32"/>
      <c r="BG91" s="285">
        <v>28.163</v>
      </c>
      <c r="BH91" s="6">
        <v>0.90848387096774197</v>
      </c>
      <c r="BI91" s="33">
        <v>0.86928347250923732</v>
      </c>
      <c r="BJ91" s="6" t="s">
        <v>776</v>
      </c>
      <c r="BK91" s="32"/>
      <c r="BL91" s="285">
        <v>141.1877967032967</v>
      </c>
      <c r="BM91" s="6">
        <v>4.554445054945055</v>
      </c>
      <c r="BN91" s="33">
        <v>3.6280388049450547</v>
      </c>
      <c r="BO91" s="6" t="s">
        <v>776</v>
      </c>
      <c r="BP91" s="32"/>
      <c r="BQ91" s="284">
        <v>18.902999999999999</v>
      </c>
      <c r="BR91" s="1">
        <v>0.60977419354838702</v>
      </c>
      <c r="BS91" s="33">
        <v>0.56620512202049733</v>
      </c>
      <c r="BT91" s="6" t="s">
        <v>776</v>
      </c>
      <c r="BU91" s="32"/>
      <c r="BV91" s="284">
        <v>7.1079999999999997</v>
      </c>
      <c r="BW91" s="1">
        <v>0.22929032258064516</v>
      </c>
      <c r="BX91" s="33">
        <v>0.24147800853337384</v>
      </c>
      <c r="BY91" s="6" t="s">
        <v>776</v>
      </c>
      <c r="BZ91" s="32"/>
      <c r="CA91" s="285">
        <v>18.190999999999999</v>
      </c>
      <c r="CB91" s="6">
        <v>0.58680645161290323</v>
      </c>
      <c r="CC91" s="33">
        <v>0.63394941673681837</v>
      </c>
      <c r="CD91" s="6" t="s">
        <v>776</v>
      </c>
      <c r="CE91" s="32"/>
      <c r="CF91" s="285">
        <v>47.313643543956047</v>
      </c>
      <c r="CG91" s="6">
        <v>1.526246565934066</v>
      </c>
      <c r="CH91" s="33">
        <v>1.534754464285714</v>
      </c>
      <c r="CI91" s="6" t="s">
        <v>776</v>
      </c>
      <c r="CJ91" s="32"/>
      <c r="CK91" s="285">
        <v>55.5</v>
      </c>
      <c r="CL91" s="6">
        <v>1.7903225806451613</v>
      </c>
      <c r="CM91" s="33">
        <v>5.2234604622419969</v>
      </c>
      <c r="CN91" s="6">
        <v>6.83</v>
      </c>
      <c r="CO91" s="32"/>
      <c r="CP91" s="285">
        <v>192.661</v>
      </c>
      <c r="CQ91" s="6">
        <v>6.2148709677419358</v>
      </c>
      <c r="CR91" s="33">
        <v>8.4325033030527745</v>
      </c>
      <c r="CS91" s="6">
        <v>12.712999999999999</v>
      </c>
      <c r="CT91" s="32"/>
      <c r="CU91" s="285">
        <v>134.126</v>
      </c>
      <c r="CV91" s="6">
        <v>4.3266451612903225</v>
      </c>
      <c r="CW91" s="33">
        <v>4.5438547954517352</v>
      </c>
      <c r="CX91" s="6">
        <v>10.1</v>
      </c>
      <c r="CY91" s="6"/>
      <c r="CZ91" s="270">
        <v>30.353999999999999</v>
      </c>
      <c r="DA91" s="6">
        <v>0.97916129032258059</v>
      </c>
      <c r="DB91" s="32"/>
      <c r="DC91" s="285">
        <v>12.940328296703298</v>
      </c>
      <c r="DD91" s="6">
        <v>0.41742994505494507</v>
      </c>
      <c r="DE91" s="33">
        <v>0.40778308150183151</v>
      </c>
      <c r="DF91" s="6" t="s">
        <v>776</v>
      </c>
      <c r="DH91" s="284">
        <f t="shared" si="202"/>
        <v>91.515643543956045</v>
      </c>
      <c r="DI91" s="5">
        <f t="shared" si="148"/>
        <v>2.9521175336760015</v>
      </c>
      <c r="DJ91" s="1">
        <f t="shared" si="208"/>
        <v>2.9546706303433896</v>
      </c>
      <c r="DM91" s="284">
        <f t="shared" si="203"/>
        <v>3623.3701531593401</v>
      </c>
      <c r="DN91" s="1">
        <f t="shared" si="149"/>
        <v>116.88290816643033</v>
      </c>
      <c r="DO91" s="1">
        <f t="shared" si="209"/>
        <v>118.11569910629402</v>
      </c>
      <c r="DR91" s="284">
        <f t="shared" si="204"/>
        <v>425.5813282967033</v>
      </c>
      <c r="DS91" s="1">
        <f t="shared" si="146"/>
        <v>13.728429945054945</v>
      </c>
      <c r="DT91" s="1" t="e">
        <f>SUM(CM91+CR91+CW91+#REF!+DE91)</f>
        <v>#REF!</v>
      </c>
      <c r="DW91" s="284">
        <f t="shared" si="205"/>
        <v>4048.9514814560439</v>
      </c>
      <c r="DX91" s="1">
        <f t="shared" si="206"/>
        <v>130.61133811148528</v>
      </c>
      <c r="DY91" s="1">
        <f t="shared" si="207"/>
        <v>136.1871909245757</v>
      </c>
      <c r="EB91" s="242">
        <v>3.05</v>
      </c>
      <c r="ED91" s="1">
        <f>EE91*92</f>
        <v>1197.2675076332271</v>
      </c>
      <c r="EE91" s="1">
        <f>AVERAGE(DS89:DS91)</f>
        <v>13.013777256882904</v>
      </c>
      <c r="EF91" s="1">
        <f>SUM(EE82+EE85+EE88+EE91)/4</f>
        <v>18.071491818281675</v>
      </c>
      <c r="EI91" s="1">
        <f t="shared" si="171"/>
        <v>12.986774193548387</v>
      </c>
      <c r="EJ91" s="1">
        <f t="shared" si="172"/>
        <v>14.057972265480162</v>
      </c>
      <c r="EK91" s="1">
        <f t="shared" ref="EK91:EK99" si="210">SUM(EJ91-EI91)</f>
        <v>1.0711980719317751</v>
      </c>
      <c r="EL91">
        <v>2004</v>
      </c>
      <c r="EM91" t="s">
        <v>712</v>
      </c>
      <c r="EN91" t="s">
        <v>841</v>
      </c>
      <c r="EO91">
        <v>347.09</v>
      </c>
    </row>
    <row r="92" spans="1:145" x14ac:dyDescent="0.25">
      <c r="A92" s="8">
        <v>2005</v>
      </c>
      <c r="B92" t="s">
        <v>719</v>
      </c>
      <c r="D92" s="284">
        <v>356.36</v>
      </c>
      <c r="E92" s="1">
        <v>11.495483870967742</v>
      </c>
      <c r="F92" s="1">
        <v>9.2967161043134325</v>
      </c>
      <c r="G92" s="1">
        <v>19.05</v>
      </c>
      <c r="N92" s="284">
        <v>101.748</v>
      </c>
      <c r="O92" s="1">
        <v>3.282193548387097</v>
      </c>
      <c r="P92" s="1">
        <v>3.5737408818440244</v>
      </c>
      <c r="Q92" s="1">
        <v>9.8179999999999996</v>
      </c>
      <c r="S92" s="284">
        <v>199.53</v>
      </c>
      <c r="T92" s="1">
        <v>6.4364516129032259</v>
      </c>
      <c r="U92" s="1">
        <v>6.529272154245457</v>
      </c>
      <c r="V92" s="1">
        <v>23.44</v>
      </c>
      <c r="X92" s="284">
        <v>768.11</v>
      </c>
      <c r="Y92" s="1">
        <v>24.777741935483871</v>
      </c>
      <c r="Z92" s="1">
        <v>25.545515511061677</v>
      </c>
      <c r="AA92" s="1">
        <v>47.22</v>
      </c>
      <c r="AC92" s="284">
        <v>967.64</v>
      </c>
      <c r="AD92" s="1">
        <v>31.214193548387097</v>
      </c>
      <c r="AE92" s="1">
        <v>32.074787665307127</v>
      </c>
      <c r="AF92" s="1">
        <v>70.66</v>
      </c>
      <c r="AH92" s="299">
        <v>2002.1659999999999</v>
      </c>
      <c r="AI92">
        <v>64.585999999999999</v>
      </c>
      <c r="AJ92" s="1">
        <v>64.426495606229125</v>
      </c>
      <c r="AK92" s="1">
        <v>193</v>
      </c>
      <c r="AM92" s="299">
        <v>26.155000000000001</v>
      </c>
      <c r="AN92" s="1">
        <v>0.84370967741935488</v>
      </c>
      <c r="AO92" s="1">
        <v>0.7656315224355299</v>
      </c>
      <c r="AP92" t="s">
        <v>776</v>
      </c>
      <c r="AR92" s="284">
        <v>158.78100000000001</v>
      </c>
      <c r="AS92" s="1">
        <v>5.1219677419354843</v>
      </c>
      <c r="AT92" s="1">
        <v>5.0634732354798366</v>
      </c>
      <c r="AU92" s="1" t="s">
        <v>776</v>
      </c>
      <c r="AW92" s="284">
        <v>9.9920000000000009</v>
      </c>
      <c r="AX92" s="1">
        <v>0.32232258064516134</v>
      </c>
      <c r="AY92" s="1">
        <v>0.38229425421238755</v>
      </c>
      <c r="AZ92" s="1" t="s">
        <v>776</v>
      </c>
      <c r="BB92" s="284">
        <v>29.481000000000002</v>
      </c>
      <c r="BC92" s="1">
        <v>0.95100000000000007</v>
      </c>
      <c r="BD92" s="1">
        <v>0.9106478576234841</v>
      </c>
      <c r="BE92" s="1" t="s">
        <v>776</v>
      </c>
      <c r="BG92" s="284">
        <v>26.46</v>
      </c>
      <c r="BH92" s="1">
        <v>0.85354838709677427</v>
      </c>
      <c r="BI92" s="1">
        <v>0.86240712842321587</v>
      </c>
      <c r="BJ92" s="1" t="s">
        <v>776</v>
      </c>
      <c r="BL92" s="284">
        <v>141.1877967032967</v>
      </c>
      <c r="BM92" s="1">
        <v>4.554445054945055</v>
      </c>
      <c r="BN92" s="1">
        <v>3.7206794299450543</v>
      </c>
      <c r="BO92" s="1" t="s">
        <v>776</v>
      </c>
      <c r="BQ92" s="284">
        <v>17.094000000000001</v>
      </c>
      <c r="BR92" s="1">
        <v>0.55141935483870974</v>
      </c>
      <c r="BS92" s="1">
        <v>0.56322662739684148</v>
      </c>
      <c r="BT92" s="1" t="s">
        <v>776</v>
      </c>
      <c r="BV92" s="284">
        <v>7.1420000000000003</v>
      </c>
      <c r="BW92" s="1">
        <v>0.23038709677419356</v>
      </c>
      <c r="BX92" s="1">
        <v>0.23196994401724483</v>
      </c>
      <c r="BY92" s="1" t="s">
        <v>776</v>
      </c>
      <c r="CA92" s="284">
        <v>14.205</v>
      </c>
      <c r="CB92" s="1">
        <v>0.45822580645161293</v>
      </c>
      <c r="CC92" s="1">
        <v>0.6255703844787539</v>
      </c>
      <c r="CD92" s="1" t="s">
        <v>776</v>
      </c>
      <c r="CF92" s="284">
        <v>47.313643543956047</v>
      </c>
      <c r="CG92" s="1">
        <v>1.526246565934066</v>
      </c>
      <c r="CH92" s="1">
        <v>1.5339036744505492</v>
      </c>
      <c r="CI92" s="1" t="s">
        <v>776</v>
      </c>
      <c r="CK92" s="284">
        <v>44.86</v>
      </c>
      <c r="CL92" s="1">
        <v>1.4470967741935483</v>
      </c>
      <c r="CM92" s="1">
        <v>4.2685142256828561</v>
      </c>
      <c r="CN92" s="1">
        <v>13.84</v>
      </c>
      <c r="CP92" s="284">
        <v>187.99600000000001</v>
      </c>
      <c r="CQ92" s="1">
        <v>6.064387096774194</v>
      </c>
      <c r="CR92" s="1">
        <v>7.9214468514398719</v>
      </c>
      <c r="CS92" s="1">
        <v>16.344999999999999</v>
      </c>
      <c r="CU92" s="284">
        <v>142.13800000000001</v>
      </c>
      <c r="CV92" s="1">
        <v>4.5850967741935484</v>
      </c>
      <c r="CW92" s="1">
        <v>4.4712660857743156</v>
      </c>
      <c r="CX92" s="1">
        <v>9.9309999999999992</v>
      </c>
      <c r="CZ92" s="269">
        <v>31.202999999999999</v>
      </c>
      <c r="DA92" s="1">
        <v>1.0065483870967742</v>
      </c>
      <c r="DC92" s="284">
        <v>12.940328296703298</v>
      </c>
      <c r="DD92" s="1">
        <v>0.41742994505494507</v>
      </c>
      <c r="DE92" s="1">
        <v>0.4087771291208791</v>
      </c>
      <c r="DF92" s="1" t="s">
        <v>776</v>
      </c>
      <c r="DH92" s="284">
        <f>DI92*31</f>
        <v>85.75464354395605</v>
      </c>
      <c r="DI92" s="5">
        <f t="shared" si="148"/>
        <v>2.766278823998582</v>
      </c>
      <c r="DJ92" s="1">
        <f t="shared" si="208"/>
        <v>2.9551612383576873</v>
      </c>
      <c r="DM92" s="284">
        <f t="shared" si="203"/>
        <v>3734.2161531593406</v>
      </c>
      <c r="DN92" s="1">
        <f t="shared" si="149"/>
        <v>120.45858558578519</v>
      </c>
      <c r="DO92" s="1">
        <f t="shared" si="209"/>
        <v>118.48160449962381</v>
      </c>
      <c r="DR92" s="284">
        <f t="shared" si="204"/>
        <v>419.13732829670334</v>
      </c>
      <c r="DS92" s="1">
        <f t="shared" si="146"/>
        <v>13.52055897731301</v>
      </c>
      <c r="DT92" s="1" t="e">
        <f>SUM(CM92+CR92+CW92+#REF!+DE92)</f>
        <v>#REF!</v>
      </c>
      <c r="DW92" s="284">
        <f t="shared" si="205"/>
        <v>4153.3534814560444</v>
      </c>
      <c r="DX92" s="1">
        <f t="shared" si="206"/>
        <v>133.9791445630982</v>
      </c>
      <c r="DY92" s="1">
        <f t="shared" si="207"/>
        <v>135.70523247308097</v>
      </c>
      <c r="EB92" s="242">
        <v>3.31</v>
      </c>
      <c r="EI92" s="1">
        <f t="shared" si="171"/>
        <v>12.942580645161291</v>
      </c>
      <c r="EJ92" s="1">
        <f t="shared" si="172"/>
        <v>13.56523032999629</v>
      </c>
      <c r="EK92" s="1">
        <f t="shared" si="210"/>
        <v>0.6226496848349985</v>
      </c>
      <c r="EL92">
        <v>2005</v>
      </c>
      <c r="EM92" t="s">
        <v>719</v>
      </c>
      <c r="EN92" t="s">
        <v>841</v>
      </c>
      <c r="EO92">
        <v>356.36</v>
      </c>
    </row>
    <row r="93" spans="1:145" x14ac:dyDescent="0.25">
      <c r="A93" s="8">
        <v>2005</v>
      </c>
      <c r="B93" t="s">
        <v>713</v>
      </c>
      <c r="D93" s="284">
        <v>327.04000000000002</v>
      </c>
      <c r="E93" s="1">
        <v>11.68</v>
      </c>
      <c r="F93" s="1">
        <v>9.525049437646766</v>
      </c>
      <c r="G93" s="1">
        <v>17.339797895</v>
      </c>
      <c r="N93" s="284">
        <v>89.867000000000004</v>
      </c>
      <c r="O93" s="1">
        <v>3.2095357142857144</v>
      </c>
      <c r="P93" s="1">
        <v>3.5599532474354221</v>
      </c>
      <c r="Q93" s="1">
        <v>5.7670000000000003</v>
      </c>
      <c r="S93" s="284">
        <v>176.47</v>
      </c>
      <c r="T93" s="1">
        <v>6.3025000000000002</v>
      </c>
      <c r="U93" s="1">
        <v>6.4507237671486832</v>
      </c>
      <c r="V93" s="1">
        <v>8.89</v>
      </c>
      <c r="X93" s="284">
        <v>683.3</v>
      </c>
      <c r="Y93" s="1">
        <v>24.403571428571428</v>
      </c>
      <c r="Z93" s="1">
        <v>25.383149919663822</v>
      </c>
      <c r="AA93" s="1">
        <v>30.46</v>
      </c>
      <c r="AC93" s="284">
        <v>859.77</v>
      </c>
      <c r="AD93" s="1">
        <v>30.706071428571427</v>
      </c>
      <c r="AE93" s="1">
        <v>31.833873686812506</v>
      </c>
      <c r="AF93" s="1">
        <v>39.35</v>
      </c>
      <c r="AH93" s="284">
        <v>1719.32</v>
      </c>
      <c r="AI93" s="1">
        <v>61.404285714285713</v>
      </c>
      <c r="AJ93" s="1">
        <v>64.738474100852798</v>
      </c>
      <c r="AK93" s="1">
        <v>95.15</v>
      </c>
      <c r="AM93" s="299">
        <v>23.041</v>
      </c>
      <c r="AN93" s="1">
        <v>0.8228928571428572</v>
      </c>
      <c r="AO93" s="1">
        <v>0.78561808157531487</v>
      </c>
      <c r="AP93" t="s">
        <v>776</v>
      </c>
      <c r="AR93" s="284">
        <v>114.898</v>
      </c>
      <c r="AS93" s="1">
        <v>4.1034999999999995</v>
      </c>
      <c r="AT93" s="1">
        <v>5.10338721397446</v>
      </c>
      <c r="AU93" s="1" t="s">
        <v>776</v>
      </c>
      <c r="AW93" s="284">
        <v>10.467000000000001</v>
      </c>
      <c r="AX93" s="1">
        <v>0.37382142857142858</v>
      </c>
      <c r="AY93" s="1">
        <v>0.35137758754572085</v>
      </c>
      <c r="AZ93" s="1" t="s">
        <v>776</v>
      </c>
      <c r="BB93" s="284">
        <v>17.652999999999999</v>
      </c>
      <c r="BC93" s="1">
        <v>0.6304642857142857</v>
      </c>
      <c r="BD93" s="1">
        <v>0.8564650619245594</v>
      </c>
      <c r="BE93" s="1" t="s">
        <v>776</v>
      </c>
      <c r="BG93" s="284">
        <v>22.13232</v>
      </c>
      <c r="BH93" s="1">
        <v>0.79044000000000003</v>
      </c>
      <c r="BI93" s="1">
        <v>0.87575121444472137</v>
      </c>
      <c r="BJ93" s="1" t="s">
        <v>776</v>
      </c>
      <c r="BL93" s="284">
        <v>127.52446153846154</v>
      </c>
      <c r="BM93" s="1">
        <v>4.554445054945055</v>
      </c>
      <c r="BN93" s="1">
        <v>3.8133200549450543</v>
      </c>
      <c r="BO93" s="1" t="s">
        <v>776</v>
      </c>
      <c r="BQ93" s="284">
        <v>14.631679999999999</v>
      </c>
      <c r="BR93" s="1">
        <v>0.52256000000000002</v>
      </c>
      <c r="BS93" s="1">
        <v>0.5663529714828629</v>
      </c>
      <c r="BT93" s="1" t="s">
        <v>776</v>
      </c>
      <c r="BV93" s="284">
        <v>5.3468799999999996</v>
      </c>
      <c r="BW93" s="1">
        <v>0.19095999999999999</v>
      </c>
      <c r="BX93" s="1">
        <v>0.23486510530756735</v>
      </c>
      <c r="BY93" s="1" t="s">
        <v>776</v>
      </c>
      <c r="CA93" s="284">
        <v>12.097099999999999</v>
      </c>
      <c r="CB93" s="1">
        <v>0.43203928571428568</v>
      </c>
      <c r="CC93" s="1">
        <v>0.62089027695187216</v>
      </c>
      <c r="CD93" s="1" t="s">
        <v>776</v>
      </c>
      <c r="CF93" s="284">
        <v>42.734903846153848</v>
      </c>
      <c r="CG93" s="1">
        <v>1.526246565934066</v>
      </c>
      <c r="CH93" s="1">
        <v>1.5330528846153844</v>
      </c>
      <c r="CI93" s="1" t="s">
        <v>776</v>
      </c>
      <c r="CK93" s="284">
        <v>27.71</v>
      </c>
      <c r="CL93" s="1">
        <v>0.98964285714285716</v>
      </c>
      <c r="CM93" s="1">
        <v>3.8419819676183411</v>
      </c>
      <c r="CN93" s="1">
        <v>7.6600008010864302</v>
      </c>
      <c r="CP93" s="284">
        <v>145.11699999999999</v>
      </c>
      <c r="CQ93" s="1">
        <v>5.1827499999999995</v>
      </c>
      <c r="CR93" s="1">
        <v>7.5132533030527746</v>
      </c>
      <c r="CS93" s="1">
        <v>11.663000106</v>
      </c>
      <c r="CU93" s="284">
        <v>125.03100000000001</v>
      </c>
      <c r="CV93" s="1">
        <v>4.4653928571428576</v>
      </c>
      <c r="CW93" s="1">
        <v>4.4696128599678637</v>
      </c>
      <c r="CX93" s="1">
        <v>7.048</v>
      </c>
      <c r="CZ93" s="269">
        <v>28.603999999999999</v>
      </c>
      <c r="DA93" s="1">
        <v>1.0215714285714286</v>
      </c>
      <c r="DC93" s="284">
        <v>11.688038461538461</v>
      </c>
      <c r="DD93" s="1">
        <v>0.41742994505494507</v>
      </c>
      <c r="DE93" s="1">
        <v>0.40973855311355312</v>
      </c>
      <c r="DF93" s="1" t="s">
        <v>776</v>
      </c>
      <c r="DH93" s="284">
        <f>DI93*28</f>
        <v>74.810563846153855</v>
      </c>
      <c r="DI93" s="5">
        <f t="shared" si="148"/>
        <v>2.6718058516483518</v>
      </c>
      <c r="DJ93" s="1">
        <f t="shared" si="208"/>
        <v>2.9217105039412412</v>
      </c>
      <c r="DM93" s="284">
        <f>DN93*28</f>
        <v>3236.9022176923072</v>
      </c>
      <c r="DN93" s="1">
        <f t="shared" si="149"/>
        <v>115.60365063186812</v>
      </c>
      <c r="DO93" s="1">
        <f t="shared" si="209"/>
        <v>117.03692382291545</v>
      </c>
      <c r="DR93" s="284">
        <f>DS93*28</f>
        <v>338.15003846153843</v>
      </c>
      <c r="DS93" s="1">
        <f t="shared" si="146"/>
        <v>12.076787087912088</v>
      </c>
      <c r="DT93" s="1" t="e">
        <f>SUM(CM93+CR93+CW93+#REF!+DE93)</f>
        <v>#REF!</v>
      </c>
      <c r="DW93" s="284">
        <f>DX93*28</f>
        <v>3575.0522561538455</v>
      </c>
      <c r="DX93" s="1">
        <f t="shared" ref="DX93:DX98" si="211">SUM(DN93+DS93)</f>
        <v>127.6804377197802</v>
      </c>
      <c r="DY93" s="1">
        <f t="shared" ref="DY93:DY98" si="212">SUM(DX82:DX93)/12</f>
        <v>133.03629585583329</v>
      </c>
      <c r="EB93" s="242">
        <v>1.63</v>
      </c>
      <c r="EI93" s="1">
        <f t="shared" si="171"/>
        <v>12.669642857142858</v>
      </c>
      <c r="EJ93" s="1">
        <f t="shared" si="172"/>
        <v>13.367031405265108</v>
      </c>
      <c r="EK93" s="1">
        <f t="shared" si="210"/>
        <v>0.69738854812224993</v>
      </c>
      <c r="EL93">
        <v>2005</v>
      </c>
      <c r="EM93" t="s">
        <v>713</v>
      </c>
      <c r="EN93" t="s">
        <v>841</v>
      </c>
      <c r="EO93">
        <v>327.04000000000002</v>
      </c>
    </row>
    <row r="94" spans="1:145" x14ac:dyDescent="0.25">
      <c r="A94" s="8">
        <v>2005</v>
      </c>
      <c r="B94" t="s">
        <v>714</v>
      </c>
      <c r="D94" s="284">
        <v>362.65</v>
      </c>
      <c r="E94" s="1">
        <v>11.698387096774193</v>
      </c>
      <c r="F94" s="1">
        <v>9.8812275985663103</v>
      </c>
      <c r="G94" s="1">
        <v>20.45</v>
      </c>
      <c r="N94" s="284">
        <v>99.703000000000003</v>
      </c>
      <c r="O94" s="1">
        <v>3.2162258064516132</v>
      </c>
      <c r="P94" s="1">
        <v>3.5141128328213007</v>
      </c>
      <c r="Q94" s="1">
        <v>6.45</v>
      </c>
      <c r="S94" s="284">
        <v>212.27</v>
      </c>
      <c r="T94" s="1">
        <v>6.8474193548387099</v>
      </c>
      <c r="U94" s="1">
        <v>6.3227137096774184</v>
      </c>
      <c r="V94" s="1">
        <v>14.05</v>
      </c>
      <c r="X94" s="284">
        <v>804.22</v>
      </c>
      <c r="Y94" s="1">
        <v>25.942580645161293</v>
      </c>
      <c r="Z94" s="1">
        <v>25.112068228366613</v>
      </c>
      <c r="AA94" s="1">
        <v>38.24</v>
      </c>
      <c r="AC94" s="284">
        <v>1016.49</v>
      </c>
      <c r="AD94" s="1">
        <v>32.79</v>
      </c>
      <c r="AE94" s="1">
        <v>31.434781938044029</v>
      </c>
      <c r="AF94" s="1">
        <v>52.29</v>
      </c>
      <c r="AH94" s="284">
        <v>2002.9</v>
      </c>
      <c r="AI94" s="1">
        <v>64.609677419354838</v>
      </c>
      <c r="AJ94" s="1">
        <v>63.681791013824885</v>
      </c>
      <c r="AK94" s="1">
        <v>155.464</v>
      </c>
      <c r="AM94" s="299">
        <v>25.664000000000001</v>
      </c>
      <c r="AN94" s="1">
        <v>0.82787096774193558</v>
      </c>
      <c r="AO94" s="1">
        <v>0.78275570472802458</v>
      </c>
      <c r="AP94" t="s">
        <v>776</v>
      </c>
      <c r="AR94" s="284">
        <v>165.04900000000001</v>
      </c>
      <c r="AS94" s="1">
        <v>5.3241612903225812</v>
      </c>
      <c r="AT94" s="1">
        <v>4.7300926737445748</v>
      </c>
      <c r="AU94" s="1" t="s">
        <v>776</v>
      </c>
      <c r="AW94" s="284">
        <v>11.94</v>
      </c>
      <c r="AX94" s="1">
        <v>0.38516129032258062</v>
      </c>
      <c r="AY94" s="1">
        <v>0.32849489050138597</v>
      </c>
      <c r="AZ94" s="1" t="s">
        <v>776</v>
      </c>
      <c r="BB94" s="284">
        <v>31.925999999999998</v>
      </c>
      <c r="BC94" s="1">
        <v>1.0298709677419355</v>
      </c>
      <c r="BD94" s="1">
        <v>0.85446639607891095</v>
      </c>
      <c r="BE94" s="1" t="s">
        <v>776</v>
      </c>
      <c r="BG94" s="284">
        <v>31.361999999999998</v>
      </c>
      <c r="BH94" s="1">
        <v>1.0116774193548386</v>
      </c>
      <c r="BI94" s="1">
        <v>0.85145454777805474</v>
      </c>
      <c r="BJ94" s="1" t="s">
        <v>776</v>
      </c>
      <c r="BL94" s="284">
        <v>141.1877967032967</v>
      </c>
      <c r="BM94" s="1">
        <v>4.554445054945055</v>
      </c>
      <c r="BN94" s="1">
        <v>3.9059606799450548</v>
      </c>
      <c r="BO94" s="1" t="s">
        <v>776</v>
      </c>
      <c r="BQ94" s="284">
        <v>16.88</v>
      </c>
      <c r="BR94" s="1">
        <v>0.54451612903225799</v>
      </c>
      <c r="BS94" s="1">
        <v>0.5607358450460812</v>
      </c>
      <c r="BT94" s="1" t="s">
        <v>776</v>
      </c>
      <c r="BV94" s="284">
        <v>8.1760000000000002</v>
      </c>
      <c r="BW94" s="1">
        <v>0.26374193548387098</v>
      </c>
      <c r="BX94" s="1">
        <v>0.22505142714664783</v>
      </c>
      <c r="BY94" s="1" t="s">
        <v>776</v>
      </c>
      <c r="CA94" s="284">
        <v>15.067</v>
      </c>
      <c r="CB94" s="1">
        <v>0.48603225806451611</v>
      </c>
      <c r="CC94" s="1">
        <v>0.60372113696829255</v>
      </c>
      <c r="CD94" s="1" t="s">
        <v>776</v>
      </c>
      <c r="CF94" s="284">
        <v>47.313643543956047</v>
      </c>
      <c r="CG94" s="1">
        <v>1.526246565934066</v>
      </c>
      <c r="CH94" s="1">
        <v>1.5322020947802197</v>
      </c>
      <c r="CI94" s="1" t="s">
        <v>776</v>
      </c>
      <c r="CK94" s="284">
        <v>86.3</v>
      </c>
      <c r="CL94" s="1">
        <v>2.7838709677419353</v>
      </c>
      <c r="CM94" s="1">
        <v>3.1935039298515098</v>
      </c>
      <c r="CN94" s="1">
        <v>14.32</v>
      </c>
      <c r="CP94" s="284">
        <v>158.071</v>
      </c>
      <c r="CQ94" s="1">
        <v>5.0990645161290322</v>
      </c>
      <c r="CR94" s="1">
        <v>6.9791548835125452</v>
      </c>
      <c r="CS94" s="1">
        <v>20.667000000000002</v>
      </c>
      <c r="CU94" s="284">
        <v>144.928</v>
      </c>
      <c r="CV94" s="1">
        <v>4.6750967741935483</v>
      </c>
      <c r="CW94" s="1">
        <v>4.442999046338965</v>
      </c>
      <c r="CX94" s="1">
        <v>9.907</v>
      </c>
      <c r="CZ94" s="269">
        <v>33.259</v>
      </c>
      <c r="DA94" s="1">
        <v>1.0728709677419355</v>
      </c>
      <c r="DC94" s="284">
        <v>12.940328296703298</v>
      </c>
      <c r="DD94" s="1">
        <v>0.41742994505494507</v>
      </c>
      <c r="DE94" s="1">
        <v>0.41069997710622713</v>
      </c>
      <c r="DF94" s="1" t="s">
        <v>776</v>
      </c>
      <c r="DH94" s="284">
        <f>DI94*31</f>
        <v>87.436643543956052</v>
      </c>
      <c r="DI94" s="5">
        <f t="shared" si="148"/>
        <v>2.8205368885147113</v>
      </c>
      <c r="DJ94" s="1">
        <f t="shared" si="208"/>
        <v>2.9186554130308076</v>
      </c>
      <c r="DM94" s="284">
        <f>DN94*31</f>
        <v>3801.4351531593406</v>
      </c>
      <c r="DN94" s="1">
        <f t="shared" si="149"/>
        <v>122.62694042449486</v>
      </c>
      <c r="DO94" s="1">
        <f t="shared" si="209"/>
        <v>117.41452007646033</v>
      </c>
      <c r="DR94" s="284">
        <f>DS94*31</f>
        <v>435.49832829670333</v>
      </c>
      <c r="DS94" s="1">
        <f t="shared" si="146"/>
        <v>14.048333170861397</v>
      </c>
      <c r="DT94" s="1" t="e">
        <f>SUM(CM94+CR94+CW94+#REF!+DE94)</f>
        <v>#REF!</v>
      </c>
      <c r="DW94" s="284">
        <f>DX94*31</f>
        <v>4236.9334814560443</v>
      </c>
      <c r="DX94" s="1">
        <f t="shared" si="211"/>
        <v>136.67527359535626</v>
      </c>
      <c r="DY94" s="1">
        <f t="shared" si="212"/>
        <v>132.50741536132776</v>
      </c>
      <c r="EB94" s="242">
        <v>4.46</v>
      </c>
      <c r="ED94" s="1">
        <f>EE94*90</f>
        <v>1189.3703770825948</v>
      </c>
      <c r="EE94" s="1">
        <f>AVERAGE(DS92:DS94)</f>
        <v>13.215226412028832</v>
      </c>
      <c r="EF94" s="1">
        <f>SUM(EE85+EE88+EE91+EE94)/4</f>
        <v>15.092895284867462</v>
      </c>
      <c r="EI94" s="1">
        <f t="shared" si="171"/>
        <v>14.482258064516127</v>
      </c>
      <c r="EJ94" s="1">
        <f t="shared" si="172"/>
        <v>13.07473152841782</v>
      </c>
      <c r="EK94" s="1">
        <f t="shared" si="210"/>
        <v>-1.4075265360983078</v>
      </c>
      <c r="EL94">
        <v>2005</v>
      </c>
      <c r="EM94" t="s">
        <v>714</v>
      </c>
      <c r="EN94" t="s">
        <v>841</v>
      </c>
      <c r="EO94">
        <v>362.65</v>
      </c>
    </row>
    <row r="95" spans="1:145" x14ac:dyDescent="0.25">
      <c r="A95" s="8">
        <v>2005</v>
      </c>
      <c r="B95" t="s">
        <v>705</v>
      </c>
      <c r="D95" s="284">
        <v>304.85000000000002</v>
      </c>
      <c r="E95" s="1">
        <v>10.161666666666667</v>
      </c>
      <c r="F95" s="1">
        <v>10.215716845878138</v>
      </c>
      <c r="G95" s="1">
        <v>15.34</v>
      </c>
      <c r="M95" s="1"/>
      <c r="N95" s="284">
        <v>116.99299999999999</v>
      </c>
      <c r="O95" s="1">
        <v>3.8997666666666664</v>
      </c>
      <c r="P95" s="1">
        <v>3.5278493919610856</v>
      </c>
      <c r="R95" s="1"/>
      <c r="S95" s="284">
        <v>231.68</v>
      </c>
      <c r="T95" s="1">
        <v>7.722666666666667</v>
      </c>
      <c r="U95" s="1">
        <v>6.3105631720430102</v>
      </c>
      <c r="V95" s="1">
        <v>19.350000000000001</v>
      </c>
      <c r="W95" s="88"/>
      <c r="X95" s="284">
        <v>840.70799999999997</v>
      </c>
      <c r="Y95" s="1">
        <v>28.023599999999998</v>
      </c>
      <c r="Z95" s="1">
        <v>25.065025217613925</v>
      </c>
      <c r="AA95" s="1">
        <v>41.4</v>
      </c>
      <c r="AB95" s="1"/>
      <c r="AC95" s="284">
        <v>1072.3879999999999</v>
      </c>
      <c r="AD95" s="1">
        <v>35.746266666666664</v>
      </c>
      <c r="AE95" s="1">
        <v>31.37558838965694</v>
      </c>
      <c r="AF95" s="1">
        <v>60.75</v>
      </c>
      <c r="AG95" s="1"/>
      <c r="AH95" s="284">
        <v>2096.34</v>
      </c>
      <c r="AI95" s="1">
        <v>69.878</v>
      </c>
      <c r="AJ95" s="1">
        <v>63.553135099846394</v>
      </c>
      <c r="AK95" s="1">
        <v>193.36</v>
      </c>
      <c r="AL95" s="1"/>
      <c r="AM95" s="284">
        <v>24.431000000000001</v>
      </c>
      <c r="AN95" s="1">
        <v>0.81436666666666668</v>
      </c>
      <c r="AO95" s="1">
        <v>0.79203258644845442</v>
      </c>
      <c r="AP95" s="1" t="s">
        <v>776</v>
      </c>
      <c r="AQ95" s="1"/>
      <c r="AR95" s="284">
        <v>161.49100000000001</v>
      </c>
      <c r="AS95" s="1">
        <v>5.3830333333333336</v>
      </c>
      <c r="AT95" s="1">
        <v>4.8131975124542521</v>
      </c>
      <c r="AU95" s="1" t="s">
        <v>776</v>
      </c>
      <c r="AV95" s="1"/>
      <c r="AW95" s="284">
        <v>11.682</v>
      </c>
      <c r="AX95" s="1">
        <v>0.38940000000000002</v>
      </c>
      <c r="AY95" s="1">
        <v>0.33157553566267634</v>
      </c>
      <c r="AZ95" s="1" t="s">
        <v>776</v>
      </c>
      <c r="BA95" s="1"/>
      <c r="BB95" s="284">
        <v>26.56</v>
      </c>
      <c r="BC95" s="1">
        <v>0.88533333333333331</v>
      </c>
      <c r="BD95" s="1">
        <v>0.8697782240359001</v>
      </c>
      <c r="BE95" s="1" t="s">
        <v>776</v>
      </c>
      <c r="BF95" s="1"/>
      <c r="BG95" s="284">
        <v>25.882999999999999</v>
      </c>
      <c r="BH95" s="1">
        <v>0.86276666666666668</v>
      </c>
      <c r="BI95" s="1">
        <v>0.86220454777805478</v>
      </c>
      <c r="BJ95" s="1" t="s">
        <v>776</v>
      </c>
      <c r="BK95" s="1"/>
      <c r="BL95" s="284">
        <v>136.63335164835166</v>
      </c>
      <c r="BM95" s="1">
        <v>4.554445054945055</v>
      </c>
      <c r="BN95" s="1">
        <v>3.9986013049450548</v>
      </c>
      <c r="BO95" s="1" t="s">
        <v>776</v>
      </c>
      <c r="BP95" s="1"/>
      <c r="BQ95" s="284">
        <v>16.707999999999998</v>
      </c>
      <c r="BR95" s="1">
        <v>0.55693333333333328</v>
      </c>
      <c r="BS95" s="1">
        <v>0.55955573751919951</v>
      </c>
      <c r="BT95" s="1" t="s">
        <v>776</v>
      </c>
      <c r="BU95" s="1"/>
      <c r="BV95" s="284">
        <v>7.5259999999999998</v>
      </c>
      <c r="BW95" s="1">
        <v>0.25086666666666668</v>
      </c>
      <c r="BX95" s="1">
        <v>0.23104605080256183</v>
      </c>
      <c r="BY95" s="1" t="s">
        <v>776</v>
      </c>
      <c r="BZ95" s="1"/>
      <c r="CA95" s="284">
        <v>17.324999999999999</v>
      </c>
      <c r="CB95" s="1">
        <v>0.57750000000000001</v>
      </c>
      <c r="CC95" s="1">
        <v>0.59670231976399146</v>
      </c>
      <c r="CD95" s="1" t="s">
        <v>776</v>
      </c>
      <c r="CE95" s="1"/>
      <c r="CF95" s="284">
        <v>45.787396978021981</v>
      </c>
      <c r="CG95" s="1">
        <v>1.526246565934066</v>
      </c>
      <c r="CH95" s="1">
        <v>1.5313513049450549</v>
      </c>
      <c r="CI95" s="1" t="s">
        <v>776</v>
      </c>
      <c r="CJ95" s="1"/>
      <c r="CK95" s="284">
        <v>161.13999999999999</v>
      </c>
      <c r="CL95" s="1">
        <v>5.3713333333333333</v>
      </c>
      <c r="CM95" s="1">
        <v>2.7783964029697898</v>
      </c>
      <c r="CN95" s="1">
        <v>20.34</v>
      </c>
      <c r="CO95" s="1"/>
      <c r="CP95" s="284">
        <v>157.155</v>
      </c>
      <c r="CQ95" s="1">
        <v>5.2385000000000002</v>
      </c>
      <c r="CR95" s="1">
        <v>6.4844801523297493</v>
      </c>
      <c r="CS95" s="1">
        <v>12.54</v>
      </c>
      <c r="CT95" s="1"/>
      <c r="CU95" s="284">
        <v>153.029</v>
      </c>
      <c r="CV95" s="1">
        <v>5.1009666666666664</v>
      </c>
      <c r="CW95" s="1">
        <v>4.4486038850486418</v>
      </c>
      <c r="CX95" s="1">
        <v>12.35</v>
      </c>
      <c r="CZ95" s="269">
        <v>35.603000000000002</v>
      </c>
      <c r="DA95" s="1">
        <v>1.1867666666666667</v>
      </c>
      <c r="DB95" s="1"/>
      <c r="DC95" s="284">
        <v>12.522898351648353</v>
      </c>
      <c r="DD95" s="1">
        <v>0.41742994505494507</v>
      </c>
      <c r="DE95" s="1">
        <v>0.41166140109890109</v>
      </c>
      <c r="DF95" s="1" t="s">
        <v>776</v>
      </c>
      <c r="DG95" s="1"/>
      <c r="DH95" s="284">
        <f>DI95*30</f>
        <v>87.346396978021986</v>
      </c>
      <c r="DI95" s="5">
        <f t="shared" si="148"/>
        <v>2.9115465659340662</v>
      </c>
      <c r="DJ95" s="1">
        <f t="shared" ref="DJ95:DJ100" si="213">SUM(DI84:DI95)/12</f>
        <v>2.9134240676400869</v>
      </c>
      <c r="DK95" s="1"/>
      <c r="DL95" s="1"/>
      <c r="DM95" s="284">
        <f>DN95*30</f>
        <v>3889.90495467033</v>
      </c>
      <c r="DN95" s="1">
        <f t="shared" si="149"/>
        <v>129.663498489011</v>
      </c>
      <c r="DO95" s="1">
        <f t="shared" ref="DO95:DO100" si="214">SUM(DN84:DN95)/12</f>
        <v>117.88800593573994</v>
      </c>
      <c r="DP95" s="1"/>
      <c r="DQ95" s="1"/>
      <c r="DR95" s="284">
        <f>DS95*30</f>
        <v>519.44989835164836</v>
      </c>
      <c r="DS95" s="1">
        <f t="shared" si="146"/>
        <v>17.314996611721611</v>
      </c>
      <c r="DT95" s="1" t="e">
        <f>SUM(CM95+CR95+CW95+#REF!+DE95)</f>
        <v>#REF!</v>
      </c>
      <c r="DU95" s="1"/>
      <c r="DV95" s="1"/>
      <c r="DW95" s="284">
        <f>DX95*30</f>
        <v>4409.3548530219787</v>
      </c>
      <c r="DX95" s="1">
        <f t="shared" si="211"/>
        <v>146.97849510073263</v>
      </c>
      <c r="DY95" s="1">
        <f t="shared" si="212"/>
        <v>132.35470431126672</v>
      </c>
      <c r="DZ95" s="1"/>
      <c r="EB95" s="242">
        <v>4.33</v>
      </c>
      <c r="EI95" s="1">
        <f t="shared" si="171"/>
        <v>15.533000000000001</v>
      </c>
      <c r="EJ95" s="1">
        <f t="shared" si="172"/>
        <v>12.994113248847928</v>
      </c>
      <c r="EK95" s="1">
        <f t="shared" si="210"/>
        <v>-2.5388867511520736</v>
      </c>
      <c r="EL95">
        <v>2005</v>
      </c>
      <c r="EM95" t="s">
        <v>705</v>
      </c>
      <c r="EN95" t="s">
        <v>841</v>
      </c>
      <c r="EO95">
        <v>304.85000000000002</v>
      </c>
    </row>
    <row r="96" spans="1:145" x14ac:dyDescent="0.25">
      <c r="A96" s="8">
        <v>2005</v>
      </c>
      <c r="B96" t="s">
        <v>715</v>
      </c>
      <c r="D96" s="284">
        <v>310.95</v>
      </c>
      <c r="E96" s="1">
        <v>10.030645161290321</v>
      </c>
      <c r="F96" s="1">
        <v>10.41416129032258</v>
      </c>
      <c r="G96" s="1">
        <v>15.38</v>
      </c>
      <c r="M96" s="1"/>
      <c r="N96" s="284">
        <v>121.667</v>
      </c>
      <c r="O96" s="1">
        <v>3.9247419354838708</v>
      </c>
      <c r="P96" s="1">
        <v>3.5562910586277519</v>
      </c>
      <c r="Q96" s="1">
        <v>10.69</v>
      </c>
      <c r="R96" s="1"/>
      <c r="S96" s="284">
        <v>208.239</v>
      </c>
      <c r="T96" s="1">
        <v>6.7173870967741935</v>
      </c>
      <c r="U96" s="1">
        <v>6.3032576164874561</v>
      </c>
      <c r="V96" s="1">
        <v>13.9</v>
      </c>
      <c r="W96" s="88"/>
      <c r="X96" s="284">
        <v>820.43100000000004</v>
      </c>
      <c r="Y96" s="1">
        <v>26.46551612903226</v>
      </c>
      <c r="Z96" s="1">
        <v>25.054991884280597</v>
      </c>
      <c r="AA96" s="1">
        <v>38.880000000000003</v>
      </c>
      <c r="AB96" s="1"/>
      <c r="AC96" s="284">
        <v>1028.67</v>
      </c>
      <c r="AD96" s="1">
        <v>33.182903225806456</v>
      </c>
      <c r="AE96" s="1">
        <v>31.35824950076805</v>
      </c>
      <c r="AF96" s="1">
        <v>52.78</v>
      </c>
      <c r="AG96" s="1"/>
      <c r="AH96" s="284">
        <v>1969.143</v>
      </c>
      <c r="AI96" s="1">
        <v>63.520741935483869</v>
      </c>
      <c r="AJ96" s="1">
        <v>63.658940655401949</v>
      </c>
      <c r="AK96" s="1">
        <v>166.26</v>
      </c>
      <c r="AL96" s="1"/>
      <c r="AM96" s="284">
        <v>23.41</v>
      </c>
      <c r="AN96" s="1">
        <v>0.75516129032258061</v>
      </c>
      <c r="AO96" s="1">
        <v>0.79368814200400994</v>
      </c>
      <c r="AP96" s="1" t="s">
        <v>776</v>
      </c>
      <c r="AQ96" s="1"/>
      <c r="AR96" s="284">
        <v>161.28800000000001</v>
      </c>
      <c r="AS96" s="1">
        <v>5.2028387096774198</v>
      </c>
      <c r="AT96" s="1">
        <v>4.8727197346764735</v>
      </c>
      <c r="AU96" s="1" t="s">
        <v>776</v>
      </c>
      <c r="AV96" s="1"/>
      <c r="AW96" s="284">
        <v>12.917999999999999</v>
      </c>
      <c r="AX96" s="1">
        <v>0.41670967741935483</v>
      </c>
      <c r="AY96" s="1">
        <v>0.33848109121823189</v>
      </c>
      <c r="AZ96" s="1" t="s">
        <v>776</v>
      </c>
      <c r="BA96" s="1"/>
      <c r="BB96" s="284">
        <v>26.783000000000001</v>
      </c>
      <c r="BC96" s="1">
        <v>0.86396774193548387</v>
      </c>
      <c r="BD96" s="1">
        <v>0.86841711292478907</v>
      </c>
      <c r="BE96" s="1" t="s">
        <v>776</v>
      </c>
      <c r="BF96" s="1"/>
      <c r="BG96" s="284">
        <v>24.585000000000001</v>
      </c>
      <c r="BH96" s="1">
        <v>0.79306451612903228</v>
      </c>
      <c r="BI96" s="1">
        <v>0.85574343666694341</v>
      </c>
      <c r="BJ96" s="1" t="s">
        <v>776</v>
      </c>
      <c r="BK96" s="1"/>
      <c r="BL96" s="284">
        <v>141.1877967032967</v>
      </c>
      <c r="BM96" s="1">
        <v>4.554445054945055</v>
      </c>
      <c r="BN96" s="1">
        <v>4.0912419299450553</v>
      </c>
      <c r="BO96" s="1" t="s">
        <v>776</v>
      </c>
      <c r="BP96" s="1"/>
      <c r="BQ96" s="284">
        <v>16.382999999999999</v>
      </c>
      <c r="BR96" s="1">
        <v>0.52848387096774185</v>
      </c>
      <c r="BS96" s="1">
        <v>0.55765295974142182</v>
      </c>
      <c r="BT96" s="1" t="s">
        <v>776</v>
      </c>
      <c r="BU96" s="1"/>
      <c r="BV96" s="284">
        <v>6.7350000000000003</v>
      </c>
      <c r="BW96" s="1">
        <v>0.21725806451612903</v>
      </c>
      <c r="BX96" s="1">
        <v>0.23290438413589512</v>
      </c>
      <c r="BY96" s="1" t="s">
        <v>776</v>
      </c>
      <c r="BZ96" s="1"/>
      <c r="CA96" s="284">
        <v>16.030999999999999</v>
      </c>
      <c r="CB96" s="1">
        <v>0.5171290322580645</v>
      </c>
      <c r="CC96" s="1">
        <v>0.59236620865288037</v>
      </c>
      <c r="CD96" s="1" t="s">
        <v>776</v>
      </c>
      <c r="CE96" s="1"/>
      <c r="CF96" s="284">
        <v>47.313643543956047</v>
      </c>
      <c r="CG96" s="1">
        <v>1.526246565934066</v>
      </c>
      <c r="CH96" s="1">
        <v>1.53050051510989</v>
      </c>
      <c r="CI96" s="1" t="s">
        <v>776</v>
      </c>
      <c r="CJ96" s="1"/>
      <c r="CK96" s="284">
        <v>140.62100000000001</v>
      </c>
      <c r="CL96" s="1">
        <v>4.536161290322581</v>
      </c>
      <c r="CM96" s="1">
        <v>2.5611019585253456</v>
      </c>
      <c r="CN96" s="1">
        <v>11.61</v>
      </c>
      <c r="CO96" s="1"/>
      <c r="CP96" s="284">
        <v>154.553</v>
      </c>
      <c r="CQ96" s="1">
        <v>4.9855806451612903</v>
      </c>
      <c r="CR96" s="1">
        <v>6.0553801523297492</v>
      </c>
      <c r="CS96" s="1">
        <v>8.4290000000000003</v>
      </c>
      <c r="CT96" s="1"/>
      <c r="CU96" s="284">
        <v>137.113</v>
      </c>
      <c r="CV96" s="1">
        <v>4.423</v>
      </c>
      <c r="CW96" s="1">
        <v>4.471748329493086</v>
      </c>
      <c r="CX96" s="1">
        <v>8.4610000000000003</v>
      </c>
      <c r="CZ96" s="269">
        <v>34.398000000000003</v>
      </c>
      <c r="DA96" s="1">
        <v>1.1096129032258066</v>
      </c>
      <c r="DB96" s="1"/>
      <c r="DC96" s="284">
        <v>12.940328296703298</v>
      </c>
      <c r="DD96" s="1">
        <v>0.41742994505494507</v>
      </c>
      <c r="DE96" s="1">
        <v>0.41262282509157511</v>
      </c>
      <c r="DF96" s="1" t="s">
        <v>776</v>
      </c>
      <c r="DG96" s="1"/>
      <c r="DH96" s="284">
        <f>DI96*31</f>
        <v>86.462643543956034</v>
      </c>
      <c r="DI96" s="5">
        <f t="shared" si="148"/>
        <v>2.7891175336760012</v>
      </c>
      <c r="DJ96" s="1">
        <f t="shared" si="213"/>
        <v>2.9010952632119884</v>
      </c>
      <c r="DK96" s="1"/>
      <c r="DL96" s="1"/>
      <c r="DM96" s="284">
        <f>DN96*31</f>
        <v>3734.1391531593399</v>
      </c>
      <c r="DN96" s="1">
        <f t="shared" si="149"/>
        <v>120.45610171481742</v>
      </c>
      <c r="DO96" s="1">
        <f t="shared" si="214"/>
        <v>118.03552340532876</v>
      </c>
      <c r="DP96" s="1"/>
      <c r="DQ96" s="1"/>
      <c r="DR96" s="284">
        <f>DS96*31</f>
        <v>479.62532829670329</v>
      </c>
      <c r="DS96" s="1">
        <f t="shared" si="146"/>
        <v>15.471784783764623</v>
      </c>
      <c r="DT96" s="1" t="e">
        <f>SUM(CM96+CR96+CW96+#REF!+DE96)</f>
        <v>#REF!</v>
      </c>
      <c r="DU96" s="1"/>
      <c r="DV96" s="1"/>
      <c r="DW96" s="284">
        <f>DX96*31</f>
        <v>4213.7644814560435</v>
      </c>
      <c r="DX96" s="1">
        <f t="shared" si="211"/>
        <v>135.92788649858204</v>
      </c>
      <c r="DY96" s="1">
        <f t="shared" si="212"/>
        <v>132.37336868871918</v>
      </c>
      <c r="DZ96" s="1"/>
      <c r="EB96" s="242">
        <v>4.6100000000000003</v>
      </c>
      <c r="EI96" s="1">
        <f t="shared" si="171"/>
        <v>14.566806451612901</v>
      </c>
      <c r="EJ96" s="1">
        <f t="shared" si="172"/>
        <v>12.975263248847925</v>
      </c>
      <c r="EK96" s="1">
        <f t="shared" si="210"/>
        <v>-1.5915432027649761</v>
      </c>
      <c r="EL96">
        <v>2005</v>
      </c>
      <c r="EM96" t="s">
        <v>715</v>
      </c>
      <c r="EN96" t="s">
        <v>841</v>
      </c>
      <c r="EO96">
        <v>310.95</v>
      </c>
    </row>
    <row r="97" spans="1:145" x14ac:dyDescent="0.25">
      <c r="A97" s="8">
        <v>2005</v>
      </c>
      <c r="B97" t="s">
        <v>718</v>
      </c>
      <c r="D97" s="284">
        <v>288.44099999999997</v>
      </c>
      <c r="E97" s="1">
        <v>9.6146999999999991</v>
      </c>
      <c r="F97" s="1">
        <v>10.391096774193548</v>
      </c>
      <c r="G97" s="1">
        <v>12.74</v>
      </c>
      <c r="M97" s="1"/>
      <c r="N97" s="284">
        <v>116.399</v>
      </c>
      <c r="O97" s="1">
        <v>3.8799666666666668</v>
      </c>
      <c r="P97" s="1">
        <v>3.5511996607782894</v>
      </c>
      <c r="Q97" s="1">
        <v>10.3</v>
      </c>
      <c r="R97" s="1"/>
      <c r="S97" s="284">
        <v>195.2</v>
      </c>
      <c r="T97" s="1">
        <v>6.5066666666666659</v>
      </c>
      <c r="U97" s="1">
        <v>6.2738463261648745</v>
      </c>
      <c r="V97" s="1">
        <v>13.37</v>
      </c>
      <c r="W97" s="88"/>
      <c r="X97" s="284">
        <v>821.03</v>
      </c>
      <c r="Y97" s="1">
        <v>27.367666666666665</v>
      </c>
      <c r="Z97" s="1">
        <v>25.032817153097799</v>
      </c>
      <c r="AA97" s="1">
        <v>37.729999999999997</v>
      </c>
      <c r="AB97" s="1"/>
      <c r="AC97" s="284">
        <v>1016.23</v>
      </c>
      <c r="AD97" s="1">
        <v>33.874333333333333</v>
      </c>
      <c r="AE97" s="1">
        <v>31.306663479262678</v>
      </c>
      <c r="AF97" s="1">
        <v>51.1</v>
      </c>
      <c r="AG97" s="1"/>
      <c r="AH97" s="284">
        <v>1752.43</v>
      </c>
      <c r="AI97" s="1">
        <v>58.414333333333339</v>
      </c>
      <c r="AJ97" s="1">
        <v>63.713653020993348</v>
      </c>
      <c r="AK97" s="1">
        <v>183.197</v>
      </c>
      <c r="AL97" s="1"/>
      <c r="AM97" s="284">
        <v>20.535</v>
      </c>
      <c r="AN97" s="1">
        <v>0.6845</v>
      </c>
      <c r="AO97" s="1">
        <v>0.78987966114195929</v>
      </c>
      <c r="AP97" s="1" t="s">
        <v>776</v>
      </c>
      <c r="AQ97" s="1"/>
      <c r="AR97" s="284">
        <v>145.35400000000001</v>
      </c>
      <c r="AS97" s="1">
        <v>4.845133333333334</v>
      </c>
      <c r="AT97" s="1">
        <v>4.9380217700067348</v>
      </c>
      <c r="AU97" s="1" t="s">
        <v>776</v>
      </c>
      <c r="AV97" s="1"/>
      <c r="AW97" s="284">
        <v>10.666</v>
      </c>
      <c r="AX97" s="1">
        <v>0.35553333333333337</v>
      </c>
      <c r="AY97" s="1">
        <v>0.34392853005974927</v>
      </c>
      <c r="AZ97" s="1" t="s">
        <v>776</v>
      </c>
      <c r="BA97" s="1"/>
      <c r="BB97" s="284">
        <v>22.581</v>
      </c>
      <c r="BC97" s="1">
        <v>0.75270000000000004</v>
      </c>
      <c r="BD97" s="1">
        <v>0.87488763903846023</v>
      </c>
      <c r="BE97" s="1" t="s">
        <v>776</v>
      </c>
      <c r="BF97" s="1"/>
      <c r="BG97" s="284">
        <v>25.434999999999999</v>
      </c>
      <c r="BH97" s="1">
        <v>0.84783333333333333</v>
      </c>
      <c r="BI97" s="1">
        <v>0.84990952729674385</v>
      </c>
      <c r="BJ97" s="1" t="s">
        <v>776</v>
      </c>
      <c r="BK97" s="1"/>
      <c r="BL97" s="284">
        <v>136.63335164835166</v>
      </c>
      <c r="BM97" s="1">
        <v>4.554445054945055</v>
      </c>
      <c r="BN97" s="1">
        <v>4.1838825549450549</v>
      </c>
      <c r="BO97" s="1" t="s">
        <v>776</v>
      </c>
      <c r="BP97" s="1"/>
      <c r="BQ97" s="284">
        <v>15.782</v>
      </c>
      <c r="BR97" s="1">
        <v>0.52606666666666668</v>
      </c>
      <c r="BS97" s="1">
        <v>0.55446709184587639</v>
      </c>
      <c r="BT97" s="1" t="s">
        <v>776</v>
      </c>
      <c r="BU97" s="1"/>
      <c r="BV97" s="284">
        <v>5.2089999999999996</v>
      </c>
      <c r="BW97" s="1">
        <v>0.17363333333333333</v>
      </c>
      <c r="BX97" s="1">
        <v>0.23373838951223924</v>
      </c>
      <c r="BY97" s="1" t="s">
        <v>776</v>
      </c>
      <c r="BZ97" s="1"/>
      <c r="CA97" s="284">
        <v>14.769</v>
      </c>
      <c r="CB97" s="1">
        <v>0.49230000000000002</v>
      </c>
      <c r="CC97" s="1">
        <v>0.58324005657914757</v>
      </c>
      <c r="CD97" s="1" t="s">
        <v>776</v>
      </c>
      <c r="CE97" s="1"/>
      <c r="CF97" s="284">
        <v>45.787396978021981</v>
      </c>
      <c r="CG97" s="1">
        <v>1.526246565934066</v>
      </c>
      <c r="CH97" s="1">
        <v>1.5296497252747254</v>
      </c>
      <c r="CI97" s="1" t="s">
        <v>776</v>
      </c>
      <c r="CJ97" s="1"/>
      <c r="CK97" s="284">
        <v>118.27</v>
      </c>
      <c r="CL97" s="1">
        <v>3.942333333333333</v>
      </c>
      <c r="CM97" s="1">
        <v>2.6263465821812599</v>
      </c>
      <c r="CN97" s="1">
        <v>10.08</v>
      </c>
      <c r="CO97" s="1"/>
      <c r="CP97" s="284">
        <v>150.58500000000001</v>
      </c>
      <c r="CQ97" s="1">
        <v>5.0194999999999999</v>
      </c>
      <c r="CR97" s="1">
        <v>5.8727054211469536</v>
      </c>
      <c r="CS97" s="1">
        <v>8.8979999999999997</v>
      </c>
      <c r="CT97" s="1"/>
      <c r="CU97" s="284">
        <v>139.089</v>
      </c>
      <c r="CV97" s="1">
        <v>4.6363000000000003</v>
      </c>
      <c r="CW97" s="1">
        <v>4.4417456413210443</v>
      </c>
      <c r="CX97" s="1">
        <v>8.4760000000000009</v>
      </c>
      <c r="CZ97" s="269">
        <v>30.048999999999999</v>
      </c>
      <c r="DA97" s="6">
        <v>1.0016333333333334</v>
      </c>
      <c r="DB97" s="1"/>
      <c r="DC97" s="284">
        <v>12.522898351648353</v>
      </c>
      <c r="DD97" s="1">
        <v>0.41742994505494507</v>
      </c>
      <c r="DE97" s="1">
        <v>0.41358424908424912</v>
      </c>
      <c r="DF97" s="1" t="s">
        <v>776</v>
      </c>
      <c r="DG97" s="1"/>
      <c r="DH97" s="284">
        <f>DI97*30</f>
        <v>81.547396978021979</v>
      </c>
      <c r="DI97" s="5">
        <f t="shared" si="148"/>
        <v>2.718246565934066</v>
      </c>
      <c r="DJ97" s="1">
        <f t="shared" si="213"/>
        <v>2.8928037589503002</v>
      </c>
      <c r="DK97" s="1"/>
      <c r="DL97" s="1"/>
      <c r="DM97" s="284">
        <f>DN97*30</f>
        <v>3453.1569546703295</v>
      </c>
      <c r="DN97" s="1">
        <f t="shared" si="149"/>
        <v>115.10523182234431</v>
      </c>
      <c r="DO97" s="1">
        <f t="shared" si="214"/>
        <v>118.063971840146</v>
      </c>
      <c r="DP97" s="1"/>
      <c r="DQ97" s="1"/>
      <c r="DR97" s="284">
        <f>DS97*30</f>
        <v>450.51589835164839</v>
      </c>
      <c r="DS97" s="1">
        <f t="shared" si="146"/>
        <v>15.017196611721612</v>
      </c>
      <c r="DT97" s="1" t="e">
        <f>SUM(CM97+CR97+CW97+#REF!+DE97)</f>
        <v>#REF!</v>
      </c>
      <c r="DU97" s="1"/>
      <c r="DV97" s="1"/>
      <c r="DW97" s="284">
        <f>DX97*30</f>
        <v>3903.6728530219771</v>
      </c>
      <c r="DX97" s="1">
        <f t="shared" si="211"/>
        <v>130.12242843406591</v>
      </c>
      <c r="DY97" s="1">
        <f t="shared" si="212"/>
        <v>132.27275354752908</v>
      </c>
      <c r="DZ97" s="1"/>
      <c r="EB97" s="242">
        <v>2.87</v>
      </c>
      <c r="EI97" s="1">
        <f t="shared" si="171"/>
        <v>13.557033333333333</v>
      </c>
      <c r="EJ97" s="1">
        <f t="shared" si="172"/>
        <v>13.017443356374807</v>
      </c>
      <c r="EK97" s="1">
        <f t="shared" si="210"/>
        <v>-0.53958997695852595</v>
      </c>
      <c r="EL97">
        <v>2005</v>
      </c>
      <c r="EM97" t="s">
        <v>718</v>
      </c>
      <c r="EN97" t="s">
        <v>841</v>
      </c>
      <c r="EO97">
        <v>288.44099999999997</v>
      </c>
    </row>
    <row r="98" spans="1:145" x14ac:dyDescent="0.25">
      <c r="A98" s="8">
        <v>2005</v>
      </c>
      <c r="B98" t="s">
        <v>716</v>
      </c>
      <c r="D98" s="284">
        <v>301.488</v>
      </c>
      <c r="E98" s="1">
        <v>9.72541935483871</v>
      </c>
      <c r="F98" s="1">
        <v>10.373599551971326</v>
      </c>
      <c r="G98" s="1">
        <v>16.760000000000002</v>
      </c>
      <c r="M98" s="1"/>
      <c r="N98" s="284">
        <v>124.518</v>
      </c>
      <c r="O98" s="1">
        <v>4.0167096774193549</v>
      </c>
      <c r="P98" s="1">
        <v>3.550030216333846</v>
      </c>
      <c r="Q98" s="1">
        <v>11.05</v>
      </c>
      <c r="R98" s="1"/>
      <c r="S98" s="284">
        <v>196.94900000000001</v>
      </c>
      <c r="T98" s="1">
        <v>6.3531935483870976</v>
      </c>
      <c r="U98" s="1">
        <v>6.2709574372759853</v>
      </c>
      <c r="V98" s="1">
        <v>17.079999999999998</v>
      </c>
      <c r="W98" s="88"/>
      <c r="X98" s="284">
        <v>851.07</v>
      </c>
      <c r="Y98" s="1">
        <v>27.453870967741938</v>
      </c>
      <c r="Z98" s="1">
        <v>25.16726159754224</v>
      </c>
      <c r="AA98" s="1">
        <v>42.13</v>
      </c>
      <c r="AB98" s="1"/>
      <c r="AC98" s="284">
        <v>1048.019</v>
      </c>
      <c r="AD98" s="1">
        <v>33.807064516129032</v>
      </c>
      <c r="AE98" s="1">
        <v>31.438219034818228</v>
      </c>
      <c r="AF98" s="1">
        <v>59.21</v>
      </c>
      <c r="AG98" s="1"/>
      <c r="AH98" s="284">
        <v>1846.63</v>
      </c>
      <c r="AI98" s="1">
        <v>59.568709677419356</v>
      </c>
      <c r="AJ98" s="1">
        <v>63.510875243215573</v>
      </c>
      <c r="AK98" s="1">
        <v>195.55</v>
      </c>
      <c r="AL98" s="1"/>
      <c r="AM98" s="284">
        <v>20.286000000000001</v>
      </c>
      <c r="AN98" s="1">
        <v>0.6543870967741936</v>
      </c>
      <c r="AO98" s="1">
        <v>0.79301274447529257</v>
      </c>
      <c r="AP98" s="1" t="s">
        <v>776</v>
      </c>
      <c r="AQ98" s="1"/>
      <c r="AR98" s="284">
        <v>150.321</v>
      </c>
      <c r="AS98" s="1">
        <v>4.8490645161290322</v>
      </c>
      <c r="AT98" s="1">
        <v>4.951608158895624</v>
      </c>
      <c r="AU98" s="1" t="s">
        <v>776</v>
      </c>
      <c r="AV98" s="1"/>
      <c r="AW98" s="284">
        <v>14.57</v>
      </c>
      <c r="AX98" s="1">
        <v>0.47</v>
      </c>
      <c r="AY98" s="1">
        <v>0.34428214117086048</v>
      </c>
      <c r="AZ98" s="1" t="s">
        <v>776</v>
      </c>
      <c r="BA98" s="1"/>
      <c r="BB98" s="284">
        <v>22.513000000000002</v>
      </c>
      <c r="BC98" s="1">
        <v>0.72622580645161294</v>
      </c>
      <c r="BD98" s="1">
        <v>0.86128469459401602</v>
      </c>
      <c r="BE98" s="1" t="s">
        <v>776</v>
      </c>
      <c r="BF98" s="1"/>
      <c r="BG98" s="284">
        <v>17.699000000000002</v>
      </c>
      <c r="BH98" s="1">
        <v>0.57093548387096782</v>
      </c>
      <c r="BI98" s="1">
        <v>0.86384458285229948</v>
      </c>
      <c r="BJ98" s="1" t="s">
        <v>776</v>
      </c>
      <c r="BK98" s="1"/>
      <c r="BL98" s="284">
        <v>141.1877967032967</v>
      </c>
      <c r="BM98" s="1">
        <v>4.554445054945055</v>
      </c>
      <c r="BN98" s="1">
        <v>4.2765231799450554</v>
      </c>
      <c r="BO98" s="1" t="s">
        <v>776</v>
      </c>
      <c r="BP98" s="1"/>
      <c r="BQ98" s="284">
        <v>16.050999999999998</v>
      </c>
      <c r="BR98" s="1">
        <v>0.51777419354838705</v>
      </c>
      <c r="BS98" s="1">
        <v>0.55067709184587643</v>
      </c>
      <c r="BT98" s="1" t="s">
        <v>776</v>
      </c>
      <c r="BU98" s="1"/>
      <c r="BV98" s="284">
        <v>5.73</v>
      </c>
      <c r="BW98" s="1">
        <v>0.18483870967741936</v>
      </c>
      <c r="BX98" s="1">
        <v>0.23243901675238263</v>
      </c>
      <c r="BY98" s="1" t="s">
        <v>776</v>
      </c>
      <c r="BZ98" s="1"/>
      <c r="CA98" s="284">
        <v>17.437999999999999</v>
      </c>
      <c r="CB98" s="1">
        <v>0.56251612903225801</v>
      </c>
      <c r="CC98" s="1">
        <v>0.58088871491248095</v>
      </c>
      <c r="CD98" s="1" t="s">
        <v>776</v>
      </c>
      <c r="CE98" s="1"/>
      <c r="CF98" s="284">
        <v>47.313643543956047</v>
      </c>
      <c r="CG98" s="1">
        <v>1.526246565934066</v>
      </c>
      <c r="CH98" s="1">
        <v>1.5287989354395606</v>
      </c>
      <c r="CI98" s="1" t="s">
        <v>776</v>
      </c>
      <c r="CJ98" s="1"/>
      <c r="CK98" s="284">
        <v>82.402000000000001</v>
      </c>
      <c r="CL98" s="1">
        <v>2.6581290322580644</v>
      </c>
      <c r="CM98" s="1">
        <v>2.6677632488479266</v>
      </c>
      <c r="CN98" s="1">
        <v>15.47</v>
      </c>
      <c r="CO98" s="1"/>
      <c r="CP98" s="284">
        <v>175.33600000000001</v>
      </c>
      <c r="CQ98" s="1">
        <v>5.6560000000000006</v>
      </c>
      <c r="CR98" s="1">
        <v>5.7070304211469534</v>
      </c>
      <c r="CS98" s="1">
        <v>12.467000000000001</v>
      </c>
      <c r="CT98" s="1"/>
      <c r="CU98" s="284">
        <v>150.80199999999999</v>
      </c>
      <c r="CV98" s="1">
        <v>4.8645806451612899</v>
      </c>
      <c r="CW98" s="1">
        <v>4.4406761968765993</v>
      </c>
      <c r="CX98" s="1">
        <v>11</v>
      </c>
      <c r="CZ98" s="269">
        <v>32.103999999999999</v>
      </c>
      <c r="DA98" s="6">
        <v>1.0356129032258063</v>
      </c>
      <c r="DB98" s="1"/>
      <c r="DC98" s="284">
        <v>12.940328296703298</v>
      </c>
      <c r="DD98" s="1">
        <v>0.41742994505494507</v>
      </c>
      <c r="DE98" s="1">
        <v>0.41454567307692308</v>
      </c>
      <c r="DF98" s="1" t="s">
        <v>776</v>
      </c>
      <c r="DG98" s="1"/>
      <c r="DH98" s="284">
        <f>DI98*31</f>
        <v>86.532643543956041</v>
      </c>
      <c r="DI98" s="5">
        <f t="shared" si="148"/>
        <v>2.7913755981921304</v>
      </c>
      <c r="DJ98" s="1">
        <f t="shared" si="213"/>
        <v>2.8664285235506193</v>
      </c>
      <c r="DK98" s="1"/>
      <c r="DL98" s="1"/>
      <c r="DM98" s="284">
        <f>DN98*31</f>
        <v>3600.6991531593403</v>
      </c>
      <c r="DN98" s="1">
        <f t="shared" si="149"/>
        <v>116.15158558578517</v>
      </c>
      <c r="DO98" s="1">
        <f t="shared" si="214"/>
        <v>117.69440915551877</v>
      </c>
      <c r="DP98" s="1"/>
      <c r="DQ98" s="1"/>
      <c r="DR98" s="284">
        <f>DS98*31</f>
        <v>453.58432829670329</v>
      </c>
      <c r="DS98" s="1">
        <f t="shared" si="146"/>
        <v>14.631752525700106</v>
      </c>
      <c r="DT98" s="1" t="e">
        <f>SUM(CM98+CR98+CW98+#REF!+DE98)</f>
        <v>#REF!</v>
      </c>
      <c r="DU98" s="1"/>
      <c r="DV98" s="1"/>
      <c r="DW98" s="284">
        <f>DX98*31</f>
        <v>4054.2834814560438</v>
      </c>
      <c r="DX98" s="1">
        <f t="shared" si="211"/>
        <v>130.78333811148528</v>
      </c>
      <c r="DY98" s="1">
        <f t="shared" si="212"/>
        <v>131.814179168615</v>
      </c>
      <c r="DZ98" s="1"/>
      <c r="EB98" s="242">
        <v>6.06</v>
      </c>
      <c r="EI98" s="1">
        <f t="shared" si="171"/>
        <v>12.383548387096774</v>
      </c>
      <c r="EJ98" s="1">
        <f t="shared" si="172"/>
        <v>13.041362800819252</v>
      </c>
      <c r="EK98" s="1">
        <f t="shared" si="210"/>
        <v>0.65781441372247862</v>
      </c>
      <c r="EL98">
        <v>2005</v>
      </c>
      <c r="EM98" t="s">
        <v>716</v>
      </c>
      <c r="EN98" t="s">
        <v>841</v>
      </c>
      <c r="EO98">
        <v>301.488</v>
      </c>
    </row>
    <row r="99" spans="1:145" x14ac:dyDescent="0.25">
      <c r="A99" s="8">
        <v>2005</v>
      </c>
      <c r="B99" t="s">
        <v>708</v>
      </c>
      <c r="D99" s="284">
        <v>282.56599999999997</v>
      </c>
      <c r="E99" s="1">
        <v>9.1150322580645149</v>
      </c>
      <c r="F99" s="1">
        <v>10.384803853046595</v>
      </c>
      <c r="G99" s="1">
        <v>12.25</v>
      </c>
      <c r="M99" s="1"/>
      <c r="N99" s="284">
        <v>115.07</v>
      </c>
      <c r="O99" s="1">
        <v>3.7119354838709677</v>
      </c>
      <c r="P99" s="1">
        <v>3.5583716141833084</v>
      </c>
      <c r="Q99" s="1">
        <v>6.1</v>
      </c>
      <c r="R99" s="1"/>
      <c r="S99" s="284">
        <v>177.852</v>
      </c>
      <c r="T99" s="1">
        <v>5.7371612903225806</v>
      </c>
      <c r="U99" s="1">
        <v>6.2794224910394272</v>
      </c>
      <c r="V99" s="1">
        <v>8.07</v>
      </c>
      <c r="W99" s="88"/>
      <c r="X99" s="284">
        <v>803.83600000000001</v>
      </c>
      <c r="Y99" s="1">
        <v>25.930193548387098</v>
      </c>
      <c r="Z99" s="1">
        <v>25.360326113671274</v>
      </c>
      <c r="AA99" s="1">
        <v>31.66</v>
      </c>
      <c r="AB99" s="1"/>
      <c r="AC99" s="284">
        <v>981.68799999999999</v>
      </c>
      <c r="AD99" s="1">
        <v>31.667354838709677</v>
      </c>
      <c r="AE99" s="1">
        <v>31.6397486047107</v>
      </c>
      <c r="AF99" s="1">
        <v>39.729999999999997</v>
      </c>
      <c r="AG99" s="1"/>
      <c r="AH99" s="284">
        <v>1639.8209999999999</v>
      </c>
      <c r="AI99" s="1">
        <v>52.897451612903225</v>
      </c>
      <c r="AJ99" s="1">
        <v>62.814235458269344</v>
      </c>
      <c r="AK99" s="1">
        <v>109.63</v>
      </c>
      <c r="AL99" s="1"/>
      <c r="AM99" s="284">
        <v>19.728000000000002</v>
      </c>
      <c r="AN99" s="1">
        <v>0.63638709677419358</v>
      </c>
      <c r="AO99" s="1">
        <v>0.78834876598066883</v>
      </c>
      <c r="AP99" s="1" t="s">
        <v>776</v>
      </c>
      <c r="AQ99" s="1"/>
      <c r="AR99" s="284">
        <v>145.51400000000001</v>
      </c>
      <c r="AS99" s="1">
        <v>4.694</v>
      </c>
      <c r="AT99" s="1">
        <v>4.9587963309386351</v>
      </c>
      <c r="AU99" s="1" t="s">
        <v>776</v>
      </c>
      <c r="AV99" s="1"/>
      <c r="AW99" s="284">
        <v>10.654</v>
      </c>
      <c r="AX99" s="1">
        <v>0.3436774193548387</v>
      </c>
      <c r="AY99" s="1">
        <v>0.36179558203107548</v>
      </c>
      <c r="AZ99" s="1" t="s">
        <v>776</v>
      </c>
      <c r="BA99" s="1"/>
      <c r="BB99" s="284">
        <v>17.260999999999999</v>
      </c>
      <c r="BC99" s="1">
        <v>0.55680645161290321</v>
      </c>
      <c r="BD99" s="1">
        <v>0.85990767846498362</v>
      </c>
      <c r="BE99" s="1" t="s">
        <v>776</v>
      </c>
      <c r="BF99" s="1"/>
      <c r="BG99" s="284">
        <v>17.419</v>
      </c>
      <c r="BH99" s="1">
        <v>0.56190322580645158</v>
      </c>
      <c r="BI99" s="1">
        <v>0.83216993567488007</v>
      </c>
      <c r="BJ99" s="1" t="s">
        <v>776</v>
      </c>
      <c r="BK99" s="1"/>
      <c r="BL99" s="284">
        <v>141.1877967032967</v>
      </c>
      <c r="BM99" s="1">
        <v>4.554445054945055</v>
      </c>
      <c r="BN99" s="1">
        <v>4.3691638049450559</v>
      </c>
      <c r="BO99" s="1" t="s">
        <v>776</v>
      </c>
      <c r="BP99" s="1"/>
      <c r="BQ99" s="284">
        <v>16.175999999999998</v>
      </c>
      <c r="BR99" s="1">
        <v>0.52180645161290318</v>
      </c>
      <c r="BS99" s="1">
        <v>0.54335988754480102</v>
      </c>
      <c r="BT99" s="1" t="s">
        <v>776</v>
      </c>
      <c r="BU99" s="1"/>
      <c r="BV99" s="284">
        <v>4.3029999999999999</v>
      </c>
      <c r="BW99" s="1">
        <v>0.13880645161290323</v>
      </c>
      <c r="BX99" s="1">
        <v>0.22751428556958697</v>
      </c>
      <c r="BY99" s="1" t="s">
        <v>776</v>
      </c>
      <c r="BZ99" s="1"/>
      <c r="CA99" s="284">
        <v>15.552</v>
      </c>
      <c r="CB99" s="1">
        <v>0.50167741935483867</v>
      </c>
      <c r="CC99" s="1">
        <v>0.56760620483183577</v>
      </c>
      <c r="CD99" s="1" t="s">
        <v>776</v>
      </c>
      <c r="CE99" s="1"/>
      <c r="CF99" s="284">
        <v>47.313643543956047</v>
      </c>
      <c r="CG99" s="1">
        <v>1.526246565934066</v>
      </c>
      <c r="CH99" s="1">
        <v>1.5279481456043957</v>
      </c>
      <c r="CI99" s="1" t="s">
        <v>776</v>
      </c>
      <c r="CJ99" s="1"/>
      <c r="CK99" s="284">
        <v>31.808</v>
      </c>
      <c r="CL99" s="1">
        <v>1.0260645161290323</v>
      </c>
      <c r="CM99" s="1">
        <v>2.6335213133640551</v>
      </c>
      <c r="CN99" s="1">
        <v>8.82</v>
      </c>
      <c r="CO99" s="1"/>
      <c r="CP99" s="284">
        <v>167.60300000000001</v>
      </c>
      <c r="CQ99" s="1">
        <v>5.4065483870967741</v>
      </c>
      <c r="CR99" s="1">
        <v>5.6210626792114695</v>
      </c>
      <c r="CS99" s="1">
        <v>9.9250000000000007</v>
      </c>
      <c r="CT99" s="1"/>
      <c r="CU99" s="284">
        <v>134.577</v>
      </c>
      <c r="CV99" s="1">
        <v>4.3411935483870971</v>
      </c>
      <c r="CW99" s="1">
        <v>4.4735982398873517</v>
      </c>
      <c r="CX99" s="1">
        <v>7.3209999999999997</v>
      </c>
      <c r="CZ99" s="269">
        <v>26.940999999999999</v>
      </c>
      <c r="DA99" s="1">
        <v>0.86906451612903224</v>
      </c>
      <c r="DB99" s="1"/>
      <c r="DC99" s="284">
        <v>12.940328296703298</v>
      </c>
      <c r="DD99" s="1">
        <v>0.41742994505494507</v>
      </c>
      <c r="DE99" s="1">
        <v>0.4155070970695971</v>
      </c>
      <c r="DF99" s="1" t="s">
        <v>776</v>
      </c>
      <c r="DG99" s="1"/>
      <c r="DH99" s="284">
        <f>DI99*31</f>
        <v>83.344643543956039</v>
      </c>
      <c r="DI99" s="5">
        <f t="shared" si="148"/>
        <v>2.6885368885147107</v>
      </c>
      <c r="DJ99" s="1">
        <f t="shared" si="213"/>
        <v>2.8312408161527323</v>
      </c>
      <c r="DK99" s="1"/>
      <c r="DL99" s="1"/>
      <c r="DM99" s="284">
        <f>DN99*31</f>
        <v>3287.5641531593405</v>
      </c>
      <c r="DN99" s="1">
        <f t="shared" si="149"/>
        <v>106.05045655352711</v>
      </c>
      <c r="DO99" s="1">
        <f t="shared" si="214"/>
        <v>116.22936096551523</v>
      </c>
      <c r="DP99" s="1"/>
      <c r="DQ99" s="1"/>
      <c r="DR99" s="284">
        <f>DS99*31</f>
        <v>373.86932829670326</v>
      </c>
      <c r="DS99" s="1">
        <f t="shared" si="146"/>
        <v>12.06030091279688</v>
      </c>
      <c r="DT99" s="1" t="e">
        <f>SUM(CM99+CR99+CW99+#REF!+DE99)</f>
        <v>#REF!</v>
      </c>
      <c r="DU99" s="1"/>
      <c r="DV99" s="1"/>
      <c r="DW99" s="284">
        <f>DX99*31</f>
        <v>3661.4334814560439</v>
      </c>
      <c r="DX99" s="1">
        <f t="shared" ref="DX99:DX104" si="215">SUM(DN99+DS99)</f>
        <v>118.11075746632399</v>
      </c>
      <c r="DY99" s="1">
        <f t="shared" ref="DY99:DY104" si="216">SUM(DX88:DX99)/12</f>
        <v>130.19242779686934</v>
      </c>
      <c r="DZ99" s="1"/>
      <c r="EB99" s="242">
        <v>2.33</v>
      </c>
      <c r="EI99" s="1">
        <f t="shared" si="171"/>
        <v>10.141096774193548</v>
      </c>
      <c r="EJ99" s="1">
        <f t="shared" si="172"/>
        <v>13.01832516641065</v>
      </c>
      <c r="EK99" s="1">
        <f t="shared" si="210"/>
        <v>2.877228392217102</v>
      </c>
      <c r="EL99">
        <v>2005</v>
      </c>
      <c r="EM99" t="s">
        <v>708</v>
      </c>
      <c r="EN99" t="s">
        <v>841</v>
      </c>
      <c r="EO99">
        <v>282.56599999999997</v>
      </c>
    </row>
    <row r="100" spans="1:145" x14ac:dyDescent="0.25">
      <c r="A100" s="8">
        <v>2005</v>
      </c>
      <c r="B100" t="s">
        <v>709</v>
      </c>
      <c r="D100" s="284">
        <v>264.21600000000001</v>
      </c>
      <c r="E100" s="1">
        <v>8.8071999999999999</v>
      </c>
      <c r="F100" s="1">
        <v>10.335707078853046</v>
      </c>
      <c r="G100" s="1">
        <v>12.82</v>
      </c>
      <c r="M100" s="1"/>
      <c r="N100" s="284">
        <v>108.313</v>
      </c>
      <c r="O100" s="1">
        <v>3.6104333333333334</v>
      </c>
      <c r="P100" s="1">
        <v>3.5572912378392219</v>
      </c>
      <c r="Q100" s="1">
        <v>6.5179999999999998</v>
      </c>
      <c r="R100" s="1"/>
      <c r="S100" s="284">
        <v>150.25</v>
      </c>
      <c r="T100" s="1">
        <v>5.0083333333333337</v>
      </c>
      <c r="U100" s="1">
        <v>6.2475730286738349</v>
      </c>
      <c r="V100" s="1">
        <v>7.46</v>
      </c>
      <c r="W100" s="88"/>
      <c r="X100" s="284">
        <v>707.15</v>
      </c>
      <c r="Y100" s="1">
        <v>23.571666666666665</v>
      </c>
      <c r="Z100" s="1">
        <v>25.412412135176648</v>
      </c>
      <c r="AA100" s="1">
        <v>30.29</v>
      </c>
      <c r="AB100" s="1"/>
      <c r="AC100" s="284">
        <v>857.4</v>
      </c>
      <c r="AD100" s="1">
        <v>28.58</v>
      </c>
      <c r="AE100" s="1">
        <v>31.659985163850479</v>
      </c>
      <c r="AF100" s="1">
        <v>37.75</v>
      </c>
      <c r="AG100" s="1"/>
      <c r="AH100" s="284">
        <v>1654.12</v>
      </c>
      <c r="AI100" s="1">
        <v>55.137333333333331</v>
      </c>
      <c r="AJ100" s="1">
        <v>61.341200512032778</v>
      </c>
      <c r="AK100" s="1">
        <v>102.95</v>
      </c>
      <c r="AL100" s="1"/>
      <c r="AM100" s="284">
        <v>11.093</v>
      </c>
      <c r="AN100" s="1">
        <v>0.36976666666666669</v>
      </c>
      <c r="AO100" s="1">
        <v>0.77134876598066882</v>
      </c>
      <c r="AP100" s="1" t="s">
        <v>776</v>
      </c>
      <c r="AQ100" s="1"/>
      <c r="AR100" s="284">
        <v>105.727</v>
      </c>
      <c r="AS100" s="1">
        <v>3.5242333333333336</v>
      </c>
      <c r="AT100" s="1">
        <v>4.9250269760999261</v>
      </c>
      <c r="AU100" s="1" t="s">
        <v>776</v>
      </c>
      <c r="AV100" s="1"/>
      <c r="AW100" s="284">
        <v>7.4749999999999996</v>
      </c>
      <c r="AX100" s="1">
        <v>0.24916666666666665</v>
      </c>
      <c r="AY100" s="1">
        <v>0.37366592342892496</v>
      </c>
      <c r="AZ100" s="1" t="s">
        <v>776</v>
      </c>
      <c r="BA100" s="1"/>
      <c r="BB100" s="284">
        <v>20.356999999999999</v>
      </c>
      <c r="BC100" s="1">
        <v>0.67856666666666665</v>
      </c>
      <c r="BD100" s="1">
        <v>0.83802488276605891</v>
      </c>
      <c r="BE100" s="1" t="s">
        <v>776</v>
      </c>
      <c r="BF100" s="1"/>
      <c r="BG100" s="284">
        <v>12.553000000000001</v>
      </c>
      <c r="BH100" s="1">
        <v>0.41843333333333338</v>
      </c>
      <c r="BI100" s="1">
        <v>0.80305076004764009</v>
      </c>
      <c r="BJ100" s="1" t="s">
        <v>776</v>
      </c>
      <c r="BK100" s="1"/>
      <c r="BL100" s="284">
        <v>136.63335164835166</v>
      </c>
      <c r="BM100" s="1">
        <v>4.554445054945055</v>
      </c>
      <c r="BN100" s="1">
        <v>4.4618044299450554</v>
      </c>
      <c r="BO100" s="1" t="s">
        <v>776</v>
      </c>
      <c r="BP100" s="1"/>
      <c r="BQ100" s="284">
        <v>11.561999999999999</v>
      </c>
      <c r="BR100" s="1">
        <v>0.38539999999999996</v>
      </c>
      <c r="BS100" s="1">
        <v>0.53849653629032257</v>
      </c>
      <c r="BT100" s="1" t="s">
        <v>776</v>
      </c>
      <c r="BU100" s="1"/>
      <c r="BV100" s="284">
        <v>2.8860000000000001</v>
      </c>
      <c r="BW100" s="1">
        <v>9.6200000000000008E-2</v>
      </c>
      <c r="BX100" s="1">
        <v>0.21953982320399557</v>
      </c>
      <c r="BY100" s="1" t="s">
        <v>776</v>
      </c>
      <c r="BZ100" s="1"/>
      <c r="CA100" s="284">
        <v>14.173999999999999</v>
      </c>
      <c r="CB100" s="1">
        <v>0.47246666666666665</v>
      </c>
      <c r="CC100" s="1">
        <v>0.54610710088918335</v>
      </c>
      <c r="CD100" s="1" t="s">
        <v>776</v>
      </c>
      <c r="CE100" s="1"/>
      <c r="CF100" s="284">
        <v>45.787396978021981</v>
      </c>
      <c r="CG100" s="1">
        <v>1.526246565934066</v>
      </c>
      <c r="CH100" s="1">
        <v>1.5270973557692311</v>
      </c>
      <c r="CI100" s="1" t="s">
        <v>776</v>
      </c>
      <c r="CJ100" s="1"/>
      <c r="CK100" s="284">
        <v>45.097000000000001</v>
      </c>
      <c r="CL100" s="1">
        <v>1.5032333333333334</v>
      </c>
      <c r="CM100" s="1">
        <v>2.5105589477726578</v>
      </c>
      <c r="CN100" s="1">
        <v>11.97</v>
      </c>
      <c r="CO100" s="1"/>
      <c r="CP100" s="284">
        <v>158.464</v>
      </c>
      <c r="CQ100" s="1">
        <v>5.2821333333333333</v>
      </c>
      <c r="CR100" s="1">
        <v>5.556450044802868</v>
      </c>
      <c r="CS100" s="1">
        <v>9.7710000000000008</v>
      </c>
      <c r="CT100" s="1"/>
      <c r="CU100" s="284">
        <v>121.075</v>
      </c>
      <c r="CV100" s="1">
        <v>4.0358333333333336</v>
      </c>
      <c r="CW100" s="1">
        <v>4.4848282578084993</v>
      </c>
      <c r="CX100" s="1">
        <v>7.032</v>
      </c>
      <c r="CZ100" s="269">
        <v>29.459</v>
      </c>
      <c r="DA100" s="1">
        <v>0.98196666666666665</v>
      </c>
      <c r="DB100" s="1"/>
      <c r="DC100" s="284">
        <v>12.522898351648353</v>
      </c>
      <c r="DD100" s="1">
        <v>0.41742994505494507</v>
      </c>
      <c r="DE100" s="1">
        <v>0.41646852106227111</v>
      </c>
      <c r="DF100" s="1" t="s">
        <v>776</v>
      </c>
      <c r="DG100" s="1"/>
      <c r="DH100" s="284">
        <f>DI100*30</f>
        <v>74.409396978021974</v>
      </c>
      <c r="DI100" s="5">
        <f t="shared" si="148"/>
        <v>2.4803132326007327</v>
      </c>
      <c r="DJ100" s="1">
        <f t="shared" si="213"/>
        <v>2.803404202687318</v>
      </c>
      <c r="DK100" s="1"/>
      <c r="DL100" s="1"/>
      <c r="DM100" s="284">
        <f>DN100*30</f>
        <v>3103.4779546703289</v>
      </c>
      <c r="DN100" s="1">
        <f t="shared" si="149"/>
        <v>103.44926515567764</v>
      </c>
      <c r="DO100" s="1">
        <f t="shared" si="214"/>
        <v>115.57436563323905</v>
      </c>
      <c r="DP100" s="1"/>
      <c r="DQ100" s="1"/>
      <c r="DR100" s="284">
        <f>DS100*30</f>
        <v>366.61789835164836</v>
      </c>
      <c r="DS100" s="1">
        <f t="shared" si="146"/>
        <v>12.220596611721612</v>
      </c>
      <c r="DT100" s="1" t="e">
        <f>SUM(CM100+CR100+CW100+#REF!+DE100)</f>
        <v>#REF!</v>
      </c>
      <c r="DU100" s="1"/>
      <c r="DV100" s="1"/>
      <c r="DW100" s="284">
        <f>DX100*30</f>
        <v>3470.0958530219777</v>
      </c>
      <c r="DX100" s="1">
        <f t="shared" si="215"/>
        <v>115.66986176739925</v>
      </c>
      <c r="DY100" s="1">
        <f t="shared" si="216"/>
        <v>129.35800222191924</v>
      </c>
      <c r="DZ100" s="1"/>
      <c r="EB100" s="242">
        <v>0.1</v>
      </c>
      <c r="EI100" s="1">
        <f t="shared" si="171"/>
        <v>10.310433333333334</v>
      </c>
      <c r="EJ100" s="1">
        <f t="shared" si="172"/>
        <v>12.846266026625704</v>
      </c>
      <c r="EK100" s="1">
        <f>SUM(EJ100-EI100)</f>
        <v>2.5358326932923703</v>
      </c>
      <c r="EL100">
        <v>2005</v>
      </c>
      <c r="EM100" t="s">
        <v>709</v>
      </c>
      <c r="EN100" t="s">
        <v>841</v>
      </c>
      <c r="EO100">
        <v>264.21600000000001</v>
      </c>
    </row>
    <row r="101" spans="1:145" x14ac:dyDescent="0.25">
      <c r="A101" s="8">
        <v>2005</v>
      </c>
      <c r="B101" t="s">
        <v>710</v>
      </c>
      <c r="D101" s="284">
        <v>279.47300000000001</v>
      </c>
      <c r="E101" s="1">
        <v>9.0152580645161287</v>
      </c>
      <c r="F101" s="1">
        <v>10.319834856630823</v>
      </c>
      <c r="G101" s="1">
        <v>15.5</v>
      </c>
      <c r="M101" s="1"/>
      <c r="N101" s="284">
        <v>126.68300000000001</v>
      </c>
      <c r="O101" s="1">
        <v>4.0865483870967747</v>
      </c>
      <c r="P101" s="1">
        <v>3.5438467933947777</v>
      </c>
      <c r="Q101" s="1">
        <v>11.05</v>
      </c>
      <c r="R101" s="1"/>
      <c r="S101" s="284">
        <v>185.47</v>
      </c>
      <c r="T101" s="1">
        <v>5.9829032258064512</v>
      </c>
      <c r="U101" s="1">
        <v>6.1996285842293917</v>
      </c>
      <c r="V101" s="1">
        <v>19.57</v>
      </c>
      <c r="W101" s="88"/>
      <c r="X101" s="284">
        <v>778.69100000000003</v>
      </c>
      <c r="Y101" s="1">
        <v>25.119064516129033</v>
      </c>
      <c r="Z101" s="1">
        <v>25.359717690732207</v>
      </c>
      <c r="AA101" s="1">
        <v>44.91</v>
      </c>
      <c r="AB101" s="1"/>
      <c r="AC101" s="284">
        <v>964.16100000000006</v>
      </c>
      <c r="AD101" s="1">
        <v>31.101967741935486</v>
      </c>
      <c r="AE101" s="1">
        <v>31.559346274961595</v>
      </c>
      <c r="AF101" s="1">
        <v>64.48</v>
      </c>
      <c r="AG101" s="1"/>
      <c r="AH101" s="284">
        <v>1791.8689999999999</v>
      </c>
      <c r="AI101" s="1">
        <v>57.802225806451609</v>
      </c>
      <c r="AJ101" s="1">
        <v>60.893139400921662</v>
      </c>
      <c r="AK101" s="1">
        <v>199</v>
      </c>
      <c r="AL101" s="1"/>
      <c r="AM101" s="284">
        <v>18.616</v>
      </c>
      <c r="AN101" s="1">
        <v>0.60051612903225804</v>
      </c>
      <c r="AO101" s="1">
        <v>0.73164868791602666</v>
      </c>
      <c r="AP101" s="1" t="s">
        <v>776</v>
      </c>
      <c r="AQ101" s="1"/>
      <c r="AR101" s="284">
        <v>162.59800000000001</v>
      </c>
      <c r="AS101" s="1">
        <v>5.2450967741935486</v>
      </c>
      <c r="AT101" s="1">
        <v>4.8260176849121876</v>
      </c>
      <c r="AU101" s="1" t="s">
        <v>776</v>
      </c>
      <c r="AV101" s="1"/>
      <c r="AW101" s="284">
        <v>12.955</v>
      </c>
      <c r="AX101" s="1">
        <v>0.41790322580645162</v>
      </c>
      <c r="AY101" s="1">
        <v>0.36819237711213515</v>
      </c>
      <c r="AZ101" s="1" t="s">
        <v>776</v>
      </c>
      <c r="BA101" s="1"/>
      <c r="BB101" s="284">
        <v>22.704000000000001</v>
      </c>
      <c r="BC101" s="1">
        <v>0.73238709677419356</v>
      </c>
      <c r="BD101" s="1">
        <v>0.82216693257448803</v>
      </c>
      <c r="BE101" s="1" t="s">
        <v>776</v>
      </c>
      <c r="BF101" s="1"/>
      <c r="BG101" s="284">
        <v>21.477</v>
      </c>
      <c r="BH101" s="1">
        <v>0.69280645161290322</v>
      </c>
      <c r="BI101" s="1">
        <v>0.76563572173346373</v>
      </c>
      <c r="BJ101" s="1" t="s">
        <v>776</v>
      </c>
      <c r="BK101" s="1"/>
      <c r="BL101" s="284">
        <v>117.937</v>
      </c>
      <c r="BM101" s="1">
        <v>3.8039999999999998</v>
      </c>
      <c r="BN101" s="1">
        <v>4.554445054945055</v>
      </c>
      <c r="BO101" s="1" t="s">
        <v>776</v>
      </c>
      <c r="BP101" s="1"/>
      <c r="BQ101" s="284">
        <v>16.591000000000001</v>
      </c>
      <c r="BR101" s="1">
        <v>0.53519354838709676</v>
      </c>
      <c r="BS101" s="1">
        <v>0.53894653629032252</v>
      </c>
      <c r="BT101" s="1" t="s">
        <v>776</v>
      </c>
      <c r="BU101" s="1"/>
      <c r="BV101" s="284">
        <v>6.8650000000000002</v>
      </c>
      <c r="BW101" s="1">
        <v>0.22145161290322582</v>
      </c>
      <c r="BX101" s="1">
        <v>0.21284097262930113</v>
      </c>
      <c r="BY101" s="1" t="s">
        <v>776</v>
      </c>
      <c r="BZ101" s="1"/>
      <c r="CA101" s="284">
        <v>17.102</v>
      </c>
      <c r="CB101" s="1">
        <v>0.55167741935483872</v>
      </c>
      <c r="CC101" s="1">
        <v>0.5253701278336278</v>
      </c>
      <c r="CD101" s="1" t="s">
        <v>776</v>
      </c>
      <c r="CE101" s="1"/>
      <c r="CF101" s="284">
        <v>47.183999999999997</v>
      </c>
      <c r="CG101" s="1">
        <v>1.522</v>
      </c>
      <c r="CH101" s="1">
        <v>1.526246565934066</v>
      </c>
      <c r="CI101" s="1" t="s">
        <v>776</v>
      </c>
      <c r="CJ101" s="1"/>
      <c r="CK101" s="284">
        <v>90.191000000000003</v>
      </c>
      <c r="CL101" s="1">
        <v>2.9093870967741937</v>
      </c>
      <c r="CM101" s="1">
        <v>2.4211339477726574</v>
      </c>
      <c r="CN101" s="1">
        <v>19.3</v>
      </c>
      <c r="CO101" s="1"/>
      <c r="CP101" s="284">
        <v>188.785</v>
      </c>
      <c r="CQ101" s="1">
        <v>6.0898387096774194</v>
      </c>
      <c r="CR101" s="1">
        <v>5.4725778225806456</v>
      </c>
      <c r="CS101" s="1">
        <v>13.59</v>
      </c>
      <c r="CT101" s="1"/>
      <c r="CU101" s="284">
        <v>144.441</v>
      </c>
      <c r="CV101" s="1">
        <v>4.6593870967741937</v>
      </c>
      <c r="CW101" s="1">
        <v>4.4712115911418335</v>
      </c>
      <c r="CX101" s="1">
        <v>11.06</v>
      </c>
      <c r="CZ101" s="269">
        <v>34.401000000000003</v>
      </c>
      <c r="DA101" s="1">
        <v>1.1097096774193549</v>
      </c>
      <c r="DB101" s="1"/>
      <c r="DC101" s="284">
        <v>13.141999999999999</v>
      </c>
      <c r="DD101" s="1">
        <v>0.42399999999999999</v>
      </c>
      <c r="DE101" s="1">
        <v>0.41799999999999998</v>
      </c>
      <c r="DF101" s="1" t="s">
        <v>776</v>
      </c>
      <c r="DG101" s="1"/>
      <c r="DH101" s="284">
        <f>DI101*31</f>
        <v>87.74</v>
      </c>
      <c r="DI101" s="5">
        <f t="shared" si="148"/>
        <v>2.8303225806451611</v>
      </c>
      <c r="DJ101" s="1">
        <f t="shared" ref="DJ101:DJ106" si="217">SUM(DI90:DI101)/12</f>
        <v>2.7711453857723818</v>
      </c>
      <c r="DK101" s="1"/>
      <c r="DL101" s="1"/>
      <c r="DM101" s="284">
        <f>DN101*31</f>
        <v>3430.7200000000003</v>
      </c>
      <c r="DN101" s="1">
        <f t="shared" si="149"/>
        <v>110.6683870967742</v>
      </c>
      <c r="DO101" s="1">
        <f t="shared" ref="DO101:DO106" si="218">SUM(DN90:DN101)/12</f>
        <v>115.94363969851609</v>
      </c>
      <c r="DP101" s="1"/>
      <c r="DQ101" s="1"/>
      <c r="DR101" s="284">
        <f>DS101*31</f>
        <v>470.96199999999993</v>
      </c>
      <c r="DS101" s="1">
        <f t="shared" ref="DS101:DS132" si="219">SUM(CL101+CQ101+CV101+DA101+DD101)</f>
        <v>15.192322580645159</v>
      </c>
      <c r="DT101" s="1" t="e">
        <f>SUM(CM101+CR101+CW101+#REF!+DE101)</f>
        <v>#REF!</v>
      </c>
      <c r="DU101" s="1"/>
      <c r="DV101" s="1"/>
      <c r="DW101" s="284">
        <f>DX101*31</f>
        <v>3901.6819999999998</v>
      </c>
      <c r="DX101" s="1">
        <f t="shared" si="215"/>
        <v>125.86070967741935</v>
      </c>
      <c r="DY101" s="1">
        <f t="shared" si="216"/>
        <v>129.96362217887176</v>
      </c>
      <c r="DZ101" s="1"/>
      <c r="EB101" s="242">
        <v>9.41</v>
      </c>
      <c r="EI101" s="1">
        <f t="shared" si="171"/>
        <v>11.924645161290321</v>
      </c>
      <c r="EJ101" s="1">
        <f t="shared" si="172"/>
        <v>12.740968804403481</v>
      </c>
      <c r="EK101" s="1">
        <f>SUM(EJ101-EI101)</f>
        <v>0.81632364311315975</v>
      </c>
      <c r="EL101">
        <v>2005</v>
      </c>
      <c r="EM101" t="s">
        <v>710</v>
      </c>
      <c r="EN101" t="s">
        <v>841</v>
      </c>
      <c r="EO101">
        <v>279.47300000000001</v>
      </c>
    </row>
    <row r="102" spans="1:145" x14ac:dyDescent="0.25">
      <c r="A102" s="8">
        <v>2005</v>
      </c>
      <c r="B102" t="s">
        <v>711</v>
      </c>
      <c r="D102" s="284">
        <v>243.98099999999999</v>
      </c>
      <c r="E102" s="1">
        <v>8.1326999999999998</v>
      </c>
      <c r="F102" s="1">
        <v>10.056078673835126</v>
      </c>
      <c r="G102" s="1">
        <v>14.13</v>
      </c>
      <c r="M102" s="1"/>
      <c r="N102" s="284">
        <v>120.033</v>
      </c>
      <c r="O102" s="1">
        <v>4.0011000000000001</v>
      </c>
      <c r="P102" s="1">
        <v>3.6694001984126992</v>
      </c>
      <c r="Q102" s="1">
        <v>6.827</v>
      </c>
      <c r="R102" s="1"/>
      <c r="S102" s="284">
        <v>169.66499999999999</v>
      </c>
      <c r="T102" s="1">
        <v>5.6555</v>
      </c>
      <c r="U102" s="1">
        <v>6.2724077060931904</v>
      </c>
      <c r="V102" s="1">
        <v>9.32</v>
      </c>
      <c r="W102" s="88"/>
      <c r="X102" s="284">
        <v>784.9</v>
      </c>
      <c r="Y102" s="1">
        <v>26.163333333333334</v>
      </c>
      <c r="Z102" s="1">
        <v>25.762642421915004</v>
      </c>
      <c r="AA102" s="1">
        <v>34.520000000000003</v>
      </c>
      <c r="AB102" s="1"/>
      <c r="AC102" s="284">
        <v>954.56500000000005</v>
      </c>
      <c r="AD102" s="1">
        <v>31.81883333333333</v>
      </c>
      <c r="AE102" s="1">
        <v>32.035050128008187</v>
      </c>
      <c r="AF102" s="1">
        <v>43.84</v>
      </c>
      <c r="AG102" s="1"/>
      <c r="AH102" s="284">
        <v>1683.96</v>
      </c>
      <c r="AI102" s="1">
        <v>56.131999999999998</v>
      </c>
      <c r="AJ102" s="1">
        <v>60.531299795186875</v>
      </c>
      <c r="AK102" s="1">
        <v>129.08000000000001</v>
      </c>
      <c r="AL102" s="1"/>
      <c r="AM102" s="284">
        <v>14.151999999999999</v>
      </c>
      <c r="AN102" s="1">
        <v>0.47173333333333328</v>
      </c>
      <c r="AO102" s="1">
        <v>0.69058614311315925</v>
      </c>
      <c r="AP102" s="1" t="s">
        <v>776</v>
      </c>
      <c r="AQ102" s="1"/>
      <c r="AR102" s="284">
        <v>138.67699999999999</v>
      </c>
      <c r="AS102" s="1">
        <v>4.6225666666666667</v>
      </c>
      <c r="AT102" s="1">
        <v>4.8612512544802877</v>
      </c>
      <c r="AU102" s="1" t="s">
        <v>776</v>
      </c>
      <c r="AV102" s="1"/>
      <c r="AW102" s="284">
        <v>10.366</v>
      </c>
      <c r="AX102" s="1">
        <v>0.3455333333333333</v>
      </c>
      <c r="AY102" s="1">
        <v>0.37047875704045058</v>
      </c>
      <c r="AZ102" s="1" t="s">
        <v>776</v>
      </c>
      <c r="BA102" s="1"/>
      <c r="BB102" s="284">
        <v>21.609000000000002</v>
      </c>
      <c r="BC102" s="1">
        <v>0.72030000000000005</v>
      </c>
      <c r="BD102" s="1">
        <v>0.79595777649769595</v>
      </c>
      <c r="BE102" s="1" t="s">
        <v>776</v>
      </c>
      <c r="BF102" s="1"/>
      <c r="BG102" s="284">
        <v>25.317</v>
      </c>
      <c r="BH102" s="1">
        <v>0.84389999999999998</v>
      </c>
      <c r="BI102" s="1">
        <v>0.76298272401433687</v>
      </c>
      <c r="BJ102" s="1" t="s">
        <v>776</v>
      </c>
      <c r="BK102" s="1"/>
      <c r="BL102" s="284">
        <v>114.13200000000001</v>
      </c>
      <c r="BM102" s="1">
        <v>3.8039999999999998</v>
      </c>
      <c r="BN102" s="1">
        <v>4.4311810153388276</v>
      </c>
      <c r="BO102" s="1" t="s">
        <v>776</v>
      </c>
      <c r="BP102" s="1"/>
      <c r="BQ102" s="284">
        <v>13.441000000000001</v>
      </c>
      <c r="BR102" s="1">
        <v>0.44803333333333334</v>
      </c>
      <c r="BS102" s="1">
        <v>0.51898600358422942</v>
      </c>
      <c r="BT102" s="1" t="s">
        <v>776</v>
      </c>
      <c r="BU102" s="1"/>
      <c r="BV102" s="284">
        <v>4.2270000000000003</v>
      </c>
      <c r="BW102" s="1">
        <v>0.1409</v>
      </c>
      <c r="BX102" s="1">
        <v>0.19486118279569895</v>
      </c>
      <c r="BY102" s="1" t="s">
        <v>776</v>
      </c>
      <c r="BZ102" s="1"/>
      <c r="CA102" s="284">
        <v>14.223000000000001</v>
      </c>
      <c r="CB102" s="1">
        <v>0.47410000000000002</v>
      </c>
      <c r="CC102" s="1">
        <v>0.51104995839733747</v>
      </c>
      <c r="CD102" s="1" t="s">
        <v>776</v>
      </c>
      <c r="CE102" s="1"/>
      <c r="CF102" s="284">
        <v>45.661999999999999</v>
      </c>
      <c r="CG102" s="1">
        <v>1.522</v>
      </c>
      <c r="CH102" s="1">
        <v>1.526246565934066</v>
      </c>
      <c r="CI102" s="1" t="s">
        <v>776</v>
      </c>
      <c r="CJ102" s="1"/>
      <c r="CK102" s="284">
        <v>156.28</v>
      </c>
      <c r="CL102" s="1">
        <v>5.2093333333333334</v>
      </c>
      <c r="CM102" s="1">
        <v>2.8472423707117258</v>
      </c>
      <c r="CN102" s="1">
        <v>9.61</v>
      </c>
      <c r="CO102" s="1"/>
      <c r="CP102" s="284">
        <v>196.209</v>
      </c>
      <c r="CQ102" s="1">
        <v>6.5403000000000002</v>
      </c>
      <c r="CR102" s="1">
        <v>5.5649561379928327</v>
      </c>
      <c r="CS102" s="1">
        <v>10.37</v>
      </c>
      <c r="CT102" s="1"/>
      <c r="CU102" s="284">
        <v>135.19499999999999</v>
      </c>
      <c r="CV102" s="1">
        <v>4.5065</v>
      </c>
      <c r="CW102" s="1">
        <v>4.5516660714285715</v>
      </c>
      <c r="CX102" s="1">
        <v>7.7</v>
      </c>
      <c r="CZ102" s="269">
        <v>34.44</v>
      </c>
      <c r="DA102" s="1">
        <v>1.1479999999999999</v>
      </c>
      <c r="DB102" s="1"/>
      <c r="DC102" s="284">
        <v>12.718</v>
      </c>
      <c r="DD102" s="1">
        <v>0.42399999999999999</v>
      </c>
      <c r="DE102" s="1">
        <v>0.41870634157509173</v>
      </c>
      <c r="DF102" s="1" t="s">
        <v>776</v>
      </c>
      <c r="DG102" s="1"/>
      <c r="DH102" s="284">
        <f>DI102*30</f>
        <v>77.551000000000002</v>
      </c>
      <c r="DI102" s="5">
        <f t="shared" si="148"/>
        <v>2.5850333333333335</v>
      </c>
      <c r="DJ102" s="1">
        <f t="shared" si="217"/>
        <v>2.7504359497223212</v>
      </c>
      <c r="DK102" s="1"/>
      <c r="DL102" s="1"/>
      <c r="DM102" s="284">
        <f>DN102*30</f>
        <v>3249.2290000000003</v>
      </c>
      <c r="DN102" s="1">
        <f t="shared" si="149"/>
        <v>108.30763333333334</v>
      </c>
      <c r="DO102" s="1">
        <f t="shared" si="218"/>
        <v>115.4520203799874</v>
      </c>
      <c r="DP102" s="1"/>
      <c r="DQ102" s="1"/>
      <c r="DR102" s="284">
        <f>DS102*30</f>
        <v>534.84400000000005</v>
      </c>
      <c r="DS102" s="1">
        <f t="shared" si="219"/>
        <v>17.828133333333334</v>
      </c>
      <c r="DT102" s="1" t="e">
        <f>SUM(CM102+CR102+CW102+#REF!+DE102)</f>
        <v>#REF!</v>
      </c>
      <c r="DU102" s="1"/>
      <c r="DV102" s="1"/>
      <c r="DW102" s="284">
        <f>DX102*30</f>
        <v>3784.0730000000003</v>
      </c>
      <c r="DX102" s="1">
        <f t="shared" si="215"/>
        <v>126.13576666666668</v>
      </c>
      <c r="DY102" s="1">
        <f t="shared" si="216"/>
        <v>129.8779531426996</v>
      </c>
      <c r="DZ102" s="1"/>
      <c r="EB102" s="242">
        <v>1.92</v>
      </c>
      <c r="EI102" s="1">
        <f t="shared" si="171"/>
        <v>13.342033333333333</v>
      </c>
      <c r="EJ102" s="1">
        <f t="shared" si="172"/>
        <v>12.903321044546852</v>
      </c>
      <c r="EK102" s="1">
        <f t="shared" ref="EK102:EK107" si="220">SUM(EJ102-EI102)</f>
        <v>-0.43871228878648161</v>
      </c>
      <c r="EL102">
        <v>2005</v>
      </c>
      <c r="EM102" t="s">
        <v>711</v>
      </c>
      <c r="EN102" t="s">
        <v>841</v>
      </c>
      <c r="EO102">
        <v>243.98099999999999</v>
      </c>
    </row>
    <row r="103" spans="1:145" x14ac:dyDescent="0.25">
      <c r="A103" s="8">
        <v>2005</v>
      </c>
      <c r="B103" t="s">
        <v>712</v>
      </c>
      <c r="D103" s="284">
        <v>259.62900000000002</v>
      </c>
      <c r="E103" s="1">
        <v>8.3751290322580658</v>
      </c>
      <c r="F103" s="1">
        <v>9.8209684587813602</v>
      </c>
      <c r="G103" s="1">
        <v>11.26</v>
      </c>
      <c r="M103" s="1"/>
      <c r="N103" s="284">
        <v>124.453</v>
      </c>
      <c r="O103" s="1">
        <v>4.0146129032258067</v>
      </c>
      <c r="P103" s="1">
        <v>3.7378141769073223</v>
      </c>
      <c r="Q103" s="1">
        <v>7.39</v>
      </c>
      <c r="R103" s="1"/>
      <c r="S103" s="284">
        <v>191.69</v>
      </c>
      <c r="T103" s="1">
        <v>6.1835483870967742</v>
      </c>
      <c r="U103" s="1">
        <v>6.2878109318996422</v>
      </c>
      <c r="V103" s="1">
        <v>10.33</v>
      </c>
      <c r="W103" s="88"/>
      <c r="X103" s="284">
        <v>831.31</v>
      </c>
      <c r="Y103" s="1">
        <v>26.816451612903226</v>
      </c>
      <c r="Z103" s="1">
        <v>26.002938120839733</v>
      </c>
      <c r="AA103" s="1">
        <v>36.57</v>
      </c>
      <c r="AB103" s="1"/>
      <c r="AC103" s="284">
        <v>1023</v>
      </c>
      <c r="AD103" s="1">
        <v>33</v>
      </c>
      <c r="AE103" s="1">
        <v>32.290749052739372</v>
      </c>
      <c r="AF103" s="1">
        <v>46.9</v>
      </c>
      <c r="AG103" s="1"/>
      <c r="AH103" s="284">
        <v>1776.7159999999999</v>
      </c>
      <c r="AI103" s="1">
        <v>57.313419354838707</v>
      </c>
      <c r="AJ103" s="1">
        <v>60.105348182283656</v>
      </c>
      <c r="AK103" s="1">
        <v>102.04900000000001</v>
      </c>
      <c r="AL103" s="1"/>
      <c r="AM103" s="284">
        <v>21.564</v>
      </c>
      <c r="AN103" s="1">
        <v>0.69561290322580649</v>
      </c>
      <c r="AO103" s="1">
        <v>0.68140872375832051</v>
      </c>
      <c r="AP103" s="1" t="s">
        <v>776</v>
      </c>
      <c r="AQ103" s="1"/>
      <c r="AR103" s="284">
        <v>136.417</v>
      </c>
      <c r="AS103" s="1">
        <v>4.4005483870967739</v>
      </c>
      <c r="AT103" s="1">
        <v>4.7763453405017922</v>
      </c>
      <c r="AU103" s="1" t="s">
        <v>776</v>
      </c>
      <c r="AV103" s="1"/>
      <c r="AW103" s="284">
        <v>9.7859999999999996</v>
      </c>
      <c r="AX103" s="1">
        <v>0.31567741935483867</v>
      </c>
      <c r="AY103" s="1">
        <v>0.36540886456733235</v>
      </c>
      <c r="AZ103" s="1" t="s">
        <v>776</v>
      </c>
      <c r="BA103" s="1"/>
      <c r="BB103" s="284">
        <v>17.856000000000002</v>
      </c>
      <c r="BC103" s="1">
        <v>0.57600000000000007</v>
      </c>
      <c r="BD103" s="1">
        <v>0.75863519585253458</v>
      </c>
      <c r="BE103" s="1" t="s">
        <v>776</v>
      </c>
      <c r="BF103" s="1"/>
      <c r="BG103" s="284">
        <v>28.608000000000001</v>
      </c>
      <c r="BH103" s="1">
        <v>0.92283870967741932</v>
      </c>
      <c r="BI103" s="1">
        <v>0.76417896057347667</v>
      </c>
      <c r="BJ103" s="1" t="s">
        <v>776</v>
      </c>
      <c r="BK103" s="1"/>
      <c r="BL103" s="284">
        <v>117.93668345890411</v>
      </c>
      <c r="BM103" s="1">
        <v>3.8044091438356165</v>
      </c>
      <c r="BN103" s="1">
        <v>4.3669360771676944</v>
      </c>
      <c r="BO103" s="1" t="s">
        <v>776</v>
      </c>
      <c r="BP103" s="1"/>
      <c r="BQ103" s="284">
        <v>15.092000000000001</v>
      </c>
      <c r="BR103" s="1">
        <v>0.48683870967741938</v>
      </c>
      <c r="BS103" s="1">
        <v>0.50874137992831547</v>
      </c>
      <c r="BT103" s="1" t="s">
        <v>776</v>
      </c>
      <c r="BU103" s="1"/>
      <c r="BV103" s="284">
        <v>6.2549999999999999</v>
      </c>
      <c r="BW103" s="1">
        <v>0.2017741935483871</v>
      </c>
      <c r="BX103" s="1">
        <v>0.19256817204301072</v>
      </c>
      <c r="BY103" s="1" t="s">
        <v>776</v>
      </c>
      <c r="BZ103" s="1"/>
      <c r="CA103" s="284">
        <v>16.521999999999998</v>
      </c>
      <c r="CB103" s="1">
        <v>0.5329677419354838</v>
      </c>
      <c r="CC103" s="1">
        <v>0.50656339925755245</v>
      </c>
      <c r="CD103" s="1" t="s">
        <v>776</v>
      </c>
      <c r="CE103" s="1"/>
      <c r="CF103" s="284">
        <v>47.184017123287674</v>
      </c>
      <c r="CG103" s="1">
        <v>1.5220650684931507</v>
      </c>
      <c r="CH103" s="1">
        <v>1.5252011915738375</v>
      </c>
      <c r="CI103" s="1" t="s">
        <v>776</v>
      </c>
      <c r="CJ103" s="1"/>
      <c r="CK103" s="284">
        <v>145.05000000000001</v>
      </c>
      <c r="CL103" s="1">
        <v>4.6790322580645167</v>
      </c>
      <c r="CM103" s="1">
        <v>3.0879681771633383</v>
      </c>
      <c r="CN103" s="1">
        <v>9.36</v>
      </c>
      <c r="CO103" s="1"/>
      <c r="CP103" s="284">
        <v>202.53700000000001</v>
      </c>
      <c r="CQ103" s="1">
        <v>6.5334516129032263</v>
      </c>
      <c r="CR103" s="1">
        <v>5.5915045250896052</v>
      </c>
      <c r="CS103" s="1">
        <v>10.71</v>
      </c>
      <c r="CT103" s="1"/>
      <c r="CU103" s="284">
        <v>144.857</v>
      </c>
      <c r="CV103" s="1">
        <v>4.6728064516129031</v>
      </c>
      <c r="CW103" s="1">
        <v>4.5805128456221205</v>
      </c>
      <c r="CX103" s="1">
        <v>8.4510000000000005</v>
      </c>
      <c r="CZ103" s="269">
        <v>37.527000000000001</v>
      </c>
      <c r="DA103" s="1">
        <v>1.2105483870967741</v>
      </c>
      <c r="DB103" s="1"/>
      <c r="DC103" s="284">
        <v>13.141634657534246</v>
      </c>
      <c r="DD103" s="1">
        <v>0.42392369863013696</v>
      </c>
      <c r="DE103" s="1">
        <v>0.4190533834487431</v>
      </c>
      <c r="DF103" s="1" t="s">
        <v>776</v>
      </c>
      <c r="DG103" s="1"/>
      <c r="DH103" s="284">
        <f>DI103*31</f>
        <v>85.053017123287674</v>
      </c>
      <c r="DI103" s="5">
        <f t="shared" si="148"/>
        <v>2.7436457136544412</v>
      </c>
      <c r="DJ103" s="1">
        <f t="shared" si="217"/>
        <v>2.7330632980538581</v>
      </c>
      <c r="DK103" s="1"/>
      <c r="DL103" s="1"/>
      <c r="DM103" s="284">
        <f>DN103*31</f>
        <v>3430.9126663356164</v>
      </c>
      <c r="DN103" s="1">
        <f t="shared" si="149"/>
        <v>110.67460213985859</v>
      </c>
      <c r="DO103" s="1">
        <f t="shared" si="218"/>
        <v>114.93466154443975</v>
      </c>
      <c r="DP103" s="1"/>
      <c r="DQ103" s="1"/>
      <c r="DR103" s="284">
        <f>DS103*31</f>
        <v>543.11263465753427</v>
      </c>
      <c r="DS103" s="1">
        <f t="shared" si="219"/>
        <v>17.519762408307557</v>
      </c>
      <c r="DT103" s="1" t="e">
        <f>SUM(CM103+CR103+CW103+#REF!+DE103)</f>
        <v>#REF!</v>
      </c>
      <c r="DU103" s="1"/>
      <c r="DV103" s="1"/>
      <c r="DW103" s="284">
        <f>DX103*31</f>
        <v>3974.0253009931512</v>
      </c>
      <c r="DX103" s="1">
        <f t="shared" si="215"/>
        <v>128.19436454816616</v>
      </c>
      <c r="DY103" s="1">
        <f t="shared" si="216"/>
        <v>129.67653867908965</v>
      </c>
      <c r="DZ103" s="1"/>
      <c r="EB103" s="242">
        <v>3.34</v>
      </c>
      <c r="EI103" s="1">
        <f t="shared" si="171"/>
        <v>13.054161290322583</v>
      </c>
      <c r="EJ103" s="1">
        <f t="shared" si="172"/>
        <v>12.908936635944698</v>
      </c>
      <c r="EK103" s="1">
        <f t="shared" si="220"/>
        <v>-0.14522465437788412</v>
      </c>
      <c r="EL103">
        <v>2005</v>
      </c>
      <c r="EM103" t="s">
        <v>712</v>
      </c>
      <c r="EN103" t="s">
        <v>841</v>
      </c>
      <c r="EO103">
        <v>259.62900000000002</v>
      </c>
    </row>
    <row r="104" spans="1:145" x14ac:dyDescent="0.25">
      <c r="A104" s="8">
        <v>2006</v>
      </c>
      <c r="B104" t="s">
        <v>719</v>
      </c>
      <c r="D104" s="284">
        <v>263.52699999999999</v>
      </c>
      <c r="E104" s="1">
        <v>8.5008709677419354</v>
      </c>
      <c r="F104" s="1">
        <v>9.5714173835125447</v>
      </c>
      <c r="G104" s="1">
        <v>11.58</v>
      </c>
      <c r="M104" s="1"/>
      <c r="N104" s="284">
        <v>126.26900000000001</v>
      </c>
      <c r="O104" s="1">
        <v>4.0731935483870974</v>
      </c>
      <c r="P104" s="1">
        <v>3.8037308435739887</v>
      </c>
      <c r="Q104" s="1">
        <v>7.0739999999999998</v>
      </c>
      <c r="R104" s="1"/>
      <c r="S104" s="284">
        <v>201.19</v>
      </c>
      <c r="T104" s="1">
        <v>6.49</v>
      </c>
      <c r="U104" s="1">
        <v>6.2922732974910396</v>
      </c>
      <c r="V104" s="1">
        <v>10.25</v>
      </c>
      <c r="W104" s="88"/>
      <c r="X104" s="284">
        <v>856.66</v>
      </c>
      <c r="Y104" s="1">
        <v>27.634193548387096</v>
      </c>
      <c r="Z104" s="1">
        <v>26.240975755248339</v>
      </c>
      <c r="AA104" s="1">
        <v>36.83</v>
      </c>
      <c r="AB104" s="1"/>
      <c r="AC104" s="284">
        <v>1057.8499999999999</v>
      </c>
      <c r="AD104" s="1">
        <v>34.12419354838709</v>
      </c>
      <c r="AE104" s="1">
        <v>32.533249052739372</v>
      </c>
      <c r="AF104" s="1">
        <v>47.08</v>
      </c>
      <c r="AG104" s="1"/>
      <c r="AH104" s="284">
        <v>1928.47</v>
      </c>
      <c r="AI104" s="1">
        <v>62.208709677419357</v>
      </c>
      <c r="AJ104" s="1">
        <v>59.907240655401949</v>
      </c>
      <c r="AK104" s="1">
        <v>100.76</v>
      </c>
      <c r="AL104" s="1"/>
      <c r="AM104" s="284">
        <v>17.213999999999999</v>
      </c>
      <c r="AN104" s="1">
        <v>0.55529032258064515</v>
      </c>
      <c r="AO104" s="1">
        <v>0.6573737775217614</v>
      </c>
      <c r="AP104" s="1" t="s">
        <v>776</v>
      </c>
      <c r="AQ104" s="1"/>
      <c r="AR104" s="284">
        <v>141.21199999999999</v>
      </c>
      <c r="AS104" s="1">
        <v>4.5552258064516122</v>
      </c>
      <c r="AT104" s="1">
        <v>4.7291168458781359</v>
      </c>
      <c r="AU104" s="1" t="s">
        <v>776</v>
      </c>
      <c r="AV104" s="1"/>
      <c r="AW104" s="284">
        <v>9.9049999999999994</v>
      </c>
      <c r="AX104" s="1">
        <v>0.31951612903225807</v>
      </c>
      <c r="AY104" s="1">
        <v>0.36517499359959044</v>
      </c>
      <c r="AZ104" s="1" t="s">
        <v>776</v>
      </c>
      <c r="BA104" s="1"/>
      <c r="BB104" s="284">
        <v>25.634</v>
      </c>
      <c r="BC104" s="1">
        <v>0.82690322580645159</v>
      </c>
      <c r="BD104" s="1">
        <v>0.74829379800307239</v>
      </c>
      <c r="BE104" s="1" t="s">
        <v>776</v>
      </c>
      <c r="BF104" s="1"/>
      <c r="BG104" s="284">
        <v>31.927</v>
      </c>
      <c r="BH104" s="1">
        <v>1.0299032258064515</v>
      </c>
      <c r="BI104" s="1">
        <v>0.77887519713261655</v>
      </c>
      <c r="BJ104" s="1" t="s">
        <v>776</v>
      </c>
      <c r="BK104" s="1"/>
      <c r="BL104" s="284">
        <v>117.93668345890411</v>
      </c>
      <c r="BM104" s="1">
        <v>3.8044091438356165</v>
      </c>
      <c r="BN104" s="1">
        <v>4.3044330845752414</v>
      </c>
      <c r="BO104" s="1" t="s">
        <v>776</v>
      </c>
      <c r="BP104" s="1"/>
      <c r="BQ104" s="284">
        <v>14.201000000000001</v>
      </c>
      <c r="BR104" s="1">
        <v>0.45809677419354838</v>
      </c>
      <c r="BS104" s="1">
        <v>0.50096449820788536</v>
      </c>
      <c r="BT104" s="1" t="s">
        <v>776</v>
      </c>
      <c r="BU104" s="1"/>
      <c r="BV104" s="284">
        <v>6.798</v>
      </c>
      <c r="BW104" s="1">
        <v>0.21929032258064515</v>
      </c>
      <c r="BX104" s="1">
        <v>0.19164344086021509</v>
      </c>
      <c r="BY104" s="1" t="s">
        <v>776</v>
      </c>
      <c r="BZ104" s="1"/>
      <c r="CA104" s="284">
        <v>15.635999999999999</v>
      </c>
      <c r="CB104" s="1">
        <v>0.50438709677419358</v>
      </c>
      <c r="CC104" s="1">
        <v>0.51041017345110085</v>
      </c>
      <c r="CD104" s="1" t="s">
        <v>776</v>
      </c>
      <c r="CE104" s="1"/>
      <c r="CF104" s="284">
        <v>47.184017123287674</v>
      </c>
      <c r="CG104" s="1">
        <v>1.5220650684931507</v>
      </c>
      <c r="CH104" s="1">
        <v>1.5248527334537609</v>
      </c>
      <c r="CI104" s="1" t="s">
        <v>776</v>
      </c>
      <c r="CJ104" s="1"/>
      <c r="CK104" s="284">
        <v>141.79</v>
      </c>
      <c r="CL104" s="1">
        <v>4.5738709677419349</v>
      </c>
      <c r="CM104" s="1">
        <v>3.3485326932923702</v>
      </c>
      <c r="CN104" s="1">
        <v>11.93</v>
      </c>
      <c r="CO104" s="1"/>
      <c r="CP104" s="284">
        <v>205.524</v>
      </c>
      <c r="CQ104" s="1">
        <v>6.6298064516129029</v>
      </c>
      <c r="CR104" s="1">
        <v>5.6386228046594988</v>
      </c>
      <c r="CS104" s="1">
        <v>10.189</v>
      </c>
      <c r="CT104" s="1"/>
      <c r="CU104" s="284">
        <v>150.535</v>
      </c>
      <c r="CV104" s="1">
        <v>4.8559677419354834</v>
      </c>
      <c r="CW104" s="1">
        <v>4.603085426267282</v>
      </c>
      <c r="CX104" s="1">
        <v>8.1199999999999992</v>
      </c>
      <c r="CZ104" s="269">
        <v>40.628999999999998</v>
      </c>
      <c r="DA104" s="1">
        <v>1.3106129032258065</v>
      </c>
      <c r="DB104" s="1"/>
      <c r="DC104" s="284">
        <v>13.141634657534246</v>
      </c>
      <c r="DD104" s="1">
        <v>0.42392369863013696</v>
      </c>
      <c r="DE104" s="1">
        <v>0.41959452958000915</v>
      </c>
      <c r="DF104" s="1" t="s">
        <v>776</v>
      </c>
      <c r="DG104" s="1"/>
      <c r="DH104" s="284">
        <f>DI104*31</f>
        <v>83.819017123287665</v>
      </c>
      <c r="DI104" s="5">
        <f t="shared" ref="DI104:DI135" si="221">SUM(BR104+BW104+CB104+CG104)</f>
        <v>2.7038392620415377</v>
      </c>
      <c r="DJ104" s="1">
        <f t="shared" si="217"/>
        <v>2.7278600012241037</v>
      </c>
      <c r="DK104" s="1"/>
      <c r="DL104" s="1"/>
      <c r="DM104" s="284">
        <f>DN104*31</f>
        <v>3636.1256663356162</v>
      </c>
      <c r="DN104" s="1">
        <f t="shared" ref="DN104:DN135" si="222">SUM(E104+O104+AD104+AI104+AN104+AS104+AX104+BC104+BH104+BM104-DI104)</f>
        <v>117.29437633340697</v>
      </c>
      <c r="DO104" s="1">
        <f t="shared" si="218"/>
        <v>114.67097744007486</v>
      </c>
      <c r="DP104" s="1"/>
      <c r="DQ104" s="1"/>
      <c r="DR104" s="284">
        <f>DS104*31</f>
        <v>551.61963465753411</v>
      </c>
      <c r="DS104" s="1">
        <f t="shared" si="219"/>
        <v>17.794181763146263</v>
      </c>
      <c r="DT104" s="1" t="e">
        <f>SUM(CM104+CR104+CW104+#REF!+DE104)</f>
        <v>#REF!</v>
      </c>
      <c r="DU104" s="1"/>
      <c r="DV104" s="1"/>
      <c r="DW104" s="284">
        <f>DX104*31</f>
        <v>4187.7453009931505</v>
      </c>
      <c r="DX104" s="1">
        <f t="shared" si="215"/>
        <v>135.08855809655324</v>
      </c>
      <c r="DY104" s="1">
        <f t="shared" si="216"/>
        <v>129.76898980687758</v>
      </c>
      <c r="DZ104" s="1"/>
      <c r="EB104" s="242">
        <v>3.25</v>
      </c>
      <c r="EI104" s="1">
        <f t="shared" si="171"/>
        <v>13.074741935483871</v>
      </c>
      <c r="EJ104" s="1">
        <f t="shared" si="172"/>
        <v>12.919950076804914</v>
      </c>
      <c r="EK104" s="1">
        <f t="shared" si="220"/>
        <v>-0.15479185867895673</v>
      </c>
      <c r="EL104">
        <v>2006</v>
      </c>
      <c r="EM104" t="s">
        <v>719</v>
      </c>
      <c r="EN104" t="s">
        <v>841</v>
      </c>
      <c r="EO104">
        <v>263.52699999999999</v>
      </c>
    </row>
    <row r="105" spans="1:145" x14ac:dyDescent="0.25">
      <c r="A105" s="8">
        <v>2006</v>
      </c>
      <c r="B105" t="s">
        <v>713</v>
      </c>
      <c r="D105" s="284">
        <v>252.42099999999999</v>
      </c>
      <c r="E105" s="1">
        <v>9.0150357142857143</v>
      </c>
      <c r="F105" s="1">
        <v>9.3493370263696871</v>
      </c>
      <c r="G105" s="1">
        <v>12.46</v>
      </c>
      <c r="M105" s="1"/>
      <c r="N105" s="284">
        <v>119.328</v>
      </c>
      <c r="O105" s="1">
        <v>4.2617142857142856</v>
      </c>
      <c r="P105" s="1">
        <v>3.8914123911930365</v>
      </c>
      <c r="Q105" s="1">
        <v>6.9880000000000004</v>
      </c>
      <c r="R105" s="1"/>
      <c r="S105" s="284">
        <v>194.67</v>
      </c>
      <c r="T105" s="1">
        <v>6.9524999999999997</v>
      </c>
      <c r="U105" s="1">
        <v>6.3464399641577067</v>
      </c>
      <c r="V105" s="1">
        <v>10.63</v>
      </c>
      <c r="W105" s="88"/>
      <c r="X105" s="284">
        <v>809.98</v>
      </c>
      <c r="Y105" s="1">
        <v>28.927857142857142</v>
      </c>
      <c r="Z105" s="1">
        <v>26.617999564772145</v>
      </c>
      <c r="AA105" s="1">
        <v>37.86</v>
      </c>
      <c r="AB105" s="1"/>
      <c r="AC105" s="284">
        <v>1004.65</v>
      </c>
      <c r="AD105" s="1">
        <v>35.880357142857143</v>
      </c>
      <c r="AE105" s="1">
        <v>32.964439528929852</v>
      </c>
      <c r="AF105" s="1">
        <v>48.49</v>
      </c>
      <c r="AG105" s="1"/>
      <c r="AH105" s="284">
        <v>1642.77</v>
      </c>
      <c r="AI105" s="1">
        <v>58.670357142857142</v>
      </c>
      <c r="AJ105" s="1">
        <v>59.679413274449566</v>
      </c>
      <c r="AK105" s="1">
        <v>161.066</v>
      </c>
      <c r="AL105" s="1"/>
      <c r="AM105" s="284">
        <v>14.81</v>
      </c>
      <c r="AN105" s="1">
        <v>0.52892857142857141</v>
      </c>
      <c r="AO105" s="1">
        <v>0.63287675371223762</v>
      </c>
      <c r="AP105" s="1" t="s">
        <v>776</v>
      </c>
      <c r="AQ105" s="1"/>
      <c r="AR105" s="284">
        <v>138.054</v>
      </c>
      <c r="AS105" s="1">
        <v>4.9305000000000003</v>
      </c>
      <c r="AT105" s="1">
        <v>4.7980335125448024</v>
      </c>
      <c r="AU105" s="1" t="s">
        <v>776</v>
      </c>
      <c r="AV105" s="1"/>
      <c r="AW105" s="284">
        <v>9.9109999999999996</v>
      </c>
      <c r="AX105" s="1">
        <v>0.35396428571428568</v>
      </c>
      <c r="AY105" s="1">
        <v>0.3635202316948285</v>
      </c>
      <c r="AZ105" s="1" t="s">
        <v>776</v>
      </c>
      <c r="BA105" s="1"/>
      <c r="BB105" s="284">
        <v>33.851999999999997</v>
      </c>
      <c r="BC105" s="1">
        <v>1.2089999999999999</v>
      </c>
      <c r="BD105" s="1">
        <v>0.79650510752688175</v>
      </c>
      <c r="BE105" s="1" t="s">
        <v>776</v>
      </c>
      <c r="BF105" s="1"/>
      <c r="BG105" s="284">
        <v>30.571999999999999</v>
      </c>
      <c r="BH105" s="1">
        <v>1.0918571428571429</v>
      </c>
      <c r="BI105" s="1">
        <v>0.80399329237071171</v>
      </c>
      <c r="BJ105" s="1" t="s">
        <v>776</v>
      </c>
      <c r="BK105" s="1"/>
      <c r="BL105" s="284">
        <v>106.52345602739726</v>
      </c>
      <c r="BM105" s="1">
        <v>3.8044091438356165</v>
      </c>
      <c r="BN105" s="1">
        <v>4.2419300919827885</v>
      </c>
      <c r="BO105" s="1" t="s">
        <v>776</v>
      </c>
      <c r="BP105" s="1"/>
      <c r="BQ105" s="284">
        <v>14.192</v>
      </c>
      <c r="BR105" s="1">
        <v>0.50685714285714289</v>
      </c>
      <c r="BS105" s="1">
        <v>0.49965592677931392</v>
      </c>
      <c r="BT105" s="1" t="s">
        <v>776</v>
      </c>
      <c r="BU105" s="1"/>
      <c r="BV105" s="284">
        <v>6.8209999999999997</v>
      </c>
      <c r="BW105" s="1">
        <v>0.24360714285714286</v>
      </c>
      <c r="BX105" s="1">
        <v>0.196030702764977</v>
      </c>
      <c r="BY105" s="1" t="s">
        <v>776</v>
      </c>
      <c r="BZ105" s="1"/>
      <c r="CA105" s="284">
        <v>13.005000000000001</v>
      </c>
      <c r="CB105" s="1">
        <v>0.46446428571428572</v>
      </c>
      <c r="CC105" s="1">
        <v>0.51311225678443417</v>
      </c>
      <c r="CD105" s="1" t="s">
        <v>776</v>
      </c>
      <c r="CE105" s="1"/>
      <c r="CF105" s="284">
        <v>42.617821917808222</v>
      </c>
      <c r="CG105" s="1">
        <v>1.5220650684931507</v>
      </c>
      <c r="CH105" s="1">
        <v>1.5245042753336848</v>
      </c>
      <c r="CI105" s="1" t="s">
        <v>776</v>
      </c>
      <c r="CJ105" s="1"/>
      <c r="CK105" s="284">
        <v>152.899</v>
      </c>
      <c r="CL105" s="1">
        <v>5.4606785714285717</v>
      </c>
      <c r="CM105" s="1">
        <v>3.7211190028161805</v>
      </c>
      <c r="CN105" s="1">
        <v>10.38</v>
      </c>
      <c r="CO105" s="1"/>
      <c r="CP105" s="284">
        <v>197.857</v>
      </c>
      <c r="CQ105" s="1">
        <v>7.0663214285714284</v>
      </c>
      <c r="CR105" s="1">
        <v>5.7955870903737834</v>
      </c>
      <c r="CS105" s="1">
        <v>11.170999999999999</v>
      </c>
      <c r="CT105" s="1"/>
      <c r="CU105" s="284">
        <v>140.18299999999999</v>
      </c>
      <c r="CV105" s="1">
        <v>5.0065357142857136</v>
      </c>
      <c r="CW105" s="1">
        <v>4.6481806643625196</v>
      </c>
      <c r="CX105" s="1">
        <v>8.1120000000000001</v>
      </c>
      <c r="CZ105" s="269">
        <v>39.337000000000003</v>
      </c>
      <c r="DA105" s="1">
        <v>1.4048928571428572</v>
      </c>
      <c r="DB105" s="1"/>
      <c r="DC105" s="284">
        <v>11.869863561643834</v>
      </c>
      <c r="DD105" s="1">
        <v>0.42392369863013696</v>
      </c>
      <c r="DE105" s="1">
        <v>0.42013567571127508</v>
      </c>
      <c r="DF105" s="1" t="s">
        <v>776</v>
      </c>
      <c r="DG105" s="1"/>
      <c r="DH105" s="284">
        <f>DI105*28</f>
        <v>76.635821917808229</v>
      </c>
      <c r="DI105" s="5">
        <f t="shared" si="221"/>
        <v>2.7369936399217223</v>
      </c>
      <c r="DJ105" s="1">
        <f t="shared" si="217"/>
        <v>2.7332923169135515</v>
      </c>
      <c r="DK105" s="1"/>
      <c r="DL105" s="1"/>
      <c r="DM105" s="284">
        <f>DN105*28</f>
        <v>3276.2556341095888</v>
      </c>
      <c r="DN105" s="1">
        <f t="shared" si="222"/>
        <v>117.00912978962816</v>
      </c>
      <c r="DO105" s="1">
        <f t="shared" si="218"/>
        <v>114.78810070322153</v>
      </c>
      <c r="DP105" s="1"/>
      <c r="DQ105" s="1"/>
      <c r="DR105" s="284">
        <f>DS105*28</f>
        <v>542.14586356164386</v>
      </c>
      <c r="DS105" s="1">
        <f t="shared" si="219"/>
        <v>19.362352270058711</v>
      </c>
      <c r="DT105" s="1" t="e">
        <f>SUM(CM105+CR105+CW105+#REF!+DE105)</f>
        <v>#REF!</v>
      </c>
      <c r="DU105" s="1"/>
      <c r="DV105" s="1"/>
      <c r="DW105" s="284">
        <f>DX105*28</f>
        <v>3818.4014976712328</v>
      </c>
      <c r="DX105" s="1">
        <f t="shared" ref="DX105:DX110" si="223">SUM(DN105+DS105)</f>
        <v>136.37148205968688</v>
      </c>
      <c r="DY105" s="1">
        <f t="shared" ref="DY105:DY110" si="224">SUM(DX94:DX105)/12</f>
        <v>130.49324350186984</v>
      </c>
      <c r="DZ105" s="1"/>
      <c r="EB105" s="242">
        <v>2.46</v>
      </c>
      <c r="EI105" s="1">
        <f t="shared" si="171"/>
        <v>14.475714285714286</v>
      </c>
      <c r="EJ105" s="1">
        <f t="shared" si="172"/>
        <v>13.070456029185868</v>
      </c>
      <c r="EK105" s="1">
        <f t="shared" si="220"/>
        <v>-1.405258256528418</v>
      </c>
      <c r="EL105">
        <v>2006</v>
      </c>
      <c r="EM105" t="s">
        <v>713</v>
      </c>
      <c r="EN105" t="s">
        <v>841</v>
      </c>
      <c r="EO105">
        <v>252.42099999999999</v>
      </c>
    </row>
    <row r="106" spans="1:145" x14ac:dyDescent="0.25">
      <c r="A106" s="8">
        <v>2006</v>
      </c>
      <c r="B106" t="s">
        <v>714</v>
      </c>
      <c r="D106" s="284">
        <v>257.37099999999998</v>
      </c>
      <c r="E106" s="1">
        <v>8.3022903225806441</v>
      </c>
      <c r="F106" s="1">
        <v>9.066328961853559</v>
      </c>
      <c r="G106" s="1">
        <v>11.81</v>
      </c>
      <c r="M106" s="1"/>
      <c r="N106" s="284">
        <v>126.236</v>
      </c>
      <c r="O106" s="1">
        <v>4.072129032258065</v>
      </c>
      <c r="P106" s="1">
        <v>3.9627376600102409</v>
      </c>
      <c r="Q106" s="1">
        <v>6.8140000000000001</v>
      </c>
      <c r="R106" s="1"/>
      <c r="S106" s="284">
        <v>192.09</v>
      </c>
      <c r="T106" s="1">
        <v>6.1964516129032257</v>
      </c>
      <c r="U106" s="1">
        <v>6.2921926523297493</v>
      </c>
      <c r="V106" s="1">
        <v>9.09</v>
      </c>
      <c r="W106" s="88"/>
      <c r="X106" s="284">
        <v>853.48</v>
      </c>
      <c r="Y106" s="1">
        <v>27.531612903225806</v>
      </c>
      <c r="Z106" s="1">
        <v>26.750418919610855</v>
      </c>
      <c r="AA106" s="1">
        <v>34.35</v>
      </c>
      <c r="AB106" s="1"/>
      <c r="AC106" s="284">
        <v>1045.57</v>
      </c>
      <c r="AD106" s="1">
        <v>33.728064516129031</v>
      </c>
      <c r="AE106" s="1">
        <v>33.042611571940604</v>
      </c>
      <c r="AF106" s="1">
        <v>43.44</v>
      </c>
      <c r="AG106" s="1"/>
      <c r="AH106" s="284">
        <v>1582.83</v>
      </c>
      <c r="AI106" s="1">
        <v>51.059032258064512</v>
      </c>
      <c r="AJ106" s="1">
        <v>58.550192844342035</v>
      </c>
      <c r="AK106" s="1">
        <v>103.68899999999999</v>
      </c>
      <c r="AL106" s="1"/>
      <c r="AM106" s="284">
        <v>16.616</v>
      </c>
      <c r="AN106" s="1">
        <v>0.53600000000000003</v>
      </c>
      <c r="AO106" s="1">
        <v>0.60855417306707638</v>
      </c>
      <c r="AP106" s="1" t="s">
        <v>776</v>
      </c>
      <c r="AQ106" s="1"/>
      <c r="AR106" s="284">
        <v>121.16200000000001</v>
      </c>
      <c r="AS106" s="1">
        <v>3.9084516129032258</v>
      </c>
      <c r="AT106" s="1">
        <v>4.6800577060931898</v>
      </c>
      <c r="AU106" s="1" t="s">
        <v>776</v>
      </c>
      <c r="AV106" s="1"/>
      <c r="AW106" s="284">
        <v>7.7249999999999996</v>
      </c>
      <c r="AX106" s="1">
        <v>0.24919354838709676</v>
      </c>
      <c r="AY106" s="1">
        <v>0.3521895865335381</v>
      </c>
      <c r="AZ106" s="1" t="s">
        <v>776</v>
      </c>
      <c r="BA106" s="1"/>
      <c r="BB106" s="284">
        <v>37.881999999999998</v>
      </c>
      <c r="BC106" s="1">
        <v>1.222</v>
      </c>
      <c r="BD106" s="1">
        <v>0.81251586021505373</v>
      </c>
      <c r="BE106" s="1" t="s">
        <v>776</v>
      </c>
      <c r="BF106" s="1"/>
      <c r="BG106" s="284">
        <v>33.573</v>
      </c>
      <c r="BH106" s="1">
        <v>1.083</v>
      </c>
      <c r="BI106" s="1">
        <v>0.80993684075780858</v>
      </c>
      <c r="BJ106" s="1" t="s">
        <v>776</v>
      </c>
      <c r="BK106" s="1"/>
      <c r="BL106" s="284">
        <v>117.93668345890411</v>
      </c>
      <c r="BM106" s="1">
        <v>3.8044091438356165</v>
      </c>
      <c r="BN106" s="1">
        <v>4.1794270993903346</v>
      </c>
      <c r="BO106" s="1" t="s">
        <v>776</v>
      </c>
      <c r="BP106" s="1"/>
      <c r="BQ106" s="284">
        <v>14.167</v>
      </c>
      <c r="BR106" s="1">
        <v>0.45700000000000002</v>
      </c>
      <c r="BS106" s="1">
        <v>0.4923629160266258</v>
      </c>
      <c r="BT106" s="1" t="s">
        <v>776</v>
      </c>
      <c r="BU106" s="1"/>
      <c r="BV106" s="284">
        <v>7.5949999999999998</v>
      </c>
      <c r="BW106" s="1">
        <v>0.245</v>
      </c>
      <c r="BX106" s="1">
        <v>0.19446887480798769</v>
      </c>
      <c r="BY106" s="1" t="s">
        <v>776</v>
      </c>
      <c r="BZ106" s="1"/>
      <c r="CA106" s="284">
        <v>15.779</v>
      </c>
      <c r="CB106" s="1">
        <v>0.50900000000000001</v>
      </c>
      <c r="CC106" s="1">
        <v>0.51502623527905789</v>
      </c>
      <c r="CD106" s="1" t="s">
        <v>776</v>
      </c>
      <c r="CE106" s="1"/>
      <c r="CF106" s="284">
        <v>47.184017123287674</v>
      </c>
      <c r="CG106" s="1">
        <v>1.5220650684931507</v>
      </c>
      <c r="CH106" s="1">
        <v>1.5241558172136083</v>
      </c>
      <c r="CI106" s="1" t="s">
        <v>776</v>
      </c>
      <c r="CJ106" s="1"/>
      <c r="CK106" s="284">
        <v>124.319</v>
      </c>
      <c r="CL106" s="1">
        <v>4.0102903225806452</v>
      </c>
      <c r="CM106" s="1">
        <v>3.8233206157194064</v>
      </c>
      <c r="CN106" s="1">
        <v>9.2899999999999991</v>
      </c>
      <c r="CO106" s="1"/>
      <c r="CP106" s="284">
        <v>197.953</v>
      </c>
      <c r="CQ106" s="1">
        <v>6.3855806451612906</v>
      </c>
      <c r="CR106" s="1">
        <v>5.9027967677931388</v>
      </c>
      <c r="CS106" s="1">
        <v>9.7810000000000006</v>
      </c>
      <c r="CT106" s="1"/>
      <c r="CU106" s="284">
        <v>141.6</v>
      </c>
      <c r="CV106" s="1">
        <v>4.5677419354838706</v>
      </c>
      <c r="CW106" s="1">
        <v>4.6392344278033795</v>
      </c>
      <c r="CX106" s="1">
        <v>7.8840000000000003</v>
      </c>
      <c r="CZ106" s="269">
        <v>38.578000000000003</v>
      </c>
      <c r="DA106" s="1">
        <v>1.2444516129032259</v>
      </c>
      <c r="DB106" s="1"/>
      <c r="DC106" s="284">
        <v>13.141634657534246</v>
      </c>
      <c r="DD106" s="1">
        <v>0.42392369863013696</v>
      </c>
      <c r="DE106" s="1">
        <v>0.42067682184254113</v>
      </c>
      <c r="DF106" s="1" t="s">
        <v>776</v>
      </c>
      <c r="DG106" s="1"/>
      <c r="DH106" s="284">
        <f>DI106*31</f>
        <v>84.725017123287671</v>
      </c>
      <c r="DI106" s="5">
        <f t="shared" si="221"/>
        <v>2.7330650684931506</v>
      </c>
      <c r="DJ106" s="1">
        <f t="shared" si="217"/>
        <v>2.7260029985784215</v>
      </c>
      <c r="DK106" s="1"/>
      <c r="DL106" s="1"/>
      <c r="DM106" s="284">
        <f>DN106*31</f>
        <v>3262.1766663356161</v>
      </c>
      <c r="DN106" s="1">
        <f t="shared" si="222"/>
        <v>105.23150536566503</v>
      </c>
      <c r="DO106" s="1">
        <f t="shared" si="218"/>
        <v>113.33848111498575</v>
      </c>
      <c r="DP106" s="1"/>
      <c r="DQ106" s="1"/>
      <c r="DR106" s="284">
        <f>DS106*31</f>
        <v>515.5916346575342</v>
      </c>
      <c r="DS106" s="1">
        <f t="shared" si="219"/>
        <v>16.631988214759168</v>
      </c>
      <c r="DT106" s="1" t="e">
        <f>SUM(CM106+CR106+CW106+#REF!+DE106)</f>
        <v>#REF!</v>
      </c>
      <c r="DU106" s="1"/>
      <c r="DV106" s="1"/>
      <c r="DW106" s="284">
        <f>DX106*31</f>
        <v>3777.7683009931502</v>
      </c>
      <c r="DX106" s="1">
        <f t="shared" si="223"/>
        <v>121.8634935804242</v>
      </c>
      <c r="DY106" s="1">
        <f t="shared" si="224"/>
        <v>129.25892850062547</v>
      </c>
      <c r="DZ106" s="1"/>
      <c r="EB106" s="242">
        <v>0.05</v>
      </c>
      <c r="EI106" s="1">
        <f t="shared" si="171"/>
        <v>12.31258064516129</v>
      </c>
      <c r="EJ106" s="1">
        <f t="shared" si="172"/>
        <v>12.889649577572966</v>
      </c>
      <c r="EK106" s="1">
        <f t="shared" si="220"/>
        <v>0.57706893241167556</v>
      </c>
      <c r="EL106">
        <v>2006</v>
      </c>
      <c r="EM106" t="s">
        <v>714</v>
      </c>
      <c r="EN106" t="s">
        <v>841</v>
      </c>
      <c r="EO106">
        <v>257.37099999999998</v>
      </c>
    </row>
    <row r="107" spans="1:145" x14ac:dyDescent="0.25">
      <c r="A107" s="8">
        <v>2006</v>
      </c>
      <c r="B107" t="s">
        <v>705</v>
      </c>
      <c r="D107" s="284">
        <v>244.12200000000001</v>
      </c>
      <c r="E107" s="1">
        <v>8.1374000000000013</v>
      </c>
      <c r="F107" s="1">
        <v>8.8976400729646681</v>
      </c>
      <c r="G107" s="1">
        <v>10.7</v>
      </c>
      <c r="M107" s="1"/>
      <c r="N107" s="284">
        <v>136.74600000000001</v>
      </c>
      <c r="O107" s="1">
        <v>4.5582000000000003</v>
      </c>
      <c r="P107" s="1">
        <v>4.0176071044546857</v>
      </c>
      <c r="Q107" s="1">
        <v>9.1750000000000007</v>
      </c>
      <c r="R107" s="1"/>
      <c r="S107" s="284">
        <v>181.041</v>
      </c>
      <c r="T107" s="1">
        <v>6.0347</v>
      </c>
      <c r="U107" s="1">
        <v>6.1515287634408606</v>
      </c>
      <c r="V107" s="1">
        <v>10.89</v>
      </c>
      <c r="W107" s="88"/>
      <c r="X107" s="284">
        <v>825.84699999999998</v>
      </c>
      <c r="Y107" s="1">
        <v>27.528233333333333</v>
      </c>
      <c r="Z107" s="1">
        <v>26.709138364055303</v>
      </c>
      <c r="AA107" s="1">
        <v>38.07</v>
      </c>
      <c r="AB107" s="1"/>
      <c r="AC107" s="284">
        <v>1006.8879999999999</v>
      </c>
      <c r="AD107" s="1">
        <v>33.562933333333334</v>
      </c>
      <c r="AE107" s="1">
        <v>32.860667127496157</v>
      </c>
      <c r="AF107" s="1">
        <v>48.96</v>
      </c>
      <c r="AG107" s="1"/>
      <c r="AH107" s="284">
        <v>1570.35</v>
      </c>
      <c r="AI107" s="1">
        <v>52.344999999999999</v>
      </c>
      <c r="AJ107" s="1">
        <v>57.089109511008701</v>
      </c>
      <c r="AK107" s="1">
        <v>102.95</v>
      </c>
      <c r="AL107" s="1"/>
      <c r="AM107" s="284">
        <v>24.861000000000001</v>
      </c>
      <c r="AN107" s="1">
        <v>0.82869999999999999</v>
      </c>
      <c r="AO107" s="1">
        <v>0.60974861751152076</v>
      </c>
      <c r="AP107" s="1" t="s">
        <v>776</v>
      </c>
      <c r="AQ107" s="1"/>
      <c r="AR107" s="284">
        <v>136.65700000000001</v>
      </c>
      <c r="AS107" s="1">
        <v>4.5552333333333337</v>
      </c>
      <c r="AT107" s="1">
        <v>4.6110743727598571</v>
      </c>
      <c r="AU107" s="1" t="s">
        <v>776</v>
      </c>
      <c r="AV107" s="1"/>
      <c r="AW107" s="284">
        <v>9.5850000000000009</v>
      </c>
      <c r="AX107" s="1">
        <v>0.31950000000000001</v>
      </c>
      <c r="AY107" s="1">
        <v>0.34636458653353813</v>
      </c>
      <c r="AZ107" s="1" t="s">
        <v>776</v>
      </c>
      <c r="BA107" s="1"/>
      <c r="BB107" s="284">
        <v>25.856999999999999</v>
      </c>
      <c r="BC107" s="1">
        <v>0.8619</v>
      </c>
      <c r="BD107" s="1">
        <v>0.81056308243727593</v>
      </c>
      <c r="BE107" s="1" t="s">
        <v>776</v>
      </c>
      <c r="BF107" s="1"/>
      <c r="BG107" s="284">
        <v>26.518999999999998</v>
      </c>
      <c r="BH107" s="1">
        <v>0.88396666666666657</v>
      </c>
      <c r="BI107" s="1">
        <v>0.81170350742447506</v>
      </c>
      <c r="BJ107" s="1" t="s">
        <v>776</v>
      </c>
      <c r="BK107" s="1"/>
      <c r="BL107" s="284">
        <v>114.1322743150685</v>
      </c>
      <c r="BM107" s="1">
        <v>3.8044091438356165</v>
      </c>
      <c r="BN107" s="1">
        <v>4.1169241067978817</v>
      </c>
      <c r="BO107" s="1" t="s">
        <v>776</v>
      </c>
      <c r="BP107" s="1"/>
      <c r="BQ107" s="284">
        <v>16.329000000000001</v>
      </c>
      <c r="BR107" s="1">
        <v>0.54430000000000001</v>
      </c>
      <c r="BS107" s="1">
        <v>0.49131013824884789</v>
      </c>
      <c r="BT107" s="1" t="s">
        <v>776</v>
      </c>
      <c r="BU107" s="1"/>
      <c r="BV107" s="284">
        <v>7.14</v>
      </c>
      <c r="BW107" s="1">
        <v>0.23799999999999999</v>
      </c>
      <c r="BX107" s="1">
        <v>0.19339665258576547</v>
      </c>
      <c r="BY107" s="1" t="s">
        <v>776</v>
      </c>
      <c r="BZ107" s="1"/>
      <c r="CA107" s="284">
        <v>15.958</v>
      </c>
      <c r="CB107" s="1">
        <v>0.53193333333333337</v>
      </c>
      <c r="CC107" s="1">
        <v>0.51122901305683566</v>
      </c>
      <c r="CD107" s="1" t="s">
        <v>776</v>
      </c>
      <c r="CE107" s="1"/>
      <c r="CF107" s="284">
        <v>45.661952054794519</v>
      </c>
      <c r="CG107" s="1">
        <v>1.5220650684931507</v>
      </c>
      <c r="CH107" s="1">
        <v>1.5238073590935322</v>
      </c>
      <c r="CI107" s="1" t="s">
        <v>776</v>
      </c>
      <c r="CJ107" s="1"/>
      <c r="CK107" s="284">
        <v>105.139</v>
      </c>
      <c r="CL107" s="1">
        <v>3.504633333333333</v>
      </c>
      <c r="CM107" s="1">
        <v>3.6677622823860729</v>
      </c>
      <c r="CN107" s="1">
        <v>9.8699999999999992</v>
      </c>
      <c r="CO107" s="1"/>
      <c r="CP107" s="284">
        <v>193.43199999999999</v>
      </c>
      <c r="CQ107" s="1">
        <v>6.4477333333333329</v>
      </c>
      <c r="CR107" s="1">
        <v>6.0035662122375832</v>
      </c>
      <c r="CS107" s="1">
        <v>11.817</v>
      </c>
      <c r="CT107" s="1"/>
      <c r="CU107" s="284">
        <v>136.15299999999999</v>
      </c>
      <c r="CV107" s="1">
        <v>4.5384333333333329</v>
      </c>
      <c r="CW107" s="1">
        <v>4.592356650025601</v>
      </c>
      <c r="CX107" s="1">
        <v>9.4339999999999993</v>
      </c>
      <c r="CZ107" s="269">
        <v>36.899000000000001</v>
      </c>
      <c r="DA107" s="1">
        <v>1.2299666666666667</v>
      </c>
      <c r="DB107" s="1"/>
      <c r="DC107" s="284">
        <v>12.717710958904108</v>
      </c>
      <c r="DD107" s="1">
        <v>0.42392369863013696</v>
      </c>
      <c r="DE107" s="1">
        <v>0.42121796797380706</v>
      </c>
      <c r="DF107" s="1" t="s">
        <v>776</v>
      </c>
      <c r="DG107" s="1"/>
      <c r="DH107" s="284">
        <f>DI107*30</f>
        <v>85.088952054794532</v>
      </c>
      <c r="DI107" s="5">
        <f t="shared" si="221"/>
        <v>2.8362984018264843</v>
      </c>
      <c r="DJ107" s="1">
        <f t="shared" ref="DJ107:DJ112" si="225">SUM(DI96:DI107)/12</f>
        <v>2.7197323182361228</v>
      </c>
      <c r="DK107" s="1"/>
      <c r="DL107" s="1"/>
      <c r="DM107" s="284">
        <f>DN107*30</f>
        <v>3210.6283222602742</v>
      </c>
      <c r="DN107" s="1">
        <f t="shared" si="222"/>
        <v>107.02094407534247</v>
      </c>
      <c r="DO107" s="1">
        <f t="shared" ref="DO107:DO112" si="226">SUM(DN96:DN107)/12</f>
        <v>111.45160158051335</v>
      </c>
      <c r="DP107" s="1"/>
      <c r="DQ107" s="1"/>
      <c r="DR107" s="284">
        <f>DS107*30</f>
        <v>484.34071095890408</v>
      </c>
      <c r="DS107" s="1">
        <f t="shared" si="219"/>
        <v>16.144690365296803</v>
      </c>
      <c r="DT107" s="1" t="e">
        <f>SUM(CM107+CR107+CW107+#REF!+DE107)</f>
        <v>#REF!</v>
      </c>
      <c r="DU107" s="1"/>
      <c r="DV107" s="1"/>
      <c r="DW107" s="284">
        <f>DX107*30</f>
        <v>3694.9690332191785</v>
      </c>
      <c r="DX107" s="1">
        <f t="shared" si="223"/>
        <v>123.16563444063928</v>
      </c>
      <c r="DY107" s="1">
        <f t="shared" si="224"/>
        <v>127.27452344561767</v>
      </c>
      <c r="DZ107" s="1"/>
      <c r="EB107" s="242">
        <v>3.1</v>
      </c>
      <c r="EI107" s="1">
        <f t="shared" si="171"/>
        <v>11.642033333333334</v>
      </c>
      <c r="EJ107" s="1">
        <f t="shared" si="172"/>
        <v>12.565402355350741</v>
      </c>
      <c r="EK107" s="1">
        <f t="shared" si="220"/>
        <v>0.92336902201740756</v>
      </c>
      <c r="EL107">
        <v>2006</v>
      </c>
      <c r="EM107" t="s">
        <v>705</v>
      </c>
      <c r="EN107" t="s">
        <v>841</v>
      </c>
      <c r="EO107">
        <v>244.12200000000001</v>
      </c>
    </row>
    <row r="108" spans="1:145" x14ac:dyDescent="0.25">
      <c r="A108" s="8">
        <v>2006</v>
      </c>
      <c r="B108" t="s">
        <v>715</v>
      </c>
      <c r="D108" s="284">
        <v>261.91399999999999</v>
      </c>
      <c r="E108" s="1">
        <v>8.4488387096774193</v>
      </c>
      <c r="F108" s="1">
        <v>8.7658228686635944</v>
      </c>
      <c r="G108" s="1">
        <v>12.02</v>
      </c>
      <c r="M108" s="1"/>
      <c r="N108" s="284">
        <v>125.98099999999999</v>
      </c>
      <c r="O108" s="1">
        <v>4.0639032258064516</v>
      </c>
      <c r="P108" s="1">
        <v>4.0292038786482332</v>
      </c>
      <c r="Q108" s="1">
        <v>6.91</v>
      </c>
      <c r="R108" s="1"/>
      <c r="S108" s="284">
        <v>180.096</v>
      </c>
      <c r="T108" s="1">
        <v>5.8095483870967746</v>
      </c>
      <c r="U108" s="1">
        <v>6.0758755376344089</v>
      </c>
      <c r="V108" s="1">
        <v>8.65</v>
      </c>
      <c r="W108" s="88"/>
      <c r="X108" s="284">
        <v>839.45</v>
      </c>
      <c r="Y108" s="1">
        <v>27.079032258064519</v>
      </c>
      <c r="Z108" s="1">
        <v>26.760264708141321</v>
      </c>
      <c r="AA108" s="1">
        <v>33.450000000000003</v>
      </c>
      <c r="AB108" s="1"/>
      <c r="AC108" s="284">
        <v>1019.546</v>
      </c>
      <c r="AD108" s="1">
        <v>32.888580645161291</v>
      </c>
      <c r="AE108" s="1">
        <v>32.836140245775731</v>
      </c>
      <c r="AF108" s="1">
        <v>42.1</v>
      </c>
      <c r="AG108" s="1"/>
      <c r="AH108" s="284">
        <v>1563.53</v>
      </c>
      <c r="AI108" s="1">
        <v>50.436451612903227</v>
      </c>
      <c r="AJ108" s="1">
        <v>55.998751984126976</v>
      </c>
      <c r="AK108" s="1">
        <v>104.29</v>
      </c>
      <c r="AL108" s="1"/>
      <c r="AM108" s="284">
        <v>17.655000000000001</v>
      </c>
      <c r="AN108" s="1">
        <v>0.56951612903225812</v>
      </c>
      <c r="AO108" s="1">
        <v>0.59427818740399385</v>
      </c>
      <c r="AP108" s="1" t="s">
        <v>776</v>
      </c>
      <c r="AQ108" s="1"/>
      <c r="AR108" s="284">
        <v>152.845</v>
      </c>
      <c r="AS108" s="1">
        <v>4.9304838709677421</v>
      </c>
      <c r="AT108" s="1">
        <v>4.588378136200717</v>
      </c>
      <c r="AU108" s="1" t="s">
        <v>776</v>
      </c>
      <c r="AV108" s="1"/>
      <c r="AW108" s="284">
        <v>10.973000000000001</v>
      </c>
      <c r="AX108" s="1">
        <v>0.35396774193548391</v>
      </c>
      <c r="AY108" s="1">
        <v>0.34113609190988226</v>
      </c>
      <c r="AZ108" s="1" t="s">
        <v>776</v>
      </c>
      <c r="BA108" s="1"/>
      <c r="BB108" s="284">
        <v>34.311999999999998</v>
      </c>
      <c r="BC108" s="1">
        <v>1.1068387096774193</v>
      </c>
      <c r="BD108" s="1">
        <v>0.83080232974910395</v>
      </c>
      <c r="BE108" s="1" t="s">
        <v>776</v>
      </c>
      <c r="BF108" s="1"/>
      <c r="BG108" s="284">
        <v>32.959000000000003</v>
      </c>
      <c r="BH108" s="1">
        <v>1.0631935483870969</v>
      </c>
      <c r="BI108" s="1">
        <v>0.83421426011264721</v>
      </c>
      <c r="BJ108" s="1" t="s">
        <v>776</v>
      </c>
      <c r="BK108" s="1"/>
      <c r="BL108" s="284">
        <v>117.93668345890411</v>
      </c>
      <c r="BM108" s="1">
        <v>3.8044091438356165</v>
      </c>
      <c r="BN108" s="1">
        <v>4.0544211142054278</v>
      </c>
      <c r="BO108" s="1" t="s">
        <v>776</v>
      </c>
      <c r="BP108" s="1"/>
      <c r="BQ108" s="284">
        <v>12.365</v>
      </c>
      <c r="BR108" s="1">
        <v>0.39887096774193548</v>
      </c>
      <c r="BS108" s="1">
        <v>0.48050906298003065</v>
      </c>
      <c r="BT108" s="1" t="s">
        <v>776</v>
      </c>
      <c r="BU108" s="1"/>
      <c r="BV108" s="284">
        <v>5.5439999999999996</v>
      </c>
      <c r="BW108" s="1">
        <v>0.17883870967741936</v>
      </c>
      <c r="BX108" s="1">
        <v>0.19019503968253967</v>
      </c>
      <c r="BY108" s="1" t="s">
        <v>776</v>
      </c>
      <c r="BZ108" s="1"/>
      <c r="CA108" s="284">
        <v>15.404999999999999</v>
      </c>
      <c r="CB108" s="1">
        <v>0.4969354838709677</v>
      </c>
      <c r="CC108" s="1">
        <v>0.50954621735791095</v>
      </c>
      <c r="CD108" s="1" t="s">
        <v>776</v>
      </c>
      <c r="CE108" s="1"/>
      <c r="CF108" s="284">
        <v>47.184017123287674</v>
      </c>
      <c r="CG108" s="1">
        <v>1.5220650684931507</v>
      </c>
      <c r="CH108" s="1">
        <v>1.5234589009734558</v>
      </c>
      <c r="CI108" s="1" t="s">
        <v>776</v>
      </c>
      <c r="CJ108" s="1"/>
      <c r="CK108" s="284">
        <v>126.563</v>
      </c>
      <c r="CL108" s="1">
        <v>4.0826774193548392</v>
      </c>
      <c r="CM108" s="1">
        <v>3.6299719598054274</v>
      </c>
      <c r="CN108" s="1">
        <v>9.09</v>
      </c>
      <c r="CO108" s="1"/>
      <c r="CP108" s="284">
        <v>195.61199999999999</v>
      </c>
      <c r="CQ108" s="1">
        <v>6.3100645161290325</v>
      </c>
      <c r="CR108" s="1">
        <v>6.1139398681515615</v>
      </c>
      <c r="CS108" s="1">
        <v>9.8369999999999997</v>
      </c>
      <c r="CT108" s="1"/>
      <c r="CU108" s="284">
        <v>135.82</v>
      </c>
      <c r="CV108" s="1">
        <v>4.3812903225806448</v>
      </c>
      <c r="CW108" s="1">
        <v>4.5888808435739881</v>
      </c>
      <c r="CX108" s="1">
        <v>7.6219999999999999</v>
      </c>
      <c r="CZ108" s="269">
        <v>32.06</v>
      </c>
      <c r="DA108" s="1">
        <v>1.0341935483870968</v>
      </c>
      <c r="DB108" s="1"/>
      <c r="DC108" s="284">
        <v>13.141634657534246</v>
      </c>
      <c r="DD108" s="1">
        <v>0.42392369863013696</v>
      </c>
      <c r="DE108" s="1">
        <v>0.42175911410507311</v>
      </c>
      <c r="DF108" s="1" t="s">
        <v>776</v>
      </c>
      <c r="DG108" s="1"/>
      <c r="DH108" s="284">
        <f>DI108*31</f>
        <v>80.498017123287667</v>
      </c>
      <c r="DI108" s="5">
        <f t="shared" si="221"/>
        <v>2.596710229783473</v>
      </c>
      <c r="DJ108" s="1">
        <f t="shared" si="225"/>
        <v>2.7036983762450788</v>
      </c>
      <c r="DK108" s="1"/>
      <c r="DL108" s="1"/>
      <c r="DM108" s="284">
        <f>DN108*31</f>
        <v>3257.153666335616</v>
      </c>
      <c r="DN108" s="1">
        <f t="shared" si="222"/>
        <v>105.06947310760052</v>
      </c>
      <c r="DO108" s="1">
        <f t="shared" si="226"/>
        <v>110.16938252991196</v>
      </c>
      <c r="DP108" s="1"/>
      <c r="DQ108" s="1"/>
      <c r="DR108" s="284">
        <f>DS108*31</f>
        <v>503.19663465753428</v>
      </c>
      <c r="DS108" s="1">
        <f t="shared" si="219"/>
        <v>16.23214950508175</v>
      </c>
      <c r="DT108" s="1" t="e">
        <f>SUM(CM108+CR108+CW108+#REF!+DE108)</f>
        <v>#REF!</v>
      </c>
      <c r="DU108" s="1"/>
      <c r="DV108" s="1"/>
      <c r="DW108" s="284">
        <f>DX108*31</f>
        <v>3760.3503009931501</v>
      </c>
      <c r="DX108" s="1">
        <f t="shared" si="223"/>
        <v>121.30162261268227</v>
      </c>
      <c r="DY108" s="1">
        <f t="shared" si="224"/>
        <v>126.05566812179269</v>
      </c>
      <c r="DZ108" s="1"/>
      <c r="EB108" s="242">
        <v>2.21</v>
      </c>
      <c r="EI108" s="1">
        <f t="shared" si="171"/>
        <v>12.531516129032259</v>
      </c>
      <c r="EJ108" s="1">
        <f t="shared" si="172"/>
        <v>12.395794828469022</v>
      </c>
      <c r="EK108" s="1">
        <f>SUM(EJ108-EI108)</f>
        <v>-0.13572130056323672</v>
      </c>
      <c r="EL108">
        <v>2006</v>
      </c>
      <c r="EM108" t="s">
        <v>715</v>
      </c>
      <c r="EN108" t="s">
        <v>841</v>
      </c>
      <c r="EO108">
        <v>261.91399999999999</v>
      </c>
    </row>
    <row r="109" spans="1:145" x14ac:dyDescent="0.25">
      <c r="A109" s="8">
        <v>2006</v>
      </c>
      <c r="B109" t="s">
        <v>718</v>
      </c>
      <c r="D109" s="284">
        <v>242.32900000000001</v>
      </c>
      <c r="E109" s="1">
        <v>8.077633333333333</v>
      </c>
      <c r="F109" s="1">
        <v>8.6377339797747066</v>
      </c>
      <c r="G109" s="1">
        <v>17.38</v>
      </c>
      <c r="M109" s="1"/>
      <c r="N109" s="284">
        <v>124.70399999999999</v>
      </c>
      <c r="O109" s="1">
        <v>4.1567999999999996</v>
      </c>
      <c r="P109" s="1">
        <v>4.0522733230926775</v>
      </c>
      <c r="Q109" s="1">
        <v>9.8119999999999994</v>
      </c>
      <c r="R109" s="1"/>
      <c r="S109" s="284">
        <v>208.6</v>
      </c>
      <c r="T109" s="1">
        <v>6.9533333333333331</v>
      </c>
      <c r="U109" s="1">
        <v>6.1130977598566316</v>
      </c>
      <c r="V109" s="1">
        <v>19.579999999999998</v>
      </c>
      <c r="W109" s="88"/>
      <c r="X109" s="284">
        <v>885.44</v>
      </c>
      <c r="Y109" s="1">
        <v>29.514666666666667</v>
      </c>
      <c r="Z109" s="1">
        <v>26.939181374807983</v>
      </c>
      <c r="AA109" s="1">
        <v>67.14</v>
      </c>
      <c r="AB109" s="1"/>
      <c r="AC109" s="284">
        <v>1094.04</v>
      </c>
      <c r="AD109" s="1">
        <v>36.467999999999996</v>
      </c>
      <c r="AE109" s="1">
        <v>33.052279134664623</v>
      </c>
      <c r="AF109" s="1">
        <v>86.72</v>
      </c>
      <c r="AG109" s="1"/>
      <c r="AH109" s="284">
        <v>1705.95</v>
      </c>
      <c r="AI109" s="1">
        <v>56.865000000000002</v>
      </c>
      <c r="AJ109" s="1">
        <v>55.869640873015875</v>
      </c>
      <c r="AK109" s="1">
        <v>199</v>
      </c>
      <c r="AL109" s="1"/>
      <c r="AM109" s="284">
        <v>34.966999999999999</v>
      </c>
      <c r="AN109" s="1">
        <v>1.1655666666666666</v>
      </c>
      <c r="AO109" s="1">
        <v>0.63436707629288269</v>
      </c>
      <c r="AP109" s="1" t="s">
        <v>776</v>
      </c>
      <c r="AQ109" s="1"/>
      <c r="AR109" s="284">
        <v>205.017</v>
      </c>
      <c r="AS109" s="1">
        <v>6.8338999999999999</v>
      </c>
      <c r="AT109" s="1">
        <v>4.7541086917562723</v>
      </c>
      <c r="AU109" s="1" t="s">
        <v>776</v>
      </c>
      <c r="AV109" s="1"/>
      <c r="AW109" s="284">
        <v>26.384</v>
      </c>
      <c r="AX109" s="1">
        <v>0.87946666666666673</v>
      </c>
      <c r="AY109" s="1">
        <v>0.38479720302099335</v>
      </c>
      <c r="AZ109" s="1" t="s">
        <v>776</v>
      </c>
      <c r="BA109" s="1"/>
      <c r="BB109" s="284">
        <v>48.034999999999997</v>
      </c>
      <c r="BC109" s="1">
        <v>1.6011666666666666</v>
      </c>
      <c r="BD109" s="1">
        <v>0.90150788530465942</v>
      </c>
      <c r="BE109" s="1" t="s">
        <v>776</v>
      </c>
      <c r="BF109" s="1"/>
      <c r="BG109" s="284">
        <v>38.390999999999998</v>
      </c>
      <c r="BH109" s="1">
        <v>1.2796999999999998</v>
      </c>
      <c r="BI109" s="1">
        <v>0.87020314900153617</v>
      </c>
      <c r="BJ109" s="1" t="s">
        <v>776</v>
      </c>
      <c r="BK109" s="1"/>
      <c r="BL109" s="284">
        <v>114.1322743150685</v>
      </c>
      <c r="BM109" s="1">
        <v>3.8044091438356165</v>
      </c>
      <c r="BN109" s="1">
        <v>3.9919181216129753</v>
      </c>
      <c r="BO109" s="1" t="s">
        <v>776</v>
      </c>
      <c r="BP109" s="1"/>
      <c r="BQ109" s="284">
        <v>14.53</v>
      </c>
      <c r="BR109" s="1">
        <v>0.48433333333333334</v>
      </c>
      <c r="BS109" s="1">
        <v>0.47703128520225291</v>
      </c>
      <c r="BT109" s="1" t="s">
        <v>776</v>
      </c>
      <c r="BU109" s="1"/>
      <c r="BV109" s="284">
        <v>7.7779999999999996</v>
      </c>
      <c r="BW109" s="1">
        <v>0.25926666666666665</v>
      </c>
      <c r="BX109" s="1">
        <v>0.19733115079365079</v>
      </c>
      <c r="BY109" s="1" t="s">
        <v>776</v>
      </c>
      <c r="BZ109" s="1"/>
      <c r="CA109" s="284">
        <v>14.651</v>
      </c>
      <c r="CB109" s="1">
        <v>0.48836666666666667</v>
      </c>
      <c r="CC109" s="1">
        <v>0.50921843958013324</v>
      </c>
      <c r="CD109" s="1" t="s">
        <v>776</v>
      </c>
      <c r="CE109" s="1"/>
      <c r="CF109" s="284">
        <v>45.661952054794519</v>
      </c>
      <c r="CG109" s="1">
        <v>1.5220650684931507</v>
      </c>
      <c r="CH109" s="1">
        <v>1.5231104428533795</v>
      </c>
      <c r="CI109" s="1" t="s">
        <v>776</v>
      </c>
      <c r="CJ109" s="1"/>
      <c r="CK109" s="284">
        <v>170.547</v>
      </c>
      <c r="CL109" s="1">
        <v>5.6848999999999998</v>
      </c>
      <c r="CM109" s="1">
        <v>3.7751858486943157</v>
      </c>
      <c r="CN109" s="1">
        <v>9.2200000000000006</v>
      </c>
      <c r="CO109" s="1"/>
      <c r="CP109" s="284">
        <v>202.12</v>
      </c>
      <c r="CQ109" s="1">
        <v>6.7373333333333338</v>
      </c>
      <c r="CR109" s="1">
        <v>6.2570926459293403</v>
      </c>
      <c r="CS109" s="1">
        <v>14.221</v>
      </c>
      <c r="CT109" s="1"/>
      <c r="CU109" s="284">
        <v>142.434</v>
      </c>
      <c r="CV109" s="1">
        <v>4.7477999999999998</v>
      </c>
      <c r="CW109" s="1">
        <v>4.598172510240655</v>
      </c>
      <c r="CX109" s="1">
        <v>16</v>
      </c>
      <c r="CZ109" s="269">
        <v>36.168999999999997</v>
      </c>
      <c r="DA109" s="1">
        <v>1.2056333333333333</v>
      </c>
      <c r="DB109" s="1"/>
      <c r="DC109" s="284">
        <v>12.717710958904108</v>
      </c>
      <c r="DD109" s="1">
        <v>0.42392369863013696</v>
      </c>
      <c r="DE109" s="1">
        <v>0.42230026023633904</v>
      </c>
      <c r="DF109" s="1" t="s">
        <v>776</v>
      </c>
      <c r="DG109" s="1"/>
      <c r="DH109" s="284">
        <f>DI109*30</f>
        <v>82.620952054794515</v>
      </c>
      <c r="DI109" s="5">
        <f t="shared" si="221"/>
        <v>2.7540317351598174</v>
      </c>
      <c r="DJ109" s="1">
        <f t="shared" si="225"/>
        <v>2.7066804736805579</v>
      </c>
      <c r="DK109" s="1"/>
      <c r="DL109" s="1"/>
      <c r="DM109" s="284">
        <f>DN109*30</f>
        <v>3551.328322260274</v>
      </c>
      <c r="DN109" s="1">
        <f t="shared" si="222"/>
        <v>118.37761074200914</v>
      </c>
      <c r="DO109" s="1">
        <f t="shared" si="226"/>
        <v>110.44208077321737</v>
      </c>
      <c r="DP109" s="1"/>
      <c r="DQ109" s="1"/>
      <c r="DR109" s="284">
        <f>DS109*30</f>
        <v>563.98771095890424</v>
      </c>
      <c r="DS109" s="1">
        <f t="shared" si="219"/>
        <v>18.799590365296808</v>
      </c>
      <c r="DT109" s="1" t="e">
        <f>SUM(CM109+CR109+CW109+#REF!+DE109)</f>
        <v>#REF!</v>
      </c>
      <c r="DU109" s="1"/>
      <c r="DV109" s="1"/>
      <c r="DW109" s="284">
        <f>DX109*30</f>
        <v>4115.3160332191792</v>
      </c>
      <c r="DX109" s="1">
        <f t="shared" si="223"/>
        <v>137.17720110730596</v>
      </c>
      <c r="DY109" s="1">
        <f t="shared" si="224"/>
        <v>126.6435658445627</v>
      </c>
      <c r="DZ109" s="1"/>
      <c r="EB109" s="242">
        <v>14.02</v>
      </c>
      <c r="EL109">
        <v>2006</v>
      </c>
      <c r="EM109" t="s">
        <v>718</v>
      </c>
      <c r="EN109" t="s">
        <v>841</v>
      </c>
      <c r="EO109">
        <v>242.32900000000001</v>
      </c>
    </row>
    <row r="110" spans="1:145" x14ac:dyDescent="0.25">
      <c r="A110" s="8">
        <v>2006</v>
      </c>
      <c r="B110" t="s">
        <v>716</v>
      </c>
      <c r="D110" s="284">
        <v>254.72800000000001</v>
      </c>
      <c r="E110" s="1">
        <v>8.217032258064517</v>
      </c>
      <c r="F110" s="1">
        <v>8.5120350550435244</v>
      </c>
      <c r="G110" s="1">
        <v>11.78</v>
      </c>
      <c r="M110" s="1"/>
      <c r="N110" s="284">
        <v>131.26900000000001</v>
      </c>
      <c r="O110" s="1">
        <v>4.2344838709677424</v>
      </c>
      <c r="P110" s="1">
        <v>4.0704211725550437</v>
      </c>
      <c r="Q110" s="1">
        <v>7.0739999999999998</v>
      </c>
      <c r="R110" s="1"/>
      <c r="S110" s="284">
        <v>197.54</v>
      </c>
      <c r="T110" s="1">
        <v>6.3722580645161289</v>
      </c>
      <c r="U110" s="1">
        <v>6.1146864695340506</v>
      </c>
      <c r="V110" s="1">
        <v>14.12</v>
      </c>
      <c r="W110" s="88"/>
      <c r="X110" s="284">
        <v>734.25900000000001</v>
      </c>
      <c r="Y110" s="1">
        <v>23.685774193548387</v>
      </c>
      <c r="Z110" s="1">
        <v>26.625173310291856</v>
      </c>
      <c r="AA110" s="1">
        <v>37.055999999999997</v>
      </c>
      <c r="AB110" s="1"/>
      <c r="AC110" s="284">
        <v>931.79899999999998</v>
      </c>
      <c r="AD110" s="1">
        <v>30.058032258064515</v>
      </c>
      <c r="AE110" s="1">
        <v>32.739859779825913</v>
      </c>
      <c r="AF110" s="1">
        <v>51.175999999999995</v>
      </c>
      <c r="AG110" s="1"/>
      <c r="AH110" s="284">
        <v>1792.3520000000001</v>
      </c>
      <c r="AI110" s="1">
        <v>57.817806451612903</v>
      </c>
      <c r="AJ110" s="1">
        <v>55.723732270865327</v>
      </c>
      <c r="AK110" s="1">
        <v>110.24</v>
      </c>
      <c r="AL110" s="1"/>
      <c r="AM110" s="284">
        <v>17.722999999999999</v>
      </c>
      <c r="AN110" s="1">
        <v>0.57170967741935486</v>
      </c>
      <c r="AO110" s="1">
        <v>0.62747729134664609</v>
      </c>
      <c r="AP110" s="1" t="s">
        <v>776</v>
      </c>
      <c r="AQ110" s="1"/>
      <c r="AR110" s="284">
        <v>133.30600000000001</v>
      </c>
      <c r="AS110" s="1">
        <v>4.3001935483870968</v>
      </c>
      <c r="AT110" s="1">
        <v>4.7083694444444451</v>
      </c>
      <c r="AU110" s="1" t="s">
        <v>776</v>
      </c>
      <c r="AV110" s="1"/>
      <c r="AW110" s="284">
        <v>9.7859999999999996</v>
      </c>
      <c r="AX110" s="1">
        <v>0.31567741935483867</v>
      </c>
      <c r="AY110" s="1">
        <v>0.3719369879672299</v>
      </c>
      <c r="AZ110" s="1" t="s">
        <v>776</v>
      </c>
      <c r="BA110" s="1"/>
      <c r="BB110" s="284">
        <v>33.149000000000001</v>
      </c>
      <c r="BC110" s="1">
        <v>1.0693225806451614</v>
      </c>
      <c r="BD110" s="1">
        <v>0.93009928315412183</v>
      </c>
      <c r="BE110" s="1" t="s">
        <v>776</v>
      </c>
      <c r="BF110" s="1"/>
      <c r="BG110" s="284">
        <v>36.470999999999997</v>
      </c>
      <c r="BH110" s="1">
        <v>1.1764838709677419</v>
      </c>
      <c r="BI110" s="1">
        <v>0.920665514592934</v>
      </c>
      <c r="BJ110" s="1" t="s">
        <v>776</v>
      </c>
      <c r="BK110" s="1"/>
      <c r="BL110" s="284">
        <v>117.93668345890411</v>
      </c>
      <c r="BM110" s="1">
        <v>3.8044091438356165</v>
      </c>
      <c r="BN110" s="1">
        <v>3.9294151290205224</v>
      </c>
      <c r="BO110" s="1" t="s">
        <v>776</v>
      </c>
      <c r="BP110" s="1"/>
      <c r="BQ110" s="284">
        <v>17.643999999999998</v>
      </c>
      <c r="BR110" s="1">
        <v>0.56916129032258056</v>
      </c>
      <c r="BS110" s="1">
        <v>0.48131354326676901</v>
      </c>
      <c r="BT110" s="1" t="s">
        <v>776</v>
      </c>
      <c r="BU110" s="1"/>
      <c r="BV110" s="284">
        <v>5.5629999999999997</v>
      </c>
      <c r="BW110" s="1">
        <v>0.17945161290322581</v>
      </c>
      <c r="BX110" s="1">
        <v>0.19688222606246797</v>
      </c>
      <c r="BY110" s="1" t="s">
        <v>776</v>
      </c>
      <c r="BZ110" s="1"/>
      <c r="CA110" s="284">
        <v>15.013</v>
      </c>
      <c r="CB110" s="1">
        <v>0.48429032258064514</v>
      </c>
      <c r="CC110" s="1">
        <v>0.5026996223758321</v>
      </c>
      <c r="CD110" s="1" t="s">
        <v>776</v>
      </c>
      <c r="CE110" s="1"/>
      <c r="CF110" s="284">
        <v>47.184017123287674</v>
      </c>
      <c r="CG110" s="1">
        <v>1.5220650684931507</v>
      </c>
      <c r="CH110" s="1">
        <v>1.5227619847333032</v>
      </c>
      <c r="CI110" s="1" t="s">
        <v>776</v>
      </c>
      <c r="CJ110" s="1"/>
      <c r="CK110" s="284">
        <v>145.846</v>
      </c>
      <c r="CL110" s="1">
        <v>4.7047096774193546</v>
      </c>
      <c r="CM110" s="1">
        <v>3.9457342357910901</v>
      </c>
      <c r="CN110" s="1">
        <v>10.38</v>
      </c>
      <c r="CO110" s="1"/>
      <c r="CP110" s="284">
        <v>213.107</v>
      </c>
      <c r="CQ110" s="1">
        <v>6.87441935483871</v>
      </c>
      <c r="CR110" s="1">
        <v>6.3586275921658988</v>
      </c>
      <c r="CS110" s="1">
        <v>9.7880000000000003</v>
      </c>
      <c r="CT110" s="1"/>
      <c r="CU110" s="284">
        <v>140.702</v>
      </c>
      <c r="CV110" s="1">
        <v>4.5387741935483872</v>
      </c>
      <c r="CW110" s="1">
        <v>4.5710219726062462</v>
      </c>
      <c r="CX110" s="1">
        <v>7.968</v>
      </c>
      <c r="CZ110" s="269">
        <v>33.368000000000002</v>
      </c>
      <c r="DA110" s="1">
        <v>1.0763870967741935</v>
      </c>
      <c r="DB110" s="1"/>
      <c r="DC110" s="284">
        <v>13.141634657534246</v>
      </c>
      <c r="DD110" s="1">
        <v>0.42392369863013696</v>
      </c>
      <c r="DE110" s="1">
        <v>0.42284140636760509</v>
      </c>
      <c r="DF110" s="1" t="s">
        <v>776</v>
      </c>
      <c r="DG110" s="1"/>
      <c r="DH110" s="284">
        <f>DI110*31</f>
        <v>85.404017123287673</v>
      </c>
      <c r="DI110" s="5">
        <f t="shared" si="221"/>
        <v>2.7549682942996023</v>
      </c>
      <c r="DJ110" s="1">
        <f t="shared" si="225"/>
        <v>2.7036465316895133</v>
      </c>
      <c r="DK110" s="1"/>
      <c r="DL110" s="1"/>
      <c r="DM110" s="284">
        <f>DN110*31</f>
        <v>3373.1156663356164</v>
      </c>
      <c r="DN110" s="1">
        <f t="shared" si="222"/>
        <v>108.81018278501989</v>
      </c>
      <c r="DO110" s="1">
        <f t="shared" si="226"/>
        <v>109.83029720648692</v>
      </c>
      <c r="DP110" s="1"/>
      <c r="DQ110" s="1"/>
      <c r="DR110" s="284">
        <f>DS110*31</f>
        <v>546.16463465753429</v>
      </c>
      <c r="DS110" s="1">
        <f t="shared" si="219"/>
        <v>17.618214021210783</v>
      </c>
      <c r="DT110" s="1" t="e">
        <f>SUM(CM110+CR110+CW110+#REF!+DE110)</f>
        <v>#REF!</v>
      </c>
      <c r="DU110" s="1"/>
      <c r="DV110" s="1"/>
      <c r="DW110" s="284">
        <f>DX110*31</f>
        <v>3919.2803009931508</v>
      </c>
      <c r="DX110" s="1">
        <f t="shared" si="223"/>
        <v>126.42839680623067</v>
      </c>
      <c r="DY110" s="1">
        <f t="shared" si="224"/>
        <v>126.28065406912482</v>
      </c>
      <c r="DZ110" s="1"/>
      <c r="EB110" s="242">
        <v>3.56</v>
      </c>
      <c r="EL110">
        <v>2006</v>
      </c>
      <c r="EM110" t="s">
        <v>716</v>
      </c>
      <c r="EN110" t="s">
        <v>841</v>
      </c>
      <c r="EO110">
        <v>254.72800000000001</v>
      </c>
    </row>
    <row r="111" spans="1:145" x14ac:dyDescent="0.25">
      <c r="A111" s="8">
        <v>2006</v>
      </c>
      <c r="B111" t="s">
        <v>708</v>
      </c>
      <c r="D111" s="284">
        <v>239.03700000000001</v>
      </c>
      <c r="E111" s="1">
        <v>7.7108709677419354</v>
      </c>
      <c r="F111" s="1">
        <v>8.3950216141833085</v>
      </c>
      <c r="G111" s="1">
        <v>10.27</v>
      </c>
      <c r="M111" s="1"/>
      <c r="N111" s="284">
        <v>114.72799999999999</v>
      </c>
      <c r="O111" s="1">
        <v>3.7009032258064516</v>
      </c>
      <c r="P111" s="1">
        <v>4.0695018177163336</v>
      </c>
      <c r="Q111" s="1">
        <v>6.3040000000000003</v>
      </c>
      <c r="R111" s="1"/>
      <c r="S111" s="284">
        <v>159.78</v>
      </c>
      <c r="T111" s="1">
        <v>5.1541935483870969</v>
      </c>
      <c r="U111" s="1">
        <v>6.0661058243727597</v>
      </c>
      <c r="V111" s="1">
        <v>7.87</v>
      </c>
      <c r="W111" s="88"/>
      <c r="X111" s="284">
        <v>659.7</v>
      </c>
      <c r="Y111" s="1">
        <v>21.280645161290323</v>
      </c>
      <c r="Z111" s="1">
        <v>26.237710944700456</v>
      </c>
      <c r="AA111" s="1">
        <v>26.57</v>
      </c>
      <c r="AB111" s="1"/>
      <c r="AC111" s="284">
        <v>819.48</v>
      </c>
      <c r="AD111" s="1">
        <v>26.434838709677418</v>
      </c>
      <c r="AE111" s="1">
        <v>32.303816769073229</v>
      </c>
      <c r="AF111" s="1">
        <v>34.44</v>
      </c>
      <c r="AG111" s="1"/>
      <c r="AH111" s="284">
        <v>1580.17</v>
      </c>
      <c r="AI111" s="1">
        <v>50.973225806451616</v>
      </c>
      <c r="AJ111" s="1">
        <v>55.5633801203277</v>
      </c>
      <c r="AK111" s="1">
        <v>104.29</v>
      </c>
      <c r="AL111" s="1"/>
      <c r="AM111" s="284">
        <v>19.713000000000001</v>
      </c>
      <c r="AN111" s="1">
        <v>0.63590322580645164</v>
      </c>
      <c r="AO111" s="1">
        <v>0.62743696876600097</v>
      </c>
      <c r="AP111" s="1" t="s">
        <v>776</v>
      </c>
      <c r="AQ111" s="1"/>
      <c r="AR111" s="284">
        <v>111.73699999999999</v>
      </c>
      <c r="AS111" s="1">
        <v>3.6044193548387096</v>
      </c>
      <c r="AT111" s="1">
        <v>4.6175710573476705</v>
      </c>
      <c r="AU111" s="1" t="s">
        <v>776</v>
      </c>
      <c r="AV111" s="1"/>
      <c r="AW111" s="284">
        <v>9.8759999999999994</v>
      </c>
      <c r="AX111" s="1">
        <v>0.31858064516129031</v>
      </c>
      <c r="AY111" s="1">
        <v>0.36984559011776752</v>
      </c>
      <c r="AZ111" s="1" t="s">
        <v>776</v>
      </c>
      <c r="BA111" s="1"/>
      <c r="BB111" s="284">
        <v>23.425000000000001</v>
      </c>
      <c r="BC111" s="1">
        <v>0.75564516129032255</v>
      </c>
      <c r="BD111" s="1">
        <v>0.94666917562724018</v>
      </c>
      <c r="BE111" s="1" t="s">
        <v>776</v>
      </c>
      <c r="BF111" s="1"/>
      <c r="BG111" s="284">
        <v>24.748999999999999</v>
      </c>
      <c r="BH111" s="1">
        <v>0.79835483870967738</v>
      </c>
      <c r="BI111" s="1">
        <v>0.94036981566820277</v>
      </c>
      <c r="BJ111" s="1" t="s">
        <v>776</v>
      </c>
      <c r="BK111" s="1"/>
      <c r="BL111" s="284">
        <v>117.93668345890411</v>
      </c>
      <c r="BM111" s="1">
        <v>3.8044091438356165</v>
      </c>
      <c r="BN111" s="1">
        <v>3.8669121364280685</v>
      </c>
      <c r="BO111" s="1" t="s">
        <v>776</v>
      </c>
      <c r="BP111" s="1"/>
      <c r="BQ111" s="284">
        <v>11.794</v>
      </c>
      <c r="BR111" s="1">
        <v>0.38045161290322582</v>
      </c>
      <c r="BS111" s="1">
        <v>0.47121139272913459</v>
      </c>
      <c r="BT111" s="1" t="s">
        <v>776</v>
      </c>
      <c r="BU111" s="1"/>
      <c r="BV111" s="284">
        <v>4.2889999999999997</v>
      </c>
      <c r="BW111" s="1">
        <v>0.13835483870967741</v>
      </c>
      <c r="BX111" s="1">
        <v>0.19684459165386584</v>
      </c>
      <c r="BY111" s="1" t="s">
        <v>776</v>
      </c>
      <c r="BZ111" s="1"/>
      <c r="CA111" s="284">
        <v>13.244999999999999</v>
      </c>
      <c r="CB111" s="1">
        <v>0.42725806451612902</v>
      </c>
      <c r="CC111" s="1">
        <v>0.49482059011776752</v>
      </c>
      <c r="CD111" s="1" t="s">
        <v>776</v>
      </c>
      <c r="CE111" s="1"/>
      <c r="CF111" s="284">
        <v>47.184017123287674</v>
      </c>
      <c r="CG111" s="1">
        <v>1.5220650684931507</v>
      </c>
      <c r="CH111" s="1">
        <v>1.5224135266132268</v>
      </c>
      <c r="CI111" s="1" t="s">
        <v>776</v>
      </c>
      <c r="CJ111" s="1"/>
      <c r="CK111" s="284">
        <v>124.319</v>
      </c>
      <c r="CL111" s="1">
        <v>4.0102903225806452</v>
      </c>
      <c r="CM111" s="1">
        <v>4.1944197196620587</v>
      </c>
      <c r="CN111" s="1">
        <v>9.2929999999999993</v>
      </c>
      <c r="CO111" s="1"/>
      <c r="CP111" s="284">
        <v>196.99600000000001</v>
      </c>
      <c r="CQ111" s="1">
        <v>6.354709677419355</v>
      </c>
      <c r="CR111" s="1">
        <v>6.4376410330261136</v>
      </c>
      <c r="CS111" s="1">
        <v>9.93</v>
      </c>
      <c r="CT111" s="1"/>
      <c r="CU111" s="284">
        <v>122.117</v>
      </c>
      <c r="CV111" s="1">
        <v>3.939258064516129</v>
      </c>
      <c r="CW111" s="1">
        <v>4.5375273489503325</v>
      </c>
      <c r="CX111" s="1">
        <v>6.9390000000000001</v>
      </c>
      <c r="CZ111" s="269">
        <v>26.847000000000001</v>
      </c>
      <c r="DA111" s="1">
        <v>0.86603225806451622</v>
      </c>
      <c r="DB111" s="1"/>
      <c r="DC111" s="284">
        <v>13.141634657534246</v>
      </c>
      <c r="DD111" s="1">
        <v>0.42392369863013696</v>
      </c>
      <c r="DE111" s="1">
        <v>0.42338255249887102</v>
      </c>
      <c r="DF111" s="1" t="s">
        <v>776</v>
      </c>
      <c r="DG111" s="1"/>
      <c r="DH111" s="284">
        <f>DI111*31</f>
        <v>76.512017123287677</v>
      </c>
      <c r="DI111" s="5">
        <f t="shared" si="221"/>
        <v>2.4681295846221829</v>
      </c>
      <c r="DJ111" s="1">
        <f t="shared" si="225"/>
        <v>2.6852792563651362</v>
      </c>
      <c r="DK111" s="1"/>
      <c r="DL111" s="1"/>
      <c r="DM111" s="284">
        <f>DN111*31</f>
        <v>2984.3396663356157</v>
      </c>
      <c r="DN111" s="1">
        <f t="shared" si="222"/>
        <v>96.269021494697284</v>
      </c>
      <c r="DO111" s="1">
        <f t="shared" si="226"/>
        <v>109.01517761825109</v>
      </c>
      <c r="DP111" s="1"/>
      <c r="DQ111" s="1"/>
      <c r="DR111" s="284">
        <f>DS111*31</f>
        <v>483.42063465753426</v>
      </c>
      <c r="DS111" s="1">
        <f t="shared" si="219"/>
        <v>15.594214021210783</v>
      </c>
      <c r="DT111" s="1" t="e">
        <f>SUM(CM111+CR111+CW111+#REF!+DE111)</f>
        <v>#REF!</v>
      </c>
      <c r="DU111" s="1"/>
      <c r="DV111" s="1"/>
      <c r="DW111" s="284">
        <f>DX111*31</f>
        <v>3467.7603009931504</v>
      </c>
      <c r="DX111" s="1">
        <f t="shared" ref="DX111:DX116" si="227">SUM(DN111+DS111)</f>
        <v>111.86323551590807</v>
      </c>
      <c r="DY111" s="1">
        <f t="shared" ref="DY111:DY116" si="228">SUM(DX100:DX111)/12</f>
        <v>125.7600272399235</v>
      </c>
      <c r="DZ111" s="1"/>
      <c r="EB111" s="242">
        <v>1.03</v>
      </c>
      <c r="EL111">
        <v>2006</v>
      </c>
      <c r="EM111" t="s">
        <v>708</v>
      </c>
      <c r="EN111" t="s">
        <v>841</v>
      </c>
      <c r="EO111">
        <v>239.03700000000001</v>
      </c>
    </row>
    <row r="112" spans="1:145" x14ac:dyDescent="0.25">
      <c r="A112" s="8">
        <v>2006</v>
      </c>
      <c r="B112" t="s">
        <v>709</v>
      </c>
      <c r="D112" s="284">
        <v>238.61</v>
      </c>
      <c r="E112" s="1">
        <v>7.9536666666666669</v>
      </c>
      <c r="F112" s="1">
        <v>8.3238938364055315</v>
      </c>
      <c r="G112" s="1">
        <v>14.06</v>
      </c>
      <c r="M112" s="1"/>
      <c r="N112" s="284">
        <v>116.57599999999999</v>
      </c>
      <c r="O112" s="1">
        <v>3.8858666666666664</v>
      </c>
      <c r="P112" s="1">
        <v>4.0924545954941109</v>
      </c>
      <c r="Q112" s="1">
        <v>9.6649999999999991</v>
      </c>
      <c r="R112" s="1"/>
      <c r="S112" s="284">
        <v>163.79</v>
      </c>
      <c r="T112" s="1">
        <v>5.4596666666666662</v>
      </c>
      <c r="U112" s="1">
        <v>6.1037169354838712</v>
      </c>
      <c r="V112" s="1">
        <v>10.77</v>
      </c>
      <c r="W112" s="88"/>
      <c r="X112" s="284">
        <v>646.57000000000005</v>
      </c>
      <c r="Y112" s="1">
        <v>21.552333333333333</v>
      </c>
      <c r="Z112" s="1">
        <v>26.069433166922682</v>
      </c>
      <c r="AA112" s="1">
        <v>31.66</v>
      </c>
      <c r="AB112" s="1"/>
      <c r="AC112" s="284">
        <v>810.36</v>
      </c>
      <c r="AD112" s="1">
        <v>27.012</v>
      </c>
      <c r="AE112" s="1">
        <v>32.173150102406559</v>
      </c>
      <c r="AF112" s="1">
        <v>42.43</v>
      </c>
      <c r="AG112" s="1"/>
      <c r="AH112" s="284">
        <v>1666.89</v>
      </c>
      <c r="AI112" s="1">
        <v>55.563000000000002</v>
      </c>
      <c r="AJ112" s="1">
        <v>55.598852342549918</v>
      </c>
      <c r="AK112" s="1">
        <v>146.46</v>
      </c>
      <c r="AL112" s="1"/>
      <c r="AM112" s="284">
        <v>26.692</v>
      </c>
      <c r="AN112" s="1">
        <v>0.88973333333333338</v>
      </c>
      <c r="AO112" s="1">
        <v>0.67076752432155662</v>
      </c>
      <c r="AP112" s="1" t="s">
        <v>776</v>
      </c>
      <c r="AQ112" s="1"/>
      <c r="AR112" s="284">
        <v>122.081</v>
      </c>
      <c r="AS112" s="1">
        <v>4.0693666666666664</v>
      </c>
      <c r="AT112" s="1">
        <v>4.6629988351254479</v>
      </c>
      <c r="AU112" s="1" t="s">
        <v>776</v>
      </c>
      <c r="AV112" s="1"/>
      <c r="AW112" s="284">
        <v>7.7110000000000003</v>
      </c>
      <c r="AX112" s="1">
        <v>0.25703333333333334</v>
      </c>
      <c r="AY112" s="1">
        <v>0.3705011456733231</v>
      </c>
      <c r="AZ112" s="1" t="s">
        <v>776</v>
      </c>
      <c r="BA112" s="1"/>
      <c r="BB112" s="284">
        <v>39.871000000000002</v>
      </c>
      <c r="BC112" s="1">
        <v>1.3290333333333335</v>
      </c>
      <c r="BD112" s="1">
        <v>1.0008747311827957</v>
      </c>
      <c r="BE112" s="1" t="s">
        <v>776</v>
      </c>
      <c r="BF112" s="1"/>
      <c r="BG112" s="284">
        <v>26.035</v>
      </c>
      <c r="BH112" s="1">
        <v>0.86783333333333335</v>
      </c>
      <c r="BI112" s="1">
        <v>0.97781981566820286</v>
      </c>
      <c r="BJ112" s="1" t="s">
        <v>776</v>
      </c>
      <c r="BK112" s="1"/>
      <c r="BL112" s="284">
        <v>114.1322743150685</v>
      </c>
      <c r="BM112" s="1">
        <v>3.8044091438356165</v>
      </c>
      <c r="BN112" s="1">
        <v>3.8044091438356156</v>
      </c>
      <c r="BO112" s="1" t="s">
        <v>776</v>
      </c>
      <c r="BP112" s="1"/>
      <c r="BQ112" s="284">
        <v>12.522</v>
      </c>
      <c r="BR112" s="1">
        <v>0.41739999999999999</v>
      </c>
      <c r="BS112" s="1">
        <v>0.47387805939580124</v>
      </c>
      <c r="BT112" s="1" t="s">
        <v>776</v>
      </c>
      <c r="BU112" s="1"/>
      <c r="BV112" s="284">
        <v>5.391</v>
      </c>
      <c r="BW112" s="1">
        <v>0.1797</v>
      </c>
      <c r="BX112" s="1">
        <v>0.20380292498719918</v>
      </c>
      <c r="BY112" s="1" t="s">
        <v>776</v>
      </c>
      <c r="BZ112" s="1"/>
      <c r="CA112" s="284">
        <v>13.391999999999999</v>
      </c>
      <c r="CB112" s="1">
        <v>0.44639999999999996</v>
      </c>
      <c r="CC112" s="1">
        <v>0.49264836789554534</v>
      </c>
      <c r="CD112" s="1" t="s">
        <v>776</v>
      </c>
      <c r="CE112" s="1"/>
      <c r="CF112" s="284">
        <v>45.661952054794519</v>
      </c>
      <c r="CG112" s="1">
        <v>1.5220650684931507</v>
      </c>
      <c r="CH112" s="1">
        <v>1.5220650684931505</v>
      </c>
      <c r="CI112" s="1" t="s">
        <v>776</v>
      </c>
      <c r="CJ112" s="1"/>
      <c r="CK112" s="284">
        <v>120.12</v>
      </c>
      <c r="CL112" s="1">
        <v>4.0040000000000004</v>
      </c>
      <c r="CM112" s="1">
        <v>4.4028169418842804</v>
      </c>
      <c r="CN112" s="1">
        <v>9.2880000000000003</v>
      </c>
      <c r="CO112" s="1"/>
      <c r="CP112" s="284">
        <v>192.97</v>
      </c>
      <c r="CQ112" s="1">
        <v>6.4323333333333332</v>
      </c>
      <c r="CR112" s="1">
        <v>6.5334910330261131</v>
      </c>
      <c r="CS112" s="1">
        <v>9.8040000000000003</v>
      </c>
      <c r="CT112" s="1"/>
      <c r="CU112" s="284">
        <v>124.155</v>
      </c>
      <c r="CV112" s="1">
        <v>4.1384999999999996</v>
      </c>
      <c r="CW112" s="1">
        <v>4.5460829045058881</v>
      </c>
      <c r="CX112" s="1">
        <v>8.2609999999999992</v>
      </c>
      <c r="CZ112" s="269">
        <v>29.547999999999998</v>
      </c>
      <c r="DA112" s="1">
        <v>0.98493333333333333</v>
      </c>
      <c r="DB112" s="1"/>
      <c r="DC112" s="284">
        <v>12.717710958904108</v>
      </c>
      <c r="DD112" s="1">
        <v>0.42392369863013696</v>
      </c>
      <c r="DE112" s="1">
        <v>0.42392369863013707</v>
      </c>
      <c r="DF112" s="1" t="s">
        <v>776</v>
      </c>
      <c r="DG112" s="1"/>
      <c r="DH112" s="284">
        <f>DI112*30</f>
        <v>76.966952054794518</v>
      </c>
      <c r="DI112" s="5">
        <f t="shared" si="221"/>
        <v>2.5655650684931506</v>
      </c>
      <c r="DJ112" s="1">
        <f t="shared" si="225"/>
        <v>2.6923835760228378</v>
      </c>
      <c r="DK112" s="1"/>
      <c r="DL112" s="1"/>
      <c r="DM112" s="284">
        <f>DN112*30</f>
        <v>3091.991322260274</v>
      </c>
      <c r="DN112" s="1">
        <f t="shared" si="222"/>
        <v>103.06637740867581</v>
      </c>
      <c r="DO112" s="1">
        <f t="shared" si="226"/>
        <v>108.98327030600093</v>
      </c>
      <c r="DP112" s="1"/>
      <c r="DQ112" s="1"/>
      <c r="DR112" s="284">
        <f>DS112*30</f>
        <v>479.51071095890416</v>
      </c>
      <c r="DS112" s="1">
        <f t="shared" si="219"/>
        <v>15.983690365296805</v>
      </c>
      <c r="DT112" s="1" t="e">
        <f>SUM(CM112+CR112+CW112+#REF!+DE112)</f>
        <v>#REF!</v>
      </c>
      <c r="DU112" s="1"/>
      <c r="DV112" s="1"/>
      <c r="DW112" s="284">
        <f>DX112*30</f>
        <v>3571.5020332191784</v>
      </c>
      <c r="DX112" s="1">
        <f t="shared" si="227"/>
        <v>119.05006777397261</v>
      </c>
      <c r="DY112" s="1">
        <f t="shared" si="228"/>
        <v>126.04171107380462</v>
      </c>
      <c r="DZ112" s="1"/>
      <c r="EB112" s="242">
        <v>6.31</v>
      </c>
      <c r="EL112">
        <v>2006</v>
      </c>
      <c r="EM112" t="s">
        <v>709</v>
      </c>
      <c r="EN112" t="s">
        <v>841</v>
      </c>
      <c r="EO112">
        <v>238.61</v>
      </c>
    </row>
    <row r="113" spans="1:145" s="27" customFormat="1" x14ac:dyDescent="0.25">
      <c r="A113" s="52">
        <v>2006</v>
      </c>
      <c r="B113" s="48" t="s">
        <v>710</v>
      </c>
      <c r="C113" s="48"/>
      <c r="D113" s="269">
        <v>288.11</v>
      </c>
      <c r="E113" s="49">
        <v>9.2938709677419364</v>
      </c>
      <c r="F113" s="49">
        <v>8.3471115783410141</v>
      </c>
      <c r="G113" s="49">
        <v>12.47</v>
      </c>
      <c r="H113" s="49"/>
      <c r="I113" s="269"/>
      <c r="J113" s="49"/>
      <c r="K113" s="49"/>
      <c r="L113" s="49"/>
      <c r="M113" s="49"/>
      <c r="N113" s="269">
        <v>120.53400000000001</v>
      </c>
      <c r="O113" s="49">
        <v>3.8881935483870969</v>
      </c>
      <c r="P113" s="49">
        <v>4.0759250256016379</v>
      </c>
      <c r="Q113" s="49">
        <v>10.16</v>
      </c>
      <c r="R113" s="49"/>
      <c r="S113" s="269">
        <v>180.57300000000001</v>
      </c>
      <c r="T113" s="49">
        <v>5.8249354838709682</v>
      </c>
      <c r="U113" s="49">
        <v>6.0905529569892485</v>
      </c>
      <c r="V113" s="49">
        <v>9.9600000000000009</v>
      </c>
      <c r="W113" s="246"/>
      <c r="X113" s="269">
        <v>655.92</v>
      </c>
      <c r="Y113" s="49">
        <v>21.158709677419353</v>
      </c>
      <c r="Z113" s="49">
        <v>25.739403597030208</v>
      </c>
      <c r="AA113" s="49">
        <v>30.67</v>
      </c>
      <c r="AB113" s="49"/>
      <c r="AC113" s="269">
        <v>836.49299999999994</v>
      </c>
      <c r="AD113" s="49">
        <v>26.983645161290319</v>
      </c>
      <c r="AE113" s="49">
        <v>31.82995655401945</v>
      </c>
      <c r="AF113" s="49">
        <v>40.630000000000003</v>
      </c>
      <c r="AG113" s="49"/>
      <c r="AH113" s="269">
        <v>1685.21</v>
      </c>
      <c r="AI113" s="49">
        <v>54.361612903225804</v>
      </c>
      <c r="AJ113" s="49">
        <v>55.312134600614435</v>
      </c>
      <c r="AK113" s="49">
        <v>198.1</v>
      </c>
      <c r="AL113" s="49"/>
      <c r="AM113" s="269">
        <v>19.096</v>
      </c>
      <c r="AN113" s="49">
        <v>0.61599999999999999</v>
      </c>
      <c r="AO113" s="49">
        <v>0.67205784690220172</v>
      </c>
      <c r="AP113" s="49" t="s">
        <v>776</v>
      </c>
      <c r="AQ113" s="49"/>
      <c r="AR113" s="269">
        <v>129.58000000000001</v>
      </c>
      <c r="AS113" s="49">
        <v>4.18</v>
      </c>
      <c r="AT113" s="49">
        <v>4.5742407706093191</v>
      </c>
      <c r="AU113" s="49" t="s">
        <v>776</v>
      </c>
      <c r="AV113" s="49"/>
      <c r="AW113" s="269">
        <v>7.6260000000000003</v>
      </c>
      <c r="AX113" s="49">
        <v>0.24600000000000002</v>
      </c>
      <c r="AY113" s="49">
        <v>0.3561758768561189</v>
      </c>
      <c r="AZ113" s="49" t="s">
        <v>776</v>
      </c>
      <c r="BA113" s="49"/>
      <c r="BB113" s="269">
        <v>36.518000000000001</v>
      </c>
      <c r="BC113" s="49">
        <v>1.1779999999999999</v>
      </c>
      <c r="BD113" s="49">
        <v>1.0380091397849462</v>
      </c>
      <c r="BE113" s="49" t="s">
        <v>776</v>
      </c>
      <c r="BF113" s="49"/>
      <c r="BG113" s="269">
        <v>23.87</v>
      </c>
      <c r="BH113" s="49">
        <v>0.77</v>
      </c>
      <c r="BI113" s="49">
        <v>0.98425261136712738</v>
      </c>
      <c r="BJ113" s="49" t="s">
        <v>776</v>
      </c>
      <c r="BK113" s="49"/>
      <c r="BL113" s="269">
        <v>120.60877103082191</v>
      </c>
      <c r="BM113" s="49">
        <v>3.8906055171232876</v>
      </c>
      <c r="BN113" s="49">
        <v>3.811592174942922</v>
      </c>
      <c r="BO113" s="49" t="s">
        <v>776</v>
      </c>
      <c r="BP113" s="49"/>
      <c r="BQ113" s="269">
        <v>13.051</v>
      </c>
      <c r="BR113" s="49">
        <v>0.42099999999999999</v>
      </c>
      <c r="BS113" s="49">
        <v>0.46082919226830515</v>
      </c>
      <c r="BT113" s="49" t="s">
        <v>776</v>
      </c>
      <c r="BU113" s="49"/>
      <c r="BV113" s="269">
        <v>5.673</v>
      </c>
      <c r="BW113" s="49">
        <v>0.183</v>
      </c>
      <c r="BX113" s="49">
        <v>0.20059862391193031</v>
      </c>
      <c r="BY113" s="49" t="s">
        <v>776</v>
      </c>
      <c r="BZ113" s="49"/>
      <c r="CA113" s="269">
        <v>14.074</v>
      </c>
      <c r="CB113" s="49">
        <v>0.45400000000000001</v>
      </c>
      <c r="CC113" s="49">
        <v>0.48804132104454689</v>
      </c>
      <c r="CD113" s="49" t="s">
        <v>776</v>
      </c>
      <c r="CE113" s="49"/>
      <c r="CF113" s="269">
        <v>42.643684931506854</v>
      </c>
      <c r="CG113" s="49">
        <v>1.478</v>
      </c>
      <c r="CH113" s="49">
        <v>1.5098598744292235</v>
      </c>
      <c r="CI113" s="49" t="s">
        <v>776</v>
      </c>
      <c r="CJ113" s="49"/>
      <c r="CK113" s="269">
        <v>109.286</v>
      </c>
      <c r="CL113" s="49">
        <v>3.5253548387096774</v>
      </c>
      <c r="CM113" s="49">
        <v>4.4541475870455702</v>
      </c>
      <c r="CN113" s="49">
        <v>9.7899999999999991</v>
      </c>
      <c r="CO113" s="49"/>
      <c r="CP113" s="269">
        <v>191.28700000000001</v>
      </c>
      <c r="CQ113" s="49">
        <v>6.1705483870967743</v>
      </c>
      <c r="CR113" s="49">
        <v>6.5402168394777256</v>
      </c>
      <c r="CS113" s="49">
        <v>14.239000000000001</v>
      </c>
      <c r="CT113" s="49"/>
      <c r="CU113" s="269">
        <v>134.49</v>
      </c>
      <c r="CV113" s="49">
        <v>4.338387096774194</v>
      </c>
      <c r="CW113" s="49">
        <v>4.5193329045058883</v>
      </c>
      <c r="CX113" s="49">
        <v>8.1910000000000007</v>
      </c>
      <c r="CY113" s="49"/>
      <c r="CZ113" s="269">
        <v>26.992000000000001</v>
      </c>
      <c r="DA113" s="49">
        <v>0.8707096774193549</v>
      </c>
      <c r="DB113" s="49"/>
      <c r="DC113" s="269">
        <v>13.798715753424659</v>
      </c>
      <c r="DD113" s="49">
        <v>0.44511986301369866</v>
      </c>
      <c r="DE113" s="49">
        <v>0.4256900456621005</v>
      </c>
      <c r="DF113" s="49" t="s">
        <v>776</v>
      </c>
      <c r="DG113" s="49"/>
      <c r="DH113" s="284">
        <f>DI113*31</f>
        <v>78.616</v>
      </c>
      <c r="DI113" s="5">
        <f t="shared" si="221"/>
        <v>2.536</v>
      </c>
      <c r="DJ113" s="1">
        <f t="shared" ref="DJ113:DJ118" si="229">SUM(DI102:DI113)/12</f>
        <v>2.667856694302408</v>
      </c>
      <c r="DK113" s="49"/>
      <c r="DL113" s="49"/>
      <c r="DM113" s="284">
        <f>DN113*31</f>
        <v>3189.0297710308209</v>
      </c>
      <c r="DN113" s="1">
        <f t="shared" si="222"/>
        <v>102.87192809776842</v>
      </c>
      <c r="DO113" s="1">
        <f t="shared" ref="DO113:DO118" si="230">SUM(DN102:DN113)/12</f>
        <v>108.33356538941713</v>
      </c>
      <c r="DP113" s="49"/>
      <c r="DQ113" s="49"/>
      <c r="DR113" s="284">
        <f>DS113*31</f>
        <v>475.85371575342464</v>
      </c>
      <c r="DS113" s="1">
        <f t="shared" si="219"/>
        <v>15.350119863013697</v>
      </c>
      <c r="DT113" s="1" t="e">
        <f>SUM(CM113+CR113+CW113+#REF!+DE113)</f>
        <v>#REF!</v>
      </c>
      <c r="DU113" s="49"/>
      <c r="DV113" s="49"/>
      <c r="DW113" s="284">
        <f>DX113*31</f>
        <v>3664.8834867842456</v>
      </c>
      <c r="DX113" s="1">
        <f t="shared" si="227"/>
        <v>118.22204796078212</v>
      </c>
      <c r="DY113" s="1">
        <f t="shared" si="228"/>
        <v>125.40515593075152</v>
      </c>
      <c r="DZ113" s="49"/>
      <c r="EA113" s="48"/>
      <c r="EB113" s="242">
        <v>5.0599999999999996</v>
      </c>
      <c r="EL113" s="27">
        <v>2006</v>
      </c>
      <c r="EM113" s="27" t="s">
        <v>710</v>
      </c>
      <c r="EN113" s="27" t="s">
        <v>841</v>
      </c>
      <c r="EO113" s="27">
        <v>288.11</v>
      </c>
    </row>
    <row r="114" spans="1:145" x14ac:dyDescent="0.25">
      <c r="A114" s="8">
        <v>2006</v>
      </c>
      <c r="B114" t="s">
        <v>711</v>
      </c>
      <c r="D114" s="284">
        <v>270.11799999999999</v>
      </c>
      <c r="E114" s="1">
        <v>9.0039333333333325</v>
      </c>
      <c r="F114" s="1">
        <v>8.4197143561187922</v>
      </c>
      <c r="G114" s="1">
        <v>14.51</v>
      </c>
      <c r="M114" s="1"/>
      <c r="N114" s="284">
        <v>105.295</v>
      </c>
      <c r="O114" s="1">
        <v>3.5098333333333334</v>
      </c>
      <c r="P114" s="1">
        <v>4.0349861367127495</v>
      </c>
      <c r="Q114" s="1">
        <v>14.5</v>
      </c>
      <c r="R114" s="1"/>
      <c r="S114" s="284">
        <v>188.23400000000001</v>
      </c>
      <c r="T114" s="1">
        <v>6.2744666666666671</v>
      </c>
      <c r="U114" s="1">
        <v>6.1421335125448033</v>
      </c>
      <c r="V114" s="1">
        <v>18.239999999999998</v>
      </c>
      <c r="W114" s="88"/>
      <c r="X114" s="284">
        <v>622.93399999999997</v>
      </c>
      <c r="Y114" s="1">
        <v>20.764466666666667</v>
      </c>
      <c r="Z114" s="1">
        <v>25.289498041474658</v>
      </c>
      <c r="AA114" s="1">
        <v>35.93</v>
      </c>
      <c r="AB114" s="1"/>
      <c r="AC114" s="284">
        <v>811.16800000000001</v>
      </c>
      <c r="AD114" s="1">
        <v>27.038933333333333</v>
      </c>
      <c r="AE114" s="1">
        <v>31.431631554019457</v>
      </c>
      <c r="AF114" s="1">
        <v>54.17</v>
      </c>
      <c r="AG114" s="1"/>
      <c r="AH114" s="284">
        <v>1913.0550000000001</v>
      </c>
      <c r="AI114" s="1">
        <v>63.768500000000003</v>
      </c>
      <c r="AJ114" s="1">
        <v>55.94850960061445</v>
      </c>
      <c r="AK114" s="1">
        <v>199</v>
      </c>
      <c r="AL114" s="1"/>
      <c r="AM114" s="284">
        <v>21.422000000000001</v>
      </c>
      <c r="AN114" s="1">
        <v>0.71406666666666674</v>
      </c>
      <c r="AO114" s="1">
        <v>0.69225229134664623</v>
      </c>
      <c r="AP114" s="1" t="s">
        <v>776</v>
      </c>
      <c r="AQ114" s="1"/>
      <c r="AR114" s="284">
        <v>146.572</v>
      </c>
      <c r="AS114" s="1">
        <v>4.8857333333333335</v>
      </c>
      <c r="AT114" s="1">
        <v>4.5961713261648756</v>
      </c>
      <c r="AU114" s="1" t="s">
        <v>776</v>
      </c>
      <c r="AV114" s="1"/>
      <c r="AW114" s="284">
        <v>9.8469999999999995</v>
      </c>
      <c r="AX114" s="1">
        <v>0.32823333333333332</v>
      </c>
      <c r="AY114" s="1">
        <v>0.35473421018945217</v>
      </c>
      <c r="AZ114" s="1" t="s">
        <v>776</v>
      </c>
      <c r="BA114" s="1"/>
      <c r="BB114" s="284">
        <v>24.401</v>
      </c>
      <c r="BC114" s="1">
        <v>0.81336666666666668</v>
      </c>
      <c r="BD114" s="1">
        <v>1.0457646953405018</v>
      </c>
      <c r="BE114" s="1" t="s">
        <v>776</v>
      </c>
      <c r="BF114" s="1"/>
      <c r="BG114" s="284">
        <v>25.978999999999999</v>
      </c>
      <c r="BH114" s="1">
        <v>0.86596666666666666</v>
      </c>
      <c r="BI114" s="1">
        <v>0.98609150025601633</v>
      </c>
      <c r="BJ114" s="1" t="s">
        <v>776</v>
      </c>
      <c r="BK114" s="1"/>
      <c r="BL114" s="284">
        <v>116.71816551369862</v>
      </c>
      <c r="BM114" s="1">
        <v>3.8906055171232876</v>
      </c>
      <c r="BN114" s="1">
        <v>3.8187752060502285</v>
      </c>
      <c r="BO114" s="1" t="s">
        <v>776</v>
      </c>
      <c r="BP114" s="1"/>
      <c r="BQ114" s="284">
        <v>13.194000000000001</v>
      </c>
      <c r="BR114" s="1">
        <v>0.43980000000000002</v>
      </c>
      <c r="BS114" s="1">
        <v>0.46014308115719404</v>
      </c>
      <c r="BT114" s="1" t="s">
        <v>776</v>
      </c>
      <c r="BU114" s="1"/>
      <c r="BV114" s="284">
        <v>7.7519999999999998</v>
      </c>
      <c r="BW114" s="1">
        <v>0.25840000000000002</v>
      </c>
      <c r="BX114" s="1">
        <v>0.21039029057859701</v>
      </c>
      <c r="BY114" s="1" t="s">
        <v>776</v>
      </c>
      <c r="BZ114" s="1"/>
      <c r="CA114" s="284">
        <v>15.161</v>
      </c>
      <c r="CB114" s="1">
        <v>0.50536666666666663</v>
      </c>
      <c r="CC114" s="1">
        <v>0.49064687660010242</v>
      </c>
      <c r="CD114" s="1" t="s">
        <v>776</v>
      </c>
      <c r="CE114" s="1"/>
      <c r="CF114" s="284">
        <v>44.350273972602743</v>
      </c>
      <c r="CG114" s="1">
        <v>1.4783424657534248</v>
      </c>
      <c r="CH114" s="1">
        <v>1.5147779680365294</v>
      </c>
      <c r="CI114" s="1" t="s">
        <v>776</v>
      </c>
      <c r="CJ114" s="1"/>
      <c r="CK114" s="284">
        <v>65.058000000000007</v>
      </c>
      <c r="CL114" s="1">
        <v>2.1686000000000001</v>
      </c>
      <c r="CM114" s="1">
        <v>4.2007531426011253</v>
      </c>
      <c r="CN114" s="1">
        <v>17.59</v>
      </c>
      <c r="CO114" s="1"/>
      <c r="CP114" s="284">
        <v>184.833</v>
      </c>
      <c r="CQ114" s="1">
        <v>6.1611000000000002</v>
      </c>
      <c r="CR114" s="1">
        <v>6.5086168394777273</v>
      </c>
      <c r="CS114" s="1">
        <v>14.206</v>
      </c>
      <c r="CT114" s="1"/>
      <c r="CU114" s="284">
        <v>148.745</v>
      </c>
      <c r="CV114" s="1">
        <v>4.9581666666666671</v>
      </c>
      <c r="CW114" s="1">
        <v>4.5569717933947764</v>
      </c>
      <c r="CX114" s="1">
        <v>11.4</v>
      </c>
      <c r="CZ114" s="269">
        <v>34.944000000000003</v>
      </c>
      <c r="DA114" s="1">
        <v>1.1648000000000001</v>
      </c>
      <c r="DB114" s="1"/>
      <c r="DC114" s="284">
        <v>13.35359589041096</v>
      </c>
      <c r="DD114" s="1">
        <v>0.44511986301369866</v>
      </c>
      <c r="DE114" s="1">
        <v>0.42745639269406399</v>
      </c>
      <c r="DF114" s="1" t="s">
        <v>776</v>
      </c>
      <c r="DG114" s="1"/>
      <c r="DH114" s="284">
        <f>DI114*30</f>
        <v>80.457273972602749</v>
      </c>
      <c r="DI114" s="5">
        <f t="shared" si="221"/>
        <v>2.6819091324200914</v>
      </c>
      <c r="DJ114" s="1">
        <f t="shared" si="229"/>
        <v>2.6759296775596373</v>
      </c>
      <c r="DK114" s="1"/>
      <c r="DL114" s="1"/>
      <c r="DM114" s="284">
        <f>DN114*30</f>
        <v>3364.117891541096</v>
      </c>
      <c r="DN114" s="1">
        <f t="shared" si="222"/>
        <v>112.13726305136987</v>
      </c>
      <c r="DO114" s="1">
        <f t="shared" si="230"/>
        <v>108.65270119925351</v>
      </c>
      <c r="DP114" s="1"/>
      <c r="DQ114" s="1"/>
      <c r="DR114" s="284">
        <f>DS114*30</f>
        <v>446.93359589041097</v>
      </c>
      <c r="DS114" s="1">
        <f t="shared" si="219"/>
        <v>14.897786529680365</v>
      </c>
      <c r="DT114" s="1" t="e">
        <f>SUM(CM114+CR114+CW114+#REF!+DE114)</f>
        <v>#REF!</v>
      </c>
      <c r="DU114" s="1"/>
      <c r="DV114" s="1"/>
      <c r="DW114" s="284">
        <f>DX114*30</f>
        <v>3811.0514874315068</v>
      </c>
      <c r="DX114" s="1">
        <f t="shared" si="227"/>
        <v>127.03504958105023</v>
      </c>
      <c r="DY114" s="1">
        <f t="shared" si="228"/>
        <v>125.48009617361684</v>
      </c>
      <c r="DZ114" s="1"/>
      <c r="EB114" s="242">
        <v>5.16</v>
      </c>
      <c r="EL114">
        <v>2006</v>
      </c>
      <c r="EM114" t="s">
        <v>711</v>
      </c>
      <c r="EN114" t="s">
        <v>841</v>
      </c>
      <c r="EO114">
        <v>270.11799999999999</v>
      </c>
    </row>
    <row r="115" spans="1:145" x14ac:dyDescent="0.25">
      <c r="A115" s="8">
        <v>2006</v>
      </c>
      <c r="B115" t="s">
        <v>712</v>
      </c>
      <c r="D115" s="284">
        <v>276.24200000000002</v>
      </c>
      <c r="E115" s="1">
        <v>8.911032258064516</v>
      </c>
      <c r="F115" s="1">
        <v>8.4643729582693297</v>
      </c>
      <c r="G115" s="1">
        <v>12.46</v>
      </c>
      <c r="M115" s="1"/>
      <c r="N115" s="284">
        <v>102.542</v>
      </c>
      <c r="O115" s="1">
        <v>3.3078064516129033</v>
      </c>
      <c r="P115" s="1">
        <v>3.9760855990783406</v>
      </c>
      <c r="Q115" s="1">
        <v>5.8940000000000001</v>
      </c>
      <c r="R115" s="1"/>
      <c r="S115" s="284">
        <v>187.06</v>
      </c>
      <c r="T115" s="1">
        <v>6.0341935483870968</v>
      </c>
      <c r="U115" s="1">
        <v>6.1296872759856624</v>
      </c>
      <c r="V115" s="1">
        <v>9.2799999999999994</v>
      </c>
      <c r="W115" s="88"/>
      <c r="X115" s="284">
        <v>629.64</v>
      </c>
      <c r="Y115" s="1">
        <v>20.310967741935482</v>
      </c>
      <c r="Z115" s="1">
        <v>24.747374385560676</v>
      </c>
      <c r="AA115" s="1">
        <v>26.66</v>
      </c>
      <c r="AB115" s="1"/>
      <c r="AC115" s="284">
        <v>816.7</v>
      </c>
      <c r="AD115" s="1">
        <v>26.345161290322583</v>
      </c>
      <c r="AE115" s="1">
        <v>30.877061661546335</v>
      </c>
      <c r="AF115" s="1">
        <v>35.94</v>
      </c>
      <c r="AG115" s="1"/>
      <c r="AH115" s="284">
        <v>1761.575</v>
      </c>
      <c r="AI115" s="1">
        <v>56.825000000000003</v>
      </c>
      <c r="AJ115" s="1">
        <v>55.907807987711216</v>
      </c>
      <c r="AK115" s="1">
        <v>81.44</v>
      </c>
      <c r="AL115" s="1"/>
      <c r="AM115" s="284">
        <v>18.12</v>
      </c>
      <c r="AN115" s="1">
        <v>0.58451612903225814</v>
      </c>
      <c r="AO115" s="1">
        <v>0.68299422683051703</v>
      </c>
      <c r="AP115" s="1" t="s">
        <v>776</v>
      </c>
      <c r="AQ115" s="1"/>
      <c r="AR115" s="284">
        <v>100.68600000000001</v>
      </c>
      <c r="AS115" s="1">
        <v>3.2479354838709678</v>
      </c>
      <c r="AT115" s="1">
        <v>4.5001202508960576</v>
      </c>
      <c r="AU115" s="1" t="s">
        <v>776</v>
      </c>
      <c r="AV115" s="1"/>
      <c r="AW115" s="284">
        <v>7.0759999999999996</v>
      </c>
      <c r="AX115" s="1">
        <v>0.22825806451612901</v>
      </c>
      <c r="AY115" s="1">
        <v>0.34744926395289299</v>
      </c>
      <c r="AZ115" s="1" t="s">
        <v>776</v>
      </c>
      <c r="BA115" s="1"/>
      <c r="BB115" s="284">
        <v>24.661000000000001</v>
      </c>
      <c r="BC115" s="1">
        <v>0.7955161290322581</v>
      </c>
      <c r="BD115" s="1">
        <v>1.0640577060931899</v>
      </c>
      <c r="BE115" s="1" t="s">
        <v>776</v>
      </c>
      <c r="BF115" s="1"/>
      <c r="BG115" s="284">
        <v>21.106999999999999</v>
      </c>
      <c r="BH115" s="1">
        <v>0.68087096774193545</v>
      </c>
      <c r="BI115" s="1">
        <v>0.96592752176139263</v>
      </c>
      <c r="BJ115" s="1" t="s">
        <v>776</v>
      </c>
      <c r="BK115" s="1"/>
      <c r="BL115" s="284">
        <v>120.60877103082191</v>
      </c>
      <c r="BM115" s="1">
        <v>3.8906055171232876</v>
      </c>
      <c r="BN115" s="1">
        <v>3.8259582371575349</v>
      </c>
      <c r="BO115" s="1" t="s">
        <v>776</v>
      </c>
      <c r="BP115" s="1"/>
      <c r="BQ115" s="284">
        <v>11.179</v>
      </c>
      <c r="BR115" s="1">
        <v>0.36061290322580647</v>
      </c>
      <c r="BS115" s="1">
        <v>0.44962426395289296</v>
      </c>
      <c r="BT115" s="1" t="s">
        <v>776</v>
      </c>
      <c r="BU115" s="1"/>
      <c r="BV115" s="284">
        <v>4.4820000000000002</v>
      </c>
      <c r="BW115" s="1">
        <v>0.14458064516129032</v>
      </c>
      <c r="BX115" s="1">
        <v>0.20562416154633892</v>
      </c>
      <c r="BY115" s="1" t="s">
        <v>776</v>
      </c>
      <c r="BZ115" s="1"/>
      <c r="CA115" s="284">
        <v>11.717000000000001</v>
      </c>
      <c r="CB115" s="1">
        <v>0.37796774193548388</v>
      </c>
      <c r="CC115" s="1">
        <v>0.47773020993343568</v>
      </c>
      <c r="CD115" s="1" t="s">
        <v>776</v>
      </c>
      <c r="CE115" s="1"/>
      <c r="CF115" s="284">
        <v>45.828616438356164</v>
      </c>
      <c r="CG115" s="1">
        <v>1.4783424657534245</v>
      </c>
      <c r="CH115" s="1">
        <v>1.5111344178082191</v>
      </c>
      <c r="CI115" s="1" t="s">
        <v>776</v>
      </c>
      <c r="CJ115" s="1"/>
      <c r="CK115" s="284">
        <v>63.295999999999999</v>
      </c>
      <c r="CL115" s="1">
        <v>2.0418064516129033</v>
      </c>
      <c r="CM115" s="1">
        <v>3.9809843253968249</v>
      </c>
      <c r="CN115" s="1">
        <v>6.51</v>
      </c>
      <c r="CO115" s="1"/>
      <c r="CP115" s="284">
        <v>189.70400000000001</v>
      </c>
      <c r="CQ115" s="1">
        <v>6.1194838709677422</v>
      </c>
      <c r="CR115" s="1">
        <v>6.4741195276497701</v>
      </c>
      <c r="CS115" s="1">
        <v>10.022</v>
      </c>
      <c r="CT115" s="1"/>
      <c r="CU115" s="284">
        <v>140.34100000000001</v>
      </c>
      <c r="CV115" s="1">
        <v>4.5271290322580651</v>
      </c>
      <c r="CW115" s="1">
        <v>4.5448320084485401</v>
      </c>
      <c r="CX115" s="1">
        <v>7.4939999999999998</v>
      </c>
      <c r="CZ115" s="269">
        <v>26.847000000000001</v>
      </c>
      <c r="DA115" s="1">
        <v>0.86603225806451622</v>
      </c>
      <c r="DB115" s="1"/>
      <c r="DC115" s="284">
        <v>13.798715753424659</v>
      </c>
      <c r="DD115" s="1">
        <v>0.44511986301369866</v>
      </c>
      <c r="DE115" s="1">
        <v>0.42922273972602748</v>
      </c>
      <c r="DF115" s="1" t="s">
        <v>776</v>
      </c>
      <c r="DG115" s="1"/>
      <c r="DH115" s="284">
        <f>DI115*31</f>
        <v>73.206616438356164</v>
      </c>
      <c r="DI115" s="5">
        <f t="shared" si="221"/>
        <v>2.3615037560760053</v>
      </c>
      <c r="DJ115" s="1">
        <f t="shared" si="229"/>
        <v>2.6440845144281013</v>
      </c>
      <c r="DK115" s="1"/>
      <c r="DL115" s="1"/>
      <c r="DM115" s="284">
        <f>DN115*31</f>
        <v>3176.1111545924659</v>
      </c>
      <c r="DN115" s="1">
        <f t="shared" si="222"/>
        <v>102.45519853524084</v>
      </c>
      <c r="DO115" s="1">
        <f t="shared" si="230"/>
        <v>107.9677508988687</v>
      </c>
      <c r="DP115" s="1"/>
      <c r="DQ115" s="1"/>
      <c r="DR115" s="284">
        <f>DS115*31</f>
        <v>433.98671575342468</v>
      </c>
      <c r="DS115" s="1">
        <f t="shared" si="219"/>
        <v>13.999571475916925</v>
      </c>
      <c r="DT115" s="1" t="e">
        <f>SUM(CM115+CR115+CW115+#REF!+DE115)</f>
        <v>#REF!</v>
      </c>
      <c r="DU115" s="1"/>
      <c r="DV115" s="1"/>
      <c r="DW115" s="284">
        <f>DX115*31</f>
        <v>3610.0978703458904</v>
      </c>
      <c r="DX115" s="1">
        <f t="shared" si="227"/>
        <v>116.45477001115776</v>
      </c>
      <c r="DY115" s="1">
        <f t="shared" si="228"/>
        <v>124.50179662886613</v>
      </c>
      <c r="DZ115" s="1"/>
      <c r="EB115" s="242">
        <v>1.56</v>
      </c>
      <c r="EL115">
        <v>2006</v>
      </c>
      <c r="EM115" t="s">
        <v>712</v>
      </c>
      <c r="EN115" t="s">
        <v>841</v>
      </c>
      <c r="EO115">
        <v>276.24200000000002</v>
      </c>
    </row>
    <row r="116" spans="1:145" x14ac:dyDescent="0.25">
      <c r="A116" s="8">
        <v>2007</v>
      </c>
      <c r="B116" t="s">
        <v>719</v>
      </c>
      <c r="D116" s="284">
        <v>300.64499999999998</v>
      </c>
      <c r="E116" s="1">
        <v>9.698225806451612</v>
      </c>
      <c r="F116" s="1">
        <v>8.5641525281618023</v>
      </c>
      <c r="G116" s="1">
        <v>13.9</v>
      </c>
      <c r="M116" s="1"/>
      <c r="N116" s="284">
        <v>106.249</v>
      </c>
      <c r="O116" s="1">
        <v>3.4273870967741935</v>
      </c>
      <c r="P116" s="1">
        <v>3.9222683947772672</v>
      </c>
      <c r="Q116" s="1">
        <v>6.2220000000000004</v>
      </c>
      <c r="R116" s="1"/>
      <c r="S116" s="284">
        <v>201.91300000000001</v>
      </c>
      <c r="T116" s="1">
        <v>6.5133225806451618</v>
      </c>
      <c r="U116" s="1">
        <v>6.1316308243727606</v>
      </c>
      <c r="V116" s="1">
        <v>10.33</v>
      </c>
      <c r="W116" s="88"/>
      <c r="X116" s="284">
        <v>649.98</v>
      </c>
      <c r="Y116" s="1">
        <v>20.96709677419355</v>
      </c>
      <c r="Z116" s="1">
        <v>24.191782987711207</v>
      </c>
      <c r="AA116" s="1">
        <v>28.58</v>
      </c>
      <c r="AB116" s="1"/>
      <c r="AC116" s="284">
        <v>851.89300000000003</v>
      </c>
      <c r="AD116" s="1">
        <v>27.480419354838709</v>
      </c>
      <c r="AE116" s="1">
        <v>30.323413812083974</v>
      </c>
      <c r="AF116" s="1">
        <v>38.909999999999997</v>
      </c>
      <c r="AG116" s="1"/>
      <c r="AH116" s="284">
        <v>1860.816</v>
      </c>
      <c r="AI116" s="1">
        <v>60.026322580645164</v>
      </c>
      <c r="AJ116" s="1">
        <v>55.725942396313364</v>
      </c>
      <c r="AK116" s="1">
        <v>113.04</v>
      </c>
      <c r="AL116" s="1"/>
      <c r="AM116" s="284">
        <v>19.536999999999999</v>
      </c>
      <c r="AN116" s="1">
        <v>0.63022580645161286</v>
      </c>
      <c r="AO116" s="1">
        <v>0.68923885048643108</v>
      </c>
      <c r="AP116" s="1" t="s">
        <v>776</v>
      </c>
      <c r="AQ116" s="1"/>
      <c r="AR116" s="284">
        <v>158.02699999999999</v>
      </c>
      <c r="AS116" s="1">
        <v>5.0976451612903224</v>
      </c>
      <c r="AT116" s="1">
        <v>4.5453218637992832</v>
      </c>
      <c r="AU116" s="1" t="s">
        <v>776</v>
      </c>
      <c r="AV116" s="1"/>
      <c r="AW116" s="284">
        <v>8.343</v>
      </c>
      <c r="AX116" s="1">
        <v>0.2691290322580645</v>
      </c>
      <c r="AY116" s="1">
        <v>0.34325033922171017</v>
      </c>
      <c r="AZ116" s="1" t="s">
        <v>776</v>
      </c>
      <c r="BA116" s="1"/>
      <c r="BB116" s="284">
        <v>17.530999999999999</v>
      </c>
      <c r="BC116" s="1">
        <v>0.56551612903225801</v>
      </c>
      <c r="BD116" s="1">
        <v>1.0422754480286738</v>
      </c>
      <c r="BE116" s="1" t="s">
        <v>776</v>
      </c>
      <c r="BF116" s="1"/>
      <c r="BG116" s="284">
        <v>26.414000000000001</v>
      </c>
      <c r="BH116" s="1">
        <v>0.85206451612903233</v>
      </c>
      <c r="BI116" s="1">
        <v>0.9511076292882743</v>
      </c>
      <c r="BJ116" s="1" t="s">
        <v>776</v>
      </c>
      <c r="BK116" s="1"/>
      <c r="BL116" s="284">
        <v>120.60877103082191</v>
      </c>
      <c r="BM116" s="1">
        <v>3.8906055171232876</v>
      </c>
      <c r="BN116" s="1">
        <v>3.8331412682648409</v>
      </c>
      <c r="BO116" s="1" t="s">
        <v>776</v>
      </c>
      <c r="BP116" s="1"/>
      <c r="BQ116" s="284">
        <v>16.399999999999999</v>
      </c>
      <c r="BR116" s="1">
        <v>0.52903225806451604</v>
      </c>
      <c r="BS116" s="1">
        <v>0.45553555427547371</v>
      </c>
      <c r="BT116" s="1" t="s">
        <v>776</v>
      </c>
      <c r="BU116" s="1"/>
      <c r="BV116" s="284">
        <v>6.89</v>
      </c>
      <c r="BW116" s="1">
        <v>0.22225806451612903</v>
      </c>
      <c r="BX116" s="1">
        <v>0.20587147337429593</v>
      </c>
      <c r="BY116" s="1" t="s">
        <v>776</v>
      </c>
      <c r="BZ116" s="1"/>
      <c r="CA116" s="284">
        <v>16.713000000000001</v>
      </c>
      <c r="CB116" s="1">
        <v>0.53912903225806452</v>
      </c>
      <c r="CC116" s="1">
        <v>0.48062537122375831</v>
      </c>
      <c r="CD116" s="1" t="s">
        <v>776</v>
      </c>
      <c r="CE116" s="1"/>
      <c r="CF116" s="284">
        <v>45.828616438356164</v>
      </c>
      <c r="CG116" s="1">
        <v>1.4783424657534245</v>
      </c>
      <c r="CH116" s="1">
        <v>1.5074908675799084</v>
      </c>
      <c r="CI116" s="1" t="s">
        <v>776</v>
      </c>
      <c r="CJ116" s="1"/>
      <c r="CK116" s="284">
        <v>83.644999999999996</v>
      </c>
      <c r="CL116" s="1">
        <v>2.6982258064516129</v>
      </c>
      <c r="CM116" s="1">
        <v>3.8246805619559647</v>
      </c>
      <c r="CN116" s="1">
        <v>8.92</v>
      </c>
      <c r="CO116" s="1"/>
      <c r="CP116" s="284">
        <v>202.40700000000001</v>
      </c>
      <c r="CQ116" s="1">
        <v>6.5292580645161298</v>
      </c>
      <c r="CR116" s="1">
        <v>6.4657404953917039</v>
      </c>
      <c r="CS116" s="1">
        <v>10.538</v>
      </c>
      <c r="CT116" s="1"/>
      <c r="CU116" s="284">
        <v>151.77000000000001</v>
      </c>
      <c r="CV116" s="1">
        <v>4.8958064516129038</v>
      </c>
      <c r="CW116" s="1">
        <v>4.5481519009216589</v>
      </c>
      <c r="CX116" s="1">
        <v>8.1199999999999992</v>
      </c>
      <c r="CZ116" s="269">
        <v>24.491</v>
      </c>
      <c r="DA116" s="1">
        <v>0.79003225806451616</v>
      </c>
      <c r="DB116" s="1"/>
      <c r="DC116" s="284">
        <v>13.798715753424659</v>
      </c>
      <c r="DD116" s="1">
        <v>0.44511986301369866</v>
      </c>
      <c r="DE116" s="1">
        <v>0.43098908675799091</v>
      </c>
      <c r="DF116" s="1" t="s">
        <v>776</v>
      </c>
      <c r="DG116" s="1"/>
      <c r="DH116" s="284">
        <f>DI116*31</f>
        <v>85.831616438356164</v>
      </c>
      <c r="DI116" s="5">
        <f t="shared" si="221"/>
        <v>2.7687618205921343</v>
      </c>
      <c r="DJ116" s="1">
        <f t="shared" si="229"/>
        <v>2.6494947276406511</v>
      </c>
      <c r="DK116" s="1"/>
      <c r="DL116" s="1"/>
      <c r="DM116" s="284">
        <f>DN116*31</f>
        <v>3384.2321545924665</v>
      </c>
      <c r="DN116" s="1">
        <f t="shared" si="222"/>
        <v>109.16877918040214</v>
      </c>
      <c r="DO116" s="1">
        <f t="shared" si="230"/>
        <v>107.29061780278498</v>
      </c>
      <c r="DP116" s="1"/>
      <c r="DQ116" s="1"/>
      <c r="DR116" s="284">
        <f>DS116*31</f>
        <v>476.11171575342462</v>
      </c>
      <c r="DS116" s="1">
        <f t="shared" si="219"/>
        <v>15.358442443658859</v>
      </c>
      <c r="DT116" s="1" t="e">
        <f>SUM(CM116+CR116+CW116+#REF!+DE116)</f>
        <v>#REF!</v>
      </c>
      <c r="DU116" s="1"/>
      <c r="DV116" s="1"/>
      <c r="DW116" s="284">
        <f>DX116*31</f>
        <v>3860.343870345891</v>
      </c>
      <c r="DX116" s="1">
        <f t="shared" si="227"/>
        <v>124.527221624061</v>
      </c>
      <c r="DY116" s="1">
        <f t="shared" si="228"/>
        <v>123.62168525615841</v>
      </c>
      <c r="DZ116" s="1"/>
      <c r="EB116" s="242">
        <v>2.46</v>
      </c>
      <c r="EL116">
        <v>2007</v>
      </c>
      <c r="EM116" t="s">
        <v>719</v>
      </c>
      <c r="EN116" t="s">
        <v>841</v>
      </c>
      <c r="EO116">
        <v>300.64499999999998</v>
      </c>
    </row>
    <row r="117" spans="1:145" x14ac:dyDescent="0.25">
      <c r="A117" s="8">
        <v>2007</v>
      </c>
      <c r="B117" t="s">
        <v>713</v>
      </c>
      <c r="D117" s="284">
        <v>271.31900000000002</v>
      </c>
      <c r="E117" s="1">
        <v>9.6899642857142858</v>
      </c>
      <c r="F117" s="1">
        <v>8.6203965757808501</v>
      </c>
      <c r="G117" s="1">
        <v>12.89</v>
      </c>
      <c r="M117" s="1"/>
      <c r="N117" s="284">
        <v>94.706000000000003</v>
      </c>
      <c r="O117" s="1">
        <v>3.3823571428571428</v>
      </c>
      <c r="P117" s="1">
        <v>3.8489886328725049</v>
      </c>
      <c r="Q117" s="1">
        <v>5.9710000000000001</v>
      </c>
      <c r="R117" s="1"/>
      <c r="S117" s="284">
        <v>178.125</v>
      </c>
      <c r="T117" s="1">
        <v>6.3616071428571432</v>
      </c>
      <c r="U117" s="1">
        <v>6.0823897529441879</v>
      </c>
      <c r="V117" s="1">
        <v>9.34</v>
      </c>
      <c r="W117" s="88"/>
      <c r="X117" s="284">
        <v>600.29999999999995</v>
      </c>
      <c r="Y117" s="1">
        <v>21.439285714285713</v>
      </c>
      <c r="Z117" s="1">
        <v>23.567735368663591</v>
      </c>
      <c r="AA117" s="1">
        <v>27.08</v>
      </c>
      <c r="AB117" s="1"/>
      <c r="AC117" s="284">
        <v>778.42499999999995</v>
      </c>
      <c r="AD117" s="1">
        <v>27.800892857142856</v>
      </c>
      <c r="AE117" s="1">
        <v>29.650125121607786</v>
      </c>
      <c r="AF117" s="1">
        <v>36.42</v>
      </c>
      <c r="AG117" s="1"/>
      <c r="AH117" s="284">
        <v>1702.165</v>
      </c>
      <c r="AI117" s="1">
        <v>60.791607142857139</v>
      </c>
      <c r="AJ117" s="1">
        <v>55.9027132296467</v>
      </c>
      <c r="AK117" s="1">
        <v>108.78</v>
      </c>
      <c r="AL117" s="1"/>
      <c r="AM117" s="284">
        <v>15.898999999999999</v>
      </c>
      <c r="AN117" s="1">
        <v>0.56782142857142859</v>
      </c>
      <c r="AO117" s="1">
        <v>0.69247992191500263</v>
      </c>
      <c r="AP117" s="1" t="s">
        <v>776</v>
      </c>
      <c r="AQ117" s="1"/>
      <c r="AR117" s="284">
        <v>124.181</v>
      </c>
      <c r="AS117" s="1">
        <v>4.4350357142857142</v>
      </c>
      <c r="AT117" s="1">
        <v>4.5040331733230934</v>
      </c>
      <c r="AU117" s="1" t="s">
        <v>776</v>
      </c>
      <c r="AV117" s="1"/>
      <c r="AW117" s="284">
        <v>6.48</v>
      </c>
      <c r="AX117" s="1">
        <v>0.23142857142857146</v>
      </c>
      <c r="AY117" s="1">
        <v>0.33303902969790072</v>
      </c>
      <c r="AZ117" s="1" t="s">
        <v>776</v>
      </c>
      <c r="BA117" s="1"/>
      <c r="BB117" s="284">
        <v>12.782999999999999</v>
      </c>
      <c r="BC117" s="1">
        <v>0.45653571428571427</v>
      </c>
      <c r="BD117" s="1">
        <v>0.97957009088581659</v>
      </c>
      <c r="BE117" s="1" t="s">
        <v>776</v>
      </c>
      <c r="BF117" s="1"/>
      <c r="BG117" s="284">
        <v>21.157</v>
      </c>
      <c r="BH117" s="1">
        <v>0.75560714285714281</v>
      </c>
      <c r="BI117" s="1">
        <v>0.92308679595494114</v>
      </c>
      <c r="BJ117" s="1" t="s">
        <v>776</v>
      </c>
      <c r="BK117" s="1"/>
      <c r="BL117" s="284">
        <v>108.93695447945206</v>
      </c>
      <c r="BM117" s="1">
        <v>3.8906055171232876</v>
      </c>
      <c r="BN117" s="1">
        <v>3.8403242993721469</v>
      </c>
      <c r="BO117" s="1" t="s">
        <v>776</v>
      </c>
      <c r="BP117" s="1"/>
      <c r="BQ117" s="284">
        <v>10.151</v>
      </c>
      <c r="BR117" s="1">
        <v>0.36253571428571429</v>
      </c>
      <c r="BS117" s="1">
        <v>0.44704150665642611</v>
      </c>
      <c r="BT117" s="1" t="s">
        <v>776</v>
      </c>
      <c r="BU117" s="1"/>
      <c r="BV117" s="284">
        <v>5.5439999999999996</v>
      </c>
      <c r="BW117" s="1">
        <v>0.19799999999999998</v>
      </c>
      <c r="BX117" s="1">
        <v>0.2020708781362007</v>
      </c>
      <c r="BY117" s="1" t="s">
        <v>776</v>
      </c>
      <c r="BZ117" s="1"/>
      <c r="CA117" s="284">
        <v>11.816000000000001</v>
      </c>
      <c r="CB117" s="1">
        <v>0.42200000000000004</v>
      </c>
      <c r="CC117" s="1">
        <v>0.4735539426523297</v>
      </c>
      <c r="CD117" s="1" t="s">
        <v>776</v>
      </c>
      <c r="CE117" s="1"/>
      <c r="CF117" s="284">
        <v>41.393589041095893</v>
      </c>
      <c r="CG117" s="1">
        <v>1.4783424657534248</v>
      </c>
      <c r="CH117" s="1">
        <v>1.503847317351598</v>
      </c>
      <c r="CI117" s="1" t="s">
        <v>776</v>
      </c>
      <c r="CJ117" s="1"/>
      <c r="CK117" s="284">
        <v>53.978000000000002</v>
      </c>
      <c r="CL117" s="1">
        <v>1.9277857142857144</v>
      </c>
      <c r="CM117" s="1">
        <v>3.5302728238607268</v>
      </c>
      <c r="CN117" s="1">
        <v>6.85</v>
      </c>
      <c r="CO117" s="1"/>
      <c r="CP117" s="284">
        <v>184.56399999999999</v>
      </c>
      <c r="CQ117" s="1">
        <v>6.5915714285714282</v>
      </c>
      <c r="CR117" s="1">
        <v>6.4261779953917042</v>
      </c>
      <c r="CS117" s="1">
        <v>9.7330000000000005</v>
      </c>
      <c r="CT117" s="1"/>
      <c r="CU117" s="284">
        <v>118.41500000000001</v>
      </c>
      <c r="CV117" s="1">
        <v>4.229107142857143</v>
      </c>
      <c r="CW117" s="1">
        <v>4.4833661866359451</v>
      </c>
      <c r="CX117" s="1">
        <v>7.4290000000000003</v>
      </c>
      <c r="CZ117" s="269">
        <v>21.513999999999999</v>
      </c>
      <c r="DA117" s="1">
        <v>0.76835714285714285</v>
      </c>
      <c r="DB117" s="1"/>
      <c r="DC117" s="284">
        <v>12.463356164383562</v>
      </c>
      <c r="DD117" s="1">
        <v>0.44511986301369866</v>
      </c>
      <c r="DE117" s="1">
        <v>0.4327554337899544</v>
      </c>
      <c r="DF117" s="1" t="s">
        <v>776</v>
      </c>
      <c r="DG117" s="1"/>
      <c r="DH117" s="284">
        <f>DI117*28</f>
        <v>68.904589041095903</v>
      </c>
      <c r="DI117" s="5">
        <f t="shared" si="221"/>
        <v>2.4608781800391393</v>
      </c>
      <c r="DJ117" s="1">
        <f t="shared" si="229"/>
        <v>2.6264851059837695</v>
      </c>
      <c r="DK117" s="1"/>
      <c r="DL117" s="1"/>
      <c r="DM117" s="284">
        <f>DN117*28</f>
        <v>3067.1473654383562</v>
      </c>
      <c r="DN117" s="1">
        <f t="shared" si="222"/>
        <v>109.54097733708416</v>
      </c>
      <c r="DO117" s="1">
        <f t="shared" si="230"/>
        <v>106.66827176507297</v>
      </c>
      <c r="DP117" s="1"/>
      <c r="DQ117" s="1"/>
      <c r="DR117" s="284">
        <f>DS117*28</f>
        <v>390.93435616438353</v>
      </c>
      <c r="DS117" s="1">
        <f t="shared" si="219"/>
        <v>13.961941291585125</v>
      </c>
      <c r="DT117" s="1" t="e">
        <f>SUM(CM117+CR117+CW117+#REF!+DE117)</f>
        <v>#REF!</v>
      </c>
      <c r="DU117" s="1"/>
      <c r="DV117" s="1"/>
      <c r="DW117" s="284">
        <f>DX117*28</f>
        <v>3458.0817216027399</v>
      </c>
      <c r="DX117" s="1">
        <f t="shared" ref="DX117:DX122" si="231">SUM(DN117+DS117)</f>
        <v>123.50291862866928</v>
      </c>
      <c r="DY117" s="1">
        <f t="shared" ref="DY117:DY122" si="232">SUM(DX106:DX117)/12</f>
        <v>122.54930497024027</v>
      </c>
      <c r="DZ117" s="1"/>
      <c r="EB117" s="242">
        <v>2.2200000000000002</v>
      </c>
      <c r="EL117">
        <v>2007</v>
      </c>
      <c r="EM117" t="s">
        <v>713</v>
      </c>
      <c r="EN117" t="s">
        <v>841</v>
      </c>
      <c r="EO117">
        <v>271.31900000000002</v>
      </c>
    </row>
    <row r="118" spans="1:145" x14ac:dyDescent="0.25">
      <c r="A118" s="8">
        <v>2007</v>
      </c>
      <c r="B118" t="s">
        <v>714</v>
      </c>
      <c r="D118" s="284">
        <v>338.24099999999999</v>
      </c>
      <c r="E118" s="1">
        <v>10.911</v>
      </c>
      <c r="F118" s="1">
        <v>8.8377890488991309</v>
      </c>
      <c r="G118" s="1">
        <v>16.760000000000002</v>
      </c>
      <c r="M118" s="1"/>
      <c r="N118" s="284">
        <v>116.16500000000001</v>
      </c>
      <c r="O118" s="1">
        <v>3.7472580645161293</v>
      </c>
      <c r="P118" s="1">
        <v>3.8219160522273428</v>
      </c>
      <c r="Q118" s="1">
        <v>8.2240000000000002</v>
      </c>
      <c r="R118" s="1"/>
      <c r="S118" s="284">
        <v>224.31800000000001</v>
      </c>
      <c r="T118" s="1">
        <v>7.2360645161290327</v>
      </c>
      <c r="U118" s="1">
        <v>6.1690241615463384</v>
      </c>
      <c r="V118" s="1">
        <v>15.03</v>
      </c>
      <c r="W118" s="88"/>
      <c r="X118" s="284">
        <v>725.44</v>
      </c>
      <c r="Y118" s="1">
        <v>23.401290322580646</v>
      </c>
      <c r="Z118" s="1">
        <v>23.223541820276498</v>
      </c>
      <c r="AA118" s="1">
        <v>34.44</v>
      </c>
      <c r="AB118" s="1"/>
      <c r="AC118" s="284">
        <v>949.75800000000004</v>
      </c>
      <c r="AD118" s="1">
        <v>30.63735483870968</v>
      </c>
      <c r="AE118" s="1">
        <v>29.392565981822838</v>
      </c>
      <c r="AF118" s="1">
        <v>49.47</v>
      </c>
      <c r="AG118" s="1"/>
      <c r="AH118" s="284">
        <v>2113.16</v>
      </c>
      <c r="AI118" s="1">
        <v>68.166451612903217</v>
      </c>
      <c r="AJ118" s="1">
        <v>57.328331509216589</v>
      </c>
      <c r="AK118" s="1">
        <v>192.51</v>
      </c>
      <c r="AL118" s="1"/>
      <c r="AM118" s="284">
        <v>24.37</v>
      </c>
      <c r="AN118" s="1">
        <v>0.78612903225806452</v>
      </c>
      <c r="AO118" s="1">
        <v>0.71332400793650796</v>
      </c>
      <c r="AP118" s="1" t="s">
        <v>776</v>
      </c>
      <c r="AQ118" s="1"/>
      <c r="AR118" s="284">
        <v>153.322</v>
      </c>
      <c r="AS118" s="1">
        <v>4.9458709677419357</v>
      </c>
      <c r="AT118" s="1">
        <v>4.5904847862263187</v>
      </c>
      <c r="AU118" s="1" t="s">
        <v>776</v>
      </c>
      <c r="AV118" s="1"/>
      <c r="AW118" s="284">
        <v>7.4720000000000004</v>
      </c>
      <c r="AX118" s="1">
        <v>0.24103225806451614</v>
      </c>
      <c r="AY118" s="1">
        <v>0.33235892217101898</v>
      </c>
      <c r="AZ118" s="1" t="s">
        <v>776</v>
      </c>
      <c r="BA118" s="1"/>
      <c r="BB118" s="284">
        <v>31.803999999999998</v>
      </c>
      <c r="BC118" s="1">
        <v>1.0259354838709678</v>
      </c>
      <c r="BD118" s="1">
        <v>0.96323138120839713</v>
      </c>
      <c r="BE118" s="1" t="s">
        <v>776</v>
      </c>
      <c r="BF118" s="1"/>
      <c r="BG118" s="284">
        <v>31.808</v>
      </c>
      <c r="BH118" s="1">
        <v>1.0260645161290323</v>
      </c>
      <c r="BI118" s="1">
        <v>0.91834217229902704</v>
      </c>
      <c r="BJ118" s="1" t="s">
        <v>776</v>
      </c>
      <c r="BK118" s="1"/>
      <c r="BL118" s="284">
        <v>120.60877103082191</v>
      </c>
      <c r="BM118" s="1">
        <v>3.8906055171232876</v>
      </c>
      <c r="BN118" s="1">
        <v>3.8475073304794525</v>
      </c>
      <c r="BO118" s="1" t="s">
        <v>776</v>
      </c>
      <c r="BP118" s="1"/>
      <c r="BQ118" s="284">
        <v>14.34</v>
      </c>
      <c r="BR118" s="1">
        <v>0.46258064516129033</v>
      </c>
      <c r="BS118" s="1">
        <v>0.44750656041986692</v>
      </c>
      <c r="BT118" s="1" t="s">
        <v>776</v>
      </c>
      <c r="BU118" s="1"/>
      <c r="BV118" s="284">
        <v>8.7829999999999995</v>
      </c>
      <c r="BW118" s="1">
        <v>0.28332258064516125</v>
      </c>
      <c r="BX118" s="1">
        <v>0.20526442652329749</v>
      </c>
      <c r="BY118" s="1" t="s">
        <v>776</v>
      </c>
      <c r="BZ118" s="1"/>
      <c r="CA118" s="284">
        <v>16.79</v>
      </c>
      <c r="CB118" s="1">
        <v>0.54161290322580646</v>
      </c>
      <c r="CC118" s="1">
        <v>0.47627168458781366</v>
      </c>
      <c r="CD118" s="1" t="s">
        <v>776</v>
      </c>
      <c r="CE118" s="1"/>
      <c r="CF118" s="284">
        <v>45.828616438356164</v>
      </c>
      <c r="CG118" s="1">
        <v>1.4783424657534245</v>
      </c>
      <c r="CH118" s="1">
        <v>1.5002037671232875</v>
      </c>
      <c r="CI118" s="1" t="s">
        <v>776</v>
      </c>
      <c r="CJ118" s="1"/>
      <c r="CK118" s="284">
        <v>93.572000000000003</v>
      </c>
      <c r="CL118" s="1">
        <v>3.0184516129032257</v>
      </c>
      <c r="CM118" s="1">
        <v>3.4476195980542754</v>
      </c>
      <c r="CN118" s="1">
        <v>13.79</v>
      </c>
      <c r="CO118" s="1"/>
      <c r="CP118" s="284">
        <v>222.374</v>
      </c>
      <c r="CQ118" s="1">
        <v>7.1733548387096775</v>
      </c>
      <c r="CR118" s="1">
        <v>6.4918258448540698</v>
      </c>
      <c r="CS118" s="1">
        <v>11.702</v>
      </c>
      <c r="CT118" s="1"/>
      <c r="CU118" s="284">
        <v>151.54300000000001</v>
      </c>
      <c r="CV118" s="1">
        <v>4.8884838709677423</v>
      </c>
      <c r="CW118" s="1">
        <v>4.5100946812596012</v>
      </c>
      <c r="CX118" s="1">
        <v>8.7899999999999991</v>
      </c>
      <c r="CZ118" s="269">
        <v>28.532</v>
      </c>
      <c r="DA118" s="1">
        <v>0.9203870967741935</v>
      </c>
      <c r="DB118" s="1"/>
      <c r="DC118" s="284">
        <v>13.798715753424659</v>
      </c>
      <c r="DD118" s="1">
        <v>0.44511986301369866</v>
      </c>
      <c r="DE118" s="1">
        <v>0.43452178082191789</v>
      </c>
      <c r="DF118" s="1" t="s">
        <v>776</v>
      </c>
      <c r="DG118" s="1"/>
      <c r="DH118" s="284">
        <f>DI118*31</f>
        <v>85.741616438356161</v>
      </c>
      <c r="DI118" s="5">
        <f t="shared" si="221"/>
        <v>2.7658585947856826</v>
      </c>
      <c r="DJ118" s="1">
        <f t="shared" si="229"/>
        <v>2.6292178998414801</v>
      </c>
      <c r="DK118" s="1"/>
      <c r="DL118" s="1"/>
      <c r="DM118" s="284">
        <f>DN118*31</f>
        <v>3800.9671545924657</v>
      </c>
      <c r="DN118" s="1">
        <f t="shared" si="222"/>
        <v>122.61184369653115</v>
      </c>
      <c r="DO118" s="1">
        <f t="shared" si="230"/>
        <v>108.11663329264513</v>
      </c>
      <c r="DP118" s="1"/>
      <c r="DQ118" s="1"/>
      <c r="DR118" s="284">
        <f>DS118*31</f>
        <v>509.81971575342459</v>
      </c>
      <c r="DS118" s="1">
        <f t="shared" si="219"/>
        <v>16.445797282368535</v>
      </c>
      <c r="DT118" s="1" t="e">
        <f>SUM(CM118+CR118+CW118+#REF!+DE118)</f>
        <v>#REF!</v>
      </c>
      <c r="DU118" s="1"/>
      <c r="DV118" s="1"/>
      <c r="DW118" s="284">
        <f>DX118*31</f>
        <v>4310.7868703458898</v>
      </c>
      <c r="DX118" s="1">
        <f t="shared" si="231"/>
        <v>139.05764097889968</v>
      </c>
      <c r="DY118" s="1">
        <f t="shared" si="232"/>
        <v>123.98215058677989</v>
      </c>
      <c r="DZ118" s="1"/>
      <c r="EB118" s="242">
        <v>3.19</v>
      </c>
      <c r="EL118">
        <v>2007</v>
      </c>
      <c r="EM118" t="s">
        <v>714</v>
      </c>
      <c r="EN118" t="s">
        <v>841</v>
      </c>
      <c r="EO118">
        <v>338.24099999999999</v>
      </c>
    </row>
    <row r="119" spans="1:145" x14ac:dyDescent="0.25">
      <c r="A119" s="8">
        <v>2007</v>
      </c>
      <c r="B119" t="s">
        <v>705</v>
      </c>
      <c r="D119" s="284">
        <v>316.13</v>
      </c>
      <c r="E119" s="1">
        <v>10.537666666666667</v>
      </c>
      <c r="F119" s="1">
        <v>9.0378112711213507</v>
      </c>
      <c r="G119" s="1">
        <v>13.82</v>
      </c>
      <c r="M119" s="1"/>
      <c r="N119" s="284">
        <v>112.892</v>
      </c>
      <c r="O119" s="1">
        <v>3.7630666666666666</v>
      </c>
      <c r="P119" s="1">
        <v>3.7556549411162319</v>
      </c>
      <c r="Q119" s="1">
        <v>10.07</v>
      </c>
      <c r="R119" s="1"/>
      <c r="S119" s="284">
        <v>211.565</v>
      </c>
      <c r="T119" s="1">
        <v>7.0521666666666665</v>
      </c>
      <c r="U119" s="1">
        <v>6.2538130504352276</v>
      </c>
      <c r="V119" s="1">
        <v>18.7</v>
      </c>
      <c r="W119" s="88"/>
      <c r="X119" s="284">
        <v>690.71100000000001</v>
      </c>
      <c r="Y119" s="1">
        <v>23.023700000000002</v>
      </c>
      <c r="Z119" s="1">
        <v>22.848164042498723</v>
      </c>
      <c r="AA119" s="1">
        <v>37.04</v>
      </c>
      <c r="AB119" s="1"/>
      <c r="AC119" s="284">
        <v>902.27600000000007</v>
      </c>
      <c r="AD119" s="1">
        <v>30.07586666666667</v>
      </c>
      <c r="AE119" s="1">
        <v>29.101977092933947</v>
      </c>
      <c r="AF119" s="1">
        <v>55.74</v>
      </c>
      <c r="AG119" s="1"/>
      <c r="AH119" s="284">
        <v>2034.671</v>
      </c>
      <c r="AI119" s="1">
        <v>67.822366666666667</v>
      </c>
      <c r="AJ119" s="1">
        <v>58.618112064772141</v>
      </c>
      <c r="AK119" s="1">
        <v>199</v>
      </c>
      <c r="AL119" s="1"/>
      <c r="AM119" s="284">
        <v>23.88</v>
      </c>
      <c r="AN119" s="1">
        <v>0.79599999999999993</v>
      </c>
      <c r="AO119" s="1">
        <v>0.71059900793650799</v>
      </c>
      <c r="AP119" s="1" t="s">
        <v>776</v>
      </c>
      <c r="AQ119" s="1"/>
      <c r="AR119" s="284">
        <v>165.76599999999999</v>
      </c>
      <c r="AS119" s="1">
        <v>5.5255333333333327</v>
      </c>
      <c r="AT119" s="1">
        <v>4.6713431195596522</v>
      </c>
      <c r="AU119" s="1" t="s">
        <v>776</v>
      </c>
      <c r="AV119" s="1"/>
      <c r="AW119" s="284">
        <v>7.4669999999999996</v>
      </c>
      <c r="AX119" s="1">
        <v>0.24889999999999998</v>
      </c>
      <c r="AY119" s="1">
        <v>0.32647558883768563</v>
      </c>
      <c r="AZ119" s="1" t="s">
        <v>776</v>
      </c>
      <c r="BA119" s="1"/>
      <c r="BB119" s="284">
        <v>13.847</v>
      </c>
      <c r="BC119" s="1">
        <v>0.46156666666666663</v>
      </c>
      <c r="BD119" s="1">
        <v>0.92987027009728607</v>
      </c>
      <c r="BE119" s="1" t="s">
        <v>776</v>
      </c>
      <c r="BF119" s="1"/>
      <c r="BG119" s="284">
        <v>31.629000000000001</v>
      </c>
      <c r="BH119" s="1">
        <v>1.0543</v>
      </c>
      <c r="BI119" s="1">
        <v>0.93253661674347155</v>
      </c>
      <c r="BJ119" s="1" t="s">
        <v>776</v>
      </c>
      <c r="BK119" s="1"/>
      <c r="BL119" s="284">
        <v>116.71816551369862</v>
      </c>
      <c r="BM119" s="1">
        <v>3.8906055171232876</v>
      </c>
      <c r="BN119" s="1">
        <v>3.8546903615867585</v>
      </c>
      <c r="BO119" s="1" t="s">
        <v>776</v>
      </c>
      <c r="BP119" s="1"/>
      <c r="BQ119" s="284">
        <v>13.231999999999999</v>
      </c>
      <c r="BR119" s="1">
        <v>0.44106666666666666</v>
      </c>
      <c r="BS119" s="1">
        <v>0.43890378264208912</v>
      </c>
      <c r="BT119" s="1" t="s">
        <v>776</v>
      </c>
      <c r="BU119" s="1"/>
      <c r="BV119" s="284">
        <v>8.7279999999999998</v>
      </c>
      <c r="BW119" s="1">
        <v>0.29093333333333332</v>
      </c>
      <c r="BX119" s="1">
        <v>0.20967553763440858</v>
      </c>
      <c r="BY119" s="1" t="s">
        <v>776</v>
      </c>
      <c r="BZ119" s="1"/>
      <c r="CA119" s="284">
        <v>16.353000000000002</v>
      </c>
      <c r="CB119" s="1">
        <v>0.54510000000000003</v>
      </c>
      <c r="CC119" s="1">
        <v>0.4773689068100358</v>
      </c>
      <c r="CD119" s="1" t="s">
        <v>776</v>
      </c>
      <c r="CE119" s="1"/>
      <c r="CF119" s="284">
        <v>44.350273972602743</v>
      </c>
      <c r="CG119" s="1">
        <v>1.4783424657534248</v>
      </c>
      <c r="CH119" s="1">
        <v>1.4965602168949772</v>
      </c>
      <c r="CI119" s="1" t="s">
        <v>776</v>
      </c>
      <c r="CJ119" s="1"/>
      <c r="CK119" s="284">
        <v>92.688000000000002</v>
      </c>
      <c r="CL119" s="1">
        <v>3.0895999999999999</v>
      </c>
      <c r="CM119" s="1">
        <v>3.413033486943164</v>
      </c>
      <c r="CN119" s="1">
        <v>17.34</v>
      </c>
      <c r="CO119" s="1"/>
      <c r="CP119" s="284">
        <v>206.85400000000001</v>
      </c>
      <c r="CQ119" s="1">
        <v>6.8951333333333338</v>
      </c>
      <c r="CR119" s="1">
        <v>6.5291091781874036</v>
      </c>
      <c r="CS119" s="1">
        <v>18.943000000000001</v>
      </c>
      <c r="CT119" s="1"/>
      <c r="CU119" s="284">
        <v>125.465</v>
      </c>
      <c r="CV119" s="1">
        <v>4.1821666666666664</v>
      </c>
      <c r="CW119" s="1">
        <v>4.4804057923707123</v>
      </c>
      <c r="CX119" s="1">
        <v>10.33</v>
      </c>
      <c r="CZ119" s="269">
        <v>25.786000000000001</v>
      </c>
      <c r="DA119" s="1">
        <v>0.85953333333333337</v>
      </c>
      <c r="DB119" s="1"/>
      <c r="DC119" s="284">
        <v>13.35359589041096</v>
      </c>
      <c r="DD119" s="1">
        <v>0.44511986301369866</v>
      </c>
      <c r="DE119" s="1">
        <v>0.43628812785388132</v>
      </c>
      <c r="DF119" s="1" t="s">
        <v>776</v>
      </c>
      <c r="DG119" s="1"/>
      <c r="DH119" s="284">
        <f>DI119*30</f>
        <v>82.663273972602738</v>
      </c>
      <c r="DI119" s="5">
        <f t="shared" si="221"/>
        <v>2.7554424657534247</v>
      </c>
      <c r="DJ119" s="1">
        <f t="shared" ref="DJ119:DJ124" si="233">SUM(DI108:DI119)/12</f>
        <v>2.6224799051687255</v>
      </c>
      <c r="DK119" s="1"/>
      <c r="DL119" s="1"/>
      <c r="DM119" s="284">
        <f>DN119*30</f>
        <v>3642.6128915410968</v>
      </c>
      <c r="DN119" s="1">
        <f t="shared" si="222"/>
        <v>121.42042971803656</v>
      </c>
      <c r="DO119" s="1">
        <f t="shared" ref="DO119:DO124" si="234">SUM(DN108:DN119)/12</f>
        <v>109.3165904295363</v>
      </c>
      <c r="DP119" s="1"/>
      <c r="DQ119" s="1"/>
      <c r="DR119" s="284">
        <f>DS119*30</f>
        <v>464.14659589041099</v>
      </c>
      <c r="DS119" s="1">
        <f t="shared" si="219"/>
        <v>15.471553196347033</v>
      </c>
      <c r="DT119" s="1" t="e">
        <f>SUM(CM119+CR119+CW119+#REF!+DE119)</f>
        <v>#REF!</v>
      </c>
      <c r="DU119" s="1"/>
      <c r="DV119" s="1"/>
      <c r="DW119" s="284">
        <f>DX119*30</f>
        <v>4106.7594874315073</v>
      </c>
      <c r="DX119" s="1">
        <f t="shared" si="231"/>
        <v>136.89198291438359</v>
      </c>
      <c r="DY119" s="1">
        <f t="shared" si="232"/>
        <v>125.12601295959193</v>
      </c>
      <c r="DZ119" s="1"/>
      <c r="EB119" s="242">
        <v>4.17</v>
      </c>
      <c r="EL119">
        <v>2007</v>
      </c>
      <c r="EM119" t="s">
        <v>705</v>
      </c>
      <c r="EN119" t="s">
        <v>841</v>
      </c>
      <c r="EO119">
        <v>316.13</v>
      </c>
    </row>
    <row r="120" spans="1:145" x14ac:dyDescent="0.25">
      <c r="A120" s="8">
        <v>2007</v>
      </c>
      <c r="B120" t="s">
        <v>715</v>
      </c>
      <c r="D120" s="284">
        <v>300.80599999999998</v>
      </c>
      <c r="E120" s="1">
        <v>9.7034193548387098</v>
      </c>
      <c r="F120" s="1">
        <v>9.1423596582181261</v>
      </c>
      <c r="G120" s="1">
        <v>11.773</v>
      </c>
      <c r="M120" s="1"/>
      <c r="N120" s="284">
        <v>110.268</v>
      </c>
      <c r="O120" s="1">
        <v>3.557032258064516</v>
      </c>
      <c r="P120" s="1">
        <v>3.7134156938044036</v>
      </c>
      <c r="Q120" s="1">
        <v>6.12</v>
      </c>
      <c r="R120" s="1"/>
      <c r="S120" s="284">
        <v>194.03</v>
      </c>
      <c r="T120" s="1">
        <v>6.2590322580645159</v>
      </c>
      <c r="U120" s="1">
        <v>6.2912700396825407</v>
      </c>
      <c r="V120" s="1">
        <v>9.1199999999999992</v>
      </c>
      <c r="W120" s="88"/>
      <c r="X120" s="284">
        <v>659.47</v>
      </c>
      <c r="Y120" s="1">
        <v>21.273225806451613</v>
      </c>
      <c r="Z120" s="1">
        <v>22.364346838197644</v>
      </c>
      <c r="AA120" s="1">
        <v>26.49</v>
      </c>
      <c r="AB120" s="1"/>
      <c r="AC120" s="284">
        <v>853.5</v>
      </c>
      <c r="AD120" s="1">
        <v>27.532258064516128</v>
      </c>
      <c r="AE120" s="1">
        <v>28.655616877880181</v>
      </c>
      <c r="AF120" s="1">
        <v>35.61</v>
      </c>
      <c r="AG120" s="1"/>
      <c r="AH120" s="284">
        <v>1807.21</v>
      </c>
      <c r="AI120" s="1">
        <v>58.297096774193548</v>
      </c>
      <c r="AJ120" s="1">
        <v>59.273165828213003</v>
      </c>
      <c r="AK120" s="1">
        <v>101.98</v>
      </c>
      <c r="AL120" s="1"/>
      <c r="AM120" s="284">
        <v>17.567</v>
      </c>
      <c r="AN120" s="1">
        <v>0.56667741935483873</v>
      </c>
      <c r="AO120" s="1">
        <v>0.71036244879672295</v>
      </c>
      <c r="AP120" s="1" t="s">
        <v>776</v>
      </c>
      <c r="AQ120" s="1"/>
      <c r="AR120" s="284">
        <v>140.37299999999999</v>
      </c>
      <c r="AS120" s="1">
        <v>4.5281612903225801</v>
      </c>
      <c r="AT120" s="1">
        <v>4.637816237839222</v>
      </c>
      <c r="AU120" s="1" t="s">
        <v>776</v>
      </c>
      <c r="AV120" s="1"/>
      <c r="AW120" s="284">
        <v>6.8879999999999999</v>
      </c>
      <c r="AX120" s="1">
        <v>0.22219354838709676</v>
      </c>
      <c r="AY120" s="1">
        <v>0.3154944060419867</v>
      </c>
      <c r="AZ120" s="1" t="s">
        <v>776</v>
      </c>
      <c r="BA120" s="1"/>
      <c r="BB120" s="284">
        <v>13.012</v>
      </c>
      <c r="BC120" s="1">
        <v>0.41974193548387101</v>
      </c>
      <c r="BD120" s="1">
        <v>0.87261220558115715</v>
      </c>
      <c r="BE120" s="1" t="s">
        <v>776</v>
      </c>
      <c r="BF120" s="1"/>
      <c r="BG120" s="284">
        <v>27.341999999999999</v>
      </c>
      <c r="BH120" s="1">
        <v>0.88200000000000001</v>
      </c>
      <c r="BI120" s="1">
        <v>0.9174371543778802</v>
      </c>
      <c r="BJ120" s="1" t="s">
        <v>776</v>
      </c>
      <c r="BK120" s="1"/>
      <c r="BL120" s="284">
        <v>120.60877103082191</v>
      </c>
      <c r="BM120" s="1">
        <v>3.8906055171232876</v>
      </c>
      <c r="BN120" s="1">
        <v>3.8618733926940649</v>
      </c>
      <c r="BO120" s="1" t="s">
        <v>776</v>
      </c>
      <c r="BP120" s="1"/>
      <c r="BQ120" s="284">
        <v>12.475</v>
      </c>
      <c r="BR120" s="1">
        <v>0.40241935483870966</v>
      </c>
      <c r="BS120" s="1">
        <v>0.43919948156682026</v>
      </c>
      <c r="BT120" s="1" t="s">
        <v>776</v>
      </c>
      <c r="BU120" s="1"/>
      <c r="BV120" s="284">
        <v>4.407</v>
      </c>
      <c r="BW120" s="1">
        <v>0.14216129032258065</v>
      </c>
      <c r="BX120" s="1">
        <v>0.20661908602150536</v>
      </c>
      <c r="BY120" s="1" t="s">
        <v>776</v>
      </c>
      <c r="BZ120" s="1"/>
      <c r="CA120" s="284">
        <v>13.766999999999999</v>
      </c>
      <c r="CB120" s="1">
        <v>0.44409677419354837</v>
      </c>
      <c r="CC120" s="1">
        <v>0.47296568100358422</v>
      </c>
      <c r="CD120" s="1" t="s">
        <v>776</v>
      </c>
      <c r="CE120" s="1"/>
      <c r="CF120" s="284">
        <v>45.828616438356164</v>
      </c>
      <c r="CG120" s="1">
        <v>1.4783424657534245</v>
      </c>
      <c r="CH120" s="1">
        <v>1.4929166666666669</v>
      </c>
      <c r="CI120" s="1" t="s">
        <v>776</v>
      </c>
      <c r="CJ120" s="1"/>
      <c r="CK120" s="284">
        <v>49.802999999999997</v>
      </c>
      <c r="CL120" s="1">
        <v>1.6065483870967741</v>
      </c>
      <c r="CM120" s="1">
        <v>3.2066894009216589</v>
      </c>
      <c r="CN120" s="1">
        <v>6.82</v>
      </c>
      <c r="CO120" s="1"/>
      <c r="CP120" s="284">
        <v>205.78399999999999</v>
      </c>
      <c r="CQ120" s="1">
        <v>6.6381935483870969</v>
      </c>
      <c r="CR120" s="1">
        <v>6.5564532642089084</v>
      </c>
      <c r="CS120" s="1">
        <v>9.2240000000000002</v>
      </c>
      <c r="CT120" s="1"/>
      <c r="CU120" s="284">
        <v>117.94499999999999</v>
      </c>
      <c r="CV120" s="1">
        <v>3.8046774193548383</v>
      </c>
      <c r="CW120" s="1">
        <v>4.4323547171018953</v>
      </c>
      <c r="CX120" s="1">
        <v>6.8049999999999997</v>
      </c>
      <c r="CZ120" s="269">
        <v>23.306000000000001</v>
      </c>
      <c r="DA120" s="1">
        <v>0.75180645161290327</v>
      </c>
      <c r="DB120" s="1"/>
      <c r="DC120" s="284">
        <v>13.798715753424659</v>
      </c>
      <c r="DD120" s="1">
        <v>0.44511986301369866</v>
      </c>
      <c r="DE120" s="1">
        <v>0.43805447488584481</v>
      </c>
      <c r="DF120" s="1" t="s">
        <v>776</v>
      </c>
      <c r="DG120" s="1"/>
      <c r="DH120" s="284">
        <f>DI120*31</f>
        <v>76.477616438356165</v>
      </c>
      <c r="DI120" s="5">
        <f t="shared" si="221"/>
        <v>2.4670198851082632</v>
      </c>
      <c r="DJ120" s="1">
        <f t="shared" si="233"/>
        <v>2.611672376445791</v>
      </c>
      <c r="DK120" s="1"/>
      <c r="DL120" s="1"/>
      <c r="DM120" s="284">
        <f>DN120*31</f>
        <v>3321.0971545924663</v>
      </c>
      <c r="DN120" s="1">
        <f t="shared" si="222"/>
        <v>107.13216627717632</v>
      </c>
      <c r="DO120" s="1">
        <f t="shared" si="234"/>
        <v>109.48848152700096</v>
      </c>
      <c r="DP120" s="1"/>
      <c r="DQ120" s="1"/>
      <c r="DR120" s="284">
        <f>DS120*31</f>
        <v>410.63671575342465</v>
      </c>
      <c r="DS120" s="1">
        <f t="shared" si="219"/>
        <v>13.246345669465311</v>
      </c>
      <c r="DT120" s="1" t="e">
        <f>SUM(CM120+CR120+CW120+#REF!+DE120)</f>
        <v>#REF!</v>
      </c>
      <c r="DU120" s="1"/>
      <c r="DV120" s="1"/>
      <c r="DW120" s="284">
        <f>DX120*31</f>
        <v>3731.7338703458909</v>
      </c>
      <c r="DX120" s="1">
        <f t="shared" si="231"/>
        <v>120.37851194664164</v>
      </c>
      <c r="DY120" s="1">
        <f t="shared" si="232"/>
        <v>125.04908707075519</v>
      </c>
      <c r="DZ120" s="1"/>
      <c r="EB120" s="242">
        <v>1.75</v>
      </c>
      <c r="EL120">
        <v>2007</v>
      </c>
      <c r="EM120" t="s">
        <v>715</v>
      </c>
      <c r="EN120" t="s">
        <v>841</v>
      </c>
      <c r="EO120">
        <v>300.80599999999998</v>
      </c>
    </row>
    <row r="121" spans="1:145" x14ac:dyDescent="0.25">
      <c r="A121" s="8">
        <v>2007</v>
      </c>
      <c r="B121" t="s">
        <v>718</v>
      </c>
      <c r="D121" s="284">
        <v>277.62599999999998</v>
      </c>
      <c r="E121" s="1">
        <v>9.2541999999999991</v>
      </c>
      <c r="F121" s="1">
        <v>9.2404068804403483</v>
      </c>
      <c r="G121" s="1">
        <v>11.833</v>
      </c>
      <c r="M121" s="1"/>
      <c r="N121" s="284">
        <v>101.398</v>
      </c>
      <c r="O121" s="1">
        <v>3.3799333333333332</v>
      </c>
      <c r="P121" s="1">
        <v>3.6486768049155152</v>
      </c>
      <c r="Q121" s="1">
        <v>6.6070000000000002</v>
      </c>
      <c r="R121" s="1"/>
      <c r="S121" s="284">
        <v>175.64</v>
      </c>
      <c r="T121" s="1">
        <v>5.8546666666666658</v>
      </c>
      <c r="U121" s="1">
        <v>6.1997144841269831</v>
      </c>
      <c r="V121" s="1">
        <v>9.9</v>
      </c>
      <c r="W121" s="88"/>
      <c r="X121" s="284">
        <v>603.005</v>
      </c>
      <c r="Y121" s="1">
        <v>20.100166666666667</v>
      </c>
      <c r="Z121" s="1">
        <v>21.579805171530978</v>
      </c>
      <c r="AA121" s="1">
        <v>27.04</v>
      </c>
      <c r="AB121" s="1"/>
      <c r="AC121" s="284">
        <v>778.64499999999998</v>
      </c>
      <c r="AD121" s="1">
        <v>25.954833333333333</v>
      </c>
      <c r="AE121" s="1">
        <v>27.779519655657964</v>
      </c>
      <c r="AF121" s="1">
        <v>36.94</v>
      </c>
      <c r="AG121" s="1"/>
      <c r="AH121" s="284">
        <v>1649.0450000000001</v>
      </c>
      <c r="AI121" s="46">
        <v>54.968166666666669</v>
      </c>
      <c r="AJ121" s="1">
        <v>59.115096383768559</v>
      </c>
      <c r="AK121" s="1">
        <v>120.94</v>
      </c>
      <c r="AL121" s="1"/>
      <c r="AM121" s="284">
        <v>16.561</v>
      </c>
      <c r="AN121" s="1">
        <v>0.55203333333333338</v>
      </c>
      <c r="AO121" s="1">
        <v>0.65923467101894517</v>
      </c>
      <c r="AP121" s="1" t="s">
        <v>776</v>
      </c>
      <c r="AQ121" s="1"/>
      <c r="AR121" s="284">
        <v>114.035</v>
      </c>
      <c r="AS121" s="1">
        <v>3.8011666666666666</v>
      </c>
      <c r="AT121" s="1">
        <v>4.3850884600614446</v>
      </c>
      <c r="AU121" s="1" t="s">
        <v>776</v>
      </c>
      <c r="AV121" s="1"/>
      <c r="AW121" s="284">
        <v>11.481</v>
      </c>
      <c r="AX121" s="1">
        <v>0.38269999999999998</v>
      </c>
      <c r="AY121" s="1">
        <v>0.27409718381976445</v>
      </c>
      <c r="AZ121" s="1" t="s">
        <v>776</v>
      </c>
      <c r="BA121" s="1"/>
      <c r="BB121" s="284">
        <v>26.606000000000002</v>
      </c>
      <c r="BC121" s="1">
        <v>0.88686666666666669</v>
      </c>
      <c r="BD121" s="1">
        <v>0.81308720558115732</v>
      </c>
      <c r="BE121" s="1" t="s">
        <v>776</v>
      </c>
      <c r="BF121" s="1"/>
      <c r="BG121" s="284">
        <v>26.664000000000001</v>
      </c>
      <c r="BH121" s="1">
        <v>0.88880000000000003</v>
      </c>
      <c r="BI121" s="1">
        <v>0.88486215437787996</v>
      </c>
      <c r="BJ121" s="1" t="s">
        <v>776</v>
      </c>
      <c r="BK121" s="1"/>
      <c r="BL121" s="284">
        <v>116.71816551369862</v>
      </c>
      <c r="BM121" s="1">
        <v>3.8906055171232876</v>
      </c>
      <c r="BN121" s="1">
        <v>3.8690564238013709</v>
      </c>
      <c r="BO121" s="1" t="s">
        <v>776</v>
      </c>
      <c r="BP121" s="1"/>
      <c r="BQ121" s="284">
        <v>12.22</v>
      </c>
      <c r="BR121" s="1">
        <v>0.40733333333333338</v>
      </c>
      <c r="BS121" s="1">
        <v>0.43278281490015363</v>
      </c>
      <c r="BT121" s="1" t="s">
        <v>776</v>
      </c>
      <c r="BU121" s="1"/>
      <c r="BV121" s="284">
        <v>3.6749999999999998</v>
      </c>
      <c r="BW121" s="1">
        <v>0.1225</v>
      </c>
      <c r="BX121" s="1">
        <v>0.19522186379928316</v>
      </c>
      <c r="BY121" s="1" t="s">
        <v>776</v>
      </c>
      <c r="BZ121" s="1"/>
      <c r="CA121" s="284">
        <v>12.593</v>
      </c>
      <c r="CB121" s="1">
        <v>0.41976666666666668</v>
      </c>
      <c r="CC121" s="1">
        <v>0.46724901433691751</v>
      </c>
      <c r="CD121" s="1" t="s">
        <v>776</v>
      </c>
      <c r="CE121" s="1"/>
      <c r="CF121" s="284">
        <v>44.350273972602743</v>
      </c>
      <c r="CG121" s="1">
        <v>1.4783424657534248</v>
      </c>
      <c r="CH121" s="1">
        <v>1.4892731164383564</v>
      </c>
      <c r="CI121" s="1" t="s">
        <v>776</v>
      </c>
      <c r="CJ121" s="1"/>
      <c r="CK121" s="284">
        <v>20.876000000000001</v>
      </c>
      <c r="CL121" s="46">
        <v>0.69586666666666674</v>
      </c>
      <c r="CM121" s="1">
        <v>2.7909366231438817</v>
      </c>
      <c r="CN121" s="1">
        <v>6.36</v>
      </c>
      <c r="CO121" s="1"/>
      <c r="CP121" s="284">
        <v>193.93700000000001</v>
      </c>
      <c r="CQ121" s="1">
        <v>6.4645666666666672</v>
      </c>
      <c r="CR121" s="1">
        <v>6.5337227086533538</v>
      </c>
      <c r="CS121" s="1">
        <v>9.4410000000000007</v>
      </c>
      <c r="CT121" s="1"/>
      <c r="CU121" s="284">
        <v>114.398</v>
      </c>
      <c r="CV121" s="1">
        <v>3.8132666666666664</v>
      </c>
      <c r="CW121" s="1">
        <v>4.3544769393241172</v>
      </c>
      <c r="CX121" s="1">
        <v>6.9080000000000004</v>
      </c>
      <c r="CZ121" s="269">
        <v>19.076000000000001</v>
      </c>
      <c r="DA121" s="1">
        <v>0.63586666666666669</v>
      </c>
      <c r="DB121" s="1"/>
      <c r="DC121" s="284">
        <v>13.35359589041096</v>
      </c>
      <c r="DD121" s="1">
        <v>0.44511986301369866</v>
      </c>
      <c r="DE121" s="1">
        <v>0.4398208219178083</v>
      </c>
      <c r="DF121" s="1" t="s">
        <v>776</v>
      </c>
      <c r="DG121" s="1"/>
      <c r="DH121" s="284">
        <f>DI121*30</f>
        <v>72.838273972602749</v>
      </c>
      <c r="DI121" s="5">
        <f t="shared" si="221"/>
        <v>2.427942465753425</v>
      </c>
      <c r="DJ121" s="1">
        <f t="shared" si="233"/>
        <v>2.5844982706619253</v>
      </c>
      <c r="DK121" s="1"/>
      <c r="DL121" s="1"/>
      <c r="DM121" s="284">
        <f>DN121*30</f>
        <v>3045.9408915410954</v>
      </c>
      <c r="DN121" s="1">
        <f t="shared" si="222"/>
        <v>101.53136305136985</v>
      </c>
      <c r="DO121" s="1">
        <f t="shared" si="234"/>
        <v>108.08462755278104</v>
      </c>
      <c r="DP121" s="1"/>
      <c r="DQ121" s="1"/>
      <c r="DR121" s="284">
        <f>DS121*30</f>
        <v>361.64059589041096</v>
      </c>
      <c r="DS121" s="1">
        <f t="shared" si="219"/>
        <v>12.054686529680366</v>
      </c>
      <c r="DT121" s="1" t="e">
        <f>SUM(CM121+CR121+CW121+#REF!+DE121)</f>
        <v>#REF!</v>
      </c>
      <c r="DU121" s="1"/>
      <c r="DV121" s="1"/>
      <c r="DW121" s="284">
        <f>DX121*30</f>
        <v>3407.5814874315065</v>
      </c>
      <c r="DX121" s="46">
        <f t="shared" si="231"/>
        <v>113.58604958105022</v>
      </c>
      <c r="DY121" s="1">
        <f t="shared" si="232"/>
        <v>123.08315777690056</v>
      </c>
      <c r="DZ121" s="1"/>
      <c r="EB121" s="242">
        <v>1.38</v>
      </c>
      <c r="EL121">
        <v>2007</v>
      </c>
      <c r="EM121" t="s">
        <v>718</v>
      </c>
      <c r="EN121" t="s">
        <v>841</v>
      </c>
      <c r="EO121">
        <v>277.62599999999998</v>
      </c>
    </row>
    <row r="122" spans="1:145" x14ac:dyDescent="0.25">
      <c r="A122" s="8">
        <v>2007</v>
      </c>
      <c r="B122" t="s">
        <v>716</v>
      </c>
      <c r="D122" s="284">
        <v>270.01100000000002</v>
      </c>
      <c r="E122" s="1">
        <v>8.7100322580645173</v>
      </c>
      <c r="F122" s="1">
        <v>9.2814902137736812</v>
      </c>
      <c r="G122" s="1">
        <v>11.586</v>
      </c>
      <c r="M122" s="1"/>
      <c r="N122" s="284">
        <v>96.518000000000001</v>
      </c>
      <c r="O122" s="1">
        <v>3.1134838709677419</v>
      </c>
      <c r="P122" s="1">
        <v>3.5552601382488476</v>
      </c>
      <c r="Q122" s="1">
        <v>5.7480000000000002</v>
      </c>
      <c r="R122" s="1"/>
      <c r="S122" s="284">
        <v>159.196</v>
      </c>
      <c r="T122" s="1">
        <v>5.1353548387096772</v>
      </c>
      <c r="U122" s="1">
        <v>6.0966392153097795</v>
      </c>
      <c r="V122" s="1">
        <v>7.5</v>
      </c>
      <c r="W122" s="88"/>
      <c r="X122" s="284">
        <v>571.48299999999995</v>
      </c>
      <c r="Y122" s="1">
        <v>18.434935483870966</v>
      </c>
      <c r="Z122" s="1">
        <v>21.142235279057861</v>
      </c>
      <c r="AA122" s="1">
        <v>23.15</v>
      </c>
      <c r="AB122" s="1"/>
      <c r="AC122" s="284">
        <v>730.67899999999997</v>
      </c>
      <c r="AD122" s="1">
        <v>23.570290322580643</v>
      </c>
      <c r="AE122" s="1">
        <v>27.238874494367646</v>
      </c>
      <c r="AF122" s="1">
        <v>30.65</v>
      </c>
      <c r="AG122" s="1"/>
      <c r="AH122" s="284">
        <v>1567.433</v>
      </c>
      <c r="AI122" s="1">
        <v>50.56235483870968</v>
      </c>
      <c r="AJ122" s="1">
        <v>58.510475416026622</v>
      </c>
      <c r="AK122" s="1">
        <v>93.72</v>
      </c>
      <c r="AL122" s="1"/>
      <c r="AM122" s="284">
        <v>19.263000000000002</v>
      </c>
      <c r="AN122" s="1">
        <v>0.62138709677419357</v>
      </c>
      <c r="AO122" s="1">
        <v>0.66337445596518174</v>
      </c>
      <c r="AP122" s="1" t="s">
        <v>776</v>
      </c>
      <c r="AQ122" s="1"/>
      <c r="AR122" s="284">
        <v>125.538</v>
      </c>
      <c r="AS122" s="1">
        <v>4.0496129032258059</v>
      </c>
      <c r="AT122" s="1">
        <v>4.3642067396313369</v>
      </c>
      <c r="AU122" s="1" t="s">
        <v>776</v>
      </c>
      <c r="AV122" s="1"/>
      <c r="AW122" s="284">
        <v>11.964</v>
      </c>
      <c r="AX122" s="1">
        <v>0.38593548387096777</v>
      </c>
      <c r="AY122" s="1">
        <v>0.2799520225294419</v>
      </c>
      <c r="AZ122" s="1" t="s">
        <v>776</v>
      </c>
      <c r="BA122" s="1"/>
      <c r="BB122" s="284">
        <v>23.003</v>
      </c>
      <c r="BC122" s="1">
        <v>0.74203225806451611</v>
      </c>
      <c r="BD122" s="1">
        <v>0.78581301203276999</v>
      </c>
      <c r="BE122" s="1" t="s">
        <v>776</v>
      </c>
      <c r="BF122" s="1"/>
      <c r="BG122" s="284">
        <v>25.881</v>
      </c>
      <c r="BH122" s="1">
        <v>0.83487096774193548</v>
      </c>
      <c r="BI122" s="1">
        <v>0.85639441244239611</v>
      </c>
      <c r="BJ122" s="1" t="s">
        <v>776</v>
      </c>
      <c r="BK122" s="1"/>
      <c r="BL122" s="284">
        <v>120.60877103082191</v>
      </c>
      <c r="BM122" s="1">
        <v>3.8906055171232876</v>
      </c>
      <c r="BN122" s="1">
        <v>3.8762394549086765</v>
      </c>
      <c r="BO122" s="1" t="s">
        <v>776</v>
      </c>
      <c r="BP122" s="1"/>
      <c r="BQ122" s="284">
        <v>11.926</v>
      </c>
      <c r="BR122" s="1">
        <v>0.38470967741935486</v>
      </c>
      <c r="BS122" s="1">
        <v>0.41741184715821816</v>
      </c>
      <c r="BT122" s="1" t="s">
        <v>776</v>
      </c>
      <c r="BU122" s="1"/>
      <c r="BV122" s="284">
        <v>3.3759999999999999</v>
      </c>
      <c r="BW122" s="1">
        <v>0.10890322580645161</v>
      </c>
      <c r="BX122" s="1">
        <v>0.18934283154121864</v>
      </c>
      <c r="BY122" s="1" t="s">
        <v>776</v>
      </c>
      <c r="BZ122" s="1"/>
      <c r="CA122" s="284">
        <v>11.75</v>
      </c>
      <c r="CB122" s="1">
        <v>0.37903225806451613</v>
      </c>
      <c r="CC122" s="1">
        <v>0.45847750896057349</v>
      </c>
      <c r="CD122" s="1" t="s">
        <v>776</v>
      </c>
      <c r="CE122" s="1"/>
      <c r="CF122" s="284">
        <v>45.828616438356164</v>
      </c>
      <c r="CG122" s="1">
        <v>1.4783424657534245</v>
      </c>
      <c r="CH122" s="1">
        <v>1.4856295662100456</v>
      </c>
      <c r="CI122" s="1" t="s">
        <v>776</v>
      </c>
      <c r="CJ122" s="1"/>
      <c r="CK122" s="284">
        <v>27.292000000000002</v>
      </c>
      <c r="CL122" s="1">
        <v>0.88038709677419358</v>
      </c>
      <c r="CM122" s="1">
        <v>2.4722430747567841</v>
      </c>
      <c r="CN122" s="1">
        <v>4.875</v>
      </c>
      <c r="CO122" s="1"/>
      <c r="CP122" s="284">
        <v>176.298</v>
      </c>
      <c r="CQ122" s="1">
        <v>5.6870322580645158</v>
      </c>
      <c r="CR122" s="1">
        <v>6.4347737839221715</v>
      </c>
      <c r="CS122" s="1">
        <v>10.724</v>
      </c>
      <c r="CT122" s="1"/>
      <c r="CU122" s="284">
        <v>111.907</v>
      </c>
      <c r="CV122" s="1">
        <v>3.6099032258064514</v>
      </c>
      <c r="CW122" s="1">
        <v>4.2770710253456219</v>
      </c>
      <c r="CX122" s="1">
        <v>6.8570000000000002</v>
      </c>
      <c r="CZ122" s="269">
        <v>18.350000000000001</v>
      </c>
      <c r="DA122" s="1">
        <v>0.59193548387096784</v>
      </c>
      <c r="DB122" s="1"/>
      <c r="DC122" s="284">
        <v>13.798715753424659</v>
      </c>
      <c r="DD122" s="1">
        <v>0.44511986301369866</v>
      </c>
      <c r="DE122" s="1">
        <v>0.44158716894977174</v>
      </c>
      <c r="DF122" s="1" t="s">
        <v>776</v>
      </c>
      <c r="DG122" s="1"/>
      <c r="DH122" s="284">
        <f>DI122*31</f>
        <v>72.880616438356157</v>
      </c>
      <c r="DI122" s="5">
        <f t="shared" si="221"/>
        <v>2.3509876270437471</v>
      </c>
      <c r="DJ122" s="1">
        <f t="shared" si="233"/>
        <v>2.550833215057271</v>
      </c>
      <c r="DK122" s="1"/>
      <c r="DL122" s="1"/>
      <c r="DM122" s="284">
        <f>DN122*31</f>
        <v>2918.0181545924661</v>
      </c>
      <c r="DN122" s="1">
        <f t="shared" si="222"/>
        <v>94.129617890079544</v>
      </c>
      <c r="DO122" s="1">
        <f t="shared" si="234"/>
        <v>106.86124714486932</v>
      </c>
      <c r="DP122" s="1"/>
      <c r="DQ122" s="1"/>
      <c r="DR122" s="284">
        <f>DS122*31</f>
        <v>347.64571575342461</v>
      </c>
      <c r="DS122" s="1">
        <f t="shared" si="219"/>
        <v>11.214377927529826</v>
      </c>
      <c r="DT122" s="1" t="e">
        <f>SUM(CM122+CR122+CW122+#REF!+DE122)</f>
        <v>#REF!</v>
      </c>
      <c r="DU122" s="1"/>
      <c r="DV122" s="1"/>
      <c r="DW122" s="284">
        <f>DX122*31</f>
        <v>3265.6638703458902</v>
      </c>
      <c r="DX122" s="1">
        <f t="shared" si="231"/>
        <v>105.34399581760937</v>
      </c>
      <c r="DY122" s="1">
        <f t="shared" si="232"/>
        <v>121.32612436118211</v>
      </c>
      <c r="DZ122" s="1"/>
      <c r="EB122" s="242">
        <v>2.4</v>
      </c>
      <c r="EL122">
        <v>2007</v>
      </c>
      <c r="EM122" t="s">
        <v>716</v>
      </c>
      <c r="EN122" t="s">
        <v>841</v>
      </c>
      <c r="EO122">
        <v>270.01100000000002</v>
      </c>
    </row>
    <row r="123" spans="1:145" x14ac:dyDescent="0.25">
      <c r="A123" s="8">
        <v>2007</v>
      </c>
      <c r="B123" t="s">
        <v>708</v>
      </c>
      <c r="D123" s="284">
        <v>259.41800000000001</v>
      </c>
      <c r="E123" s="1">
        <v>8.3683225806451613</v>
      </c>
      <c r="F123" s="1">
        <v>9.3362778481822826</v>
      </c>
      <c r="G123" s="1">
        <v>10.903</v>
      </c>
      <c r="M123" s="1"/>
      <c r="N123" s="284">
        <v>92.804000000000002</v>
      </c>
      <c r="O123" s="1">
        <v>2.9936774193548388</v>
      </c>
      <c r="P123" s="1">
        <v>3.4963246543778799</v>
      </c>
      <c r="Q123" s="1">
        <v>5.18</v>
      </c>
      <c r="R123" s="1"/>
      <c r="S123" s="284">
        <v>147.09</v>
      </c>
      <c r="T123" s="1">
        <v>4.7448387096774196</v>
      </c>
      <c r="U123" s="1">
        <v>6.0625263120839739</v>
      </c>
      <c r="V123" s="1">
        <v>7.44</v>
      </c>
      <c r="W123" s="88"/>
      <c r="X123" s="284">
        <v>553.73</v>
      </c>
      <c r="Y123" s="1">
        <v>17.86225806451613</v>
      </c>
      <c r="Z123" s="1">
        <v>20.857369687660011</v>
      </c>
      <c r="AA123" s="1">
        <v>22.94</v>
      </c>
      <c r="AB123" s="1"/>
      <c r="AC123" s="284">
        <v>700.82</v>
      </c>
      <c r="AD123" s="1">
        <v>22.60709677419355</v>
      </c>
      <c r="AE123" s="1">
        <v>26.919895999743986</v>
      </c>
      <c r="AF123" s="1">
        <v>30.38</v>
      </c>
      <c r="AG123" s="1"/>
      <c r="AH123" s="284">
        <v>1584.4</v>
      </c>
      <c r="AI123" s="1">
        <v>51.109677419354838</v>
      </c>
      <c r="AJ123" s="1">
        <v>58.521846383768555</v>
      </c>
      <c r="AK123" s="1">
        <v>95.3</v>
      </c>
      <c r="AL123" s="1"/>
      <c r="AM123" s="284">
        <v>21.513000000000002</v>
      </c>
      <c r="AN123" s="1">
        <v>0.69396774193548394</v>
      </c>
      <c r="AO123" s="1">
        <v>0.66821316564260114</v>
      </c>
      <c r="AP123" s="1" t="s">
        <v>776</v>
      </c>
      <c r="AQ123" s="1"/>
      <c r="AR123" s="284">
        <v>130.43799999999999</v>
      </c>
      <c r="AS123" s="1">
        <v>4.2076774193548383</v>
      </c>
      <c r="AT123" s="1">
        <v>4.4144782450076807</v>
      </c>
      <c r="AU123" s="1" t="s">
        <v>776</v>
      </c>
      <c r="AV123" s="1"/>
      <c r="AW123" s="284">
        <v>9.6140000000000008</v>
      </c>
      <c r="AX123" s="1">
        <v>0.31012903225806454</v>
      </c>
      <c r="AY123" s="1">
        <v>0.27924772145417304</v>
      </c>
      <c r="AZ123" s="1" t="s">
        <v>776</v>
      </c>
      <c r="BA123" s="1"/>
      <c r="BB123" s="284">
        <v>26.594999999999999</v>
      </c>
      <c r="BC123" s="1">
        <v>0.85790322580645162</v>
      </c>
      <c r="BD123" s="1">
        <v>0.79433451740911398</v>
      </c>
      <c r="BE123" s="1" t="s">
        <v>776</v>
      </c>
      <c r="BF123" s="1"/>
      <c r="BG123" s="284">
        <v>27.013000000000002</v>
      </c>
      <c r="BH123" s="1">
        <v>0.87138709677419357</v>
      </c>
      <c r="BI123" s="1">
        <v>0.86248043394777263</v>
      </c>
      <c r="BJ123" s="1" t="s">
        <v>776</v>
      </c>
      <c r="BK123" s="1"/>
      <c r="BL123" s="284">
        <v>120.60877103082191</v>
      </c>
      <c r="BM123" s="1">
        <v>3.8906055171232876</v>
      </c>
      <c r="BN123" s="1">
        <v>3.8834224860159825</v>
      </c>
      <c r="BO123" s="1" t="s">
        <v>776</v>
      </c>
      <c r="BP123" s="1"/>
      <c r="BQ123" s="284">
        <v>12.631</v>
      </c>
      <c r="BR123" s="1">
        <v>0.40745161290322579</v>
      </c>
      <c r="BS123" s="1">
        <v>0.41966184715821814</v>
      </c>
      <c r="BT123" s="1" t="s">
        <v>776</v>
      </c>
      <c r="BU123" s="1"/>
      <c r="BV123" s="284">
        <v>4.2160000000000002</v>
      </c>
      <c r="BW123" s="1">
        <v>0.13600000000000001</v>
      </c>
      <c r="BX123" s="1">
        <v>0.18914659498207884</v>
      </c>
      <c r="BY123" s="1" t="s">
        <v>776</v>
      </c>
      <c r="BZ123" s="1"/>
      <c r="CA123" s="284">
        <v>12.833</v>
      </c>
      <c r="CB123" s="1">
        <v>0.41396774193548386</v>
      </c>
      <c r="CC123" s="1">
        <v>0.45736998207885304</v>
      </c>
      <c r="CD123" s="1" t="s">
        <v>776</v>
      </c>
      <c r="CE123" s="1"/>
      <c r="CF123" s="284">
        <v>45.828616438356164</v>
      </c>
      <c r="CG123" s="1">
        <v>1.4783424657534245</v>
      </c>
      <c r="CH123" s="1">
        <v>1.4819860159817351</v>
      </c>
      <c r="CI123" s="1" t="s">
        <v>776</v>
      </c>
      <c r="CJ123" s="1"/>
      <c r="CK123" s="284">
        <v>40.046999999999997</v>
      </c>
      <c r="CL123" s="1">
        <v>1.2918387096774193</v>
      </c>
      <c r="CM123" s="1">
        <v>2.245705440348182</v>
      </c>
      <c r="CN123" s="1">
        <v>4.05</v>
      </c>
      <c r="CO123" s="1"/>
      <c r="CP123" s="284">
        <v>184.56800000000001</v>
      </c>
      <c r="CQ123" s="1">
        <v>5.9538064516129037</v>
      </c>
      <c r="CR123" s="1">
        <v>6.4013651817716344</v>
      </c>
      <c r="CS123" s="1">
        <v>9.5259999999999998</v>
      </c>
      <c r="CT123" s="1"/>
      <c r="CU123" s="284">
        <v>117.77200000000001</v>
      </c>
      <c r="CV123" s="1">
        <v>3.7990967741935484</v>
      </c>
      <c r="CW123" s="1">
        <v>4.2653909178187401</v>
      </c>
      <c r="CX123" s="1">
        <v>6.91</v>
      </c>
      <c r="CZ123" s="269">
        <v>19.943999999999999</v>
      </c>
      <c r="DA123" s="1">
        <v>0.64335483870967736</v>
      </c>
      <c r="DB123" s="1"/>
      <c r="DC123" s="284">
        <v>13.798715753424659</v>
      </c>
      <c r="DD123" s="1">
        <v>0.44511986301369866</v>
      </c>
      <c r="DE123" s="1">
        <v>0.44335351598173522</v>
      </c>
      <c r="DF123" s="1" t="s">
        <v>776</v>
      </c>
      <c r="DG123" s="1"/>
      <c r="DH123" s="284">
        <f>DI123*31</f>
        <v>75.508616438356157</v>
      </c>
      <c r="DI123" s="5">
        <f t="shared" si="221"/>
        <v>2.4357618205921341</v>
      </c>
      <c r="DJ123" s="1">
        <f t="shared" si="233"/>
        <v>2.5481359013881</v>
      </c>
      <c r="DK123" s="1"/>
      <c r="DL123" s="1"/>
      <c r="DM123" s="284">
        <f>DN123*31</f>
        <v>2897.7151545924658</v>
      </c>
      <c r="DN123" s="1">
        <f t="shared" si="222"/>
        <v>93.474682406208572</v>
      </c>
      <c r="DO123" s="1">
        <f t="shared" si="234"/>
        <v>106.62838555416194</v>
      </c>
      <c r="DP123" s="1"/>
      <c r="DQ123" s="1"/>
      <c r="DR123" s="284">
        <f>DS123*31</f>
        <v>376.1297157534247</v>
      </c>
      <c r="DS123" s="1">
        <f t="shared" si="219"/>
        <v>12.133216637207248</v>
      </c>
      <c r="DT123" s="1" t="e">
        <f>SUM(CM123+CR123+CW123+#REF!+DE123)</f>
        <v>#REF!</v>
      </c>
      <c r="DU123" s="1"/>
      <c r="DV123" s="1"/>
      <c r="DW123" s="284">
        <f>DX123*31</f>
        <v>3273.8448703458903</v>
      </c>
      <c r="DX123" s="1">
        <f t="shared" ref="DX123:DX128" si="235">SUM(DN123+DS123)</f>
        <v>105.60789904341581</v>
      </c>
      <c r="DY123" s="1">
        <f t="shared" ref="DY123:DY128" si="236">SUM(DX112:DX123)/12</f>
        <v>120.80484632180776</v>
      </c>
      <c r="DZ123" s="1"/>
      <c r="EB123" s="242">
        <v>3.47</v>
      </c>
      <c r="EL123">
        <v>2007</v>
      </c>
      <c r="EM123" t="s">
        <v>708</v>
      </c>
      <c r="EN123" t="s">
        <v>841</v>
      </c>
      <c r="EO123">
        <v>259.41800000000001</v>
      </c>
    </row>
    <row r="124" spans="1:145" x14ac:dyDescent="0.25">
      <c r="A124" s="8">
        <v>2007</v>
      </c>
      <c r="B124" t="s">
        <v>709</v>
      </c>
      <c r="D124" s="284">
        <v>277.99400000000003</v>
      </c>
      <c r="E124" s="1">
        <v>9.266466666666668</v>
      </c>
      <c r="F124" s="1">
        <v>9.4456778481822834</v>
      </c>
      <c r="G124" s="1">
        <v>11.311</v>
      </c>
      <c r="M124" s="1"/>
      <c r="N124" s="284">
        <v>88.375</v>
      </c>
      <c r="O124" s="1">
        <v>2.9458333333333333</v>
      </c>
      <c r="P124" s="1">
        <v>3.4179885432667692</v>
      </c>
      <c r="Q124" s="1">
        <v>5.351</v>
      </c>
      <c r="R124" s="1"/>
      <c r="S124" s="284">
        <v>134.54</v>
      </c>
      <c r="T124" s="1">
        <v>4.4846666666666666</v>
      </c>
      <c r="U124" s="1">
        <v>5.981276312083974</v>
      </c>
      <c r="V124" s="1">
        <v>6.85</v>
      </c>
      <c r="W124" s="88"/>
      <c r="X124" s="284">
        <v>516.52</v>
      </c>
      <c r="Y124" s="1">
        <v>17.217333333333332</v>
      </c>
      <c r="Z124" s="1">
        <v>20.496119687660009</v>
      </c>
      <c r="AA124" s="1">
        <v>22.42</v>
      </c>
      <c r="AB124" s="1"/>
      <c r="AC124" s="284">
        <v>651.05999999999995</v>
      </c>
      <c r="AD124" s="1">
        <v>21.701999999999998</v>
      </c>
      <c r="AE124" s="1">
        <v>26.477395999743987</v>
      </c>
      <c r="AF124" s="1">
        <v>29.27</v>
      </c>
      <c r="AG124" s="1"/>
      <c r="AH124" s="284">
        <v>1483.39</v>
      </c>
      <c r="AI124" s="1">
        <v>49.446333333333335</v>
      </c>
      <c r="AJ124" s="1">
        <v>58.012124161546346</v>
      </c>
      <c r="AK124" s="1">
        <v>82.41</v>
      </c>
      <c r="AL124" s="1"/>
      <c r="AM124" s="284">
        <v>15.173</v>
      </c>
      <c r="AN124" s="1">
        <v>0.5057666666666667</v>
      </c>
      <c r="AO124" s="1">
        <v>0.63621594342037879</v>
      </c>
      <c r="AP124" s="1" t="s">
        <v>776</v>
      </c>
      <c r="AQ124" s="1"/>
      <c r="AR124" s="284">
        <v>104.502</v>
      </c>
      <c r="AS124" s="1">
        <v>3.4834000000000001</v>
      </c>
      <c r="AT124" s="1">
        <v>4.3656476894521257</v>
      </c>
      <c r="AU124" s="1" t="s">
        <v>776</v>
      </c>
      <c r="AV124" s="1"/>
      <c r="AW124" s="284">
        <v>7.2850000000000001</v>
      </c>
      <c r="AX124" s="1">
        <v>0.24283333333333335</v>
      </c>
      <c r="AY124" s="1">
        <v>0.27806438812083972</v>
      </c>
      <c r="AZ124" s="1" t="s">
        <v>776</v>
      </c>
      <c r="BA124" s="1"/>
      <c r="BB124" s="284">
        <v>20.003</v>
      </c>
      <c r="BC124" s="1">
        <v>0.66676666666666662</v>
      </c>
      <c r="BD124" s="1">
        <v>0.73914562852022525</v>
      </c>
      <c r="BE124" s="1" t="s">
        <v>776</v>
      </c>
      <c r="BF124" s="1"/>
      <c r="BG124" s="284">
        <v>19.029</v>
      </c>
      <c r="BH124" s="1">
        <v>0.63429999999999997</v>
      </c>
      <c r="BI124" s="1">
        <v>0.84301932283666148</v>
      </c>
      <c r="BJ124" s="1" t="s">
        <v>776</v>
      </c>
      <c r="BK124" s="1"/>
      <c r="BL124" s="284">
        <v>116.71816551369862</v>
      </c>
      <c r="BM124" s="1">
        <v>3.8906055171232876</v>
      </c>
      <c r="BN124" s="1">
        <v>3.8906055171232885</v>
      </c>
      <c r="BP124" s="1"/>
      <c r="BQ124" s="284">
        <v>11.298</v>
      </c>
      <c r="BR124" s="1">
        <v>0.37659999999999999</v>
      </c>
      <c r="BS124" s="1">
        <v>0.41626184715821807</v>
      </c>
      <c r="BU124" s="1"/>
      <c r="BV124" s="284">
        <v>3.617</v>
      </c>
      <c r="BW124" s="1">
        <v>0.12056666666666667</v>
      </c>
      <c r="BX124" s="1">
        <v>0.18421881720430103</v>
      </c>
      <c r="BY124" s="1" t="s">
        <v>776</v>
      </c>
      <c r="BZ124" s="1"/>
      <c r="CA124" s="284">
        <v>11.557</v>
      </c>
      <c r="CB124" s="1">
        <v>0.38523333333333337</v>
      </c>
      <c r="CC124" s="1">
        <v>0.4522727598566309</v>
      </c>
      <c r="CD124" s="1" t="s">
        <v>776</v>
      </c>
      <c r="CE124" s="1"/>
      <c r="CF124" s="284">
        <v>44.350273972602743</v>
      </c>
      <c r="CG124" s="1">
        <v>1.4783424657534248</v>
      </c>
      <c r="CH124" s="1">
        <v>1.4783424657534248</v>
      </c>
      <c r="CI124" s="1" t="s">
        <v>776</v>
      </c>
      <c r="CJ124" s="1"/>
      <c r="CK124" s="284">
        <v>22.366</v>
      </c>
      <c r="CL124" s="1">
        <v>0.74553333333333327</v>
      </c>
      <c r="CM124" s="1">
        <v>1.9741665514592934</v>
      </c>
      <c r="CN124" s="1">
        <v>3.17</v>
      </c>
      <c r="CO124" s="1"/>
      <c r="CP124" s="284">
        <v>167.029</v>
      </c>
      <c r="CQ124" s="1">
        <v>5.5676333333333332</v>
      </c>
      <c r="CR124" s="1">
        <v>6.3293068484383008</v>
      </c>
      <c r="CS124" s="1">
        <v>9.0519999999999996</v>
      </c>
      <c r="CT124" s="1"/>
      <c r="CU124" s="284">
        <v>109.178</v>
      </c>
      <c r="CV124" s="1">
        <v>3.6392666666666664</v>
      </c>
      <c r="CW124" s="1">
        <v>4.2237881400409618</v>
      </c>
      <c r="CX124" s="1">
        <v>6.9930000000000003</v>
      </c>
      <c r="CZ124" s="269">
        <v>18.094999999999999</v>
      </c>
      <c r="DA124" s="1">
        <v>0.60316666666666663</v>
      </c>
      <c r="DB124" s="1"/>
      <c r="DC124" s="284">
        <v>13.35359589041096</v>
      </c>
      <c r="DD124" s="1">
        <v>0.44511986301369866</v>
      </c>
      <c r="DE124" s="1">
        <v>0.44511986301369871</v>
      </c>
      <c r="DF124" s="1" t="s">
        <v>776</v>
      </c>
      <c r="DG124" s="1"/>
      <c r="DH124" s="284">
        <f>DI124*30</f>
        <v>70.822273972602744</v>
      </c>
      <c r="DI124" s="5">
        <f t="shared" si="221"/>
        <v>2.3607424657534248</v>
      </c>
      <c r="DJ124" s="1">
        <f t="shared" si="233"/>
        <v>2.5310673511597894</v>
      </c>
      <c r="DK124" s="1"/>
      <c r="DL124" s="1"/>
      <c r="DM124" s="284">
        <f>DN124*30</f>
        <v>2712.7068915410964</v>
      </c>
      <c r="DN124" s="1">
        <f t="shared" si="222"/>
        <v>90.423563051369882</v>
      </c>
      <c r="DO124" s="1">
        <f t="shared" si="234"/>
        <v>105.57481769105311</v>
      </c>
      <c r="DP124" s="1"/>
      <c r="DQ124" s="1"/>
      <c r="DR124" s="284">
        <f>DS124*30</f>
        <v>330.02159589041094</v>
      </c>
      <c r="DS124" s="1">
        <f t="shared" si="219"/>
        <v>11.000719863013698</v>
      </c>
      <c r="DT124" s="1" t="e">
        <f>SUM(CM124+CR124+CW124+#REF!+DE124)</f>
        <v>#REF!</v>
      </c>
      <c r="DU124" s="1"/>
      <c r="DV124" s="1"/>
      <c r="DW124" s="284">
        <f>DX124*30</f>
        <v>3042.7284874315073</v>
      </c>
      <c r="DX124" s="1">
        <f t="shared" si="235"/>
        <v>101.42428291438358</v>
      </c>
      <c r="DY124" s="1">
        <f t="shared" si="236"/>
        <v>119.33603091684201</v>
      </c>
      <c r="DZ124" s="1"/>
      <c r="EB124" s="242">
        <v>0.6</v>
      </c>
      <c r="EL124">
        <v>2007</v>
      </c>
      <c r="EM124" t="s">
        <v>709</v>
      </c>
      <c r="EN124" t="s">
        <v>841</v>
      </c>
      <c r="EO124">
        <v>277.99400000000003</v>
      </c>
    </row>
    <row r="125" spans="1:145" s="50" customFormat="1" x14ac:dyDescent="0.25">
      <c r="A125" s="52">
        <v>2007</v>
      </c>
      <c r="B125" s="48" t="s">
        <v>710</v>
      </c>
      <c r="C125" s="48"/>
      <c r="D125" s="269">
        <v>283.19600000000003</v>
      </c>
      <c r="E125" s="49">
        <v>9.135354838709679</v>
      </c>
      <c r="F125" s="49">
        <v>9.4324681707629292</v>
      </c>
      <c r="G125" s="49">
        <v>12.077</v>
      </c>
      <c r="H125" s="49"/>
      <c r="I125" s="269"/>
      <c r="J125" s="49"/>
      <c r="K125" s="49"/>
      <c r="L125" s="49"/>
      <c r="M125" s="49"/>
      <c r="N125" s="269">
        <v>91.756</v>
      </c>
      <c r="O125" s="49">
        <v>2.9598709677419355</v>
      </c>
      <c r="P125" s="49">
        <v>3.3406283282130058</v>
      </c>
      <c r="Q125" s="49">
        <v>5.6459999999999999</v>
      </c>
      <c r="R125" s="49"/>
      <c r="S125" s="269">
        <v>136.50200000000001</v>
      </c>
      <c r="T125" s="49">
        <v>4.4032903225806459</v>
      </c>
      <c r="U125" s="49">
        <v>5.8628058819764455</v>
      </c>
      <c r="V125" s="49">
        <v>8.5299999999999994</v>
      </c>
      <c r="W125" s="246"/>
      <c r="X125" s="269">
        <v>532.83299999999997</v>
      </c>
      <c r="Y125" s="49">
        <v>17.188161290322579</v>
      </c>
      <c r="Z125" s="49">
        <v>20.165240655401945</v>
      </c>
      <c r="AA125" s="49">
        <v>25.8</v>
      </c>
      <c r="AB125" s="49"/>
      <c r="AC125" s="269">
        <v>669.33500000000004</v>
      </c>
      <c r="AD125" s="49">
        <v>21.591451612903228</v>
      </c>
      <c r="AE125" s="49">
        <v>26.02804653737839</v>
      </c>
      <c r="AF125" s="49">
        <v>34.33</v>
      </c>
      <c r="AG125" s="49"/>
      <c r="AH125" s="269">
        <v>1607.664</v>
      </c>
      <c r="AI125" s="49">
        <v>51.860129032258065</v>
      </c>
      <c r="AJ125" s="49">
        <v>57.803667172299036</v>
      </c>
      <c r="AK125" s="49">
        <v>148.03</v>
      </c>
      <c r="AL125" s="49"/>
      <c r="AM125" s="269">
        <v>17.800999999999998</v>
      </c>
      <c r="AN125" s="49">
        <v>0.57422580645161281</v>
      </c>
      <c r="AO125" s="49">
        <v>0.63273476062467993</v>
      </c>
      <c r="AP125" s="49" t="s">
        <v>776</v>
      </c>
      <c r="AQ125" s="49"/>
      <c r="AR125" s="269">
        <v>120.151</v>
      </c>
      <c r="AS125" s="49">
        <v>3.8758387096774194</v>
      </c>
      <c r="AT125" s="49">
        <v>4.3403009152585765</v>
      </c>
      <c r="AU125" s="49" t="s">
        <v>776</v>
      </c>
      <c r="AV125" s="49"/>
      <c r="AW125" s="269">
        <v>5.931</v>
      </c>
      <c r="AX125" s="49">
        <v>0.19132258064516131</v>
      </c>
      <c r="AY125" s="49">
        <v>0.27350793650793648</v>
      </c>
      <c r="AZ125" s="49" t="s">
        <v>776</v>
      </c>
      <c r="BA125" s="49"/>
      <c r="BB125" s="269">
        <v>23.324999999999999</v>
      </c>
      <c r="BC125" s="49">
        <v>0.7524193548387097</v>
      </c>
      <c r="BD125" s="49">
        <v>0.70368057475678458</v>
      </c>
      <c r="BE125" s="49" t="s">
        <v>776</v>
      </c>
      <c r="BF125" s="49"/>
      <c r="BG125" s="269">
        <v>22.055</v>
      </c>
      <c r="BH125" s="49">
        <v>0.71145161290322578</v>
      </c>
      <c r="BI125" s="49">
        <v>0.83814029057859696</v>
      </c>
      <c r="BJ125" s="49" t="s">
        <v>776</v>
      </c>
      <c r="BK125" s="49"/>
      <c r="BL125" s="269">
        <v>129.65449964890712</v>
      </c>
      <c r="BM125" s="49">
        <v>4.1824032144808747</v>
      </c>
      <c r="BN125" s="49">
        <v>3.9149219919030869</v>
      </c>
      <c r="BO125" s="49" t="s">
        <v>776</v>
      </c>
      <c r="BP125" s="49"/>
      <c r="BQ125" s="269">
        <v>14.794</v>
      </c>
      <c r="BR125" s="49">
        <v>0.47722580645161294</v>
      </c>
      <c r="BS125" s="49">
        <v>0.4209473310291858</v>
      </c>
      <c r="BT125" s="49" t="s">
        <v>776</v>
      </c>
      <c r="BU125" s="49"/>
      <c r="BV125" s="269">
        <v>5.3710000000000004</v>
      </c>
      <c r="BW125" s="49">
        <v>0.17325806451612905</v>
      </c>
      <c r="BX125" s="49">
        <v>0.1834069892473118</v>
      </c>
      <c r="BY125" s="49" t="s">
        <v>776</v>
      </c>
      <c r="BZ125" s="49"/>
      <c r="CA125" s="269">
        <v>14.196999999999999</v>
      </c>
      <c r="CB125" s="49">
        <v>0.45796774193548384</v>
      </c>
      <c r="CC125" s="49">
        <v>0.45260340501792123</v>
      </c>
      <c r="CD125" s="49" t="s">
        <v>776</v>
      </c>
      <c r="CE125" s="49"/>
      <c r="CF125" s="269">
        <v>45.532721653005467</v>
      </c>
      <c r="CG125" s="49">
        <v>1.4687974726775956</v>
      </c>
      <c r="CH125" s="49">
        <v>1.4775470496637724</v>
      </c>
      <c r="CI125" s="49" t="s">
        <v>776</v>
      </c>
      <c r="CJ125" s="49"/>
      <c r="CK125" s="269">
        <v>36.335000000000001</v>
      </c>
      <c r="CL125" s="49">
        <v>1.1720967741935484</v>
      </c>
      <c r="CM125" s="49">
        <v>1.7780617127496161</v>
      </c>
      <c r="CN125" s="49">
        <v>10.02</v>
      </c>
      <c r="CO125" s="49"/>
      <c r="CP125" s="269">
        <v>176.13399999999999</v>
      </c>
      <c r="CQ125" s="49">
        <v>5.6817419354838705</v>
      </c>
      <c r="CR125" s="49">
        <v>6.288572977470559</v>
      </c>
      <c r="CS125" s="49">
        <v>11.901999999999999</v>
      </c>
      <c r="CT125" s="49"/>
      <c r="CU125" s="269">
        <v>112.806</v>
      </c>
      <c r="CV125" s="49">
        <v>3.6389032258064513</v>
      </c>
      <c r="CW125" s="49">
        <v>4.1654978174603174</v>
      </c>
      <c r="CX125" s="49">
        <v>8.1020000000000003</v>
      </c>
      <c r="CY125" s="49"/>
      <c r="CZ125" s="269">
        <v>15.569000000000001</v>
      </c>
      <c r="DA125" s="49">
        <v>0.50222580645161297</v>
      </c>
      <c r="DB125" s="49"/>
      <c r="DC125" s="269">
        <v>13.625999999999999</v>
      </c>
      <c r="DD125" s="49">
        <v>0.44</v>
      </c>
      <c r="DE125" s="1">
        <f>SUM(DD114:DD125)/12</f>
        <v>0.44469320776255716</v>
      </c>
      <c r="DF125" s="49" t="s">
        <v>776</v>
      </c>
      <c r="DG125" s="49"/>
      <c r="DH125" s="284">
        <f>DI125*31</f>
        <v>79.894721653005476</v>
      </c>
      <c r="DI125" s="5">
        <f t="shared" si="221"/>
        <v>2.5772490855808217</v>
      </c>
      <c r="DJ125" s="1">
        <f t="shared" ref="DJ125:DJ130" si="237">SUM(DI114:DI125)/12</f>
        <v>2.5345047749581915</v>
      </c>
      <c r="DK125" s="49"/>
      <c r="DL125" s="49"/>
      <c r="DM125" s="284">
        <f>DN125*31</f>
        <v>2890.9737779959019</v>
      </c>
      <c r="DN125" s="1">
        <f t="shared" si="222"/>
        <v>93.257218645029099</v>
      </c>
      <c r="DO125" s="1">
        <f t="shared" ref="DO125:DO130" si="238">SUM(DN114:DN125)/12</f>
        <v>104.77359190332483</v>
      </c>
      <c r="DP125" s="49"/>
      <c r="DQ125" s="49"/>
      <c r="DR125" s="284">
        <f>DS125*31</f>
        <v>354.48399999999992</v>
      </c>
      <c r="DS125" s="1">
        <f t="shared" si="219"/>
        <v>11.434967741935482</v>
      </c>
      <c r="DT125" s="1" t="e">
        <f>SUM(CM125+CR125+CW125+#REF!+DE125)</f>
        <v>#REF!</v>
      </c>
      <c r="DU125" s="49"/>
      <c r="DV125" s="49"/>
      <c r="DW125" s="284">
        <f>DX125*31</f>
        <v>3245.4577779959018</v>
      </c>
      <c r="DX125" s="1">
        <f t="shared" si="235"/>
        <v>104.69218638696458</v>
      </c>
      <c r="DY125" s="1">
        <f t="shared" si="236"/>
        <v>118.20854245235722</v>
      </c>
      <c r="DZ125" s="49"/>
      <c r="EA125" s="48"/>
      <c r="EB125" s="242">
        <v>6.55</v>
      </c>
      <c r="EL125" s="50">
        <v>2007</v>
      </c>
      <c r="EM125" s="50" t="s">
        <v>710</v>
      </c>
      <c r="EN125" s="50" t="s">
        <v>841</v>
      </c>
      <c r="EO125" s="50">
        <v>283.19600000000003</v>
      </c>
    </row>
    <row r="126" spans="1:145" x14ac:dyDescent="0.25">
      <c r="A126" s="8">
        <v>2007</v>
      </c>
      <c r="B126" t="s">
        <v>711</v>
      </c>
      <c r="D126" s="284">
        <v>236.99799999999999</v>
      </c>
      <c r="E126" s="1">
        <v>7.8999333333333333</v>
      </c>
      <c r="F126" s="1">
        <v>9.3404681707629287</v>
      </c>
      <c r="G126" s="1">
        <v>13.206</v>
      </c>
      <c r="M126" s="1"/>
      <c r="N126" s="284">
        <v>86.581999999999994</v>
      </c>
      <c r="O126" s="1">
        <v>2.8860666666666663</v>
      </c>
      <c r="P126" s="1">
        <v>3.2886477726574501</v>
      </c>
      <c r="Q126" s="1">
        <v>5.7380000000000004</v>
      </c>
      <c r="R126" s="1"/>
      <c r="S126" s="284">
        <v>133.29</v>
      </c>
      <c r="T126" s="1">
        <v>4.4429999999999996</v>
      </c>
      <c r="U126" s="1">
        <v>5.7101836597542253</v>
      </c>
      <c r="V126" s="1">
        <v>7.81</v>
      </c>
      <c r="W126" s="88"/>
      <c r="X126" s="284">
        <v>520.64700000000005</v>
      </c>
      <c r="Y126" s="1">
        <v>17.354900000000001</v>
      </c>
      <c r="Z126" s="1">
        <v>19.881110099846392</v>
      </c>
      <c r="AA126" s="1">
        <v>23.92</v>
      </c>
      <c r="AB126" s="1"/>
      <c r="AC126" s="284">
        <v>653.93700000000001</v>
      </c>
      <c r="AD126" s="1">
        <v>21.797900000000002</v>
      </c>
      <c r="AE126" s="1">
        <v>25.591293759600621</v>
      </c>
      <c r="AF126" s="1">
        <v>31.73</v>
      </c>
      <c r="AG126" s="1"/>
      <c r="AH126" s="284">
        <v>1499.9929999999999</v>
      </c>
      <c r="AI126" s="1">
        <v>49.999766666666666</v>
      </c>
      <c r="AJ126" s="1">
        <v>56.656272727854578</v>
      </c>
      <c r="AK126" s="1">
        <v>80.83</v>
      </c>
      <c r="AL126" s="1"/>
      <c r="AM126" s="284">
        <v>15.676</v>
      </c>
      <c r="AN126" s="1">
        <v>0.52253333333333329</v>
      </c>
      <c r="AO126" s="1">
        <v>0.61677364951356883</v>
      </c>
      <c r="AP126" s="1" t="s">
        <v>776</v>
      </c>
      <c r="AQ126" s="1"/>
      <c r="AR126" s="284">
        <v>112.928</v>
      </c>
      <c r="AS126" s="1">
        <v>3.7642666666666664</v>
      </c>
      <c r="AT126" s="1">
        <v>4.2468453597030207</v>
      </c>
      <c r="AU126" s="1" t="s">
        <v>776</v>
      </c>
      <c r="AV126" s="1"/>
      <c r="AW126" s="284">
        <v>4.4880000000000004</v>
      </c>
      <c r="AX126" s="1">
        <v>0.14960000000000001</v>
      </c>
      <c r="AY126" s="1">
        <v>0.25862182539682538</v>
      </c>
      <c r="AZ126" s="1" t="s">
        <v>776</v>
      </c>
      <c r="BA126" s="1"/>
      <c r="BB126" s="284">
        <v>23.745999999999999</v>
      </c>
      <c r="BC126" s="1">
        <v>0.79153333333333331</v>
      </c>
      <c r="BD126" s="1">
        <v>0.7018611303123401</v>
      </c>
      <c r="BE126" s="1" t="s">
        <v>776</v>
      </c>
      <c r="BF126" s="1"/>
      <c r="BG126" s="284">
        <v>22.302</v>
      </c>
      <c r="BH126" s="1">
        <v>0.74339999999999995</v>
      </c>
      <c r="BI126" s="1">
        <v>0.82792640168970799</v>
      </c>
      <c r="BJ126" s="1" t="s">
        <v>776</v>
      </c>
      <c r="BK126" s="1"/>
      <c r="BL126" s="284">
        <v>125.47209643442625</v>
      </c>
      <c r="BM126" s="1">
        <v>4.1824032144808747</v>
      </c>
      <c r="BN126" s="1">
        <v>3.9392384666828852</v>
      </c>
      <c r="BO126" s="1" t="s">
        <v>776</v>
      </c>
      <c r="BP126" s="1"/>
      <c r="BQ126" s="284">
        <v>13.682</v>
      </c>
      <c r="BR126" s="1">
        <v>0.45606666666666668</v>
      </c>
      <c r="BS126" s="1">
        <v>0.42230288658474141</v>
      </c>
      <c r="BT126" s="1" t="s">
        <v>776</v>
      </c>
      <c r="BU126" s="1"/>
      <c r="BV126" s="284">
        <v>10.6</v>
      </c>
      <c r="BW126" s="1">
        <v>0.35333333333333333</v>
      </c>
      <c r="BX126" s="1">
        <v>0.19131810035842292</v>
      </c>
      <c r="BY126" s="1" t="s">
        <v>776</v>
      </c>
      <c r="BZ126" s="1"/>
      <c r="CA126" s="284">
        <v>13.519</v>
      </c>
      <c r="CB126" s="1">
        <v>0.45063333333333333</v>
      </c>
      <c r="CC126" s="1">
        <v>0.44804229390681005</v>
      </c>
      <c r="CD126" s="1" t="s">
        <v>776</v>
      </c>
      <c r="CE126" s="1"/>
      <c r="CF126" s="284">
        <v>44.063924180327867</v>
      </c>
      <c r="CG126" s="1">
        <v>1.4687974726775956</v>
      </c>
      <c r="CH126" s="1">
        <v>1.4767516335741202</v>
      </c>
      <c r="CI126" s="1" t="s">
        <v>776</v>
      </c>
      <c r="CJ126" s="1"/>
      <c r="CK126" s="284">
        <v>56.433999999999997</v>
      </c>
      <c r="CL126" s="1">
        <v>1.8811333333333333</v>
      </c>
      <c r="CM126" s="1">
        <v>1.7541061571940606</v>
      </c>
      <c r="CN126" s="1">
        <v>8.17</v>
      </c>
      <c r="CO126" s="1"/>
      <c r="CP126" s="284">
        <v>189.47</v>
      </c>
      <c r="CQ126" s="1">
        <v>6.315666666666667</v>
      </c>
      <c r="CR126" s="1">
        <v>6.3014535330261152</v>
      </c>
      <c r="CS126" s="1">
        <v>13.048999999999999</v>
      </c>
      <c r="CT126" s="1"/>
      <c r="CU126" s="284">
        <v>109.128</v>
      </c>
      <c r="CV126" s="1">
        <v>3.6375999999999999</v>
      </c>
      <c r="CW126" s="1">
        <v>4.0554505952380948</v>
      </c>
      <c r="CX126" s="1">
        <v>6.8129999999999997</v>
      </c>
      <c r="CZ126" s="269">
        <v>13.119</v>
      </c>
      <c r="DA126" s="1">
        <v>0.43729999999999997</v>
      </c>
      <c r="DB126" s="1"/>
      <c r="DC126" s="284">
        <v>13.185983606557377</v>
      </c>
      <c r="DD126" s="1">
        <v>0.43953278688524589</v>
      </c>
      <c r="DE126" s="1">
        <v>0.44418868365895653</v>
      </c>
      <c r="DF126" s="1" t="s">
        <v>776</v>
      </c>
      <c r="DG126" s="1"/>
      <c r="DH126" s="284">
        <f>DI126*30</f>
        <v>81.864924180327876</v>
      </c>
      <c r="DI126" s="5">
        <f t="shared" si="221"/>
        <v>2.728830806010929</v>
      </c>
      <c r="DJ126" s="1">
        <f t="shared" si="237"/>
        <v>2.5384149144240942</v>
      </c>
      <c r="DK126" s="1"/>
      <c r="DL126" s="1"/>
      <c r="DM126" s="284">
        <f>DN126*30</f>
        <v>2700.2571722540979</v>
      </c>
      <c r="DN126" s="1">
        <f t="shared" si="222"/>
        <v>90.008572408469931</v>
      </c>
      <c r="DO126" s="1">
        <f t="shared" si="238"/>
        <v>102.92953434974983</v>
      </c>
      <c r="DP126" s="1"/>
      <c r="DQ126" s="1"/>
      <c r="DR126" s="284">
        <f>DS126*30</f>
        <v>381.3369836065574</v>
      </c>
      <c r="DS126" s="1">
        <f t="shared" si="219"/>
        <v>12.711232786885246</v>
      </c>
      <c r="DT126" s="1" t="e">
        <f>SUM(CM126+CR126+CW126+#REF!+DE126)</f>
        <v>#REF!</v>
      </c>
      <c r="DU126" s="1"/>
      <c r="DV126" s="1"/>
      <c r="DW126" s="284">
        <f>DX126*30</f>
        <v>3081.5941558606555</v>
      </c>
      <c r="DX126" s="1">
        <f t="shared" si="235"/>
        <v>102.71980519535518</v>
      </c>
      <c r="DY126" s="1">
        <f t="shared" si="236"/>
        <v>116.18227208688263</v>
      </c>
      <c r="DZ126" s="1"/>
      <c r="EB126" s="242">
        <v>1.46</v>
      </c>
      <c r="EL126">
        <v>2007</v>
      </c>
      <c r="EM126" t="s">
        <v>711</v>
      </c>
      <c r="EN126" t="s">
        <v>841</v>
      </c>
      <c r="EO126">
        <v>236.99799999999999</v>
      </c>
    </row>
    <row r="127" spans="1:145" x14ac:dyDescent="0.25">
      <c r="A127" s="8">
        <v>2007</v>
      </c>
      <c r="B127" t="s">
        <v>712</v>
      </c>
      <c r="D127" s="284">
        <v>233.85</v>
      </c>
      <c r="E127" s="1">
        <v>7.5435483870967737</v>
      </c>
      <c r="F127" s="1">
        <v>9.2265111815156171</v>
      </c>
      <c r="G127" s="1">
        <v>9.4369999999999994</v>
      </c>
      <c r="M127" s="1"/>
      <c r="N127" s="284">
        <v>89.837000000000003</v>
      </c>
      <c r="O127" s="1">
        <v>2.8979677419354841</v>
      </c>
      <c r="P127" s="1">
        <v>3.254494546850998</v>
      </c>
      <c r="Q127" s="1">
        <v>5.3630000000000004</v>
      </c>
      <c r="R127" s="1"/>
      <c r="S127" s="284">
        <v>146.68</v>
      </c>
      <c r="T127" s="1">
        <v>4.7316129032258063</v>
      </c>
      <c r="U127" s="1">
        <v>5.6016352726574494</v>
      </c>
      <c r="V127" s="1">
        <v>8.59</v>
      </c>
      <c r="W127" s="88"/>
      <c r="X127" s="284">
        <v>553.54</v>
      </c>
      <c r="Y127" s="1">
        <v>17.856129032258064</v>
      </c>
      <c r="Z127" s="1">
        <v>19.676540207373272</v>
      </c>
      <c r="AA127" s="1">
        <v>25.63</v>
      </c>
      <c r="AB127" s="1"/>
      <c r="AC127" s="284">
        <v>700.22</v>
      </c>
      <c r="AD127" s="1">
        <v>22.587741935483873</v>
      </c>
      <c r="AE127" s="1">
        <v>25.278175480030725</v>
      </c>
      <c r="AF127" s="1">
        <v>34.22</v>
      </c>
      <c r="AG127" s="1"/>
      <c r="AH127" s="284">
        <v>1620.5989999999999</v>
      </c>
      <c r="AI127" s="1">
        <v>52.277387096774191</v>
      </c>
      <c r="AJ127" s="1">
        <v>56.277304985919102</v>
      </c>
      <c r="AK127" s="1">
        <v>103.92</v>
      </c>
      <c r="AL127" s="1"/>
      <c r="AM127" s="284">
        <v>17.414999999999999</v>
      </c>
      <c r="AN127" s="1">
        <v>0.56177419354838709</v>
      </c>
      <c r="AO127" s="1">
        <v>0.6148784882232462</v>
      </c>
      <c r="AP127" s="1" t="s">
        <v>776</v>
      </c>
      <c r="AQ127" s="1"/>
      <c r="AR127" s="284">
        <v>125.71</v>
      </c>
      <c r="AS127" s="1">
        <v>4.0551612903225802</v>
      </c>
      <c r="AT127" s="1">
        <v>4.3141141769073217</v>
      </c>
      <c r="AU127" s="1" t="s">
        <v>776</v>
      </c>
      <c r="AV127" s="1"/>
      <c r="AW127" s="284">
        <v>5.5490000000000004</v>
      </c>
      <c r="AX127" s="1">
        <v>0.17900000000000002</v>
      </c>
      <c r="AY127" s="1">
        <v>0.25451698668714801</v>
      </c>
      <c r="AZ127" s="1" t="s">
        <v>776</v>
      </c>
      <c r="BA127" s="1"/>
      <c r="BB127" s="284">
        <v>25.119</v>
      </c>
      <c r="BC127" s="1">
        <v>0.81029032258064515</v>
      </c>
      <c r="BD127" s="1">
        <v>0.70309231310803899</v>
      </c>
      <c r="BE127" s="1" t="s">
        <v>776</v>
      </c>
      <c r="BF127" s="1"/>
      <c r="BG127" s="284">
        <v>24.13</v>
      </c>
      <c r="BH127" s="1">
        <v>0.77838709677419349</v>
      </c>
      <c r="BI127" s="1">
        <v>0.83605274577572963</v>
      </c>
      <c r="BJ127" s="1" t="s">
        <v>776</v>
      </c>
      <c r="BK127" s="1"/>
      <c r="BL127" s="284">
        <v>129.65449964890712</v>
      </c>
      <c r="BM127" s="1">
        <v>4.1824032144808747</v>
      </c>
      <c r="BN127" s="1">
        <v>3.9635549414626836</v>
      </c>
      <c r="BO127" s="1" t="s">
        <v>776</v>
      </c>
      <c r="BP127" s="1"/>
      <c r="BQ127" s="284">
        <v>14.569000000000001</v>
      </c>
      <c r="BR127" s="1">
        <v>0.46996774193548391</v>
      </c>
      <c r="BS127" s="1">
        <v>0.4314157898105479</v>
      </c>
      <c r="BT127" s="1" t="s">
        <v>776</v>
      </c>
      <c r="BU127" s="1"/>
      <c r="BV127" s="284">
        <v>8.7680000000000007</v>
      </c>
      <c r="BW127" s="1">
        <v>0.28283870967741936</v>
      </c>
      <c r="BX127" s="1">
        <v>0.202839605734767</v>
      </c>
      <c r="BY127" s="1" t="s">
        <v>776</v>
      </c>
      <c r="BZ127" s="1"/>
      <c r="CA127" s="284">
        <v>13.491</v>
      </c>
      <c r="CB127" s="1">
        <v>0.43519354838709678</v>
      </c>
      <c r="CC127" s="1">
        <v>0.45281111111111111</v>
      </c>
      <c r="CD127" s="1" t="s">
        <v>776</v>
      </c>
      <c r="CE127" s="1"/>
      <c r="CF127" s="284">
        <v>45.532721653005467</v>
      </c>
      <c r="CG127" s="1">
        <v>1.4687974726775956</v>
      </c>
      <c r="CH127" s="1">
        <v>1.4759562174844676</v>
      </c>
      <c r="CI127" s="1" t="s">
        <v>776</v>
      </c>
      <c r="CJ127" s="1"/>
      <c r="CK127" s="284">
        <v>53.744999999999997</v>
      </c>
      <c r="CL127" s="1">
        <v>1.7337096774193548</v>
      </c>
      <c r="CM127" s="1">
        <v>1.728431426011265</v>
      </c>
      <c r="CN127" s="1">
        <v>7.57</v>
      </c>
      <c r="CO127" s="1"/>
      <c r="CP127" s="284">
        <v>186.01499999999999</v>
      </c>
      <c r="CQ127" s="1">
        <v>6.0004838709677415</v>
      </c>
      <c r="CR127" s="1">
        <v>6.291536866359448</v>
      </c>
      <c r="CS127" s="1">
        <v>9.3529999999999998</v>
      </c>
      <c r="CT127" s="1"/>
      <c r="CU127" s="284">
        <v>112.47</v>
      </c>
      <c r="CV127" s="1">
        <v>3.6280645161290321</v>
      </c>
      <c r="CW127" s="1">
        <v>3.9805285522273426</v>
      </c>
      <c r="CX127" s="1">
        <v>6.8819999999999997</v>
      </c>
      <c r="CZ127" s="269">
        <v>16.599</v>
      </c>
      <c r="DA127" s="1">
        <v>0.53545161290322585</v>
      </c>
      <c r="DB127" s="1"/>
      <c r="DC127" s="284">
        <v>13.625516393442622</v>
      </c>
      <c r="DD127" s="1">
        <v>0.43953278688524589</v>
      </c>
      <c r="DE127" s="1">
        <v>0.44372309398158544</v>
      </c>
      <c r="DF127" s="1" t="s">
        <v>776</v>
      </c>
      <c r="DG127" s="1"/>
      <c r="DH127" s="284">
        <f>DI127*31</f>
        <v>82.36072165300547</v>
      </c>
      <c r="DI127" s="5">
        <f t="shared" si="221"/>
        <v>2.6567974726775958</v>
      </c>
      <c r="DJ127" s="1">
        <f t="shared" si="237"/>
        <v>2.5630227241408936</v>
      </c>
      <c r="DK127" s="1"/>
      <c r="DL127" s="1"/>
      <c r="DM127" s="284">
        <f>DN127*31</f>
        <v>2889.7227779959012</v>
      </c>
      <c r="DN127" s="1">
        <f t="shared" si="222"/>
        <v>93.216863806319395</v>
      </c>
      <c r="DO127" s="1">
        <f t="shared" si="238"/>
        <v>102.15967312233973</v>
      </c>
      <c r="DP127" s="1"/>
      <c r="DQ127" s="1"/>
      <c r="DR127" s="284">
        <f>DS127*31</f>
        <v>382.45451639344259</v>
      </c>
      <c r="DS127" s="1">
        <f t="shared" si="219"/>
        <v>12.3372424643046</v>
      </c>
      <c r="DT127" s="1" t="e">
        <f>SUM(CM127+CR127+CW127+#REF!+DE127)</f>
        <v>#REF!</v>
      </c>
      <c r="DU127" s="1"/>
      <c r="DV127" s="1"/>
      <c r="DW127" s="284">
        <f>DX127*31</f>
        <v>3272.1772943893438</v>
      </c>
      <c r="DX127" s="1">
        <f t="shared" si="235"/>
        <v>105.55410627062399</v>
      </c>
      <c r="DY127" s="1">
        <f t="shared" si="236"/>
        <v>115.27388344183815</v>
      </c>
      <c r="DZ127" s="1"/>
      <c r="EB127" s="242">
        <v>3.28</v>
      </c>
      <c r="EL127">
        <v>2007</v>
      </c>
      <c r="EM127" t="s">
        <v>712</v>
      </c>
      <c r="EN127" t="s">
        <v>841</v>
      </c>
      <c r="EO127">
        <v>233.85</v>
      </c>
    </row>
    <row r="128" spans="1:145" x14ac:dyDescent="0.25">
      <c r="A128" s="8">
        <v>2008</v>
      </c>
      <c r="B128" t="s">
        <v>719</v>
      </c>
      <c r="D128" s="284">
        <v>250.982</v>
      </c>
      <c r="E128" s="1">
        <v>8.096193548387097</v>
      </c>
      <c r="F128" s="1">
        <v>9.0930084933435733</v>
      </c>
      <c r="G128" s="1">
        <v>10.74</v>
      </c>
      <c r="M128" s="1"/>
      <c r="N128" s="284">
        <v>92.85</v>
      </c>
      <c r="O128" s="1">
        <v>2.9951612903225806</v>
      </c>
      <c r="P128" s="1">
        <v>3.2184757296466966</v>
      </c>
      <c r="Q128" s="1">
        <v>5.5309999999999997</v>
      </c>
      <c r="R128" s="1"/>
      <c r="S128" s="284">
        <v>149.459</v>
      </c>
      <c r="T128" s="1">
        <v>4.8212580645161287</v>
      </c>
      <c r="U128" s="1">
        <v>5.4606298963133639</v>
      </c>
      <c r="V128" s="1">
        <v>7.43</v>
      </c>
      <c r="W128" s="88"/>
      <c r="X128" s="284">
        <v>559.29</v>
      </c>
      <c r="Y128" s="1">
        <v>18.041612903225804</v>
      </c>
      <c r="Z128" s="1">
        <v>19.432749884792624</v>
      </c>
      <c r="AA128" s="1">
        <v>23.92</v>
      </c>
      <c r="AB128" s="1"/>
      <c r="AC128" s="284">
        <v>708.74900000000002</v>
      </c>
      <c r="AD128" s="1">
        <v>22.862870967741937</v>
      </c>
      <c r="AE128" s="1">
        <v>24.893379781105988</v>
      </c>
      <c r="AF128" s="1">
        <v>31.35</v>
      </c>
      <c r="AG128" s="1"/>
      <c r="AH128" s="284">
        <v>1653.38</v>
      </c>
      <c r="AI128" s="1">
        <v>53.33483870967742</v>
      </c>
      <c r="AJ128" s="1">
        <v>55.719681330005123</v>
      </c>
      <c r="AK128" s="1">
        <v>97.73</v>
      </c>
      <c r="AL128" s="1"/>
      <c r="AM128" s="284">
        <v>16.895</v>
      </c>
      <c r="AN128" s="1">
        <v>0.54500000000000004</v>
      </c>
      <c r="AO128" s="1">
        <v>0.6077763376856119</v>
      </c>
      <c r="AP128" s="1" t="s">
        <v>776</v>
      </c>
      <c r="AQ128" s="1"/>
      <c r="AR128" s="284">
        <v>120.249</v>
      </c>
      <c r="AS128" s="1">
        <v>3.879</v>
      </c>
      <c r="AT128" s="1">
        <v>4.2125604134664609</v>
      </c>
      <c r="AU128" s="1" t="s">
        <v>776</v>
      </c>
      <c r="AV128" s="1"/>
      <c r="AW128" s="284">
        <v>6.2309999999999999</v>
      </c>
      <c r="AX128" s="1">
        <v>0.20099999999999998</v>
      </c>
      <c r="AY128" s="1">
        <v>0.24883956733230927</v>
      </c>
      <c r="AZ128" s="1" t="s">
        <v>776</v>
      </c>
      <c r="BA128" s="1"/>
      <c r="BB128" s="284">
        <v>24.366</v>
      </c>
      <c r="BC128" s="1">
        <v>0.78600000000000003</v>
      </c>
      <c r="BD128" s="1">
        <v>0.72146596902201743</v>
      </c>
      <c r="BE128" s="1" t="s">
        <v>776</v>
      </c>
      <c r="BF128" s="1"/>
      <c r="BG128" s="284">
        <v>24.768999999999998</v>
      </c>
      <c r="BH128" s="1">
        <v>0.79899999999999993</v>
      </c>
      <c r="BI128" s="1">
        <v>0.83163070276497686</v>
      </c>
      <c r="BJ128" s="1" t="s">
        <v>776</v>
      </c>
      <c r="BK128" s="1"/>
      <c r="BL128" s="284">
        <v>129.65449964890712</v>
      </c>
      <c r="BM128" s="1">
        <v>4.1824032144808747</v>
      </c>
      <c r="BN128" s="1">
        <v>3.9878714162424829</v>
      </c>
      <c r="BO128" s="1" t="s">
        <v>776</v>
      </c>
      <c r="BP128" s="1"/>
      <c r="BQ128" s="284">
        <v>10.912000000000001</v>
      </c>
      <c r="BR128" s="1">
        <v>0.35200000000000004</v>
      </c>
      <c r="BS128" s="1">
        <v>0.41666310163850495</v>
      </c>
      <c r="BT128" s="1" t="s">
        <v>776</v>
      </c>
      <c r="BU128" s="1"/>
      <c r="BV128" s="284">
        <v>7.5949999999999998</v>
      </c>
      <c r="BW128" s="1">
        <v>0.245</v>
      </c>
      <c r="BX128" s="1">
        <v>0.20473476702508961</v>
      </c>
      <c r="BY128" s="1" t="s">
        <v>776</v>
      </c>
      <c r="BZ128" s="1"/>
      <c r="CA128" s="284">
        <v>13.763999999999999</v>
      </c>
      <c r="CB128" s="1">
        <v>0.44400000000000001</v>
      </c>
      <c r="CC128" s="1">
        <v>0.4448836917562724</v>
      </c>
      <c r="CD128" s="1" t="s">
        <v>776</v>
      </c>
      <c r="CE128" s="1"/>
      <c r="CF128" s="284">
        <v>45.532721653005467</v>
      </c>
      <c r="CG128" s="1">
        <v>1.4687974726775956</v>
      </c>
      <c r="CH128" s="1">
        <v>1.4751608013948152</v>
      </c>
      <c r="CI128" s="1" t="s">
        <v>776</v>
      </c>
      <c r="CJ128" s="1"/>
      <c r="CK128" s="284">
        <v>85.394999999999996</v>
      </c>
      <c r="CL128" s="1">
        <v>2.7546774193548385</v>
      </c>
      <c r="CM128" s="1">
        <v>1.7331357270865333</v>
      </c>
      <c r="CN128" s="1">
        <v>6.45</v>
      </c>
      <c r="CO128" s="1"/>
      <c r="CP128" s="284">
        <v>186.922</v>
      </c>
      <c r="CQ128" s="1">
        <v>6.0297419354838713</v>
      </c>
      <c r="CR128" s="1">
        <v>6.2499105222734253</v>
      </c>
      <c r="CS128" s="1">
        <v>9.5269999999999992</v>
      </c>
      <c r="CT128" s="1"/>
      <c r="CU128" s="284">
        <v>114.908</v>
      </c>
      <c r="CV128" s="1">
        <v>3.7067096774193549</v>
      </c>
      <c r="CW128" s="1">
        <v>3.8814371543778798</v>
      </c>
      <c r="CX128" s="1">
        <v>6.766</v>
      </c>
      <c r="CZ128" s="269">
        <v>17.63</v>
      </c>
      <c r="DA128" s="1">
        <v>0.56870967741935485</v>
      </c>
      <c r="DB128" s="1"/>
      <c r="DC128" s="284">
        <v>13.625516393442622</v>
      </c>
      <c r="DD128" s="1">
        <v>0.43953278688524589</v>
      </c>
      <c r="DE128" s="1">
        <v>0.4432575043042144</v>
      </c>
      <c r="DF128" s="1" t="s">
        <v>776</v>
      </c>
      <c r="DG128" s="1"/>
      <c r="DH128" s="284">
        <f>DI128*31</f>
        <v>77.803721653005468</v>
      </c>
      <c r="DI128" s="5">
        <f t="shared" si="221"/>
        <v>2.5097974726775956</v>
      </c>
      <c r="DJ128" s="1">
        <f t="shared" si="237"/>
        <v>2.5414423618146817</v>
      </c>
      <c r="DK128" s="1"/>
      <c r="DL128" s="1"/>
      <c r="DM128" s="284">
        <f>DN128*31</f>
        <v>2950.3217779959018</v>
      </c>
      <c r="DN128" s="1">
        <f t="shared" si="222"/>
        <v>95.17167025793232</v>
      </c>
      <c r="DO128" s="1">
        <f t="shared" si="238"/>
        <v>100.99324737880058</v>
      </c>
      <c r="DP128" s="1"/>
      <c r="DQ128" s="1"/>
      <c r="DR128" s="284">
        <f>DS128*31</f>
        <v>418.4805163934426</v>
      </c>
      <c r="DS128" s="1">
        <f t="shared" si="219"/>
        <v>13.499371496562665</v>
      </c>
      <c r="DT128" s="1" t="e">
        <f>SUM(CM128+CR128+CW128+#REF!+DE128)</f>
        <v>#REF!</v>
      </c>
      <c r="DU128" s="1"/>
      <c r="DV128" s="1"/>
      <c r="DW128" s="284">
        <f>DX128*31</f>
        <v>3368.8022943893443</v>
      </c>
      <c r="DX128" s="1">
        <f t="shared" si="235"/>
        <v>108.67104175449498</v>
      </c>
      <c r="DY128" s="1">
        <f t="shared" si="236"/>
        <v>113.95253511937432</v>
      </c>
      <c r="DZ128" s="1"/>
      <c r="EB128" s="242">
        <v>1.37</v>
      </c>
      <c r="EL128">
        <v>2008</v>
      </c>
      <c r="EM128" t="s">
        <v>719</v>
      </c>
      <c r="EN128" t="s">
        <v>841</v>
      </c>
      <c r="EO128">
        <v>250.982</v>
      </c>
    </row>
    <row r="129" spans="1:146" x14ac:dyDescent="0.25">
      <c r="A129" s="8">
        <v>2008</v>
      </c>
      <c r="B129" t="s">
        <v>713</v>
      </c>
      <c r="D129" s="284">
        <v>277.29000000000002</v>
      </c>
      <c r="E129" s="1">
        <v>9.5617241379310354</v>
      </c>
      <c r="F129" s="1">
        <v>9.0823218143616362</v>
      </c>
      <c r="G129" s="1">
        <v>11.449999800000001</v>
      </c>
      <c r="M129" s="1"/>
      <c r="N129" s="284">
        <v>92.634657234000002</v>
      </c>
      <c r="O129" s="1">
        <v>3.1942985253103449</v>
      </c>
      <c r="P129" s="1">
        <v>3.2028041781844636</v>
      </c>
      <c r="Q129" s="1">
        <v>7.9130000000000003</v>
      </c>
      <c r="R129" s="1"/>
      <c r="S129" s="284">
        <v>156.34</v>
      </c>
      <c r="T129" s="1">
        <v>5.391034482758621</v>
      </c>
      <c r="U129" s="1">
        <v>5.3797488413051546</v>
      </c>
      <c r="V129" s="1">
        <v>11.43</v>
      </c>
      <c r="W129" s="88"/>
      <c r="X129" s="284">
        <v>556.69000000000005</v>
      </c>
      <c r="Y129" s="1">
        <v>19.196206896551725</v>
      </c>
      <c r="Z129" s="1">
        <v>19.24582664998146</v>
      </c>
      <c r="AA129" s="1">
        <v>30.55</v>
      </c>
      <c r="AB129" s="1"/>
      <c r="AC129" s="284">
        <v>713.03</v>
      </c>
      <c r="AD129" s="1">
        <v>24.587241379310349</v>
      </c>
      <c r="AE129" s="1">
        <v>24.625575491286614</v>
      </c>
      <c r="AF129" s="1">
        <v>41.98</v>
      </c>
      <c r="AG129" s="1"/>
      <c r="AH129" s="284">
        <v>1728.57945</v>
      </c>
      <c r="AI129" s="1">
        <v>59.606187931034484</v>
      </c>
      <c r="AJ129" s="1">
        <v>55.620896395686565</v>
      </c>
      <c r="AK129" s="1">
        <v>191.05</v>
      </c>
      <c r="AL129" s="1"/>
      <c r="AM129" s="284">
        <v>18.509</v>
      </c>
      <c r="AN129" s="1">
        <v>0.63824137931034486</v>
      </c>
      <c r="AO129" s="1">
        <v>0.61364466691385477</v>
      </c>
      <c r="AP129" s="1" t="s">
        <v>776</v>
      </c>
      <c r="AQ129" s="1"/>
      <c r="AR129" s="284">
        <v>119.065</v>
      </c>
      <c r="AS129" s="1">
        <v>4.105689655172414</v>
      </c>
      <c r="AT129" s="1">
        <v>4.1851149085403527</v>
      </c>
      <c r="AU129" s="1" t="s">
        <v>776</v>
      </c>
      <c r="AV129" s="1"/>
      <c r="AW129" s="284">
        <v>8.3960000000000008</v>
      </c>
      <c r="AX129" s="1">
        <v>0.2895172413793104</v>
      </c>
      <c r="AY129" s="1">
        <v>0.25368028982820418</v>
      </c>
      <c r="AZ129" s="1" t="s">
        <v>776</v>
      </c>
      <c r="BA129" s="1"/>
      <c r="BB129" s="284">
        <v>23.786000000000001</v>
      </c>
      <c r="BC129" s="1">
        <v>0.82020689655172418</v>
      </c>
      <c r="BD129" s="1">
        <v>0.75177190087751822</v>
      </c>
      <c r="BE129" s="1" t="s">
        <v>776</v>
      </c>
      <c r="BF129" s="1"/>
      <c r="BG129" s="284">
        <v>28.335999999999999</v>
      </c>
      <c r="BH129" s="1">
        <v>0.97710344827586204</v>
      </c>
      <c r="BI129" s="1">
        <v>0.85008872821653692</v>
      </c>
      <c r="BJ129" s="1" t="s">
        <v>776</v>
      </c>
      <c r="BK129" s="1"/>
      <c r="BL129" s="284">
        <v>121.28969321994536</v>
      </c>
      <c r="BM129" s="1">
        <v>4.1824032144808747</v>
      </c>
      <c r="BN129" s="1">
        <v>4.0121878910222817</v>
      </c>
      <c r="BO129" s="1" t="s">
        <v>776</v>
      </c>
      <c r="BP129" s="1"/>
      <c r="BQ129" s="284">
        <v>10.52</v>
      </c>
      <c r="BR129" s="1">
        <v>0.36275862068965514</v>
      </c>
      <c r="BS129" s="1">
        <v>0.41668167717216659</v>
      </c>
      <c r="BT129" s="1" t="s">
        <v>776</v>
      </c>
      <c r="BU129" s="1"/>
      <c r="BV129" s="284">
        <v>7.6870000000000003</v>
      </c>
      <c r="BW129" s="1">
        <v>0.26506896551724141</v>
      </c>
      <c r="BX129" s="1">
        <v>0.21032384748485974</v>
      </c>
      <c r="BY129" s="1" t="s">
        <v>776</v>
      </c>
      <c r="BZ129" s="1"/>
      <c r="CA129" s="284">
        <v>14.268000000000001</v>
      </c>
      <c r="CB129" s="1">
        <v>0.49200000000000005</v>
      </c>
      <c r="CC129" s="1">
        <v>0.45071702508960571</v>
      </c>
      <c r="CD129" s="1" t="s">
        <v>776</v>
      </c>
      <c r="CE129" s="1"/>
      <c r="CF129" s="284">
        <v>42.595126707650273</v>
      </c>
      <c r="CG129" s="1">
        <v>1.4687974726775956</v>
      </c>
      <c r="CH129" s="1">
        <v>1.4743653853051626</v>
      </c>
      <c r="CI129" s="1" t="s">
        <v>776</v>
      </c>
      <c r="CJ129" s="1"/>
      <c r="CK129" s="284">
        <v>106.31</v>
      </c>
      <c r="CL129" s="1">
        <v>3.6658620689655175</v>
      </c>
      <c r="CM129" s="1">
        <v>1.8779754233098502</v>
      </c>
      <c r="CN129" s="1">
        <v>11.2599992752075</v>
      </c>
      <c r="CO129" s="1"/>
      <c r="CP129" s="284">
        <v>181.19300000000001</v>
      </c>
      <c r="CQ129" s="1">
        <v>6.2480344827586212</v>
      </c>
      <c r="CR129" s="1">
        <v>6.2212824434556921</v>
      </c>
      <c r="CS129" s="1">
        <v>10.719000816345201</v>
      </c>
      <c r="CT129" s="1"/>
      <c r="CU129" s="284">
        <v>149.76</v>
      </c>
      <c r="CV129" s="1">
        <v>5.1641379310344826</v>
      </c>
      <c r="CW129" s="1">
        <v>3.9593563867259913</v>
      </c>
      <c r="CX129" s="1">
        <v>9.8960000000000008</v>
      </c>
      <c r="CZ129" s="269">
        <v>53.699873934000003</v>
      </c>
      <c r="DA129" s="1">
        <v>1.8517197908275862</v>
      </c>
      <c r="DB129" s="1"/>
      <c r="DC129" s="284">
        <v>12.74645081967213</v>
      </c>
      <c r="DD129" s="1">
        <v>0.43953278688524589</v>
      </c>
      <c r="DE129" s="1">
        <v>0.44279191462684331</v>
      </c>
      <c r="DF129" s="1" t="s">
        <v>776</v>
      </c>
      <c r="DG129" s="1"/>
      <c r="DH129" s="284">
        <f>DI129*29</f>
        <v>75.070126707650275</v>
      </c>
      <c r="DI129" s="5">
        <f t="shared" si="221"/>
        <v>2.5886250588844923</v>
      </c>
      <c r="DJ129" s="1">
        <f t="shared" si="237"/>
        <v>2.5520879350517949</v>
      </c>
      <c r="DK129" s="1"/>
      <c r="DL129" s="1"/>
      <c r="DM129" s="284">
        <f>DN129*29</f>
        <v>3055.8456737462948</v>
      </c>
      <c r="DN129" s="1">
        <f t="shared" si="222"/>
        <v>105.37398874987224</v>
      </c>
      <c r="DO129" s="1">
        <f t="shared" si="238"/>
        <v>100.64599832986626</v>
      </c>
      <c r="DP129" s="1"/>
      <c r="DQ129" s="1"/>
      <c r="DR129" s="284">
        <f>DS129*29</f>
        <v>503.70932475367215</v>
      </c>
      <c r="DS129" s="1">
        <f t="shared" si="219"/>
        <v>17.369287060471454</v>
      </c>
      <c r="DT129" s="1" t="e">
        <f>SUM(CM129+CR129+CW129+#REF!+DE129)</f>
        <v>#REF!</v>
      </c>
      <c r="DU129" s="1"/>
      <c r="DV129" s="1"/>
      <c r="DW129" s="284">
        <f>DX129*29</f>
        <v>3559.554998499967</v>
      </c>
      <c r="DX129" s="1">
        <f t="shared" ref="DX129:DX134" si="239">SUM(DN129+DS129)</f>
        <v>122.74327581034369</v>
      </c>
      <c r="DY129" s="1">
        <f t="shared" ref="DY129:DY134" si="240">SUM(DX118:DX129)/12</f>
        <v>113.88923155118052</v>
      </c>
      <c r="DZ129" s="1"/>
      <c r="EB129" s="242">
        <v>4.17</v>
      </c>
      <c r="EL129">
        <v>2008</v>
      </c>
      <c r="EM129" t="s">
        <v>713</v>
      </c>
      <c r="EN129" t="s">
        <v>841</v>
      </c>
      <c r="EO129">
        <v>277.29000000000002</v>
      </c>
    </row>
    <row r="130" spans="1:146" x14ac:dyDescent="0.25">
      <c r="A130" s="8">
        <v>2008</v>
      </c>
      <c r="B130" t="s">
        <v>714</v>
      </c>
      <c r="D130" s="284">
        <v>267.50200000000001</v>
      </c>
      <c r="E130" s="1">
        <v>8.6290967741935489</v>
      </c>
      <c r="F130" s="1">
        <v>8.8921632122111003</v>
      </c>
      <c r="G130" s="1">
        <v>11.04</v>
      </c>
      <c r="M130" s="1"/>
      <c r="N130" s="284">
        <v>102.643</v>
      </c>
      <c r="O130" s="1">
        <v>3.3110645161290324</v>
      </c>
      <c r="P130" s="1">
        <v>3.1664547158188725</v>
      </c>
      <c r="Q130" s="1">
        <v>8.1010000000000009</v>
      </c>
      <c r="R130" s="1"/>
      <c r="S130" s="284">
        <v>160.15100000000001</v>
      </c>
      <c r="T130" s="1">
        <v>5.1661612903225809</v>
      </c>
      <c r="U130" s="1">
        <v>5.207256905821283</v>
      </c>
      <c r="V130" s="1">
        <v>10.16</v>
      </c>
      <c r="W130" s="88"/>
      <c r="X130" s="284">
        <v>619.51800000000003</v>
      </c>
      <c r="Y130" s="1">
        <v>19.984451612903225</v>
      </c>
      <c r="Z130" s="1">
        <v>18.961090090841672</v>
      </c>
      <c r="AA130" s="1">
        <v>30.25</v>
      </c>
      <c r="AB130" s="1"/>
      <c r="AC130" s="284">
        <v>779.6690000000001</v>
      </c>
      <c r="AD130" s="1">
        <v>25.150612903225809</v>
      </c>
      <c r="AE130" s="1">
        <v>24.168346996662962</v>
      </c>
      <c r="AF130" s="1">
        <v>40.409999999999997</v>
      </c>
      <c r="AG130" s="1"/>
      <c r="AH130" s="284">
        <v>1795.502</v>
      </c>
      <c r="AI130" s="1">
        <v>57.919419354838709</v>
      </c>
      <c r="AJ130" s="1">
        <v>54.766977040847856</v>
      </c>
      <c r="AK130" s="1">
        <v>110.61</v>
      </c>
      <c r="AL130" s="1"/>
      <c r="AM130" s="284">
        <v>18.123999999999999</v>
      </c>
      <c r="AN130" s="1">
        <v>0.58464516129032251</v>
      </c>
      <c r="AO130" s="1">
        <v>0.59685434433320972</v>
      </c>
      <c r="AP130" s="1" t="s">
        <v>776</v>
      </c>
      <c r="AQ130" s="1"/>
      <c r="AR130" s="284">
        <v>167.977</v>
      </c>
      <c r="AS130" s="1">
        <v>5.4186129032258066</v>
      </c>
      <c r="AT130" s="1">
        <v>4.2245100698306759</v>
      </c>
      <c r="AU130" s="1" t="s">
        <v>776</v>
      </c>
      <c r="AV130" s="1"/>
      <c r="AW130" s="284">
        <v>6.899</v>
      </c>
      <c r="AX130" s="1">
        <v>0.22254838709677419</v>
      </c>
      <c r="AY130" s="1">
        <v>0.25213996724755899</v>
      </c>
      <c r="AZ130" s="1" t="s">
        <v>776</v>
      </c>
      <c r="BA130" s="1"/>
      <c r="BB130" s="284">
        <v>25.198</v>
      </c>
      <c r="BC130" s="1">
        <v>0.81283870967741934</v>
      </c>
      <c r="BD130" s="1">
        <v>0.73401383636138917</v>
      </c>
      <c r="BE130" s="1" t="s">
        <v>776</v>
      </c>
      <c r="BF130" s="1"/>
      <c r="BG130" s="284">
        <v>27.85</v>
      </c>
      <c r="BH130" s="1">
        <v>0.89838709677419359</v>
      </c>
      <c r="BI130" s="1">
        <v>0.8394489432703004</v>
      </c>
      <c r="BJ130" s="1" t="s">
        <v>776</v>
      </c>
      <c r="BK130" s="1"/>
      <c r="BL130" s="284">
        <v>129.65449964890712</v>
      </c>
      <c r="BM130" s="1">
        <v>4.1824032144808747</v>
      </c>
      <c r="BN130" s="1">
        <v>4.0365043658020809</v>
      </c>
      <c r="BO130" s="1" t="s">
        <v>776</v>
      </c>
      <c r="BP130" s="1"/>
      <c r="BQ130" s="284">
        <v>11.087999999999999</v>
      </c>
      <c r="BR130" s="1">
        <v>0.35767741935483871</v>
      </c>
      <c r="BS130" s="1">
        <v>0.40793974168829555</v>
      </c>
      <c r="BT130" s="1" t="s">
        <v>776</v>
      </c>
      <c r="BU130" s="1"/>
      <c r="BV130" s="284">
        <v>6.7729999999999997</v>
      </c>
      <c r="BW130" s="1">
        <v>0.21848387096774194</v>
      </c>
      <c r="BX130" s="1">
        <v>0.2049206216784081</v>
      </c>
      <c r="BY130" s="1" t="s">
        <v>776</v>
      </c>
      <c r="BZ130" s="1"/>
      <c r="CA130" s="284">
        <v>14.058999999999999</v>
      </c>
      <c r="CB130" s="1">
        <v>0.45351612903225802</v>
      </c>
      <c r="CC130" s="1">
        <v>0.44337562724014329</v>
      </c>
      <c r="CD130" s="1" t="s">
        <v>776</v>
      </c>
      <c r="CE130" s="1"/>
      <c r="CF130" s="284">
        <v>45.532721653005467</v>
      </c>
      <c r="CG130" s="1">
        <v>1.4687974726775956</v>
      </c>
      <c r="CH130" s="1">
        <v>1.4735699692155102</v>
      </c>
      <c r="CI130" s="1" t="s">
        <v>776</v>
      </c>
      <c r="CJ130" s="1"/>
      <c r="CK130" s="284">
        <v>100.29900000000001</v>
      </c>
      <c r="CL130" s="1">
        <v>3.2354516129032258</v>
      </c>
      <c r="CM130" s="1">
        <v>1.8960587566431837</v>
      </c>
      <c r="CN130" s="1">
        <v>11.4</v>
      </c>
      <c r="CO130" s="1"/>
      <c r="CP130" s="284">
        <v>198.06399999999999</v>
      </c>
      <c r="CQ130" s="1">
        <v>6.3891612903225807</v>
      </c>
      <c r="CR130" s="1">
        <v>6.1559329810900998</v>
      </c>
      <c r="CS130" s="1">
        <v>9.9220000000000006</v>
      </c>
      <c r="CT130" s="1"/>
      <c r="CU130" s="284">
        <v>145.21100000000001</v>
      </c>
      <c r="CV130" s="1">
        <v>4.6842258064516136</v>
      </c>
      <c r="CW130" s="1">
        <v>3.9423348813496477</v>
      </c>
      <c r="CX130" s="1">
        <v>8.64</v>
      </c>
      <c r="CZ130" s="269">
        <v>29</v>
      </c>
      <c r="DA130" s="1">
        <v>0.93548387096774188</v>
      </c>
      <c r="DB130" s="1"/>
      <c r="DC130" s="284">
        <v>13.625516393442622</v>
      </c>
      <c r="DD130" s="1">
        <v>0.43953278688524589</v>
      </c>
      <c r="DE130" s="1">
        <v>0.44232632494947222</v>
      </c>
      <c r="DF130" s="1" t="s">
        <v>776</v>
      </c>
      <c r="DG130" s="1"/>
      <c r="DH130" s="284">
        <f>DI130*31</f>
        <v>77.452721653005469</v>
      </c>
      <c r="DI130" s="5">
        <f t="shared" si="221"/>
        <v>2.4984748920324344</v>
      </c>
      <c r="DJ130" s="1">
        <f t="shared" si="237"/>
        <v>2.5298059598223572</v>
      </c>
      <c r="DK130" s="1"/>
      <c r="DL130" s="1"/>
      <c r="DM130" s="284">
        <f>DN130*31</f>
        <v>3243.565777995902</v>
      </c>
      <c r="DN130" s="1">
        <f t="shared" si="222"/>
        <v>104.63115412890006</v>
      </c>
      <c r="DO130" s="1">
        <f t="shared" si="238"/>
        <v>99.147607532563654</v>
      </c>
      <c r="DP130" s="1"/>
      <c r="DQ130" s="1"/>
      <c r="DR130" s="284">
        <f>DS130*31</f>
        <v>486.19951639344271</v>
      </c>
      <c r="DS130" s="1">
        <f t="shared" si="219"/>
        <v>15.683855367530409</v>
      </c>
      <c r="DT130" s="1" t="e">
        <f>SUM(CM130+CR130+CW130+#REF!+DE130)</f>
        <v>#REF!</v>
      </c>
      <c r="DU130" s="1"/>
      <c r="DV130" s="1"/>
      <c r="DW130" s="284">
        <f>DX130*31</f>
        <v>3729.7652943893449</v>
      </c>
      <c r="DX130" s="1">
        <f t="shared" si="239"/>
        <v>120.31500949643048</v>
      </c>
      <c r="DY130" s="1">
        <f t="shared" si="240"/>
        <v>112.3273455943081</v>
      </c>
      <c r="DZ130" s="1"/>
      <c r="EB130" s="242">
        <v>2.8</v>
      </c>
      <c r="EL130">
        <v>2008</v>
      </c>
      <c r="EM130" t="s">
        <v>714</v>
      </c>
      <c r="EN130" t="s">
        <v>841</v>
      </c>
      <c r="EO130">
        <v>267.50200000000001</v>
      </c>
    </row>
    <row r="131" spans="1:146" x14ac:dyDescent="0.25">
      <c r="A131" s="8">
        <v>2008</v>
      </c>
      <c r="B131" t="s">
        <v>705</v>
      </c>
      <c r="D131" s="284">
        <v>279.399</v>
      </c>
      <c r="E131" s="1">
        <v>9.3132999999999999</v>
      </c>
      <c r="F131" s="1">
        <v>8.790132656655544</v>
      </c>
      <c r="G131" s="1">
        <v>12.92</v>
      </c>
      <c r="M131" s="1"/>
      <c r="N131" s="284">
        <v>105.089</v>
      </c>
      <c r="O131" s="1">
        <v>3.5029666666666666</v>
      </c>
      <c r="P131" s="1">
        <v>3.1447797158188724</v>
      </c>
      <c r="Q131" s="1">
        <v>7.048</v>
      </c>
      <c r="R131" s="1"/>
      <c r="S131" s="284">
        <v>168.44499999999999</v>
      </c>
      <c r="T131" s="1">
        <v>5.6148333333333333</v>
      </c>
      <c r="U131" s="1">
        <v>5.0874791280435057</v>
      </c>
      <c r="V131" s="1">
        <v>12.53</v>
      </c>
      <c r="W131" s="88"/>
      <c r="X131" s="284">
        <v>624.55600000000004</v>
      </c>
      <c r="Y131" s="1">
        <v>20.818533333333335</v>
      </c>
      <c r="Z131" s="1">
        <v>18.777326201952786</v>
      </c>
      <c r="AA131" s="1">
        <v>33.24</v>
      </c>
      <c r="AB131" s="1"/>
      <c r="AC131" s="284">
        <v>793.00099999999998</v>
      </c>
      <c r="AD131" s="1">
        <v>26.433366666666664</v>
      </c>
      <c r="AE131" s="1">
        <v>23.86480532999629</v>
      </c>
      <c r="AF131" s="1">
        <v>45.77</v>
      </c>
      <c r="AG131" s="1"/>
      <c r="AH131" s="284">
        <v>1869.27</v>
      </c>
      <c r="AI131" s="1">
        <v>62.308999999999997</v>
      </c>
      <c r="AJ131" s="1">
        <v>54.307529818625632</v>
      </c>
      <c r="AK131" s="1">
        <v>155.08000000000001</v>
      </c>
      <c r="AL131" s="1"/>
      <c r="AM131" s="284">
        <v>20.288</v>
      </c>
      <c r="AN131" s="1">
        <v>0.67626666666666668</v>
      </c>
      <c r="AO131" s="1">
        <v>0.58687656655543197</v>
      </c>
      <c r="AP131" s="1" t="s">
        <v>776</v>
      </c>
      <c r="AQ131" s="1"/>
      <c r="AR131" s="284">
        <v>131.30199999999999</v>
      </c>
      <c r="AS131" s="1">
        <v>4.3767333333333331</v>
      </c>
      <c r="AT131" s="1">
        <v>4.1287767364973424</v>
      </c>
      <c r="AU131" s="1" t="s">
        <v>776</v>
      </c>
      <c r="AV131" s="1"/>
      <c r="AW131" s="284">
        <v>9.39</v>
      </c>
      <c r="AX131" s="1">
        <v>0.313</v>
      </c>
      <c r="AY131" s="1">
        <v>0.25748163391422568</v>
      </c>
      <c r="AZ131" s="1" t="s">
        <v>776</v>
      </c>
      <c r="BA131" s="1"/>
      <c r="BB131" s="284">
        <v>26.274999999999999</v>
      </c>
      <c r="BC131" s="1">
        <v>0.87583333333333324</v>
      </c>
      <c r="BD131" s="1">
        <v>0.7685360585836114</v>
      </c>
      <c r="BE131" s="1" t="s">
        <v>776</v>
      </c>
      <c r="BF131" s="1"/>
      <c r="BG131" s="284">
        <v>30.8</v>
      </c>
      <c r="BH131" s="1">
        <v>1.0266666666666666</v>
      </c>
      <c r="BI131" s="1">
        <v>0.83714616549252252</v>
      </c>
      <c r="BJ131" s="1" t="s">
        <v>776</v>
      </c>
      <c r="BK131" s="1"/>
      <c r="BL131" s="284">
        <v>125.47209643442625</v>
      </c>
      <c r="BM131" s="1">
        <v>4.1824032144808747</v>
      </c>
      <c r="BN131" s="1">
        <v>4.0608208405818793</v>
      </c>
      <c r="BO131" s="1" t="s">
        <v>776</v>
      </c>
      <c r="BP131" s="1"/>
      <c r="BQ131" s="284">
        <v>11.805</v>
      </c>
      <c r="BR131" s="1">
        <v>0.39350000000000002</v>
      </c>
      <c r="BS131" s="1">
        <v>0.40397585279940679</v>
      </c>
      <c r="BT131" s="1" t="s">
        <v>776</v>
      </c>
      <c r="BU131" s="1"/>
      <c r="BV131" s="284">
        <v>7.71</v>
      </c>
      <c r="BW131" s="1">
        <v>0.25700000000000001</v>
      </c>
      <c r="BX131" s="1">
        <v>0.20209284390063034</v>
      </c>
      <c r="BY131" s="1" t="s">
        <v>776</v>
      </c>
      <c r="BZ131" s="1"/>
      <c r="CA131" s="284">
        <v>15.454000000000001</v>
      </c>
      <c r="CB131" s="1">
        <v>0.51513333333333333</v>
      </c>
      <c r="CC131" s="1">
        <v>0.44087840501792114</v>
      </c>
      <c r="CD131" s="1" t="s">
        <v>776</v>
      </c>
      <c r="CE131" s="1"/>
      <c r="CF131" s="284">
        <v>44.063924180327867</v>
      </c>
      <c r="CG131" s="1">
        <v>1.4687974726775956</v>
      </c>
      <c r="CH131" s="1">
        <v>1.4727745531258576</v>
      </c>
      <c r="CI131" s="1" t="s">
        <v>776</v>
      </c>
      <c r="CJ131" s="1"/>
      <c r="CK131" s="284">
        <v>121.59</v>
      </c>
      <c r="CL131" s="1">
        <v>4.0529999999999999</v>
      </c>
      <c r="CM131" s="1">
        <v>1.9763420899765174</v>
      </c>
      <c r="CN131" s="1">
        <v>9.9600000000000009</v>
      </c>
      <c r="CO131" s="1"/>
      <c r="CP131" s="284">
        <v>203.309</v>
      </c>
      <c r="CQ131" s="1">
        <v>6.7769666666666666</v>
      </c>
      <c r="CR131" s="1">
        <v>6.1460857588678772</v>
      </c>
      <c r="CS131" s="1">
        <v>12.167999999999999</v>
      </c>
      <c r="CT131" s="1"/>
      <c r="CU131" s="284">
        <v>175.566</v>
      </c>
      <c r="CV131" s="1">
        <v>5.8521999999999998</v>
      </c>
      <c r="CW131" s="1">
        <v>4.0815043257940928</v>
      </c>
      <c r="CX131" s="1">
        <v>10.85</v>
      </c>
      <c r="CZ131" s="269">
        <v>27.61</v>
      </c>
      <c r="DA131" s="1">
        <v>0.92033333333333334</v>
      </c>
      <c r="DB131" s="1"/>
      <c r="DC131" s="284">
        <v>13.185983606557377</v>
      </c>
      <c r="DD131" s="1">
        <v>0.43953278688524589</v>
      </c>
      <c r="DE131" s="1">
        <v>0.44186073527210112</v>
      </c>
      <c r="DF131" s="1" t="s">
        <v>776</v>
      </c>
      <c r="DG131" s="1"/>
      <c r="DH131" s="284">
        <f>DI131*30</f>
        <v>79.032924180327882</v>
      </c>
      <c r="DI131" s="5">
        <f t="shared" si="221"/>
        <v>2.6344308060109292</v>
      </c>
      <c r="DJ131" s="1">
        <f t="shared" ref="DJ131:DJ136" si="241">SUM(DI120:DI131)/12</f>
        <v>2.5197216548438157</v>
      </c>
      <c r="DK131" s="1"/>
      <c r="DL131" s="1"/>
      <c r="DM131" s="284">
        <f>DN131*30</f>
        <v>3311.2531722540984</v>
      </c>
      <c r="DN131" s="1">
        <f t="shared" si="222"/>
        <v>110.37510574180328</v>
      </c>
      <c r="DO131" s="1">
        <f t="shared" ref="DO131:DO136" si="242">SUM(DN120:DN131)/12</f>
        <v>98.227163867877536</v>
      </c>
      <c r="DP131" s="1"/>
      <c r="DQ131" s="1"/>
      <c r="DR131" s="284">
        <f>DS131*30</f>
        <v>541.26098360655737</v>
      </c>
      <c r="DS131" s="1">
        <f t="shared" si="219"/>
        <v>18.042032786885244</v>
      </c>
      <c r="DT131" s="1" t="e">
        <f>SUM(CM131+CR131+CW131+#REF!+DE131)</f>
        <v>#REF!</v>
      </c>
      <c r="DU131" s="1"/>
      <c r="DV131" s="1"/>
      <c r="DW131" s="284">
        <f>DX131*30</f>
        <v>3852.5141558606556</v>
      </c>
      <c r="DX131" s="1">
        <f t="shared" si="239"/>
        <v>128.41713852868853</v>
      </c>
      <c r="DY131" s="1">
        <f t="shared" si="240"/>
        <v>111.62110856216685</v>
      </c>
      <c r="DZ131" s="1"/>
      <c r="EB131" s="242">
        <v>4.92</v>
      </c>
      <c r="EL131">
        <v>2008</v>
      </c>
      <c r="EM131" t="s">
        <v>705</v>
      </c>
      <c r="EN131" t="s">
        <v>841</v>
      </c>
      <c r="EO131">
        <v>279.399</v>
      </c>
    </row>
    <row r="132" spans="1:146" x14ac:dyDescent="0.25">
      <c r="A132" s="8">
        <v>2008</v>
      </c>
      <c r="B132" t="s">
        <v>715</v>
      </c>
      <c r="D132" s="284">
        <v>315.77</v>
      </c>
      <c r="E132" s="1">
        <v>10.186129032258064</v>
      </c>
      <c r="F132" s="1">
        <v>8.8303584631071548</v>
      </c>
      <c r="G132" s="1">
        <v>16.07</v>
      </c>
      <c r="M132" s="1"/>
      <c r="N132" s="284">
        <v>125.801</v>
      </c>
      <c r="O132" s="1">
        <v>4.0580967741935483</v>
      </c>
      <c r="P132" s="1">
        <v>3.1865350921629592</v>
      </c>
      <c r="Q132" s="1">
        <v>12.02</v>
      </c>
      <c r="R132" s="1"/>
      <c r="S132" s="284">
        <v>213.62</v>
      </c>
      <c r="T132" s="1">
        <v>6.8909677419354844</v>
      </c>
      <c r="U132" s="1">
        <v>5.1401404183660864</v>
      </c>
      <c r="V132" s="1">
        <v>19.309999999999999</v>
      </c>
      <c r="W132" s="88"/>
      <c r="X132" s="284">
        <v>712.74</v>
      </c>
      <c r="Y132" s="1">
        <v>22.991612903225807</v>
      </c>
      <c r="Z132" s="1">
        <v>18.920525126683973</v>
      </c>
      <c r="AA132" s="1">
        <v>37.090000000000003</v>
      </c>
      <c r="AB132" s="1"/>
      <c r="AC132" s="284">
        <v>926.36</v>
      </c>
      <c r="AD132" s="1">
        <v>29.882580645161291</v>
      </c>
      <c r="AE132" s="1">
        <v>24.060665545050057</v>
      </c>
      <c r="AF132" s="1">
        <v>56.4</v>
      </c>
      <c r="AG132" s="1"/>
      <c r="AH132" s="284">
        <v>2309.3809999999999</v>
      </c>
      <c r="AI132" s="1">
        <v>74.496161290322576</v>
      </c>
      <c r="AJ132" s="1">
        <v>55.657451861636382</v>
      </c>
      <c r="AK132" s="1">
        <v>196.6</v>
      </c>
      <c r="AL132" s="1"/>
      <c r="AM132" s="284">
        <v>32.24</v>
      </c>
      <c r="AN132" s="1">
        <v>1.04</v>
      </c>
      <c r="AO132" s="1">
        <v>0.62632011494252871</v>
      </c>
      <c r="AP132" s="1" t="s">
        <v>776</v>
      </c>
      <c r="AQ132" s="1"/>
      <c r="AR132" s="284">
        <v>227.70400000000001</v>
      </c>
      <c r="AS132" s="1">
        <v>7.3452903225806452</v>
      </c>
      <c r="AT132" s="1">
        <v>4.3635374891855152</v>
      </c>
      <c r="AU132" s="1" t="s">
        <v>776</v>
      </c>
      <c r="AV132" s="1"/>
      <c r="AW132" s="284">
        <v>17.266999999999999</v>
      </c>
      <c r="AX132" s="1">
        <v>0.55699999999999994</v>
      </c>
      <c r="AY132" s="1">
        <v>0.28538217154863427</v>
      </c>
      <c r="AZ132" s="1" t="s">
        <v>776</v>
      </c>
      <c r="BA132" s="1"/>
      <c r="BB132" s="284">
        <v>31.030999999999999</v>
      </c>
      <c r="BC132" s="1">
        <v>1.0009999999999999</v>
      </c>
      <c r="BD132" s="1">
        <v>0.81697423062662222</v>
      </c>
      <c r="BE132" s="1" t="s">
        <v>776</v>
      </c>
      <c r="BF132" s="1"/>
      <c r="BG132" s="284">
        <v>39.463000000000001</v>
      </c>
      <c r="BH132" s="1">
        <v>1.2730000000000001</v>
      </c>
      <c r="BI132" s="1">
        <v>0.86972949882585604</v>
      </c>
      <c r="BJ132" s="1" t="s">
        <v>776</v>
      </c>
      <c r="BK132" s="1"/>
      <c r="BL132" s="284">
        <v>129.65449964890712</v>
      </c>
      <c r="BM132" s="1">
        <v>4.1824032144808747</v>
      </c>
      <c r="BN132" s="1">
        <v>4.0851373153616777</v>
      </c>
      <c r="BO132" s="1" t="s">
        <v>776</v>
      </c>
      <c r="BP132" s="1"/>
      <c r="BQ132" s="284">
        <v>14.725</v>
      </c>
      <c r="BR132" s="1">
        <v>0.47499999999999998</v>
      </c>
      <c r="BS132" s="1">
        <v>0.41002423989618092</v>
      </c>
      <c r="BT132" s="1" t="s">
        <v>776</v>
      </c>
      <c r="BU132" s="1"/>
      <c r="BV132" s="284">
        <v>16.274999999999999</v>
      </c>
      <c r="BW132" s="1">
        <v>0.52500000000000002</v>
      </c>
      <c r="BX132" s="1">
        <v>0.23399606970708198</v>
      </c>
      <c r="BY132" s="1" t="s">
        <v>776</v>
      </c>
      <c r="BZ132" s="1"/>
      <c r="CA132" s="284">
        <v>21.327999999999999</v>
      </c>
      <c r="CB132" s="1">
        <v>0.68799999999999994</v>
      </c>
      <c r="CC132" s="1">
        <v>0.46120367383512545</v>
      </c>
      <c r="CD132" s="1" t="s">
        <v>776</v>
      </c>
      <c r="CE132" s="1"/>
      <c r="CF132" s="284">
        <v>45.532721653005467</v>
      </c>
      <c r="CG132" s="1">
        <v>1.4687974726775956</v>
      </c>
      <c r="CH132" s="1">
        <v>1.4719791370362054</v>
      </c>
      <c r="CI132" s="1" t="s">
        <v>776</v>
      </c>
      <c r="CJ132" s="1"/>
      <c r="CK132" s="284">
        <v>154.75700000000001</v>
      </c>
      <c r="CL132" s="1">
        <v>4.9921612903225805</v>
      </c>
      <c r="CM132" s="1">
        <v>2.2584764985786676</v>
      </c>
      <c r="CN132" s="1">
        <v>21.72</v>
      </c>
      <c r="CO132" s="1"/>
      <c r="CP132" s="284">
        <v>205.578</v>
      </c>
      <c r="CQ132" s="1">
        <v>6.6315483870967746</v>
      </c>
      <c r="CR132" s="1">
        <v>6.1455319954270173</v>
      </c>
      <c r="CS132" s="1">
        <v>14.061999999999999</v>
      </c>
      <c r="CT132" s="1"/>
      <c r="CU132" s="284">
        <v>202.18</v>
      </c>
      <c r="CV132" s="1">
        <v>6.5219354838709682</v>
      </c>
      <c r="CW132" s="1">
        <v>4.3079424978371028</v>
      </c>
      <c r="CX132" s="1">
        <v>13.67</v>
      </c>
      <c r="CZ132" s="269">
        <v>35.673999999999999</v>
      </c>
      <c r="DA132" s="1">
        <v>1.1507741935483871</v>
      </c>
      <c r="DB132" s="1"/>
      <c r="DC132" s="284">
        <v>13.625516393442622</v>
      </c>
      <c r="DD132" s="1">
        <v>0.43953278688524589</v>
      </c>
      <c r="DE132" s="1">
        <v>0.44139514559473003</v>
      </c>
      <c r="DF132" s="1" t="s">
        <v>776</v>
      </c>
      <c r="DG132" s="1"/>
      <c r="DH132" s="284">
        <f>DI132*31</f>
        <v>97.86072165300547</v>
      </c>
      <c r="DI132" s="5">
        <f t="shared" si="221"/>
        <v>3.1567974726775958</v>
      </c>
      <c r="DJ132" s="1">
        <f t="shared" si="241"/>
        <v>2.5772031204745933</v>
      </c>
      <c r="DK132" s="1"/>
      <c r="DL132" s="1"/>
      <c r="DM132" s="284">
        <f>DN132*31</f>
        <v>4056.8107779959009</v>
      </c>
      <c r="DN132" s="1">
        <f t="shared" si="222"/>
        <v>130.86486380631939</v>
      </c>
      <c r="DO132" s="1">
        <f t="shared" si="242"/>
        <v>100.20488866197279</v>
      </c>
      <c r="DP132" s="1"/>
      <c r="DQ132" s="1"/>
      <c r="DR132" s="284">
        <f>DS132*31</f>
        <v>611.81451639344266</v>
      </c>
      <c r="DS132" s="1">
        <f t="shared" si="219"/>
        <v>19.735952141723956</v>
      </c>
      <c r="DT132" s="1" t="e">
        <f>SUM(CM132+CR132+CW132+#REF!+DE132)</f>
        <v>#REF!</v>
      </c>
      <c r="DU132" s="1"/>
      <c r="DV132" s="1"/>
      <c r="DW132" s="284">
        <f>DX132*31</f>
        <v>4668.6252943893442</v>
      </c>
      <c r="DX132" s="1">
        <f t="shared" si="239"/>
        <v>150.60081594804336</v>
      </c>
      <c r="DY132" s="1">
        <f t="shared" si="240"/>
        <v>114.139633895617</v>
      </c>
      <c r="DZ132" s="1"/>
      <c r="EB132" s="242">
        <v>10.66</v>
      </c>
      <c r="EL132">
        <v>2008</v>
      </c>
      <c r="EM132" t="s">
        <v>715</v>
      </c>
      <c r="EN132" t="s">
        <v>841</v>
      </c>
      <c r="EO132">
        <v>315.77</v>
      </c>
    </row>
    <row r="133" spans="1:146" x14ac:dyDescent="0.25">
      <c r="A133" s="8">
        <v>2008</v>
      </c>
      <c r="B133" t="s">
        <v>718</v>
      </c>
      <c r="D133" s="284">
        <v>283.99</v>
      </c>
      <c r="E133" s="1">
        <v>9.466333333333333</v>
      </c>
      <c r="F133" s="1">
        <v>8.8480362408849338</v>
      </c>
      <c r="G133" s="1">
        <v>13.3</v>
      </c>
      <c r="M133" s="1"/>
      <c r="N133" s="284">
        <v>111.57899999999999</v>
      </c>
      <c r="O133" s="1">
        <v>3.7192999999999996</v>
      </c>
      <c r="P133" s="1">
        <v>3.2148156477185146</v>
      </c>
      <c r="Q133" s="1">
        <v>6.3070000000000004</v>
      </c>
      <c r="R133" s="1"/>
      <c r="S133" s="284">
        <v>173.851</v>
      </c>
      <c r="T133" s="1">
        <v>5.7950333333333335</v>
      </c>
      <c r="U133" s="1">
        <v>5.1351709739216416</v>
      </c>
      <c r="V133" s="1">
        <v>9.23</v>
      </c>
      <c r="W133" s="88"/>
      <c r="X133" s="284">
        <v>626.053</v>
      </c>
      <c r="Y133" s="1">
        <v>20.868433333333332</v>
      </c>
      <c r="Z133" s="1">
        <v>18.984547348906194</v>
      </c>
      <c r="AA133" s="1">
        <v>27.6</v>
      </c>
      <c r="AB133" s="1"/>
      <c r="AC133" s="284">
        <v>799.904</v>
      </c>
      <c r="AD133" s="1">
        <v>26.663466666666668</v>
      </c>
      <c r="AE133" s="1">
        <v>24.119718322827836</v>
      </c>
      <c r="AF133" s="1">
        <v>36.83</v>
      </c>
      <c r="AG133" s="1"/>
      <c r="AH133" s="284">
        <v>1881.0730000000001</v>
      </c>
      <c r="AI133" s="1">
        <v>62.702433333333339</v>
      </c>
      <c r="AJ133" s="1">
        <v>56.301974083858603</v>
      </c>
      <c r="AK133" s="1">
        <v>150.19999999999999</v>
      </c>
      <c r="AL133" s="1"/>
      <c r="AM133" s="284">
        <v>20.69</v>
      </c>
      <c r="AN133" s="1">
        <v>0.68966666666666676</v>
      </c>
      <c r="AO133" s="1">
        <v>0.63778955938697313</v>
      </c>
      <c r="AP133" s="1" t="s">
        <v>776</v>
      </c>
      <c r="AQ133" s="1"/>
      <c r="AR133" s="284">
        <v>143.92599999999999</v>
      </c>
      <c r="AS133" s="1">
        <v>4.797533333333333</v>
      </c>
      <c r="AT133" s="1">
        <v>4.4465680447410705</v>
      </c>
      <c r="AU133" s="1" t="s">
        <v>776</v>
      </c>
      <c r="AV133" s="1"/>
      <c r="AW133" s="284">
        <v>6.7519999999999998</v>
      </c>
      <c r="AX133" s="1">
        <v>0.22506666666666666</v>
      </c>
      <c r="AY133" s="1">
        <v>0.2722460604375232</v>
      </c>
      <c r="AZ133" s="1" t="s">
        <v>776</v>
      </c>
      <c r="BA133" s="1"/>
      <c r="BB133" s="284">
        <v>23.949000000000002</v>
      </c>
      <c r="BC133" s="1">
        <v>0.79830000000000001</v>
      </c>
      <c r="BD133" s="1">
        <v>0.8095936750710665</v>
      </c>
      <c r="BE133" s="1" t="s">
        <v>776</v>
      </c>
      <c r="BF133" s="1"/>
      <c r="BG133" s="284">
        <v>27.719000000000001</v>
      </c>
      <c r="BH133" s="1">
        <v>0.92396666666666671</v>
      </c>
      <c r="BI133" s="1">
        <v>0.87266005438141148</v>
      </c>
      <c r="BJ133" s="1" t="s">
        <v>776</v>
      </c>
      <c r="BK133" s="1"/>
      <c r="BL133" s="284">
        <v>125.47209643442625</v>
      </c>
      <c r="BM133" s="1">
        <v>4.1824032144808747</v>
      </c>
      <c r="BN133" s="1">
        <v>4.1094537901414769</v>
      </c>
      <c r="BO133" s="1" t="s">
        <v>776</v>
      </c>
      <c r="BP133" s="1"/>
      <c r="BQ133" s="284">
        <v>12.951000000000001</v>
      </c>
      <c r="BR133" s="1">
        <v>0.43170000000000003</v>
      </c>
      <c r="BS133" s="1">
        <v>0.41205479545173646</v>
      </c>
      <c r="BT133" s="1" t="s">
        <v>776</v>
      </c>
      <c r="BU133" s="1"/>
      <c r="BV133" s="284">
        <v>10.721</v>
      </c>
      <c r="BW133" s="1">
        <v>0.35736666666666667</v>
      </c>
      <c r="BX133" s="1">
        <v>0.25356829192930413</v>
      </c>
      <c r="BY133" s="1" t="s">
        <v>776</v>
      </c>
      <c r="BZ133" s="1"/>
      <c r="CA133" s="284">
        <v>14.141999999999999</v>
      </c>
      <c r="CB133" s="1">
        <v>0.47139999999999999</v>
      </c>
      <c r="CC133" s="1">
        <v>0.46550645161290322</v>
      </c>
      <c r="CD133" s="1" t="s">
        <v>776</v>
      </c>
      <c r="CE133" s="1"/>
      <c r="CF133" s="284">
        <v>44.063924180327867</v>
      </c>
      <c r="CG133" s="1">
        <v>1.4687974726775956</v>
      </c>
      <c r="CH133" s="1">
        <v>1.4711837209465528</v>
      </c>
      <c r="CI133" s="1" t="s">
        <v>776</v>
      </c>
      <c r="CJ133" s="1"/>
      <c r="CK133" s="284">
        <v>116.45699999999999</v>
      </c>
      <c r="CL133" s="1">
        <v>3.8818999999999999</v>
      </c>
      <c r="CM133" s="1">
        <v>2.5239792763564455</v>
      </c>
      <c r="CN133" s="1">
        <v>8.4499999999999993</v>
      </c>
      <c r="CO133" s="1"/>
      <c r="CP133" s="284">
        <v>197.66</v>
      </c>
      <c r="CQ133" s="1">
        <v>6.5886666666666667</v>
      </c>
      <c r="CR133" s="1">
        <v>6.1558736620936836</v>
      </c>
      <c r="CS133" s="1">
        <v>12.141</v>
      </c>
      <c r="CT133" s="1"/>
      <c r="CU133" s="284">
        <v>181.00200000000001</v>
      </c>
      <c r="CV133" s="1">
        <v>6.0334000000000003</v>
      </c>
      <c r="CW133" s="1">
        <v>4.4929536089482145</v>
      </c>
      <c r="CX133" s="1">
        <v>9.5410000000000004</v>
      </c>
      <c r="CZ133" s="269">
        <v>35.113</v>
      </c>
      <c r="DA133" s="1">
        <v>1.1704333333333332</v>
      </c>
      <c r="DB133" s="1"/>
      <c r="DC133" s="284">
        <v>13.185983606557377</v>
      </c>
      <c r="DD133" s="1">
        <v>0.43953278688524589</v>
      </c>
      <c r="DE133" s="1">
        <v>0.44092955591735894</v>
      </c>
      <c r="DF133" s="1" t="s">
        <v>776</v>
      </c>
      <c r="DG133" s="1"/>
      <c r="DH133" s="284">
        <f>DI133*30</f>
        <v>81.877924180327867</v>
      </c>
      <c r="DI133" s="5">
        <f t="shared" si="221"/>
        <v>2.729264139344262</v>
      </c>
      <c r="DJ133" s="1">
        <f t="shared" si="241"/>
        <v>2.6023132599404968</v>
      </c>
      <c r="DK133" s="1"/>
      <c r="DL133" s="1"/>
      <c r="DM133" s="284">
        <f>DN133*30</f>
        <v>3343.1761722540982</v>
      </c>
      <c r="DN133" s="1">
        <f t="shared" si="222"/>
        <v>111.43920574180328</v>
      </c>
      <c r="DO133" s="1">
        <f t="shared" si="242"/>
        <v>101.03054221950892</v>
      </c>
      <c r="DP133" s="1"/>
      <c r="DQ133" s="1"/>
      <c r="DR133" s="284">
        <f>DS133*30</f>
        <v>543.4179836065573</v>
      </c>
      <c r="DS133" s="1">
        <f t="shared" ref="DS133:DS164" si="243">SUM(CL133+CQ133+CV133+DA133+DD133)</f>
        <v>18.113932786885243</v>
      </c>
      <c r="DT133" s="1" t="e">
        <f>SUM(CM133+CR133+CW133+#REF!+DE133)</f>
        <v>#REF!</v>
      </c>
      <c r="DU133" s="1"/>
      <c r="DV133" s="1"/>
      <c r="DW133" s="284">
        <f>DX133*30</f>
        <v>3886.5941558606555</v>
      </c>
      <c r="DX133" s="1">
        <f t="shared" si="239"/>
        <v>129.55313852868852</v>
      </c>
      <c r="DY133" s="1">
        <f t="shared" si="240"/>
        <v>115.47022464125349</v>
      </c>
      <c r="DZ133" s="1"/>
      <c r="EB133" s="242">
        <v>4.8</v>
      </c>
      <c r="EL133">
        <v>2008</v>
      </c>
      <c r="EM133" t="s">
        <v>718</v>
      </c>
      <c r="EN133" t="s">
        <v>841</v>
      </c>
      <c r="EO133">
        <v>283.99</v>
      </c>
    </row>
    <row r="134" spans="1:146" x14ac:dyDescent="0.25">
      <c r="A134" s="8">
        <v>2008</v>
      </c>
      <c r="B134" t="s">
        <v>716</v>
      </c>
      <c r="D134" s="284">
        <v>252.184</v>
      </c>
      <c r="E134" s="1">
        <v>8.1349677419354833</v>
      </c>
      <c r="F134" s="1">
        <v>8.8001141978741817</v>
      </c>
      <c r="G134" s="1">
        <v>10.7</v>
      </c>
      <c r="M134" s="1"/>
      <c r="N134" s="284">
        <v>106.49299999999999</v>
      </c>
      <c r="O134" s="1">
        <v>3.435258064516129</v>
      </c>
      <c r="P134" s="1">
        <v>3.241630163847546</v>
      </c>
      <c r="Q134" s="1">
        <v>6.4909999999999997</v>
      </c>
      <c r="R134" s="1"/>
      <c r="S134" s="284">
        <v>152.732</v>
      </c>
      <c r="T134" s="1">
        <v>4.9268387096774191</v>
      </c>
      <c r="U134" s="1">
        <v>5.1177946298356201</v>
      </c>
      <c r="V134" s="1">
        <v>7.6420000000000003</v>
      </c>
      <c r="W134" s="88"/>
      <c r="X134" s="284">
        <v>592.15</v>
      </c>
      <c r="Y134" s="1">
        <v>19.101612903225806</v>
      </c>
      <c r="Z134" s="1">
        <v>19.040103800519095</v>
      </c>
      <c r="AA134" s="1">
        <v>24.48</v>
      </c>
      <c r="AB134" s="1"/>
      <c r="AC134" s="284">
        <v>744.88199999999995</v>
      </c>
      <c r="AD134" s="1">
        <v>24.028451612903226</v>
      </c>
      <c r="AE134" s="1">
        <v>24.157898430354717</v>
      </c>
      <c r="AF134" s="1">
        <v>32.122</v>
      </c>
      <c r="AG134" s="1"/>
      <c r="AH134" s="284">
        <v>1717.5</v>
      </c>
      <c r="AI134" s="1">
        <v>55.403225806451616</v>
      </c>
      <c r="AJ134" s="1">
        <v>56.705379997837099</v>
      </c>
      <c r="AK134" s="1">
        <v>132.19999999999999</v>
      </c>
      <c r="AL134" s="1"/>
      <c r="AM134" s="284">
        <v>20.873000000000001</v>
      </c>
      <c r="AN134" s="1">
        <v>0.67332258064516137</v>
      </c>
      <c r="AO134" s="1">
        <v>0.64211751637622039</v>
      </c>
      <c r="AP134" s="1" t="s">
        <v>776</v>
      </c>
      <c r="AQ134" s="1"/>
      <c r="AR134" s="284">
        <v>111.56</v>
      </c>
      <c r="AS134" s="1">
        <v>3.5987096774193548</v>
      </c>
      <c r="AT134" s="1">
        <v>4.4089927759238661</v>
      </c>
      <c r="AU134" s="1" t="s">
        <v>776</v>
      </c>
      <c r="AV134" s="1"/>
      <c r="AW134" s="284">
        <v>9.2490000000000006</v>
      </c>
      <c r="AX134" s="1">
        <v>0.29835483870967744</v>
      </c>
      <c r="AY134" s="1">
        <v>0.26494767334074903</v>
      </c>
      <c r="AZ134" s="1" t="s">
        <v>776</v>
      </c>
      <c r="BA134" s="1"/>
      <c r="BB134" s="284">
        <v>28.216000000000001</v>
      </c>
      <c r="BC134" s="1">
        <v>0.91019354838709676</v>
      </c>
      <c r="BD134" s="1">
        <v>0.82360711593128155</v>
      </c>
      <c r="BE134" s="1" t="s">
        <v>776</v>
      </c>
      <c r="BF134" s="1"/>
      <c r="BG134" s="284">
        <v>24.817</v>
      </c>
      <c r="BH134" s="1">
        <v>0.80054838709677423</v>
      </c>
      <c r="BI134" s="1">
        <v>0.86979983932764815</v>
      </c>
      <c r="BJ134" s="1" t="s">
        <v>776</v>
      </c>
      <c r="BK134" s="1"/>
      <c r="BL134" s="284">
        <v>129.65449964890712</v>
      </c>
      <c r="BM134" s="1">
        <v>4.1824032144808747</v>
      </c>
      <c r="BN134" s="1">
        <v>4.1337702649212753</v>
      </c>
      <c r="BO134" s="1" t="s">
        <v>776</v>
      </c>
      <c r="BP134" s="1"/>
      <c r="BQ134" s="284">
        <v>16.295000000000002</v>
      </c>
      <c r="BR134" s="1">
        <v>0.52564516129032268</v>
      </c>
      <c r="BS134" s="1">
        <v>0.4237994191076504</v>
      </c>
      <c r="BT134" s="1" t="s">
        <v>776</v>
      </c>
      <c r="BU134" s="1"/>
      <c r="BV134" s="284">
        <v>3.22</v>
      </c>
      <c r="BW134" s="1">
        <v>0.10387096774193549</v>
      </c>
      <c r="BX134" s="1">
        <v>0.25314893709059449</v>
      </c>
      <c r="BY134" s="1" t="s">
        <v>776</v>
      </c>
      <c r="BZ134" s="1"/>
      <c r="CA134" s="284">
        <v>16.673999999999999</v>
      </c>
      <c r="CB134" s="1">
        <v>0.53787096774193544</v>
      </c>
      <c r="CC134" s="1">
        <v>0.47874301075268816</v>
      </c>
      <c r="CD134" s="1" t="s">
        <v>776</v>
      </c>
      <c r="CE134" s="1"/>
      <c r="CF134" s="284">
        <v>45.532721653005467</v>
      </c>
      <c r="CG134" s="1">
        <v>1.4687974726775956</v>
      </c>
      <c r="CH134" s="1">
        <v>1.4703883048569004</v>
      </c>
      <c r="CI134" s="1" t="s">
        <v>776</v>
      </c>
      <c r="CJ134" s="1"/>
      <c r="CK134" s="284">
        <v>87.432000000000002</v>
      </c>
      <c r="CL134" s="1">
        <v>2.8203870967741937</v>
      </c>
      <c r="CM134" s="1">
        <v>2.6856459430231117</v>
      </c>
      <c r="CN134" s="1">
        <v>6.5810000000000004</v>
      </c>
      <c r="CO134" s="1"/>
      <c r="CP134" s="284">
        <v>198.79499999999999</v>
      </c>
      <c r="CQ134" s="1">
        <v>6.4127419354838704</v>
      </c>
      <c r="CR134" s="1">
        <v>6.2163494685452969</v>
      </c>
      <c r="CS134" s="1">
        <v>10.805999999999999</v>
      </c>
      <c r="CT134" s="1"/>
      <c r="CU134" s="284">
        <v>166.601</v>
      </c>
      <c r="CV134" s="1">
        <v>5.3742258064516131</v>
      </c>
      <c r="CW134" s="1">
        <v>4.6399804906686439</v>
      </c>
      <c r="CX134" s="1">
        <v>9.1880000000000006</v>
      </c>
      <c r="CZ134" s="269">
        <v>32.488</v>
      </c>
      <c r="DA134" s="1">
        <v>1.048</v>
      </c>
      <c r="DB134" s="1"/>
      <c r="DC134" s="284">
        <v>13.625516393442622</v>
      </c>
      <c r="DD134" s="1">
        <v>0.43953278688524589</v>
      </c>
      <c r="DE134" s="1">
        <v>0.4404639662399879</v>
      </c>
      <c r="DF134" s="1" t="s">
        <v>776</v>
      </c>
      <c r="DG134" s="1"/>
      <c r="DH134" s="284">
        <f>DI134*31</f>
        <v>81.721721653005474</v>
      </c>
      <c r="DI134" s="5">
        <f t="shared" si="221"/>
        <v>2.6361845694517894</v>
      </c>
      <c r="DJ134" s="1">
        <f t="shared" si="241"/>
        <v>2.6260796718078336</v>
      </c>
      <c r="DK134" s="1"/>
      <c r="DL134" s="1"/>
      <c r="DM134" s="284">
        <f>DN134*31</f>
        <v>3063.7067779959011</v>
      </c>
      <c r="DN134" s="1">
        <f t="shared" si="222"/>
        <v>98.82925090309358</v>
      </c>
      <c r="DO134" s="1">
        <f t="shared" si="242"/>
        <v>101.42217830392677</v>
      </c>
      <c r="DP134" s="1"/>
      <c r="DQ134" s="1"/>
      <c r="DR134" s="284">
        <f>DS134*31</f>
        <v>498.94151639344267</v>
      </c>
      <c r="DS134" s="1">
        <f t="shared" si="243"/>
        <v>16.094887625594925</v>
      </c>
      <c r="DT134" s="1" t="e">
        <f>SUM(CM134+CR134+CW134+#REF!+DE134)</f>
        <v>#REF!</v>
      </c>
      <c r="DU134" s="1"/>
      <c r="DV134" s="1"/>
      <c r="DW134" s="284">
        <f>DX134*31</f>
        <v>3562.6482943893434</v>
      </c>
      <c r="DX134" s="1">
        <f t="shared" si="239"/>
        <v>114.9241385286885</v>
      </c>
      <c r="DY134" s="1">
        <f t="shared" si="240"/>
        <v>116.26856986717677</v>
      </c>
      <c r="DZ134" s="1"/>
      <c r="EB134" s="242">
        <v>3.6</v>
      </c>
      <c r="EL134">
        <v>2008</v>
      </c>
      <c r="EM134" t="s">
        <v>716</v>
      </c>
      <c r="EN134" t="s">
        <v>841</v>
      </c>
      <c r="EO134">
        <v>252.184</v>
      </c>
    </row>
    <row r="135" spans="1:146" x14ac:dyDescent="0.25">
      <c r="A135" s="8">
        <v>2008</v>
      </c>
      <c r="B135" t="s">
        <v>708</v>
      </c>
      <c r="D135" s="284">
        <v>200.505</v>
      </c>
      <c r="E135" s="1">
        <v>6.4679032258064515</v>
      </c>
      <c r="F135" s="1">
        <v>8.6417459183042897</v>
      </c>
      <c r="G135" s="1">
        <v>8.89</v>
      </c>
      <c r="M135" s="1"/>
      <c r="N135" s="284">
        <v>96.274000000000001</v>
      </c>
      <c r="O135" s="1">
        <v>3.1056129032258064</v>
      </c>
      <c r="P135" s="1">
        <v>3.2509581208367937</v>
      </c>
      <c r="Q135" s="1">
        <v>5.758</v>
      </c>
      <c r="R135" s="1"/>
      <c r="S135" s="284">
        <v>136.12700000000001</v>
      </c>
      <c r="T135" s="1">
        <v>4.391193548387097</v>
      </c>
      <c r="U135" s="1">
        <v>5.0883241997280928</v>
      </c>
      <c r="V135" s="1">
        <v>7.016</v>
      </c>
      <c r="W135" s="88"/>
      <c r="X135" s="284">
        <v>545.18799999999999</v>
      </c>
      <c r="Y135" s="1">
        <v>17.586709677419353</v>
      </c>
      <c r="Z135" s="1">
        <v>19.017141434927698</v>
      </c>
      <c r="AA135" s="1">
        <v>22.55</v>
      </c>
      <c r="AB135" s="1"/>
      <c r="AC135" s="284">
        <v>681.31500000000005</v>
      </c>
      <c r="AD135" s="1">
        <v>21.977903225806454</v>
      </c>
      <c r="AE135" s="1">
        <v>24.10546563465579</v>
      </c>
      <c r="AF135" s="1">
        <v>29.566000000000003</v>
      </c>
      <c r="AG135" s="1"/>
      <c r="AH135" s="284">
        <v>1592.193</v>
      </c>
      <c r="AI135" s="1">
        <v>51.361064516129034</v>
      </c>
      <c r="AJ135" s="1">
        <v>56.726328922568278</v>
      </c>
      <c r="AK135" s="1">
        <v>191.6</v>
      </c>
      <c r="AL135" s="1"/>
      <c r="AM135" s="284">
        <v>12.768000000000001</v>
      </c>
      <c r="AN135" s="1">
        <v>0.41187096774193549</v>
      </c>
      <c r="AO135" s="1">
        <v>0.61860945186009142</v>
      </c>
      <c r="AP135" s="1" t="s">
        <v>776</v>
      </c>
      <c r="AQ135" s="1"/>
      <c r="AR135" s="284">
        <v>109.86</v>
      </c>
      <c r="AS135" s="1">
        <v>3.5438709677419356</v>
      </c>
      <c r="AT135" s="1">
        <v>4.3536755716227917</v>
      </c>
      <c r="AU135" s="1" t="s">
        <v>776</v>
      </c>
      <c r="AV135" s="1"/>
      <c r="AW135" s="284">
        <v>5.2969999999999997</v>
      </c>
      <c r="AX135" s="1">
        <v>0.17087096774193547</v>
      </c>
      <c r="AY135" s="1">
        <v>0.25334283463107155</v>
      </c>
      <c r="AZ135" s="1" t="s">
        <v>776</v>
      </c>
      <c r="BA135" s="1"/>
      <c r="BB135" s="284">
        <v>19.242000000000001</v>
      </c>
      <c r="BC135" s="1">
        <v>0.6207096774193549</v>
      </c>
      <c r="BD135" s="1">
        <v>0.8038409868990235</v>
      </c>
      <c r="BE135" s="1" t="s">
        <v>776</v>
      </c>
      <c r="BF135" s="1"/>
      <c r="BG135" s="284">
        <v>20.678999999999998</v>
      </c>
      <c r="BH135" s="1">
        <v>0.66706451612903217</v>
      </c>
      <c r="BI135" s="1">
        <v>0.85277295760721783</v>
      </c>
      <c r="BJ135" s="1" t="s">
        <v>776</v>
      </c>
      <c r="BK135" s="1"/>
      <c r="BL135" s="284">
        <v>129.65449964890712</v>
      </c>
      <c r="BM135" s="1">
        <v>4.1824032144808747</v>
      </c>
      <c r="BN135" s="1">
        <v>4.1580867397010755</v>
      </c>
      <c r="BO135" s="1" t="s">
        <v>776</v>
      </c>
      <c r="BP135" s="1"/>
      <c r="BQ135" s="284">
        <v>10.757999999999999</v>
      </c>
      <c r="BR135" s="1">
        <v>0.3470322580645161</v>
      </c>
      <c r="BS135" s="1">
        <v>0.41876447287109131</v>
      </c>
      <c r="BT135" s="1" t="s">
        <v>776</v>
      </c>
      <c r="BU135" s="1"/>
      <c r="BV135" s="284">
        <v>4.0469999999999997</v>
      </c>
      <c r="BW135" s="1">
        <v>0.13054838709677419</v>
      </c>
      <c r="BX135" s="1">
        <v>0.25269463601532566</v>
      </c>
      <c r="BY135" s="1" t="s">
        <v>776</v>
      </c>
      <c r="BZ135" s="1"/>
      <c r="CA135" s="284">
        <v>11.516999999999999</v>
      </c>
      <c r="CB135" s="1">
        <v>0.37151612903225806</v>
      </c>
      <c r="CC135" s="1">
        <v>0.47520537634408605</v>
      </c>
      <c r="CD135" s="1" t="s">
        <v>776</v>
      </c>
      <c r="CE135" s="1"/>
      <c r="CF135" s="284">
        <v>45.532721653005467</v>
      </c>
      <c r="CG135" s="1">
        <v>1.4687974726775956</v>
      </c>
      <c r="CH135" s="1">
        <v>1.469592888767248</v>
      </c>
      <c r="CI135" s="1" t="s">
        <v>776</v>
      </c>
      <c r="CJ135" s="1"/>
      <c r="CK135" s="284">
        <v>63.768999999999998</v>
      </c>
      <c r="CL135" s="1">
        <v>2.0570645161290324</v>
      </c>
      <c r="CM135" s="1">
        <v>2.7494147602274137</v>
      </c>
      <c r="CN135" s="1">
        <v>8.8079999999999998</v>
      </c>
      <c r="CO135" s="1"/>
      <c r="CP135" s="284">
        <v>192.184</v>
      </c>
      <c r="CQ135" s="1">
        <v>6.1994838709677422</v>
      </c>
      <c r="CR135" s="1">
        <v>6.236822586824867</v>
      </c>
      <c r="CS135" s="1">
        <v>8.5879999999999992</v>
      </c>
      <c r="CT135" s="1"/>
      <c r="CU135" s="284">
        <v>154.38800000000001</v>
      </c>
      <c r="CV135" s="1">
        <v>4.9802580645161294</v>
      </c>
      <c r="CW135" s="1">
        <v>4.738410598195526</v>
      </c>
      <c r="CX135" s="1">
        <v>8.2780000000000005</v>
      </c>
      <c r="CZ135" s="269">
        <v>17.63</v>
      </c>
      <c r="DA135" s="1">
        <v>0.56870967741935485</v>
      </c>
      <c r="DB135" s="1"/>
      <c r="DC135" s="284">
        <v>13.625516393442622</v>
      </c>
      <c r="DD135" s="1">
        <v>0.43953278688524589</v>
      </c>
      <c r="DE135" s="1">
        <v>0.43999837656261681</v>
      </c>
      <c r="DF135" s="1" t="s">
        <v>776</v>
      </c>
      <c r="DG135" s="1"/>
      <c r="DH135" s="284">
        <f>DI135*31</f>
        <v>71.854721653005456</v>
      </c>
      <c r="DI135" s="5">
        <f t="shared" si="221"/>
        <v>2.3178942468711439</v>
      </c>
      <c r="DJ135" s="1">
        <f t="shared" si="241"/>
        <v>2.6162573739977515</v>
      </c>
      <c r="DK135" s="1"/>
      <c r="DL135" s="1"/>
      <c r="DM135" s="284">
        <f>DN135*31</f>
        <v>2795.9327779959017</v>
      </c>
      <c r="DN135" s="1">
        <f t="shared" si="222"/>
        <v>90.191379935351662</v>
      </c>
      <c r="DO135" s="1">
        <f t="shared" si="242"/>
        <v>101.1485697646887</v>
      </c>
      <c r="DP135" s="1"/>
      <c r="DQ135" s="1"/>
      <c r="DR135" s="284">
        <f>DS135*31</f>
        <v>441.59651639344264</v>
      </c>
      <c r="DS135" s="1">
        <f t="shared" si="243"/>
        <v>14.245048915917504</v>
      </c>
      <c r="DT135" s="1" t="e">
        <f>SUM(CM135+CR135+CW135+#REF!+DE135)</f>
        <v>#REF!</v>
      </c>
      <c r="DU135" s="1"/>
      <c r="DV135" s="1"/>
      <c r="DW135" s="284">
        <f>DX135*31</f>
        <v>3237.5292943893442</v>
      </c>
      <c r="DX135" s="1">
        <f t="shared" ref="DX135:DX142" si="244">SUM(DN135+DS135)</f>
        <v>104.43642885126917</v>
      </c>
      <c r="DY135" s="1">
        <f t="shared" ref="DY135:DY143" si="245">SUM(DX124:DX135)/12</f>
        <v>116.17094735116454</v>
      </c>
      <c r="DZ135" s="1"/>
      <c r="EB135" s="242">
        <v>1.23</v>
      </c>
      <c r="EL135">
        <v>2008</v>
      </c>
      <c r="EM135" t="s">
        <v>708</v>
      </c>
      <c r="EN135" t="s">
        <v>841</v>
      </c>
      <c r="EO135">
        <v>200.505</v>
      </c>
    </row>
    <row r="136" spans="1:146" x14ac:dyDescent="0.25">
      <c r="A136" s="8">
        <v>2008</v>
      </c>
      <c r="B136" t="s">
        <v>709</v>
      </c>
      <c r="D136" s="284">
        <v>229.9</v>
      </c>
      <c r="E136" s="1">
        <v>7.6633333333333331</v>
      </c>
      <c r="F136" s="1">
        <v>8.5081514738598436</v>
      </c>
      <c r="G136" s="1">
        <v>20.34</v>
      </c>
      <c r="M136" s="1"/>
      <c r="N136" s="284">
        <v>101.22</v>
      </c>
      <c r="O136" s="1">
        <v>3.3740000000000001</v>
      </c>
      <c r="P136" s="1">
        <v>3.2866386763923496</v>
      </c>
      <c r="Q136" s="1">
        <v>19.97</v>
      </c>
      <c r="R136" s="1"/>
      <c r="S136" s="284">
        <v>138.86099999999999</v>
      </c>
      <c r="T136" s="1">
        <v>4.6286999999999994</v>
      </c>
      <c r="U136" s="1">
        <v>5.1003269775058708</v>
      </c>
      <c r="V136" s="1">
        <v>16.329000000000001</v>
      </c>
      <c r="W136" s="88"/>
      <c r="X136" s="284">
        <v>543.41</v>
      </c>
      <c r="Y136" s="1">
        <v>18.113666666666667</v>
      </c>
      <c r="Z136" s="1">
        <v>19.091835879372145</v>
      </c>
      <c r="AA136" s="1">
        <v>35.204999999999998</v>
      </c>
      <c r="AB136" s="1"/>
      <c r="AC136" s="284">
        <v>682.27099999999996</v>
      </c>
      <c r="AD136" s="1">
        <v>22.742366666666666</v>
      </c>
      <c r="AE136" s="1">
        <v>24.192162856878014</v>
      </c>
      <c r="AF136" s="1">
        <v>51.533999999999999</v>
      </c>
      <c r="AG136" s="1"/>
      <c r="AH136" s="284">
        <v>1558.6579999999999</v>
      </c>
      <c r="AI136" s="1">
        <v>51.955266666666667</v>
      </c>
      <c r="AJ136" s="1">
        <v>56.935406700346057</v>
      </c>
      <c r="AK136" s="1">
        <v>145.1</v>
      </c>
      <c r="AL136" s="1"/>
      <c r="AM136" s="284">
        <v>15.212999999999999</v>
      </c>
      <c r="AN136" s="1">
        <v>0.5071</v>
      </c>
      <c r="AO136" s="1">
        <v>0.61872056297120259</v>
      </c>
      <c r="AP136" s="1" t="s">
        <v>776</v>
      </c>
      <c r="AQ136" s="1"/>
      <c r="AR136" s="284">
        <v>105.587</v>
      </c>
      <c r="AS136" s="1">
        <v>3.519566666666667</v>
      </c>
      <c r="AT136" s="1">
        <v>4.3566894605116806</v>
      </c>
      <c r="AU136" s="1" t="s">
        <v>776</v>
      </c>
      <c r="AV136" s="1"/>
      <c r="AW136" s="284">
        <v>6.6130000000000004</v>
      </c>
      <c r="AX136" s="1">
        <v>0.22043333333333334</v>
      </c>
      <c r="AY136" s="1">
        <v>0.25147616796440486</v>
      </c>
      <c r="AZ136" s="1" t="s">
        <v>776</v>
      </c>
      <c r="BA136" s="1"/>
      <c r="BB136" s="284">
        <v>23.042000000000002</v>
      </c>
      <c r="BC136" s="1">
        <v>0.76806666666666668</v>
      </c>
      <c r="BD136" s="1">
        <v>0.81228265356569018</v>
      </c>
      <c r="BE136" s="1" t="s">
        <v>776</v>
      </c>
      <c r="BF136" s="1"/>
      <c r="BG136" s="284">
        <v>25.52</v>
      </c>
      <c r="BH136" s="1">
        <v>0.85066666666666668</v>
      </c>
      <c r="BI136" s="1">
        <v>0.87080351316277349</v>
      </c>
      <c r="BJ136" s="1" t="s">
        <v>776</v>
      </c>
      <c r="BK136" s="1"/>
      <c r="BL136" s="284">
        <v>125.47209643442625</v>
      </c>
      <c r="BM136" s="1">
        <v>4.1824032144808747</v>
      </c>
      <c r="BN136" s="1">
        <v>4.1824032144808738</v>
      </c>
      <c r="BO136" s="1" t="s">
        <v>776</v>
      </c>
      <c r="BP136" s="1"/>
      <c r="BQ136" s="284">
        <v>11.178000000000001</v>
      </c>
      <c r="BR136" s="1">
        <v>0.37260000000000004</v>
      </c>
      <c r="BS136" s="1">
        <v>0.41843113953775801</v>
      </c>
      <c r="BT136" s="1" t="s">
        <v>776</v>
      </c>
      <c r="BU136" s="1"/>
      <c r="BV136" s="284">
        <v>4.399</v>
      </c>
      <c r="BW136" s="1">
        <v>0.14663333333333334</v>
      </c>
      <c r="BX136" s="1">
        <v>0.2548668582375479</v>
      </c>
      <c r="BY136" s="1" t="s">
        <v>776</v>
      </c>
      <c r="BZ136" s="1"/>
      <c r="CA136" s="284">
        <v>13.648</v>
      </c>
      <c r="CB136" s="1">
        <v>0.4549333333333333</v>
      </c>
      <c r="CC136" s="1">
        <v>0.48101370967741935</v>
      </c>
      <c r="CD136" s="1" t="s">
        <v>776</v>
      </c>
      <c r="CE136" s="1"/>
      <c r="CF136" s="284">
        <v>44.063924180327867</v>
      </c>
      <c r="CG136" s="1">
        <v>1.4687974726775956</v>
      </c>
      <c r="CH136" s="1">
        <v>1.4687974726775954</v>
      </c>
      <c r="CI136" s="1" t="s">
        <v>776</v>
      </c>
      <c r="CJ136" s="1"/>
      <c r="CK136" s="284">
        <v>34.731000000000002</v>
      </c>
      <c r="CL136" s="1">
        <v>1.1577</v>
      </c>
      <c r="CM136" s="1">
        <v>2.783761982449636</v>
      </c>
      <c r="CN136" s="1">
        <v>29.802</v>
      </c>
      <c r="CO136" s="1"/>
      <c r="CP136" s="284">
        <v>194.20699999999999</v>
      </c>
      <c r="CQ136" s="1">
        <v>6.4735666666666667</v>
      </c>
      <c r="CR136" s="1">
        <v>6.3123170312693127</v>
      </c>
      <c r="CS136" s="1">
        <v>15.009</v>
      </c>
      <c r="CT136" s="1"/>
      <c r="CU136" s="284">
        <v>166.773</v>
      </c>
      <c r="CV136" s="1">
        <v>5.5590999999999999</v>
      </c>
      <c r="CW136" s="1">
        <v>4.8983967093066374</v>
      </c>
      <c r="CX136" s="1">
        <v>15.19</v>
      </c>
      <c r="CZ136" s="269">
        <v>28.704999999999998</v>
      </c>
      <c r="DA136" s="1">
        <v>0.95683333333333331</v>
      </c>
      <c r="DB136" s="1"/>
      <c r="DC136" s="284">
        <v>13.185983606557377</v>
      </c>
      <c r="DD136" s="1">
        <v>0.43953278688524589</v>
      </c>
      <c r="DE136" s="1">
        <v>0.43953278688524572</v>
      </c>
      <c r="DF136" s="1" t="s">
        <v>776</v>
      </c>
      <c r="DG136" s="1"/>
      <c r="DH136" s="284">
        <f>DI136*30</f>
        <v>73.288924180327868</v>
      </c>
      <c r="DI136" s="5">
        <f t="shared" ref="DI136:DI167" si="246">SUM(BR136+BW136+CB136+CG136)</f>
        <v>2.4429641393442623</v>
      </c>
      <c r="DJ136" s="1">
        <f t="shared" si="241"/>
        <v>2.6231091801303212</v>
      </c>
      <c r="DK136" s="1"/>
      <c r="DL136" s="1"/>
      <c r="DM136" s="284">
        <f>DN136*30</f>
        <v>2800.2071722540977</v>
      </c>
      <c r="DN136" s="1">
        <f t="shared" ref="DN136:DN167" si="247">SUM(E136+O136+AD136+AI136+AN136+AS136+AX136+BC136+BH136+BM136-DI136)</f>
        <v>93.340239075136594</v>
      </c>
      <c r="DO136" s="1">
        <f t="shared" si="242"/>
        <v>101.3916261000026</v>
      </c>
      <c r="DP136" s="1"/>
      <c r="DQ136" s="1"/>
      <c r="DR136" s="284">
        <f>DS136*30</f>
        <v>437.60198360655738</v>
      </c>
      <c r="DS136" s="1">
        <f t="shared" si="243"/>
        <v>14.586732786885246</v>
      </c>
      <c r="DT136" s="1" t="e">
        <f>SUM(CM136+CR136+CW136+#REF!+DE136)</f>
        <v>#REF!</v>
      </c>
      <c r="DU136" s="1"/>
      <c r="DV136" s="1"/>
      <c r="DW136" s="284">
        <f>DX136*30</f>
        <v>3237.8091558606552</v>
      </c>
      <c r="DX136" s="1">
        <f t="shared" si="244"/>
        <v>107.92697186202184</v>
      </c>
      <c r="DY136" s="1">
        <f t="shared" si="245"/>
        <v>116.71283809680106</v>
      </c>
      <c r="DZ136" s="1"/>
      <c r="EB136" s="242">
        <v>6.41</v>
      </c>
      <c r="EL136">
        <v>2008</v>
      </c>
      <c r="EM136" t="s">
        <v>709</v>
      </c>
      <c r="EN136" t="s">
        <v>841</v>
      </c>
      <c r="EO136">
        <v>229.9</v>
      </c>
      <c r="EP136" s="1" t="s">
        <v>778</v>
      </c>
    </row>
    <row r="137" spans="1:146" s="1" customFormat="1" x14ac:dyDescent="0.25">
      <c r="A137" s="8">
        <v>2008</v>
      </c>
      <c r="B137" s="1" t="s">
        <v>710</v>
      </c>
      <c r="D137" s="284">
        <v>244.65</v>
      </c>
      <c r="E137" s="1">
        <v>7.8919354838709683</v>
      </c>
      <c r="F137" s="1">
        <v>8.4045331942899519</v>
      </c>
      <c r="G137" s="1">
        <v>11.15</v>
      </c>
      <c r="I137" s="284"/>
      <c r="N137" s="284">
        <v>98.792000000000002</v>
      </c>
      <c r="O137" s="1">
        <v>3.1868387096774193</v>
      </c>
      <c r="P137" s="1">
        <v>3.3055526548869731</v>
      </c>
      <c r="Q137" s="1">
        <v>7.3079999999999998</v>
      </c>
      <c r="S137" s="284">
        <v>129.94900000000001</v>
      </c>
      <c r="T137" s="1">
        <v>4.1919032258064517</v>
      </c>
      <c r="U137" s="1">
        <v>5.0827113861080209</v>
      </c>
      <c r="V137" s="1">
        <v>8.2219999999999995</v>
      </c>
      <c r="W137" s="88"/>
      <c r="X137" s="284">
        <v>525.37099999999998</v>
      </c>
      <c r="Y137" s="1">
        <v>16.947451612903226</v>
      </c>
      <c r="Z137" s="1">
        <v>19.071776739587197</v>
      </c>
      <c r="AA137" s="1">
        <v>25.16</v>
      </c>
      <c r="AC137" s="284">
        <v>655.32000000000005</v>
      </c>
      <c r="AD137" s="1">
        <v>21.139354838709675</v>
      </c>
      <c r="AE137" s="1">
        <v>24.154488125695213</v>
      </c>
      <c r="AF137" s="1">
        <v>33.381999999999998</v>
      </c>
      <c r="AH137" s="284">
        <v>1555.0239999999999</v>
      </c>
      <c r="AI137" s="1">
        <v>50.162064516129028</v>
      </c>
      <c r="AJ137" s="1">
        <v>56.793901324001972</v>
      </c>
      <c r="AK137" s="1">
        <v>96.6</v>
      </c>
      <c r="AM137" s="284">
        <v>17.062000000000001</v>
      </c>
      <c r="AN137" s="1">
        <v>0.55038709677419362</v>
      </c>
      <c r="AO137" s="1">
        <v>0.61673400383141763</v>
      </c>
      <c r="AP137" s="1" t="s">
        <v>776</v>
      </c>
      <c r="AR137" s="284">
        <v>122.919</v>
      </c>
      <c r="AS137" s="1">
        <v>3.9651290322580643</v>
      </c>
      <c r="AT137" s="1">
        <v>4.3641303207267343</v>
      </c>
      <c r="AU137" s="1" t="s">
        <v>776</v>
      </c>
      <c r="AW137" s="284">
        <v>7.0670000000000002</v>
      </c>
      <c r="AX137" s="1">
        <v>0.22796774193548389</v>
      </c>
      <c r="AY137" s="1">
        <v>0.25452993140526509</v>
      </c>
      <c r="AZ137" s="1" t="s">
        <v>776</v>
      </c>
      <c r="BB137" s="284">
        <v>24.314</v>
      </c>
      <c r="BC137" s="1">
        <v>0.78432258064516125</v>
      </c>
      <c r="BD137" s="1">
        <v>0.81494125571622789</v>
      </c>
      <c r="BE137" s="1" t="s">
        <v>776</v>
      </c>
      <c r="BG137" s="284">
        <v>25.83</v>
      </c>
      <c r="BH137" s="1">
        <v>0.83322580645161282</v>
      </c>
      <c r="BI137" s="1">
        <v>0.88095136262513918</v>
      </c>
      <c r="BJ137" s="1" t="s">
        <v>776</v>
      </c>
      <c r="BL137" s="284">
        <v>128.28815993150684</v>
      </c>
      <c r="BM137" s="1">
        <v>4.1383277397260274</v>
      </c>
      <c r="BN137" s="1">
        <v>4.1787302582513037</v>
      </c>
      <c r="BO137" s="1" t="s">
        <v>776</v>
      </c>
      <c r="BQ137" s="284">
        <v>11.986000000000001</v>
      </c>
      <c r="BR137" s="1">
        <v>0.38664516129032261</v>
      </c>
      <c r="BS137" s="1">
        <v>0.41088275244098393</v>
      </c>
      <c r="BT137" s="1" t="s">
        <v>776</v>
      </c>
      <c r="BV137" s="284">
        <v>4.1749999999999998</v>
      </c>
      <c r="BW137" s="1">
        <v>0.13467741935483871</v>
      </c>
      <c r="BX137" s="1">
        <v>0.25165180447410707</v>
      </c>
      <c r="BY137" s="1" t="s">
        <v>776</v>
      </c>
      <c r="CA137" s="284">
        <v>12.87</v>
      </c>
      <c r="CB137" s="1">
        <v>0.41516129032258065</v>
      </c>
      <c r="CC137" s="1">
        <v>0.47744650537634409</v>
      </c>
      <c r="CD137" s="1" t="s">
        <v>776</v>
      </c>
      <c r="CF137" s="284">
        <v>41.576509931506848</v>
      </c>
      <c r="CG137" s="1">
        <v>1.3411777397260274</v>
      </c>
      <c r="CH137" s="1">
        <v>1.4581624949316314</v>
      </c>
      <c r="CI137" s="1" t="s">
        <v>776</v>
      </c>
      <c r="CK137" s="284">
        <v>17.594000000000001</v>
      </c>
      <c r="CL137" s="1">
        <v>0.56754838709677424</v>
      </c>
      <c r="CM137" s="1">
        <v>2.733382950191571</v>
      </c>
      <c r="CN137" s="1">
        <v>14.180999999999999</v>
      </c>
      <c r="CP137" s="284">
        <v>192.05699999999999</v>
      </c>
      <c r="CQ137" s="1">
        <v>6.1953870967741933</v>
      </c>
      <c r="CR137" s="1">
        <v>6.3551207947101718</v>
      </c>
      <c r="CS137" s="1">
        <v>9.0120000000000005</v>
      </c>
      <c r="CU137" s="284">
        <v>161.65100000000001</v>
      </c>
      <c r="CV137" s="1">
        <v>5.2145483870967748</v>
      </c>
      <c r="CW137" s="1">
        <v>5.0297004727474972</v>
      </c>
      <c r="CX137" s="1">
        <v>9.5289999999999999</v>
      </c>
      <c r="CZ137" s="269">
        <v>17.202999999999999</v>
      </c>
      <c r="DA137" s="1">
        <v>0.55493548387096769</v>
      </c>
      <c r="DC137" s="284">
        <v>13.563667808219178</v>
      </c>
      <c r="DD137" s="1">
        <v>0.43753767123287668</v>
      </c>
      <c r="DE137" s="1">
        <v>0.43936652724754827</v>
      </c>
      <c r="DF137" s="1" t="s">
        <v>776</v>
      </c>
      <c r="DH137" s="284">
        <f>DI137*31</f>
        <v>70.607509931506854</v>
      </c>
      <c r="DI137" s="1">
        <f t="shared" si="246"/>
        <v>2.2776616106937695</v>
      </c>
      <c r="DJ137" s="1">
        <f t="shared" ref="DJ137:DJ143" si="248">SUM(DI126:DI137)/12</f>
        <v>2.5981435572230667</v>
      </c>
      <c r="DM137" s="284">
        <f>DN137*31</f>
        <v>2808.6586499999999</v>
      </c>
      <c r="DN137" s="1">
        <f t="shared" si="247"/>
        <v>90.601891935483863</v>
      </c>
      <c r="DO137" s="1">
        <f t="shared" ref="DO137:DO143" si="249">SUM(DN126:DN137)/12</f>
        <v>101.17034887420714</v>
      </c>
      <c r="DR137" s="284">
        <f>DS137*30</f>
        <v>389.09871078214752</v>
      </c>
      <c r="DS137" s="1">
        <f t="shared" si="243"/>
        <v>12.969957026071585</v>
      </c>
      <c r="DT137" s="1" t="e">
        <f>SUM(CM137+CR137+CW137+#REF!+DE137)</f>
        <v>#REF!</v>
      </c>
      <c r="DW137" s="284">
        <f>DX137*31</f>
        <v>3210.7273178082187</v>
      </c>
      <c r="DX137" s="1">
        <f t="shared" si="244"/>
        <v>103.57184896155545</v>
      </c>
      <c r="DY137" s="1">
        <f t="shared" si="245"/>
        <v>116.61947664468364</v>
      </c>
      <c r="EB137" s="1">
        <v>1.1299999999999999</v>
      </c>
      <c r="EL137" s="1">
        <v>2008</v>
      </c>
      <c r="EM137" s="157" t="s">
        <v>710</v>
      </c>
      <c r="EN137" t="s">
        <v>841</v>
      </c>
      <c r="EO137">
        <v>244.65</v>
      </c>
      <c r="EP137" t="e">
        <f>-0.00227*EN137 +24.6228</f>
        <v>#VALUE!</v>
      </c>
    </row>
    <row r="138" spans="1:146" x14ac:dyDescent="0.25">
      <c r="A138" s="8">
        <v>2008</v>
      </c>
      <c r="B138" t="s">
        <v>711</v>
      </c>
      <c r="D138" s="285">
        <v>237.02699999999999</v>
      </c>
      <c r="E138" s="1">
        <v>7.9008999999999991</v>
      </c>
      <c r="F138" s="1">
        <v>8.404613749845506</v>
      </c>
      <c r="G138" s="1">
        <v>10.452999999999999</v>
      </c>
      <c r="M138" s="1"/>
      <c r="N138" s="284">
        <v>93.373999999999995</v>
      </c>
      <c r="O138" s="1">
        <v>3.1124666666666667</v>
      </c>
      <c r="P138" s="1">
        <v>3.3244193215536399</v>
      </c>
      <c r="Q138" s="1">
        <v>5.5129999999999999</v>
      </c>
      <c r="R138" s="1"/>
      <c r="S138" s="284">
        <v>137.16</v>
      </c>
      <c r="T138" s="1">
        <v>4.5720000000000001</v>
      </c>
      <c r="U138" s="1">
        <v>5.0934613861080216</v>
      </c>
      <c r="V138" s="1">
        <v>8.1310000000000002</v>
      </c>
      <c r="W138" s="88"/>
      <c r="X138" s="284">
        <v>524.93700000000001</v>
      </c>
      <c r="Y138" s="1">
        <v>17.497900000000001</v>
      </c>
      <c r="Z138" s="1">
        <v>19.083693406253861</v>
      </c>
      <c r="AA138" s="1">
        <v>24.69</v>
      </c>
      <c r="AB138" s="1"/>
      <c r="AC138" s="284">
        <v>662.09699999999998</v>
      </c>
      <c r="AD138" s="1">
        <v>22.069900000000001</v>
      </c>
      <c r="AE138" s="1">
        <v>24.177154792361886</v>
      </c>
      <c r="AF138" s="1">
        <v>32.820999999999998</v>
      </c>
      <c r="AG138" s="1"/>
      <c r="AH138" s="284">
        <v>1479.231</v>
      </c>
      <c r="AI138" s="1">
        <v>49.307699999999997</v>
      </c>
      <c r="AJ138" s="1">
        <v>56.736229101779749</v>
      </c>
      <c r="AK138" s="1">
        <v>97.3</v>
      </c>
      <c r="AL138" s="1"/>
      <c r="AM138" s="284">
        <v>14.78</v>
      </c>
      <c r="AN138" s="1">
        <v>0.49266666666666664</v>
      </c>
      <c r="AO138" s="1">
        <v>0.61424511494252876</v>
      </c>
      <c r="AP138" s="1" t="s">
        <v>776</v>
      </c>
      <c r="AQ138" s="1"/>
      <c r="AR138" s="284">
        <v>107.836</v>
      </c>
      <c r="AS138" s="1">
        <v>3.5945333333333331</v>
      </c>
      <c r="AT138" s="1">
        <v>4.3499858762822887</v>
      </c>
      <c r="AU138" s="1" t="s">
        <v>776</v>
      </c>
      <c r="AV138" s="1"/>
      <c r="AW138" s="284">
        <v>6.8579999999999997</v>
      </c>
      <c r="AX138" s="1">
        <v>0.2286</v>
      </c>
      <c r="AY138" s="1">
        <v>0.26111326473859842</v>
      </c>
      <c r="AZ138" s="1" t="s">
        <v>776</v>
      </c>
      <c r="BA138" s="1"/>
      <c r="BB138" s="284">
        <v>21.03</v>
      </c>
      <c r="BC138" s="1">
        <v>0.70100000000000007</v>
      </c>
      <c r="BD138" s="1">
        <v>0.80739681127178342</v>
      </c>
      <c r="BE138" s="1" t="s">
        <v>776</v>
      </c>
      <c r="BF138" s="1"/>
      <c r="BG138" s="284">
        <v>23.45</v>
      </c>
      <c r="BH138" s="1">
        <v>0.78166666666666662</v>
      </c>
      <c r="BI138" s="1">
        <v>0.88414025151402786</v>
      </c>
      <c r="BJ138" s="1" t="s">
        <v>776</v>
      </c>
      <c r="BK138" s="1"/>
      <c r="BL138" s="284">
        <v>124.14983938356164</v>
      </c>
      <c r="BM138" s="1">
        <v>4.1383279794520549</v>
      </c>
      <c r="BN138" s="1">
        <v>4.1750573419760713</v>
      </c>
      <c r="BO138" s="1" t="s">
        <v>776</v>
      </c>
      <c r="BP138" s="1"/>
      <c r="BQ138" s="284">
        <v>10.476000000000001</v>
      </c>
      <c r="BR138" s="1">
        <v>0.34920000000000001</v>
      </c>
      <c r="BS138" s="1">
        <v>0.40197719688542827</v>
      </c>
      <c r="BT138" s="1" t="s">
        <v>776</v>
      </c>
      <c r="BU138" s="1"/>
      <c r="BV138" s="284">
        <v>3.923</v>
      </c>
      <c r="BW138" s="1">
        <v>0.13076666666666667</v>
      </c>
      <c r="BX138" s="1">
        <v>0.23310458225188482</v>
      </c>
      <c r="BY138" s="1" t="s">
        <v>776</v>
      </c>
      <c r="BZ138" s="1"/>
      <c r="CA138" s="284">
        <v>10.946999999999999</v>
      </c>
      <c r="CB138" s="1">
        <v>0.36489999999999995</v>
      </c>
      <c r="CC138" s="1">
        <v>0.47030206093189958</v>
      </c>
      <c r="CD138" s="1" t="s">
        <v>776</v>
      </c>
      <c r="CE138" s="1"/>
      <c r="CF138" s="284">
        <v>40.23533219178082</v>
      </c>
      <c r="CG138" s="1">
        <v>1.3411777397260274</v>
      </c>
      <c r="CH138" s="1">
        <v>1.4475275171856674</v>
      </c>
      <c r="CI138" s="1" t="s">
        <v>776</v>
      </c>
      <c r="CJ138" s="1"/>
      <c r="CK138" s="284">
        <v>20.350999999999999</v>
      </c>
      <c r="CL138" s="1">
        <v>0.67836666666666667</v>
      </c>
      <c r="CM138" s="1">
        <v>2.6331523946360149</v>
      </c>
      <c r="CN138" s="1">
        <v>5.0220000000000002</v>
      </c>
      <c r="CO138" s="1"/>
      <c r="CP138" s="284">
        <v>174.298</v>
      </c>
      <c r="CQ138" s="1">
        <v>5.8099333333333334</v>
      </c>
      <c r="CR138" s="1">
        <v>6.3129763502657275</v>
      </c>
      <c r="CS138" s="1">
        <v>23.712</v>
      </c>
      <c r="CT138" s="1"/>
      <c r="CU138" s="284">
        <v>151.24100000000001</v>
      </c>
      <c r="CV138" s="1">
        <v>5.0413666666666668</v>
      </c>
      <c r="CW138" s="1">
        <v>5.1466810283030533</v>
      </c>
      <c r="CX138" s="1">
        <v>8.65</v>
      </c>
      <c r="CZ138" s="269">
        <v>16.742000000000001</v>
      </c>
      <c r="DA138" s="1">
        <v>0.55806666666666671</v>
      </c>
      <c r="DB138" s="1"/>
      <c r="DC138" s="284">
        <v>13.126150684931508</v>
      </c>
      <c r="DD138" s="1">
        <v>0.43753835616438358</v>
      </c>
      <c r="DE138" s="1">
        <v>0.43920038176510201</v>
      </c>
      <c r="DF138" s="1" t="s">
        <v>776</v>
      </c>
      <c r="DG138" s="1"/>
      <c r="DH138" s="284">
        <f>DI138*31</f>
        <v>67.767376598173513</v>
      </c>
      <c r="DI138" s="1">
        <f t="shared" si="246"/>
        <v>2.186044406392694</v>
      </c>
      <c r="DJ138" s="1">
        <f t="shared" si="248"/>
        <v>2.5529113572548803</v>
      </c>
      <c r="DK138" s="1"/>
      <c r="DL138" s="1"/>
      <c r="DM138" s="284">
        <f>DN138*31</f>
        <v>2794.3932240981731</v>
      </c>
      <c r="DN138" s="1">
        <f t="shared" si="247"/>
        <v>90.141716906392674</v>
      </c>
      <c r="DO138" s="1">
        <f t="shared" si="249"/>
        <v>101.18144424903403</v>
      </c>
      <c r="DP138" s="1"/>
      <c r="DQ138" s="1"/>
      <c r="DR138" s="284">
        <f>DS138*30</f>
        <v>375.75815068493154</v>
      </c>
      <c r="DS138" s="1">
        <f t="shared" si="243"/>
        <v>12.525271689497718</v>
      </c>
      <c r="DT138" s="1" t="e">
        <f>SUM(CM138+CR138+CW138+#REF!+DE138)</f>
        <v>#REF!</v>
      </c>
      <c r="DU138" s="1"/>
      <c r="DV138" s="1"/>
      <c r="DW138" s="284">
        <f>DX138*30</f>
        <v>3080.0096578767116</v>
      </c>
      <c r="DX138" s="1">
        <f t="shared" si="244"/>
        <v>102.66698859589039</v>
      </c>
      <c r="DY138" s="1">
        <f t="shared" si="245"/>
        <v>116.61507526139492</v>
      </c>
      <c r="EB138" s="242">
        <v>2.4300000000000002</v>
      </c>
      <c r="EL138">
        <v>2008</v>
      </c>
      <c r="EM138" s="157" t="s">
        <v>711</v>
      </c>
      <c r="EN138" t="s">
        <v>841</v>
      </c>
      <c r="EO138">
        <v>237.02699999999999</v>
      </c>
      <c r="EP138" t="e">
        <f t="shared" ref="EP138:EP201" si="250">-0.00227*EN138 +24.6228</f>
        <v>#VALUE!</v>
      </c>
    </row>
    <row r="139" spans="1:146" x14ac:dyDescent="0.25">
      <c r="A139" s="8">
        <v>2008</v>
      </c>
      <c r="B139" s="1" t="s">
        <v>712</v>
      </c>
      <c r="C139" s="1"/>
      <c r="D139" s="284">
        <v>258.13</v>
      </c>
      <c r="E139" s="1">
        <v>8.3267741935483865</v>
      </c>
      <c r="F139" s="1">
        <v>8.4698825670498064</v>
      </c>
      <c r="G139" s="1">
        <v>16.22</v>
      </c>
      <c r="M139" s="1"/>
      <c r="N139" s="284">
        <v>101.384</v>
      </c>
      <c r="O139" s="1">
        <v>3.2704516129032259</v>
      </c>
      <c r="P139" s="1">
        <v>3.3554596441342852</v>
      </c>
      <c r="Q139" s="1">
        <v>6.984</v>
      </c>
      <c r="R139" s="1"/>
      <c r="S139" s="284">
        <v>160.01</v>
      </c>
      <c r="T139" s="1">
        <v>5.161612903225806</v>
      </c>
      <c r="U139" s="1">
        <v>5.1292947194413552</v>
      </c>
      <c r="V139" s="1">
        <v>10.481999999999999</v>
      </c>
      <c r="W139" s="88"/>
      <c r="X139" s="284">
        <v>583.35699999999997</v>
      </c>
      <c r="Y139" s="1">
        <v>18.817967741935483</v>
      </c>
      <c r="Z139" s="1">
        <v>19.163846632060313</v>
      </c>
      <c r="AA139" s="1">
        <v>28.494</v>
      </c>
      <c r="AB139" s="1"/>
      <c r="AC139" s="284">
        <v>743.36699999999996</v>
      </c>
      <c r="AD139" s="1">
        <v>23.979580645161288</v>
      </c>
      <c r="AE139" s="1">
        <v>24.293141351501664</v>
      </c>
      <c r="AF139" s="1">
        <v>38.975999999999999</v>
      </c>
      <c r="AG139" s="1"/>
      <c r="AH139" s="284">
        <v>1669.2339999999999</v>
      </c>
      <c r="AI139" s="1">
        <v>53.846258064516128</v>
      </c>
      <c r="AJ139" s="1">
        <v>56.866968349091586</v>
      </c>
      <c r="AK139" s="1">
        <v>91.45</v>
      </c>
      <c r="AL139" s="1"/>
      <c r="AM139" s="284">
        <v>17.853000000000002</v>
      </c>
      <c r="AN139" s="1">
        <v>0.5759032258064517</v>
      </c>
      <c r="AO139" s="1">
        <v>0.61542253429736749</v>
      </c>
      <c r="AP139" s="1" t="s">
        <v>776</v>
      </c>
      <c r="AQ139" s="1"/>
      <c r="AR139" s="284">
        <v>84.067999999999998</v>
      </c>
      <c r="AS139" s="1">
        <v>2.7118709677419353</v>
      </c>
      <c r="AT139" s="1">
        <v>4.2380450160672352</v>
      </c>
      <c r="AU139" s="1" t="s">
        <v>776</v>
      </c>
      <c r="AV139" s="1"/>
      <c r="AW139" s="284">
        <v>5.5380000000000003</v>
      </c>
      <c r="AX139" s="1">
        <v>0.1786451612903226</v>
      </c>
      <c r="AY139" s="1">
        <v>0.26108369484612531</v>
      </c>
      <c r="AZ139" s="1" t="s">
        <v>776</v>
      </c>
      <c r="BA139" s="1"/>
      <c r="BB139" s="284">
        <v>25.372</v>
      </c>
      <c r="BC139" s="1">
        <v>0.81845161290322577</v>
      </c>
      <c r="BD139" s="1">
        <v>0.80807691879866528</v>
      </c>
      <c r="BE139" s="1" t="s">
        <v>776</v>
      </c>
      <c r="BF139" s="1"/>
      <c r="BG139" s="284">
        <v>29.224</v>
      </c>
      <c r="BH139" s="1">
        <v>0.94270967741935485</v>
      </c>
      <c r="BI139" s="1">
        <v>0.89783379990112477</v>
      </c>
      <c r="BJ139" s="1" t="s">
        <v>776</v>
      </c>
      <c r="BK139" s="1"/>
      <c r="BL139" s="284">
        <v>128.28816736301371</v>
      </c>
      <c r="BM139" s="1">
        <v>4.1383279794520549</v>
      </c>
      <c r="BN139" s="1">
        <v>4.1713844057236704</v>
      </c>
      <c r="BO139" s="1" t="s">
        <v>776</v>
      </c>
      <c r="BP139" s="1"/>
      <c r="BQ139" s="284">
        <v>11.352</v>
      </c>
      <c r="BR139" s="1">
        <v>0.36619354838709678</v>
      </c>
      <c r="BS139" s="1">
        <v>0.39332934742306264</v>
      </c>
      <c r="BT139" s="1" t="s">
        <v>776</v>
      </c>
      <c r="BU139" s="1"/>
      <c r="BV139" s="284">
        <v>5.7869999999999999</v>
      </c>
      <c r="BW139" s="1">
        <v>0.1866774193548387</v>
      </c>
      <c r="BX139" s="1">
        <v>0.22509114139166977</v>
      </c>
      <c r="BY139" s="1" t="s">
        <v>776</v>
      </c>
      <c r="BZ139" s="1"/>
      <c r="CA139" s="284">
        <v>12.923</v>
      </c>
      <c r="CB139" s="1">
        <v>0.41687096774193549</v>
      </c>
      <c r="CC139" s="1">
        <v>0.46877517921146955</v>
      </c>
      <c r="CD139" s="1" t="s">
        <v>776</v>
      </c>
      <c r="CE139" s="1"/>
      <c r="CF139" s="284">
        <v>41.576509931506848</v>
      </c>
      <c r="CG139" s="1">
        <v>1.3411777397260274</v>
      </c>
      <c r="CH139" s="1">
        <v>1.4368925394397036</v>
      </c>
      <c r="CI139" s="1" t="s">
        <v>776</v>
      </c>
      <c r="CJ139" s="1"/>
      <c r="CK139" s="284">
        <v>40.125</v>
      </c>
      <c r="CL139" s="1">
        <v>1.2943548387096775</v>
      </c>
      <c r="CM139" s="1">
        <v>2.5965394914102085</v>
      </c>
      <c r="CN139" s="1">
        <v>7.3789999999999996</v>
      </c>
      <c r="CO139" s="1"/>
      <c r="CP139" s="284">
        <v>196.685</v>
      </c>
      <c r="CQ139" s="1">
        <v>6.3446774193548388</v>
      </c>
      <c r="CR139" s="1">
        <v>6.341659145964651</v>
      </c>
      <c r="CS139" s="1">
        <v>9.7769999999999992</v>
      </c>
      <c r="CT139" s="1"/>
      <c r="CU139" s="284">
        <v>162.84800000000001</v>
      </c>
      <c r="CV139" s="1">
        <v>5.2531612903225815</v>
      </c>
      <c r="CW139" s="1">
        <v>5.2821057594858489</v>
      </c>
      <c r="CX139" s="1">
        <v>9.6769999999999996</v>
      </c>
      <c r="CZ139" s="269">
        <v>22.177</v>
      </c>
      <c r="DA139" s="1">
        <v>0.71538709677419354</v>
      </c>
      <c r="DB139" s="1"/>
      <c r="DC139" s="284">
        <v>13.563689041095891</v>
      </c>
      <c r="DD139" s="1">
        <v>0.43753835616438358</v>
      </c>
      <c r="DE139" s="1">
        <v>0.43903417920503013</v>
      </c>
      <c r="DF139" s="1" t="s">
        <v>776</v>
      </c>
      <c r="DG139" s="1"/>
      <c r="DH139" s="284">
        <f>DI139*31</f>
        <v>71.638509931506846</v>
      </c>
      <c r="DI139" s="1">
        <f t="shared" si="246"/>
        <v>2.3109196752098984</v>
      </c>
      <c r="DJ139" s="1">
        <f t="shared" si="248"/>
        <v>2.5240882074659057</v>
      </c>
      <c r="DK139" s="1"/>
      <c r="DL139" s="1"/>
      <c r="DM139" s="284">
        <f>DN139*31</f>
        <v>2990.819657431507</v>
      </c>
      <c r="DN139" s="1">
        <f t="shared" si="247"/>
        <v>96.478053465532483</v>
      </c>
      <c r="DO139" s="1">
        <f t="shared" si="249"/>
        <v>101.45321005396845</v>
      </c>
      <c r="DP139" s="1"/>
      <c r="DQ139" s="1"/>
      <c r="DR139" s="284">
        <f>DS139*31</f>
        <v>435.39868904109591</v>
      </c>
      <c r="DS139" s="1">
        <f t="shared" si="243"/>
        <v>14.045119001325675</v>
      </c>
      <c r="DT139" s="1" t="e">
        <f>SUM(CM139+CR139+CW139+#REF!+DE139)</f>
        <v>#REF!</v>
      </c>
      <c r="DU139" s="1"/>
      <c r="DV139" s="1"/>
      <c r="DW139" s="284">
        <f>DX139*31</f>
        <v>3426.2183464726027</v>
      </c>
      <c r="DX139" s="1">
        <f t="shared" si="244"/>
        <v>110.52317246685816</v>
      </c>
      <c r="DY139" s="1">
        <f t="shared" si="245"/>
        <v>117.02916411108107</v>
      </c>
      <c r="EB139" s="242">
        <v>2.97</v>
      </c>
      <c r="EL139">
        <v>2008</v>
      </c>
      <c r="EM139" s="157" t="s">
        <v>712</v>
      </c>
      <c r="EN139" t="s">
        <v>841</v>
      </c>
      <c r="EO139">
        <v>258.13</v>
      </c>
      <c r="EP139" t="e">
        <f t="shared" si="250"/>
        <v>#VALUE!</v>
      </c>
    </row>
    <row r="140" spans="1:146" x14ac:dyDescent="0.25">
      <c r="A140" s="8">
        <v>2009</v>
      </c>
      <c r="B140" t="s">
        <v>719</v>
      </c>
      <c r="D140" s="284">
        <v>257.68400000000003</v>
      </c>
      <c r="E140" s="1">
        <v>8.3123870967741951</v>
      </c>
      <c r="F140" s="1">
        <v>8.4878986960820644</v>
      </c>
      <c r="G140" s="1">
        <v>19.988</v>
      </c>
      <c r="M140" s="1"/>
      <c r="N140" s="284">
        <v>105.83499999999999</v>
      </c>
      <c r="O140" s="1">
        <v>3.4140322580645157</v>
      </c>
      <c r="P140" s="1">
        <v>3.3903655581127796</v>
      </c>
      <c r="Q140" s="1">
        <v>7.5890000000000004</v>
      </c>
      <c r="R140" s="1"/>
      <c r="S140" s="284">
        <v>156.76599999999999</v>
      </c>
      <c r="T140" s="1">
        <v>5.0569677419354839</v>
      </c>
      <c r="U140" s="1">
        <v>5.148937192559635</v>
      </c>
      <c r="V140" s="1">
        <v>9.8409999999999993</v>
      </c>
      <c r="W140" s="88"/>
      <c r="X140" s="284">
        <v>617.48900000000003</v>
      </c>
      <c r="Y140" s="1">
        <v>19.919</v>
      </c>
      <c r="Z140" s="1">
        <v>19.320295556791496</v>
      </c>
      <c r="AA140" s="1">
        <v>28.024000000000001</v>
      </c>
      <c r="AB140" s="1"/>
      <c r="AC140" s="284">
        <v>774.255</v>
      </c>
      <c r="AD140" s="1">
        <v>24.975967741935484</v>
      </c>
      <c r="AE140" s="1">
        <v>24.469232749351125</v>
      </c>
      <c r="AF140" s="1">
        <v>37.865000000000002</v>
      </c>
      <c r="AG140" s="1"/>
      <c r="AH140" s="284">
        <v>1771.1969999999999</v>
      </c>
      <c r="AI140" s="1">
        <v>57.135387096774188</v>
      </c>
      <c r="AJ140" s="1">
        <v>57.183680714682971</v>
      </c>
      <c r="AK140" s="1">
        <v>116.9</v>
      </c>
      <c r="AL140" s="1"/>
      <c r="AM140" s="284">
        <v>19.524000000000001</v>
      </c>
      <c r="AN140" s="1">
        <v>0.62980645161290327</v>
      </c>
      <c r="AO140" s="1">
        <v>0.62248973859844281</v>
      </c>
      <c r="AP140" s="1" t="s">
        <v>776</v>
      </c>
      <c r="AQ140" s="1"/>
      <c r="AR140" s="284">
        <v>134.75299999999999</v>
      </c>
      <c r="AS140" s="1">
        <v>4.3468709677419346</v>
      </c>
      <c r="AT140" s="1">
        <v>4.277034263379063</v>
      </c>
      <c r="AU140" s="1" t="s">
        <v>776</v>
      </c>
      <c r="AV140" s="1"/>
      <c r="AW140" s="284">
        <v>12.183</v>
      </c>
      <c r="AX140" s="1">
        <v>0.39300000000000002</v>
      </c>
      <c r="AY140" s="1">
        <v>0.27708369484612533</v>
      </c>
      <c r="AZ140" s="1" t="s">
        <v>776</v>
      </c>
      <c r="BA140" s="1"/>
      <c r="BB140" s="284">
        <v>25.823</v>
      </c>
      <c r="BC140" s="1">
        <v>0.83299999999999996</v>
      </c>
      <c r="BD140" s="1">
        <v>0.81199358546533196</v>
      </c>
      <c r="BE140" s="1" t="s">
        <v>776</v>
      </c>
      <c r="BF140" s="1"/>
      <c r="BG140" s="284">
        <v>32.241999999999997</v>
      </c>
      <c r="BH140" s="1">
        <v>1.0400645161290323</v>
      </c>
      <c r="BI140" s="1">
        <v>0.91792250957854415</v>
      </c>
      <c r="BJ140" s="1" t="s">
        <v>776</v>
      </c>
      <c r="BK140" s="1"/>
      <c r="BL140" s="284">
        <v>128.28816736301371</v>
      </c>
      <c r="BM140" s="1">
        <v>4.1383279794520549</v>
      </c>
      <c r="BN140" s="1">
        <v>4.1677114694712687</v>
      </c>
      <c r="BO140" s="1" t="s">
        <v>776</v>
      </c>
      <c r="BP140" s="1"/>
      <c r="BQ140" s="284">
        <v>11.474</v>
      </c>
      <c r="BR140" s="1">
        <v>0.37012903225806454</v>
      </c>
      <c r="BS140" s="1">
        <v>0.39484010011123472</v>
      </c>
      <c r="BT140" s="1" t="s">
        <v>776</v>
      </c>
      <c r="BU140" s="1"/>
      <c r="BV140" s="284">
        <v>6.5839999999999996</v>
      </c>
      <c r="BW140" s="1">
        <v>0.21238709677419354</v>
      </c>
      <c r="BX140" s="1">
        <v>0.22237339945618592</v>
      </c>
      <c r="BY140" s="1" t="s">
        <v>776</v>
      </c>
      <c r="BZ140" s="1"/>
      <c r="CA140" s="284">
        <v>13.446</v>
      </c>
      <c r="CB140" s="1">
        <v>0.43374193548387097</v>
      </c>
      <c r="CC140" s="1">
        <v>0.46792034050179204</v>
      </c>
      <c r="CD140" s="1" t="s">
        <v>776</v>
      </c>
      <c r="CE140" s="1"/>
      <c r="CF140" s="284">
        <v>41.576509931506848</v>
      </c>
      <c r="CG140" s="1">
        <v>1.3411777397260274</v>
      </c>
      <c r="CH140" s="1">
        <v>1.4262575616937394</v>
      </c>
      <c r="CI140" s="1" t="s">
        <v>776</v>
      </c>
      <c r="CJ140" s="1"/>
      <c r="CK140" s="284">
        <v>74.664000000000001</v>
      </c>
      <c r="CL140" s="1">
        <v>2.4085161290322583</v>
      </c>
      <c r="CM140" s="1">
        <v>2.5676927172166604</v>
      </c>
      <c r="CN140" s="1">
        <v>8.7590000000000003</v>
      </c>
      <c r="CO140" s="1"/>
      <c r="CP140" s="284">
        <v>197.53899999999999</v>
      </c>
      <c r="CQ140" s="1">
        <v>6.3722258064516124</v>
      </c>
      <c r="CR140" s="1">
        <v>6.3701994685452972</v>
      </c>
      <c r="CS140" s="1">
        <v>14.015000000000001</v>
      </c>
      <c r="CT140" s="1"/>
      <c r="CU140" s="284">
        <v>166.614</v>
      </c>
      <c r="CV140" s="1">
        <v>5.3746451612903225</v>
      </c>
      <c r="CW140" s="1">
        <v>5.4211003831417628</v>
      </c>
      <c r="CX140" s="1">
        <v>10.55</v>
      </c>
      <c r="CZ140" s="269">
        <v>22.734000000000002</v>
      </c>
      <c r="DA140" s="1">
        <v>0.73335483870967744</v>
      </c>
      <c r="DB140" s="1"/>
      <c r="DC140" s="284">
        <v>13.563689041095891</v>
      </c>
      <c r="DD140" s="1">
        <v>0.43753835616438358</v>
      </c>
      <c r="DE140" s="1">
        <v>0.43886797664495836</v>
      </c>
      <c r="DF140" s="1" t="s">
        <v>776</v>
      </c>
      <c r="DG140" s="1"/>
      <c r="DH140" s="284">
        <f>DI140*31</f>
        <v>73.080509931506839</v>
      </c>
      <c r="DI140" s="1">
        <f t="shared" si="246"/>
        <v>2.3574358042421562</v>
      </c>
      <c r="DJ140" s="1">
        <f t="shared" si="248"/>
        <v>2.5113914017629519</v>
      </c>
      <c r="DK140" s="1"/>
      <c r="DL140" s="1"/>
      <c r="DM140" s="284">
        <f>DN140*31</f>
        <v>3188.7036574315071</v>
      </c>
      <c r="DN140" s="1">
        <f t="shared" si="247"/>
        <v>102.86140830424216</v>
      </c>
      <c r="DO140" s="1">
        <f t="shared" si="249"/>
        <v>102.09402155782759</v>
      </c>
      <c r="DP140" s="1"/>
      <c r="DQ140" s="1"/>
      <c r="DR140" s="284">
        <f>DS140*31</f>
        <v>475.11468904109591</v>
      </c>
      <c r="DS140" s="1">
        <f t="shared" si="243"/>
        <v>15.326280291648255</v>
      </c>
      <c r="DT140" s="1" t="e">
        <f>SUM(CM140+CR140+CW140+#REF!+DE140)</f>
        <v>#REF!</v>
      </c>
      <c r="DU140" s="1"/>
      <c r="DV140" s="1"/>
      <c r="DW140" s="284">
        <f>DX140*31</f>
        <v>3663.818346472603</v>
      </c>
      <c r="DX140" s="1">
        <f t="shared" si="244"/>
        <v>118.18768859589042</v>
      </c>
      <c r="DY140" s="1">
        <f t="shared" si="245"/>
        <v>117.82221801453069</v>
      </c>
      <c r="EB140" s="242">
        <v>2.68</v>
      </c>
      <c r="EL140">
        <v>2009</v>
      </c>
      <c r="EM140" s="157" t="s">
        <v>719</v>
      </c>
      <c r="EN140" t="s">
        <v>841</v>
      </c>
      <c r="EO140">
        <v>257.68400000000003</v>
      </c>
      <c r="EP140" t="e">
        <f t="shared" si="250"/>
        <v>#VALUE!</v>
      </c>
    </row>
    <row r="141" spans="1:146" x14ac:dyDescent="0.25">
      <c r="A141" s="8">
        <v>2009</v>
      </c>
      <c r="B141" s="24" t="s">
        <v>713</v>
      </c>
      <c r="D141" s="285">
        <v>218.28</v>
      </c>
      <c r="E141" s="33">
        <v>7.7957142857142854</v>
      </c>
      <c r="F141" s="33">
        <v>8.3407312083973384</v>
      </c>
      <c r="G141" s="6">
        <v>18.12</v>
      </c>
      <c r="H141" s="6"/>
      <c r="I141" s="285"/>
      <c r="J141" s="6"/>
      <c r="K141" s="6"/>
      <c r="L141" s="6"/>
      <c r="M141" s="32"/>
      <c r="N141" s="285">
        <v>94.584000000000003</v>
      </c>
      <c r="O141" s="6">
        <v>3.3780000000000001</v>
      </c>
      <c r="P141" s="33">
        <v>3.4056740143369173</v>
      </c>
      <c r="Q141" s="6">
        <v>5.9779999999999998</v>
      </c>
      <c r="R141" s="32"/>
      <c r="S141" s="285">
        <v>130.874</v>
      </c>
      <c r="T141" s="6">
        <v>4.6740714285714287</v>
      </c>
      <c r="U141" s="33">
        <v>5.089190271377368</v>
      </c>
      <c r="V141" s="6">
        <v>7.016</v>
      </c>
      <c r="W141" s="185"/>
      <c r="X141" s="285">
        <v>548.98900000000003</v>
      </c>
      <c r="Y141" s="6">
        <v>19.606750000000002</v>
      </c>
      <c r="Z141" s="33">
        <v>19.354507482078855</v>
      </c>
      <c r="AA141" s="6">
        <v>25.672999999999998</v>
      </c>
      <c r="AB141" s="32"/>
      <c r="AC141" s="298">
        <v>679.86300000000006</v>
      </c>
      <c r="AD141" s="35">
        <v>24.280821428571432</v>
      </c>
      <c r="AE141" s="35">
        <v>24.443697753456217</v>
      </c>
      <c r="AF141" s="35">
        <v>32.689</v>
      </c>
      <c r="AG141" s="32"/>
      <c r="AH141" s="285">
        <v>1474.3240000000001</v>
      </c>
      <c r="AI141" s="6">
        <v>52.654428571428575</v>
      </c>
      <c r="AJ141" s="33">
        <v>56.604367434715812</v>
      </c>
      <c r="AK141" s="6">
        <v>93.3</v>
      </c>
      <c r="AL141" s="32"/>
      <c r="AM141" s="285">
        <v>18.178000000000001</v>
      </c>
      <c r="AN141" s="6">
        <v>0.64921428571428574</v>
      </c>
      <c r="AO141" s="33">
        <v>0.62340414746543782</v>
      </c>
      <c r="AP141" s="21" t="s">
        <v>776</v>
      </c>
      <c r="AQ141" s="32"/>
      <c r="AR141" s="285">
        <v>105.11799999999999</v>
      </c>
      <c r="AS141" s="6">
        <v>3.7542142857142857</v>
      </c>
      <c r="AT141" s="33">
        <v>4.2477446492575526</v>
      </c>
      <c r="AU141" s="21" t="s">
        <v>776</v>
      </c>
      <c r="AV141" s="32"/>
      <c r="AW141" s="285">
        <v>7.0170000000000003</v>
      </c>
      <c r="AX141" s="6">
        <v>0.25060714285714286</v>
      </c>
      <c r="AY141" s="33">
        <v>0.27384118663594476</v>
      </c>
      <c r="AZ141" s="21" t="s">
        <v>776</v>
      </c>
      <c r="BA141" s="32"/>
      <c r="BB141" s="285">
        <v>21.562999999999999</v>
      </c>
      <c r="BC141" s="6">
        <v>0.77010714285714277</v>
      </c>
      <c r="BD141" s="33">
        <v>0.81588312211981562</v>
      </c>
      <c r="BE141" s="21" t="s">
        <v>776</v>
      </c>
      <c r="BF141" s="32"/>
      <c r="BG141" s="285">
        <v>26.777000000000001</v>
      </c>
      <c r="BH141" s="6">
        <v>0.95632142857142866</v>
      </c>
      <c r="BI141" s="33">
        <v>0.9161906746031746</v>
      </c>
      <c r="BJ141" s="21" t="s">
        <v>776</v>
      </c>
      <c r="BK141" s="32"/>
      <c r="BL141" s="285">
        <v>115.87318342465754</v>
      </c>
      <c r="BM141" s="6">
        <v>4.1383279794520549</v>
      </c>
      <c r="BN141" s="33">
        <v>4.164038533218867</v>
      </c>
      <c r="BO141" s="21" t="s">
        <v>776</v>
      </c>
      <c r="BP141" s="32"/>
      <c r="BQ141" s="284">
        <v>8.9979999999999993</v>
      </c>
      <c r="BR141" s="1">
        <v>0.32135714285714284</v>
      </c>
      <c r="BS141" s="33">
        <v>0.39138997695852534</v>
      </c>
      <c r="BT141" s="21" t="s">
        <v>776</v>
      </c>
      <c r="BU141" s="32"/>
      <c r="BV141" s="284">
        <v>4.2699999999999996</v>
      </c>
      <c r="BW141" s="1">
        <v>0.1525</v>
      </c>
      <c r="BX141" s="33">
        <v>0.21299265232974915</v>
      </c>
      <c r="BY141" s="21" t="s">
        <v>776</v>
      </c>
      <c r="BZ141" s="32"/>
      <c r="CA141" s="285">
        <v>10.946999999999999</v>
      </c>
      <c r="CB141" s="6">
        <v>0.39096428571428571</v>
      </c>
      <c r="CC141" s="33">
        <v>0.45950069764464924</v>
      </c>
      <c r="CD141" s="21" t="s">
        <v>776</v>
      </c>
      <c r="CE141" s="32"/>
      <c r="CF141" s="285">
        <v>37.552976712328764</v>
      </c>
      <c r="CG141" s="6">
        <v>1.3411777397260274</v>
      </c>
      <c r="CH141" s="33">
        <v>1.4156225839477756</v>
      </c>
      <c r="CI141" s="21" t="s">
        <v>776</v>
      </c>
      <c r="CJ141" s="32"/>
      <c r="CK141" s="285">
        <v>62.161000000000001</v>
      </c>
      <c r="CL141" s="6">
        <v>2.2200357142857143</v>
      </c>
      <c r="CM141" s="33">
        <v>2.4472071876600094</v>
      </c>
      <c r="CN141" s="6">
        <v>6.3780000000000001</v>
      </c>
      <c r="CO141" s="32"/>
      <c r="CP141" s="285">
        <v>181.77199999999999</v>
      </c>
      <c r="CQ141" s="6">
        <v>6.4918571428571425</v>
      </c>
      <c r="CR141" s="33">
        <v>6.3905180235535077</v>
      </c>
      <c r="CS141" s="6">
        <v>9.2650000000000006</v>
      </c>
      <c r="CT141" s="32"/>
      <c r="CU141" s="285">
        <v>142.90299999999999</v>
      </c>
      <c r="CV141" s="6">
        <v>5.1036785714285715</v>
      </c>
      <c r="CW141" s="33">
        <v>5.4160621031746041</v>
      </c>
      <c r="CX141" s="6">
        <v>8.42</v>
      </c>
      <c r="CY141" s="6"/>
      <c r="CZ141" s="270">
        <v>19.006</v>
      </c>
      <c r="DA141" s="6">
        <v>0.67878571428571433</v>
      </c>
      <c r="DB141" s="32"/>
      <c r="DC141" s="285">
        <v>12.25107397260274</v>
      </c>
      <c r="DD141" s="6">
        <v>0.43753835616438358</v>
      </c>
      <c r="DE141" s="33">
        <v>0.43870177408488648</v>
      </c>
      <c r="DF141" s="21" t="s">
        <v>776</v>
      </c>
      <c r="DG141" s="32"/>
      <c r="DH141" s="284">
        <f>DI141*28</f>
        <v>61.767976712328775</v>
      </c>
      <c r="DI141" s="1">
        <f t="shared" si="246"/>
        <v>2.2059991682974562</v>
      </c>
      <c r="DJ141" s="1">
        <f t="shared" si="248"/>
        <v>2.4795059108806994</v>
      </c>
      <c r="DM141" s="284">
        <f>DN141*28</f>
        <v>2699.8092067123289</v>
      </c>
      <c r="DN141" s="1">
        <f t="shared" si="247"/>
        <v>96.421757382583181</v>
      </c>
      <c r="DO141" s="1">
        <f t="shared" si="249"/>
        <v>101.34800227722019</v>
      </c>
      <c r="DR141" s="284">
        <f>DS141*28</f>
        <v>418.09307397260272</v>
      </c>
      <c r="DS141" s="1">
        <f t="shared" si="243"/>
        <v>14.931895499021525</v>
      </c>
      <c r="DT141" s="1" t="e">
        <f>SUM(CM141+CR141+CW141+#REF!+DE141)</f>
        <v>#REF!</v>
      </c>
      <c r="DW141" s="284">
        <f>DX141*28</f>
        <v>3117.9022806849316</v>
      </c>
      <c r="DX141" s="1">
        <f t="shared" si="244"/>
        <v>111.3536528816047</v>
      </c>
      <c r="DY141" s="1">
        <f t="shared" si="245"/>
        <v>116.87308277046911</v>
      </c>
      <c r="EB141" s="242">
        <v>0.35</v>
      </c>
      <c r="EL141">
        <v>2009</v>
      </c>
      <c r="EM141" s="157" t="s">
        <v>713</v>
      </c>
      <c r="EN141" t="s">
        <v>841</v>
      </c>
      <c r="EO141">
        <v>218.28</v>
      </c>
      <c r="EP141" t="e">
        <f t="shared" si="250"/>
        <v>#VALUE!</v>
      </c>
    </row>
    <row r="142" spans="1:146" x14ac:dyDescent="0.25">
      <c r="A142" s="8">
        <v>2009</v>
      </c>
      <c r="B142" t="s">
        <v>714</v>
      </c>
      <c r="D142" s="284">
        <v>261.94</v>
      </c>
      <c r="E142" s="1">
        <v>8.4496774193548383</v>
      </c>
      <c r="F142" s="1">
        <v>8.3257795954941116</v>
      </c>
      <c r="G142" s="1">
        <v>12.05</v>
      </c>
      <c r="M142" s="1"/>
      <c r="N142" s="284">
        <v>101.744</v>
      </c>
      <c r="O142" s="1">
        <v>3.2820645161290321</v>
      </c>
      <c r="P142" s="1">
        <v>3.4032573476702503</v>
      </c>
      <c r="Q142" s="1">
        <v>7.3040000000000003</v>
      </c>
      <c r="R142" s="1"/>
      <c r="S142" s="284">
        <v>146.113</v>
      </c>
      <c r="T142" s="1">
        <v>4.7133225806451611</v>
      </c>
      <c r="U142" s="1">
        <v>5.051453712237584</v>
      </c>
      <c r="V142" s="1">
        <v>8.1920000000000002</v>
      </c>
      <c r="W142" s="88"/>
      <c r="X142" s="284">
        <v>605.98599999999999</v>
      </c>
      <c r="Y142" s="1">
        <v>19.547935483870969</v>
      </c>
      <c r="Z142" s="1">
        <v>19.318131137992832</v>
      </c>
      <c r="AA142" s="1">
        <v>27.638999999999999</v>
      </c>
      <c r="AB142" s="1"/>
      <c r="AC142" s="284">
        <v>752.09899999999993</v>
      </c>
      <c r="AD142" s="1">
        <v>24.261258064516127</v>
      </c>
      <c r="AE142" s="1">
        <v>24.369584850230414</v>
      </c>
      <c r="AF142" s="1">
        <v>35.831000000000003</v>
      </c>
      <c r="AG142" s="1"/>
      <c r="AH142" s="284">
        <v>1655.88</v>
      </c>
      <c r="AI142" s="1">
        <v>53.415483870967748</v>
      </c>
      <c r="AJ142" s="1">
        <v>56.229039477726566</v>
      </c>
      <c r="AK142" s="1">
        <v>142.5</v>
      </c>
      <c r="AL142" s="1"/>
      <c r="AM142" s="284">
        <v>20.513000000000002</v>
      </c>
      <c r="AN142" s="1">
        <v>0.66170967741935494</v>
      </c>
      <c r="AO142" s="1">
        <v>0.62982619047619048</v>
      </c>
      <c r="AP142" s="1" t="s">
        <v>776</v>
      </c>
      <c r="AQ142" s="1"/>
      <c r="AR142" s="284">
        <v>120.089</v>
      </c>
      <c r="AS142" s="1">
        <v>3.8738387096774192</v>
      </c>
      <c r="AT142" s="1">
        <v>4.1190134664618538</v>
      </c>
      <c r="AU142" s="1" t="s">
        <v>776</v>
      </c>
      <c r="AV142" s="1"/>
      <c r="AW142" s="284">
        <v>8.1920000000000002</v>
      </c>
      <c r="AX142" s="1">
        <v>0.26425806451612904</v>
      </c>
      <c r="AY142" s="1">
        <v>0.27731699308755758</v>
      </c>
      <c r="AZ142" s="1" t="s">
        <v>776</v>
      </c>
      <c r="BA142" s="1"/>
      <c r="BB142" s="284">
        <v>25.428000000000001</v>
      </c>
      <c r="BC142" s="1">
        <v>0.82025806451612904</v>
      </c>
      <c r="BD142" s="1">
        <v>0.80843688556067572</v>
      </c>
      <c r="BE142" s="1" t="s">
        <v>776</v>
      </c>
      <c r="BF142" s="1"/>
      <c r="BG142" s="284">
        <v>26.855</v>
      </c>
      <c r="BH142" s="1">
        <v>0.8662903225806452</v>
      </c>
      <c r="BI142" s="1">
        <v>0.9135159434203789</v>
      </c>
      <c r="BJ142" s="1" t="s">
        <v>776</v>
      </c>
      <c r="BK142" s="1"/>
      <c r="BL142" s="284">
        <v>128.28816736301371</v>
      </c>
      <c r="BM142" s="1">
        <v>4.1383279794520549</v>
      </c>
      <c r="BN142" s="1">
        <v>4.1603655969664652</v>
      </c>
      <c r="BO142" s="1" t="s">
        <v>776</v>
      </c>
      <c r="BP142" s="1"/>
      <c r="BQ142" s="284">
        <v>10.597</v>
      </c>
      <c r="BR142" s="1">
        <v>0.34183870967741936</v>
      </c>
      <c r="BS142" s="1">
        <v>0.39007008448540703</v>
      </c>
      <c r="BT142" s="1" t="s">
        <v>776</v>
      </c>
      <c r="BU142" s="1"/>
      <c r="BV142" s="284">
        <v>5.1870000000000003</v>
      </c>
      <c r="BW142" s="1">
        <v>0.16732258064516131</v>
      </c>
      <c r="BX142" s="1">
        <v>0.20872921146953405</v>
      </c>
      <c r="BY142" s="1" t="s">
        <v>776</v>
      </c>
      <c r="BZ142" s="1"/>
      <c r="CA142" s="284">
        <v>12.943</v>
      </c>
      <c r="CB142" s="1">
        <v>0.41751612903225804</v>
      </c>
      <c r="CC142" s="1">
        <v>0.45650069764464923</v>
      </c>
      <c r="CD142" s="1" t="s">
        <v>776</v>
      </c>
      <c r="CE142" s="1"/>
      <c r="CF142" s="284">
        <v>41.576509931506848</v>
      </c>
      <c r="CG142" s="1">
        <v>1.3411777397260274</v>
      </c>
      <c r="CH142" s="1">
        <v>1.4049876062018116</v>
      </c>
      <c r="CI142" s="1" t="s">
        <v>776</v>
      </c>
      <c r="CJ142" s="1"/>
      <c r="CK142" s="284">
        <v>98.043999999999997</v>
      </c>
      <c r="CL142" s="1">
        <v>3.1627096774193548</v>
      </c>
      <c r="CM142" s="1">
        <v>2.4411453597030204</v>
      </c>
      <c r="CN142" s="1">
        <v>7.4409999999999998</v>
      </c>
      <c r="CO142" s="1"/>
      <c r="CP142" s="284">
        <v>198.017</v>
      </c>
      <c r="CQ142" s="1">
        <v>6.3876451612903224</v>
      </c>
      <c r="CR142" s="1">
        <v>6.3903916794674842</v>
      </c>
      <c r="CS142" s="1">
        <v>9.2569999999999997</v>
      </c>
      <c r="CT142" s="1"/>
      <c r="CU142" s="284">
        <v>162.90899999999999</v>
      </c>
      <c r="CV142" s="1">
        <v>5.2551290322580639</v>
      </c>
      <c r="CW142" s="1">
        <v>5.4636373719918083</v>
      </c>
      <c r="CX142" s="1">
        <v>9.3019999999999996</v>
      </c>
      <c r="CZ142" s="269">
        <v>22.605</v>
      </c>
      <c r="DA142" s="1">
        <v>0.72919354838709682</v>
      </c>
      <c r="DB142" s="1"/>
      <c r="DC142" s="284">
        <v>13.563689041095891</v>
      </c>
      <c r="DD142" s="1">
        <v>0.43753835616438358</v>
      </c>
      <c r="DE142" s="1">
        <v>0.4385355715248147</v>
      </c>
      <c r="DF142" s="1" t="s">
        <v>776</v>
      </c>
      <c r="DG142" s="1"/>
      <c r="DH142" s="284">
        <f>DI142*31</f>
        <v>70.303509931506838</v>
      </c>
      <c r="DI142" s="1">
        <f t="shared" si="246"/>
        <v>2.2678551590808658</v>
      </c>
      <c r="DJ142" s="1">
        <f t="shared" si="248"/>
        <v>2.460287599801402</v>
      </c>
      <c r="DK142" s="1"/>
      <c r="DL142" s="1"/>
      <c r="DM142" s="284">
        <f>DN142*31</f>
        <v>3030.7246574315063</v>
      </c>
      <c r="DN142" s="1">
        <f t="shared" si="247"/>
        <v>97.765311530048592</v>
      </c>
      <c r="DO142" s="1">
        <f t="shared" si="249"/>
        <v>100.7758487273159</v>
      </c>
      <c r="DP142" s="1"/>
      <c r="DQ142" s="1"/>
      <c r="DR142" s="284">
        <f>DS142*31</f>
        <v>495.13868904109586</v>
      </c>
      <c r="DS142" s="1">
        <f t="shared" si="243"/>
        <v>15.972215775519221</v>
      </c>
      <c r="DT142" s="1" t="e">
        <f>SUM(CM142+CR142+CW142+#REF!+DE142)</f>
        <v>#REF!</v>
      </c>
      <c r="DU142" s="1"/>
      <c r="DV142" s="1"/>
      <c r="DW142" s="284">
        <f>DX142*31</f>
        <v>3525.8633464726022</v>
      </c>
      <c r="DX142" s="1">
        <f t="shared" si="244"/>
        <v>113.73752730556781</v>
      </c>
      <c r="DY142" s="1">
        <f t="shared" si="245"/>
        <v>116.32495925456391</v>
      </c>
      <c r="EB142" s="242">
        <v>1.97</v>
      </c>
      <c r="EL142">
        <v>2009</v>
      </c>
      <c r="EM142" s="157" t="s">
        <v>714</v>
      </c>
      <c r="EN142" t="s">
        <v>841</v>
      </c>
      <c r="EO142">
        <v>261.94</v>
      </c>
      <c r="EP142" t="e">
        <f t="shared" si="250"/>
        <v>#VALUE!</v>
      </c>
    </row>
    <row r="143" spans="1:146" x14ac:dyDescent="0.25">
      <c r="A143" s="8">
        <v>2009</v>
      </c>
      <c r="B143" t="s">
        <v>705</v>
      </c>
      <c r="D143" s="284">
        <v>267.916</v>
      </c>
      <c r="E143" s="1">
        <v>8.930533333333333</v>
      </c>
      <c r="F143" s="1">
        <v>8.2938823732718898</v>
      </c>
      <c r="G143" s="1">
        <v>10.423999999999999</v>
      </c>
      <c r="M143" s="1"/>
      <c r="N143" s="284">
        <v>103.608</v>
      </c>
      <c r="O143" s="1">
        <v>3.4536000000000002</v>
      </c>
      <c r="P143" s="1">
        <v>3.3991434587813623</v>
      </c>
      <c r="Q143" s="1">
        <v>6.7720000000000002</v>
      </c>
      <c r="R143" s="1"/>
      <c r="S143" s="284">
        <v>156.40100000000001</v>
      </c>
      <c r="T143" s="1">
        <v>5.2133666666666674</v>
      </c>
      <c r="U143" s="1">
        <v>5.0179981566820278</v>
      </c>
      <c r="V143" s="1">
        <v>9.3829999999999991</v>
      </c>
      <c r="W143" s="88"/>
      <c r="X143" s="284">
        <v>635.68899999999996</v>
      </c>
      <c r="Y143" s="1">
        <v>21.189633333333333</v>
      </c>
      <c r="Z143" s="1">
        <v>19.351744310035841</v>
      </c>
      <c r="AA143" s="1">
        <v>29.477</v>
      </c>
      <c r="AB143" s="1"/>
      <c r="AC143" s="284">
        <v>792.09</v>
      </c>
      <c r="AD143" s="1">
        <v>26.402999999999999</v>
      </c>
      <c r="AE143" s="1">
        <v>24.36974246671787</v>
      </c>
      <c r="AF143" s="1">
        <v>38.86</v>
      </c>
      <c r="AG143" s="1"/>
      <c r="AH143" s="284">
        <v>1882.028</v>
      </c>
      <c r="AI143" s="1">
        <v>62.73426666666667</v>
      </c>
      <c r="AJ143" s="1">
        <v>56.264478366615464</v>
      </c>
      <c r="AK143" s="1">
        <v>149.1</v>
      </c>
      <c r="AL143" s="1"/>
      <c r="AM143" s="284">
        <v>20.52</v>
      </c>
      <c r="AN143" s="1">
        <v>0.68399999999999994</v>
      </c>
      <c r="AO143" s="1">
        <v>0.63047063492063493</v>
      </c>
      <c r="AP143" s="1" t="s">
        <v>776</v>
      </c>
      <c r="AQ143" s="1"/>
      <c r="AR143" s="284">
        <v>131.55600000000001</v>
      </c>
      <c r="AS143" s="1">
        <v>4.3852000000000002</v>
      </c>
      <c r="AT143" s="1">
        <v>4.1197190220174091</v>
      </c>
      <c r="AU143" s="1" t="s">
        <v>776</v>
      </c>
      <c r="AV143" s="1"/>
      <c r="AW143" s="284">
        <v>8.6880000000000006</v>
      </c>
      <c r="AX143" s="1">
        <v>0.28960000000000002</v>
      </c>
      <c r="AY143" s="1">
        <v>0.27536699308755763</v>
      </c>
      <c r="AZ143" s="1" t="s">
        <v>776</v>
      </c>
      <c r="BA143" s="1"/>
      <c r="BB143" s="284">
        <v>24.645</v>
      </c>
      <c r="BC143" s="1">
        <v>0.82150000000000001</v>
      </c>
      <c r="BD143" s="1">
        <v>0.81197362391193029</v>
      </c>
      <c r="BE143" s="1" t="s">
        <v>776</v>
      </c>
      <c r="BF143" s="1"/>
      <c r="BG143" s="284">
        <v>27.42</v>
      </c>
      <c r="BH143" s="1">
        <v>0.91400000000000003</v>
      </c>
      <c r="BI143" s="1">
        <v>0.90412705453149</v>
      </c>
      <c r="BJ143" s="1" t="s">
        <v>776</v>
      </c>
      <c r="BK143" s="1"/>
      <c r="BL143" s="284">
        <v>124.14983938356164</v>
      </c>
      <c r="BM143" s="1">
        <v>4.1383279794520549</v>
      </c>
      <c r="BN143" s="1">
        <v>4.1566926607140635</v>
      </c>
      <c r="BO143" s="1" t="s">
        <v>776</v>
      </c>
      <c r="BP143" s="1"/>
      <c r="BQ143" s="284">
        <v>10.536</v>
      </c>
      <c r="BR143" s="1">
        <v>0.35120000000000001</v>
      </c>
      <c r="BS143" s="1">
        <v>0.38654508448540709</v>
      </c>
      <c r="BT143" s="1" t="s">
        <v>776</v>
      </c>
      <c r="BU143" s="1"/>
      <c r="BV143" s="284">
        <v>5.7450000000000001</v>
      </c>
      <c r="BW143" s="1">
        <v>0.1915</v>
      </c>
      <c r="BX143" s="1">
        <v>0.20327087813620071</v>
      </c>
      <c r="BY143" s="1" t="s">
        <v>776</v>
      </c>
      <c r="BZ143" s="1"/>
      <c r="CA143" s="284">
        <v>13.131</v>
      </c>
      <c r="CB143" s="1">
        <v>0.43770000000000003</v>
      </c>
      <c r="CC143" s="1">
        <v>0.45004791986687143</v>
      </c>
      <c r="CD143" s="1" t="s">
        <v>776</v>
      </c>
      <c r="CE143" s="1"/>
      <c r="CF143" s="284">
        <v>40.23533219178082</v>
      </c>
      <c r="CG143" s="1">
        <v>1.3411777397260274</v>
      </c>
      <c r="CH143" s="1">
        <v>1.3943526284558478</v>
      </c>
      <c r="CI143" s="1" t="s">
        <v>776</v>
      </c>
      <c r="CJ143" s="1"/>
      <c r="CK143" s="284">
        <v>115.074</v>
      </c>
      <c r="CL143" s="1">
        <v>3.8357999999999999</v>
      </c>
      <c r="CM143" s="1">
        <v>2.4230453597030208</v>
      </c>
      <c r="CN143" s="1">
        <v>8.4410000000000007</v>
      </c>
      <c r="CO143" s="1"/>
      <c r="CP143" s="284">
        <v>247.30799999999999</v>
      </c>
      <c r="CQ143" s="1">
        <v>8.2435999999999989</v>
      </c>
      <c r="CR143" s="1">
        <v>6.5126111239119302</v>
      </c>
      <c r="CS143" s="1">
        <v>13.694000000000001</v>
      </c>
      <c r="CT143" s="1"/>
      <c r="CU143" s="284">
        <v>172.714</v>
      </c>
      <c r="CV143" s="1">
        <v>5.757133333333333</v>
      </c>
      <c r="CW143" s="1">
        <v>5.4557151497695857</v>
      </c>
      <c r="CX143" s="1">
        <v>9.5749999999999993</v>
      </c>
      <c r="CZ143" s="269">
        <v>23.788</v>
      </c>
      <c r="DA143" s="1">
        <v>0.79293333333333338</v>
      </c>
      <c r="DB143" s="1"/>
      <c r="DC143" s="284">
        <v>13.126150684931508</v>
      </c>
      <c r="DD143" s="1">
        <v>0.43753835616438358</v>
      </c>
      <c r="DE143" s="1">
        <v>0.43836936896474282</v>
      </c>
      <c r="DF143" s="1" t="s">
        <v>776</v>
      </c>
      <c r="DG143" s="1"/>
      <c r="DH143" s="284">
        <f>DI143*30</f>
        <v>69.647332191780833</v>
      </c>
      <c r="DI143" s="1">
        <f t="shared" si="246"/>
        <v>2.3215777397260275</v>
      </c>
      <c r="DJ143" s="1">
        <f t="shared" si="248"/>
        <v>2.4342165109443266</v>
      </c>
      <c r="DK143" s="1"/>
      <c r="DL143" s="1"/>
      <c r="DM143" s="284">
        <f>DN143*30</f>
        <v>3312.9735071917808</v>
      </c>
      <c r="DN143" s="1">
        <f t="shared" si="247"/>
        <v>110.43245023972602</v>
      </c>
      <c r="DO143" s="1">
        <f t="shared" si="249"/>
        <v>100.78062743547612</v>
      </c>
      <c r="DP143" s="1"/>
      <c r="DQ143" s="1"/>
      <c r="DR143" s="284">
        <f>DS143*30</f>
        <v>572.01015068493155</v>
      </c>
      <c r="DS143" s="1">
        <f t="shared" si="243"/>
        <v>19.067005022831051</v>
      </c>
      <c r="DT143" s="1" t="e">
        <f>SUM(CM143+CR143+CW143+#REF!+DE143)</f>
        <v>#REF!</v>
      </c>
      <c r="DU143" s="1"/>
      <c r="DV143" s="1"/>
      <c r="DW143" s="284">
        <f>DX143*30</f>
        <v>3884.9836578767117</v>
      </c>
      <c r="DX143" s="1">
        <f t="shared" ref="DX143:DX148" si="251">SUM(DN143+DS143)</f>
        <v>129.49945526255706</v>
      </c>
      <c r="DY143" s="1">
        <f t="shared" si="245"/>
        <v>116.4151523157196</v>
      </c>
      <c r="EB143" s="242">
        <v>4.22</v>
      </c>
      <c r="EL143">
        <v>2009</v>
      </c>
      <c r="EM143" s="157" t="s">
        <v>705</v>
      </c>
      <c r="EN143" t="s">
        <v>841</v>
      </c>
      <c r="EO143">
        <v>267.916</v>
      </c>
      <c r="EP143" t="e">
        <f t="shared" si="250"/>
        <v>#VALUE!</v>
      </c>
    </row>
    <row r="144" spans="1:146" x14ac:dyDescent="0.25">
      <c r="A144" s="8">
        <v>2009</v>
      </c>
      <c r="B144" t="s">
        <v>715</v>
      </c>
      <c r="D144" s="284">
        <v>295.75900000000001</v>
      </c>
      <c r="E144" s="1">
        <v>9.5406129032258065</v>
      </c>
      <c r="F144" s="1">
        <v>8.2400893625192015</v>
      </c>
      <c r="G144" s="1">
        <v>15.473000000000001</v>
      </c>
      <c r="M144" s="1"/>
      <c r="N144" s="284">
        <v>116.63800000000001</v>
      </c>
      <c r="O144" s="1">
        <v>3.7625161290322584</v>
      </c>
      <c r="P144" s="1">
        <v>3.3745117383512544</v>
      </c>
      <c r="Q144" s="1">
        <v>10.478</v>
      </c>
      <c r="R144" s="1"/>
      <c r="S144" s="284">
        <v>179.989</v>
      </c>
      <c r="T144" s="1">
        <v>5.8060967741935485</v>
      </c>
      <c r="U144" s="1">
        <v>4.9275922427035335</v>
      </c>
      <c r="V144" s="1">
        <v>15.565</v>
      </c>
      <c r="W144" s="88"/>
      <c r="X144" s="284">
        <v>711.53300000000002</v>
      </c>
      <c r="Y144" s="1">
        <v>22.952677419354838</v>
      </c>
      <c r="Z144" s="1">
        <v>19.345811514336919</v>
      </c>
      <c r="AA144" s="1">
        <v>34.478999999999999</v>
      </c>
      <c r="AB144" s="1"/>
      <c r="AC144" s="284">
        <v>891.52200000000005</v>
      </c>
      <c r="AD144" s="1">
        <v>28.758774193548387</v>
      </c>
      <c r="AE144" s="1">
        <v>24.273403757040455</v>
      </c>
      <c r="AF144" s="1">
        <v>50.043999999999997</v>
      </c>
      <c r="AG144" s="1"/>
      <c r="AH144" s="284">
        <v>2057.2539999999999</v>
      </c>
      <c r="AI144" s="1">
        <v>66.363032258064507</v>
      </c>
      <c r="AJ144" s="1">
        <v>55.586717613927298</v>
      </c>
      <c r="AK144" s="1">
        <v>196.8</v>
      </c>
      <c r="AL144" s="1"/>
      <c r="AM144" s="284">
        <v>24.742999999999999</v>
      </c>
      <c r="AN144" s="1">
        <v>0.79816129032258065</v>
      </c>
      <c r="AO144" s="1">
        <v>0.61031740911418331</v>
      </c>
      <c r="AP144" s="1" t="s">
        <v>776</v>
      </c>
      <c r="AQ144" s="1"/>
      <c r="AR144" s="284">
        <v>156.672</v>
      </c>
      <c r="AS144" s="1">
        <v>5.0539354838709674</v>
      </c>
      <c r="AT144" s="1">
        <v>3.928772785458269</v>
      </c>
      <c r="AU144" s="1" t="s">
        <v>776</v>
      </c>
      <c r="AV144" s="1"/>
      <c r="AW144" s="284">
        <v>12.108000000000001</v>
      </c>
      <c r="AX144" s="1">
        <v>0.39058064516129032</v>
      </c>
      <c r="AY144" s="1">
        <v>0.26149871351766518</v>
      </c>
      <c r="AZ144" s="1" t="s">
        <v>776</v>
      </c>
      <c r="BA144" s="1"/>
      <c r="BB144" s="284">
        <v>28.684999999999999</v>
      </c>
      <c r="BC144" s="1">
        <v>0.92532258064516126</v>
      </c>
      <c r="BD144" s="1">
        <v>0.79760265616999482</v>
      </c>
      <c r="BE144" s="1" t="s">
        <v>776</v>
      </c>
      <c r="BF144" s="1"/>
      <c r="BG144" s="284">
        <v>26.318000000000001</v>
      </c>
      <c r="BH144" s="1">
        <v>0.84896774193548397</v>
      </c>
      <c r="BI144" s="1">
        <v>0.86879103302611371</v>
      </c>
      <c r="BJ144" s="1" t="s">
        <v>776</v>
      </c>
      <c r="BK144" s="1"/>
      <c r="BL144" s="284">
        <v>128.28816736301371</v>
      </c>
      <c r="BM144" s="1">
        <v>4.1383279794520549</v>
      </c>
      <c r="BN144" s="1">
        <v>4.1530197244616618</v>
      </c>
      <c r="BO144" s="1" t="s">
        <v>776</v>
      </c>
      <c r="BP144" s="1"/>
      <c r="BQ144" s="284">
        <v>13.403</v>
      </c>
      <c r="BR144" s="1">
        <v>0.43235483870967745</v>
      </c>
      <c r="BS144" s="1">
        <v>0.38299132104454697</v>
      </c>
      <c r="BT144" s="1" t="s">
        <v>776</v>
      </c>
      <c r="BU144" s="1"/>
      <c r="BV144" s="284">
        <v>7.2850000000000001</v>
      </c>
      <c r="BW144" s="1">
        <v>0.23499999999999999</v>
      </c>
      <c r="BX144" s="1">
        <v>0.17910421146953404</v>
      </c>
      <c r="BY144" s="1" t="s">
        <v>776</v>
      </c>
      <c r="BZ144" s="1"/>
      <c r="CA144" s="284">
        <v>15.57</v>
      </c>
      <c r="CB144" s="1">
        <v>0.50225806451612909</v>
      </c>
      <c r="CC144" s="1">
        <v>0.43456942524321557</v>
      </c>
      <c r="CD144" s="1" t="s">
        <v>776</v>
      </c>
      <c r="CE144" s="1"/>
      <c r="CF144" s="284">
        <v>41.576509931506848</v>
      </c>
      <c r="CG144" s="1">
        <v>1.3411777397260274</v>
      </c>
      <c r="CH144" s="1">
        <v>1.3837176507098838</v>
      </c>
      <c r="CI144" s="1" t="s">
        <v>776</v>
      </c>
      <c r="CJ144" s="1"/>
      <c r="CK144" s="284">
        <v>118.996</v>
      </c>
      <c r="CL144" s="1">
        <v>3.8385806451612901</v>
      </c>
      <c r="CM144" s="1">
        <v>2.3269136392729135</v>
      </c>
      <c r="CN144" s="1">
        <v>13.045999999999999</v>
      </c>
      <c r="CO144" s="1"/>
      <c r="CP144" s="284">
        <v>275.053</v>
      </c>
      <c r="CQ144" s="1">
        <v>8.8726774193548383</v>
      </c>
      <c r="CR144" s="1">
        <v>6.6993718766001029</v>
      </c>
      <c r="CS144" s="1">
        <v>15.631</v>
      </c>
      <c r="CT144" s="1"/>
      <c r="CU144" s="284">
        <v>198.565</v>
      </c>
      <c r="CV144" s="1">
        <v>6.4053225806451612</v>
      </c>
      <c r="CW144" s="1">
        <v>5.4459974078341018</v>
      </c>
      <c r="CX144" s="1">
        <v>13.545999999999999</v>
      </c>
      <c r="CZ144" s="269">
        <v>29.963000000000001</v>
      </c>
      <c r="DA144" s="1">
        <v>0.96654838709677426</v>
      </c>
      <c r="DB144" s="1"/>
      <c r="DC144" s="284">
        <v>13.563689041095891</v>
      </c>
      <c r="DD144" s="1">
        <v>0.43753835616438358</v>
      </c>
      <c r="DE144" s="1">
        <v>0.43820316640467105</v>
      </c>
      <c r="DF144" s="1" t="s">
        <v>776</v>
      </c>
      <c r="DG144" s="1"/>
      <c r="DH144" s="284">
        <f>DI144*31</f>
        <v>77.834509931506858</v>
      </c>
      <c r="DI144" s="1">
        <f t="shared" si="246"/>
        <v>2.5107906429518341</v>
      </c>
      <c r="DJ144" s="1">
        <f t="shared" ref="DJ144:DJ149" si="252">SUM(DI133:DI144)/12</f>
        <v>2.3803826084671798</v>
      </c>
      <c r="DK144" s="1"/>
      <c r="DL144" s="1"/>
      <c r="DM144" s="284">
        <f>DN144*31</f>
        <v>3660.1526574315071</v>
      </c>
      <c r="DN144" s="1">
        <f t="shared" si="247"/>
        <v>118.06944056230668</v>
      </c>
      <c r="DO144" s="1">
        <f t="shared" ref="DO144:DO149" si="253">SUM(DN133:DN144)/12</f>
        <v>99.714342165141758</v>
      </c>
      <c r="DP144" s="1"/>
      <c r="DQ144" s="1"/>
      <c r="DR144" s="284">
        <f>DS144*31</f>
        <v>636.14068904109592</v>
      </c>
      <c r="DS144" s="1">
        <f t="shared" si="243"/>
        <v>20.520667388422449</v>
      </c>
      <c r="DT144" s="1" t="e">
        <f>SUM(CM144+CR144+CW144+#REF!+DE144)</f>
        <v>#REF!</v>
      </c>
      <c r="DU144" s="1"/>
      <c r="DV144" s="1"/>
      <c r="DW144" s="284">
        <f>DX144*31</f>
        <v>4296.2933464726029</v>
      </c>
      <c r="DX144" s="1">
        <f t="shared" si="251"/>
        <v>138.59010795072913</v>
      </c>
      <c r="DY144" s="1">
        <f t="shared" ref="DY144:DY149" si="254">SUM(DX133:DX144)/12</f>
        <v>115.41425998261009</v>
      </c>
      <c r="EB144" s="242">
        <v>8.0500000000000007</v>
      </c>
      <c r="EL144">
        <v>2009</v>
      </c>
      <c r="EM144" s="157" t="s">
        <v>715</v>
      </c>
      <c r="EN144" t="s">
        <v>841</v>
      </c>
      <c r="EO144">
        <v>295.75900000000001</v>
      </c>
      <c r="EP144" t="e">
        <f t="shared" si="250"/>
        <v>#VALUE!</v>
      </c>
    </row>
    <row r="145" spans="1:146" x14ac:dyDescent="0.25">
      <c r="A145" s="8">
        <v>2009</v>
      </c>
      <c r="B145" t="s">
        <v>718</v>
      </c>
      <c r="D145" s="284">
        <v>289.06700000000001</v>
      </c>
      <c r="E145" s="1">
        <v>9.6355666666666675</v>
      </c>
      <c r="F145" s="1">
        <v>8.2541921402969773</v>
      </c>
      <c r="G145" s="1">
        <v>11.422000000000001</v>
      </c>
      <c r="M145" s="1"/>
      <c r="N145" s="284">
        <v>115.12</v>
      </c>
      <c r="O145" s="1">
        <v>3.8373333333333335</v>
      </c>
      <c r="P145" s="1">
        <v>3.3843478494623653</v>
      </c>
      <c r="Q145" s="1">
        <v>7.5670000000000002</v>
      </c>
      <c r="R145" s="1"/>
      <c r="S145" s="284">
        <v>218.41200000000001</v>
      </c>
      <c r="T145" s="1">
        <v>7.2804000000000002</v>
      </c>
      <c r="U145" s="1">
        <v>5.0513727982590888</v>
      </c>
      <c r="V145" s="1">
        <v>14.007999999999999</v>
      </c>
      <c r="W145" s="88"/>
      <c r="X145" s="284">
        <v>686.41600000000005</v>
      </c>
      <c r="Y145" s="1">
        <v>22.880533333333336</v>
      </c>
      <c r="Z145" s="1">
        <v>19.513486514336915</v>
      </c>
      <c r="AA145" s="1">
        <v>32.896999999999998</v>
      </c>
      <c r="AB145" s="1"/>
      <c r="AC145" s="284">
        <v>904.82800000000009</v>
      </c>
      <c r="AD145" s="1">
        <v>30.160933333333336</v>
      </c>
      <c r="AE145" s="1">
        <v>24.564859312596003</v>
      </c>
      <c r="AF145" s="1">
        <v>46.905000000000001</v>
      </c>
      <c r="AG145" s="1"/>
      <c r="AH145" s="284">
        <v>2187.2330000000002</v>
      </c>
      <c r="AI145" s="1">
        <v>72.907766666666674</v>
      </c>
      <c r="AJ145" s="1">
        <v>56.43716205837174</v>
      </c>
      <c r="AK145" s="1">
        <v>188.2</v>
      </c>
      <c r="AL145" s="1"/>
      <c r="AM145" s="284">
        <v>24.129000000000001</v>
      </c>
      <c r="AN145" s="1">
        <v>0.80430000000000001</v>
      </c>
      <c r="AO145" s="1">
        <v>0.61987018689196116</v>
      </c>
      <c r="AP145" s="1" t="s">
        <v>776</v>
      </c>
      <c r="AQ145" s="1"/>
      <c r="AR145" s="284">
        <v>149.84899999999999</v>
      </c>
      <c r="AS145" s="1">
        <v>4.9949666666666666</v>
      </c>
      <c r="AT145" s="1">
        <v>3.9452255632360469</v>
      </c>
      <c r="AU145" s="1" t="s">
        <v>776</v>
      </c>
      <c r="AV145" s="1"/>
      <c r="AW145" s="284">
        <v>12.705</v>
      </c>
      <c r="AX145" s="1">
        <v>0.42349999999999999</v>
      </c>
      <c r="AY145" s="1">
        <v>0.27803482462877627</v>
      </c>
      <c r="AZ145" s="1" t="s">
        <v>776</v>
      </c>
      <c r="BA145" s="1"/>
      <c r="BB145" s="284">
        <v>27.161999999999999</v>
      </c>
      <c r="BC145" s="1">
        <v>0.90539999999999998</v>
      </c>
      <c r="BD145" s="1">
        <v>0.80652765616999489</v>
      </c>
      <c r="BE145" s="1" t="s">
        <v>776</v>
      </c>
      <c r="BF145" s="1"/>
      <c r="BG145" s="284">
        <v>35.405000000000001</v>
      </c>
      <c r="BH145" s="1">
        <v>1.1801666666666668</v>
      </c>
      <c r="BI145" s="1">
        <v>0.89014103302611369</v>
      </c>
      <c r="BJ145" s="1" t="s">
        <v>776</v>
      </c>
      <c r="BK145" s="1"/>
      <c r="BL145" s="284">
        <v>124.14983938356164</v>
      </c>
      <c r="BM145" s="1">
        <v>4.1383279794520549</v>
      </c>
      <c r="BN145" s="1">
        <v>4.1493467882092601</v>
      </c>
      <c r="BO145" s="1" t="s">
        <v>776</v>
      </c>
      <c r="BP145" s="1"/>
      <c r="BQ145" s="284">
        <v>12.898</v>
      </c>
      <c r="BR145" s="1">
        <v>0.42993333333333333</v>
      </c>
      <c r="BS145" s="1">
        <v>0.38284409882232467</v>
      </c>
      <c r="BT145" s="1" t="s">
        <v>776</v>
      </c>
      <c r="BU145" s="1"/>
      <c r="BV145" s="284">
        <v>7.9160000000000004</v>
      </c>
      <c r="BW145" s="1">
        <v>0.26386666666666669</v>
      </c>
      <c r="BX145" s="1">
        <v>0.17131254480286739</v>
      </c>
      <c r="BY145" s="1" t="s">
        <v>776</v>
      </c>
      <c r="BZ145" s="1"/>
      <c r="CA145" s="284">
        <v>15.016</v>
      </c>
      <c r="CB145" s="1">
        <v>0.50053333333333339</v>
      </c>
      <c r="CC145" s="1">
        <v>0.43699720302099337</v>
      </c>
      <c r="CD145" s="1" t="s">
        <v>776</v>
      </c>
      <c r="CE145" s="1"/>
      <c r="CF145" s="284">
        <v>40.23533219178082</v>
      </c>
      <c r="CG145" s="1">
        <v>1.3411777397260274</v>
      </c>
      <c r="CH145" s="1">
        <v>1.3730826729639196</v>
      </c>
      <c r="CI145" s="1" t="s">
        <v>776</v>
      </c>
      <c r="CJ145" s="1"/>
      <c r="CK145" s="284">
        <v>121.303</v>
      </c>
      <c r="CL145" s="1">
        <v>4.0434333333333337</v>
      </c>
      <c r="CM145" s="1">
        <v>2.3403747503840244</v>
      </c>
      <c r="CN145" s="1">
        <v>10.579000000000001</v>
      </c>
      <c r="CO145" s="1"/>
      <c r="CP145" s="284">
        <v>272.036</v>
      </c>
      <c r="CQ145" s="1">
        <v>9.0678666666666672</v>
      </c>
      <c r="CR145" s="1">
        <v>6.9059718766001028</v>
      </c>
      <c r="CS145" s="1">
        <v>13.44</v>
      </c>
      <c r="CT145" s="1"/>
      <c r="CU145" s="284">
        <v>210.42400000000001</v>
      </c>
      <c r="CV145" s="1">
        <v>7.0141333333333336</v>
      </c>
      <c r="CW145" s="1">
        <v>5.5277251856118808</v>
      </c>
      <c r="CX145" s="1">
        <v>11.954000000000001</v>
      </c>
      <c r="CZ145" s="269">
        <v>30.818000000000001</v>
      </c>
      <c r="DA145" s="1">
        <v>1.0272666666666668</v>
      </c>
      <c r="DB145" s="1"/>
      <c r="DC145" s="284">
        <v>13.126150684931508</v>
      </c>
      <c r="DD145" s="1">
        <v>0.43753835616438358</v>
      </c>
      <c r="DE145" s="1">
        <v>0.43803696384459917</v>
      </c>
      <c r="DF145" s="1" t="s">
        <v>776</v>
      </c>
      <c r="DG145" s="1"/>
      <c r="DH145" s="284">
        <f>DI145*30</f>
        <v>76.065332191780826</v>
      </c>
      <c r="DI145" s="1">
        <f t="shared" si="246"/>
        <v>2.5355110730593609</v>
      </c>
      <c r="DJ145" s="1">
        <f t="shared" si="252"/>
        <v>2.3642365196101047</v>
      </c>
      <c r="DK145" s="1"/>
      <c r="DL145" s="1"/>
      <c r="DM145" s="284">
        <f>DN145*30</f>
        <v>3793.5825071917811</v>
      </c>
      <c r="DN145" s="1">
        <f t="shared" si="247"/>
        <v>126.45275023972604</v>
      </c>
      <c r="DO145" s="1">
        <f t="shared" si="253"/>
        <v>100.96547087330197</v>
      </c>
      <c r="DP145" s="1"/>
      <c r="DQ145" s="1"/>
      <c r="DR145" s="284">
        <f>DS145*30</f>
        <v>647.70715068493155</v>
      </c>
      <c r="DS145" s="1">
        <f t="shared" si="243"/>
        <v>21.590238356164384</v>
      </c>
      <c r="DT145" s="1" t="e">
        <f>SUM(CM145+CR145+CW145+#REF!+DE145)</f>
        <v>#REF!</v>
      </c>
      <c r="DU145" s="1"/>
      <c r="DV145" s="1"/>
      <c r="DW145" s="284">
        <f>DX145*30</f>
        <v>4441.2896578767122</v>
      </c>
      <c r="DX145" s="1">
        <f t="shared" si="251"/>
        <v>148.04298859589042</v>
      </c>
      <c r="DY145" s="1">
        <f t="shared" si="254"/>
        <v>116.9550808215436</v>
      </c>
      <c r="EB145" s="242">
        <v>5.86</v>
      </c>
      <c r="EL145">
        <v>2009</v>
      </c>
      <c r="EM145" s="157" t="s">
        <v>718</v>
      </c>
      <c r="EN145" t="s">
        <v>841</v>
      </c>
      <c r="EO145">
        <v>289.06700000000001</v>
      </c>
      <c r="EP145" t="e">
        <f t="shared" si="250"/>
        <v>#VALUE!</v>
      </c>
    </row>
    <row r="146" spans="1:146" x14ac:dyDescent="0.25">
      <c r="A146" s="8">
        <v>2009</v>
      </c>
      <c r="B146" s="24" t="s">
        <v>716</v>
      </c>
      <c r="D146" s="285">
        <v>251.37799999999999</v>
      </c>
      <c r="E146" s="33">
        <v>8.1089677419354835</v>
      </c>
      <c r="F146" s="33">
        <v>8.2520254736303116</v>
      </c>
      <c r="G146" s="6">
        <v>10.234</v>
      </c>
      <c r="H146" s="6"/>
      <c r="I146" s="285"/>
      <c r="J146" s="6"/>
      <c r="K146" s="6"/>
      <c r="L146" s="6"/>
      <c r="M146" s="32"/>
      <c r="N146" s="285">
        <v>112.989</v>
      </c>
      <c r="O146" s="6">
        <v>3.6448064516129035</v>
      </c>
      <c r="P146" s="33">
        <v>3.401810215053763</v>
      </c>
      <c r="Q146" s="6">
        <v>6.37</v>
      </c>
      <c r="R146" s="32"/>
      <c r="S146" s="285">
        <v>179.619</v>
      </c>
      <c r="T146" s="6">
        <v>5.794161290322581</v>
      </c>
      <c r="U146" s="33">
        <v>5.1236496799795184</v>
      </c>
      <c r="V146" s="6">
        <v>7.306</v>
      </c>
      <c r="W146" s="185"/>
      <c r="X146" s="285">
        <v>590.851</v>
      </c>
      <c r="Y146" s="6">
        <v>19.059709677419356</v>
      </c>
      <c r="Z146" s="33">
        <v>19.50999457885305</v>
      </c>
      <c r="AA146" s="6">
        <v>27.1</v>
      </c>
      <c r="AB146" s="32"/>
      <c r="AC146" s="298">
        <v>770.47</v>
      </c>
      <c r="AD146" s="35">
        <v>24.853870967741937</v>
      </c>
      <c r="AE146" s="35">
        <v>24.633644258832572</v>
      </c>
      <c r="AF146" s="35">
        <v>34.405999999999999</v>
      </c>
      <c r="AG146" s="32"/>
      <c r="AH146" s="285">
        <v>1754.566</v>
      </c>
      <c r="AI146" s="6">
        <v>56.598903225806453</v>
      </c>
      <c r="AJ146" s="33">
        <v>56.536801843317981</v>
      </c>
      <c r="AK146" s="6">
        <v>102.2</v>
      </c>
      <c r="AL146" s="32"/>
      <c r="AM146" s="285">
        <v>19.018999999999998</v>
      </c>
      <c r="AN146" s="6">
        <v>0.61351612903225805</v>
      </c>
      <c r="AO146" s="33">
        <v>0.61488631592421927</v>
      </c>
      <c r="AP146" s="1" t="s">
        <v>776</v>
      </c>
      <c r="AQ146" s="32"/>
      <c r="AR146" s="285">
        <v>123.974</v>
      </c>
      <c r="AS146" s="6">
        <v>3.9991612903225806</v>
      </c>
      <c r="AT146" s="33">
        <v>3.9785965309779829</v>
      </c>
      <c r="AU146" s="1" t="s">
        <v>776</v>
      </c>
      <c r="AV146" s="32"/>
      <c r="AW146" s="285">
        <v>9.891</v>
      </c>
      <c r="AX146" s="6">
        <v>0.31906451612903225</v>
      </c>
      <c r="AY146" s="33">
        <v>0.27976063108038912</v>
      </c>
      <c r="AZ146" s="1" t="s">
        <v>776</v>
      </c>
      <c r="BA146" s="32"/>
      <c r="BB146" s="285">
        <v>24.216000000000001</v>
      </c>
      <c r="BC146" s="6">
        <v>0.78116129032258064</v>
      </c>
      <c r="BD146" s="33">
        <v>0.79577496799795189</v>
      </c>
      <c r="BE146" s="1" t="s">
        <v>776</v>
      </c>
      <c r="BF146" s="32"/>
      <c r="BG146" s="285">
        <v>28.748999999999999</v>
      </c>
      <c r="BH146" s="6">
        <v>0.92738709677419351</v>
      </c>
      <c r="BI146" s="33">
        <v>0.90071092549923193</v>
      </c>
      <c r="BJ146" s="1" t="s">
        <v>776</v>
      </c>
      <c r="BK146" s="32"/>
      <c r="BL146" s="285">
        <v>128.28816736301371</v>
      </c>
      <c r="BM146" s="6">
        <v>4.1383279794520549</v>
      </c>
      <c r="BN146" s="33">
        <v>4.1456738519568583</v>
      </c>
      <c r="BO146" s="1" t="s">
        <v>776</v>
      </c>
      <c r="BP146" s="32"/>
      <c r="BQ146" s="284">
        <v>12.566000000000001</v>
      </c>
      <c r="BR146" s="1">
        <v>0.40535483870967742</v>
      </c>
      <c r="BS146" s="33">
        <v>0.3728199052739376</v>
      </c>
      <c r="BT146" s="1" t="s">
        <v>776</v>
      </c>
      <c r="BU146" s="32"/>
      <c r="BV146" s="284">
        <v>5.1920000000000002</v>
      </c>
      <c r="BW146" s="1">
        <v>0.16748387096774195</v>
      </c>
      <c r="BX146" s="33">
        <v>0.1766136200716846</v>
      </c>
      <c r="BY146" s="1" t="s">
        <v>776</v>
      </c>
      <c r="BZ146" s="32"/>
      <c r="CA146" s="285">
        <v>12.474</v>
      </c>
      <c r="CB146" s="6">
        <v>0.40238709677419354</v>
      </c>
      <c r="CC146" s="33">
        <v>0.42570688044034816</v>
      </c>
      <c r="CD146" s="1" t="s">
        <v>776</v>
      </c>
      <c r="CE146" s="32"/>
      <c r="CF146" s="285">
        <v>41.576509931506848</v>
      </c>
      <c r="CG146" s="6">
        <v>1.3411777397260274</v>
      </c>
      <c r="CH146" s="33">
        <v>1.3624476952179556</v>
      </c>
      <c r="CI146" s="1" t="s">
        <v>776</v>
      </c>
      <c r="CJ146" s="32"/>
      <c r="CK146" s="285">
        <v>107.22</v>
      </c>
      <c r="CL146" s="6">
        <v>3.4587096774193546</v>
      </c>
      <c r="CM146" s="33">
        <v>2.3935682987711213</v>
      </c>
      <c r="CN146" s="6">
        <v>6.8540000000000001</v>
      </c>
      <c r="CO146" s="32"/>
      <c r="CP146" s="285">
        <v>247.51300000000001</v>
      </c>
      <c r="CQ146" s="6">
        <v>7.9842903225806454</v>
      </c>
      <c r="CR146" s="33">
        <v>7.036934242191502</v>
      </c>
      <c r="CS146" s="6">
        <v>11.103</v>
      </c>
      <c r="CT146" s="32"/>
      <c r="CU146" s="285">
        <v>184.51400000000001</v>
      </c>
      <c r="CV146" s="6">
        <v>5.9520645161290329</v>
      </c>
      <c r="CW146" s="33">
        <v>5.5758784114183308</v>
      </c>
      <c r="CX146" s="6">
        <v>8.8819999999999997</v>
      </c>
      <c r="CY146" s="6"/>
      <c r="CZ146" s="270">
        <v>28.68</v>
      </c>
      <c r="DA146" s="6">
        <v>0.92516129032258065</v>
      </c>
      <c r="DB146" s="32"/>
      <c r="DC146" s="285">
        <v>13.563689041095891</v>
      </c>
      <c r="DD146" s="6">
        <v>0.43753835616438358</v>
      </c>
      <c r="DE146" s="33">
        <v>0.43787076128452734</v>
      </c>
      <c r="DF146" s="1" t="s">
        <v>776</v>
      </c>
      <c r="DG146" s="1"/>
      <c r="DH146" s="284">
        <f>DI146*31</f>
        <v>71.808509931506848</v>
      </c>
      <c r="DI146" s="1">
        <f t="shared" si="246"/>
        <v>2.3164035461776402</v>
      </c>
      <c r="DJ146" s="1">
        <f t="shared" si="252"/>
        <v>2.3375881010039259</v>
      </c>
      <c r="DK146" s="1"/>
      <c r="DL146" s="1"/>
      <c r="DM146" s="284">
        <f>DN146*31</f>
        <v>3151.7316574315073</v>
      </c>
      <c r="DN146" s="1">
        <f t="shared" si="247"/>
        <v>101.66876314295185</v>
      </c>
      <c r="DO146" s="1">
        <f t="shared" si="253"/>
        <v>101.20209689329015</v>
      </c>
      <c r="DP146" s="1"/>
      <c r="DQ146" s="1"/>
      <c r="DR146" s="284">
        <f>DS146*31</f>
        <v>581.49068904109595</v>
      </c>
      <c r="DS146" s="1">
        <f t="shared" si="243"/>
        <v>18.757764162615999</v>
      </c>
      <c r="DT146" s="1" t="e">
        <f>SUM(CM146+CR146+CW146+#REF!+DE146)</f>
        <v>#REF!</v>
      </c>
      <c r="DU146" s="1"/>
      <c r="DV146" s="1"/>
      <c r="DW146" s="284">
        <f>DX146*31</f>
        <v>3733.222346472603</v>
      </c>
      <c r="DX146" s="1">
        <f t="shared" si="251"/>
        <v>120.42652730556784</v>
      </c>
      <c r="DY146" s="1">
        <f t="shared" si="254"/>
        <v>117.41361321961686</v>
      </c>
      <c r="EB146" s="242">
        <v>1.07</v>
      </c>
      <c r="EL146">
        <v>2009</v>
      </c>
      <c r="EM146" s="157" t="s">
        <v>716</v>
      </c>
      <c r="EN146" t="s">
        <v>841</v>
      </c>
      <c r="EO146">
        <v>251.37799999999999</v>
      </c>
      <c r="EP146" t="e">
        <f t="shared" si="250"/>
        <v>#VALUE!</v>
      </c>
    </row>
    <row r="147" spans="1:146" x14ac:dyDescent="0.25">
      <c r="A147" s="8">
        <v>2009</v>
      </c>
      <c r="B147" t="s">
        <v>708</v>
      </c>
      <c r="D147" s="284">
        <v>262.41300000000001</v>
      </c>
      <c r="E147" s="1">
        <v>8.4649354838709687</v>
      </c>
      <c r="F147" s="1">
        <v>8.4184448284690223</v>
      </c>
      <c r="G147" s="1">
        <v>10.288</v>
      </c>
      <c r="M147" s="1"/>
      <c r="N147" s="284">
        <v>100.494</v>
      </c>
      <c r="O147" s="1">
        <v>3.241741935483871</v>
      </c>
      <c r="P147" s="1">
        <v>3.4131543010752687</v>
      </c>
      <c r="Q147" s="1">
        <v>7.7690000000000001</v>
      </c>
      <c r="R147" s="1"/>
      <c r="S147" s="284">
        <v>153.256</v>
      </c>
      <c r="T147" s="1">
        <v>4.943741935483871</v>
      </c>
      <c r="U147" s="1">
        <v>5.1696953789042501</v>
      </c>
      <c r="V147" s="1">
        <v>8.0389999999999997</v>
      </c>
      <c r="W147" s="88"/>
      <c r="X147" s="284">
        <v>569.09199999999998</v>
      </c>
      <c r="Y147" s="1">
        <v>18.357806451612902</v>
      </c>
      <c r="Z147" s="1">
        <v>19.574252643369181</v>
      </c>
      <c r="AA147" s="1">
        <v>24.347999999999999</v>
      </c>
      <c r="AB147" s="1"/>
      <c r="AC147" s="284">
        <v>722.34799999999996</v>
      </c>
      <c r="AD147" s="1">
        <v>23.301548387096773</v>
      </c>
      <c r="AE147" s="1">
        <v>24.743948022273425</v>
      </c>
      <c r="AF147" s="1">
        <v>32.387</v>
      </c>
      <c r="AG147" s="1"/>
      <c r="AH147" s="284">
        <v>1704.6969999999999</v>
      </c>
      <c r="AI147" s="1">
        <v>54.990225806451612</v>
      </c>
      <c r="AJ147" s="1">
        <v>56.839231950844855</v>
      </c>
      <c r="AK147" s="1">
        <v>94.9</v>
      </c>
      <c r="AL147" s="1"/>
      <c r="AM147" s="284">
        <v>16.196999999999999</v>
      </c>
      <c r="AN147" s="1">
        <v>0.52248387096774196</v>
      </c>
      <c r="AO147" s="1">
        <v>0.62410405785970302</v>
      </c>
      <c r="AP147" s="1" t="s">
        <v>776</v>
      </c>
      <c r="AQ147" s="1"/>
      <c r="AR147" s="284">
        <v>107.994</v>
      </c>
      <c r="AS147" s="1">
        <v>3.4836774193548385</v>
      </c>
      <c r="AT147" s="1">
        <v>3.9735804019457248</v>
      </c>
      <c r="AU147" s="1" t="s">
        <v>776</v>
      </c>
      <c r="AV147" s="1"/>
      <c r="AW147" s="284">
        <v>13.436999999999999</v>
      </c>
      <c r="AX147" s="1">
        <v>0.43345161290322581</v>
      </c>
      <c r="AY147" s="1">
        <v>0.30164235151049662</v>
      </c>
      <c r="AZ147" s="1" t="s">
        <v>776</v>
      </c>
      <c r="BA147" s="1"/>
      <c r="BB147" s="284">
        <v>22.844999999999999</v>
      </c>
      <c r="BC147" s="1">
        <v>0.73693548387096774</v>
      </c>
      <c r="BD147" s="1">
        <v>0.80546045186891968</v>
      </c>
      <c r="BE147" s="1" t="s">
        <v>776</v>
      </c>
      <c r="BF147" s="1"/>
      <c r="BG147" s="284">
        <v>27.102</v>
      </c>
      <c r="BH147" s="1">
        <v>0.87425806451612909</v>
      </c>
      <c r="BI147" s="1">
        <v>0.91797705453149003</v>
      </c>
      <c r="BJ147" s="1" t="s">
        <v>776</v>
      </c>
      <c r="BK147" s="1"/>
      <c r="BL147" s="284">
        <v>128.28816736301371</v>
      </c>
      <c r="BM147" s="1">
        <v>4.1383279794520549</v>
      </c>
      <c r="BN147" s="1">
        <v>4.1420009157044566</v>
      </c>
      <c r="BO147" s="1" t="s">
        <v>776</v>
      </c>
      <c r="BP147" s="1"/>
      <c r="BQ147" s="284">
        <v>11.496</v>
      </c>
      <c r="BR147" s="1">
        <v>0.37083870967741939</v>
      </c>
      <c r="BS147" s="1">
        <v>0.37480377624167943</v>
      </c>
      <c r="BT147" s="1" t="s">
        <v>776</v>
      </c>
      <c r="BU147" s="1"/>
      <c r="BV147" s="284">
        <v>4.4480000000000004</v>
      </c>
      <c r="BW147" s="1">
        <v>0.14348387096774196</v>
      </c>
      <c r="BX147" s="1">
        <v>0.17769157706093189</v>
      </c>
      <c r="BY147" s="1" t="s">
        <v>776</v>
      </c>
      <c r="BZ147" s="1"/>
      <c r="CA147" s="284">
        <v>11.554</v>
      </c>
      <c r="CB147" s="1">
        <v>0.37270967741935485</v>
      </c>
      <c r="CC147" s="1">
        <v>0.4258063428059396</v>
      </c>
      <c r="CD147" s="1" t="s">
        <v>776</v>
      </c>
      <c r="CE147" s="1"/>
      <c r="CF147" s="284">
        <v>41.576509931506848</v>
      </c>
      <c r="CG147" s="1">
        <v>1.3411777397260274</v>
      </c>
      <c r="CH147" s="1">
        <v>1.3518127174719916</v>
      </c>
      <c r="CI147" s="1" t="s">
        <v>776</v>
      </c>
      <c r="CJ147" s="1"/>
      <c r="CK147" s="284">
        <v>100.105</v>
      </c>
      <c r="CL147" s="1">
        <v>3.229193548387097</v>
      </c>
      <c r="CM147" s="1">
        <v>2.4912457181259602</v>
      </c>
      <c r="CN147" s="1">
        <v>7.1710000000000003</v>
      </c>
      <c r="CO147" s="1"/>
      <c r="CP147" s="284">
        <v>247.75800000000001</v>
      </c>
      <c r="CQ147" s="1">
        <v>7.9921935483870969</v>
      </c>
      <c r="CR147" s="1">
        <v>7.1863267153097796</v>
      </c>
      <c r="CS147" s="1">
        <v>13.657999999999999</v>
      </c>
      <c r="CT147" s="1"/>
      <c r="CU147" s="284">
        <v>190.88800000000001</v>
      </c>
      <c r="CV147" s="1">
        <v>6.1576774193548385</v>
      </c>
      <c r="CW147" s="1">
        <v>5.6739966909882229</v>
      </c>
      <c r="CX147" s="1">
        <v>13.654</v>
      </c>
      <c r="CZ147" s="269">
        <v>18.3</v>
      </c>
      <c r="DA147" s="1">
        <v>0.5903225806451613</v>
      </c>
      <c r="DB147" s="1"/>
      <c r="DC147" s="284">
        <v>13.563689041095891</v>
      </c>
      <c r="DD147" s="1">
        <v>0.43753835616438358</v>
      </c>
      <c r="DE147" s="1">
        <v>0.43770455872445546</v>
      </c>
      <c r="DF147" s="1" t="s">
        <v>776</v>
      </c>
      <c r="DG147" s="1"/>
      <c r="DH147" s="284">
        <f>DI147*31</f>
        <v>69.074509931506853</v>
      </c>
      <c r="DI147" s="1">
        <f t="shared" si="246"/>
        <v>2.2282099977905436</v>
      </c>
      <c r="DJ147" s="1">
        <f t="shared" si="252"/>
        <v>2.3301144135805423</v>
      </c>
      <c r="DK147" s="1"/>
      <c r="DL147" s="1"/>
      <c r="DM147" s="284">
        <f>DN147*31</f>
        <v>3036.7406574315069</v>
      </c>
      <c r="DN147" s="1">
        <f t="shared" si="247"/>
        <v>97.959376046177638</v>
      </c>
      <c r="DO147" s="1">
        <f t="shared" si="253"/>
        <v>101.84942990252564</v>
      </c>
      <c r="DP147" s="1"/>
      <c r="DQ147" s="1"/>
      <c r="DR147" s="284">
        <f>DS147*31</f>
        <v>570.61468904109597</v>
      </c>
      <c r="DS147" s="1">
        <f t="shared" si="243"/>
        <v>18.40692545293858</v>
      </c>
      <c r="DT147" s="1" t="e">
        <f>SUM(CM147+CR147+CW147+#REF!+DE147)</f>
        <v>#REF!</v>
      </c>
      <c r="DU147" s="1"/>
      <c r="DV147" s="1"/>
      <c r="DW147" s="284">
        <f>DX147*31</f>
        <v>3607.3553464726028</v>
      </c>
      <c r="DX147" s="1">
        <f t="shared" si="251"/>
        <v>116.36630149911622</v>
      </c>
      <c r="DY147" s="1">
        <f t="shared" si="254"/>
        <v>118.40776927360412</v>
      </c>
      <c r="EB147" s="242">
        <v>2.46</v>
      </c>
      <c r="EL147">
        <v>2009</v>
      </c>
      <c r="EM147" s="157" t="s">
        <v>708</v>
      </c>
      <c r="EN147" t="s">
        <v>841</v>
      </c>
      <c r="EO147">
        <v>262.41300000000001</v>
      </c>
      <c r="EP147" t="e">
        <f t="shared" si="250"/>
        <v>#VALUE!</v>
      </c>
    </row>
    <row r="148" spans="1:146" x14ac:dyDescent="0.25">
      <c r="A148" s="8">
        <v>2009</v>
      </c>
      <c r="B148" t="s">
        <v>709</v>
      </c>
      <c r="D148" s="284">
        <v>253.21</v>
      </c>
      <c r="E148" s="1">
        <v>8.4403333333333332</v>
      </c>
      <c r="F148" s="1">
        <v>8.4831948284690224</v>
      </c>
      <c r="G148" s="1">
        <v>10.484</v>
      </c>
      <c r="M148" s="1"/>
      <c r="N148" s="284">
        <v>97.352999999999994</v>
      </c>
      <c r="O148" s="1">
        <v>3.2450999999999999</v>
      </c>
      <c r="P148" s="1">
        <v>3.4024126344086021</v>
      </c>
      <c r="Q148" s="1">
        <v>6.3120000000000003</v>
      </c>
      <c r="R148" s="1"/>
      <c r="S148" s="284">
        <v>137.79599999999999</v>
      </c>
      <c r="T148" s="1">
        <v>4.5931999999999995</v>
      </c>
      <c r="U148" s="1">
        <v>5.1667370455709163</v>
      </c>
      <c r="V148" s="1">
        <v>7.673</v>
      </c>
      <c r="W148" s="88"/>
      <c r="X148" s="284">
        <v>537.69500000000005</v>
      </c>
      <c r="Y148" s="1">
        <v>17.923166666666667</v>
      </c>
      <c r="Z148" s="1">
        <v>19.55837764336918</v>
      </c>
      <c r="AA148" s="1">
        <v>23.963000000000001</v>
      </c>
      <c r="AB148" s="1"/>
      <c r="AC148" s="284">
        <v>675.49099999999999</v>
      </c>
      <c r="AD148" s="1">
        <v>22.516366666666666</v>
      </c>
      <c r="AE148" s="1">
        <v>24.725114688940092</v>
      </c>
      <c r="AF148" s="1">
        <v>31.636000000000003</v>
      </c>
      <c r="AG148" s="1"/>
      <c r="AH148" s="284">
        <v>1598.89</v>
      </c>
      <c r="AI148" s="1">
        <v>53.296333333333337</v>
      </c>
      <c r="AJ148" s="1">
        <v>56.950987506400402</v>
      </c>
      <c r="AK148" s="1">
        <v>119.2</v>
      </c>
      <c r="AL148" s="1"/>
      <c r="AM148" s="284">
        <v>15.815</v>
      </c>
      <c r="AN148" s="1">
        <v>0.52716666666666667</v>
      </c>
      <c r="AO148" s="1">
        <v>0.62577628008192532</v>
      </c>
      <c r="AP148" s="1" t="s">
        <v>776</v>
      </c>
      <c r="AQ148" s="1"/>
      <c r="AR148" s="284">
        <v>114.407</v>
      </c>
      <c r="AS148" s="1">
        <v>3.8135666666666665</v>
      </c>
      <c r="AT148" s="1">
        <v>3.998080401945725</v>
      </c>
      <c r="AU148" s="1" t="s">
        <v>776</v>
      </c>
      <c r="AV148" s="1"/>
      <c r="AW148" s="284">
        <v>20.783999999999999</v>
      </c>
      <c r="AX148" s="1">
        <v>0.69279999999999997</v>
      </c>
      <c r="AY148" s="1">
        <v>0.34100624039938549</v>
      </c>
      <c r="AZ148" s="1" t="s">
        <v>776</v>
      </c>
      <c r="BA148" s="1"/>
      <c r="BB148" s="284">
        <v>23.824000000000002</v>
      </c>
      <c r="BC148" s="1">
        <v>0.79413333333333336</v>
      </c>
      <c r="BD148" s="1">
        <v>0.80763267409114181</v>
      </c>
      <c r="BE148" s="1" t="s">
        <v>776</v>
      </c>
      <c r="BF148" s="1"/>
      <c r="BG148" s="284">
        <v>28.981000000000002</v>
      </c>
      <c r="BH148" s="1">
        <v>0.96603333333333341</v>
      </c>
      <c r="BI148" s="1">
        <v>0.92759094342037895</v>
      </c>
      <c r="BJ148" s="1" t="s">
        <v>776</v>
      </c>
      <c r="BK148" s="1"/>
      <c r="BL148" s="284">
        <v>124.14983938356164</v>
      </c>
      <c r="BM148" s="1">
        <v>4.1383279794520549</v>
      </c>
      <c r="BN148" s="1">
        <v>4.1383279794520558</v>
      </c>
      <c r="BO148" s="1" t="s">
        <v>776</v>
      </c>
      <c r="BP148" s="1"/>
      <c r="BQ148" s="284">
        <v>10.968999999999999</v>
      </c>
      <c r="BR148" s="1">
        <v>0.36563333333333331</v>
      </c>
      <c r="BS148" s="1">
        <v>0.37422322068612396</v>
      </c>
      <c r="BT148" s="1" t="s">
        <v>776</v>
      </c>
      <c r="BU148" s="1"/>
      <c r="BV148" s="284">
        <v>4.3659999999999997</v>
      </c>
      <c r="BW148" s="1">
        <v>0.14553333333333332</v>
      </c>
      <c r="BX148" s="1">
        <v>0.17759991039426526</v>
      </c>
      <c r="BY148" s="1" t="s">
        <v>776</v>
      </c>
      <c r="BZ148" s="1"/>
      <c r="CA148" s="284">
        <v>12.304</v>
      </c>
      <c r="CB148" s="1">
        <v>0.41013333333333335</v>
      </c>
      <c r="CC148" s="1">
        <v>0.42207300947260623</v>
      </c>
      <c r="CD148" s="1" t="s">
        <v>776</v>
      </c>
      <c r="CE148" s="1"/>
      <c r="CF148" s="284">
        <v>40.23533219178082</v>
      </c>
      <c r="CG148" s="1">
        <v>1.3411777397260274</v>
      </c>
      <c r="CH148" s="1">
        <v>1.3411777397260278</v>
      </c>
      <c r="CI148" s="1" t="s">
        <v>776</v>
      </c>
      <c r="CJ148" s="1"/>
      <c r="CK148" s="284">
        <v>61.973999999999997</v>
      </c>
      <c r="CL148" s="1">
        <v>2.0657999999999999</v>
      </c>
      <c r="CM148" s="1">
        <v>2.5669207181259597</v>
      </c>
      <c r="CN148" s="1">
        <v>7.2640000000000002</v>
      </c>
      <c r="CO148" s="1"/>
      <c r="CP148" s="284">
        <v>233.083</v>
      </c>
      <c r="CQ148" s="1">
        <v>7.7694333333333336</v>
      </c>
      <c r="CR148" s="1">
        <v>7.294315604198669</v>
      </c>
      <c r="CS148" s="1">
        <v>11.132999999999999</v>
      </c>
      <c r="CT148" s="1"/>
      <c r="CU148" s="284">
        <v>177.08799999999999</v>
      </c>
      <c r="CV148" s="1">
        <v>5.9029333333333334</v>
      </c>
      <c r="CW148" s="1">
        <v>5.7026494687660012</v>
      </c>
      <c r="CX148" s="1">
        <v>9.27</v>
      </c>
      <c r="CZ148" s="269">
        <v>18.120999999999999</v>
      </c>
      <c r="DA148" s="1">
        <v>0.60403333333333331</v>
      </c>
      <c r="DB148" s="1"/>
      <c r="DC148" s="284">
        <v>13.126150684931508</v>
      </c>
      <c r="DD148" s="1">
        <v>0.43753835616438358</v>
      </c>
      <c r="DE148" s="1">
        <v>0.43753835616438358</v>
      </c>
      <c r="DF148" s="1" t="s">
        <v>776</v>
      </c>
      <c r="DG148" s="1"/>
      <c r="DH148" s="284">
        <f>DI148*30</f>
        <v>67.874332191780823</v>
      </c>
      <c r="DI148" s="1">
        <f t="shared" si="246"/>
        <v>2.2624777397260276</v>
      </c>
      <c r="DJ148" s="1">
        <f t="shared" si="252"/>
        <v>2.3150738802790225</v>
      </c>
      <c r="DK148" s="1"/>
      <c r="DL148" s="1"/>
      <c r="DM148" s="284">
        <f>DN148*30</f>
        <v>2885.030507191781</v>
      </c>
      <c r="DN148" s="1">
        <f t="shared" si="247"/>
        <v>96.167683573059364</v>
      </c>
      <c r="DO148" s="1">
        <f t="shared" si="253"/>
        <v>102.08505027735254</v>
      </c>
      <c r="DP148" s="1"/>
      <c r="DQ148" s="1"/>
      <c r="DR148" s="284">
        <f>DS148*30</f>
        <v>503.39215068493149</v>
      </c>
      <c r="DS148" s="1">
        <f t="shared" si="243"/>
        <v>16.779738356164383</v>
      </c>
      <c r="DT148" s="1" t="e">
        <f>SUM(CM148+CR148+CW148+#REF!+DE148)</f>
        <v>#REF!</v>
      </c>
      <c r="DU148" s="1"/>
      <c r="DV148" s="1"/>
      <c r="DW148" s="284">
        <f>DX148*30</f>
        <v>3388.4226578767125</v>
      </c>
      <c r="DX148" s="1">
        <f t="shared" si="251"/>
        <v>112.94742192922375</v>
      </c>
      <c r="DY148" s="1">
        <f t="shared" si="254"/>
        <v>118.8261401125376</v>
      </c>
      <c r="EB148" s="242">
        <v>3.31</v>
      </c>
      <c r="EL148">
        <v>2009</v>
      </c>
      <c r="EM148" s="157" t="s">
        <v>709</v>
      </c>
      <c r="EN148" t="s">
        <v>841</v>
      </c>
      <c r="EO148">
        <v>253.21</v>
      </c>
      <c r="EP148" t="e">
        <f t="shared" si="250"/>
        <v>#VALUE!</v>
      </c>
    </row>
    <row r="149" spans="1:146" x14ac:dyDescent="0.25">
      <c r="A149" s="8">
        <v>2009</v>
      </c>
      <c r="B149" s="24" t="s">
        <v>710</v>
      </c>
      <c r="C149" t="s">
        <v>726</v>
      </c>
      <c r="D149" s="284">
        <v>272.262</v>
      </c>
      <c r="E149" s="1">
        <v>8.782645161290322</v>
      </c>
      <c r="F149" s="1">
        <v>8.5574206349206339</v>
      </c>
      <c r="G149" s="1">
        <v>12.597</v>
      </c>
      <c r="H149" s="1" t="s">
        <v>727</v>
      </c>
      <c r="M149" s="1" t="s">
        <v>722</v>
      </c>
      <c r="N149" s="284">
        <v>98.013000000000005</v>
      </c>
      <c r="O149" s="1">
        <v>3.1617096774193549</v>
      </c>
      <c r="P149" s="1">
        <v>3.4003185483870966</v>
      </c>
      <c r="Q149" s="1">
        <v>6.069</v>
      </c>
      <c r="R149" s="1" t="s">
        <v>728</v>
      </c>
      <c r="S149" s="284">
        <v>146.24799999999999</v>
      </c>
      <c r="T149" s="1">
        <v>4.7176774193548381</v>
      </c>
      <c r="U149" s="1">
        <v>5.2105515616999485</v>
      </c>
      <c r="V149" s="1">
        <v>9.7639999999999993</v>
      </c>
      <c r="W149" s="88" t="s">
        <v>729</v>
      </c>
      <c r="X149" s="284">
        <v>568.59</v>
      </c>
      <c r="Y149" s="1">
        <v>18.341612903225808</v>
      </c>
      <c r="Z149" s="1">
        <v>19.67455775089606</v>
      </c>
      <c r="AA149" s="1">
        <v>29.009</v>
      </c>
      <c r="AB149" s="1"/>
      <c r="AC149" s="284">
        <v>714.83799999999997</v>
      </c>
      <c r="AD149" s="1">
        <v>23.059290322580644</v>
      </c>
      <c r="AE149" s="1">
        <v>24.885109312596004</v>
      </c>
      <c r="AF149" s="1">
        <v>38.772999999999996</v>
      </c>
      <c r="AG149" s="1"/>
      <c r="AH149" s="284">
        <v>1750.847</v>
      </c>
      <c r="AI149" s="1">
        <v>56.47893548387097</v>
      </c>
      <c r="AJ149" s="1">
        <v>57.477393420378895</v>
      </c>
      <c r="AK149" s="1">
        <v>119.6</v>
      </c>
      <c r="AL149" s="1"/>
      <c r="AM149" s="284">
        <v>20.166</v>
      </c>
      <c r="AN149" s="1">
        <v>0.65051612903225808</v>
      </c>
      <c r="AO149" s="1">
        <v>0.63412036610343059</v>
      </c>
      <c r="AP149" s="1" t="s">
        <v>776</v>
      </c>
      <c r="AQ149" s="1"/>
      <c r="AR149" s="284">
        <v>135.06299999999999</v>
      </c>
      <c r="AS149" s="1">
        <v>4.3568709677419353</v>
      </c>
      <c r="AT149" s="1">
        <v>4.0307255632360475</v>
      </c>
      <c r="AU149" s="1" t="s">
        <v>776</v>
      </c>
      <c r="AV149" s="1"/>
      <c r="AW149" s="284">
        <v>10.824</v>
      </c>
      <c r="AX149" s="1">
        <v>0.34916129032258064</v>
      </c>
      <c r="AY149" s="1">
        <v>0.35110570276497693</v>
      </c>
      <c r="AZ149" s="1" t="s">
        <v>776</v>
      </c>
      <c r="BA149" s="1"/>
      <c r="BB149" s="284">
        <v>28.152000000000001</v>
      </c>
      <c r="BC149" s="1">
        <v>0.90812903225806452</v>
      </c>
      <c r="BD149" s="1">
        <v>0.81794987839221722</v>
      </c>
      <c r="BE149" s="1" t="s">
        <v>776</v>
      </c>
      <c r="BF149" s="1"/>
      <c r="BG149" s="284">
        <v>20.475000000000001</v>
      </c>
      <c r="BH149" s="1">
        <v>0.66048387096774197</v>
      </c>
      <c r="BI149" s="1">
        <v>0.91319578213005625</v>
      </c>
      <c r="BJ149" s="1" t="s">
        <v>776</v>
      </c>
      <c r="BK149" s="1"/>
      <c r="BL149" s="284">
        <v>156.11242119863016</v>
      </c>
      <c r="BM149" s="1">
        <v>5.0358845547945217</v>
      </c>
      <c r="BN149" s="1">
        <v>4.2131243607305944</v>
      </c>
      <c r="BO149" s="1" t="s">
        <v>776</v>
      </c>
      <c r="BP149" s="1"/>
      <c r="BQ149" s="284">
        <v>11.272</v>
      </c>
      <c r="BR149" s="1">
        <v>0.36361290322580647</v>
      </c>
      <c r="BS149" s="1">
        <v>0.37230386584741432</v>
      </c>
      <c r="BT149" s="1" t="s">
        <v>776</v>
      </c>
      <c r="BU149" s="1"/>
      <c r="BV149" s="284">
        <v>6.8360000000000003</v>
      </c>
      <c r="BW149" s="1">
        <v>0.22051612903225806</v>
      </c>
      <c r="BX149" s="1">
        <v>0.18475313620071687</v>
      </c>
      <c r="BY149" s="1" t="s">
        <v>776</v>
      </c>
      <c r="BZ149" s="1"/>
      <c r="CA149" s="284">
        <v>14.521000000000001</v>
      </c>
      <c r="CB149" s="1">
        <v>0.46841935483870972</v>
      </c>
      <c r="CC149" s="1">
        <v>0.42651118151561701</v>
      </c>
      <c r="CD149" s="1" t="s">
        <v>776</v>
      </c>
      <c r="CE149" s="1"/>
      <c r="CF149" s="284">
        <v>41.576509931506848</v>
      </c>
      <c r="CG149" s="1">
        <v>1.3411777397260274</v>
      </c>
      <c r="CH149" s="1">
        <v>1.3411777397260278</v>
      </c>
      <c r="CI149" s="1" t="s">
        <v>776</v>
      </c>
      <c r="CJ149" s="1"/>
      <c r="CK149" s="284">
        <v>57.404000000000003</v>
      </c>
      <c r="CL149" s="1">
        <v>1.8517419354838711</v>
      </c>
      <c r="CM149" s="1">
        <v>2.6739368471582181</v>
      </c>
      <c r="CN149" s="1">
        <v>6.9749999999999996</v>
      </c>
      <c r="CO149" s="1"/>
      <c r="CP149" s="284">
        <v>247.922</v>
      </c>
      <c r="CQ149" s="1">
        <v>7.9974838709677423</v>
      </c>
      <c r="CR149" s="1">
        <v>7.444490335381464</v>
      </c>
      <c r="CS149" s="1">
        <v>13.428000000000001</v>
      </c>
      <c r="CT149" s="1"/>
      <c r="CU149" s="284">
        <v>181.054</v>
      </c>
      <c r="CV149" s="1">
        <v>5.8404516129032258</v>
      </c>
      <c r="CW149" s="1">
        <v>5.754808070916539</v>
      </c>
      <c r="CX149" s="1">
        <v>10.141999999999999</v>
      </c>
      <c r="CY149" s="1" t="s">
        <v>743</v>
      </c>
      <c r="CZ149" s="269">
        <v>19.981000000000002</v>
      </c>
      <c r="DA149" s="1">
        <v>0.6445483870967742</v>
      </c>
      <c r="DB149" s="1"/>
      <c r="DC149" s="284">
        <v>13.586238356164385</v>
      </c>
      <c r="DD149" s="1">
        <v>0.43826575342465757</v>
      </c>
      <c r="DE149" s="1">
        <v>0.43759897260273978</v>
      </c>
      <c r="DF149" s="1" t="s">
        <v>776</v>
      </c>
      <c r="DG149" s="1"/>
      <c r="DH149" s="284">
        <f>DI149*31</f>
        <v>74.205509931506853</v>
      </c>
      <c r="DI149" s="1">
        <f t="shared" si="246"/>
        <v>2.3937261268228016</v>
      </c>
      <c r="DJ149" s="1">
        <f t="shared" si="252"/>
        <v>2.3247459232897754</v>
      </c>
      <c r="DK149" s="1"/>
      <c r="DL149" s="1"/>
      <c r="DM149" s="284">
        <f>DN149*31</f>
        <v>3132.5469112671235</v>
      </c>
      <c r="DN149" s="1">
        <f t="shared" si="247"/>
        <v>101.04990036345559</v>
      </c>
      <c r="DO149" s="1">
        <f t="shared" si="253"/>
        <v>102.95571764635019</v>
      </c>
      <c r="DP149" s="1"/>
      <c r="DQ149" s="1"/>
      <c r="DR149" s="284">
        <f>DS149*31</f>
        <v>519.94723835616446</v>
      </c>
      <c r="DS149" s="1">
        <f t="shared" si="243"/>
        <v>16.772491559876272</v>
      </c>
      <c r="DT149" s="1" t="e">
        <f>SUM(CM149+CR149+CW149+#REF!+DE149)</f>
        <v>#REF!</v>
      </c>
      <c r="DU149" s="1"/>
      <c r="DV149" s="1"/>
      <c r="DW149" s="284">
        <f>DX149*31</f>
        <v>3652.4941496232877</v>
      </c>
      <c r="DX149" s="1">
        <f t="shared" ref="DX149:DX154" si="255">SUM(DN149+DS149)</f>
        <v>117.82239192333186</v>
      </c>
      <c r="DY149" s="1">
        <f t="shared" si="254"/>
        <v>120.01368535935232</v>
      </c>
      <c r="EB149" s="242">
        <v>5.71</v>
      </c>
      <c r="EL149">
        <v>2009</v>
      </c>
      <c r="EM149" s="157" t="s">
        <v>710</v>
      </c>
      <c r="EN149" t="s">
        <v>841</v>
      </c>
      <c r="EO149">
        <v>272.262</v>
      </c>
      <c r="EP149" t="e">
        <f t="shared" si="250"/>
        <v>#VALUE!</v>
      </c>
    </row>
    <row r="150" spans="1:146" x14ac:dyDescent="0.25">
      <c r="A150" s="8">
        <v>2009</v>
      </c>
      <c r="B150" t="s">
        <v>711</v>
      </c>
      <c r="D150" s="284">
        <v>288.83</v>
      </c>
      <c r="E150" s="1">
        <v>9.6276666666666664</v>
      </c>
      <c r="F150" s="1">
        <v>8.7013178571428575</v>
      </c>
      <c r="G150" s="1">
        <v>12.79</v>
      </c>
      <c r="M150" s="1"/>
      <c r="N150" s="284">
        <v>99.504999999999995</v>
      </c>
      <c r="O150" s="1">
        <v>3.3168333333333333</v>
      </c>
      <c r="P150" s="1">
        <v>3.4173491039426529</v>
      </c>
      <c r="Q150" s="1">
        <v>6.3680000000000003</v>
      </c>
      <c r="R150" s="1"/>
      <c r="S150" s="284">
        <v>171.86199999999999</v>
      </c>
      <c r="T150" s="1">
        <v>5.7287333333333335</v>
      </c>
      <c r="U150" s="1">
        <v>5.3069460061443925</v>
      </c>
      <c r="V150" s="1">
        <v>9.1920000000000002</v>
      </c>
      <c r="W150" s="88"/>
      <c r="X150" s="284">
        <v>606.09100000000001</v>
      </c>
      <c r="Y150" s="1">
        <v>20.203033333333334</v>
      </c>
      <c r="Z150" s="1">
        <v>19.899985528673838</v>
      </c>
      <c r="AA150" s="1">
        <v>27.637</v>
      </c>
      <c r="AB150" s="1"/>
      <c r="AC150" s="284">
        <v>777.95299999999997</v>
      </c>
      <c r="AD150" s="1">
        <v>25.931766666666665</v>
      </c>
      <c r="AE150" s="1">
        <v>25.206931534818224</v>
      </c>
      <c r="AF150" s="1">
        <v>36.829000000000001</v>
      </c>
      <c r="AG150" s="1"/>
      <c r="AH150" s="284">
        <v>1880.9780000000001</v>
      </c>
      <c r="AI150" s="1">
        <v>62.699266666666666</v>
      </c>
      <c r="AJ150" s="1">
        <v>58.593357309267788</v>
      </c>
      <c r="AK150" s="1">
        <v>111.9</v>
      </c>
      <c r="AL150" s="1"/>
      <c r="AM150" s="284">
        <v>22.753</v>
      </c>
      <c r="AN150" s="1">
        <v>0.75843333333333329</v>
      </c>
      <c r="AO150" s="1">
        <v>0.65626758832565291</v>
      </c>
      <c r="AP150" s="1" t="s">
        <v>776</v>
      </c>
      <c r="AQ150" s="1"/>
      <c r="AR150" s="284">
        <v>152.94</v>
      </c>
      <c r="AS150" s="1">
        <v>5.0979999999999999</v>
      </c>
      <c r="AT150" s="1">
        <v>4.1560144521249356</v>
      </c>
      <c r="AU150" s="1" t="s">
        <v>776</v>
      </c>
      <c r="AV150" s="1"/>
      <c r="AW150" s="284">
        <v>11.826000000000001</v>
      </c>
      <c r="AX150" s="1">
        <v>0.39419999999999999</v>
      </c>
      <c r="AY150" s="1">
        <v>0.36490570276497697</v>
      </c>
      <c r="AZ150" s="1" t="s">
        <v>776</v>
      </c>
      <c r="BA150" s="1"/>
      <c r="BB150" s="284">
        <v>29.425999999999998</v>
      </c>
      <c r="BC150" s="1">
        <v>0.98086666666666666</v>
      </c>
      <c r="BD150" s="1">
        <v>0.84127210061443958</v>
      </c>
      <c r="BE150" s="1" t="s">
        <v>776</v>
      </c>
      <c r="BF150" s="1"/>
      <c r="BG150" s="284">
        <v>34.518000000000001</v>
      </c>
      <c r="BH150" s="1">
        <v>1.1506000000000001</v>
      </c>
      <c r="BI150" s="1">
        <v>0.94394022657450083</v>
      </c>
      <c r="BJ150" s="1" t="s">
        <v>776</v>
      </c>
      <c r="BK150" s="1"/>
      <c r="BL150" s="284">
        <v>151.07653664383562</v>
      </c>
      <c r="BM150" s="1">
        <v>5.0358845547945208</v>
      </c>
      <c r="BN150" s="1">
        <v>4.287920742009133</v>
      </c>
      <c r="BO150" s="1" t="s">
        <v>776</v>
      </c>
      <c r="BP150" s="1"/>
      <c r="BQ150" s="284">
        <v>11</v>
      </c>
      <c r="BR150" s="1">
        <v>0.36666666666666664</v>
      </c>
      <c r="BS150" s="1">
        <v>0.3737594214029698</v>
      </c>
      <c r="BT150" s="1" t="s">
        <v>776</v>
      </c>
      <c r="BU150" s="1"/>
      <c r="BV150" s="284">
        <v>8.141</v>
      </c>
      <c r="BW150" s="1">
        <v>0.27136666666666664</v>
      </c>
      <c r="BX150" s="1">
        <v>0.19646980286738355</v>
      </c>
      <c r="BY150" s="1" t="s">
        <v>776</v>
      </c>
      <c r="BZ150" s="1"/>
      <c r="CA150" s="284">
        <v>15.962999999999999</v>
      </c>
      <c r="CB150" s="1">
        <v>0.53210000000000002</v>
      </c>
      <c r="CC150" s="1">
        <v>0.44044451484895025</v>
      </c>
      <c r="CD150" s="1" t="s">
        <v>776</v>
      </c>
      <c r="CE150" s="1"/>
      <c r="CF150" s="284">
        <v>40.23533219178082</v>
      </c>
      <c r="CG150" s="1">
        <v>1.3411777397260274</v>
      </c>
      <c r="CH150" s="1">
        <v>1.3411777397260278</v>
      </c>
      <c r="CI150" s="1" t="s">
        <v>776</v>
      </c>
      <c r="CJ150" s="1"/>
      <c r="CK150" s="284">
        <v>74.984999999999999</v>
      </c>
      <c r="CL150" s="1">
        <v>2.4994999999999998</v>
      </c>
      <c r="CM150" s="1">
        <v>2.8256979582693291</v>
      </c>
      <c r="CN150" s="1">
        <v>7.2290000000000001</v>
      </c>
      <c r="CO150" s="1"/>
      <c r="CP150" s="284">
        <v>248.28800000000001</v>
      </c>
      <c r="CQ150" s="1">
        <v>8.2762666666666664</v>
      </c>
      <c r="CR150" s="1">
        <v>7.6500181131592422</v>
      </c>
      <c r="CS150" s="1">
        <v>12.343999999999999</v>
      </c>
      <c r="CT150" s="1"/>
      <c r="CU150" s="284">
        <v>187.00899999999999</v>
      </c>
      <c r="CV150" s="1">
        <v>6.2336333333333327</v>
      </c>
      <c r="CW150" s="1">
        <v>5.8541636264720935</v>
      </c>
      <c r="CX150" s="1">
        <v>10.073</v>
      </c>
      <c r="CZ150" s="269">
        <v>24.516999999999999</v>
      </c>
      <c r="DA150" s="1">
        <v>0.81723333333333337</v>
      </c>
      <c r="DB150" s="1"/>
      <c r="DC150" s="284">
        <v>13.147972602739728</v>
      </c>
      <c r="DD150" s="1">
        <v>0.43826575342465757</v>
      </c>
      <c r="DE150" s="1">
        <v>0.43765958904109592</v>
      </c>
      <c r="DF150" s="1" t="s">
        <v>776</v>
      </c>
      <c r="DG150" s="1"/>
      <c r="DH150" s="284">
        <f>DI150*30</f>
        <v>75.339332191780812</v>
      </c>
      <c r="DI150" s="1">
        <f t="shared" si="246"/>
        <v>2.5113110730593604</v>
      </c>
      <c r="DJ150" s="1">
        <f t="shared" ref="DJ150:DJ155" si="256">SUM(DI139:DI150)/12</f>
        <v>2.3518514788453309</v>
      </c>
      <c r="DK150" s="1"/>
      <c r="DL150" s="1"/>
      <c r="DM150" s="284">
        <f>DN150*30</f>
        <v>3374.4662044520546</v>
      </c>
      <c r="DN150" s="1">
        <f t="shared" si="247"/>
        <v>112.48220681506849</v>
      </c>
      <c r="DO150" s="1">
        <f t="shared" ref="DO150:DO155" si="257">SUM(DN139:DN150)/12</f>
        <v>104.81742513873985</v>
      </c>
      <c r="DP150" s="1"/>
      <c r="DQ150" s="1"/>
      <c r="DR150" s="284">
        <f>DS150*30</f>
        <v>547.94697260273983</v>
      </c>
      <c r="DS150" s="1">
        <f t="shared" si="243"/>
        <v>18.264899086757993</v>
      </c>
      <c r="DT150" s="1" t="e">
        <f>SUM(CM150+CR150+CW150+#REF!+DE150)</f>
        <v>#REF!</v>
      </c>
      <c r="DU150" s="1"/>
      <c r="DV150" s="1"/>
      <c r="DW150" s="284">
        <f>DX150*30</f>
        <v>3922.4131770547951</v>
      </c>
      <c r="DX150" s="1">
        <f t="shared" si="255"/>
        <v>130.7471059018265</v>
      </c>
      <c r="DY150" s="1">
        <f t="shared" ref="DY150:DY155" si="258">SUM(DX139:DX150)/12</f>
        <v>122.35369513484699</v>
      </c>
      <c r="EB150" s="242">
        <v>4.43</v>
      </c>
      <c r="EL150">
        <v>2009</v>
      </c>
      <c r="EM150" s="157" t="s">
        <v>711</v>
      </c>
      <c r="EN150" t="s">
        <v>841</v>
      </c>
      <c r="EO150">
        <v>288.83</v>
      </c>
      <c r="EP150" t="e">
        <f t="shared" si="250"/>
        <v>#VALUE!</v>
      </c>
    </row>
    <row r="151" spans="1:146" x14ac:dyDescent="0.25">
      <c r="A151" s="8">
        <v>2009</v>
      </c>
      <c r="B151" t="s">
        <v>712</v>
      </c>
      <c r="D151" s="284">
        <v>350.74400000000003</v>
      </c>
      <c r="E151" s="1">
        <v>11.314322580645163</v>
      </c>
      <c r="F151" s="1">
        <v>8.9502802227342553</v>
      </c>
      <c r="G151" s="1">
        <v>17.370999999999999</v>
      </c>
      <c r="M151" s="1"/>
      <c r="N151" s="284">
        <v>119.044</v>
      </c>
      <c r="O151" s="1">
        <v>3.8401290322580643</v>
      </c>
      <c r="P151" s="1">
        <v>3.4648222222222222</v>
      </c>
      <c r="Q151" s="1">
        <v>9.2100000000000009</v>
      </c>
      <c r="R151" s="1"/>
      <c r="S151" s="284">
        <v>224.08699999999999</v>
      </c>
      <c r="T151" s="1">
        <v>7.2286129032258062</v>
      </c>
      <c r="U151" s="1">
        <v>5.4791960061443925</v>
      </c>
      <c r="V151" s="1">
        <v>18.202000000000002</v>
      </c>
      <c r="W151" s="88"/>
      <c r="X151" s="284">
        <v>714.14599999999996</v>
      </c>
      <c r="Y151" s="1">
        <v>23.036967741935481</v>
      </c>
      <c r="Z151" s="1">
        <v>20.251568862007172</v>
      </c>
      <c r="AA151" s="1">
        <v>35.610999999999997</v>
      </c>
      <c r="AB151" s="1"/>
      <c r="AC151" s="284">
        <v>938.23299999999995</v>
      </c>
      <c r="AD151" s="1">
        <v>30.26558064516129</v>
      </c>
      <c r="AE151" s="1">
        <v>25.730764868151557</v>
      </c>
      <c r="AF151" s="1">
        <v>53.813000000000002</v>
      </c>
      <c r="AG151" s="1"/>
      <c r="AH151" s="284">
        <v>2329.0239999999999</v>
      </c>
      <c r="AI151" s="1">
        <v>75.129806451612893</v>
      </c>
      <c r="AJ151" s="1">
        <v>60.366986341525852</v>
      </c>
      <c r="AK151" s="1">
        <v>192.2</v>
      </c>
      <c r="AL151" s="1"/>
      <c r="AM151" s="284">
        <v>30.831</v>
      </c>
      <c r="AN151" s="1">
        <v>0.99454838709677418</v>
      </c>
      <c r="AO151" s="1">
        <v>0.69115468509984657</v>
      </c>
      <c r="AP151" s="1" t="s">
        <v>776</v>
      </c>
      <c r="AQ151" s="1"/>
      <c r="AR151" s="284">
        <v>176.322</v>
      </c>
      <c r="AS151" s="1">
        <v>5.6878064516129037</v>
      </c>
      <c r="AT151" s="1">
        <v>4.4040090757808494</v>
      </c>
      <c r="AU151" s="1" t="s">
        <v>776</v>
      </c>
      <c r="AV151" s="1"/>
      <c r="AW151" s="284">
        <v>15.391999999999999</v>
      </c>
      <c r="AX151" s="1">
        <v>0.49651612903225806</v>
      </c>
      <c r="AY151" s="1">
        <v>0.39139495007680497</v>
      </c>
      <c r="AZ151" s="1" t="s">
        <v>776</v>
      </c>
      <c r="BA151" s="1"/>
      <c r="BB151" s="284">
        <v>33.445999999999998</v>
      </c>
      <c r="BC151" s="1">
        <v>1.0789032258064515</v>
      </c>
      <c r="BD151" s="1">
        <v>0.86297640168970835</v>
      </c>
      <c r="BE151" s="1" t="s">
        <v>776</v>
      </c>
      <c r="BF151" s="1"/>
      <c r="BG151" s="284">
        <v>41.296999999999997</v>
      </c>
      <c r="BH151" s="1">
        <v>1.3321612903225806</v>
      </c>
      <c r="BI151" s="1">
        <v>0.97639452764976975</v>
      </c>
      <c r="BJ151" s="1" t="s">
        <v>776</v>
      </c>
      <c r="BK151" s="1"/>
      <c r="BL151" s="284">
        <v>156.11242119863016</v>
      </c>
      <c r="BM151" s="1">
        <v>5.0358845547945217</v>
      </c>
      <c r="BN151" s="1">
        <v>4.3627171232876716</v>
      </c>
      <c r="BO151" s="1" t="s">
        <v>776</v>
      </c>
      <c r="BP151" s="1"/>
      <c r="BQ151" s="284">
        <v>12.67</v>
      </c>
      <c r="BR151" s="1">
        <v>0.40870967741935482</v>
      </c>
      <c r="BS151" s="1">
        <v>0.3773024321556579</v>
      </c>
      <c r="BT151" s="1" t="s">
        <v>776</v>
      </c>
      <c r="BU151" s="1"/>
      <c r="BV151" s="284">
        <v>11.872</v>
      </c>
      <c r="BW151" s="1">
        <v>0.38296774193548389</v>
      </c>
      <c r="BX151" s="1">
        <v>0.21282732974910398</v>
      </c>
      <c r="BY151" s="1" t="s">
        <v>776</v>
      </c>
      <c r="BZ151" s="1"/>
      <c r="CA151" s="284">
        <v>19.349</v>
      </c>
      <c r="CB151" s="1">
        <v>0.62416129032258061</v>
      </c>
      <c r="CC151" s="1">
        <v>0.45771870839733736</v>
      </c>
      <c r="CD151" s="1" t="s">
        <v>776</v>
      </c>
      <c r="CE151" s="1"/>
      <c r="CF151" s="284">
        <v>41.576509931506848</v>
      </c>
      <c r="CG151" s="1">
        <v>1.3411777397260274</v>
      </c>
      <c r="CH151" s="1">
        <v>1.3411777397260278</v>
      </c>
      <c r="CI151" s="1" t="s">
        <v>776</v>
      </c>
      <c r="CJ151" s="1"/>
      <c r="CK151" s="284">
        <v>128.054</v>
      </c>
      <c r="CL151" s="1">
        <v>4.1307741935483868</v>
      </c>
      <c r="CM151" s="1">
        <v>3.0620662378392218</v>
      </c>
      <c r="CN151" s="1">
        <v>19.867999999999999</v>
      </c>
      <c r="CO151" s="1"/>
      <c r="CP151" s="284">
        <v>274.03199999999998</v>
      </c>
      <c r="CQ151" s="1">
        <v>8.83974193548387</v>
      </c>
      <c r="CR151" s="1">
        <v>7.8579401561699953</v>
      </c>
      <c r="CS151" s="1">
        <v>17.241</v>
      </c>
      <c r="CT151" s="1"/>
      <c r="CU151" s="284">
        <v>215.42500000000001</v>
      </c>
      <c r="CV151" s="1">
        <v>6.9491935483870968</v>
      </c>
      <c r="CW151" s="1">
        <v>5.9954996479774705</v>
      </c>
      <c r="CX151" s="1">
        <v>14.356</v>
      </c>
      <c r="CZ151" s="269">
        <v>33.976999999999997</v>
      </c>
      <c r="DA151" s="1">
        <v>1.0960322580645161</v>
      </c>
      <c r="DB151" s="1"/>
      <c r="DC151" s="284">
        <v>13.586238356164385</v>
      </c>
      <c r="DD151" s="1">
        <v>0.43826575342465757</v>
      </c>
      <c r="DE151" s="1">
        <v>0.43772020547945206</v>
      </c>
      <c r="DF151" s="1" t="s">
        <v>776</v>
      </c>
      <c r="DG151" s="1"/>
      <c r="DH151" s="284">
        <f>DI151*31</f>
        <v>85.467509931506854</v>
      </c>
      <c r="DI151" s="1">
        <f t="shared" si="246"/>
        <v>2.757016449403447</v>
      </c>
      <c r="DJ151" s="1">
        <f t="shared" si="256"/>
        <v>2.3890262100281268</v>
      </c>
      <c r="DK151" s="1"/>
      <c r="DL151" s="1"/>
      <c r="DM151" s="284">
        <f>DN151*31</f>
        <v>4104.9779112671231</v>
      </c>
      <c r="DN151" s="1">
        <f t="shared" si="247"/>
        <v>132.41864229893946</v>
      </c>
      <c r="DO151" s="1">
        <f t="shared" si="257"/>
        <v>107.81247420819044</v>
      </c>
      <c r="DP151" s="1"/>
      <c r="DQ151" s="1"/>
      <c r="DR151" s="284">
        <f>DS151*31</f>
        <v>665.07423835616441</v>
      </c>
      <c r="DS151" s="1">
        <f t="shared" si="243"/>
        <v>21.454007688908529</v>
      </c>
      <c r="DT151" s="1" t="e">
        <f>SUM(CM151+CR151+CW151+#REF!+DE151)</f>
        <v>#REF!</v>
      </c>
      <c r="DU151" s="1"/>
      <c r="DV151" s="1"/>
      <c r="DW151" s="284">
        <f>DX151*31</f>
        <v>4770.0521496232877</v>
      </c>
      <c r="DX151" s="1">
        <f t="shared" si="255"/>
        <v>153.87264998784798</v>
      </c>
      <c r="DY151" s="1">
        <f t="shared" si="258"/>
        <v>125.96615159492949</v>
      </c>
      <c r="EB151" s="242">
        <v>6.79</v>
      </c>
      <c r="EL151">
        <v>2009</v>
      </c>
      <c r="EM151" s="157" t="s">
        <v>712</v>
      </c>
      <c r="EN151" t="s">
        <v>841</v>
      </c>
      <c r="EO151">
        <v>350.74400000000003</v>
      </c>
      <c r="EP151" t="e">
        <f t="shared" si="250"/>
        <v>#VALUE!</v>
      </c>
    </row>
    <row r="152" spans="1:146" x14ac:dyDescent="0.25">
      <c r="A152" s="8">
        <v>2010</v>
      </c>
      <c r="B152" s="24" t="s">
        <v>719</v>
      </c>
      <c r="D152" s="284">
        <v>343.10500000000002</v>
      </c>
      <c r="E152" s="1">
        <v>11.067903225806452</v>
      </c>
      <c r="F152" s="1">
        <v>9.1799065668202768</v>
      </c>
      <c r="G152" s="1">
        <v>13.297000000000001</v>
      </c>
      <c r="M152" s="1"/>
      <c r="N152" s="284">
        <v>114.782</v>
      </c>
      <c r="O152" s="1">
        <v>3.7026451612903224</v>
      </c>
      <c r="P152" s="1">
        <v>3.4888732974910392</v>
      </c>
      <c r="Q152" s="1">
        <v>6.0919999999999996</v>
      </c>
      <c r="R152" s="1"/>
      <c r="S152" s="284">
        <v>207.35</v>
      </c>
      <c r="T152" s="1">
        <v>6.6887096774193546</v>
      </c>
      <c r="U152" s="1">
        <v>5.6151745007680489</v>
      </c>
      <c r="V152" s="1">
        <v>9.7799999999999994</v>
      </c>
      <c r="W152" s="88"/>
      <c r="X152" s="284">
        <v>691.52599999999995</v>
      </c>
      <c r="Y152" s="1">
        <v>22.307290322580645</v>
      </c>
      <c r="Z152" s="1">
        <v>20.450593055555558</v>
      </c>
      <c r="AA152" s="1">
        <v>29.795999999999999</v>
      </c>
      <c r="AB152" s="1"/>
      <c r="AC152" s="284">
        <v>898.87599999999998</v>
      </c>
      <c r="AD152" s="1">
        <v>28.995999999999999</v>
      </c>
      <c r="AE152" s="1">
        <v>26.065767556323603</v>
      </c>
      <c r="AF152" s="1">
        <v>39.576000000000001</v>
      </c>
      <c r="AG152" s="1"/>
      <c r="AH152" s="284">
        <v>2084.5129999999999</v>
      </c>
      <c r="AI152" s="1">
        <v>67.242354838709673</v>
      </c>
      <c r="AJ152" s="1">
        <v>61.209233653353827</v>
      </c>
      <c r="AK152" s="1">
        <v>125.4</v>
      </c>
      <c r="AL152" s="1"/>
      <c r="AM152" s="284">
        <v>20.768000000000001</v>
      </c>
      <c r="AN152" s="1">
        <v>0.6699354838709678</v>
      </c>
      <c r="AO152" s="1">
        <v>0.69449877112135183</v>
      </c>
      <c r="AP152" s="1" t="s">
        <v>776</v>
      </c>
      <c r="AQ152" s="1"/>
      <c r="AR152" s="284">
        <v>148.88800000000001</v>
      </c>
      <c r="AS152" s="1">
        <v>4.8028387096774194</v>
      </c>
      <c r="AT152" s="1">
        <v>4.4420063876088065</v>
      </c>
      <c r="AU152" s="1" t="s">
        <v>776</v>
      </c>
      <c r="AV152" s="1"/>
      <c r="AW152" s="284">
        <v>9.0150000000000006</v>
      </c>
      <c r="AX152" s="1">
        <v>0.29080645161290325</v>
      </c>
      <c r="AY152" s="1">
        <v>0.3828788210445469</v>
      </c>
      <c r="AZ152" s="1" t="s">
        <v>776</v>
      </c>
      <c r="BA152" s="1"/>
      <c r="BB152" s="284">
        <v>26.82</v>
      </c>
      <c r="BC152" s="1">
        <v>0.8651612903225806</v>
      </c>
      <c r="BD152" s="1">
        <v>0.86565650921658988</v>
      </c>
      <c r="BE152" s="1" t="s">
        <v>776</v>
      </c>
      <c r="BF152" s="1"/>
      <c r="BG152" s="284">
        <v>34.502000000000002</v>
      </c>
      <c r="BH152" s="1">
        <v>1.112967741935484</v>
      </c>
      <c r="BI152" s="1">
        <v>0.98246979646697385</v>
      </c>
      <c r="BJ152" s="1" t="s">
        <v>776</v>
      </c>
      <c r="BK152" s="1"/>
      <c r="BL152" s="284">
        <v>156.11242119863016</v>
      </c>
      <c r="BM152" s="1">
        <v>5.0358845547945217</v>
      </c>
      <c r="BN152" s="1">
        <v>4.4375135045662102</v>
      </c>
      <c r="BO152" s="1" t="s">
        <v>776</v>
      </c>
      <c r="BP152" s="1"/>
      <c r="BQ152" s="284">
        <v>10.701000000000001</v>
      </c>
      <c r="BR152" s="1">
        <v>0.34519354838709682</v>
      </c>
      <c r="BS152" s="1">
        <v>0.37522447516641066</v>
      </c>
      <c r="BT152" s="1" t="s">
        <v>776</v>
      </c>
      <c r="BU152" s="1"/>
      <c r="BV152" s="284">
        <v>6.8150000000000004</v>
      </c>
      <c r="BW152" s="1">
        <v>0.21983870967741936</v>
      </c>
      <c r="BX152" s="1">
        <v>0.21344829749103944</v>
      </c>
      <c r="BY152" s="1" t="s">
        <v>776</v>
      </c>
      <c r="BZ152" s="1"/>
      <c r="CA152" s="284">
        <v>14.971</v>
      </c>
      <c r="CB152" s="1">
        <v>0.48293548387096774</v>
      </c>
      <c r="CC152" s="1">
        <v>0.46181817076292891</v>
      </c>
      <c r="CD152" s="1" t="s">
        <v>776</v>
      </c>
      <c r="CE152" s="1"/>
      <c r="CF152" s="284">
        <v>41.576509931506848</v>
      </c>
      <c r="CG152" s="1">
        <v>1.3411777397260274</v>
      </c>
      <c r="CH152" s="1">
        <v>1.3411777397260278</v>
      </c>
      <c r="CI152" s="1" t="s">
        <v>776</v>
      </c>
      <c r="CJ152" s="1"/>
      <c r="CK152" s="284">
        <v>111.57299999999999</v>
      </c>
      <c r="CL152" s="1">
        <v>3.5991290322580642</v>
      </c>
      <c r="CM152" s="1">
        <v>3.1612839797747054</v>
      </c>
      <c r="CN152" s="1">
        <v>7.6390000000000002</v>
      </c>
      <c r="CO152" s="1"/>
      <c r="CP152" s="284">
        <v>252.45400000000001</v>
      </c>
      <c r="CQ152" s="1">
        <v>8.1436774193548391</v>
      </c>
      <c r="CR152" s="1">
        <v>8.0055611239119315</v>
      </c>
      <c r="CS152" s="1">
        <v>13.564</v>
      </c>
      <c r="CT152" s="1"/>
      <c r="CU152" s="284">
        <v>201.97200000000001</v>
      </c>
      <c r="CV152" s="1">
        <v>6.5152258064516131</v>
      </c>
      <c r="CW152" s="1">
        <v>6.0905480350742449</v>
      </c>
      <c r="CX152" s="1">
        <v>9.7240000000000002</v>
      </c>
      <c r="CZ152" s="269">
        <v>31.584</v>
      </c>
      <c r="DA152" s="1">
        <v>1.0188387096774194</v>
      </c>
      <c r="DB152" s="1"/>
      <c r="DC152" s="284">
        <v>13.586238356164385</v>
      </c>
      <c r="DD152" s="1">
        <v>0.43826575342465757</v>
      </c>
      <c r="DE152" s="1">
        <v>0.43778082191780826</v>
      </c>
      <c r="DF152" s="1" t="s">
        <v>776</v>
      </c>
      <c r="DG152" s="1"/>
      <c r="DH152" s="284">
        <f>DI152*31</f>
        <v>74.063509931506857</v>
      </c>
      <c r="DI152" s="1">
        <f t="shared" si="246"/>
        <v>2.3891454816615116</v>
      </c>
      <c r="DJ152" s="1">
        <f t="shared" si="256"/>
        <v>2.3916686831464062</v>
      </c>
      <c r="DK152" s="1"/>
      <c r="DL152" s="1"/>
      <c r="DM152" s="284">
        <f>DN152*31</f>
        <v>3763.3179112671228</v>
      </c>
      <c r="DN152" s="1">
        <f t="shared" si="247"/>
        <v>121.39735197635881</v>
      </c>
      <c r="DO152" s="1">
        <f t="shared" si="257"/>
        <v>109.3571361808668</v>
      </c>
      <c r="DP152" s="1"/>
      <c r="DQ152" s="1"/>
      <c r="DR152" s="284">
        <f>DS152*31</f>
        <v>611.16923835616444</v>
      </c>
      <c r="DS152" s="1">
        <f t="shared" si="243"/>
        <v>19.715136721166594</v>
      </c>
      <c r="DT152" s="1" t="e">
        <f>SUM(CM152+CR152+CW152+#REF!+DE152)</f>
        <v>#REF!</v>
      </c>
      <c r="DU152" s="1"/>
      <c r="DV152" s="1"/>
      <c r="DW152" s="284">
        <f>DX152*31</f>
        <v>4374.4871496232872</v>
      </c>
      <c r="DX152" s="1">
        <f t="shared" si="255"/>
        <v>141.11248869752541</v>
      </c>
      <c r="DY152" s="1">
        <f t="shared" si="258"/>
        <v>127.87655160339905</v>
      </c>
      <c r="EB152" s="242">
        <v>1.56</v>
      </c>
      <c r="EL152">
        <v>2010</v>
      </c>
      <c r="EM152" s="157" t="s">
        <v>719</v>
      </c>
      <c r="EN152" t="s">
        <v>841</v>
      </c>
      <c r="EO152">
        <v>343.10500000000002</v>
      </c>
      <c r="EP152" t="e">
        <f t="shared" si="250"/>
        <v>#VALUE!</v>
      </c>
    </row>
    <row r="153" spans="1:146" x14ac:dyDescent="0.25">
      <c r="A153" s="8">
        <v>2010</v>
      </c>
      <c r="B153" t="s">
        <v>713</v>
      </c>
      <c r="D153" s="284">
        <v>307.87900000000002</v>
      </c>
      <c r="E153" s="1">
        <v>10.995678571428572</v>
      </c>
      <c r="F153" s="1">
        <v>9.4465702572964663</v>
      </c>
      <c r="G153" s="1">
        <v>14.247</v>
      </c>
      <c r="M153" s="1"/>
      <c r="N153" s="284">
        <v>111.634</v>
      </c>
      <c r="O153" s="1">
        <v>3.9869285714285714</v>
      </c>
      <c r="P153" s="1">
        <v>3.5396173451100865</v>
      </c>
      <c r="Q153" s="1">
        <v>7.1539999999999999</v>
      </c>
      <c r="R153" s="1"/>
      <c r="S153" s="284">
        <v>198.631</v>
      </c>
      <c r="T153" s="1">
        <v>7.0939642857142857</v>
      </c>
      <c r="U153" s="1">
        <v>5.8168322388632872</v>
      </c>
      <c r="V153" s="1">
        <v>10.912000000000001</v>
      </c>
      <c r="W153" s="88"/>
      <c r="X153" s="284">
        <v>645.27099999999996</v>
      </c>
      <c r="Y153" s="1">
        <v>23.045392857142854</v>
      </c>
      <c r="Z153" s="1">
        <v>20.737146626984128</v>
      </c>
      <c r="AA153" s="1">
        <v>30.423999999999999</v>
      </c>
      <c r="AB153" s="1"/>
      <c r="AC153" s="284">
        <v>843.90199999999993</v>
      </c>
      <c r="AD153" s="1">
        <v>30.13935714285714</v>
      </c>
      <c r="AE153" s="1">
        <v>26.553978865847412</v>
      </c>
      <c r="AF153" s="1">
        <v>41.335999999999999</v>
      </c>
      <c r="AG153" s="1"/>
      <c r="AH153" s="284">
        <v>2088.9</v>
      </c>
      <c r="AI153" s="1">
        <v>74.603571428571428</v>
      </c>
      <c r="AJ153" s="1">
        <v>63.038328891449048</v>
      </c>
      <c r="AK153" s="1">
        <v>160.19999999999999</v>
      </c>
      <c r="AL153" s="1"/>
      <c r="AM153" s="284">
        <v>24.306999999999999</v>
      </c>
      <c r="AN153" s="1">
        <v>0.86810714285714285</v>
      </c>
      <c r="AO153" s="1">
        <v>0.71273984254992329</v>
      </c>
      <c r="AP153" s="1" t="s">
        <v>776</v>
      </c>
      <c r="AQ153" s="1"/>
      <c r="AR153" s="284">
        <v>156.88399999999999</v>
      </c>
      <c r="AS153" s="1">
        <v>5.6029999999999998</v>
      </c>
      <c r="AT153" s="1">
        <v>4.596071863799283</v>
      </c>
      <c r="AU153" s="1" t="s">
        <v>776</v>
      </c>
      <c r="AV153" s="1"/>
      <c r="AW153" s="284">
        <v>11.189</v>
      </c>
      <c r="AX153" s="1">
        <v>0.39960714285714288</v>
      </c>
      <c r="AY153" s="1">
        <v>0.39529548771121353</v>
      </c>
      <c r="AZ153" s="1" t="s">
        <v>776</v>
      </c>
      <c r="BA153" s="1"/>
      <c r="BB153" s="284">
        <v>27.922999999999998</v>
      </c>
      <c r="BC153" s="1">
        <v>0.99724999999999997</v>
      </c>
      <c r="BD153" s="1">
        <v>0.88458508064516128</v>
      </c>
      <c r="BE153" s="1" t="s">
        <v>776</v>
      </c>
      <c r="BF153" s="1"/>
      <c r="BG153" s="284">
        <v>38.972000000000001</v>
      </c>
      <c r="BH153" s="1">
        <v>1.3918571428571429</v>
      </c>
      <c r="BI153" s="1">
        <v>1.0187644393241169</v>
      </c>
      <c r="BJ153" s="1" t="s">
        <v>776</v>
      </c>
      <c r="BK153" s="1"/>
      <c r="BL153" s="284">
        <v>141.00476753424658</v>
      </c>
      <c r="BM153" s="1">
        <v>5.0358845547945208</v>
      </c>
      <c r="BN153" s="1">
        <v>4.5123098858447488</v>
      </c>
      <c r="BO153" s="1" t="s">
        <v>776</v>
      </c>
      <c r="BP153" s="1"/>
      <c r="BQ153" s="284">
        <v>10.557</v>
      </c>
      <c r="BR153" s="1">
        <v>0.37703571428571431</v>
      </c>
      <c r="BS153" s="1">
        <v>0.3798643561187916</v>
      </c>
      <c r="BT153" s="1" t="s">
        <v>776</v>
      </c>
      <c r="BU153" s="1"/>
      <c r="BV153" s="284">
        <v>9.5690000000000008</v>
      </c>
      <c r="BW153" s="1">
        <v>0.34175000000000005</v>
      </c>
      <c r="BX153" s="1">
        <v>0.22921913082437281</v>
      </c>
      <c r="BY153" s="1" t="s">
        <v>776</v>
      </c>
      <c r="BZ153" s="1"/>
      <c r="CA153" s="284">
        <v>15.807</v>
      </c>
      <c r="CB153" s="1">
        <v>0.56453571428571425</v>
      </c>
      <c r="CC153" s="1">
        <v>0.47628245647721457</v>
      </c>
      <c r="CD153" s="1" t="s">
        <v>776</v>
      </c>
      <c r="CE153" s="1"/>
      <c r="CF153" s="284">
        <v>37.552976712328764</v>
      </c>
      <c r="CG153" s="1">
        <v>1.3411777397260274</v>
      </c>
      <c r="CH153" s="1">
        <v>1.3411777397260278</v>
      </c>
      <c r="CI153" s="1" t="s">
        <v>776</v>
      </c>
      <c r="CJ153" s="1"/>
      <c r="CK153" s="284">
        <v>62.777000000000001</v>
      </c>
      <c r="CL153" s="1">
        <v>2.2420357142857141</v>
      </c>
      <c r="CM153" s="1">
        <v>3.1631173131080388</v>
      </c>
      <c r="CN153" s="1">
        <v>8.7899999999999991</v>
      </c>
      <c r="CO153" s="1"/>
      <c r="CP153" s="284">
        <v>245.90799999999999</v>
      </c>
      <c r="CQ153" s="1">
        <v>8.7824285714285715</v>
      </c>
      <c r="CR153" s="1">
        <v>8.1964420762928842</v>
      </c>
      <c r="CS153" s="1">
        <v>13.03</v>
      </c>
      <c r="CT153" s="1"/>
      <c r="CU153" s="284">
        <v>185.71700000000001</v>
      </c>
      <c r="CV153" s="1">
        <v>6.6327500000000006</v>
      </c>
      <c r="CW153" s="1">
        <v>6.2179706541218636</v>
      </c>
      <c r="CX153" s="1">
        <v>10.335000000000001</v>
      </c>
      <c r="CZ153" s="269">
        <v>32.637</v>
      </c>
      <c r="DA153" s="1">
        <v>1.1656071428571428</v>
      </c>
      <c r="DB153" s="1"/>
      <c r="DC153" s="284">
        <v>12.271441095890411</v>
      </c>
      <c r="DD153" s="1">
        <v>0.43826575342465757</v>
      </c>
      <c r="DE153" s="1">
        <v>0.4378414383561644</v>
      </c>
      <c r="DF153" s="1" t="s">
        <v>776</v>
      </c>
      <c r="DG153" s="1"/>
      <c r="DH153" s="284">
        <f>DI153*28</f>
        <v>73.485976712328778</v>
      </c>
      <c r="DI153" s="1">
        <f t="shared" si="246"/>
        <v>2.6244991682974561</v>
      </c>
      <c r="DJ153" s="1">
        <f t="shared" si="256"/>
        <v>2.4265436831464062</v>
      </c>
      <c r="DK153" s="1"/>
      <c r="DL153" s="1"/>
      <c r="DM153" s="284">
        <f>DN153*28</f>
        <v>3679.108790821917</v>
      </c>
      <c r="DN153" s="1">
        <f t="shared" si="247"/>
        <v>131.39674252935419</v>
      </c>
      <c r="DO153" s="1">
        <f t="shared" si="257"/>
        <v>112.27171827643106</v>
      </c>
      <c r="DP153" s="1"/>
      <c r="DQ153" s="1"/>
      <c r="DR153" s="284">
        <f>DS153*28</f>
        <v>539.3104410958905</v>
      </c>
      <c r="DS153" s="1">
        <f t="shared" si="243"/>
        <v>19.261087181996089</v>
      </c>
      <c r="DT153" s="1" t="e">
        <f>SUM(CM153+CR153+CW153+#REF!+DE153)</f>
        <v>#REF!</v>
      </c>
      <c r="DU153" s="1"/>
      <c r="DV153" s="1"/>
      <c r="DW153" s="284">
        <f>DX153*28</f>
        <v>4218.4192319178073</v>
      </c>
      <c r="DX153" s="1">
        <f t="shared" si="255"/>
        <v>150.65782971135027</v>
      </c>
      <c r="DY153" s="1">
        <f t="shared" si="258"/>
        <v>131.15189967254452</v>
      </c>
      <c r="EB153" s="242">
        <v>2.72</v>
      </c>
      <c r="EL153">
        <v>2010</v>
      </c>
      <c r="EM153" s="157" t="s">
        <v>713</v>
      </c>
      <c r="EN153" t="s">
        <v>841</v>
      </c>
      <c r="EO153">
        <v>307.87900000000002</v>
      </c>
      <c r="EP153" t="e">
        <f t="shared" si="250"/>
        <v>#VALUE!</v>
      </c>
    </row>
    <row r="154" spans="1:146" x14ac:dyDescent="0.25">
      <c r="A154" s="8">
        <v>2010</v>
      </c>
      <c r="B154" s="24" t="s">
        <v>714</v>
      </c>
      <c r="D154" s="284">
        <v>294.96499999999997</v>
      </c>
      <c r="E154" s="1">
        <v>9.5150000000000006</v>
      </c>
      <c r="F154" s="1">
        <v>9.5353471390168973</v>
      </c>
      <c r="G154" s="1">
        <v>12.336</v>
      </c>
      <c r="M154" s="1"/>
      <c r="N154" s="284">
        <v>134.48099999999999</v>
      </c>
      <c r="O154" s="1">
        <v>4.3380967741935486</v>
      </c>
      <c r="P154" s="1">
        <v>3.6276200332821298</v>
      </c>
      <c r="Q154" s="1">
        <v>7.83</v>
      </c>
      <c r="R154" s="1"/>
      <c r="S154" s="284">
        <v>251.59700000000001</v>
      </c>
      <c r="T154" s="1">
        <v>8.1160322580645161</v>
      </c>
      <c r="U154" s="1">
        <v>6.1003913786482338</v>
      </c>
      <c r="V154" s="1">
        <v>14.395</v>
      </c>
      <c r="W154" s="88"/>
      <c r="X154" s="284">
        <v>771.24400000000003</v>
      </c>
      <c r="Y154" s="1">
        <v>24.878838709677421</v>
      </c>
      <c r="Z154" s="1">
        <v>21.181388562467998</v>
      </c>
      <c r="AA154" s="1">
        <v>33.104999999999997</v>
      </c>
      <c r="AB154" s="1"/>
      <c r="AC154" s="284">
        <v>1022.841</v>
      </c>
      <c r="AD154" s="1">
        <v>32.994870967741939</v>
      </c>
      <c r="AE154" s="1">
        <v>27.281779941116227</v>
      </c>
      <c r="AF154" s="1">
        <v>47.5</v>
      </c>
      <c r="AG154" s="1"/>
      <c r="AH154" s="284">
        <v>2329.4140000000002</v>
      </c>
      <c r="AI154" s="1">
        <v>75.1423870967742</v>
      </c>
      <c r="AJ154" s="1">
        <v>64.848904160266258</v>
      </c>
      <c r="AK154" s="1">
        <v>157.5</v>
      </c>
      <c r="AL154" s="1"/>
      <c r="AM154" s="284">
        <v>25.66</v>
      </c>
      <c r="AN154" s="1">
        <v>0.82774193548387098</v>
      </c>
      <c r="AO154" s="1">
        <v>0.72657586405529961</v>
      </c>
      <c r="AP154" s="1" t="s">
        <v>776</v>
      </c>
      <c r="AQ154" s="1"/>
      <c r="AR154" s="284">
        <v>137.83099999999999</v>
      </c>
      <c r="AS154" s="1">
        <v>4.4461612903225802</v>
      </c>
      <c r="AT154" s="1">
        <v>4.6437654121863785</v>
      </c>
      <c r="AU154" s="1" t="s">
        <v>776</v>
      </c>
      <c r="AV154" s="1"/>
      <c r="AW154" s="284">
        <v>11.47</v>
      </c>
      <c r="AX154" s="1">
        <v>0.37</v>
      </c>
      <c r="AY154" s="1">
        <v>0.40410731566820274</v>
      </c>
      <c r="AZ154" s="1" t="s">
        <v>776</v>
      </c>
      <c r="BA154" s="1"/>
      <c r="BB154" s="284">
        <v>28.922999999999998</v>
      </c>
      <c r="BC154" s="1">
        <v>0.93299999999999994</v>
      </c>
      <c r="BD154" s="1">
        <v>0.89398024193548375</v>
      </c>
      <c r="BE154" s="1" t="s">
        <v>776</v>
      </c>
      <c r="BF154" s="1"/>
      <c r="BG154" s="284">
        <v>39.173999999999999</v>
      </c>
      <c r="BH154" s="1">
        <v>1.2636774193548388</v>
      </c>
      <c r="BI154" s="1">
        <v>1.0518800307219662</v>
      </c>
      <c r="BJ154" s="1" t="s">
        <v>776</v>
      </c>
      <c r="BK154" s="1"/>
      <c r="BL154" s="284">
        <v>156.11242119863016</v>
      </c>
      <c r="BM154" s="1">
        <v>5.0358845547945217</v>
      </c>
      <c r="BN154" s="1">
        <v>4.5871062671232883</v>
      </c>
      <c r="BO154" s="1" t="s">
        <v>776</v>
      </c>
      <c r="BP154" s="1"/>
      <c r="BQ154" s="284">
        <v>11.563000000000001</v>
      </c>
      <c r="BR154" s="1">
        <v>0.373</v>
      </c>
      <c r="BS154" s="1">
        <v>0.38246113031233997</v>
      </c>
      <c r="BT154" s="1" t="s">
        <v>776</v>
      </c>
      <c r="BU154" s="1"/>
      <c r="BV154" s="284">
        <v>8.4190000000000005</v>
      </c>
      <c r="BW154" s="1">
        <v>0.27158064516129032</v>
      </c>
      <c r="BX154" s="1">
        <v>0.23790730286738357</v>
      </c>
      <c r="BY154" s="1" t="s">
        <v>776</v>
      </c>
      <c r="BZ154" s="1"/>
      <c r="CA154" s="284">
        <v>16.84</v>
      </c>
      <c r="CB154" s="1">
        <v>0.54322580645161289</v>
      </c>
      <c r="CC154" s="1">
        <v>0.48675826292882746</v>
      </c>
      <c r="CD154" s="1" t="s">
        <v>776</v>
      </c>
      <c r="CE154" s="1"/>
      <c r="CF154" s="284">
        <v>41.576509931506848</v>
      </c>
      <c r="CG154" s="1">
        <v>1.3411777397260274</v>
      </c>
      <c r="CH154" s="1">
        <v>1.3411777397260278</v>
      </c>
      <c r="CI154" s="1" t="s">
        <v>776</v>
      </c>
      <c r="CJ154" s="1"/>
      <c r="CK154" s="284">
        <v>183.11199999999999</v>
      </c>
      <c r="CL154" s="1">
        <v>5.9068387096774195</v>
      </c>
      <c r="CM154" s="1">
        <v>3.3917947324628783</v>
      </c>
      <c r="CN154" s="1">
        <v>14.101000000000001</v>
      </c>
      <c r="CO154" s="1"/>
      <c r="CP154" s="284">
        <v>289.66000000000003</v>
      </c>
      <c r="CQ154" s="1">
        <v>9.3438709677419372</v>
      </c>
      <c r="CR154" s="1">
        <v>8.4427942268305181</v>
      </c>
      <c r="CS154" s="1">
        <v>14.132999999999999</v>
      </c>
      <c r="CT154" s="1"/>
      <c r="CU154" s="284">
        <v>223.26400000000001</v>
      </c>
      <c r="CV154" s="1">
        <v>7.2020645161290329</v>
      </c>
      <c r="CW154" s="1">
        <v>6.3802152777777765</v>
      </c>
      <c r="CX154" s="1">
        <v>11.396000000000001</v>
      </c>
      <c r="CZ154" s="269">
        <v>40.139000000000003</v>
      </c>
      <c r="DA154" s="1">
        <v>1.2948064516129034</v>
      </c>
      <c r="DB154" s="1"/>
      <c r="DC154" s="284">
        <v>13.586238356164385</v>
      </c>
      <c r="DD154" s="1">
        <v>0.43826575342465757</v>
      </c>
      <c r="DE154" s="1">
        <v>0.43790205479452055</v>
      </c>
      <c r="DF154" s="1" t="s">
        <v>776</v>
      </c>
      <c r="DG154" s="1"/>
      <c r="DH154" s="284">
        <f>DI154*31</f>
        <v>78.398509931506851</v>
      </c>
      <c r="DI154" s="1">
        <f t="shared" si="246"/>
        <v>2.5289841913389308</v>
      </c>
      <c r="DJ154" s="1">
        <f t="shared" si="256"/>
        <v>2.4483044358345785</v>
      </c>
      <c r="DK154" s="1"/>
      <c r="DL154" s="1"/>
      <c r="DM154" s="284">
        <f>DN154*31</f>
        <v>4102.4729112671248</v>
      </c>
      <c r="DN154" s="1">
        <f t="shared" si="247"/>
        <v>132.3378358473266</v>
      </c>
      <c r="DO154" s="1">
        <f t="shared" si="257"/>
        <v>115.15276196953756</v>
      </c>
      <c r="DP154" s="1"/>
      <c r="DQ154" s="1"/>
      <c r="DR154" s="284">
        <f>DS154*31</f>
        <v>749.76123835616454</v>
      </c>
      <c r="DS154" s="1">
        <f t="shared" si="243"/>
        <v>24.185846398585952</v>
      </c>
      <c r="DT154" s="1" t="e">
        <f>SUM(CM154+CR154+CW154+#REF!+DE154)</f>
        <v>#REF!</v>
      </c>
      <c r="DU154" s="1"/>
      <c r="DV154" s="1"/>
      <c r="DW154" s="284">
        <f>DX154*31</f>
        <v>4852.2341496232884</v>
      </c>
      <c r="DX154" s="1">
        <f t="shared" si="255"/>
        <v>156.52368224591254</v>
      </c>
      <c r="DY154" s="1">
        <f t="shared" si="258"/>
        <v>134.71741258423992</v>
      </c>
      <c r="EB154" s="242">
        <v>3.55</v>
      </c>
      <c r="EL154">
        <v>2010</v>
      </c>
      <c r="EM154" s="157" t="s">
        <v>714</v>
      </c>
      <c r="EN154" t="s">
        <v>841</v>
      </c>
      <c r="EO154">
        <v>294.96499999999997</v>
      </c>
      <c r="EP154" t="e">
        <f t="shared" si="250"/>
        <v>#VALUE!</v>
      </c>
    </row>
    <row r="155" spans="1:146" x14ac:dyDescent="0.25">
      <c r="A155" s="8">
        <v>2010</v>
      </c>
      <c r="B155" t="s">
        <v>705</v>
      </c>
      <c r="D155" s="284">
        <v>293.25400000000002</v>
      </c>
      <c r="E155" s="1">
        <v>9.7751333333333346</v>
      </c>
      <c r="F155" s="1">
        <v>9.6057304723502313</v>
      </c>
      <c r="G155" s="1">
        <v>11.069000000000001</v>
      </c>
      <c r="M155" s="1"/>
      <c r="N155" s="284">
        <v>118.636</v>
      </c>
      <c r="O155" s="1">
        <v>3.954533333333333</v>
      </c>
      <c r="P155" s="1">
        <v>3.6693644777265746</v>
      </c>
      <c r="Q155" s="1">
        <v>6.5529999999999999</v>
      </c>
      <c r="R155" s="1"/>
      <c r="S155" s="284">
        <v>204.56100000000001</v>
      </c>
      <c r="T155" s="1">
        <v>6.8187000000000006</v>
      </c>
      <c r="U155" s="1">
        <v>6.2341691564260122</v>
      </c>
      <c r="V155" s="1">
        <v>9.3919999999999995</v>
      </c>
      <c r="W155" s="88"/>
      <c r="X155" s="284">
        <v>675.26099999999997</v>
      </c>
      <c r="Y155" s="1">
        <v>22.508699999999997</v>
      </c>
      <c r="Z155" s="1">
        <v>21.291310784690221</v>
      </c>
      <c r="AA155" s="1">
        <v>27.905999999999999</v>
      </c>
      <c r="AB155" s="1"/>
      <c r="AC155" s="284">
        <v>879.822</v>
      </c>
      <c r="AD155" s="1">
        <v>29.327400000000001</v>
      </c>
      <c r="AE155" s="1">
        <v>27.525479941116231</v>
      </c>
      <c r="AF155" s="1">
        <v>37.298000000000002</v>
      </c>
      <c r="AG155" s="1"/>
      <c r="AH155" s="284">
        <v>1892.4739999999999</v>
      </c>
      <c r="AI155" s="1">
        <v>63.082466666666662</v>
      </c>
      <c r="AJ155" s="1">
        <v>64.877920826932908</v>
      </c>
      <c r="AK155" s="1">
        <v>147.6</v>
      </c>
      <c r="AL155" s="1"/>
      <c r="AM155" s="284">
        <v>18.385000000000002</v>
      </c>
      <c r="AN155" s="1">
        <v>0.61283333333333334</v>
      </c>
      <c r="AO155" s="1">
        <v>0.72064530849974384</v>
      </c>
      <c r="AP155" s="1" t="s">
        <v>776</v>
      </c>
      <c r="AQ155" s="1"/>
      <c r="AR155" s="284">
        <v>97.49</v>
      </c>
      <c r="AS155" s="1">
        <v>3.2496666666666667</v>
      </c>
      <c r="AT155" s="1">
        <v>4.5491376344086012</v>
      </c>
      <c r="AU155" s="1" t="s">
        <v>776</v>
      </c>
      <c r="AV155" s="1"/>
      <c r="AW155" s="284">
        <v>7.9530000000000003</v>
      </c>
      <c r="AX155" s="1">
        <v>0.2651</v>
      </c>
      <c r="AY155" s="1">
        <v>0.40206564900153613</v>
      </c>
      <c r="AZ155" s="1" t="s">
        <v>776</v>
      </c>
      <c r="BA155" s="1"/>
      <c r="BB155" s="284">
        <v>24.603000000000002</v>
      </c>
      <c r="BC155" s="1">
        <v>0.82010000000000005</v>
      </c>
      <c r="BD155" s="1">
        <v>0.8938635752688171</v>
      </c>
      <c r="BE155" s="1" t="s">
        <v>776</v>
      </c>
      <c r="BF155" s="1"/>
      <c r="BG155" s="284">
        <v>30.850999999999999</v>
      </c>
      <c r="BH155" s="1">
        <v>1.0283666666666667</v>
      </c>
      <c r="BI155" s="1">
        <v>1.0614105862775218</v>
      </c>
      <c r="BJ155" s="1" t="s">
        <v>776</v>
      </c>
      <c r="BK155" s="1"/>
      <c r="BL155" s="284">
        <v>151.07653664383562</v>
      </c>
      <c r="BM155" s="1">
        <v>5.0358845547945208</v>
      </c>
      <c r="BN155" s="1">
        <v>4.6619026484018269</v>
      </c>
      <c r="BO155" s="1" t="s">
        <v>776</v>
      </c>
      <c r="BP155" s="1"/>
      <c r="BQ155" s="284">
        <v>10.694000000000001</v>
      </c>
      <c r="BR155" s="1">
        <v>0.35646666666666671</v>
      </c>
      <c r="BS155" s="1">
        <v>0.3829000192012289</v>
      </c>
      <c r="BT155" s="1" t="s">
        <v>776</v>
      </c>
      <c r="BU155" s="1"/>
      <c r="BV155" s="284">
        <v>5.3650000000000002</v>
      </c>
      <c r="BW155" s="1">
        <v>0.17883333333333334</v>
      </c>
      <c r="BX155" s="1">
        <v>0.23685174731182798</v>
      </c>
      <c r="BY155" s="1" t="s">
        <v>776</v>
      </c>
      <c r="BZ155" s="1"/>
      <c r="CA155" s="284">
        <v>13.914999999999999</v>
      </c>
      <c r="CB155" s="1">
        <v>0.46383333333333332</v>
      </c>
      <c r="CC155" s="1">
        <v>0.48893604070660529</v>
      </c>
      <c r="CD155" s="1" t="s">
        <v>776</v>
      </c>
      <c r="CE155" s="1"/>
      <c r="CF155" s="284">
        <v>40.23533219178082</v>
      </c>
      <c r="CG155" s="1">
        <v>1.3411777397260274</v>
      </c>
      <c r="CH155" s="1">
        <v>1.3411777397260278</v>
      </c>
      <c r="CI155" s="1" t="s">
        <v>776</v>
      </c>
      <c r="CJ155" s="1"/>
      <c r="CK155" s="284">
        <v>126.813</v>
      </c>
      <c r="CL155" s="1">
        <v>4.2271000000000001</v>
      </c>
      <c r="CM155" s="1">
        <v>3.424403065796211</v>
      </c>
      <c r="CN155" s="1">
        <v>7.8949999999999996</v>
      </c>
      <c r="CO155" s="1"/>
      <c r="CP155" s="284">
        <v>251.85300000000001</v>
      </c>
      <c r="CQ155" s="1">
        <v>8.3951000000000011</v>
      </c>
      <c r="CR155" s="1">
        <v>8.4554192268305162</v>
      </c>
      <c r="CS155" s="1">
        <v>11.442</v>
      </c>
      <c r="CT155" s="1"/>
      <c r="CU155" s="284">
        <v>203.66399999999999</v>
      </c>
      <c r="CV155" s="1">
        <v>6.7887999999999993</v>
      </c>
      <c r="CW155" s="1">
        <v>6.4661874999999993</v>
      </c>
      <c r="CX155" s="1">
        <v>9.9619999999999997</v>
      </c>
      <c r="CZ155" s="269">
        <v>30.367999999999999</v>
      </c>
      <c r="DA155" s="1">
        <v>1.0122666666666666</v>
      </c>
      <c r="DB155" s="1"/>
      <c r="DC155" s="284">
        <v>13.147972602739728</v>
      </c>
      <c r="DD155" s="1">
        <v>0.43826575342465757</v>
      </c>
      <c r="DE155" s="1">
        <v>0.43796267123287674</v>
      </c>
      <c r="DF155" s="1" t="s">
        <v>776</v>
      </c>
      <c r="DG155" s="1"/>
      <c r="DH155" s="284">
        <f>DI155*30</f>
        <v>70.209332191780831</v>
      </c>
      <c r="DI155" s="1">
        <f t="shared" si="246"/>
        <v>2.340311073059361</v>
      </c>
      <c r="DJ155" s="1">
        <f t="shared" si="256"/>
        <v>2.44986554694569</v>
      </c>
      <c r="DK155" s="1"/>
      <c r="DL155" s="1"/>
      <c r="DM155" s="284">
        <f>DN155*30</f>
        <v>3444.3352044520548</v>
      </c>
      <c r="DN155" s="1">
        <f t="shared" si="247"/>
        <v>114.81117348173515</v>
      </c>
      <c r="DO155" s="1">
        <f t="shared" si="257"/>
        <v>115.51765557303833</v>
      </c>
      <c r="DP155" s="1"/>
      <c r="DQ155" s="1"/>
      <c r="DR155" s="284">
        <f>DS155*30</f>
        <v>625.84597260273972</v>
      </c>
      <c r="DS155" s="1">
        <f t="shared" si="243"/>
        <v>20.861532420091326</v>
      </c>
      <c r="DT155" s="1" t="e">
        <f>SUM(CM155+CR155+CW155+#REF!+DE155)</f>
        <v>#REF!</v>
      </c>
      <c r="DU155" s="1"/>
      <c r="DV155" s="1"/>
      <c r="DW155" s="284">
        <f>DX155*30</f>
        <v>4070.1811770547943</v>
      </c>
      <c r="DX155" s="1">
        <f t="shared" ref="DX155:DX160" si="259">SUM(DN155+DS155)</f>
        <v>135.67270590182648</v>
      </c>
      <c r="DY155" s="1">
        <f t="shared" si="258"/>
        <v>135.2318501375124</v>
      </c>
      <c r="EB155" s="242">
        <v>1.5</v>
      </c>
      <c r="EL155">
        <v>2010</v>
      </c>
      <c r="EM155" s="157" t="s">
        <v>705</v>
      </c>
      <c r="EN155" t="s">
        <v>841</v>
      </c>
      <c r="EO155">
        <v>293.25400000000002</v>
      </c>
      <c r="EP155" t="e">
        <f t="shared" si="250"/>
        <v>#VALUE!</v>
      </c>
    </row>
    <row r="156" spans="1:146" x14ac:dyDescent="0.25">
      <c r="A156" s="8">
        <v>2010</v>
      </c>
      <c r="B156" t="s">
        <v>715</v>
      </c>
      <c r="D156" s="284">
        <v>270.01</v>
      </c>
      <c r="E156" s="1">
        <v>8.7100000000000009</v>
      </c>
      <c r="F156" s="1">
        <v>9.5365127304147457</v>
      </c>
      <c r="G156" s="1">
        <v>10.708</v>
      </c>
      <c r="M156" s="1"/>
      <c r="N156" s="284">
        <v>114.071</v>
      </c>
      <c r="O156" s="1">
        <v>3.6797096774193547</v>
      </c>
      <c r="P156" s="1">
        <v>3.6624639400921652</v>
      </c>
      <c r="Q156" s="1">
        <v>6.43</v>
      </c>
      <c r="R156" s="1"/>
      <c r="S156" s="284">
        <v>191.28899999999999</v>
      </c>
      <c r="T156" s="1">
        <v>6.1706129032258064</v>
      </c>
      <c r="U156" s="1">
        <v>6.2645455005120327</v>
      </c>
      <c r="V156" s="1">
        <v>9.3719999999999999</v>
      </c>
      <c r="W156" s="88"/>
      <c r="X156" s="284">
        <v>650.37900000000002</v>
      </c>
      <c r="Y156" s="1">
        <v>20.979967741935486</v>
      </c>
      <c r="Z156" s="1">
        <v>21.126918311571941</v>
      </c>
      <c r="AA156" s="1">
        <v>27.434999999999999</v>
      </c>
      <c r="AB156" s="1"/>
      <c r="AC156" s="284">
        <v>841.66800000000001</v>
      </c>
      <c r="AD156" s="1">
        <v>27.150580645161291</v>
      </c>
      <c r="AE156" s="1">
        <v>27.39146381208398</v>
      </c>
      <c r="AF156" s="1">
        <v>36.807000000000002</v>
      </c>
      <c r="AG156" s="1"/>
      <c r="AH156" s="284">
        <v>1808.7950000000001</v>
      </c>
      <c r="AI156" s="1">
        <v>58.348225806451616</v>
      </c>
      <c r="AJ156" s="1">
        <v>64.210020289298512</v>
      </c>
      <c r="AK156" s="1">
        <v>167.3</v>
      </c>
      <c r="AL156" s="1"/>
      <c r="AM156" s="284">
        <v>14.733000000000001</v>
      </c>
      <c r="AN156" s="1">
        <v>0.47525806451612906</v>
      </c>
      <c r="AO156" s="1">
        <v>0.69373670634920648</v>
      </c>
      <c r="AP156" s="1" t="s">
        <v>776</v>
      </c>
      <c r="AQ156" s="1"/>
      <c r="AR156" s="284">
        <v>89.24</v>
      </c>
      <c r="AS156" s="1">
        <v>2.8787096774193546</v>
      </c>
      <c r="AT156" s="1">
        <v>4.3678688172043012</v>
      </c>
      <c r="AU156" s="1" t="s">
        <v>776</v>
      </c>
      <c r="AV156" s="1"/>
      <c r="AW156" s="284">
        <v>6.38</v>
      </c>
      <c r="AX156" s="1">
        <v>0.20580645161290323</v>
      </c>
      <c r="AY156" s="1">
        <v>0.38666779953917058</v>
      </c>
      <c r="AZ156" s="1" t="s">
        <v>776</v>
      </c>
      <c r="BA156" s="1"/>
      <c r="BB156" s="284">
        <v>24.234999999999999</v>
      </c>
      <c r="BC156" s="1">
        <v>0.78177419354838706</v>
      </c>
      <c r="BD156" s="1">
        <v>0.88190120967741936</v>
      </c>
      <c r="BE156" s="1" t="s">
        <v>776</v>
      </c>
      <c r="BF156" s="1"/>
      <c r="BG156" s="284">
        <v>27.47</v>
      </c>
      <c r="BH156" s="1">
        <v>0.8861290322580645</v>
      </c>
      <c r="BI156" s="1">
        <v>1.0645073604710702</v>
      </c>
      <c r="BJ156" s="1" t="s">
        <v>776</v>
      </c>
      <c r="BK156" s="1"/>
      <c r="BL156" s="284">
        <v>156.11242119863016</v>
      </c>
      <c r="BM156" s="1">
        <v>5.0358845547945217</v>
      </c>
      <c r="BN156" s="1">
        <v>4.7366990296803655</v>
      </c>
      <c r="BO156" s="1" t="s">
        <v>776</v>
      </c>
      <c r="BP156" s="1"/>
      <c r="BQ156" s="284">
        <v>10.888999999999999</v>
      </c>
      <c r="BR156" s="1">
        <v>0.35125806451612901</v>
      </c>
      <c r="BS156" s="1">
        <v>0.37614195468509987</v>
      </c>
      <c r="BT156" s="1" t="s">
        <v>776</v>
      </c>
      <c r="BU156" s="1"/>
      <c r="BV156" s="284">
        <v>5.4409999999999998</v>
      </c>
      <c r="BW156" s="1">
        <v>0.17551612903225805</v>
      </c>
      <c r="BX156" s="1">
        <v>0.23189475806451618</v>
      </c>
      <c r="BY156" s="1" t="s">
        <v>776</v>
      </c>
      <c r="BZ156" s="1"/>
      <c r="CA156" s="284">
        <v>13.24</v>
      </c>
      <c r="CB156" s="1">
        <v>0.42709677419354841</v>
      </c>
      <c r="CC156" s="1">
        <v>0.4826725998463901</v>
      </c>
      <c r="CD156" s="1" t="s">
        <v>776</v>
      </c>
      <c r="CE156" s="1"/>
      <c r="CF156" s="284">
        <v>41.576509931506848</v>
      </c>
      <c r="CG156" s="1">
        <v>1.3411777397260274</v>
      </c>
      <c r="CH156" s="1">
        <v>1.3411777397260278</v>
      </c>
      <c r="CI156" s="1" t="s">
        <v>776</v>
      </c>
      <c r="CJ156" s="1"/>
      <c r="CK156" s="284">
        <v>99.974999999999994</v>
      </c>
      <c r="CL156" s="1">
        <v>3.2250000000000001</v>
      </c>
      <c r="CM156" s="1">
        <v>3.3732713453661027</v>
      </c>
      <c r="CN156" s="1">
        <v>7.9809999999999999</v>
      </c>
      <c r="CO156" s="1"/>
      <c r="CP156" s="284">
        <v>255.15199999999999</v>
      </c>
      <c r="CQ156" s="1">
        <v>8.2307096774193536</v>
      </c>
      <c r="CR156" s="1">
        <v>8.4019219150025588</v>
      </c>
      <c r="CS156" s="1">
        <v>13.086</v>
      </c>
      <c r="CT156" s="1"/>
      <c r="CU156" s="284">
        <v>200.47900000000001</v>
      </c>
      <c r="CV156" s="1">
        <v>6.4670645161290325</v>
      </c>
      <c r="CW156" s="1">
        <v>6.4713326612903215</v>
      </c>
      <c r="CX156" s="1">
        <v>10.712999999999999</v>
      </c>
      <c r="CZ156" s="269">
        <v>26.809000000000001</v>
      </c>
      <c r="DA156" s="1">
        <v>0.86480645161290326</v>
      </c>
      <c r="DB156" s="1"/>
      <c r="DC156" s="284">
        <v>13.586238356164385</v>
      </c>
      <c r="DD156" s="1">
        <v>0.43826575342465757</v>
      </c>
      <c r="DE156" s="1">
        <v>0.43802328767123289</v>
      </c>
      <c r="DF156" s="1" t="s">
        <v>776</v>
      </c>
      <c r="DG156" s="1"/>
      <c r="DH156" s="284">
        <f>DI156*31</f>
        <v>71.146509931506841</v>
      </c>
      <c r="DI156" s="1">
        <f t="shared" si="246"/>
        <v>2.2950487074679629</v>
      </c>
      <c r="DJ156" s="1">
        <f t="shared" ref="DJ156:DJ162" si="260">SUM(DI145:DI156)/12</f>
        <v>2.4318870523220339</v>
      </c>
      <c r="DK156" s="1"/>
      <c r="DL156" s="1"/>
      <c r="DM156" s="284">
        <f>DN156*31</f>
        <v>3281.5679112671232</v>
      </c>
      <c r="DN156" s="1">
        <f t="shared" si="247"/>
        <v>105.85702939571365</v>
      </c>
      <c r="DO156" s="1">
        <f t="shared" ref="DO156:DO161" si="261">SUM(DN145:DN156)/12</f>
        <v>114.4999546424889</v>
      </c>
      <c r="DP156" s="1"/>
      <c r="DQ156" s="1"/>
      <c r="DR156" s="284">
        <f>DS156*31</f>
        <v>596.00123835616432</v>
      </c>
      <c r="DS156" s="1">
        <f t="shared" si="243"/>
        <v>19.225846398585947</v>
      </c>
      <c r="DT156" s="1" t="e">
        <f>SUM(CM156+CR156+CW156+#REF!+DE156)</f>
        <v>#REF!</v>
      </c>
      <c r="DU156" s="1"/>
      <c r="DV156" s="1"/>
      <c r="DW156" s="284">
        <f>DX156*31</f>
        <v>3877.5691496232876</v>
      </c>
      <c r="DX156" s="1">
        <f t="shared" si="259"/>
        <v>125.0828757942996</v>
      </c>
      <c r="DY156" s="1">
        <f t="shared" ref="DY156:DY161" si="262">SUM(DX145:DX156)/12</f>
        <v>134.10624745780993</v>
      </c>
      <c r="EB156" s="242">
        <v>2.4</v>
      </c>
      <c r="EL156">
        <v>2010</v>
      </c>
      <c r="EM156" s="157" t="s">
        <v>715</v>
      </c>
      <c r="EN156" t="s">
        <v>841</v>
      </c>
      <c r="EO156">
        <v>270.01</v>
      </c>
      <c r="EP156" t="e">
        <f t="shared" si="250"/>
        <v>#VALUE!</v>
      </c>
    </row>
    <row r="157" spans="1:146" x14ac:dyDescent="0.25">
      <c r="A157" s="8">
        <v>2010</v>
      </c>
      <c r="B157" t="s">
        <v>718</v>
      </c>
      <c r="D157" s="284">
        <v>260.476</v>
      </c>
      <c r="E157" s="1">
        <v>8.6825333333333337</v>
      </c>
      <c r="F157" s="1">
        <v>9.4570932859703021</v>
      </c>
      <c r="G157" s="1">
        <v>10.028</v>
      </c>
      <c r="M157" s="1"/>
      <c r="N157" s="284">
        <v>106.84699999999999</v>
      </c>
      <c r="O157" s="1">
        <v>3.5615666666666663</v>
      </c>
      <c r="P157" s="1">
        <v>3.6394833845366095</v>
      </c>
      <c r="Q157" s="1">
        <v>8.2550000000000008</v>
      </c>
      <c r="R157" s="1"/>
      <c r="S157" s="284">
        <v>166.64</v>
      </c>
      <c r="T157" s="1">
        <v>5.554666666666666</v>
      </c>
      <c r="U157" s="1">
        <v>6.1207343894009218</v>
      </c>
      <c r="V157" s="1">
        <v>9.2759999999999998</v>
      </c>
      <c r="W157" s="88"/>
      <c r="X157" s="284">
        <v>591.84699999999998</v>
      </c>
      <c r="Y157" s="1">
        <v>19.728233333333332</v>
      </c>
      <c r="Z157" s="1">
        <v>20.864226644905273</v>
      </c>
      <c r="AA157" s="1">
        <v>26.88</v>
      </c>
      <c r="AB157" s="1"/>
      <c r="AC157" s="284">
        <v>758.48699999999997</v>
      </c>
      <c r="AD157" s="1">
        <v>25.282899999999998</v>
      </c>
      <c r="AE157" s="1">
        <v>26.984961034306195</v>
      </c>
      <c r="AF157" s="1">
        <v>36.155999999999999</v>
      </c>
      <c r="AG157" s="1"/>
      <c r="AH157" s="284">
        <v>1626.5260000000001</v>
      </c>
      <c r="AI157" s="1">
        <v>54.217533333333336</v>
      </c>
      <c r="AJ157" s="1">
        <v>62.652500844854075</v>
      </c>
      <c r="AK157" s="1">
        <v>200.1</v>
      </c>
      <c r="AL157" s="1"/>
      <c r="AM157" s="284">
        <v>16.645</v>
      </c>
      <c r="AN157" s="1">
        <v>0.55483333333333329</v>
      </c>
      <c r="AO157" s="1">
        <v>0.67294781746031751</v>
      </c>
      <c r="AP157" s="1" t="s">
        <v>776</v>
      </c>
      <c r="AQ157" s="1"/>
      <c r="AR157" s="284">
        <v>113.246</v>
      </c>
      <c r="AS157" s="1">
        <v>3.7748666666666666</v>
      </c>
      <c r="AT157" s="1">
        <v>4.266193817204301</v>
      </c>
      <c r="AU157" s="1" t="s">
        <v>776</v>
      </c>
      <c r="AV157" s="1"/>
      <c r="AW157" s="284">
        <v>4.367</v>
      </c>
      <c r="AX157" s="1">
        <v>0.14556666666666668</v>
      </c>
      <c r="AY157" s="1">
        <v>0.36350668842805939</v>
      </c>
      <c r="AZ157" s="1" t="s">
        <v>776</v>
      </c>
      <c r="BA157" s="1"/>
      <c r="BB157" s="284">
        <v>22.523</v>
      </c>
      <c r="BC157" s="1">
        <v>0.75076666666666669</v>
      </c>
      <c r="BD157" s="1">
        <v>0.86901509856630821</v>
      </c>
      <c r="BE157" s="1" t="s">
        <v>776</v>
      </c>
      <c r="BF157" s="1"/>
      <c r="BG157" s="284">
        <v>19.693000000000001</v>
      </c>
      <c r="BH157" s="1">
        <v>0.65643333333333342</v>
      </c>
      <c r="BI157" s="1">
        <v>1.0208629160266258</v>
      </c>
      <c r="BJ157" s="1" t="s">
        <v>776</v>
      </c>
      <c r="BK157" s="1"/>
      <c r="BL157" s="284">
        <v>151.07653664383562</v>
      </c>
      <c r="BM157" s="1">
        <v>5.0358845547945208</v>
      </c>
      <c r="BN157" s="1">
        <v>4.8114954109589041</v>
      </c>
      <c r="BO157" s="1" t="s">
        <v>776</v>
      </c>
      <c r="BP157" s="1"/>
      <c r="BQ157" s="284">
        <v>10.515000000000001</v>
      </c>
      <c r="BR157" s="1">
        <v>0.35050000000000003</v>
      </c>
      <c r="BS157" s="1">
        <v>0.36952251024065541</v>
      </c>
      <c r="BT157" s="1" t="s">
        <v>776</v>
      </c>
      <c r="BU157" s="1"/>
      <c r="BV157" s="284">
        <v>4.7249999999999996</v>
      </c>
      <c r="BW157" s="1">
        <v>0.1575</v>
      </c>
      <c r="BX157" s="1">
        <v>0.22303086917562723</v>
      </c>
      <c r="BY157" s="1" t="s">
        <v>776</v>
      </c>
      <c r="BZ157" s="1"/>
      <c r="CA157" s="284">
        <v>11.776</v>
      </c>
      <c r="CB157" s="1">
        <v>0.39253333333333335</v>
      </c>
      <c r="CC157" s="1">
        <v>0.47367259984639021</v>
      </c>
      <c r="CD157" s="1" t="s">
        <v>776</v>
      </c>
      <c r="CE157" s="1"/>
      <c r="CF157" s="284">
        <v>40.23533219178082</v>
      </c>
      <c r="CG157" s="1">
        <v>1.3411777397260274</v>
      </c>
      <c r="CH157" s="1">
        <v>1.3411777397260278</v>
      </c>
      <c r="CI157" s="1" t="s">
        <v>776</v>
      </c>
      <c r="CJ157" s="1"/>
      <c r="CK157" s="284">
        <v>61.668999999999997</v>
      </c>
      <c r="CL157" s="1">
        <v>2.0556333333333332</v>
      </c>
      <c r="CM157" s="1">
        <v>3.2076213453661029</v>
      </c>
      <c r="CN157" s="1">
        <v>6.819</v>
      </c>
      <c r="CO157" s="1"/>
      <c r="CP157" s="284">
        <v>245.98099999999999</v>
      </c>
      <c r="CQ157" s="1">
        <v>8.1993666666666662</v>
      </c>
      <c r="CR157" s="1">
        <v>8.3295469150025596</v>
      </c>
      <c r="CS157" s="1">
        <v>11.099</v>
      </c>
      <c r="CT157" s="1"/>
      <c r="CU157" s="284">
        <v>195.715</v>
      </c>
      <c r="CV157" s="1">
        <v>6.5238333333333332</v>
      </c>
      <c r="CW157" s="1">
        <v>6.4304743279569889</v>
      </c>
      <c r="CX157" s="1">
        <v>9.2669999999999995</v>
      </c>
      <c r="CZ157" s="269">
        <v>21.794</v>
      </c>
      <c r="DA157" s="1">
        <v>0.7264666666666667</v>
      </c>
      <c r="DB157" s="1"/>
      <c r="DC157" s="284">
        <v>13.147972602739728</v>
      </c>
      <c r="DD157" s="1">
        <v>0.43826575342465757</v>
      </c>
      <c r="DE157" s="1">
        <v>0.43808390410958903</v>
      </c>
      <c r="DF157" s="1" t="s">
        <v>776</v>
      </c>
      <c r="DG157" s="1"/>
      <c r="DH157" s="284">
        <f>DI157*30</f>
        <v>67.251332191780818</v>
      </c>
      <c r="DI157" s="1">
        <f t="shared" si="246"/>
        <v>2.2417110730593608</v>
      </c>
      <c r="DJ157" s="1">
        <f t="shared" si="260"/>
        <v>2.4074037189887001</v>
      </c>
      <c r="DK157" s="1"/>
      <c r="DL157" s="1"/>
      <c r="DM157" s="284">
        <f>DN157*30</f>
        <v>3012.6352044520549</v>
      </c>
      <c r="DN157" s="1">
        <f t="shared" si="247"/>
        <v>100.42117348173517</v>
      </c>
      <c r="DO157" s="1">
        <f t="shared" si="261"/>
        <v>112.33065657932299</v>
      </c>
      <c r="DP157" s="1"/>
      <c r="DQ157" s="1"/>
      <c r="DR157" s="284">
        <f>DS157*30</f>
        <v>538.30697260273973</v>
      </c>
      <c r="DS157" s="1">
        <f t="shared" si="243"/>
        <v>17.943565753424657</v>
      </c>
      <c r="DT157" s="1" t="e">
        <f>SUM(CM157+CR157+CW157+#REF!+DE157)</f>
        <v>#REF!</v>
      </c>
      <c r="DU157" s="1"/>
      <c r="DV157" s="1"/>
      <c r="DW157" s="284">
        <f>DX157*30</f>
        <v>3550.9421770547947</v>
      </c>
      <c r="DX157" s="1">
        <f t="shared" si="259"/>
        <v>118.36473923515982</v>
      </c>
      <c r="DY157" s="1">
        <f t="shared" si="262"/>
        <v>131.63306001108234</v>
      </c>
      <c r="EB157" s="242">
        <v>1.87</v>
      </c>
      <c r="EL157">
        <v>2010</v>
      </c>
      <c r="EM157" s="157" t="s">
        <v>718</v>
      </c>
      <c r="EN157" t="s">
        <v>841</v>
      </c>
      <c r="EO157">
        <v>260.476</v>
      </c>
      <c r="EP157" t="e">
        <f t="shared" si="250"/>
        <v>#VALUE!</v>
      </c>
    </row>
    <row r="158" spans="1:146" x14ac:dyDescent="0.25">
      <c r="A158" s="8">
        <v>2010</v>
      </c>
      <c r="B158" t="s">
        <v>716</v>
      </c>
      <c r="D158" s="284">
        <v>255.08799999999999</v>
      </c>
      <c r="E158" s="1">
        <v>8.2286451612903218</v>
      </c>
      <c r="F158" s="1">
        <v>9.4670664042498718</v>
      </c>
      <c r="G158" s="1">
        <v>13.939</v>
      </c>
      <c r="M158" s="1"/>
      <c r="N158" s="284">
        <v>105.718</v>
      </c>
      <c r="O158" s="1">
        <v>3.4102580645161291</v>
      </c>
      <c r="P158" s="1">
        <v>3.6199376856118786</v>
      </c>
      <c r="Q158" s="1">
        <v>8.52</v>
      </c>
      <c r="R158" s="1"/>
      <c r="S158" s="284">
        <v>149.102</v>
      </c>
      <c r="T158" s="1">
        <v>4.8097419354838715</v>
      </c>
      <c r="U158" s="1">
        <v>6.0386994431643624</v>
      </c>
      <c r="V158" s="1">
        <v>8.6310000000000002</v>
      </c>
      <c r="W158" s="88"/>
      <c r="X158" s="284">
        <v>558.37800000000004</v>
      </c>
      <c r="Y158" s="1">
        <v>18.012193548387099</v>
      </c>
      <c r="Z158" s="1">
        <v>20.776933634152584</v>
      </c>
      <c r="AA158" s="1">
        <v>25.152999999999999</v>
      </c>
      <c r="AB158" s="1"/>
      <c r="AC158" s="284">
        <v>707.48</v>
      </c>
      <c r="AD158" s="1">
        <v>22.82193548387097</v>
      </c>
      <c r="AE158" s="1">
        <v>26.815633077316946</v>
      </c>
      <c r="AF158" s="1">
        <v>33.783999999999999</v>
      </c>
      <c r="AG158" s="1"/>
      <c r="AH158" s="284">
        <v>1684.4059999999999</v>
      </c>
      <c r="AI158" s="1">
        <v>54.335677419354838</v>
      </c>
      <c r="AJ158" s="1">
        <v>62.463898694316434</v>
      </c>
      <c r="AK158" s="1">
        <v>189.9</v>
      </c>
      <c r="AL158" s="1"/>
      <c r="AM158" s="284">
        <v>16.451000000000001</v>
      </c>
      <c r="AN158" s="1">
        <v>0.5306774193548387</v>
      </c>
      <c r="AO158" s="1">
        <v>0.66604459165386587</v>
      </c>
      <c r="AP158" s="1" t="s">
        <v>776</v>
      </c>
      <c r="AQ158" s="1"/>
      <c r="AR158" s="284">
        <v>102.82</v>
      </c>
      <c r="AS158" s="1">
        <v>3.3167741935483868</v>
      </c>
      <c r="AT158" s="1">
        <v>4.2093282258064519</v>
      </c>
      <c r="AU158" s="1" t="s">
        <v>776</v>
      </c>
      <c r="AV158" s="1"/>
      <c r="AW158" s="284">
        <v>6.9450000000000003</v>
      </c>
      <c r="AX158" s="1">
        <v>0.22403225806451613</v>
      </c>
      <c r="AY158" s="1">
        <v>0.35558733358934974</v>
      </c>
      <c r="AZ158" s="1" t="s">
        <v>776</v>
      </c>
      <c r="BA158" s="1"/>
      <c r="BB158" s="284">
        <v>23.286999999999999</v>
      </c>
      <c r="BC158" s="1">
        <v>0.75119354838709673</v>
      </c>
      <c r="BD158" s="1">
        <v>0.86651778673835123</v>
      </c>
      <c r="BE158" s="1" t="s">
        <v>776</v>
      </c>
      <c r="BF158" s="1"/>
      <c r="BG158" s="284">
        <v>19.181999999999999</v>
      </c>
      <c r="BH158" s="1">
        <v>0.61877419354838703</v>
      </c>
      <c r="BI158" s="1">
        <v>0.99514517409114189</v>
      </c>
      <c r="BJ158" s="1" t="s">
        <v>776</v>
      </c>
      <c r="BK158" s="1"/>
      <c r="BL158" s="284">
        <v>156.11242119863016</v>
      </c>
      <c r="BM158" s="1">
        <v>5.0358845547945217</v>
      </c>
      <c r="BN158" s="1">
        <v>4.8862917922374436</v>
      </c>
      <c r="BO158" s="1" t="s">
        <v>776</v>
      </c>
      <c r="BP158" s="1"/>
      <c r="BQ158" s="284">
        <v>11.411</v>
      </c>
      <c r="BR158" s="1">
        <v>0.36809677419354836</v>
      </c>
      <c r="BS158" s="1">
        <v>0.36641767153097798</v>
      </c>
      <c r="BT158" s="1" t="s">
        <v>776</v>
      </c>
      <c r="BU158" s="1"/>
      <c r="BV158" s="284">
        <v>5.1749999999999998</v>
      </c>
      <c r="BW158" s="1">
        <v>0.16693548387096774</v>
      </c>
      <c r="BX158" s="1">
        <v>0.22298517025089606</v>
      </c>
      <c r="BY158" s="1" t="s">
        <v>776</v>
      </c>
      <c r="BZ158" s="1"/>
      <c r="CA158" s="284">
        <v>12.343</v>
      </c>
      <c r="CB158" s="1">
        <v>0.39816129032258063</v>
      </c>
      <c r="CC158" s="1">
        <v>0.47332044930875572</v>
      </c>
      <c r="CD158" s="1" t="s">
        <v>776</v>
      </c>
      <c r="CE158" s="1"/>
      <c r="CF158" s="284">
        <v>41.576509931506848</v>
      </c>
      <c r="CG158" s="1">
        <v>1.3411777397260274</v>
      </c>
      <c r="CH158" s="1">
        <v>1.3411777397260278</v>
      </c>
      <c r="CI158" s="1" t="s">
        <v>776</v>
      </c>
      <c r="CJ158" s="1"/>
      <c r="CK158" s="284">
        <v>52.753999999999998</v>
      </c>
      <c r="CL158" s="1">
        <v>1.701741935483871</v>
      </c>
      <c r="CM158" s="1">
        <v>3.0612073668714799</v>
      </c>
      <c r="CN158" s="1">
        <v>5.8259999999999996</v>
      </c>
      <c r="CO158" s="1"/>
      <c r="CP158" s="284">
        <v>262.39600000000002</v>
      </c>
      <c r="CQ158" s="1">
        <v>8.4643870967741943</v>
      </c>
      <c r="CR158" s="1">
        <v>8.3695549795186874</v>
      </c>
      <c r="CS158" s="1">
        <v>15.631</v>
      </c>
      <c r="CT158" s="1"/>
      <c r="CU158" s="284">
        <v>185.07599999999999</v>
      </c>
      <c r="CV158" s="1">
        <v>5.9701935483870967</v>
      </c>
      <c r="CW158" s="1">
        <v>6.4319850806451617</v>
      </c>
      <c r="CX158" s="1">
        <v>9.18</v>
      </c>
      <c r="CZ158" s="269">
        <v>19.942</v>
      </c>
      <c r="DA158" s="1">
        <v>0.64329032258064511</v>
      </c>
      <c r="DB158" s="1"/>
      <c r="DC158" s="284">
        <v>13.586238356164385</v>
      </c>
      <c r="DD158" s="1">
        <v>0.43826575342465757</v>
      </c>
      <c r="DE158" s="1">
        <v>0.43814452054794523</v>
      </c>
      <c r="DF158" s="1" t="s">
        <v>776</v>
      </c>
      <c r="DG158" s="1"/>
      <c r="DH158" s="284">
        <f>DI158*31</f>
        <v>70.505509931506836</v>
      </c>
      <c r="DI158" s="1">
        <f t="shared" si="246"/>
        <v>2.2743712881131239</v>
      </c>
      <c r="DJ158" s="1">
        <f t="shared" si="260"/>
        <v>2.4039010308166571</v>
      </c>
      <c r="DK158" s="1"/>
      <c r="DL158" s="1"/>
      <c r="DM158" s="284">
        <f>DN158*31</f>
        <v>3006.9839112671229</v>
      </c>
      <c r="DN158" s="1">
        <f t="shared" si="247"/>
        <v>96.999481008616868</v>
      </c>
      <c r="DO158" s="1">
        <f t="shared" si="261"/>
        <v>111.94154973479509</v>
      </c>
      <c r="DP158" s="1"/>
      <c r="DQ158" s="1"/>
      <c r="DR158" s="284">
        <f>DS158*31</f>
        <v>533.75423835616448</v>
      </c>
      <c r="DS158" s="1">
        <f t="shared" si="243"/>
        <v>17.217878656650466</v>
      </c>
      <c r="DT158" s="1" t="e">
        <f>SUM(CM158+CR158+CW158+#REF!+DE158)</f>
        <v>#REF!</v>
      </c>
      <c r="DU158" s="1"/>
      <c r="DV158" s="1"/>
      <c r="DW158" s="284">
        <f>DX158*31</f>
        <v>3540.7381496232874</v>
      </c>
      <c r="DX158" s="1">
        <f t="shared" si="259"/>
        <v>114.21735966526734</v>
      </c>
      <c r="DY158" s="1">
        <f t="shared" si="262"/>
        <v>131.11562937439064</v>
      </c>
      <c r="EB158" s="242">
        <v>5.17</v>
      </c>
      <c r="EL158">
        <v>2010</v>
      </c>
      <c r="EM158" s="157" t="s">
        <v>716</v>
      </c>
      <c r="EN158" t="s">
        <v>841</v>
      </c>
      <c r="EO158">
        <v>255.08799999999999</v>
      </c>
      <c r="EP158" t="e">
        <f t="shared" si="250"/>
        <v>#VALUE!</v>
      </c>
    </row>
    <row r="159" spans="1:146" x14ac:dyDescent="0.25">
      <c r="A159" s="8">
        <v>2010</v>
      </c>
      <c r="B159" t="s">
        <v>708</v>
      </c>
      <c r="D159" s="284">
        <v>310.02199999999999</v>
      </c>
      <c r="E159" s="1">
        <v>10.000709677419355</v>
      </c>
      <c r="F159" s="1">
        <v>9.5950475870455687</v>
      </c>
      <c r="G159" s="1">
        <v>16.725999999999999</v>
      </c>
      <c r="M159" s="1"/>
      <c r="N159" s="284">
        <v>105.376</v>
      </c>
      <c r="O159" s="1">
        <v>3.399225806451613</v>
      </c>
      <c r="P159" s="1">
        <v>3.6330613415258575</v>
      </c>
      <c r="Q159" s="1">
        <v>6.7039999999999997</v>
      </c>
      <c r="R159" s="1"/>
      <c r="S159" s="284">
        <v>155.227</v>
      </c>
      <c r="T159" s="1">
        <v>5.0073225806451616</v>
      </c>
      <c r="U159" s="1">
        <v>6.0439978302611372</v>
      </c>
      <c r="V159" s="1">
        <v>17.954999999999998</v>
      </c>
      <c r="W159" s="88"/>
      <c r="X159" s="284">
        <v>580.66499999999996</v>
      </c>
      <c r="Y159" s="1">
        <v>18.731129032258064</v>
      </c>
      <c r="Z159" s="1">
        <v>20.808043849206349</v>
      </c>
      <c r="AA159" s="1">
        <v>35.683999999999997</v>
      </c>
      <c r="AB159" s="1"/>
      <c r="AC159" s="284">
        <v>735.89199999999994</v>
      </c>
      <c r="AD159" s="1">
        <v>23.738451612903223</v>
      </c>
      <c r="AE159" s="1">
        <v>26.852041679467487</v>
      </c>
      <c r="AF159" s="1">
        <v>53.638999999999996</v>
      </c>
      <c r="AG159" s="1"/>
      <c r="AH159" s="284">
        <v>1823.748</v>
      </c>
      <c r="AI159" s="1">
        <v>58.830580645161291</v>
      </c>
      <c r="AJ159" s="1">
        <v>62.783928264208903</v>
      </c>
      <c r="AK159" s="1">
        <v>209.9</v>
      </c>
      <c r="AL159" s="1"/>
      <c r="AM159" s="284">
        <v>16.068000000000001</v>
      </c>
      <c r="AN159" s="1">
        <v>0.51832258064516135</v>
      </c>
      <c r="AO159" s="1">
        <v>0.66569781746031753</v>
      </c>
      <c r="AP159" s="1" t="s">
        <v>776</v>
      </c>
      <c r="AQ159" s="1"/>
      <c r="AR159" s="284">
        <v>102.11499999999999</v>
      </c>
      <c r="AS159" s="1">
        <v>3.294032258064516</v>
      </c>
      <c r="AT159" s="1">
        <v>4.1935244623655912</v>
      </c>
      <c r="AU159" s="1" t="s">
        <v>776</v>
      </c>
      <c r="AV159" s="1"/>
      <c r="AW159" s="284">
        <v>6.1909999999999998</v>
      </c>
      <c r="AX159" s="1">
        <v>0.19970967741935483</v>
      </c>
      <c r="AY159" s="1">
        <v>0.33610883896569382</v>
      </c>
      <c r="AZ159" s="1" t="s">
        <v>776</v>
      </c>
      <c r="BA159" s="1"/>
      <c r="BB159" s="284">
        <v>22.375</v>
      </c>
      <c r="BC159" s="1">
        <v>0.72177419354838712</v>
      </c>
      <c r="BD159" s="1">
        <v>0.86525434587813621</v>
      </c>
      <c r="BE159" s="1" t="s">
        <v>776</v>
      </c>
      <c r="BF159" s="1"/>
      <c r="BG159" s="284">
        <v>20.678000000000001</v>
      </c>
      <c r="BH159" s="1">
        <v>0.66703225806451616</v>
      </c>
      <c r="BI159" s="1">
        <v>0.97787635688684083</v>
      </c>
      <c r="BJ159" s="1" t="s">
        <v>776</v>
      </c>
      <c r="BK159" s="1"/>
      <c r="BL159" s="284">
        <v>156.11242119863016</v>
      </c>
      <c r="BM159" s="1">
        <v>5.0358845547945217</v>
      </c>
      <c r="BN159" s="1">
        <v>4.9610881735159822</v>
      </c>
      <c r="BO159" s="1" t="s">
        <v>776</v>
      </c>
      <c r="BP159" s="1"/>
      <c r="BQ159" s="284">
        <v>11.015000000000001</v>
      </c>
      <c r="BR159" s="1">
        <v>0.35532258064516131</v>
      </c>
      <c r="BS159" s="1">
        <v>0.36512466077828981</v>
      </c>
      <c r="BT159" s="1" t="s">
        <v>776</v>
      </c>
      <c r="BU159" s="1"/>
      <c r="BV159" s="284">
        <v>5.0119999999999996</v>
      </c>
      <c r="BW159" s="1">
        <v>0.1616774193548387</v>
      </c>
      <c r="BX159" s="1">
        <v>0.2245012992831541</v>
      </c>
      <c r="BY159" s="1" t="s">
        <v>776</v>
      </c>
      <c r="BZ159" s="1"/>
      <c r="CA159" s="284">
        <v>11.121</v>
      </c>
      <c r="CB159" s="1">
        <v>0.35874193548387096</v>
      </c>
      <c r="CC159" s="1">
        <v>0.47215647081413209</v>
      </c>
      <c r="CD159" s="1" t="s">
        <v>776</v>
      </c>
      <c r="CE159" s="1"/>
      <c r="CF159" s="284">
        <v>41.576509931506848</v>
      </c>
      <c r="CG159" s="1">
        <v>1.3411777397260274</v>
      </c>
      <c r="CH159" s="1">
        <v>1.3411777397260278</v>
      </c>
      <c r="CI159" s="1" t="s">
        <v>776</v>
      </c>
      <c r="CJ159" s="1"/>
      <c r="CK159" s="284">
        <v>64.141999999999996</v>
      </c>
      <c r="CL159" s="1">
        <v>2.0690967741935484</v>
      </c>
      <c r="CM159" s="1">
        <v>2.9645326356886841</v>
      </c>
      <c r="CN159" s="1">
        <v>16.184000000000001</v>
      </c>
      <c r="CO159" s="1"/>
      <c r="CP159" s="284">
        <v>239.208</v>
      </c>
      <c r="CQ159" s="1">
        <v>7.7163870967741932</v>
      </c>
      <c r="CR159" s="1">
        <v>8.3465711085509469</v>
      </c>
      <c r="CS159" s="1">
        <v>16.824000000000002</v>
      </c>
      <c r="CT159" s="1"/>
      <c r="CU159" s="284">
        <v>187.71</v>
      </c>
      <c r="CV159" s="1">
        <v>6.0551612903225811</v>
      </c>
      <c r="CW159" s="1">
        <v>6.4234420698924746</v>
      </c>
      <c r="CX159" s="1">
        <v>15.032</v>
      </c>
      <c r="CZ159" s="269">
        <v>19.91</v>
      </c>
      <c r="DA159" s="1">
        <v>0.64225806451612899</v>
      </c>
      <c r="DB159" s="1"/>
      <c r="DC159" s="284">
        <v>13.586238356164385</v>
      </c>
      <c r="DD159" s="1">
        <v>0.43826575342465757</v>
      </c>
      <c r="DE159" s="1">
        <v>0.43820513698630137</v>
      </c>
      <c r="DF159" s="1" t="s">
        <v>776</v>
      </c>
      <c r="DG159" s="1"/>
      <c r="DH159" s="284">
        <f>DI159*31</f>
        <v>68.724509931506859</v>
      </c>
      <c r="DI159" s="1">
        <f t="shared" si="246"/>
        <v>2.2169196752098985</v>
      </c>
      <c r="DJ159" s="1">
        <f t="shared" si="260"/>
        <v>2.4029601706016033</v>
      </c>
      <c r="DK159" s="1"/>
      <c r="DL159" s="1"/>
      <c r="DM159" s="284">
        <f>DN159*31</f>
        <v>3229.8529112671226</v>
      </c>
      <c r="DN159" s="1">
        <f t="shared" si="247"/>
        <v>104.18880358926202</v>
      </c>
      <c r="DO159" s="1">
        <f t="shared" si="261"/>
        <v>112.4606686967188</v>
      </c>
      <c r="DP159" s="1"/>
      <c r="DQ159" s="1"/>
      <c r="DR159" s="284">
        <f>DS159*31</f>
        <v>524.55623835616439</v>
      </c>
      <c r="DS159" s="1">
        <f t="shared" si="243"/>
        <v>16.921168979231108</v>
      </c>
      <c r="DT159" s="1" t="e">
        <f>SUM(CM159+CR159+CW159+#REF!+DE159)</f>
        <v>#REF!</v>
      </c>
      <c r="DU159" s="1"/>
      <c r="DV159" s="1"/>
      <c r="DW159" s="284">
        <f>DX159*31</f>
        <v>3754.4091496232872</v>
      </c>
      <c r="DX159" s="1">
        <f t="shared" si="259"/>
        <v>121.10997256849313</v>
      </c>
      <c r="DY159" s="1">
        <f t="shared" si="262"/>
        <v>131.51093529683871</v>
      </c>
      <c r="EB159" s="242">
        <v>2.46</v>
      </c>
      <c r="EL159">
        <v>2010</v>
      </c>
      <c r="EM159" s="157" t="s">
        <v>708</v>
      </c>
      <c r="EN159" t="s">
        <v>841</v>
      </c>
      <c r="EO159">
        <v>310.02199999999999</v>
      </c>
      <c r="EP159" t="e">
        <f t="shared" si="250"/>
        <v>#VALUE!</v>
      </c>
    </row>
    <row r="160" spans="1:146" x14ac:dyDescent="0.25">
      <c r="A160" s="8">
        <v>2010</v>
      </c>
      <c r="B160" t="s">
        <v>709</v>
      </c>
      <c r="D160" s="284">
        <v>247.89099999999999</v>
      </c>
      <c r="E160" s="1">
        <v>8.2630333333333326</v>
      </c>
      <c r="F160" s="1">
        <v>9.5802725870455703</v>
      </c>
      <c r="G160" s="1">
        <v>14.768000000000001</v>
      </c>
      <c r="M160" s="1"/>
      <c r="N160" s="284">
        <v>103.893</v>
      </c>
      <c r="O160" s="1">
        <v>3.4630999999999998</v>
      </c>
      <c r="P160" s="1">
        <v>3.6512280081925237</v>
      </c>
      <c r="Q160" s="1">
        <v>9.3529999999999998</v>
      </c>
      <c r="R160" s="1"/>
      <c r="S160" s="284">
        <v>137.37899999999999</v>
      </c>
      <c r="T160" s="1">
        <v>4.5792999999999999</v>
      </c>
      <c r="U160" s="1">
        <v>6.0428394969278045</v>
      </c>
      <c r="V160" s="1">
        <v>16.762</v>
      </c>
      <c r="W160" s="88"/>
      <c r="X160" s="284">
        <v>539.34100000000001</v>
      </c>
      <c r="Y160" s="1">
        <v>17.978033333333332</v>
      </c>
      <c r="Z160" s="1">
        <v>20.812616071428572</v>
      </c>
      <c r="AA160" s="1">
        <v>34.192999999999998</v>
      </c>
      <c r="AB160" s="1"/>
      <c r="AC160" s="284">
        <v>676.72</v>
      </c>
      <c r="AD160" s="1">
        <v>22.557333333333336</v>
      </c>
      <c r="AE160" s="1">
        <v>26.85545556835638</v>
      </c>
      <c r="AF160" s="1">
        <v>50.954999999999998</v>
      </c>
      <c r="AG160" s="1"/>
      <c r="AH160" s="284">
        <v>1673.19</v>
      </c>
      <c r="AI160" s="1">
        <v>55.773000000000003</v>
      </c>
      <c r="AJ160" s="1">
        <v>62.990317153097799</v>
      </c>
      <c r="AK160" s="1">
        <v>191.8</v>
      </c>
      <c r="AL160" s="1"/>
      <c r="AM160" s="284">
        <v>17.795999999999999</v>
      </c>
      <c r="AN160" s="1">
        <v>0.59319999999999995</v>
      </c>
      <c r="AO160" s="1">
        <v>0.67120059523809539</v>
      </c>
      <c r="AP160" s="1" t="s">
        <v>776</v>
      </c>
      <c r="AQ160" s="1"/>
      <c r="AR160" s="284">
        <v>113.163</v>
      </c>
      <c r="AS160" s="1">
        <v>3.7721</v>
      </c>
      <c r="AT160" s="1">
        <v>4.1900689068100361</v>
      </c>
      <c r="AU160" s="1" t="s">
        <v>776</v>
      </c>
      <c r="AV160" s="1"/>
      <c r="AW160" s="284">
        <v>7.327</v>
      </c>
      <c r="AX160" s="1">
        <v>0.24423333333333333</v>
      </c>
      <c r="AY160" s="1">
        <v>0.29872828341013824</v>
      </c>
      <c r="AZ160" s="1" t="s">
        <v>776</v>
      </c>
      <c r="BA160" s="1"/>
      <c r="BB160" s="284">
        <v>27.513000000000002</v>
      </c>
      <c r="BC160" s="1">
        <v>0.91710000000000003</v>
      </c>
      <c r="BD160" s="1">
        <v>0.87550156810035851</v>
      </c>
      <c r="BE160" s="1" t="s">
        <v>776</v>
      </c>
      <c r="BF160" s="1"/>
      <c r="BG160" s="284">
        <v>29.623999999999999</v>
      </c>
      <c r="BH160" s="1">
        <v>0.9874666666666666</v>
      </c>
      <c r="BI160" s="1">
        <v>0.97966246799795187</v>
      </c>
      <c r="BJ160" s="1" t="s">
        <v>776</v>
      </c>
      <c r="BK160" s="1"/>
      <c r="BL160" s="284">
        <v>151.07653664383562</v>
      </c>
      <c r="BM160" s="1">
        <v>5.0358845547945208</v>
      </c>
      <c r="BN160" s="1">
        <v>5.0358845547945208</v>
      </c>
      <c r="BO160" s="1" t="s">
        <v>776</v>
      </c>
      <c r="BP160" s="1"/>
      <c r="BQ160" s="284">
        <v>11.414999999999999</v>
      </c>
      <c r="BR160" s="1">
        <v>0.38049999999999995</v>
      </c>
      <c r="BS160" s="1">
        <v>0.36636354966717866</v>
      </c>
      <c r="BT160" s="1" t="s">
        <v>776</v>
      </c>
      <c r="BU160" s="1"/>
      <c r="BV160" s="284">
        <v>5.6719999999999997</v>
      </c>
      <c r="BW160" s="1">
        <v>0.18906666666666666</v>
      </c>
      <c r="BX160" s="1">
        <v>0.22812907706093191</v>
      </c>
      <c r="BY160" s="1" t="s">
        <v>776</v>
      </c>
      <c r="BZ160" s="1"/>
      <c r="CA160" s="284">
        <v>12.244</v>
      </c>
      <c r="CB160" s="1">
        <v>0.40813333333333335</v>
      </c>
      <c r="CC160" s="1">
        <v>0.4719898041474655</v>
      </c>
      <c r="CD160" s="1" t="s">
        <v>776</v>
      </c>
      <c r="CE160" s="1"/>
      <c r="CF160" s="284">
        <v>40.23533219178082</v>
      </c>
      <c r="CG160" s="1">
        <v>1.3411777397260274</v>
      </c>
      <c r="CH160" s="1">
        <v>1.3411777397260278</v>
      </c>
      <c r="CI160" s="1" t="s">
        <v>776</v>
      </c>
      <c r="CJ160" s="1"/>
      <c r="CK160" s="284">
        <v>79.137</v>
      </c>
      <c r="CL160" s="1">
        <v>2.6379000000000001</v>
      </c>
      <c r="CM160" s="1">
        <v>3.012207635688684</v>
      </c>
      <c r="CN160" s="1">
        <v>46.688000000000002</v>
      </c>
      <c r="CO160" s="1"/>
      <c r="CP160" s="284">
        <v>230.46899999999999</v>
      </c>
      <c r="CQ160" s="1">
        <v>7.6822999999999997</v>
      </c>
      <c r="CR160" s="1">
        <v>8.3393099974398357</v>
      </c>
      <c r="CS160" s="1">
        <v>13.641999999999999</v>
      </c>
      <c r="CT160" s="1"/>
      <c r="CU160" s="284">
        <v>166.952</v>
      </c>
      <c r="CV160" s="1">
        <v>5.5650666666666666</v>
      </c>
      <c r="CW160" s="1">
        <v>6.3952865143369193</v>
      </c>
      <c r="CX160" s="1">
        <v>13.012</v>
      </c>
      <c r="CZ160" s="269">
        <v>19.800999999999998</v>
      </c>
      <c r="DA160" s="1">
        <v>0.66003333333333325</v>
      </c>
      <c r="DB160" s="1"/>
      <c r="DC160" s="284">
        <v>13.147972602739728</v>
      </c>
      <c r="DD160" s="1">
        <v>0.43826575342465757</v>
      </c>
      <c r="DE160" s="1">
        <v>0.43826575342465751</v>
      </c>
      <c r="DF160" s="1" t="s">
        <v>776</v>
      </c>
      <c r="DG160" s="1"/>
      <c r="DH160" s="284">
        <f>DI160*30</f>
        <v>69.566332191780816</v>
      </c>
      <c r="DI160" s="1">
        <f t="shared" si="246"/>
        <v>2.3188777397260272</v>
      </c>
      <c r="DJ160" s="1">
        <f t="shared" si="260"/>
        <v>2.4076601706016034</v>
      </c>
      <c r="DK160" s="1"/>
      <c r="DL160" s="1"/>
      <c r="DM160" s="284">
        <f>DN160*30</f>
        <v>2978.6272044520542</v>
      </c>
      <c r="DN160" s="1">
        <f t="shared" si="247"/>
        <v>99.287573481735137</v>
      </c>
      <c r="DO160" s="1">
        <f t="shared" si="261"/>
        <v>112.72065952244175</v>
      </c>
      <c r="DP160" s="1"/>
      <c r="DQ160" s="1"/>
      <c r="DR160" s="284">
        <f>DS160*30</f>
        <v>509.50697260273978</v>
      </c>
      <c r="DS160" s="1">
        <f t="shared" si="243"/>
        <v>16.98356575342466</v>
      </c>
      <c r="DT160" s="1" t="e">
        <f>SUM(CM160+CR160+CW160+#REF!+DE160)</f>
        <v>#REF!</v>
      </c>
      <c r="DU160" s="1"/>
      <c r="DV160" s="1"/>
      <c r="DW160" s="284">
        <f>DX160*30</f>
        <v>3488.1341770547938</v>
      </c>
      <c r="DX160" s="1">
        <f t="shared" si="259"/>
        <v>116.27113923515979</v>
      </c>
      <c r="DY160" s="1">
        <f t="shared" si="262"/>
        <v>131.78791173900004</v>
      </c>
      <c r="EB160" s="242">
        <v>6.02</v>
      </c>
      <c r="EL160">
        <v>2010</v>
      </c>
      <c r="EM160" s="157" t="s">
        <v>709</v>
      </c>
      <c r="EN160" t="s">
        <v>841</v>
      </c>
      <c r="EO160">
        <v>247.89099999999999</v>
      </c>
      <c r="EP160" t="e">
        <f t="shared" si="250"/>
        <v>#VALUE!</v>
      </c>
    </row>
    <row r="161" spans="1:146" s="76" customFormat="1" x14ac:dyDescent="0.25">
      <c r="A161" s="263">
        <v>2010</v>
      </c>
      <c r="B161" s="76" t="s">
        <v>710</v>
      </c>
      <c r="D161" s="284">
        <v>274.959</v>
      </c>
      <c r="E161" s="77">
        <v>8.8696451612903235</v>
      </c>
      <c r="F161" s="77">
        <v>9.5875225870455711</v>
      </c>
      <c r="G161" s="77">
        <v>15.253</v>
      </c>
      <c r="H161" s="77"/>
      <c r="I161" s="284"/>
      <c r="J161" s="77"/>
      <c r="K161" s="77"/>
      <c r="L161" s="77"/>
      <c r="M161" s="77"/>
      <c r="N161" s="284">
        <v>106.04</v>
      </c>
      <c r="O161" s="77">
        <v>3.4206451612903228</v>
      </c>
      <c r="P161" s="77">
        <v>3.6728198540706605</v>
      </c>
      <c r="Q161" s="77">
        <v>8.4239999999999995</v>
      </c>
      <c r="R161" s="77"/>
      <c r="S161" s="284">
        <v>157.63300000000001</v>
      </c>
      <c r="T161" s="77">
        <v>5.0849354838709679</v>
      </c>
      <c r="U161" s="77">
        <v>6.0734443356374799</v>
      </c>
      <c r="V161" s="77">
        <v>15.656000000000001</v>
      </c>
      <c r="W161" s="186"/>
      <c r="X161" s="284">
        <v>586.57500000000005</v>
      </c>
      <c r="Y161" s="77">
        <v>18.921774193548387</v>
      </c>
      <c r="Z161" s="77">
        <v>20.860962845622122</v>
      </c>
      <c r="AA161" s="77">
        <v>68.158000000000001</v>
      </c>
      <c r="AB161" s="77"/>
      <c r="AC161" s="284">
        <v>744.20800000000008</v>
      </c>
      <c r="AD161" s="77">
        <v>24.006709677419359</v>
      </c>
      <c r="AE161" s="77">
        <v>26.934407181259601</v>
      </c>
      <c r="AF161" s="77">
        <v>83.814000000000007</v>
      </c>
      <c r="AG161" s="77"/>
      <c r="AH161" s="284">
        <v>1800.905</v>
      </c>
      <c r="AI161" s="77">
        <v>58.093709677419355</v>
      </c>
      <c r="AJ161" s="77">
        <v>63.124881669226845</v>
      </c>
      <c r="AK161" s="77">
        <v>147.69999999999999</v>
      </c>
      <c r="AL161" s="77"/>
      <c r="AM161" s="284">
        <v>12.573</v>
      </c>
      <c r="AN161" s="77">
        <v>0.40558064516129033</v>
      </c>
      <c r="AO161" s="77">
        <v>0.65078930491551468</v>
      </c>
      <c r="AP161" s="77" t="s">
        <v>776</v>
      </c>
      <c r="AQ161" s="77"/>
      <c r="AR161" s="284">
        <v>96.165999999999997</v>
      </c>
      <c r="AS161" s="77">
        <v>3.1021290322580644</v>
      </c>
      <c r="AT161" s="77">
        <v>4.0855070788530465</v>
      </c>
      <c r="AU161" s="77" t="s">
        <v>776</v>
      </c>
      <c r="AV161" s="77"/>
      <c r="AW161" s="284">
        <v>6.1379999999999999</v>
      </c>
      <c r="AX161" s="77">
        <v>0.19800000000000001</v>
      </c>
      <c r="AY161" s="77">
        <v>0.28613150921658986</v>
      </c>
      <c r="AZ161" s="77" t="s">
        <v>776</v>
      </c>
      <c r="BA161" s="77"/>
      <c r="BB161" s="284">
        <v>19.797000000000001</v>
      </c>
      <c r="BC161" s="77">
        <v>0.63861290322580644</v>
      </c>
      <c r="BD161" s="77">
        <v>0.85304189068100345</v>
      </c>
      <c r="BE161" s="77" t="s">
        <v>776</v>
      </c>
      <c r="BF161" s="77"/>
      <c r="BG161" s="284">
        <v>17.399000000000001</v>
      </c>
      <c r="BH161" s="77">
        <v>0.56125806451612903</v>
      </c>
      <c r="BI161" s="77">
        <v>0.97139365079365092</v>
      </c>
      <c r="BJ161" s="77" t="s">
        <v>776</v>
      </c>
      <c r="BK161" s="77"/>
      <c r="BL161" s="284">
        <v>135.20283732876712</v>
      </c>
      <c r="BM161" s="77">
        <v>4.3613818493150687</v>
      </c>
      <c r="BN161" s="77">
        <v>4.9796759960045662</v>
      </c>
      <c r="BO161" s="77" t="s">
        <v>776</v>
      </c>
      <c r="BP161" s="77"/>
      <c r="BQ161" s="284">
        <v>10.846</v>
      </c>
      <c r="BR161" s="77">
        <v>0.34987096774193549</v>
      </c>
      <c r="BS161" s="77">
        <v>0.36521838837685611</v>
      </c>
      <c r="BT161" s="77" t="s">
        <v>776</v>
      </c>
      <c r="BU161" s="77"/>
      <c r="BV161" s="284">
        <v>6.3869999999999996</v>
      </c>
      <c r="BW161" s="77">
        <v>0.20603225806451611</v>
      </c>
      <c r="BX161" s="77">
        <v>0.22692208781362003</v>
      </c>
      <c r="BY161" s="77" t="s">
        <v>776</v>
      </c>
      <c r="BZ161" s="77"/>
      <c r="CA161" s="284">
        <v>11.538</v>
      </c>
      <c r="CB161" s="77">
        <v>0.37219354838709678</v>
      </c>
      <c r="CC161" s="77">
        <v>0.46397098694316435</v>
      </c>
      <c r="CD161" s="77" t="s">
        <v>776</v>
      </c>
      <c r="CE161" s="77"/>
      <c r="CF161" s="284">
        <v>41.576509931506848</v>
      </c>
      <c r="CG161" s="77">
        <v>1.3411777397260274</v>
      </c>
      <c r="CH161" s="77">
        <v>1.3411777397260278</v>
      </c>
      <c r="CI161" s="77" t="s">
        <v>776</v>
      </c>
      <c r="CJ161" s="77"/>
      <c r="CK161" s="284">
        <v>145.82</v>
      </c>
      <c r="CL161" s="77">
        <v>4.7038709677419357</v>
      </c>
      <c r="CM161" s="77">
        <v>3.249885055043523</v>
      </c>
      <c r="CN161" s="77">
        <v>37.317</v>
      </c>
      <c r="CO161" s="77"/>
      <c r="CP161" s="284">
        <v>186.72800000000001</v>
      </c>
      <c r="CQ161" s="77">
        <v>6.0234838709677421</v>
      </c>
      <c r="CR161" s="77">
        <v>8.1748099974398354</v>
      </c>
      <c r="CS161" s="77">
        <v>12.157999999999999</v>
      </c>
      <c r="CT161" s="77"/>
      <c r="CU161" s="284">
        <v>193.52199999999999</v>
      </c>
      <c r="CV161" s="77">
        <v>6.242645161290322</v>
      </c>
      <c r="CW161" s="77">
        <v>6.4288026433691767</v>
      </c>
      <c r="CX161" s="77">
        <v>12.308</v>
      </c>
      <c r="CY161" s="77"/>
      <c r="CZ161" s="269">
        <v>21.875</v>
      </c>
      <c r="DA161" s="77">
        <v>0.70564516129032262</v>
      </c>
      <c r="DB161" s="77"/>
      <c r="DC161" s="284">
        <v>13.329702739726025</v>
      </c>
      <c r="DD161" s="77">
        <v>0.42999041095890406</v>
      </c>
      <c r="DE161" s="77">
        <v>0.43757614155251146</v>
      </c>
      <c r="DF161" s="77" t="s">
        <v>776</v>
      </c>
      <c r="DG161" s="77"/>
      <c r="DH161" s="284">
        <f>DI161*31</f>
        <v>70.347509931506849</v>
      </c>
      <c r="DI161" s="77">
        <f t="shared" si="246"/>
        <v>2.2692745139195756</v>
      </c>
      <c r="DJ161" s="77">
        <f t="shared" si="260"/>
        <v>2.397289202859668</v>
      </c>
      <c r="DK161" s="77"/>
      <c r="DL161" s="77"/>
      <c r="DM161" s="284">
        <f>DN161*31</f>
        <v>3143.0403273972602</v>
      </c>
      <c r="DN161" s="77">
        <f t="shared" si="247"/>
        <v>101.38839765797613</v>
      </c>
      <c r="DO161" s="77">
        <f t="shared" si="261"/>
        <v>112.74886763031849</v>
      </c>
      <c r="DP161" s="77"/>
      <c r="DQ161" s="77"/>
      <c r="DR161" s="284">
        <f>DS161*31</f>
        <v>561.27470273972608</v>
      </c>
      <c r="DS161" s="77">
        <f t="shared" si="243"/>
        <v>18.105635572249227</v>
      </c>
      <c r="DT161" s="77" t="e">
        <f>SUM(CM161+CR161+CW161+#REF!+DE161)</f>
        <v>#REF!</v>
      </c>
      <c r="DU161" s="77"/>
      <c r="DV161" s="77"/>
      <c r="DW161" s="284">
        <f>DX161*31</f>
        <v>3704.315030136986</v>
      </c>
      <c r="DX161" s="77">
        <f t="shared" ref="DX161:DX166" si="263">SUM(DN161+DS161)</f>
        <v>119.49403323022536</v>
      </c>
      <c r="DY161" s="77">
        <f t="shared" si="262"/>
        <v>131.92721518124119</v>
      </c>
      <c r="EB161" s="78">
        <v>3.4</v>
      </c>
      <c r="EL161" s="76">
        <v>2010</v>
      </c>
      <c r="EM161" s="157" t="s">
        <v>710</v>
      </c>
      <c r="EN161" t="s">
        <v>841</v>
      </c>
      <c r="EO161">
        <v>274.959</v>
      </c>
      <c r="EP161" t="e">
        <f t="shared" si="250"/>
        <v>#VALUE!</v>
      </c>
    </row>
    <row r="162" spans="1:146" x14ac:dyDescent="0.25">
      <c r="A162" s="8">
        <v>2010</v>
      </c>
      <c r="B162" t="s">
        <v>711</v>
      </c>
      <c r="D162" s="284">
        <v>253.851</v>
      </c>
      <c r="E162" s="1">
        <v>8.4617000000000004</v>
      </c>
      <c r="F162" s="1">
        <v>9.4903586981566832</v>
      </c>
      <c r="G162" s="1">
        <v>11.159000000000001</v>
      </c>
      <c r="M162" s="1"/>
      <c r="N162" s="284">
        <v>99.733999999999995</v>
      </c>
      <c r="O162" s="1">
        <v>3.3244666666666665</v>
      </c>
      <c r="P162" s="1">
        <v>3.6734559651817715</v>
      </c>
      <c r="Q162" s="1">
        <v>6.3630000000000004</v>
      </c>
      <c r="R162" s="1"/>
      <c r="S162" s="284">
        <v>153.88300000000001</v>
      </c>
      <c r="T162" s="1">
        <v>5.129433333333334</v>
      </c>
      <c r="U162" s="1">
        <v>6.0235026689708135</v>
      </c>
      <c r="V162" s="1">
        <v>9.2059999999999995</v>
      </c>
      <c r="W162" s="88"/>
      <c r="X162" s="284">
        <v>574.226</v>
      </c>
      <c r="Y162" s="1">
        <v>19.140866666666668</v>
      </c>
      <c r="Z162" s="1">
        <v>20.772448956733232</v>
      </c>
      <c r="AA162" s="1">
        <v>27.446999999999999</v>
      </c>
      <c r="AB162" s="1"/>
      <c r="AC162" s="284">
        <v>728.10900000000004</v>
      </c>
      <c r="AD162" s="1">
        <v>24.270300000000002</v>
      </c>
      <c r="AE162" s="1">
        <v>26.795951625704046</v>
      </c>
      <c r="AF162" s="1">
        <v>36.652999999999999</v>
      </c>
      <c r="AG162" s="1"/>
      <c r="AH162" s="284">
        <v>1709.2139999999999</v>
      </c>
      <c r="AI162" s="1">
        <v>56.973799999999997</v>
      </c>
      <c r="AJ162" s="1">
        <v>62.64775944700461</v>
      </c>
      <c r="AK162" s="1">
        <v>117.6</v>
      </c>
      <c r="AL162" s="1"/>
      <c r="AM162" s="284">
        <v>13.981</v>
      </c>
      <c r="AN162" s="1">
        <v>0.46603333333333335</v>
      </c>
      <c r="AO162" s="1">
        <v>0.62642263824884792</v>
      </c>
      <c r="AP162" s="1" t="s">
        <v>776</v>
      </c>
      <c r="AQ162" s="1"/>
      <c r="AR162" s="284">
        <v>82.567999999999998</v>
      </c>
      <c r="AS162" s="1">
        <v>2.7522666666666664</v>
      </c>
      <c r="AT162" s="1">
        <v>3.8900293010752685</v>
      </c>
      <c r="AU162" s="1" t="s">
        <v>776</v>
      </c>
      <c r="AV162" s="1"/>
      <c r="AW162" s="284">
        <v>4.4950000000000001</v>
      </c>
      <c r="AX162" s="1">
        <v>0.14983333333333335</v>
      </c>
      <c r="AY162" s="1">
        <v>0.26576762032770102</v>
      </c>
      <c r="AZ162" s="1" t="s">
        <v>776</v>
      </c>
      <c r="BA162" s="1"/>
      <c r="BB162" s="284">
        <v>20.224</v>
      </c>
      <c r="BC162" s="1">
        <v>0.67413333333333336</v>
      </c>
      <c r="BD162" s="1">
        <v>0.82748077956989252</v>
      </c>
      <c r="BE162" s="1" t="s">
        <v>776</v>
      </c>
      <c r="BF162" s="1"/>
      <c r="BG162" s="284">
        <v>17.457999999999998</v>
      </c>
      <c r="BH162" s="1">
        <v>0.5819333333333333</v>
      </c>
      <c r="BI162" s="1">
        <v>0.92400476190476188</v>
      </c>
      <c r="BJ162" s="1" t="s">
        <v>776</v>
      </c>
      <c r="BK162" s="1"/>
      <c r="BL162" s="284">
        <v>130.84145547945207</v>
      </c>
      <c r="BM162" s="1">
        <v>4.3613818493150687</v>
      </c>
      <c r="BN162" s="1">
        <v>4.9234674372146117</v>
      </c>
      <c r="BO162" s="1" t="s">
        <v>776</v>
      </c>
      <c r="BP162" s="1"/>
      <c r="BQ162" s="284">
        <v>8.3930000000000007</v>
      </c>
      <c r="BR162" s="1">
        <v>0.27976666666666666</v>
      </c>
      <c r="BS162" s="1">
        <v>0.35797672171018946</v>
      </c>
      <c r="BT162" s="1" t="s">
        <v>776</v>
      </c>
      <c r="BU162" s="1"/>
      <c r="BV162" s="284">
        <v>5.4710000000000001</v>
      </c>
      <c r="BW162" s="1">
        <v>0.18236666666666668</v>
      </c>
      <c r="BX162" s="1">
        <v>0.2195054211469534</v>
      </c>
      <c r="BY162" s="1" t="s">
        <v>776</v>
      </c>
      <c r="BZ162" s="1"/>
      <c r="CA162" s="284">
        <v>9.5579999999999998</v>
      </c>
      <c r="CB162" s="1">
        <v>0.31859999999999999</v>
      </c>
      <c r="CC162" s="1">
        <v>0.4461793202764977</v>
      </c>
      <c r="CD162" s="1" t="s">
        <v>776</v>
      </c>
      <c r="CE162" s="1"/>
      <c r="CF162" s="284">
        <v>40.23533219178082</v>
      </c>
      <c r="CG162" s="1">
        <v>1.3411777397260274</v>
      </c>
      <c r="CH162" s="1">
        <v>1.3411777397260278</v>
      </c>
      <c r="CI162" s="1" t="s">
        <v>776</v>
      </c>
      <c r="CJ162" s="1"/>
      <c r="CK162" s="284">
        <v>85.673000000000002</v>
      </c>
      <c r="CL162" s="1">
        <v>2.8557666666666668</v>
      </c>
      <c r="CM162" s="1">
        <v>3.2795739439324119</v>
      </c>
      <c r="CN162" s="1">
        <v>8.3040000000000003</v>
      </c>
      <c r="CO162" s="1"/>
      <c r="CP162" s="284">
        <v>171.91900000000001</v>
      </c>
      <c r="CQ162" s="1">
        <v>5.7306333333333335</v>
      </c>
      <c r="CR162" s="1">
        <v>7.9626738863287239</v>
      </c>
      <c r="CS162" s="1">
        <v>9.6440000000000001</v>
      </c>
      <c r="CT162" s="1"/>
      <c r="CU162" s="284">
        <v>271.86</v>
      </c>
      <c r="CV162" s="1">
        <v>9.0620000000000012</v>
      </c>
      <c r="CW162" s="1">
        <v>6.6644998655913987</v>
      </c>
      <c r="CX162" s="1">
        <v>13.638</v>
      </c>
      <c r="CZ162" s="269">
        <v>21.532</v>
      </c>
      <c r="DA162" s="1">
        <v>0.71773333333333333</v>
      </c>
      <c r="DB162" s="1"/>
      <c r="DC162" s="284">
        <v>12.899712328767121</v>
      </c>
      <c r="DD162" s="1">
        <v>0.42999041095890406</v>
      </c>
      <c r="DE162" s="1">
        <v>0.4368865296803654</v>
      </c>
      <c r="DF162" s="1" t="s">
        <v>776</v>
      </c>
      <c r="DG162" s="1"/>
      <c r="DH162" s="284">
        <f>DI162*30</f>
        <v>63.657332191780817</v>
      </c>
      <c r="DI162" s="1">
        <f t="shared" si="246"/>
        <v>2.1219110730593607</v>
      </c>
      <c r="DJ162" s="1">
        <f t="shared" si="260"/>
        <v>2.3648392028596681</v>
      </c>
      <c r="DK162" s="1"/>
      <c r="DL162" s="1"/>
      <c r="DM162" s="284">
        <f>DN162*30</f>
        <v>2996.8181232876709</v>
      </c>
      <c r="DN162" s="1">
        <f t="shared" si="247"/>
        <v>99.893937442922365</v>
      </c>
      <c r="DO162" s="1">
        <f t="shared" ref="DO162:DO167" si="264">SUM(DN151:DN162)/12</f>
        <v>111.69984518263963</v>
      </c>
      <c r="DP162" s="1"/>
      <c r="DQ162" s="1"/>
      <c r="DR162" s="284">
        <f>DS162*30</f>
        <v>563.88371232876727</v>
      </c>
      <c r="DS162" s="1">
        <f t="shared" si="243"/>
        <v>18.796123744292242</v>
      </c>
      <c r="DT162" s="1" t="e">
        <f>SUM(CM162+CR162+CW162+#REF!+DE162)</f>
        <v>#REF!</v>
      </c>
      <c r="DU162" s="1"/>
      <c r="DV162" s="1"/>
      <c r="DW162" s="284">
        <f>DX162*30</f>
        <v>3560.7018356164381</v>
      </c>
      <c r="DX162" s="1">
        <f t="shared" si="263"/>
        <v>118.69006118721461</v>
      </c>
      <c r="DY162" s="1">
        <f t="shared" ref="DY162:DY167" si="265">SUM(DX151:DX162)/12</f>
        <v>130.92246145502352</v>
      </c>
      <c r="EB162" s="2">
        <v>2.2200000000000002</v>
      </c>
      <c r="EL162">
        <v>2010</v>
      </c>
      <c r="EM162" s="157" t="s">
        <v>711</v>
      </c>
      <c r="EN162" t="s">
        <v>841</v>
      </c>
      <c r="EO162">
        <v>253.851</v>
      </c>
      <c r="EP162" t="e">
        <f t="shared" si="250"/>
        <v>#VALUE!</v>
      </c>
    </row>
    <row r="163" spans="1:146" x14ac:dyDescent="0.25">
      <c r="A163" s="8">
        <v>2010</v>
      </c>
      <c r="B163" t="s">
        <v>712</v>
      </c>
      <c r="D163" s="284">
        <v>242.03100000000001</v>
      </c>
      <c r="E163" s="1">
        <v>7.8074516129032263</v>
      </c>
      <c r="F163" s="1">
        <v>9.1981194508448532</v>
      </c>
      <c r="G163" s="1">
        <v>11.092000000000001</v>
      </c>
      <c r="M163" s="1"/>
      <c r="N163" s="284">
        <v>101.08199999999999</v>
      </c>
      <c r="O163" s="1">
        <v>3.2607096774193547</v>
      </c>
      <c r="P163" s="1">
        <v>3.6251710189452129</v>
      </c>
      <c r="Q163" s="1">
        <v>8.5090000000000003</v>
      </c>
      <c r="R163" s="1"/>
      <c r="S163" s="284">
        <v>156.464</v>
      </c>
      <c r="T163" s="1">
        <v>5.0472258064516131</v>
      </c>
      <c r="U163" s="1">
        <v>5.841720410906297</v>
      </c>
      <c r="V163" s="1">
        <v>9.4320000000000004</v>
      </c>
      <c r="W163" s="88"/>
      <c r="X163" s="284">
        <v>588.51099999999997</v>
      </c>
      <c r="Y163" s="1">
        <v>18.984225806451612</v>
      </c>
      <c r="Z163" s="1">
        <v>20.434720462109578</v>
      </c>
      <c r="AA163" s="1">
        <v>27.727</v>
      </c>
      <c r="AB163" s="1"/>
      <c r="AC163" s="284">
        <v>744.97499999999991</v>
      </c>
      <c r="AD163" s="1">
        <v>24.031451612903222</v>
      </c>
      <c r="AE163" s="1">
        <v>26.276440873015869</v>
      </c>
      <c r="AF163" s="1">
        <v>37.158999999999999</v>
      </c>
      <c r="AG163" s="1"/>
      <c r="AH163" s="284">
        <v>1743.942</v>
      </c>
      <c r="AI163" s="1">
        <v>56.256193548387095</v>
      </c>
      <c r="AJ163" s="1">
        <v>61.074958371735789</v>
      </c>
      <c r="AK163" s="1">
        <v>114.9</v>
      </c>
      <c r="AL163" s="1"/>
      <c r="AM163" s="284">
        <v>19.71</v>
      </c>
      <c r="AN163" s="1">
        <v>0.63580645161290328</v>
      </c>
      <c r="AO163" s="1">
        <v>0.59652747695852537</v>
      </c>
      <c r="AP163" s="1" t="s">
        <v>776</v>
      </c>
      <c r="AQ163" s="1"/>
      <c r="AR163" s="284">
        <v>152.554</v>
      </c>
      <c r="AS163" s="1">
        <v>4.9210967741935487</v>
      </c>
      <c r="AT163" s="1">
        <v>3.8261368279569887</v>
      </c>
      <c r="AU163" s="1" t="s">
        <v>776</v>
      </c>
      <c r="AV163" s="1"/>
      <c r="AW163" s="284">
        <v>6.9409999999999998</v>
      </c>
      <c r="AX163" s="1">
        <v>0.22390322580645161</v>
      </c>
      <c r="AY163" s="1">
        <v>0.24304987839221712</v>
      </c>
      <c r="AZ163" s="1" t="s">
        <v>776</v>
      </c>
      <c r="BA163" s="1"/>
      <c r="BB163" s="284">
        <v>29.917999999999999</v>
      </c>
      <c r="BC163" s="1">
        <v>0.96509677419354833</v>
      </c>
      <c r="BD163" s="1">
        <v>0.81799690860215046</v>
      </c>
      <c r="BE163" s="1" t="s">
        <v>776</v>
      </c>
      <c r="BF163" s="1"/>
      <c r="BG163" s="284">
        <v>24.545999999999999</v>
      </c>
      <c r="BH163" s="1">
        <v>0.79180645161290319</v>
      </c>
      <c r="BI163" s="1">
        <v>0.8789751920122888</v>
      </c>
      <c r="BJ163" s="1" t="s">
        <v>776</v>
      </c>
      <c r="BK163" s="1"/>
      <c r="BL163" s="284">
        <v>135.20283732876712</v>
      </c>
      <c r="BM163" s="1">
        <v>4.3613818493150687</v>
      </c>
      <c r="BN163" s="1">
        <v>4.8672588784246571</v>
      </c>
      <c r="BO163" s="1" t="s">
        <v>776</v>
      </c>
      <c r="BP163" s="1"/>
      <c r="BQ163" s="284">
        <v>11.555</v>
      </c>
      <c r="BR163" s="1">
        <v>0.37274193548387097</v>
      </c>
      <c r="BS163" s="1">
        <v>0.35497940988223248</v>
      </c>
      <c r="BT163" s="1" t="s">
        <v>776</v>
      </c>
      <c r="BU163" s="1"/>
      <c r="BV163" s="284">
        <v>7.4349999999999996</v>
      </c>
      <c r="BW163" s="1">
        <v>0.23983870967741935</v>
      </c>
      <c r="BX163" s="1">
        <v>0.20757800179211472</v>
      </c>
      <c r="BY163" s="1" t="s">
        <v>776</v>
      </c>
      <c r="BZ163" s="1"/>
      <c r="CA163" s="284">
        <v>12.176</v>
      </c>
      <c r="CB163" s="1">
        <v>0.39277419354838711</v>
      </c>
      <c r="CC163" s="1">
        <v>0.42689706221198159</v>
      </c>
      <c r="CD163" s="1" t="s">
        <v>776</v>
      </c>
      <c r="CE163" s="1"/>
      <c r="CF163" s="284">
        <v>41.576509931506848</v>
      </c>
      <c r="CG163" s="1">
        <v>1.3411777397260274</v>
      </c>
      <c r="CH163" s="1">
        <v>1.3411777397260278</v>
      </c>
      <c r="CI163" s="1" t="s">
        <v>776</v>
      </c>
      <c r="CJ163" s="1"/>
      <c r="CK163" s="284">
        <v>101.133</v>
      </c>
      <c r="CL163" s="1">
        <v>3.2623548387096775</v>
      </c>
      <c r="CM163" s="1">
        <v>3.2072056643625193</v>
      </c>
      <c r="CN163" s="1">
        <v>8.8469999999999995</v>
      </c>
      <c r="CO163" s="1"/>
      <c r="CP163" s="284">
        <v>176.46899999999999</v>
      </c>
      <c r="CQ163" s="1">
        <v>5.6925483870967737</v>
      </c>
      <c r="CR163" s="1">
        <v>7.7004077572964666</v>
      </c>
      <c r="CS163" s="1">
        <v>8.9819999999999993</v>
      </c>
      <c r="CT163" s="1"/>
      <c r="CU163" s="284">
        <v>282.33</v>
      </c>
      <c r="CV163" s="1">
        <v>9.1074193548387097</v>
      </c>
      <c r="CW163" s="1">
        <v>6.8443520161290321</v>
      </c>
      <c r="CX163" s="1">
        <v>13.218999999999999</v>
      </c>
      <c r="CZ163" s="269">
        <v>22.087</v>
      </c>
      <c r="DA163" s="1">
        <v>0.71248387096774191</v>
      </c>
      <c r="DB163" s="1"/>
      <c r="DC163" s="284">
        <v>13.329702739726025</v>
      </c>
      <c r="DD163" s="1">
        <v>0.42999041095890406</v>
      </c>
      <c r="DE163" s="1">
        <v>0.43619691780821929</v>
      </c>
      <c r="DF163" s="1" t="s">
        <v>776</v>
      </c>
      <c r="DG163" s="1"/>
      <c r="DH163" s="284">
        <f>DI163*31</f>
        <v>72.742509931506845</v>
      </c>
      <c r="DI163" s="1">
        <f t="shared" si="246"/>
        <v>2.3465325784357045</v>
      </c>
      <c r="DJ163" s="1">
        <f t="shared" ref="DJ163:DJ168" si="266">SUM(DI152:DI163)/12</f>
        <v>2.3306322136123558</v>
      </c>
      <c r="DK163" s="1"/>
      <c r="DL163" s="1"/>
      <c r="DM163" s="284">
        <f>DN163*31</f>
        <v>3128.1593273972603</v>
      </c>
      <c r="DN163" s="1">
        <f t="shared" si="247"/>
        <v>100.90836539991162</v>
      </c>
      <c r="DO163" s="1">
        <f t="shared" si="264"/>
        <v>109.07398877438732</v>
      </c>
      <c r="DP163" s="1"/>
      <c r="DQ163" s="1"/>
      <c r="DR163" s="284">
        <f>DS163*31</f>
        <v>595.34870273972592</v>
      </c>
      <c r="DS163" s="1">
        <f t="shared" si="243"/>
        <v>19.204796862571804</v>
      </c>
      <c r="DT163" s="1" t="e">
        <f>SUM(CM163+CR163+CW163+#REF!+DE163)</f>
        <v>#REF!</v>
      </c>
      <c r="DU163" s="1"/>
      <c r="DV163" s="1"/>
      <c r="DW163" s="284">
        <f>DX163*31</f>
        <v>3723.5080301369862</v>
      </c>
      <c r="DX163" s="1">
        <f t="shared" si="263"/>
        <v>120.11316226248343</v>
      </c>
      <c r="DY163" s="1">
        <f t="shared" si="265"/>
        <v>128.10917081124316</v>
      </c>
      <c r="EB163" s="2">
        <v>1.78</v>
      </c>
      <c r="EL163">
        <v>2010</v>
      </c>
      <c r="EM163" s="157" t="s">
        <v>712</v>
      </c>
      <c r="EN163" t="s">
        <v>841</v>
      </c>
      <c r="EO163">
        <v>242.03100000000001</v>
      </c>
      <c r="EP163" t="e">
        <f t="shared" si="250"/>
        <v>#VALUE!</v>
      </c>
    </row>
    <row r="164" spans="1:146" x14ac:dyDescent="0.25">
      <c r="A164" s="8">
        <v>2011</v>
      </c>
      <c r="B164" t="s">
        <v>719</v>
      </c>
      <c r="D164" s="284">
        <v>273.38</v>
      </c>
      <c r="E164" s="1">
        <v>8.8187096774193545</v>
      </c>
      <c r="F164" s="1">
        <v>9.0106866551459284</v>
      </c>
      <c r="G164" s="1">
        <v>9.3800000000000008</v>
      </c>
      <c r="M164" s="1"/>
      <c r="N164" s="284">
        <v>98.632999999999996</v>
      </c>
      <c r="O164" s="1">
        <v>3.1817096774193545</v>
      </c>
      <c r="P164" s="1">
        <v>3.5817597286226319</v>
      </c>
      <c r="Q164" s="1">
        <v>5.5039999999999996</v>
      </c>
      <c r="R164" s="1"/>
      <c r="S164" s="284">
        <v>156.38499999999999</v>
      </c>
      <c r="T164" s="1">
        <v>5.044677419354838</v>
      </c>
      <c r="U164" s="1">
        <v>5.7047177227342543</v>
      </c>
      <c r="V164" s="1">
        <v>7.9039999999999999</v>
      </c>
      <c r="W164" s="88"/>
      <c r="X164" s="284">
        <v>568.68200000000002</v>
      </c>
      <c r="Y164" s="1">
        <v>18.34458064516129</v>
      </c>
      <c r="Z164" s="1">
        <v>20.104494655657962</v>
      </c>
      <c r="AA164" s="1">
        <v>24.103999999999999</v>
      </c>
      <c r="AB164" s="1"/>
      <c r="AC164" s="284">
        <v>725.06700000000001</v>
      </c>
      <c r="AD164" s="1">
        <v>23.389258064516131</v>
      </c>
      <c r="AE164" s="1">
        <v>25.809212378392214</v>
      </c>
      <c r="AF164" s="1">
        <v>32.007999999999996</v>
      </c>
      <c r="AG164" s="1"/>
      <c r="AH164" s="284">
        <v>1719.644</v>
      </c>
      <c r="AI164" s="1">
        <v>55.472387096774192</v>
      </c>
      <c r="AJ164" s="1">
        <v>60.094127726574506</v>
      </c>
      <c r="AK164" s="1">
        <v>134.69999999999999</v>
      </c>
      <c r="AL164" s="1"/>
      <c r="AM164" s="284">
        <v>15.757</v>
      </c>
      <c r="AN164" s="1">
        <v>0.5082903225806451</v>
      </c>
      <c r="AO164" s="1">
        <v>0.58305704685099857</v>
      </c>
      <c r="AP164" s="1" t="s">
        <v>776</v>
      </c>
      <c r="AQ164" s="1"/>
      <c r="AR164" s="284">
        <v>119.708</v>
      </c>
      <c r="AS164" s="1">
        <v>3.8615483870967742</v>
      </c>
      <c r="AT164" s="1">
        <v>3.7476959677419353</v>
      </c>
      <c r="AU164" s="1" t="s">
        <v>776</v>
      </c>
      <c r="AV164" s="1"/>
      <c r="AW164" s="284">
        <v>6.82</v>
      </c>
      <c r="AX164" s="1">
        <v>0.22</v>
      </c>
      <c r="AY164" s="1">
        <v>0.23714934075780855</v>
      </c>
      <c r="AZ164" s="1" t="s">
        <v>776</v>
      </c>
      <c r="BA164" s="1"/>
      <c r="BB164" s="284">
        <v>23.326000000000001</v>
      </c>
      <c r="BC164" s="1">
        <v>0.75245161290322582</v>
      </c>
      <c r="BD164" s="1">
        <v>0.80860443548387095</v>
      </c>
      <c r="BE164" s="1" t="s">
        <v>776</v>
      </c>
      <c r="BF164" s="1"/>
      <c r="BG164" s="284">
        <v>20.617000000000001</v>
      </c>
      <c r="BH164" s="1">
        <v>0.66506451612903228</v>
      </c>
      <c r="BI164" s="1">
        <v>0.84164992319508436</v>
      </c>
      <c r="BJ164" s="1" t="s">
        <v>776</v>
      </c>
      <c r="BK164" s="1"/>
      <c r="BL164" s="284">
        <v>135.20283732876712</v>
      </c>
      <c r="BM164" s="1">
        <v>4.3613818493150687</v>
      </c>
      <c r="BN164" s="1">
        <v>4.8110503196347025</v>
      </c>
      <c r="BO164" s="1" t="s">
        <v>776</v>
      </c>
      <c r="BP164" s="1"/>
      <c r="BQ164" s="284">
        <v>8.952</v>
      </c>
      <c r="BR164" s="1">
        <v>0.28877419354838707</v>
      </c>
      <c r="BS164" s="1">
        <v>0.35027779697900668</v>
      </c>
      <c r="BT164" s="1" t="s">
        <v>776</v>
      </c>
      <c r="BU164" s="1"/>
      <c r="BV164" s="284">
        <v>5.4960000000000004</v>
      </c>
      <c r="BW164" s="1">
        <v>0.17729032258064517</v>
      </c>
      <c r="BX164" s="1">
        <v>0.2040323028673835</v>
      </c>
      <c r="BY164" s="1" t="s">
        <v>776</v>
      </c>
      <c r="BZ164" s="1"/>
      <c r="CA164" s="284">
        <v>14.121</v>
      </c>
      <c r="CB164" s="1">
        <v>0.45551612903225808</v>
      </c>
      <c r="CC164" s="1">
        <v>0.42461211597542237</v>
      </c>
      <c r="CD164" s="1" t="s">
        <v>776</v>
      </c>
      <c r="CE164" s="1"/>
      <c r="CF164" s="284">
        <v>41.576509931506848</v>
      </c>
      <c r="CG164" s="1">
        <v>1.3411777397260274</v>
      </c>
      <c r="CH164" s="1">
        <v>1.3411777397260278</v>
      </c>
      <c r="CI164" s="1" t="s">
        <v>776</v>
      </c>
      <c r="CJ164" s="1"/>
      <c r="CK164" s="284">
        <v>87.066000000000003</v>
      </c>
      <c r="CL164" s="1">
        <v>2.8085806451612902</v>
      </c>
      <c r="CM164" s="1">
        <v>3.1413266321044548</v>
      </c>
      <c r="CN164" s="1">
        <v>5.88</v>
      </c>
      <c r="CO164" s="1"/>
      <c r="CP164" s="284">
        <v>172.643</v>
      </c>
      <c r="CQ164" s="1">
        <v>5.5691290322580649</v>
      </c>
      <c r="CR164" s="1">
        <v>7.4858620583717359</v>
      </c>
      <c r="CS164" s="1">
        <v>8.9459999999999997</v>
      </c>
      <c r="CT164" s="1"/>
      <c r="CU164" s="284">
        <v>225.393</v>
      </c>
      <c r="CV164" s="1">
        <v>7.2707419354838709</v>
      </c>
      <c r="CW164" s="1">
        <v>6.9073116935483867</v>
      </c>
      <c r="CX164" s="1">
        <v>11.696999999999999</v>
      </c>
      <c r="CZ164" s="269">
        <v>21.033000000000001</v>
      </c>
      <c r="DA164" s="1">
        <v>0.67848387096774199</v>
      </c>
      <c r="DB164" s="1"/>
      <c r="DC164" s="284">
        <v>13.329702739726025</v>
      </c>
      <c r="DD164" s="1">
        <v>0.42999041095890406</v>
      </c>
      <c r="DE164" s="1">
        <v>0.43550730593607317</v>
      </c>
      <c r="DF164" s="1" t="s">
        <v>776</v>
      </c>
      <c r="DG164" s="1"/>
      <c r="DH164" s="284">
        <f>DI164*31</f>
        <v>70.145509931506837</v>
      </c>
      <c r="DI164" s="1">
        <f t="shared" si="246"/>
        <v>2.2627583848873174</v>
      </c>
      <c r="DJ164" s="1">
        <f t="shared" si="266"/>
        <v>2.3200999555478399</v>
      </c>
      <c r="DK164" s="1"/>
      <c r="DL164" s="1"/>
      <c r="DM164" s="284">
        <f>DN164*31</f>
        <v>3068.0093273972607</v>
      </c>
      <c r="DN164" s="1">
        <f t="shared" si="247"/>
        <v>98.968042819266472</v>
      </c>
      <c r="DO164" s="1">
        <f t="shared" si="264"/>
        <v>107.20487967796295</v>
      </c>
      <c r="DP164" s="1"/>
      <c r="DQ164" s="1"/>
      <c r="DR164" s="284">
        <f>DS164*31</f>
        <v>519.46470273972602</v>
      </c>
      <c r="DS164" s="1">
        <f t="shared" si="243"/>
        <v>16.756925894829873</v>
      </c>
      <c r="DT164" s="1" t="e">
        <f>SUM(CM164+CR164+CW164+#REF!+DE164)</f>
        <v>#REF!</v>
      </c>
      <c r="DU164" s="1"/>
      <c r="DV164" s="1"/>
      <c r="DW164" s="284">
        <f>DX164*31</f>
        <v>3587.4740301369866</v>
      </c>
      <c r="DX164" s="1">
        <f t="shared" si="263"/>
        <v>115.72496871409635</v>
      </c>
      <c r="DY164" s="1">
        <f t="shared" si="265"/>
        <v>125.9935441459574</v>
      </c>
      <c r="EB164" s="2">
        <v>2.25</v>
      </c>
      <c r="EL164">
        <v>2011</v>
      </c>
      <c r="EM164" s="157" t="s">
        <v>719</v>
      </c>
      <c r="EN164" t="s">
        <v>841</v>
      </c>
      <c r="EO164">
        <v>273.38</v>
      </c>
      <c r="EP164" t="e">
        <f t="shared" si="250"/>
        <v>#VALUE!</v>
      </c>
    </row>
    <row r="165" spans="1:146" x14ac:dyDescent="0.25">
      <c r="A165" s="8">
        <v>2011</v>
      </c>
      <c r="B165" t="s">
        <v>713</v>
      </c>
      <c r="D165" s="284">
        <v>250.54400000000001</v>
      </c>
      <c r="E165" s="1">
        <v>8.9480000000000004</v>
      </c>
      <c r="F165" s="1">
        <v>8.8400467741935476</v>
      </c>
      <c r="G165" s="1">
        <v>10.601000000000001</v>
      </c>
      <c r="M165" s="1"/>
      <c r="N165" s="284">
        <v>97.358000000000004</v>
      </c>
      <c r="O165" s="1">
        <v>3.4770714285714286</v>
      </c>
      <c r="P165" s="1">
        <v>3.5392716333845371</v>
      </c>
      <c r="Q165" s="1">
        <v>6.3929999999999998</v>
      </c>
      <c r="R165" s="1"/>
      <c r="S165" s="284">
        <v>156.226</v>
      </c>
      <c r="T165" s="1">
        <v>5.5795000000000003</v>
      </c>
      <c r="U165" s="1">
        <v>5.5785123655913971</v>
      </c>
      <c r="V165" s="1">
        <v>8.7550000000000008</v>
      </c>
      <c r="W165" s="88"/>
      <c r="X165" s="284">
        <v>564.05899999999997</v>
      </c>
      <c r="Y165" s="1">
        <v>20.144964285714284</v>
      </c>
      <c r="Z165" s="1">
        <v>19.862792274705583</v>
      </c>
      <c r="AA165" s="1">
        <v>25.931999999999999</v>
      </c>
      <c r="AB165" s="1"/>
      <c r="AC165" s="284">
        <v>720.28499999999997</v>
      </c>
      <c r="AD165" s="1">
        <v>25.724464285714284</v>
      </c>
      <c r="AE165" s="1">
        <v>25.44130464029698</v>
      </c>
      <c r="AF165" s="1">
        <v>34.686999999999998</v>
      </c>
      <c r="AG165" s="1"/>
      <c r="AH165" s="284">
        <v>1579.623</v>
      </c>
      <c r="AI165" s="1">
        <v>56.415107142857146</v>
      </c>
      <c r="AJ165" s="1">
        <v>58.578422369431642</v>
      </c>
      <c r="AK165" s="1">
        <v>117.8</v>
      </c>
      <c r="AL165" s="1"/>
      <c r="AM165" s="284">
        <v>17.876999999999999</v>
      </c>
      <c r="AN165" s="1">
        <v>0.63846428571428571</v>
      </c>
      <c r="AO165" s="1">
        <v>0.5639201420890938</v>
      </c>
      <c r="AP165" s="1" t="s">
        <v>776</v>
      </c>
      <c r="AQ165" s="1"/>
      <c r="AR165" s="284">
        <v>120.443</v>
      </c>
      <c r="AS165" s="1">
        <v>4.3015357142857145</v>
      </c>
      <c r="AT165" s="1">
        <v>3.639240610599078</v>
      </c>
      <c r="AU165" s="1" t="s">
        <v>776</v>
      </c>
      <c r="AV165" s="1"/>
      <c r="AW165" s="284">
        <v>8.3140000000000001</v>
      </c>
      <c r="AX165" s="1">
        <v>0.29692857142857143</v>
      </c>
      <c r="AY165" s="1">
        <v>0.22859279313876091</v>
      </c>
      <c r="AZ165" s="1" t="s">
        <v>776</v>
      </c>
      <c r="BA165" s="1"/>
      <c r="BB165" s="284">
        <v>22.003</v>
      </c>
      <c r="BC165" s="1">
        <v>0.78582142857142856</v>
      </c>
      <c r="BD165" s="1">
        <v>0.79098538786482342</v>
      </c>
      <c r="BE165" s="1" t="s">
        <v>776</v>
      </c>
      <c r="BF165" s="1"/>
      <c r="BG165" s="284">
        <v>21.559000000000001</v>
      </c>
      <c r="BH165" s="1">
        <v>0.76996428571428577</v>
      </c>
      <c r="BI165" s="1">
        <v>0.78982551843317983</v>
      </c>
      <c r="BJ165" s="1" t="s">
        <v>776</v>
      </c>
      <c r="BK165" s="1"/>
      <c r="BL165" s="284">
        <v>122.11869178082192</v>
      </c>
      <c r="BM165" s="1">
        <v>4.3613818493150687</v>
      </c>
      <c r="BN165" s="1">
        <v>4.754841760844748</v>
      </c>
      <c r="BO165" s="1" t="s">
        <v>776</v>
      </c>
      <c r="BP165" s="1"/>
      <c r="BQ165" s="284">
        <v>8.6890000000000001</v>
      </c>
      <c r="BR165" s="1">
        <v>0.31032142857142858</v>
      </c>
      <c r="BS165" s="1">
        <v>0.34471827316948284</v>
      </c>
      <c r="BT165" s="1" t="s">
        <v>776</v>
      </c>
      <c r="BU165" s="1"/>
      <c r="BV165" s="284">
        <v>6.3730000000000002</v>
      </c>
      <c r="BW165" s="1">
        <v>0.22760714285714287</v>
      </c>
      <c r="BX165" s="1">
        <v>0.19452039810547875</v>
      </c>
      <c r="BY165" s="1" t="s">
        <v>776</v>
      </c>
      <c r="BZ165" s="1"/>
      <c r="CA165" s="284">
        <v>10.561</v>
      </c>
      <c r="CB165" s="1">
        <v>0.37717857142857142</v>
      </c>
      <c r="CC165" s="1">
        <v>0.40899902073732725</v>
      </c>
      <c r="CD165" s="1" t="s">
        <v>776</v>
      </c>
      <c r="CE165" s="1"/>
      <c r="CF165" s="284">
        <v>37.552976712328764</v>
      </c>
      <c r="CG165" s="1">
        <v>1.3411777397260274</v>
      </c>
      <c r="CH165" s="1">
        <v>1.3411777397260278</v>
      </c>
      <c r="CI165" s="1" t="s">
        <v>776</v>
      </c>
      <c r="CJ165" s="1"/>
      <c r="CK165" s="284">
        <v>78.316999999999993</v>
      </c>
      <c r="CL165" s="1">
        <v>2.7970357142857138</v>
      </c>
      <c r="CM165" s="1">
        <v>3.1875766321044545</v>
      </c>
      <c r="CN165" s="1">
        <v>7.5730000000000004</v>
      </c>
      <c r="CO165" s="1"/>
      <c r="CP165" s="284">
        <v>171.18700000000001</v>
      </c>
      <c r="CQ165" s="1">
        <v>6.1138214285714287</v>
      </c>
      <c r="CR165" s="1">
        <v>7.2634781298003057</v>
      </c>
      <c r="CS165" s="1">
        <v>9.7089999999999996</v>
      </c>
      <c r="CT165" s="1"/>
      <c r="CU165" s="284">
        <v>186.87200000000001</v>
      </c>
      <c r="CV165" s="1">
        <v>6.6740000000000004</v>
      </c>
      <c r="CW165" s="1">
        <v>6.9107491935483871</v>
      </c>
      <c r="CX165" s="1">
        <v>9.3879999999999999</v>
      </c>
      <c r="CZ165" s="269">
        <v>22.635000000000002</v>
      </c>
      <c r="DA165" s="1">
        <v>0.80839285714285725</v>
      </c>
      <c r="DB165" s="1"/>
      <c r="DC165" s="284">
        <v>12.039731506849314</v>
      </c>
      <c r="DD165" s="1">
        <v>0.42999041095890406</v>
      </c>
      <c r="DE165" s="1">
        <v>0.43481769406392701</v>
      </c>
      <c r="DF165" s="1" t="s">
        <v>776</v>
      </c>
      <c r="DG165" s="1"/>
      <c r="DH165" s="284">
        <f>DI165*28</f>
        <v>63.175976712328762</v>
      </c>
      <c r="DI165" s="1">
        <f t="shared" si="246"/>
        <v>2.2562848825831701</v>
      </c>
      <c r="DJ165" s="1">
        <f t="shared" si="266"/>
        <v>2.2894154317383162</v>
      </c>
      <c r="DK165" s="1"/>
      <c r="DL165" s="1"/>
      <c r="DM165" s="284">
        <f>DN165*28</f>
        <v>2896.9487150684927</v>
      </c>
      <c r="DN165" s="1">
        <f t="shared" si="247"/>
        <v>103.46245410958903</v>
      </c>
      <c r="DO165" s="1">
        <f t="shared" si="264"/>
        <v>104.87702230964919</v>
      </c>
      <c r="DP165" s="1"/>
      <c r="DQ165" s="1"/>
      <c r="DR165" s="284">
        <f>DS165*28</f>
        <v>471.05073150684927</v>
      </c>
      <c r="DS165" s="1">
        <f t="shared" ref="DS165:DS199" si="267">SUM(CL165+CQ165+CV165+DA165+DD165)</f>
        <v>16.823240410958903</v>
      </c>
      <c r="DT165" s="1" t="e">
        <f>SUM(CM165+CR165+CW165+#REF!+DE165)</f>
        <v>#REF!</v>
      </c>
      <c r="DU165" s="1"/>
      <c r="DV165" s="1"/>
      <c r="DW165" s="284">
        <f>DX165*28</f>
        <v>3367.9994465753421</v>
      </c>
      <c r="DX165" s="1">
        <f t="shared" si="263"/>
        <v>120.28569452054793</v>
      </c>
      <c r="DY165" s="1">
        <f t="shared" si="265"/>
        <v>123.4625328800572</v>
      </c>
      <c r="EB165" s="2">
        <v>2.12</v>
      </c>
      <c r="EL165">
        <v>2011</v>
      </c>
      <c r="EM165" s="157" t="s">
        <v>713</v>
      </c>
      <c r="EN165" t="s">
        <v>841</v>
      </c>
      <c r="EO165">
        <v>250.54400000000001</v>
      </c>
      <c r="EP165" t="e">
        <f t="shared" si="250"/>
        <v>#VALUE!</v>
      </c>
    </row>
    <row r="166" spans="1:146" x14ac:dyDescent="0.25">
      <c r="A166" s="8">
        <v>2011</v>
      </c>
      <c r="B166" t="s">
        <v>714</v>
      </c>
      <c r="D166" s="284">
        <v>325.37099999999998</v>
      </c>
      <c r="E166" s="1">
        <v>10.495838709677418</v>
      </c>
      <c r="F166" s="1">
        <v>8.9217833333333321</v>
      </c>
      <c r="G166" s="1">
        <v>15.292</v>
      </c>
      <c r="M166" s="1"/>
      <c r="N166" s="284">
        <v>123.045</v>
      </c>
      <c r="O166" s="1">
        <v>3.9691935483870968</v>
      </c>
      <c r="P166" s="1">
        <v>3.5085296979006659</v>
      </c>
      <c r="Q166" s="1">
        <v>9.7880000000000003</v>
      </c>
      <c r="R166" s="1"/>
      <c r="S166" s="284">
        <v>214.83699999999999</v>
      </c>
      <c r="T166" s="1">
        <v>6.9302258064516122</v>
      </c>
      <c r="U166" s="1">
        <v>5.4796951612903229</v>
      </c>
      <c r="V166" s="1">
        <v>17.523</v>
      </c>
      <c r="W166" s="88"/>
      <c r="X166" s="284">
        <v>703.92899999999997</v>
      </c>
      <c r="Y166" s="1">
        <v>22.707387096774191</v>
      </c>
      <c r="Z166" s="1">
        <v>19.681837973630312</v>
      </c>
      <c r="AA166" s="1">
        <v>34.798000000000002</v>
      </c>
      <c r="AB166" s="1"/>
      <c r="AC166" s="284">
        <v>918.76599999999996</v>
      </c>
      <c r="AD166" s="1">
        <v>29.637612903225804</v>
      </c>
      <c r="AE166" s="1">
        <v>25.161533134920635</v>
      </c>
      <c r="AF166" s="1">
        <v>52.320999999999998</v>
      </c>
      <c r="AG166" s="1"/>
      <c r="AH166" s="284">
        <v>1903.643</v>
      </c>
      <c r="AI166" s="1">
        <v>61.407838709677421</v>
      </c>
      <c r="AJ166" s="1">
        <v>57.433876670506912</v>
      </c>
      <c r="AK166" s="1">
        <v>192.9</v>
      </c>
      <c r="AL166" s="1"/>
      <c r="AM166" s="284">
        <v>26.547000000000001</v>
      </c>
      <c r="AN166" s="1">
        <v>0.85635483870967744</v>
      </c>
      <c r="AO166" s="1">
        <v>0.5663045506912443</v>
      </c>
      <c r="AP166" s="1" t="s">
        <v>776</v>
      </c>
      <c r="AQ166" s="1"/>
      <c r="AR166" s="284">
        <v>153.84100000000001</v>
      </c>
      <c r="AS166" s="1">
        <v>4.9626129032258071</v>
      </c>
      <c r="AT166" s="1">
        <v>3.6822782450076801</v>
      </c>
      <c r="AU166" s="1" t="s">
        <v>776</v>
      </c>
      <c r="AV166" s="1"/>
      <c r="AW166" s="284">
        <v>15.664999999999999</v>
      </c>
      <c r="AX166" s="1">
        <v>0.50532258064516122</v>
      </c>
      <c r="AY166" s="1">
        <v>0.239869674859191</v>
      </c>
      <c r="AZ166" s="1" t="s">
        <v>776</v>
      </c>
      <c r="BA166" s="1"/>
      <c r="BB166" s="284">
        <v>29.041</v>
      </c>
      <c r="BC166" s="1">
        <v>0.93680645161290321</v>
      </c>
      <c r="BD166" s="1">
        <v>0.7913025921658986</v>
      </c>
      <c r="BE166" s="1" t="s">
        <v>776</v>
      </c>
      <c r="BF166" s="1"/>
      <c r="BG166" s="284">
        <v>27.82</v>
      </c>
      <c r="BH166" s="1">
        <v>0.89741935483870972</v>
      </c>
      <c r="BI166" s="1">
        <v>0.75930401305683548</v>
      </c>
      <c r="BJ166" s="1" t="s">
        <v>776</v>
      </c>
      <c r="BK166" s="1"/>
      <c r="BL166" s="284">
        <v>135.20283732876712</v>
      </c>
      <c r="BM166" s="1">
        <v>4.3613818493150687</v>
      </c>
      <c r="BN166" s="1">
        <v>4.6986332020547934</v>
      </c>
      <c r="BO166" s="1" t="s">
        <v>776</v>
      </c>
      <c r="BP166" s="1"/>
      <c r="BQ166" s="284">
        <v>10.744999999999999</v>
      </c>
      <c r="BR166" s="1">
        <v>0.3466129032258064</v>
      </c>
      <c r="BS166" s="1">
        <v>0.34251934843830006</v>
      </c>
      <c r="BT166" s="1" t="s">
        <v>776</v>
      </c>
      <c r="BU166" s="1"/>
      <c r="BV166" s="284">
        <v>8.2240000000000002</v>
      </c>
      <c r="BW166" s="1">
        <v>0.26529032258064517</v>
      </c>
      <c r="BX166" s="1">
        <v>0.19399620455709166</v>
      </c>
      <c r="BY166" s="1" t="s">
        <v>776</v>
      </c>
      <c r="BZ166" s="1"/>
      <c r="CA166" s="284">
        <v>13.234</v>
      </c>
      <c r="CB166" s="1">
        <v>0.42690322580645162</v>
      </c>
      <c r="CC166" s="1">
        <v>0.39930547235023045</v>
      </c>
      <c r="CD166" s="1" t="s">
        <v>776</v>
      </c>
      <c r="CE166" s="1"/>
      <c r="CF166" s="284">
        <v>41.576509931506848</v>
      </c>
      <c r="CG166" s="1">
        <v>1.3411777397260274</v>
      </c>
      <c r="CH166" s="1">
        <v>1.3411777397260278</v>
      </c>
      <c r="CI166" s="1" t="s">
        <v>776</v>
      </c>
      <c r="CJ166" s="1"/>
      <c r="CK166" s="284">
        <v>86.997</v>
      </c>
      <c r="CL166" s="1">
        <v>2.8063548387096775</v>
      </c>
      <c r="CM166" s="1">
        <v>2.9292029761904761</v>
      </c>
      <c r="CN166" s="1">
        <v>14.999000000000001</v>
      </c>
      <c r="CO166" s="1"/>
      <c r="CP166" s="284">
        <v>209.19900000000001</v>
      </c>
      <c r="CQ166" s="1">
        <v>6.7483548387096777</v>
      </c>
      <c r="CR166" s="1">
        <v>7.0471851190476187</v>
      </c>
      <c r="CS166" s="1">
        <v>13.972</v>
      </c>
      <c r="CT166" s="1"/>
      <c r="CU166" s="284">
        <v>223.102</v>
      </c>
      <c r="CV166" s="1">
        <v>7.1968387096774196</v>
      </c>
      <c r="CW166" s="1">
        <v>6.9103137096774203</v>
      </c>
      <c r="CX166" s="1">
        <v>12.891</v>
      </c>
      <c r="CZ166" s="269">
        <v>29.786000000000001</v>
      </c>
      <c r="DA166" s="1">
        <v>0.96083870967741936</v>
      </c>
      <c r="DB166" s="1"/>
      <c r="DC166" s="284">
        <v>13.329702739726025</v>
      </c>
      <c r="DD166" s="1">
        <v>0.42999041095890406</v>
      </c>
      <c r="DE166" s="1">
        <v>0.43412808219178084</v>
      </c>
      <c r="DF166" s="1" t="s">
        <v>776</v>
      </c>
      <c r="DG166" s="1"/>
      <c r="DH166" s="284">
        <f>DI166*31</f>
        <v>73.779509931506851</v>
      </c>
      <c r="DI166" s="1">
        <f t="shared" si="246"/>
        <v>2.3799841913389308</v>
      </c>
      <c r="DJ166" s="1">
        <f t="shared" si="266"/>
        <v>2.2769987650716499</v>
      </c>
      <c r="DK166" s="1"/>
      <c r="DL166" s="1"/>
      <c r="DM166" s="284">
        <f>DN166*31</f>
        <v>3585.1623273972596</v>
      </c>
      <c r="DN166" s="1">
        <f t="shared" si="247"/>
        <v>115.65039765797611</v>
      </c>
      <c r="DO166" s="1">
        <f t="shared" si="264"/>
        <v>103.48640246053664</v>
      </c>
      <c r="DP166" s="1"/>
      <c r="DQ166" s="1"/>
      <c r="DR166" s="284">
        <f>DS166*31</f>
        <v>562.41370273972609</v>
      </c>
      <c r="DS166" s="1">
        <f t="shared" si="267"/>
        <v>18.142377507733098</v>
      </c>
      <c r="DT166" s="1" t="e">
        <f>SUM(CM166+CR166+CW166+#REF!+DE166)</f>
        <v>#REF!</v>
      </c>
      <c r="DU166" s="1"/>
      <c r="DV166" s="1"/>
      <c r="DW166" s="284">
        <f>DX166*31</f>
        <v>4147.5760301369855</v>
      </c>
      <c r="DX166" s="1">
        <f t="shared" si="263"/>
        <v>133.7927751657092</v>
      </c>
      <c r="DY166" s="1">
        <f t="shared" si="265"/>
        <v>121.56829062337357</v>
      </c>
      <c r="EB166" s="2">
        <v>4.4000000000000004</v>
      </c>
      <c r="EL166">
        <v>2011</v>
      </c>
      <c r="EM166" s="157" t="s">
        <v>714</v>
      </c>
      <c r="EN166" t="s">
        <v>841</v>
      </c>
      <c r="EO166">
        <v>325.37099999999998</v>
      </c>
      <c r="EP166" t="e">
        <f t="shared" si="250"/>
        <v>#VALUE!</v>
      </c>
    </row>
    <row r="167" spans="1:146" s="72" customFormat="1" x14ac:dyDescent="0.25">
      <c r="A167" s="73">
        <v>2011</v>
      </c>
      <c r="B167" s="69" t="s">
        <v>705</v>
      </c>
      <c r="D167" s="285">
        <v>305.16500000000002</v>
      </c>
      <c r="E167" s="33">
        <v>10.172166666666667</v>
      </c>
      <c r="F167" s="33">
        <v>8.9548694444444443</v>
      </c>
      <c r="G167" s="6">
        <v>11.613</v>
      </c>
      <c r="H167" s="6"/>
      <c r="I167" s="285"/>
      <c r="J167" s="6"/>
      <c r="K167" s="6"/>
      <c r="L167" s="6"/>
      <c r="M167" s="34"/>
      <c r="N167" s="285">
        <v>114.711</v>
      </c>
      <c r="O167" s="71">
        <v>3.8237000000000001</v>
      </c>
      <c r="P167" s="33">
        <v>3.497626920122888</v>
      </c>
      <c r="Q167" s="6">
        <v>7.0030000000000001</v>
      </c>
      <c r="R167" s="34"/>
      <c r="S167" s="285">
        <v>191.16900000000001</v>
      </c>
      <c r="T167" s="71">
        <v>6.3723000000000001</v>
      </c>
      <c r="U167" s="33">
        <v>5.4424951612903234</v>
      </c>
      <c r="V167" s="6">
        <v>10.627000000000001</v>
      </c>
      <c r="W167" s="187"/>
      <c r="X167" s="285">
        <v>661.46600000000001</v>
      </c>
      <c r="Y167" s="71">
        <v>22.048866666666665</v>
      </c>
      <c r="Z167" s="33">
        <v>19.643518529185869</v>
      </c>
      <c r="AA167" s="6">
        <v>30.491</v>
      </c>
      <c r="AB167" s="34"/>
      <c r="AC167" s="298">
        <v>852.63499999999999</v>
      </c>
      <c r="AD167" s="33">
        <v>28.421166666666668</v>
      </c>
      <c r="AE167" s="33">
        <v>25.086013690476193</v>
      </c>
      <c r="AF167" s="36">
        <v>41.118000000000002</v>
      </c>
      <c r="AG167" s="34"/>
      <c r="AH167" s="285">
        <v>1858.386</v>
      </c>
      <c r="AI167" s="71">
        <v>61.946199999999997</v>
      </c>
      <c r="AJ167" s="33">
        <v>57.339187781618016</v>
      </c>
      <c r="AK167" s="6">
        <v>96.3</v>
      </c>
      <c r="AL167" s="34"/>
      <c r="AM167" s="285">
        <v>23.81</v>
      </c>
      <c r="AN167" s="71">
        <v>0.79366666666666663</v>
      </c>
      <c r="AO167" s="33">
        <v>0.58137399513568877</v>
      </c>
      <c r="AP167" s="21" t="s">
        <v>776</v>
      </c>
      <c r="AQ167" s="34"/>
      <c r="AR167" s="285">
        <v>98.102999999999994</v>
      </c>
      <c r="AS167" s="71">
        <v>3.2700999999999998</v>
      </c>
      <c r="AT167" s="33">
        <v>3.6839810227854577</v>
      </c>
      <c r="AU167" s="21" t="s">
        <v>776</v>
      </c>
      <c r="AV167" s="34"/>
      <c r="AW167" s="285">
        <v>12.997999999999999</v>
      </c>
      <c r="AX167" s="71">
        <v>0.43326666666666663</v>
      </c>
      <c r="AY167" s="33">
        <v>0.25388356374807991</v>
      </c>
      <c r="AZ167" s="21" t="s">
        <v>776</v>
      </c>
      <c r="BA167" s="34"/>
      <c r="BB167" s="285">
        <v>26.645</v>
      </c>
      <c r="BC167" s="71">
        <v>0.88816666666666666</v>
      </c>
      <c r="BD167" s="33">
        <v>0.7969748143881209</v>
      </c>
      <c r="BE167" s="21" t="s">
        <v>776</v>
      </c>
      <c r="BF167" s="34"/>
      <c r="BG167" s="285">
        <v>25.077999999999999</v>
      </c>
      <c r="BH167" s="71">
        <v>0.83593333333333331</v>
      </c>
      <c r="BI167" s="33">
        <v>0.74326790194572456</v>
      </c>
      <c r="BJ167" s="21" t="s">
        <v>776</v>
      </c>
      <c r="BK167" s="34"/>
      <c r="BL167" s="285">
        <v>130.84145547945207</v>
      </c>
      <c r="BM167" s="71">
        <v>4.3613818493150687</v>
      </c>
      <c r="BN167" s="33">
        <v>4.6424246432648397</v>
      </c>
      <c r="BO167" s="21" t="s">
        <v>776</v>
      </c>
      <c r="BP167" s="34"/>
      <c r="BQ167" s="284">
        <v>10.14</v>
      </c>
      <c r="BR167" s="34">
        <v>0.33800000000000002</v>
      </c>
      <c r="BS167" s="33">
        <v>0.3409804595494112</v>
      </c>
      <c r="BT167" s="21" t="s">
        <v>776</v>
      </c>
      <c r="BU167" s="34"/>
      <c r="BV167" s="284">
        <v>6.391</v>
      </c>
      <c r="BW167" s="34">
        <v>0.21303333333333332</v>
      </c>
      <c r="BX167" s="33">
        <v>0.19684620455709168</v>
      </c>
      <c r="BY167" s="21" t="s">
        <v>776</v>
      </c>
      <c r="BZ167" s="34"/>
      <c r="CA167" s="285">
        <v>12.999000000000001</v>
      </c>
      <c r="CB167" s="71">
        <v>0.43330000000000002</v>
      </c>
      <c r="CC167" s="33">
        <v>0.39676102790578599</v>
      </c>
      <c r="CD167" s="21" t="s">
        <v>776</v>
      </c>
      <c r="CE167" s="34"/>
      <c r="CF167" s="285">
        <v>40.23533219178082</v>
      </c>
      <c r="CG167" s="71">
        <v>1.3411777397260274</v>
      </c>
      <c r="CH167" s="33">
        <v>1.3411777397260278</v>
      </c>
      <c r="CI167" s="21" t="s">
        <v>776</v>
      </c>
      <c r="CJ167" s="34"/>
      <c r="CK167" s="285">
        <v>71.578000000000003</v>
      </c>
      <c r="CL167" s="71">
        <v>2.3859333333333335</v>
      </c>
      <c r="CM167" s="33">
        <v>2.7757724206349201</v>
      </c>
      <c r="CN167" s="6">
        <v>9.2230000000000008</v>
      </c>
      <c r="CO167" s="34"/>
      <c r="CP167" s="285">
        <v>200.94200000000001</v>
      </c>
      <c r="CQ167" s="71">
        <v>6.6980666666666666</v>
      </c>
      <c r="CR167" s="33">
        <v>6.9057656746031739</v>
      </c>
      <c r="CS167" s="6">
        <v>11.238</v>
      </c>
      <c r="CT167" s="34"/>
      <c r="CU167" s="285">
        <v>205.92599999999999</v>
      </c>
      <c r="CV167" s="71">
        <v>6.8641999999999994</v>
      </c>
      <c r="CW167" s="33">
        <v>6.9165970430107535</v>
      </c>
      <c r="CX167" s="6">
        <v>10.816000000000001</v>
      </c>
      <c r="CY167" s="6"/>
      <c r="CZ167" s="270">
        <v>29.472999999999999</v>
      </c>
      <c r="DA167" s="71">
        <v>0.98243333333333327</v>
      </c>
      <c r="DB167" s="34"/>
      <c r="DC167" s="285">
        <v>12.899712328767121</v>
      </c>
      <c r="DD167" s="71">
        <v>0.42999041095890406</v>
      </c>
      <c r="DE167" s="33">
        <v>0.43343847031963473</v>
      </c>
      <c r="DF167" s="21" t="s">
        <v>776</v>
      </c>
      <c r="DH167" s="284">
        <f>DI167*30</f>
        <v>69.765332191780828</v>
      </c>
      <c r="DI167" s="1">
        <f t="shared" si="246"/>
        <v>2.3255110730593609</v>
      </c>
      <c r="DJ167" s="1">
        <f t="shared" si="266"/>
        <v>2.275765431738316</v>
      </c>
      <c r="DK167" s="1"/>
      <c r="DL167" s="1"/>
      <c r="DM167" s="284">
        <f>DN167*30</f>
        <v>3378.6071232876711</v>
      </c>
      <c r="DN167" s="1">
        <f t="shared" si="247"/>
        <v>112.62023744292237</v>
      </c>
      <c r="DO167" s="1">
        <f t="shared" si="264"/>
        <v>103.30382445730226</v>
      </c>
      <c r="DR167" s="284">
        <f>DS167*30</f>
        <v>520.81871232876711</v>
      </c>
      <c r="DS167" s="1">
        <f t="shared" si="267"/>
        <v>17.360623744292237</v>
      </c>
      <c r="DT167" s="1" t="e">
        <f>SUM(CM167+CR167+CW167+#REF!+DE167)</f>
        <v>#REF!</v>
      </c>
      <c r="DW167" s="284">
        <f>DX167*30</f>
        <v>3899.4258356164382</v>
      </c>
      <c r="DX167" s="1">
        <f t="shared" ref="DX167:DX172" si="268">SUM(DN167+DS167)</f>
        <v>129.9808611872146</v>
      </c>
      <c r="DY167" s="1">
        <f t="shared" si="265"/>
        <v>121.09397023048923</v>
      </c>
      <c r="EB167" s="2">
        <v>3.2</v>
      </c>
      <c r="EL167" s="72">
        <v>2011</v>
      </c>
      <c r="EM167" s="157" t="s">
        <v>705</v>
      </c>
      <c r="EN167" t="s">
        <v>841</v>
      </c>
      <c r="EO167">
        <v>305.16500000000002</v>
      </c>
      <c r="EP167" t="e">
        <f t="shared" si="250"/>
        <v>#VALUE!</v>
      </c>
    </row>
    <row r="168" spans="1:146" s="80" customFormat="1" x14ac:dyDescent="0.25">
      <c r="A168" s="264">
        <v>2011</v>
      </c>
      <c r="B168" s="79" t="s">
        <v>715</v>
      </c>
      <c r="D168" s="285">
        <v>297.14600000000002</v>
      </c>
      <c r="E168" s="82">
        <v>9.5853548387096783</v>
      </c>
      <c r="F168" s="82">
        <v>9.0278156810035828</v>
      </c>
      <c r="G168" s="81">
        <v>11.492000000000001</v>
      </c>
      <c r="H168" s="81"/>
      <c r="I168" s="285"/>
      <c r="J168" s="81"/>
      <c r="K168" s="81"/>
      <c r="L168" s="81"/>
      <c r="M168" s="83"/>
      <c r="N168" s="285">
        <v>114.78400000000001</v>
      </c>
      <c r="O168" s="84">
        <v>3.7027096774193549</v>
      </c>
      <c r="P168" s="82">
        <v>3.4995435867895548</v>
      </c>
      <c r="Q168" s="81">
        <v>6.2270000000000003</v>
      </c>
      <c r="R168" s="83"/>
      <c r="S168" s="285">
        <v>176.958</v>
      </c>
      <c r="T168" s="84">
        <v>5.7083225806451612</v>
      </c>
      <c r="U168" s="82">
        <v>5.4039709677419365</v>
      </c>
      <c r="V168" s="81">
        <v>8.6530000000000005</v>
      </c>
      <c r="W168" s="188"/>
      <c r="X168" s="285">
        <v>628.49599999999998</v>
      </c>
      <c r="Y168" s="84">
        <v>20.27406451612903</v>
      </c>
      <c r="Z168" s="82">
        <v>19.584693260368663</v>
      </c>
      <c r="AA168" s="81">
        <v>26.291</v>
      </c>
      <c r="AB168" s="83"/>
      <c r="AC168" s="298">
        <v>1075.454</v>
      </c>
      <c r="AD168" s="82">
        <v>34.69206451612903</v>
      </c>
      <c r="AE168" s="82">
        <v>25.714470679723505</v>
      </c>
      <c r="AF168" s="85">
        <v>34.944000000000003</v>
      </c>
      <c r="AG168" s="83"/>
      <c r="AH168" s="285">
        <v>1789.61</v>
      </c>
      <c r="AI168" s="84">
        <v>57.729354838709675</v>
      </c>
      <c r="AJ168" s="82">
        <v>57.287615200972859</v>
      </c>
      <c r="AK168" s="81">
        <v>100.1</v>
      </c>
      <c r="AL168" s="83"/>
      <c r="AM168" s="285">
        <v>20.58</v>
      </c>
      <c r="AN168" s="84">
        <v>0.66387096774193544</v>
      </c>
      <c r="AO168" s="82">
        <v>0.59709173707117258</v>
      </c>
      <c r="AP168" s="77" t="s">
        <v>776</v>
      </c>
      <c r="AQ168" s="83"/>
      <c r="AR168" s="285">
        <v>126.001</v>
      </c>
      <c r="AS168" s="84">
        <v>4.0645483870967745</v>
      </c>
      <c r="AT168" s="82">
        <v>3.7828009152585764</v>
      </c>
      <c r="AU168" s="77" t="s">
        <v>776</v>
      </c>
      <c r="AV168" s="83"/>
      <c r="AW168" s="285">
        <v>11.148</v>
      </c>
      <c r="AX168" s="84">
        <v>0.35961290322580647</v>
      </c>
      <c r="AY168" s="82">
        <v>0.2667007680491551</v>
      </c>
      <c r="AZ168" s="77" t="s">
        <v>776</v>
      </c>
      <c r="BA168" s="83"/>
      <c r="BB168" s="285">
        <v>24.664000000000001</v>
      </c>
      <c r="BC168" s="84">
        <v>0.79561290322580647</v>
      </c>
      <c r="BD168" s="82">
        <v>0.7981280401945724</v>
      </c>
      <c r="BE168" s="86" t="s">
        <v>776</v>
      </c>
      <c r="BF168" s="83"/>
      <c r="BG168" s="285">
        <v>20.238</v>
      </c>
      <c r="BH168" s="84">
        <v>0.6528387096774193</v>
      </c>
      <c r="BI168" s="82">
        <v>0.72382704173067081</v>
      </c>
      <c r="BJ168" s="86" t="s">
        <v>776</v>
      </c>
      <c r="BK168" s="83"/>
      <c r="BL168" s="285">
        <v>135.20283732876712</v>
      </c>
      <c r="BM168" s="84">
        <v>4.3613818493150687</v>
      </c>
      <c r="BN168" s="82">
        <v>4.5862160844748852</v>
      </c>
      <c r="BO168" s="77" t="s">
        <v>776</v>
      </c>
      <c r="BP168" s="83"/>
      <c r="BQ168" s="284">
        <v>9.9220000000000006</v>
      </c>
      <c r="BR168" s="83">
        <v>0.32006451612903225</v>
      </c>
      <c r="BS168" s="82">
        <v>0.33838099718381981</v>
      </c>
      <c r="BT168" s="86" t="s">
        <v>776</v>
      </c>
      <c r="BU168" s="83"/>
      <c r="BV168" s="284">
        <v>4.7850000000000001</v>
      </c>
      <c r="BW168" s="83">
        <v>0.15435483870967742</v>
      </c>
      <c r="BX168" s="82">
        <v>0.1950827636968766</v>
      </c>
      <c r="BY168" s="77" t="s">
        <v>776</v>
      </c>
      <c r="BZ168" s="83"/>
      <c r="CA168" s="285">
        <v>12.301</v>
      </c>
      <c r="CB168" s="84">
        <v>0.39680645161290323</v>
      </c>
      <c r="CC168" s="82">
        <v>0.39423683435739892</v>
      </c>
      <c r="CD168" s="86" t="s">
        <v>776</v>
      </c>
      <c r="CE168" s="83"/>
      <c r="CF168" s="285">
        <v>41.576509931506848</v>
      </c>
      <c r="CG168" s="84">
        <v>1.3411777397260274</v>
      </c>
      <c r="CH168" s="82">
        <v>1.3411777397260278</v>
      </c>
      <c r="CI168" s="86" t="s">
        <v>776</v>
      </c>
      <c r="CJ168" s="83"/>
      <c r="CK168" s="285">
        <v>64.783000000000001</v>
      </c>
      <c r="CL168" s="84">
        <v>2.0897741935483873</v>
      </c>
      <c r="CM168" s="82">
        <v>2.6811702700972861</v>
      </c>
      <c r="CN168" s="81">
        <v>6.33</v>
      </c>
      <c r="CO168" s="83"/>
      <c r="CP168" s="285">
        <v>200.309</v>
      </c>
      <c r="CQ168" s="84">
        <v>6.4615806451612903</v>
      </c>
      <c r="CR168" s="82">
        <v>6.7583382552483355</v>
      </c>
      <c r="CS168" s="81">
        <v>9.8070000000000004</v>
      </c>
      <c r="CT168" s="83"/>
      <c r="CU168" s="285">
        <v>206.57300000000001</v>
      </c>
      <c r="CV168" s="84">
        <v>6.6636451612903231</v>
      </c>
      <c r="CW168" s="82">
        <v>6.9329787634408602</v>
      </c>
      <c r="CX168" s="81">
        <v>5.1230000000000002</v>
      </c>
      <c r="CY168" s="81"/>
      <c r="CZ168" s="270">
        <v>26.645</v>
      </c>
      <c r="DA168" s="84">
        <v>0.85951612903225805</v>
      </c>
      <c r="DB168" s="83"/>
      <c r="DC168" s="285">
        <v>13.329702739726025</v>
      </c>
      <c r="DD168" s="84">
        <v>0.42999041095890406</v>
      </c>
      <c r="DE168" s="82">
        <v>0.43274885844748856</v>
      </c>
      <c r="DF168" s="77" t="s">
        <v>776</v>
      </c>
      <c r="DH168" s="284">
        <f>DI168*31</f>
        <v>68.584509931506844</v>
      </c>
      <c r="DI168" s="77">
        <f t="shared" ref="DI168:DI199" si="269">SUM(BR168+BW168+CB168+CG168)</f>
        <v>2.2124035461776401</v>
      </c>
      <c r="DJ168" s="77">
        <f t="shared" si="266"/>
        <v>2.2688783349641226</v>
      </c>
      <c r="DM168" s="284">
        <f>DN168*31</f>
        <v>3546.2433273972601</v>
      </c>
      <c r="DN168" s="77">
        <f t="shared" ref="DN168:DN196" si="270">SUM(E168+O168+AD168+AI168+AN168+AS168+AX168+BC168+BH168+BM168-DI168)</f>
        <v>114.39494604507291</v>
      </c>
      <c r="DO168" s="77">
        <f t="shared" ref="DO168:DO173" si="271">SUM(DN157:DN168)/12</f>
        <v>104.01531751141552</v>
      </c>
      <c r="DR168" s="284">
        <f>DS168*31</f>
        <v>511.63970273972603</v>
      </c>
      <c r="DS168" s="77">
        <f t="shared" si="267"/>
        <v>16.504506539991162</v>
      </c>
      <c r="DT168" s="77" t="e">
        <f>SUM(CM168+CR168+CW168+#REF!+DE168)</f>
        <v>#REF!</v>
      </c>
      <c r="DW168" s="284">
        <f>DX168*31</f>
        <v>4057.8830301369862</v>
      </c>
      <c r="DX168" s="77">
        <f t="shared" si="268"/>
        <v>130.89945258506407</v>
      </c>
      <c r="DY168" s="77">
        <f t="shared" ref="DY168:DY173" si="272">SUM(DX157:DX168)/12</f>
        <v>121.57868496305294</v>
      </c>
      <c r="EB168" s="78">
        <v>1.7</v>
      </c>
      <c r="EL168" s="80">
        <v>2011</v>
      </c>
      <c r="EM168" s="157" t="s">
        <v>715</v>
      </c>
      <c r="EN168" t="s">
        <v>841</v>
      </c>
      <c r="EO168">
        <v>297.14600000000002</v>
      </c>
      <c r="EP168" t="e">
        <f t="shared" si="250"/>
        <v>#VALUE!</v>
      </c>
    </row>
    <row r="169" spans="1:146" x14ac:dyDescent="0.25">
      <c r="A169" s="8">
        <v>2011</v>
      </c>
      <c r="B169" t="s">
        <v>718</v>
      </c>
      <c r="D169" s="284">
        <v>284.584</v>
      </c>
      <c r="E169" s="1">
        <v>9.4861333333333331</v>
      </c>
      <c r="F169" s="1">
        <v>9.0947823476702503</v>
      </c>
      <c r="G169" s="1">
        <v>12.199</v>
      </c>
      <c r="M169" s="1"/>
      <c r="N169" s="284">
        <v>105.292</v>
      </c>
      <c r="O169" s="1">
        <v>3.5097333333333336</v>
      </c>
      <c r="P169" s="1">
        <v>3.4952241423451107</v>
      </c>
      <c r="Q169" s="1">
        <v>5.9569999999999999</v>
      </c>
      <c r="R169" s="1"/>
      <c r="S169" s="284">
        <v>152.672</v>
      </c>
      <c r="T169" s="1">
        <v>5.0890666666666666</v>
      </c>
      <c r="U169" s="1">
        <v>5.3651709677419355</v>
      </c>
      <c r="V169" s="1">
        <v>7.5830000000000002</v>
      </c>
      <c r="W169" s="88"/>
      <c r="X169" s="284">
        <v>576.71799999999996</v>
      </c>
      <c r="Y169" s="1">
        <v>19.223933333333331</v>
      </c>
      <c r="Z169" s="1">
        <v>20.268474711981565</v>
      </c>
      <c r="AA169" s="1">
        <v>24.350999999999999</v>
      </c>
      <c r="AB169" s="1"/>
      <c r="AC169" s="284">
        <v>729.39</v>
      </c>
      <c r="AD169" s="1">
        <v>24.312999999999999</v>
      </c>
      <c r="AE169" s="1">
        <v>25.6336456797235</v>
      </c>
      <c r="AF169" s="1">
        <v>31.933999999999997</v>
      </c>
      <c r="AG169" s="1"/>
      <c r="AH169" s="284">
        <v>1499.55</v>
      </c>
      <c r="AI169" s="1">
        <v>49.984999999999999</v>
      </c>
      <c r="AJ169" s="1">
        <v>56.934904089861753</v>
      </c>
      <c r="AK169" s="1">
        <v>92.6</v>
      </c>
      <c r="AL169" s="1"/>
      <c r="AM169" s="284">
        <v>18.649999999999999</v>
      </c>
      <c r="AN169" s="1">
        <v>0.62166666666666659</v>
      </c>
      <c r="AO169" s="1">
        <v>0.60266118151561698</v>
      </c>
      <c r="AP169" s="1" t="s">
        <v>776</v>
      </c>
      <c r="AQ169" s="1"/>
      <c r="AR169" s="284">
        <v>112.298</v>
      </c>
      <c r="AS169" s="1">
        <v>3.7432666666666665</v>
      </c>
      <c r="AT169" s="1">
        <v>3.7801675819252427</v>
      </c>
      <c r="AU169" s="1" t="s">
        <v>776</v>
      </c>
      <c r="AV169" s="1"/>
      <c r="AW169" s="284">
        <v>10.305</v>
      </c>
      <c r="AX169" s="1">
        <v>0.34349999999999997</v>
      </c>
      <c r="AY169" s="1">
        <v>0.28319521249359952</v>
      </c>
      <c r="AZ169" s="1" t="s">
        <v>776</v>
      </c>
      <c r="BA169" s="1"/>
      <c r="BB169" s="284">
        <v>23.167999999999999</v>
      </c>
      <c r="BC169" s="1">
        <v>0.77226666666666666</v>
      </c>
      <c r="BD169" s="1">
        <v>0.79991970686123925</v>
      </c>
      <c r="BE169" s="1" t="s">
        <v>776</v>
      </c>
      <c r="BF169" s="1"/>
      <c r="BG169" s="284">
        <v>17.016999999999999</v>
      </c>
      <c r="BH169" s="1">
        <v>0.56723333333333337</v>
      </c>
      <c r="BI169" s="1">
        <v>0.7163937083973374</v>
      </c>
      <c r="BJ169" s="1" t="s">
        <v>776</v>
      </c>
      <c r="BK169" s="1"/>
      <c r="BL169" s="284">
        <v>130.84145547945207</v>
      </c>
      <c r="BM169" s="1">
        <v>4.3613818493150687</v>
      </c>
      <c r="BN169" s="1">
        <v>4.5300075256849306</v>
      </c>
      <c r="BO169" s="1" t="s">
        <v>776</v>
      </c>
      <c r="BP169" s="1"/>
      <c r="BQ169" s="284">
        <v>9.6370000000000005</v>
      </c>
      <c r="BR169" s="1">
        <v>0.32123333333333337</v>
      </c>
      <c r="BS169" s="1">
        <v>0.33594210829493093</v>
      </c>
      <c r="BT169" s="1" t="s">
        <v>776</v>
      </c>
      <c r="BU169" s="1"/>
      <c r="BV169" s="284">
        <v>4.5019999999999998</v>
      </c>
      <c r="BW169" s="1">
        <v>0.15006666666666665</v>
      </c>
      <c r="BX169" s="1">
        <v>0.19446331925243213</v>
      </c>
      <c r="BY169" s="1" t="s">
        <v>776</v>
      </c>
      <c r="BZ169" s="1"/>
      <c r="CA169" s="284">
        <v>11.387</v>
      </c>
      <c r="CB169" s="1">
        <v>0.37956666666666666</v>
      </c>
      <c r="CC169" s="1">
        <v>0.39315627880184328</v>
      </c>
      <c r="CD169" s="1" t="s">
        <v>776</v>
      </c>
      <c r="CE169" s="1"/>
      <c r="CF169" s="284">
        <v>40.23533219178082</v>
      </c>
      <c r="CG169" s="1">
        <v>1.3411777397260274</v>
      </c>
      <c r="CH169" s="1">
        <v>1.3411777397260278</v>
      </c>
      <c r="CI169" s="1" t="s">
        <v>776</v>
      </c>
      <c r="CJ169" s="1"/>
      <c r="CK169" s="284">
        <v>66.441000000000003</v>
      </c>
      <c r="CL169" s="1">
        <v>2.2147000000000001</v>
      </c>
      <c r="CM169" s="1">
        <v>2.6944258256528411</v>
      </c>
      <c r="CN169" s="1">
        <v>6.5019999999999998</v>
      </c>
      <c r="CO169" s="1"/>
      <c r="CP169" s="284">
        <v>181.18799999999999</v>
      </c>
      <c r="CQ169" s="1">
        <v>6.0395999999999992</v>
      </c>
      <c r="CR169" s="1">
        <v>6.5783576996927797</v>
      </c>
      <c r="CS169" s="1">
        <v>9.1910000000000007</v>
      </c>
      <c r="CT169" s="1"/>
      <c r="CU169" s="284">
        <v>190.92099999999999</v>
      </c>
      <c r="CV169" s="1">
        <v>6.3640333333333334</v>
      </c>
      <c r="CW169" s="1">
        <v>6.9196620967741937</v>
      </c>
      <c r="CX169" s="1">
        <v>8.9169999999999998</v>
      </c>
      <c r="CZ169" s="269">
        <v>21.716000000000001</v>
      </c>
      <c r="DA169" s="1">
        <v>0.72386666666666666</v>
      </c>
      <c r="DB169" s="1"/>
      <c r="DC169" s="284">
        <v>12.899712328767121</v>
      </c>
      <c r="DD169" s="1">
        <v>0.42999041095890406</v>
      </c>
      <c r="DE169" s="1">
        <v>0.43205924657534239</v>
      </c>
      <c r="DF169" s="1" t="s">
        <v>776</v>
      </c>
      <c r="DG169" s="1"/>
      <c r="DH169" s="284">
        <f>DI169*30</f>
        <v>65.761332191780809</v>
      </c>
      <c r="DI169" s="1">
        <f t="shared" si="269"/>
        <v>2.1920444063926938</v>
      </c>
      <c r="DJ169" s="1">
        <f t="shared" ref="DJ169:DJ178" si="273">SUM(DI158:DI169)/12</f>
        <v>2.2647394460752333</v>
      </c>
      <c r="DK169" s="1"/>
      <c r="DL169" s="1"/>
      <c r="DM169" s="284">
        <f>DN169*30</f>
        <v>2865.3341232876719</v>
      </c>
      <c r="DN169" s="1">
        <f t="shared" si="270"/>
        <v>95.51113744292239</v>
      </c>
      <c r="DO169" s="1">
        <f t="shared" si="271"/>
        <v>103.60614784151444</v>
      </c>
      <c r="DP169" s="1"/>
      <c r="DQ169" s="1"/>
      <c r="DR169" s="284">
        <f>DS169*30</f>
        <v>473.16571232876709</v>
      </c>
      <c r="DS169" s="1">
        <f t="shared" si="267"/>
        <v>15.772190410958903</v>
      </c>
      <c r="DT169" s="1" t="e">
        <f>SUM(CM169+CR169+CW169+#REF!+DE169)</f>
        <v>#REF!</v>
      </c>
      <c r="DU169" s="1"/>
      <c r="DV169" s="1"/>
      <c r="DW169" s="284">
        <f>DX169*30</f>
        <v>3338.4998356164388</v>
      </c>
      <c r="DX169" s="1">
        <f t="shared" si="268"/>
        <v>111.28332785388129</v>
      </c>
      <c r="DY169" s="1">
        <f t="shared" si="272"/>
        <v>120.98856734794641</v>
      </c>
      <c r="EB169" s="2">
        <v>1.68</v>
      </c>
      <c r="EL169">
        <v>2011</v>
      </c>
      <c r="EM169" s="157" t="s">
        <v>718</v>
      </c>
      <c r="EN169" t="s">
        <v>841</v>
      </c>
      <c r="EO169">
        <v>284.584</v>
      </c>
      <c r="EP169" t="e">
        <f t="shared" si="250"/>
        <v>#VALUE!</v>
      </c>
    </row>
    <row r="170" spans="1:146" x14ac:dyDescent="0.25">
      <c r="A170" s="73">
        <v>2011</v>
      </c>
      <c r="B170" s="69" t="s">
        <v>716</v>
      </c>
      <c r="C170" s="72"/>
      <c r="D170" s="284">
        <v>262.69499999999999</v>
      </c>
      <c r="E170" s="1">
        <v>8.4740322580645167</v>
      </c>
      <c r="F170" s="1">
        <v>9.1152312724014326</v>
      </c>
      <c r="G170" s="1">
        <v>10.500999999999999</v>
      </c>
      <c r="M170" s="1"/>
      <c r="N170" s="284">
        <v>103.535</v>
      </c>
      <c r="O170" s="1">
        <v>3.3398387096774194</v>
      </c>
      <c r="P170" s="1">
        <v>3.4893558627752177</v>
      </c>
      <c r="Q170" s="1">
        <v>5.7519999999999998</v>
      </c>
      <c r="R170" s="1"/>
      <c r="S170" s="284">
        <v>140.554</v>
      </c>
      <c r="T170" s="1">
        <v>4.5339999999999998</v>
      </c>
      <c r="U170" s="1">
        <v>5.3421924731182804</v>
      </c>
      <c r="V170" s="1">
        <v>9.4120000000000008</v>
      </c>
      <c r="W170" s="88"/>
      <c r="X170" s="284">
        <v>555.17700000000002</v>
      </c>
      <c r="Y170" s="1">
        <v>17.90893548387097</v>
      </c>
      <c r="Z170" s="1">
        <v>20.259869873271889</v>
      </c>
      <c r="AA170" s="1">
        <v>28.062999999999999</v>
      </c>
      <c r="AB170" s="1"/>
      <c r="AC170" s="284">
        <v>695.73099999999999</v>
      </c>
      <c r="AD170" s="1">
        <v>22.442935483870968</v>
      </c>
      <c r="AE170" s="1">
        <v>25.60206234639017</v>
      </c>
      <c r="AF170" s="1">
        <v>37.475000000000001</v>
      </c>
      <c r="AG170" s="1"/>
      <c r="AH170" s="284">
        <v>1535.646</v>
      </c>
      <c r="AI170" s="1">
        <v>49.536967741935484</v>
      </c>
      <c r="AJ170" s="1">
        <v>56.535011616743475</v>
      </c>
      <c r="AK170" s="1">
        <v>115.1</v>
      </c>
      <c r="AL170" s="1"/>
      <c r="AM170" s="284">
        <v>17.855</v>
      </c>
      <c r="AN170" s="1">
        <v>0.57596774193548383</v>
      </c>
      <c r="AO170" s="1">
        <v>0.60643537506400413</v>
      </c>
      <c r="AP170" s="1" t="s">
        <v>776</v>
      </c>
      <c r="AQ170" s="1"/>
      <c r="AR170" s="284">
        <v>113.413</v>
      </c>
      <c r="AS170" s="1">
        <v>3.6584838709677419</v>
      </c>
      <c r="AT170" s="1">
        <v>3.808643388376856</v>
      </c>
      <c r="AU170" s="1" t="s">
        <v>776</v>
      </c>
      <c r="AV170" s="1"/>
      <c r="AW170" s="284">
        <v>9.8059999999999992</v>
      </c>
      <c r="AX170" s="1">
        <v>0.31632258064516128</v>
      </c>
      <c r="AY170" s="1">
        <v>0.29088607270865335</v>
      </c>
      <c r="AZ170" s="1" t="s">
        <v>776</v>
      </c>
      <c r="BA170" s="1"/>
      <c r="BB170" s="284">
        <v>24.265999999999998</v>
      </c>
      <c r="BC170" s="1">
        <v>0.78277419354838707</v>
      </c>
      <c r="BD170" s="1">
        <v>0.80255142729134665</v>
      </c>
      <c r="BE170" s="1" t="s">
        <v>776</v>
      </c>
      <c r="BF170" s="1"/>
      <c r="BG170" s="284">
        <v>15.782</v>
      </c>
      <c r="BH170" s="1">
        <v>0.50909677419354837</v>
      </c>
      <c r="BI170" s="1">
        <v>0.70725392345110094</v>
      </c>
      <c r="BJ170" s="1" t="s">
        <v>776</v>
      </c>
      <c r="BK170" s="1"/>
      <c r="BL170" s="284">
        <v>135.20283732876712</v>
      </c>
      <c r="BM170" s="1">
        <v>4.3613818493150687</v>
      </c>
      <c r="BN170" s="1">
        <v>4.4737989668949769</v>
      </c>
      <c r="BO170" s="1" t="s">
        <v>776</v>
      </c>
      <c r="BP170" s="1"/>
      <c r="BQ170" s="284">
        <v>10.019</v>
      </c>
      <c r="BR170" s="1">
        <v>0.3231935483870968</v>
      </c>
      <c r="BS170" s="1">
        <v>0.3322001728110599</v>
      </c>
      <c r="BT170" s="1" t="s">
        <v>776</v>
      </c>
      <c r="BU170" s="1"/>
      <c r="BV170" s="284">
        <v>4.43</v>
      </c>
      <c r="BW170" s="1">
        <v>0.14290322580645159</v>
      </c>
      <c r="BX170" s="1">
        <v>0.19246063108038916</v>
      </c>
      <c r="BY170" s="1" t="s">
        <v>776</v>
      </c>
      <c r="BZ170" s="1"/>
      <c r="CA170" s="284">
        <v>11.529</v>
      </c>
      <c r="CB170" s="1">
        <v>0.37190322580645163</v>
      </c>
      <c r="CC170" s="1">
        <v>0.39096810675883259</v>
      </c>
      <c r="CD170" s="1" t="s">
        <v>776</v>
      </c>
      <c r="CE170" s="1"/>
      <c r="CF170" s="284">
        <v>41.576509931506848</v>
      </c>
      <c r="CG170" s="1">
        <v>1.3411777397260274</v>
      </c>
      <c r="CH170" s="1">
        <v>1.3411777397260278</v>
      </c>
      <c r="CI170" s="1" t="s">
        <v>776</v>
      </c>
      <c r="CJ170" s="1"/>
      <c r="CK170" s="284">
        <v>54.356000000000002</v>
      </c>
      <c r="CL170" s="1">
        <v>1.7534193548387098</v>
      </c>
      <c r="CM170" s="1">
        <v>2.6987322772657447</v>
      </c>
      <c r="CN170" s="1">
        <v>8.9280000000000008</v>
      </c>
      <c r="CO170" s="1"/>
      <c r="CP170" s="284">
        <v>177.58799999999999</v>
      </c>
      <c r="CQ170" s="1">
        <v>5.7286451612903226</v>
      </c>
      <c r="CR170" s="1">
        <v>6.3503792050691237</v>
      </c>
      <c r="CS170" s="1">
        <v>9.4969999999999999</v>
      </c>
      <c r="CT170" s="1"/>
      <c r="CU170" s="284">
        <v>190.96700000000001</v>
      </c>
      <c r="CV170" s="1">
        <v>6.1602258064516136</v>
      </c>
      <c r="CW170" s="1">
        <v>6.935498118279571</v>
      </c>
      <c r="CX170" s="1">
        <v>10.352</v>
      </c>
      <c r="CZ170" s="269">
        <v>19.413</v>
      </c>
      <c r="DA170" s="1">
        <v>0.62622580645161297</v>
      </c>
      <c r="DB170" s="1"/>
      <c r="DC170" s="284">
        <v>13.329702739726025</v>
      </c>
      <c r="DD170" s="1">
        <v>0.42999041095890406</v>
      </c>
      <c r="DE170" s="1">
        <v>0.43136963470319634</v>
      </c>
      <c r="DF170" s="1" t="s">
        <v>776</v>
      </c>
      <c r="DG170" s="1"/>
      <c r="DH170" s="284">
        <f>DI170*31</f>
        <v>67.554509931506843</v>
      </c>
      <c r="DI170" s="1">
        <f t="shared" si="269"/>
        <v>2.1791777397260272</v>
      </c>
      <c r="DJ170" s="1">
        <f t="shared" si="273"/>
        <v>2.2568066503763089</v>
      </c>
      <c r="DK170" s="1"/>
      <c r="DL170" s="1"/>
      <c r="DM170" s="284">
        <f>DN170*31</f>
        <v>2846.3773273972606</v>
      </c>
      <c r="DN170" s="1">
        <f t="shared" si="270"/>
        <v>91.818623464427759</v>
      </c>
      <c r="DO170" s="1">
        <f t="shared" si="271"/>
        <v>103.17440971283202</v>
      </c>
      <c r="DP170" s="1"/>
      <c r="DQ170" s="1"/>
      <c r="DR170" s="284">
        <f>DS170*31</f>
        <v>455.65370273972604</v>
      </c>
      <c r="DS170" s="1">
        <f t="shared" si="267"/>
        <v>14.698506539991163</v>
      </c>
      <c r="DT170" s="1" t="e">
        <f>SUM(CM170+CR170+CW170+#REF!+DE170)</f>
        <v>#REF!</v>
      </c>
      <c r="DU170" s="1"/>
      <c r="DV170" s="1"/>
      <c r="DW170" s="284">
        <f>DX170*31</f>
        <v>3302.0310301369864</v>
      </c>
      <c r="DX170" s="1">
        <f t="shared" si="268"/>
        <v>106.51713000441892</v>
      </c>
      <c r="DY170" s="1">
        <f t="shared" si="272"/>
        <v>120.34688154287572</v>
      </c>
      <c r="EB170" s="2">
        <v>3.03</v>
      </c>
      <c r="EL170">
        <v>2011</v>
      </c>
      <c r="EM170" s="157" t="s">
        <v>716</v>
      </c>
      <c r="EN170" t="s">
        <v>841</v>
      </c>
      <c r="EO170">
        <v>262.69499999999999</v>
      </c>
      <c r="EP170" t="e">
        <f t="shared" si="250"/>
        <v>#VALUE!</v>
      </c>
    </row>
    <row r="171" spans="1:146" s="72" customFormat="1" x14ac:dyDescent="0.25">
      <c r="A171" s="73">
        <v>2011</v>
      </c>
      <c r="B171" s="69" t="s">
        <v>708</v>
      </c>
      <c r="D171" s="285">
        <v>270.50599999999997</v>
      </c>
      <c r="E171" s="33">
        <v>8.7259999999999991</v>
      </c>
      <c r="F171" s="33">
        <v>9.0090054659498211</v>
      </c>
      <c r="G171" s="6">
        <v>12.595000000000001</v>
      </c>
      <c r="H171" s="6"/>
      <c r="I171" s="285"/>
      <c r="J171" s="6"/>
      <c r="K171" s="6"/>
      <c r="L171" s="6"/>
      <c r="M171" s="74"/>
      <c r="N171" s="285">
        <v>102.14100000000001</v>
      </c>
      <c r="O171" s="71">
        <v>3.2948709677419354</v>
      </c>
      <c r="P171" s="33">
        <v>3.4806596262160778</v>
      </c>
      <c r="Q171" s="6">
        <v>6.0140000000000002</v>
      </c>
      <c r="R171" s="74"/>
      <c r="S171" s="285">
        <v>134.67500000000001</v>
      </c>
      <c r="T171" s="71">
        <v>4.3443548387096778</v>
      </c>
      <c r="U171" s="33">
        <v>5.2869451612903227</v>
      </c>
      <c r="V171" s="6">
        <v>10.477</v>
      </c>
      <c r="W171" s="189"/>
      <c r="X171" s="285">
        <v>532.60900000000004</v>
      </c>
      <c r="Y171" s="71">
        <v>17.180935483870968</v>
      </c>
      <c r="Z171" s="33">
        <v>20.130687077572961</v>
      </c>
      <c r="AA171" s="6">
        <v>28.966000000000001</v>
      </c>
      <c r="AB171" s="74"/>
      <c r="AC171" s="298">
        <v>667.28400000000011</v>
      </c>
      <c r="AD171" s="35">
        <v>21.525290322580648</v>
      </c>
      <c r="AE171" s="35">
        <v>25.417632238863291</v>
      </c>
      <c r="AF171" s="75">
        <v>39.442999999999998</v>
      </c>
      <c r="AG171" s="74"/>
      <c r="AH171" s="285">
        <v>1668.2329999999999</v>
      </c>
      <c r="AI171" s="71">
        <v>53.813967741935485</v>
      </c>
      <c r="AJ171" s="33">
        <v>56.116960541474661</v>
      </c>
      <c r="AK171" s="6">
        <v>204.9</v>
      </c>
      <c r="AL171" s="74"/>
      <c r="AM171" s="285">
        <v>21.021000000000001</v>
      </c>
      <c r="AN171" s="71">
        <v>0.67809677419354841</v>
      </c>
      <c r="AO171" s="33">
        <v>0.61974989119303636</v>
      </c>
      <c r="AP171" s="1" t="s">
        <v>776</v>
      </c>
      <c r="AQ171" s="74"/>
      <c r="AR171" s="285">
        <v>116.379</v>
      </c>
      <c r="AS171" s="71">
        <v>3.7541612903225809</v>
      </c>
      <c r="AT171" s="33">
        <v>3.846987474398361</v>
      </c>
      <c r="AU171" s="88" t="s">
        <v>776</v>
      </c>
      <c r="AV171" s="74"/>
      <c r="AW171" s="285">
        <v>14.205</v>
      </c>
      <c r="AX171" s="71">
        <v>0.45822580645161293</v>
      </c>
      <c r="AY171" s="33">
        <v>0.31242908346134152</v>
      </c>
      <c r="AZ171" s="88" t="s">
        <v>776</v>
      </c>
      <c r="BA171" s="74"/>
      <c r="BB171" s="285">
        <v>26.887</v>
      </c>
      <c r="BC171" s="71">
        <v>0.86732258064516132</v>
      </c>
      <c r="BD171" s="33">
        <v>0.81468045954941115</v>
      </c>
      <c r="BE171" s="88" t="s">
        <v>776</v>
      </c>
      <c r="BF171" s="74"/>
      <c r="BG171" s="285">
        <v>19.649000000000001</v>
      </c>
      <c r="BH171" s="71">
        <v>0.6338387096774194</v>
      </c>
      <c r="BI171" s="33">
        <v>0.70448779441884291</v>
      </c>
      <c r="BJ171" s="6" t="s">
        <v>776</v>
      </c>
      <c r="BK171" s="74"/>
      <c r="BL171" s="285">
        <v>135.20283732876712</v>
      </c>
      <c r="BM171" s="71">
        <v>4.3613818493150687</v>
      </c>
      <c r="BN171" s="33">
        <v>4.4175904081050223</v>
      </c>
      <c r="BO171" s="21" t="s">
        <v>776</v>
      </c>
      <c r="BP171" s="74"/>
      <c r="BQ171" s="284">
        <v>9.3089999999999993</v>
      </c>
      <c r="BR171" s="34">
        <v>0.30029032258064514</v>
      </c>
      <c r="BS171" s="33">
        <v>0.32761415130568361</v>
      </c>
      <c r="BT171" s="21" t="s">
        <v>776</v>
      </c>
      <c r="BU171" s="74"/>
      <c r="BV171" s="284">
        <v>4.0309999999999997</v>
      </c>
      <c r="BW171" s="34">
        <v>0.13003225806451613</v>
      </c>
      <c r="BX171" s="33">
        <v>0.18982353430619558</v>
      </c>
      <c r="BY171" s="21" t="s">
        <v>776</v>
      </c>
      <c r="BZ171" s="74"/>
      <c r="CA171" s="285">
        <v>11.997</v>
      </c>
      <c r="CB171" s="71">
        <v>0.38700000000000001</v>
      </c>
      <c r="CC171" s="33">
        <v>0.39332294546850993</v>
      </c>
      <c r="CD171" s="21" t="s">
        <v>776</v>
      </c>
      <c r="CE171" s="74"/>
      <c r="CF171" s="285">
        <v>41.576509931506848</v>
      </c>
      <c r="CG171" s="71">
        <v>1.3411777397260274</v>
      </c>
      <c r="CH171" s="33">
        <v>1.3411777397260278</v>
      </c>
      <c r="CI171" s="21" t="s">
        <v>776</v>
      </c>
      <c r="CJ171" s="74"/>
      <c r="CK171" s="285">
        <v>81.638000000000005</v>
      </c>
      <c r="CL171" s="71">
        <v>2.6334838709677419</v>
      </c>
      <c r="CM171" s="33">
        <v>2.7457645353302609</v>
      </c>
      <c r="CN171" s="6">
        <v>46.704999999999998</v>
      </c>
      <c r="CO171" s="74"/>
      <c r="CP171" s="285">
        <v>168.75200000000001</v>
      </c>
      <c r="CQ171" s="71">
        <v>5.4436129032258069</v>
      </c>
      <c r="CR171" s="33">
        <v>6.1609813556067605</v>
      </c>
      <c r="CS171" s="6">
        <v>10.419</v>
      </c>
      <c r="CT171" s="74"/>
      <c r="CU171" s="285">
        <v>183.392</v>
      </c>
      <c r="CV171" s="71">
        <v>5.9158709677419354</v>
      </c>
      <c r="CW171" s="33">
        <v>6.9238905913978499</v>
      </c>
      <c r="CX171" s="6">
        <v>10.436999999999999</v>
      </c>
      <c r="CY171" s="6"/>
      <c r="CZ171" s="270">
        <v>18.013000000000002</v>
      </c>
      <c r="DA171" s="71">
        <v>0.58106451612903232</v>
      </c>
      <c r="DB171" s="74"/>
      <c r="DC171" s="285">
        <v>13.329702739726025</v>
      </c>
      <c r="DD171" s="71">
        <v>0.42999041095890406</v>
      </c>
      <c r="DE171" s="33">
        <v>0.43068002283105017</v>
      </c>
      <c r="DF171" s="21" t="s">
        <v>776</v>
      </c>
      <c r="DG171" s="70"/>
      <c r="DH171" s="284">
        <f>DI171*31</f>
        <v>66.913509931506852</v>
      </c>
      <c r="DI171" s="1">
        <f t="shared" si="269"/>
        <v>2.1585003203711888</v>
      </c>
      <c r="DJ171" s="1">
        <f t="shared" si="273"/>
        <v>2.2519383708064162</v>
      </c>
      <c r="DM171" s="284">
        <f>DN171*31</f>
        <v>2974.5943273972607</v>
      </c>
      <c r="DN171" s="1">
        <f t="shared" si="270"/>
        <v>95.954655722492276</v>
      </c>
      <c r="DO171" s="1">
        <f t="shared" si="271"/>
        <v>102.48823072393454</v>
      </c>
      <c r="DR171" s="284">
        <f>DS171*31</f>
        <v>465.12470273972605</v>
      </c>
      <c r="DS171" s="1">
        <f t="shared" si="267"/>
        <v>15.004022669023421</v>
      </c>
      <c r="DT171" s="1" t="e">
        <f>SUM(CM171+CR171+CW171+#REF!+DE171)</f>
        <v>#REF!</v>
      </c>
      <c r="DW171" s="284">
        <f>DX171*31</f>
        <v>3439.7190301369865</v>
      </c>
      <c r="DX171" s="1">
        <f t="shared" si="268"/>
        <v>110.95867839151569</v>
      </c>
      <c r="DY171" s="1">
        <f t="shared" si="272"/>
        <v>119.50094036146093</v>
      </c>
      <c r="EB171" s="2">
        <v>8.92</v>
      </c>
      <c r="EL171" s="72">
        <v>2011</v>
      </c>
      <c r="EM171" s="157" t="s">
        <v>708</v>
      </c>
      <c r="EN171" t="s">
        <v>841</v>
      </c>
      <c r="EO171">
        <v>270.50599999999997</v>
      </c>
      <c r="EP171" t="e">
        <f t="shared" si="250"/>
        <v>#VALUE!</v>
      </c>
    </row>
    <row r="172" spans="1:146" s="72" customFormat="1" x14ac:dyDescent="0.25">
      <c r="A172" s="73">
        <v>2011</v>
      </c>
      <c r="B172" s="69" t="s">
        <v>709</v>
      </c>
      <c r="D172" s="285">
        <v>313.38499999999999</v>
      </c>
      <c r="E172" s="33">
        <v>10.446166666666667</v>
      </c>
      <c r="F172" s="33">
        <v>9.1909332437275975</v>
      </c>
      <c r="G172" s="6">
        <v>17.324000000000002</v>
      </c>
      <c r="H172" s="6"/>
      <c r="I172" s="285"/>
      <c r="J172" s="6"/>
      <c r="K172" s="6"/>
      <c r="L172" s="6"/>
      <c r="M172" s="74"/>
      <c r="N172" s="285">
        <v>111.699</v>
      </c>
      <c r="O172" s="71">
        <v>3.7233000000000001</v>
      </c>
      <c r="P172" s="33">
        <v>3.5023290706605223</v>
      </c>
      <c r="Q172" s="6">
        <v>16.626999999999999</v>
      </c>
      <c r="R172" s="74"/>
      <c r="S172" s="285">
        <v>166.602</v>
      </c>
      <c r="T172" s="71">
        <v>5.5533999999999999</v>
      </c>
      <c r="U172" s="33">
        <v>5.3681201612903218</v>
      </c>
      <c r="V172" s="6">
        <v>17.36</v>
      </c>
      <c r="W172" s="189"/>
      <c r="X172" s="285">
        <v>587.471</v>
      </c>
      <c r="Y172" s="71">
        <v>19.582366666666665</v>
      </c>
      <c r="Z172" s="33">
        <v>19.538575070404509</v>
      </c>
      <c r="AA172" s="6">
        <v>134.05000000000001</v>
      </c>
      <c r="AB172" s="74"/>
      <c r="AC172" s="298">
        <v>754.07299999999998</v>
      </c>
      <c r="AD172" s="35">
        <v>25.135766666666665</v>
      </c>
      <c r="AE172" s="35">
        <v>25.632501683307726</v>
      </c>
      <c r="AF172" s="75">
        <v>151.41000000000003</v>
      </c>
      <c r="AG172" s="74"/>
      <c r="AH172" s="285">
        <v>1940.559</v>
      </c>
      <c r="AI172" s="71">
        <v>64.685299999999998</v>
      </c>
      <c r="AJ172" s="33">
        <v>56.859652208141313</v>
      </c>
      <c r="AK172" s="6">
        <v>226.8</v>
      </c>
      <c r="AL172" s="74"/>
      <c r="AM172" s="285">
        <v>33.485999999999997</v>
      </c>
      <c r="AN172" s="71">
        <v>1.1161999999999999</v>
      </c>
      <c r="AO172" s="33">
        <v>0.66333322452636978</v>
      </c>
      <c r="AP172" s="1" t="s">
        <v>776</v>
      </c>
      <c r="AQ172" s="74"/>
      <c r="AR172" s="285">
        <v>150.02199999999999</v>
      </c>
      <c r="AS172" s="71">
        <v>5.0007333333333328</v>
      </c>
      <c r="AT172" s="33">
        <v>3.949373585509472</v>
      </c>
      <c r="AU172" s="88" t="s">
        <v>776</v>
      </c>
      <c r="AV172" s="74"/>
      <c r="AW172" s="285">
        <v>22.771999999999998</v>
      </c>
      <c r="AX172" s="71">
        <v>0.75906666666666667</v>
      </c>
      <c r="AY172" s="33">
        <v>0.35533186123911925</v>
      </c>
      <c r="AZ172" s="88" t="s">
        <v>776</v>
      </c>
      <c r="BA172" s="74"/>
      <c r="BB172" s="285">
        <v>29.308</v>
      </c>
      <c r="BC172" s="71">
        <v>0.97693333333333332</v>
      </c>
      <c r="BD172" s="33">
        <v>0.81966657066052229</v>
      </c>
      <c r="BE172" s="88" t="s">
        <v>776</v>
      </c>
      <c r="BF172" s="74"/>
      <c r="BG172" s="285">
        <v>25.288</v>
      </c>
      <c r="BH172" s="71">
        <v>0.84293333333333331</v>
      </c>
      <c r="BI172" s="33">
        <v>0.69244334997439827</v>
      </c>
      <c r="BJ172" s="6" t="s">
        <v>776</v>
      </c>
      <c r="BK172" s="74"/>
      <c r="BL172" s="285">
        <v>130.84145547945207</v>
      </c>
      <c r="BM172" s="71">
        <v>4.3613818493150687</v>
      </c>
      <c r="BN172" s="33">
        <v>4.3613818493150678</v>
      </c>
      <c r="BO172" s="21" t="s">
        <v>776</v>
      </c>
      <c r="BP172" s="74"/>
      <c r="BQ172" s="284">
        <v>11.648</v>
      </c>
      <c r="BR172" s="34">
        <v>0.38826666666666665</v>
      </c>
      <c r="BS172" s="33">
        <v>0.3282613735279058</v>
      </c>
      <c r="BT172" s="21" t="s">
        <v>776</v>
      </c>
      <c r="BU172" s="74"/>
      <c r="BV172" s="284">
        <v>6.383</v>
      </c>
      <c r="BW172" s="34">
        <v>0.21276666666666666</v>
      </c>
      <c r="BX172" s="33">
        <v>0.19179853430619556</v>
      </c>
      <c r="BY172" s="21" t="s">
        <v>776</v>
      </c>
      <c r="BZ172" s="74"/>
      <c r="CA172" s="285">
        <v>17.437999999999999</v>
      </c>
      <c r="CB172" s="71">
        <v>0.5812666666666666</v>
      </c>
      <c r="CC172" s="33">
        <v>0.40775072324628781</v>
      </c>
      <c r="CD172" s="21" t="s">
        <v>776</v>
      </c>
      <c r="CE172" s="74"/>
      <c r="CF172" s="285">
        <v>40.23533219178082</v>
      </c>
      <c r="CG172" s="71">
        <v>1.3411777397260274</v>
      </c>
      <c r="CH172" s="33">
        <v>1.3411777397260278</v>
      </c>
      <c r="CI172" s="21" t="s">
        <v>776</v>
      </c>
      <c r="CJ172" s="74"/>
      <c r="CK172" s="285">
        <v>191.21700000000001</v>
      </c>
      <c r="CL172" s="71">
        <v>6.3739000000000008</v>
      </c>
      <c r="CM172" s="33">
        <v>3.0570978686635946</v>
      </c>
      <c r="CN172" s="6">
        <v>19.867999999999999</v>
      </c>
      <c r="CO172" s="74"/>
      <c r="CP172" s="285">
        <v>190.25399999999999</v>
      </c>
      <c r="CQ172" s="71">
        <v>6.3418000000000001</v>
      </c>
      <c r="CR172" s="33">
        <v>6.0492730222734261</v>
      </c>
      <c r="CS172" s="6">
        <v>18.744</v>
      </c>
      <c r="CT172" s="74"/>
      <c r="CU172" s="285">
        <v>190.423</v>
      </c>
      <c r="CV172" s="71">
        <v>6.347433333333333</v>
      </c>
      <c r="CW172" s="33">
        <v>6.9890878136200714</v>
      </c>
      <c r="CX172" s="6">
        <v>16</v>
      </c>
      <c r="CY172" s="6"/>
      <c r="CZ172" s="270">
        <v>23.317</v>
      </c>
      <c r="DA172" s="71">
        <v>0.77723333333333333</v>
      </c>
      <c r="DB172" s="74"/>
      <c r="DC172" s="285">
        <v>12.899712328767121</v>
      </c>
      <c r="DD172" s="71">
        <v>0.42999041095890406</v>
      </c>
      <c r="DE172" s="33">
        <v>0.42999041095890406</v>
      </c>
      <c r="DF172" s="21" t="s">
        <v>776</v>
      </c>
      <c r="DG172" s="70"/>
      <c r="DH172" s="284">
        <f>DI172*30</f>
        <v>75.704332191780821</v>
      </c>
      <c r="DI172" s="1">
        <f t="shared" si="269"/>
        <v>2.5234777397260273</v>
      </c>
      <c r="DJ172" s="1">
        <f t="shared" si="273"/>
        <v>2.2689883708064165</v>
      </c>
      <c r="DM172" s="284">
        <f>DN172*30</f>
        <v>3435.729123287671</v>
      </c>
      <c r="DN172" s="1">
        <f t="shared" si="270"/>
        <v>114.52430410958904</v>
      </c>
      <c r="DO172" s="1">
        <f t="shared" si="271"/>
        <v>103.75795827625574</v>
      </c>
      <c r="DR172" s="284">
        <f>DS172*30</f>
        <v>608.11071232876714</v>
      </c>
      <c r="DS172" s="1">
        <f t="shared" si="267"/>
        <v>20.270357077625572</v>
      </c>
      <c r="DT172" s="1" t="e">
        <f>SUM(CM172+CR172+CW172+#REF!+DE172)</f>
        <v>#REF!</v>
      </c>
      <c r="DU172" s="34" t="e">
        <f>+#REF!+CX172+CS172+CN172</f>
        <v>#REF!</v>
      </c>
      <c r="DW172" s="284">
        <f>DX172*30</f>
        <v>4043.8398356164384</v>
      </c>
      <c r="DX172" s="1">
        <f t="shared" si="268"/>
        <v>134.79466118721461</v>
      </c>
      <c r="DY172" s="1">
        <f t="shared" si="272"/>
        <v>121.04456719079883</v>
      </c>
      <c r="EB172" s="2">
        <v>8.84</v>
      </c>
      <c r="EL172" s="72">
        <v>2011</v>
      </c>
      <c r="EM172" s="157" t="s">
        <v>709</v>
      </c>
      <c r="EN172" t="s">
        <v>841</v>
      </c>
      <c r="EO172">
        <v>313.38499999999999</v>
      </c>
      <c r="EP172" t="e">
        <f t="shared" si="250"/>
        <v>#VALUE!</v>
      </c>
    </row>
    <row r="173" spans="1:146" x14ac:dyDescent="0.25">
      <c r="A173" s="8">
        <v>2011</v>
      </c>
      <c r="B173" t="s">
        <v>710</v>
      </c>
      <c r="D173" s="284">
        <v>270.69600000000003</v>
      </c>
      <c r="E173" s="1">
        <v>8.7321290322580651</v>
      </c>
      <c r="F173" s="1">
        <v>9.1794735663082445</v>
      </c>
      <c r="G173" s="1">
        <v>13.925000000000001</v>
      </c>
      <c r="M173" s="1"/>
      <c r="N173" s="284">
        <v>106.96599999999999</v>
      </c>
      <c r="O173" s="1">
        <v>3.4505161290322577</v>
      </c>
      <c r="P173" s="1">
        <v>3.5048183179723504</v>
      </c>
      <c r="Q173" s="1">
        <v>6.859</v>
      </c>
      <c r="R173" s="1"/>
      <c r="S173" s="284">
        <v>165.648</v>
      </c>
      <c r="T173" s="1">
        <v>5.3434838709677415</v>
      </c>
      <c r="U173" s="1">
        <v>5.3896658602150538</v>
      </c>
      <c r="V173" s="1">
        <v>9.35</v>
      </c>
      <c r="W173" s="88"/>
      <c r="X173" s="284">
        <v>589.42200000000003</v>
      </c>
      <c r="Y173" s="1">
        <v>19.013612903225809</v>
      </c>
      <c r="Z173" s="1">
        <v>19.546228296210959</v>
      </c>
      <c r="AA173" s="1">
        <v>27.026</v>
      </c>
      <c r="AB173" s="1"/>
      <c r="AC173" s="284">
        <v>755.07</v>
      </c>
      <c r="AD173" s="1">
        <v>24.35709677419355</v>
      </c>
      <c r="AE173" s="1">
        <v>24.935894156426013</v>
      </c>
      <c r="AF173" s="1">
        <v>36.375999999999998</v>
      </c>
      <c r="AG173" s="1"/>
      <c r="AH173" s="284">
        <v>1758.579</v>
      </c>
      <c r="AI173" s="1">
        <v>56.728354838709677</v>
      </c>
      <c r="AJ173" s="1">
        <v>56.745872638248848</v>
      </c>
      <c r="AK173" s="1">
        <v>125.8</v>
      </c>
      <c r="AL173" s="1"/>
      <c r="AM173" s="284">
        <v>23.527999999999999</v>
      </c>
      <c r="AN173" s="1">
        <v>0.75896774193548378</v>
      </c>
      <c r="AO173" s="1">
        <v>0.69278214925755244</v>
      </c>
      <c r="AP173" s="1" t="s">
        <v>776</v>
      </c>
      <c r="AQ173" s="1"/>
      <c r="AR173" s="284">
        <v>141.923</v>
      </c>
      <c r="AS173" s="1">
        <v>4.5781612903225808</v>
      </c>
      <c r="AT173" s="1">
        <v>4.0723762736815159</v>
      </c>
      <c r="AU173" s="1" t="s">
        <v>776</v>
      </c>
      <c r="AV173" s="1"/>
      <c r="AW173" s="284">
        <v>14.782</v>
      </c>
      <c r="AX173" s="1">
        <v>0.47683870967741937</v>
      </c>
      <c r="AY173" s="1">
        <v>0.37856842037890431</v>
      </c>
      <c r="AZ173" s="1" t="s">
        <v>776</v>
      </c>
      <c r="BA173" s="1"/>
      <c r="BB173" s="284">
        <v>22.221</v>
      </c>
      <c r="BC173" s="1">
        <v>0.71680645161290324</v>
      </c>
      <c r="BD173" s="1">
        <v>0.82618269969278035</v>
      </c>
      <c r="BE173" s="1" t="s">
        <v>776</v>
      </c>
      <c r="BF173" s="1"/>
      <c r="BG173" s="284">
        <v>19.922999999999998</v>
      </c>
      <c r="BH173" s="1">
        <v>0.64267741935483869</v>
      </c>
      <c r="BI173" s="1">
        <v>0.69922829621095739</v>
      </c>
      <c r="BJ173" s="1" t="s">
        <v>776</v>
      </c>
      <c r="BK173" s="1"/>
      <c r="BL173" s="284">
        <v>181.26690030737703</v>
      </c>
      <c r="BM173" s="1">
        <v>5.8473193647540977</v>
      </c>
      <c r="BN173" s="1">
        <v>4.4842169469474387</v>
      </c>
      <c r="BO173" s="1" t="s">
        <v>776</v>
      </c>
      <c r="BP173" s="1"/>
      <c r="BQ173" s="284">
        <v>10.554</v>
      </c>
      <c r="BR173" s="1">
        <v>0.34045161290322584</v>
      </c>
      <c r="BS173" s="1">
        <v>0.32747642729134668</v>
      </c>
      <c r="BT173" s="1" t="s">
        <v>776</v>
      </c>
      <c r="BU173" s="1"/>
      <c r="BV173" s="284">
        <v>6.0750000000000002</v>
      </c>
      <c r="BW173" s="1">
        <v>0.19596774193548389</v>
      </c>
      <c r="BX173" s="1">
        <v>0.19095982462877623</v>
      </c>
      <c r="BY173" s="1" t="s">
        <v>776</v>
      </c>
      <c r="BZ173" s="1"/>
      <c r="CA173" s="284">
        <v>13.994</v>
      </c>
      <c r="CB173" s="1">
        <v>0.45141935483870965</v>
      </c>
      <c r="CC173" s="1">
        <v>0.41435287378392222</v>
      </c>
      <c r="CD173" s="1" t="s">
        <v>776</v>
      </c>
      <c r="CE173" s="1"/>
      <c r="CF173" s="284">
        <v>41.462912909836064</v>
      </c>
      <c r="CG173" s="1">
        <v>1.3375133196721312</v>
      </c>
      <c r="CH173" s="1">
        <v>1.3408723713882029</v>
      </c>
      <c r="CI173" s="1" t="s">
        <v>776</v>
      </c>
      <c r="CJ173" s="1"/>
      <c r="CK173" s="284">
        <v>146.875</v>
      </c>
      <c r="CL173" s="1">
        <v>4.737903225806452</v>
      </c>
      <c r="CM173" s="1">
        <v>3.0599338901689705</v>
      </c>
      <c r="CN173" s="1">
        <v>9.8209999999999997</v>
      </c>
      <c r="CO173" s="1"/>
      <c r="CP173" s="284">
        <v>190.35400000000001</v>
      </c>
      <c r="CQ173" s="1">
        <v>6.1404516129032265</v>
      </c>
      <c r="CR173" s="1">
        <v>6.0590203341013824</v>
      </c>
      <c r="CS173" s="1">
        <v>12.337</v>
      </c>
      <c r="CT173" s="1"/>
      <c r="CU173" s="284">
        <v>193.292</v>
      </c>
      <c r="CV173" s="1">
        <v>6.2352258064516128</v>
      </c>
      <c r="CW173" s="1">
        <v>6.9884695340501786</v>
      </c>
      <c r="CX173" s="1">
        <v>10.939</v>
      </c>
      <c r="CZ173" s="269">
        <v>24.68</v>
      </c>
      <c r="DA173" s="1">
        <v>0.79612903225806453</v>
      </c>
      <c r="DB173" s="1"/>
      <c r="DC173" s="284">
        <v>13.601715846994535</v>
      </c>
      <c r="DD173" s="1">
        <v>0.43876502732240436</v>
      </c>
      <c r="DE173" s="1">
        <v>0.43072162898919569</v>
      </c>
      <c r="DF173" s="1" t="s">
        <v>776</v>
      </c>
      <c r="DG173" s="1"/>
      <c r="DH173" s="284">
        <f>DI173*31</f>
        <v>72.085912909836068</v>
      </c>
      <c r="DI173" s="1">
        <f t="shared" si="269"/>
        <v>2.3253520293495504</v>
      </c>
      <c r="DJ173" s="1">
        <f t="shared" si="273"/>
        <v>2.2736614970922475</v>
      </c>
      <c r="DK173" s="1"/>
      <c r="DL173" s="1"/>
      <c r="DM173" s="284">
        <f>DN173*31</f>
        <v>3222.8689873975413</v>
      </c>
      <c r="DN173" s="1">
        <f t="shared" si="270"/>
        <v>103.96351572250133</v>
      </c>
      <c r="DO173" s="1">
        <f t="shared" si="271"/>
        <v>103.9725514482995</v>
      </c>
      <c r="DP173" s="1"/>
      <c r="DQ173" s="1"/>
      <c r="DR173" s="284">
        <f>DS173*31</f>
        <v>568.8027158469946</v>
      </c>
      <c r="DS173" s="1">
        <f t="shared" si="267"/>
        <v>18.348474704741761</v>
      </c>
      <c r="DT173" s="1" t="e">
        <f>SUM(CM173+CR173+CW173+#REF!+DE173)</f>
        <v>#REF!</v>
      </c>
      <c r="DU173" s="1"/>
      <c r="DV173" s="1"/>
      <c r="DW173" s="284">
        <f>DX173*30</f>
        <v>3669.3597128172928</v>
      </c>
      <c r="DX173" s="1">
        <f t="shared" ref="DX173:DX178" si="274">SUM(DN173+DS173)</f>
        <v>122.31199042724309</v>
      </c>
      <c r="DY173" s="1">
        <f t="shared" si="272"/>
        <v>121.27939695721697</v>
      </c>
      <c r="EB173" s="2">
        <v>3.91</v>
      </c>
      <c r="EL173">
        <v>2011</v>
      </c>
      <c r="EM173" s="157" t="s">
        <v>710</v>
      </c>
      <c r="EN173" t="s">
        <v>841</v>
      </c>
      <c r="EO173">
        <v>270.69600000000003</v>
      </c>
      <c r="EP173" t="e">
        <f t="shared" si="250"/>
        <v>#VALUE!</v>
      </c>
    </row>
    <row r="174" spans="1:146" x14ac:dyDescent="0.25">
      <c r="A174" s="8">
        <v>2011</v>
      </c>
      <c r="B174" t="s">
        <v>711</v>
      </c>
      <c r="D174" s="284">
        <v>244.61699999999999</v>
      </c>
      <c r="E174" s="1">
        <v>8.1539000000000001</v>
      </c>
      <c r="F174" s="1">
        <v>9.1538235663082421</v>
      </c>
      <c r="G174" s="1">
        <v>10.404</v>
      </c>
      <c r="M174" s="1"/>
      <c r="N174" s="284">
        <v>100.702</v>
      </c>
      <c r="O174" s="1">
        <v>3.3567333333333331</v>
      </c>
      <c r="P174" s="1">
        <v>3.5075072068612392</v>
      </c>
      <c r="Q174" s="1">
        <v>5.875</v>
      </c>
      <c r="R174" s="1"/>
      <c r="S174" s="284">
        <v>160.785</v>
      </c>
      <c r="T174" s="1">
        <v>5.3594999999999997</v>
      </c>
      <c r="U174" s="1">
        <v>5.408838082437275</v>
      </c>
      <c r="V174" s="1">
        <v>9.1850000000000005</v>
      </c>
      <c r="W174" s="88"/>
      <c r="X174" s="284">
        <v>575.64</v>
      </c>
      <c r="Y174" s="1">
        <v>19.187999999999999</v>
      </c>
      <c r="Z174" s="1">
        <v>19.550156073988735</v>
      </c>
      <c r="AA174" s="1">
        <v>26.684000000000001</v>
      </c>
      <c r="AB174" s="1"/>
      <c r="AC174" s="284">
        <v>736.42499999999995</v>
      </c>
      <c r="AD174" s="1">
        <v>24.547499999999999</v>
      </c>
      <c r="AE174" s="1">
        <v>24.958994156426012</v>
      </c>
      <c r="AF174" s="1">
        <v>35.869</v>
      </c>
      <c r="AG174" s="1"/>
      <c r="AH174" s="284">
        <v>1650.107</v>
      </c>
      <c r="AI174" s="1">
        <v>55.003566666666664</v>
      </c>
      <c r="AJ174" s="1">
        <v>56.581686527137741</v>
      </c>
      <c r="AK174" s="1">
        <v>146.69999999999999</v>
      </c>
      <c r="AL174" s="1"/>
      <c r="AM174" s="284">
        <v>20.013000000000002</v>
      </c>
      <c r="AN174" s="1">
        <v>0.66710000000000003</v>
      </c>
      <c r="AO174" s="1">
        <v>0.70953770481310807</v>
      </c>
      <c r="AP174" s="1" t="s">
        <v>776</v>
      </c>
      <c r="AQ174" s="1"/>
      <c r="AR174" s="284">
        <v>130.464</v>
      </c>
      <c r="AS174" s="1">
        <v>4.3487999999999998</v>
      </c>
      <c r="AT174" s="1">
        <v>4.2054207181259597</v>
      </c>
      <c r="AU174" s="1" t="s">
        <v>776</v>
      </c>
      <c r="AV174" s="1"/>
      <c r="AW174" s="284">
        <v>12.734</v>
      </c>
      <c r="AX174" s="1">
        <v>0.42446666666666666</v>
      </c>
      <c r="AY174" s="1">
        <v>0.40145453149001536</v>
      </c>
      <c r="AZ174" s="1" t="s">
        <v>776</v>
      </c>
      <c r="BA174" s="1"/>
      <c r="BB174" s="284">
        <v>22.994</v>
      </c>
      <c r="BC174" s="1">
        <v>0.76646666666666663</v>
      </c>
      <c r="BD174" s="1">
        <v>0.83387714413722469</v>
      </c>
      <c r="BE174" s="1" t="s">
        <v>776</v>
      </c>
      <c r="BF174" s="1"/>
      <c r="BG174" s="284">
        <v>20.151</v>
      </c>
      <c r="BH174" s="1">
        <v>0.67169999999999996</v>
      </c>
      <c r="BI174" s="1">
        <v>0.7067088517665131</v>
      </c>
      <c r="BJ174" s="1" t="s">
        <v>776</v>
      </c>
      <c r="BK174" s="1"/>
      <c r="BL174" s="284">
        <v>175.41958094262293</v>
      </c>
      <c r="BM174" s="1">
        <v>5.8473193647540977</v>
      </c>
      <c r="BN174" s="1">
        <v>4.6080450732340248</v>
      </c>
      <c r="BO174" s="1" t="s">
        <v>776</v>
      </c>
      <c r="BP174" s="1"/>
      <c r="BQ174" s="284">
        <v>9.4260000000000002</v>
      </c>
      <c r="BR174" s="1">
        <v>0.31419999999999998</v>
      </c>
      <c r="BS174" s="1">
        <v>0.33034587173579111</v>
      </c>
      <c r="BT174" s="1" t="s">
        <v>776</v>
      </c>
      <c r="BU174" s="1"/>
      <c r="BV174" s="284">
        <v>5.1550000000000002</v>
      </c>
      <c r="BW174" s="1">
        <v>0.17183333333333334</v>
      </c>
      <c r="BX174" s="1">
        <v>0.19008204685099842</v>
      </c>
      <c r="BY174" s="1" t="s">
        <v>776</v>
      </c>
      <c r="BZ174" s="1"/>
      <c r="CA174" s="284">
        <v>11.632999999999999</v>
      </c>
      <c r="CB174" s="1">
        <v>0.38776666666666665</v>
      </c>
      <c r="CC174" s="1">
        <v>0.42011676267281112</v>
      </c>
      <c r="CD174" s="1" t="s">
        <v>776</v>
      </c>
      <c r="CE174" s="1"/>
      <c r="CF174" s="284">
        <v>40.125399590163937</v>
      </c>
      <c r="CG174" s="1">
        <v>1.3375133196721312</v>
      </c>
      <c r="CH174" s="1">
        <v>1.3405670030503785</v>
      </c>
      <c r="CI174" s="1" t="s">
        <v>776</v>
      </c>
      <c r="CJ174" s="1"/>
      <c r="CK174" s="284">
        <v>124.995</v>
      </c>
      <c r="CL174" s="1">
        <v>4.1665000000000001</v>
      </c>
      <c r="CM174" s="1">
        <v>3.169161667946748</v>
      </c>
      <c r="CN174" s="1">
        <v>9.0730000000000004</v>
      </c>
      <c r="CO174" s="1"/>
      <c r="CP174" s="284">
        <v>177.762</v>
      </c>
      <c r="CQ174" s="1">
        <v>5.9253999999999998</v>
      </c>
      <c r="CR174" s="1">
        <v>6.0752508896569379</v>
      </c>
      <c r="CS174" s="1">
        <v>10.015000000000001</v>
      </c>
      <c r="CT174" s="1"/>
      <c r="CU174" s="284">
        <v>182.33199999999999</v>
      </c>
      <c r="CV174" s="1">
        <v>6.0777333333333328</v>
      </c>
      <c r="CW174" s="1">
        <v>6.7397806451612894</v>
      </c>
      <c r="CX174" s="1">
        <v>8.9640000000000004</v>
      </c>
      <c r="CZ174" s="269">
        <v>23.359000000000002</v>
      </c>
      <c r="DA174" s="1">
        <v>0.7786333333333334</v>
      </c>
      <c r="DB174" s="1"/>
      <c r="DC174" s="284">
        <v>13.162950819672131</v>
      </c>
      <c r="DD174" s="1">
        <v>0.43876502732240436</v>
      </c>
      <c r="DE174" s="1">
        <v>0.43145284701948733</v>
      </c>
      <c r="DF174" s="1" t="s">
        <v>776</v>
      </c>
      <c r="DG174" s="1"/>
      <c r="DH174" s="284">
        <f>DI174*30</f>
        <v>66.339399590163936</v>
      </c>
      <c r="DI174" s="1">
        <f t="shared" si="269"/>
        <v>2.2113133196721311</v>
      </c>
      <c r="DJ174" s="1">
        <f t="shared" si="273"/>
        <v>2.2811116843099786</v>
      </c>
      <c r="DK174" s="1"/>
      <c r="DL174" s="1"/>
      <c r="DM174" s="284">
        <f>DN174*30</f>
        <v>3047.2871813524594</v>
      </c>
      <c r="DN174" s="1">
        <f t="shared" si="270"/>
        <v>101.57623937841531</v>
      </c>
      <c r="DO174" s="1">
        <f t="shared" ref="DO174:DO180" si="275">SUM(DN163:DN174)/12</f>
        <v>104.11274327625722</v>
      </c>
      <c r="DP174" s="1"/>
      <c r="DQ174" s="1"/>
      <c r="DR174" s="284">
        <f>DS174*30</f>
        <v>521.61095081967198</v>
      </c>
      <c r="DS174" s="1">
        <f t="shared" si="267"/>
        <v>17.387031693989066</v>
      </c>
      <c r="DT174" s="1" t="e">
        <f>SUM(CM174+CR174+CW174+#REF!+DE174)</f>
        <v>#REF!</v>
      </c>
      <c r="DU174" s="1"/>
      <c r="DV174" s="1"/>
      <c r="DW174" s="284">
        <f>DX174*31</f>
        <v>3687.8614032445357</v>
      </c>
      <c r="DX174" s="1">
        <f t="shared" si="274"/>
        <v>118.96327107240438</v>
      </c>
      <c r="DY174" s="1">
        <f t="shared" ref="DY174:DY180" si="276">SUM(DX163:DX174)/12</f>
        <v>121.30216444764945</v>
      </c>
      <c r="EB174" s="2">
        <v>1.94</v>
      </c>
      <c r="EL174">
        <v>2011</v>
      </c>
      <c r="EM174" s="157" t="s">
        <v>711</v>
      </c>
      <c r="EN174" t="s">
        <v>841</v>
      </c>
      <c r="EO174">
        <v>244.61699999999999</v>
      </c>
      <c r="EP174" t="e">
        <f t="shared" si="250"/>
        <v>#VALUE!</v>
      </c>
    </row>
    <row r="175" spans="1:146" x14ac:dyDescent="0.25">
      <c r="A175" s="8">
        <v>2011</v>
      </c>
      <c r="B175" t="s">
        <v>712</v>
      </c>
      <c r="D175" s="284">
        <v>251.351</v>
      </c>
      <c r="E175" s="1">
        <v>8.1080967741935481</v>
      </c>
      <c r="F175" s="1">
        <v>9.1788773297491044</v>
      </c>
      <c r="G175" s="1">
        <v>13.170999999999999</v>
      </c>
      <c r="N175" s="284">
        <v>111.76</v>
      </c>
      <c r="O175" s="1">
        <v>3.6051612903225809</v>
      </c>
      <c r="P175" s="1">
        <v>3.5362115079365082</v>
      </c>
      <c r="Q175" s="1">
        <v>9.3520000000000003</v>
      </c>
      <c r="S175" s="284">
        <v>188.30600000000001</v>
      </c>
      <c r="T175" s="1">
        <v>6.0743870967741938</v>
      </c>
      <c r="U175" s="1">
        <v>5.4944348566308241</v>
      </c>
      <c r="V175" s="1">
        <v>16.227</v>
      </c>
      <c r="X175" s="284">
        <v>641.66700000000003</v>
      </c>
      <c r="Y175" s="1">
        <v>20.698935483870969</v>
      </c>
      <c r="Z175" s="1">
        <v>19.693048547107015</v>
      </c>
      <c r="AA175" s="1">
        <v>35.325000000000003</v>
      </c>
      <c r="AC175" s="284">
        <v>829.97300000000007</v>
      </c>
      <c r="AD175" s="1">
        <v>26.773322580645164</v>
      </c>
      <c r="AE175" s="1">
        <v>25.18748340373784</v>
      </c>
      <c r="AF175" s="1">
        <v>51.552000000000007</v>
      </c>
      <c r="AH175" s="299">
        <v>1926.6379999999999</v>
      </c>
      <c r="AI175" s="71">
        <v>62.149612903225801</v>
      </c>
      <c r="AJ175" s="33">
        <v>57.07280480670763</v>
      </c>
      <c r="AK175">
        <v>206.1</v>
      </c>
      <c r="AM175" s="299">
        <v>27.911000000000001</v>
      </c>
      <c r="AN175" s="1">
        <v>0.90035483870967747</v>
      </c>
      <c r="AO175" s="1">
        <v>0.73158340373783926</v>
      </c>
      <c r="AP175" t="s">
        <v>776</v>
      </c>
      <c r="AR175" s="284">
        <v>160.33600000000001</v>
      </c>
      <c r="AS175" s="1">
        <v>5.1721290322580646</v>
      </c>
      <c r="AT175" s="1">
        <v>4.2263400729646694</v>
      </c>
      <c r="AU175" s="1" t="s">
        <v>776</v>
      </c>
      <c r="AW175" s="284">
        <v>18.417999999999999</v>
      </c>
      <c r="AX175" s="1">
        <v>0.59412903225806446</v>
      </c>
      <c r="AY175" s="1">
        <v>0.43230668202764971</v>
      </c>
      <c r="AZ175" s="1" t="s">
        <v>776</v>
      </c>
      <c r="BB175" s="284">
        <v>27.675000000000001</v>
      </c>
      <c r="BC175" s="1">
        <v>0.89274193548387104</v>
      </c>
      <c r="BD175" s="1">
        <v>0.82784757424475153</v>
      </c>
      <c r="BE175" s="1" t="s">
        <v>776</v>
      </c>
      <c r="BG175" s="284">
        <v>24.652999999999999</v>
      </c>
      <c r="BH175" s="1">
        <v>0.79525806451612902</v>
      </c>
      <c r="BI175" s="1">
        <v>0.70699648617511535</v>
      </c>
      <c r="BJ175" s="1" t="s">
        <v>776</v>
      </c>
      <c r="BL175" s="284">
        <v>181.26690030737703</v>
      </c>
      <c r="BM175" s="1">
        <v>5.8473193647540977</v>
      </c>
      <c r="BN175" s="1">
        <v>4.7318731995206109</v>
      </c>
      <c r="BO175" s="1" t="s">
        <v>776</v>
      </c>
      <c r="BQ175" s="284">
        <v>11.384</v>
      </c>
      <c r="BR175" s="1">
        <v>0.3672258064516129</v>
      </c>
      <c r="BS175" s="1">
        <v>0.32988619431643623</v>
      </c>
      <c r="BT175" s="1" t="s">
        <v>776</v>
      </c>
      <c r="BV175" s="284">
        <v>9.3819999999999997</v>
      </c>
      <c r="BW175" s="1">
        <v>0.3026451612903226</v>
      </c>
      <c r="BX175" s="1">
        <v>0.19531591781874039</v>
      </c>
      <c r="BY175" s="1" t="s">
        <v>776</v>
      </c>
      <c r="CA175" s="284">
        <v>16.013999999999999</v>
      </c>
      <c r="CB175" s="1">
        <v>0.51658064516129032</v>
      </c>
      <c r="CC175" s="1">
        <v>0.43043396697388636</v>
      </c>
      <c r="CD175" s="1" t="s">
        <v>776</v>
      </c>
      <c r="CF175" s="284">
        <v>41.462912909836064</v>
      </c>
      <c r="CG175" s="1">
        <v>1.3375133196721312</v>
      </c>
      <c r="CH175" s="1">
        <v>1.3402616347125536</v>
      </c>
      <c r="CI175" s="1" t="s">
        <v>776</v>
      </c>
      <c r="CK175" s="284">
        <v>136.423</v>
      </c>
      <c r="CL175" s="1">
        <v>4.4007419354838708</v>
      </c>
      <c r="CM175" s="1">
        <v>3.2640272593445983</v>
      </c>
      <c r="CN175" s="1">
        <v>16.460999999999999</v>
      </c>
      <c r="CP175" s="284">
        <v>190.767</v>
      </c>
      <c r="CQ175" s="1">
        <v>6.1537741935483874</v>
      </c>
      <c r="CR175" s="1">
        <v>6.1136863735279059</v>
      </c>
      <c r="CS175" s="1">
        <v>13.194000000000001</v>
      </c>
      <c r="CU175" s="284">
        <v>200.28800000000001</v>
      </c>
      <c r="CV175" s="1">
        <v>6.4609032258064518</v>
      </c>
      <c r="CW175" s="1">
        <v>6.5192376344086016</v>
      </c>
      <c r="CX175" s="1">
        <v>12.36</v>
      </c>
      <c r="CZ175" s="269">
        <v>26.768999999999998</v>
      </c>
      <c r="DA175" s="1">
        <v>0.86351612903225805</v>
      </c>
      <c r="DC175" s="284">
        <v>13.601715846994535</v>
      </c>
      <c r="DD175" s="1">
        <v>0.43876502732240436</v>
      </c>
      <c r="DE175" s="1">
        <v>0.43218406504977902</v>
      </c>
      <c r="DF175" s="1" t="s">
        <v>776</v>
      </c>
      <c r="DH175" s="284">
        <f>DI175*31</f>
        <v>78.242912909836065</v>
      </c>
      <c r="DI175" s="1">
        <f t="shared" si="269"/>
        <v>2.5239649325753568</v>
      </c>
      <c r="DJ175" s="1">
        <f t="shared" si="273"/>
        <v>2.2958977138216161</v>
      </c>
      <c r="DM175" s="284">
        <f>DN175*31</f>
        <v>3481.7389873975412</v>
      </c>
      <c r="DN175" s="1">
        <f t="shared" si="270"/>
        <v>112.31416088379166</v>
      </c>
      <c r="DO175" s="1">
        <f t="shared" si="275"/>
        <v>105.06322623324722</v>
      </c>
      <c r="DP175" s="1"/>
      <c r="DQ175" s="1"/>
      <c r="DR175" s="284">
        <f>DS175*31</f>
        <v>567.84871584699454</v>
      </c>
      <c r="DS175" s="1">
        <f t="shared" si="267"/>
        <v>18.317700511193372</v>
      </c>
      <c r="DT175" s="1" t="e">
        <f>SUM(CM175+CR175+CW175+#REF!+DE175)</f>
        <v>#REF!</v>
      </c>
      <c r="DW175" s="284">
        <f>DX175*31</f>
        <v>4049.587703244536</v>
      </c>
      <c r="DX175" s="1">
        <f t="shared" si="274"/>
        <v>130.63186139498504</v>
      </c>
      <c r="DY175" s="1">
        <f t="shared" si="276"/>
        <v>122.17872270869124</v>
      </c>
      <c r="EB175" s="2">
        <v>4.9000000000000004</v>
      </c>
      <c r="EL175">
        <v>2011</v>
      </c>
      <c r="EM175" s="157" t="s">
        <v>712</v>
      </c>
      <c r="EN175" t="s">
        <v>841</v>
      </c>
      <c r="EO175">
        <v>251.351</v>
      </c>
      <c r="EP175" t="e">
        <f t="shared" si="250"/>
        <v>#VALUE!</v>
      </c>
    </row>
    <row r="176" spans="1:146" x14ac:dyDescent="0.25">
      <c r="A176" s="8">
        <v>2012</v>
      </c>
      <c r="B176" t="s">
        <v>719</v>
      </c>
      <c r="D176" s="284">
        <v>270.35899999999998</v>
      </c>
      <c r="E176" s="1">
        <v>8.7212580645161282</v>
      </c>
      <c r="F176" s="1">
        <v>9.1707563620071664</v>
      </c>
      <c r="G176" s="1">
        <v>11.478999999999999</v>
      </c>
      <c r="N176" s="284">
        <v>108.405</v>
      </c>
      <c r="O176" s="1">
        <v>3.4969354838709679</v>
      </c>
      <c r="P176" s="1">
        <v>3.5624803251408097</v>
      </c>
      <c r="Q176" s="1">
        <v>7.16</v>
      </c>
      <c r="S176" s="284">
        <v>184.92</v>
      </c>
      <c r="T176" s="1">
        <v>5.9651612903225804</v>
      </c>
      <c r="U176" s="1">
        <v>5.5711418458781354</v>
      </c>
      <c r="V176" s="1">
        <v>9.9890000000000008</v>
      </c>
      <c r="X176" s="284">
        <v>631.87300000000005</v>
      </c>
      <c r="Y176" s="1">
        <v>20.383000000000003</v>
      </c>
      <c r="Z176" s="1">
        <v>19.862916826676908</v>
      </c>
      <c r="AA176" s="1">
        <v>28.047000000000001</v>
      </c>
      <c r="AC176" s="284">
        <v>816.79300000000001</v>
      </c>
      <c r="AD176" s="1">
        <v>26.348161290322579</v>
      </c>
      <c r="AE176" s="1">
        <v>25.434058672555043</v>
      </c>
      <c r="AF176" s="1">
        <v>38.036000000000001</v>
      </c>
      <c r="AH176" s="299">
        <v>1781.6949999999999</v>
      </c>
      <c r="AI176" s="1">
        <v>57.474032258064511</v>
      </c>
      <c r="AJ176" s="33">
        <v>57.239608570148484</v>
      </c>
      <c r="AK176" s="6">
        <v>96</v>
      </c>
      <c r="AM176" s="299">
        <v>21.905999999999999</v>
      </c>
      <c r="AN176" s="1">
        <v>0.70664516129032251</v>
      </c>
      <c r="AO176" s="1">
        <v>0.74811297363031237</v>
      </c>
      <c r="AP176" t="s">
        <v>776</v>
      </c>
      <c r="AR176" s="284">
        <v>137.75899999999999</v>
      </c>
      <c r="AS176" s="1">
        <v>4.4438387096774186</v>
      </c>
      <c r="AT176" s="1">
        <v>4.2748642665130561</v>
      </c>
      <c r="AU176" s="1" t="s">
        <v>776</v>
      </c>
      <c r="AW176" s="284">
        <v>13.542999999999999</v>
      </c>
      <c r="AX176" s="1">
        <v>0.43687096774193546</v>
      </c>
      <c r="AY176" s="1">
        <v>0.45037926267281098</v>
      </c>
      <c r="AZ176" s="1" t="s">
        <v>776</v>
      </c>
      <c r="BB176" s="284">
        <v>23.064</v>
      </c>
      <c r="BC176" s="1">
        <v>0.74399999999999999</v>
      </c>
      <c r="BD176" s="1">
        <v>0.82714327316948288</v>
      </c>
      <c r="BE176" s="1" t="s">
        <v>776</v>
      </c>
      <c r="BG176" s="284">
        <v>19.486999999999998</v>
      </c>
      <c r="BH176" s="1">
        <v>0.62861290322580643</v>
      </c>
      <c r="BI176" s="1">
        <v>0.70395885176651307</v>
      </c>
      <c r="BJ176" s="1" t="s">
        <v>776</v>
      </c>
      <c r="BL176" s="284">
        <v>181.26690030737703</v>
      </c>
      <c r="BM176" s="1">
        <v>5.8473193647540977</v>
      </c>
      <c r="BN176" s="1">
        <v>4.855701325807197</v>
      </c>
      <c r="BO176" s="1" t="s">
        <v>776</v>
      </c>
      <c r="BQ176" s="284">
        <v>10.263</v>
      </c>
      <c r="BR176" s="1">
        <v>0.33106451612903226</v>
      </c>
      <c r="BS176" s="1">
        <v>0.33341038786482335</v>
      </c>
      <c r="BT176" s="1" t="s">
        <v>776</v>
      </c>
      <c r="BV176" s="284">
        <v>5.1349999999999998</v>
      </c>
      <c r="BW176" s="1">
        <v>0.16564516129032258</v>
      </c>
      <c r="BX176" s="1">
        <v>0.19434548771121352</v>
      </c>
      <c r="BY176" s="1" t="s">
        <v>776</v>
      </c>
      <c r="CA176" s="284">
        <v>12.986000000000001</v>
      </c>
      <c r="CB176" s="1">
        <v>0.41890322580645162</v>
      </c>
      <c r="CC176" s="1">
        <v>0.4273828917050691</v>
      </c>
      <c r="CD176" s="1" t="s">
        <v>776</v>
      </c>
      <c r="CF176" s="284">
        <v>41.462912909836064</v>
      </c>
      <c r="CG176" s="1">
        <v>1.3375133196721312</v>
      </c>
      <c r="CH176" s="1">
        <v>1.3399562663747291</v>
      </c>
      <c r="CI176" s="1" t="s">
        <v>776</v>
      </c>
      <c r="CK176" s="284">
        <v>116.101</v>
      </c>
      <c r="CL176" s="1">
        <v>3.7451935483870966</v>
      </c>
      <c r="CM176" s="1">
        <v>3.3420783346134155</v>
      </c>
      <c r="CN176" s="1">
        <v>9.1340000000000003</v>
      </c>
      <c r="CP176" s="284">
        <v>183.71299999999999</v>
      </c>
      <c r="CQ176" s="1">
        <v>5.9262258064516127</v>
      </c>
      <c r="CR176" s="1">
        <v>6.1434444380440345</v>
      </c>
      <c r="CS176" s="1">
        <v>9.8699999999999992</v>
      </c>
      <c r="CU176" s="284">
        <v>199.76599999999999</v>
      </c>
      <c r="CV176" s="1">
        <v>6.444064516129032</v>
      </c>
      <c r="CW176" s="1">
        <v>6.4503478494623652</v>
      </c>
      <c r="CX176" s="1">
        <v>9.3109999999999999</v>
      </c>
      <c r="CZ176" s="269">
        <v>25.510999999999999</v>
      </c>
      <c r="DA176" s="1">
        <v>0.82293548387096771</v>
      </c>
      <c r="DC176" s="284">
        <v>13.601715846994535</v>
      </c>
      <c r="DD176" s="1">
        <v>0.43876502732240436</v>
      </c>
      <c r="DE176" s="1">
        <v>0.43291528308007071</v>
      </c>
      <c r="DF176" s="1" t="s">
        <v>776</v>
      </c>
      <c r="DH176" s="284">
        <f>DI176*31</f>
        <v>69.846912909836064</v>
      </c>
      <c r="DI176" s="1">
        <f t="shared" si="269"/>
        <v>2.2531262228979374</v>
      </c>
      <c r="DJ176" s="1">
        <f t="shared" si="273"/>
        <v>2.295095033655834</v>
      </c>
      <c r="DM176" s="284">
        <f>DN176*31</f>
        <v>3304.4309873975408</v>
      </c>
      <c r="DN176" s="1">
        <f t="shared" si="270"/>
        <v>106.59454798056584</v>
      </c>
      <c r="DO176" s="1">
        <f t="shared" si="275"/>
        <v>105.69876833002218</v>
      </c>
      <c r="DR176" s="284">
        <f>DS176*31</f>
        <v>538.69271584699459</v>
      </c>
      <c r="DS176" s="1">
        <f t="shared" si="267"/>
        <v>17.377184382161115</v>
      </c>
      <c r="DT176" s="1" t="e">
        <f>SUM(CM176+CR176+CW176+#REF!+DE176)</f>
        <v>#REF!</v>
      </c>
      <c r="DW176" s="284">
        <f>DX176*31</f>
        <v>3843.1237032445356</v>
      </c>
      <c r="DX176" s="1">
        <f t="shared" si="274"/>
        <v>123.97173236272695</v>
      </c>
      <c r="DY176" s="1">
        <f t="shared" si="276"/>
        <v>122.86595301274382</v>
      </c>
      <c r="EB176" s="2">
        <v>2.19</v>
      </c>
      <c r="EL176">
        <v>2012</v>
      </c>
      <c r="EM176" s="157" t="s">
        <v>719</v>
      </c>
      <c r="EN176" t="s">
        <v>841</v>
      </c>
      <c r="EO176">
        <v>270.35899999999998</v>
      </c>
      <c r="EP176" t="e">
        <f t="shared" si="250"/>
        <v>#VALUE!</v>
      </c>
    </row>
    <row r="177" spans="1:146" x14ac:dyDescent="0.25">
      <c r="A177" s="8">
        <v>2012</v>
      </c>
      <c r="B177" t="s">
        <v>713</v>
      </c>
      <c r="D177" s="284">
        <v>221.666</v>
      </c>
      <c r="E177" s="1">
        <v>7.6436551724137933</v>
      </c>
      <c r="F177" s="1">
        <v>9.062060959708317</v>
      </c>
      <c r="G177" s="1">
        <v>10.679</v>
      </c>
      <c r="N177" s="284">
        <v>98.650999999999996</v>
      </c>
      <c r="O177" s="1">
        <v>3.4017586206896548</v>
      </c>
      <c r="P177" s="1">
        <v>3.5562042578173281</v>
      </c>
      <c r="Q177" s="1">
        <v>7.1390000000000002</v>
      </c>
      <c r="S177" s="284">
        <v>163.24700000000001</v>
      </c>
      <c r="T177" s="1">
        <v>5.6292068965517243</v>
      </c>
      <c r="U177" s="1">
        <v>5.5752840872574465</v>
      </c>
      <c r="V177" s="1">
        <v>9.9060000000000006</v>
      </c>
      <c r="X177" s="284">
        <v>577.79700000000003</v>
      </c>
      <c r="Y177" s="1">
        <v>19.924034482758621</v>
      </c>
      <c r="Z177" s="1">
        <v>19.844506009763936</v>
      </c>
      <c r="AA177" s="1">
        <v>28.361000000000001</v>
      </c>
      <c r="AC177" s="284">
        <v>741.0440000000001</v>
      </c>
      <c r="AD177" s="1">
        <v>25.553241379310347</v>
      </c>
      <c r="AE177" s="1">
        <v>25.41979009702138</v>
      </c>
      <c r="AF177" s="1">
        <v>38.267000000000003</v>
      </c>
      <c r="AH177" s="299">
        <v>1606.8</v>
      </c>
      <c r="AI177" s="1">
        <v>55.406896551724138</v>
      </c>
      <c r="AJ177" s="1">
        <v>57.155591020887393</v>
      </c>
      <c r="AK177">
        <v>135.80000000000001</v>
      </c>
      <c r="AM177" s="299">
        <v>19.021000000000001</v>
      </c>
      <c r="AN177" s="1">
        <v>0.65589655172413797</v>
      </c>
      <c r="AO177" s="1">
        <v>0.74956566246446688</v>
      </c>
      <c r="AP177" t="s">
        <v>776</v>
      </c>
      <c r="AR177" s="284">
        <v>121.208</v>
      </c>
      <c r="AS177" s="1">
        <v>4.1795862068965519</v>
      </c>
      <c r="AT177" s="1">
        <v>4.2647018075639602</v>
      </c>
      <c r="AU177" s="1" t="s">
        <v>776</v>
      </c>
      <c r="AW177" s="284">
        <v>12.564</v>
      </c>
      <c r="AX177" s="1">
        <v>0.43324137931034484</v>
      </c>
      <c r="AY177" s="1">
        <v>0.46173866332962543</v>
      </c>
      <c r="AZ177" s="1" t="s">
        <v>776</v>
      </c>
      <c r="BB177" s="284">
        <v>23.164999999999999</v>
      </c>
      <c r="BC177" s="1">
        <v>0.79879310344827581</v>
      </c>
      <c r="BD177" s="1">
        <v>0.82822424607588674</v>
      </c>
      <c r="BE177" s="1" t="s">
        <v>776</v>
      </c>
      <c r="BG177" s="284">
        <v>17.457000000000001</v>
      </c>
      <c r="BH177" s="1">
        <v>0.60196551724137937</v>
      </c>
      <c r="BI177" s="1">
        <v>0.68995895439377097</v>
      </c>
      <c r="BJ177" s="1" t="s">
        <v>776</v>
      </c>
      <c r="BL177" s="284">
        <v>169.57226157786883</v>
      </c>
      <c r="BM177" s="1">
        <v>5.8473193647540977</v>
      </c>
      <c r="BN177" s="1">
        <v>4.9795294520937832</v>
      </c>
      <c r="BO177" s="1" t="s">
        <v>776</v>
      </c>
      <c r="BQ177" s="284">
        <v>9.32</v>
      </c>
      <c r="BR177" s="1">
        <v>0.32137931034482758</v>
      </c>
      <c r="BS177" s="1">
        <v>0.33433187801260661</v>
      </c>
      <c r="BT177" s="1" t="s">
        <v>776</v>
      </c>
      <c r="BV177" s="284">
        <v>3.3290000000000002</v>
      </c>
      <c r="BW177" s="1">
        <v>0.11479310344827587</v>
      </c>
      <c r="BX177" s="1">
        <v>0.1849443177604746</v>
      </c>
      <c r="BY177" s="1" t="s">
        <v>776</v>
      </c>
      <c r="CA177" s="284">
        <v>12.095000000000001</v>
      </c>
      <c r="CB177" s="1">
        <v>0.41706896551724137</v>
      </c>
      <c r="CC177" s="1">
        <v>0.43070709121245837</v>
      </c>
      <c r="CD177" s="1" t="s">
        <v>776</v>
      </c>
      <c r="CF177" s="284">
        <v>38.787886270491803</v>
      </c>
      <c r="CG177" s="1">
        <v>1.3375133196721312</v>
      </c>
      <c r="CH177" s="1">
        <v>1.3396508980369042</v>
      </c>
      <c r="CI177" s="1" t="s">
        <v>776</v>
      </c>
      <c r="CK177" s="284">
        <v>112.509</v>
      </c>
      <c r="CL177" s="1">
        <v>3.8796206896551726</v>
      </c>
      <c r="CM177" s="1">
        <v>3.4322937492275365</v>
      </c>
      <c r="CN177" s="1">
        <v>12.003</v>
      </c>
      <c r="CP177" s="284">
        <v>163.715</v>
      </c>
      <c r="CQ177" s="1">
        <v>5.6453448275862073</v>
      </c>
      <c r="CR177" s="1">
        <v>6.104404721295265</v>
      </c>
      <c r="CS177" s="1">
        <v>9.4359999999999999</v>
      </c>
      <c r="CU177" s="284">
        <v>177.94</v>
      </c>
      <c r="CV177" s="1">
        <v>6.1358620689655172</v>
      </c>
      <c r="CW177" s="1">
        <v>6.4055030218761599</v>
      </c>
      <c r="CX177" s="1">
        <v>9.27</v>
      </c>
      <c r="CZ177" s="269">
        <v>23.548999999999999</v>
      </c>
      <c r="DA177" s="1">
        <v>0.81203448275862067</v>
      </c>
      <c r="DC177" s="284">
        <v>12.724185792349726</v>
      </c>
      <c r="DD177" s="1">
        <v>0.43876502732240436</v>
      </c>
      <c r="DE177" s="1">
        <v>0.43364650111036246</v>
      </c>
      <c r="DF177" s="1" t="s">
        <v>776</v>
      </c>
      <c r="DH177" s="284">
        <f>DI177*29</f>
        <v>63.531886270491803</v>
      </c>
      <c r="DI177" s="1">
        <f t="shared" si="269"/>
        <v>2.190754698982476</v>
      </c>
      <c r="DJ177" s="1">
        <f t="shared" si="273"/>
        <v>2.2896341850224435</v>
      </c>
      <c r="DM177" s="284">
        <f>DN177*29</f>
        <v>2967.6163753073774</v>
      </c>
      <c r="DN177" s="1">
        <f t="shared" si="270"/>
        <v>102.33159914853026</v>
      </c>
      <c r="DO177" s="1">
        <f t="shared" si="275"/>
        <v>105.60453041660061</v>
      </c>
      <c r="DR177" s="284">
        <f>DS177*29</f>
        <v>490.43718579234974</v>
      </c>
      <c r="DS177" s="1">
        <f t="shared" si="267"/>
        <v>16.911627096287923</v>
      </c>
      <c r="DT177" s="1" t="e">
        <f>SUM(CM177+CR177+CW177+#REF!+DE177)</f>
        <v>#REF!</v>
      </c>
      <c r="DW177" s="284">
        <f>DX177*29</f>
        <v>3458.0535610997272</v>
      </c>
      <c r="DX177" s="1">
        <f t="shared" si="274"/>
        <v>119.24322624481817</v>
      </c>
      <c r="DY177" s="1">
        <f t="shared" si="276"/>
        <v>122.77908065643301</v>
      </c>
      <c r="EB177" s="2">
        <v>2.33</v>
      </c>
      <c r="EL177">
        <v>2012</v>
      </c>
      <c r="EM177" s="157" t="s">
        <v>713</v>
      </c>
      <c r="EN177" t="s">
        <v>841</v>
      </c>
      <c r="EO177">
        <v>221.666</v>
      </c>
      <c r="EP177" t="e">
        <f t="shared" si="250"/>
        <v>#VALUE!</v>
      </c>
    </row>
    <row r="178" spans="1:146" x14ac:dyDescent="0.25">
      <c r="A178" s="8">
        <v>2012</v>
      </c>
      <c r="B178" t="s">
        <v>714</v>
      </c>
      <c r="D178" s="284">
        <v>237.179</v>
      </c>
      <c r="E178" s="1">
        <v>7.6509354838709678</v>
      </c>
      <c r="F178" s="1">
        <v>8.8249856908911113</v>
      </c>
      <c r="G178" s="1">
        <v>10.188000000000001</v>
      </c>
      <c r="N178" s="284">
        <v>107.54900000000001</v>
      </c>
      <c r="O178" s="1">
        <v>3.4693225806451613</v>
      </c>
      <c r="P178" s="1">
        <v>3.5145483438388339</v>
      </c>
      <c r="Q178" s="1">
        <v>6.165</v>
      </c>
      <c r="S178" s="284">
        <v>186.124</v>
      </c>
      <c r="T178" s="1">
        <v>6.0039999999999996</v>
      </c>
      <c r="U178" s="1">
        <v>5.4980986033864783</v>
      </c>
      <c r="V178" s="1">
        <v>9.4740000000000002</v>
      </c>
      <c r="X178" s="284">
        <v>624.53700000000003</v>
      </c>
      <c r="Y178" s="1">
        <v>20.14635483870968</v>
      </c>
      <c r="Z178" s="1">
        <v>19.631086654925227</v>
      </c>
      <c r="AA178" s="1">
        <v>27.805</v>
      </c>
      <c r="AC178" s="284">
        <v>810.66100000000006</v>
      </c>
      <c r="AD178" s="1">
        <v>26.150354838709678</v>
      </c>
      <c r="AE178" s="1">
        <v>25.129185258311704</v>
      </c>
      <c r="AF178" s="1">
        <v>37.278999999999996</v>
      </c>
      <c r="AH178" s="299">
        <v>1777.096</v>
      </c>
      <c r="AI178" s="1">
        <v>57.32567741935484</v>
      </c>
      <c r="AJ178" s="1">
        <v>56.815410913360523</v>
      </c>
      <c r="AK178">
        <v>121.5</v>
      </c>
      <c r="AM178" s="299">
        <v>20.434999999999999</v>
      </c>
      <c r="AN178" s="1">
        <v>0.65919354838709676</v>
      </c>
      <c r="AO178" s="1">
        <v>0.73313555493758498</v>
      </c>
      <c r="AP178" t="s">
        <v>776</v>
      </c>
      <c r="AR178" s="284">
        <v>119.964</v>
      </c>
      <c r="AS178" s="1">
        <v>3.8698064516129032</v>
      </c>
      <c r="AT178" s="1">
        <v>4.1736346032628848</v>
      </c>
      <c r="AU178" s="1" t="s">
        <v>776</v>
      </c>
      <c r="AW178" s="284">
        <v>30.03</v>
      </c>
      <c r="AX178" s="1">
        <v>0.96870967741935488</v>
      </c>
      <c r="AY178" s="1">
        <v>0.50035425472747497</v>
      </c>
      <c r="AZ178" s="1" t="s">
        <v>776</v>
      </c>
      <c r="BB178" s="284">
        <v>24.3</v>
      </c>
      <c r="BC178" s="1">
        <v>0.78387096774193554</v>
      </c>
      <c r="BD178" s="1">
        <v>0.81547962241997274</v>
      </c>
      <c r="BE178" s="1" t="s">
        <v>776</v>
      </c>
      <c r="BG178" s="284">
        <v>17.846</v>
      </c>
      <c r="BH178" s="1">
        <v>0.57567741935483874</v>
      </c>
      <c r="BI178" s="1">
        <v>0.66314712643678153</v>
      </c>
      <c r="BJ178" s="1" t="s">
        <v>776</v>
      </c>
      <c r="BL178" s="284">
        <v>181.26690030737703</v>
      </c>
      <c r="BM178" s="1">
        <v>5.8473193647540977</v>
      </c>
      <c r="BN178" s="1">
        <v>5.1033575783803684</v>
      </c>
      <c r="BO178" s="1" t="s">
        <v>776</v>
      </c>
      <c r="BQ178" s="284">
        <v>9.5730000000000004</v>
      </c>
      <c r="BR178" s="1">
        <v>0.30880645161290327</v>
      </c>
      <c r="BS178" s="1">
        <v>0.33118134037819802</v>
      </c>
      <c r="BT178" s="1" t="s">
        <v>776</v>
      </c>
      <c r="BV178" s="284">
        <v>3.4340000000000002</v>
      </c>
      <c r="BW178" s="1">
        <v>0.11077419354838711</v>
      </c>
      <c r="BX178" s="1">
        <v>0.17206797367445312</v>
      </c>
      <c r="BY178" s="1" t="s">
        <v>776</v>
      </c>
      <c r="CA178" s="284">
        <v>11.967000000000001</v>
      </c>
      <c r="CB178" s="1">
        <v>0.38603225806451613</v>
      </c>
      <c r="CC178" s="1">
        <v>0.42730117723396371</v>
      </c>
      <c r="CD178" s="1" t="s">
        <v>776</v>
      </c>
      <c r="CF178" s="284">
        <v>41.462912909836064</v>
      </c>
      <c r="CG178" s="1">
        <v>1.3375133196721312</v>
      </c>
      <c r="CH178" s="1">
        <v>1.3393455296990797</v>
      </c>
      <c r="CI178" s="1" t="s">
        <v>776</v>
      </c>
      <c r="CK178" s="284">
        <v>137.93100000000001</v>
      </c>
      <c r="CL178" s="1">
        <v>4.4493870967741938</v>
      </c>
      <c r="CM178" s="1">
        <v>3.5692131040662467</v>
      </c>
      <c r="CN178" s="1">
        <v>9.8650000000000002</v>
      </c>
      <c r="CP178" s="284">
        <v>182.548</v>
      </c>
      <c r="CQ178" s="1">
        <v>5.8886451612903228</v>
      </c>
      <c r="CR178" s="1">
        <v>6.0327622481769865</v>
      </c>
      <c r="CS178" s="1">
        <v>10.044</v>
      </c>
      <c r="CU178" s="284">
        <v>207.18100000000001</v>
      </c>
      <c r="CV178" s="1">
        <v>6.6832580645161297</v>
      </c>
      <c r="CW178" s="1">
        <v>6.3627046347793845</v>
      </c>
      <c r="CX178" s="1">
        <v>10.661</v>
      </c>
      <c r="CZ178" s="269">
        <v>26.693999999999999</v>
      </c>
      <c r="DA178" s="1">
        <v>0.86109677419354835</v>
      </c>
      <c r="DC178" s="284">
        <v>13.601715846994535</v>
      </c>
      <c r="DD178" s="1">
        <v>0.43876502732240436</v>
      </c>
      <c r="DE178" s="1">
        <v>0.43437771914065415</v>
      </c>
      <c r="DF178" s="1" t="s">
        <v>776</v>
      </c>
      <c r="DH178" s="284">
        <f>DI178*31</f>
        <v>66.436912909836067</v>
      </c>
      <c r="DI178" s="1">
        <f t="shared" si="269"/>
        <v>2.1431262228979375</v>
      </c>
      <c r="DJ178" s="1">
        <f t="shared" si="273"/>
        <v>2.2698960209856942</v>
      </c>
      <c r="DM178" s="284">
        <f>DN178*31</f>
        <v>3259.8899873975406</v>
      </c>
      <c r="DN178" s="1">
        <f t="shared" si="270"/>
        <v>105.15774152895293</v>
      </c>
      <c r="DO178" s="1">
        <f t="shared" si="275"/>
        <v>104.7301424058487</v>
      </c>
      <c r="DR178" s="284">
        <f>DS178*31</f>
        <v>567.95571584699462</v>
      </c>
      <c r="DS178" s="1">
        <f t="shared" si="267"/>
        <v>18.321152124096599</v>
      </c>
      <c r="DT178" s="1" t="e">
        <f>SUM(CM178+CR178+CW178+#REF!+DE178)</f>
        <v>#REF!</v>
      </c>
      <c r="DW178" s="284">
        <f>DX178*31</f>
        <v>3827.8457032445353</v>
      </c>
      <c r="DX178" s="1">
        <f t="shared" si="274"/>
        <v>123.47889365304952</v>
      </c>
      <c r="DY178" s="1">
        <f t="shared" si="276"/>
        <v>121.91959053037802</v>
      </c>
      <c r="EB178" s="2">
        <v>1.02</v>
      </c>
      <c r="EL178">
        <v>2012</v>
      </c>
      <c r="EM178" s="157" t="s">
        <v>714</v>
      </c>
      <c r="EN178" t="s">
        <v>841</v>
      </c>
      <c r="EO178">
        <v>237.179</v>
      </c>
      <c r="EP178" t="e">
        <f t="shared" si="250"/>
        <v>#VALUE!</v>
      </c>
    </row>
    <row r="179" spans="1:146" x14ac:dyDescent="0.25">
      <c r="A179" s="8">
        <v>2012</v>
      </c>
      <c r="B179" t="s">
        <v>705</v>
      </c>
      <c r="D179" s="284">
        <v>212.65299999999999</v>
      </c>
      <c r="E179" s="1">
        <v>7.0884333333333327</v>
      </c>
      <c r="F179" s="1">
        <v>8.5680079131133358</v>
      </c>
      <c r="G179" s="1">
        <v>8.5860000000000003</v>
      </c>
      <c r="N179" s="284">
        <v>98.74</v>
      </c>
      <c r="O179" s="1">
        <v>3.2913333333333332</v>
      </c>
      <c r="P179" s="1">
        <v>3.4701844549499445</v>
      </c>
      <c r="Q179" s="1">
        <v>5.7679999999999998</v>
      </c>
      <c r="S179" s="284">
        <v>159.279</v>
      </c>
      <c r="T179" s="1">
        <v>5.3092999999999995</v>
      </c>
      <c r="U179" s="1">
        <v>5.409515270053145</v>
      </c>
      <c r="V179" s="1">
        <v>9.109</v>
      </c>
      <c r="X179" s="284">
        <v>567.702</v>
      </c>
      <c r="Y179" s="1">
        <v>18.923400000000001</v>
      </c>
      <c r="Z179" s="1">
        <v>19.370631099369671</v>
      </c>
      <c r="AA179" s="1">
        <v>25.882000000000001</v>
      </c>
      <c r="AC179" s="284">
        <v>726.98099999999999</v>
      </c>
      <c r="AD179" s="1">
        <v>24.232700000000001</v>
      </c>
      <c r="AE179" s="1">
        <v>24.78014636942282</v>
      </c>
      <c r="AF179" s="1">
        <v>34.991</v>
      </c>
      <c r="AH179" s="299">
        <v>1578.931</v>
      </c>
      <c r="AI179" s="1">
        <v>52.631033333333335</v>
      </c>
      <c r="AJ179" s="1">
        <v>56.039147024471639</v>
      </c>
      <c r="AK179">
        <v>127.4</v>
      </c>
      <c r="AM179" s="299">
        <v>17.998000000000001</v>
      </c>
      <c r="AN179" s="1">
        <v>0.59993333333333332</v>
      </c>
      <c r="AO179" s="1">
        <v>0.71699111049314046</v>
      </c>
      <c r="AP179" t="s">
        <v>776</v>
      </c>
      <c r="AR179" s="284">
        <v>116.34099999999999</v>
      </c>
      <c r="AS179" s="1">
        <v>3.8780333333333332</v>
      </c>
      <c r="AT179" s="1">
        <v>4.2242957143739961</v>
      </c>
      <c r="AU179" s="1" t="s">
        <v>776</v>
      </c>
      <c r="AW179" s="284">
        <v>24.978000000000002</v>
      </c>
      <c r="AX179" s="1">
        <v>0.83260000000000001</v>
      </c>
      <c r="AY179" s="1">
        <v>0.53363203250525271</v>
      </c>
      <c r="AZ179" s="1" t="s">
        <v>776</v>
      </c>
      <c r="BB179" s="284">
        <v>21.382999999999999</v>
      </c>
      <c r="BC179" s="1">
        <v>0.71276666666666666</v>
      </c>
      <c r="BD179" s="1">
        <v>0.80086295575330613</v>
      </c>
      <c r="BE179" s="1" t="s">
        <v>776</v>
      </c>
      <c r="BG179" s="284">
        <v>16.186</v>
      </c>
      <c r="BH179" s="1">
        <v>0.53953333333333331</v>
      </c>
      <c r="BI179" s="1">
        <v>0.63844712643678159</v>
      </c>
      <c r="BJ179" s="1" t="s">
        <v>776</v>
      </c>
      <c r="BL179" s="284">
        <v>175.41958094262293</v>
      </c>
      <c r="BM179" s="1">
        <v>5.8473193647540977</v>
      </c>
      <c r="BN179" s="1">
        <v>5.2271857046669545</v>
      </c>
      <c r="BO179" s="1" t="s">
        <v>776</v>
      </c>
      <c r="BQ179" s="284">
        <v>9.7479999999999993</v>
      </c>
      <c r="BR179" s="1">
        <v>0.3249333333333333</v>
      </c>
      <c r="BS179" s="1">
        <v>0.3300924514893091</v>
      </c>
      <c r="BT179" s="1" t="s">
        <v>776</v>
      </c>
      <c r="BV179" s="284">
        <v>3.8809999999999998</v>
      </c>
      <c r="BW179" s="1">
        <v>0.12936666666666666</v>
      </c>
      <c r="BX179" s="1">
        <v>0.16509575145223085</v>
      </c>
      <c r="BY179" s="1" t="s">
        <v>776</v>
      </c>
      <c r="CA179" s="284">
        <v>11.266</v>
      </c>
      <c r="CB179" s="1">
        <v>0.37553333333333333</v>
      </c>
      <c r="CC179" s="1">
        <v>0.42248728834507476</v>
      </c>
      <c r="CD179" s="1" t="s">
        <v>776</v>
      </c>
      <c r="CF179" s="284">
        <v>40.125399590163937</v>
      </c>
      <c r="CG179" s="1">
        <v>1.3375133196721312</v>
      </c>
      <c r="CH179" s="1">
        <v>1.3390401613612548</v>
      </c>
      <c r="CI179" s="1" t="s">
        <v>776</v>
      </c>
      <c r="CK179" s="284">
        <v>132.196</v>
      </c>
      <c r="CL179" s="1">
        <v>4.406533333333333</v>
      </c>
      <c r="CM179" s="1">
        <v>3.73759643739958</v>
      </c>
      <c r="CN179" s="1">
        <v>10.260999999999999</v>
      </c>
      <c r="CP179" s="284">
        <v>164.65</v>
      </c>
      <c r="CQ179" s="1">
        <v>5.4883333333333333</v>
      </c>
      <c r="CR179" s="1">
        <v>5.9319511370658757</v>
      </c>
      <c r="CS179" s="1">
        <v>10.978999999999999</v>
      </c>
      <c r="CU179" s="284">
        <v>178.43700000000001</v>
      </c>
      <c r="CV179" s="1">
        <v>5.9479000000000006</v>
      </c>
      <c r="CW179" s="1">
        <v>6.2863463014460521</v>
      </c>
      <c r="CX179" s="1">
        <v>8.44</v>
      </c>
      <c r="CZ179" s="269">
        <v>25.798999999999999</v>
      </c>
      <c r="DA179" s="1">
        <v>0.85996666666666666</v>
      </c>
      <c r="DC179" s="284">
        <v>13.162950819672131</v>
      </c>
      <c r="DD179" s="1">
        <v>0.43876502732240436</v>
      </c>
      <c r="DE179" s="1">
        <v>0.43510893717094584</v>
      </c>
      <c r="DF179" s="1" t="s">
        <v>776</v>
      </c>
      <c r="DH179" s="284">
        <f>DI179*30</f>
        <v>65.020399590163919</v>
      </c>
      <c r="DI179" s="1">
        <f t="shared" si="269"/>
        <v>2.1673466530054641</v>
      </c>
      <c r="DJ179" s="1">
        <f t="shared" ref="DJ179:DJ193" si="277">SUM(DI168:DI179)/12</f>
        <v>2.2567156526478693</v>
      </c>
      <c r="DM179" s="284">
        <f>DN179*30</f>
        <v>2924.5901813524592</v>
      </c>
      <c r="DN179" s="1">
        <f t="shared" si="270"/>
        <v>97.486339378415309</v>
      </c>
      <c r="DO179" s="1">
        <f t="shared" si="275"/>
        <v>103.46898423380641</v>
      </c>
      <c r="DR179" s="284">
        <f>DS179*30</f>
        <v>514.244950819672</v>
      </c>
      <c r="DS179" s="1">
        <f t="shared" si="267"/>
        <v>17.141498360655735</v>
      </c>
      <c r="DT179" s="1" t="e">
        <f>SUM(CM179+CR179+CW179+#REF!+DE179)</f>
        <v>#REF!</v>
      </c>
      <c r="DW179" s="284">
        <f>DX179*30</f>
        <v>3438.8351321721311</v>
      </c>
      <c r="DX179" s="1">
        <f t="shared" ref="DX179:DX193" si="278">SUM(DN179+DS179)</f>
        <v>114.62783773907104</v>
      </c>
      <c r="DY179" s="1">
        <f t="shared" si="276"/>
        <v>120.6401719096994</v>
      </c>
      <c r="EB179" s="2">
        <v>1.92</v>
      </c>
      <c r="EL179">
        <v>2012</v>
      </c>
      <c r="EM179" s="157" t="s">
        <v>705</v>
      </c>
      <c r="EN179" t="s">
        <v>841</v>
      </c>
      <c r="EO179">
        <v>212.65299999999999</v>
      </c>
      <c r="EP179" t="e">
        <f t="shared" si="250"/>
        <v>#VALUE!</v>
      </c>
    </row>
    <row r="180" spans="1:146" x14ac:dyDescent="0.25">
      <c r="A180" s="8">
        <v>2012</v>
      </c>
      <c r="B180" t="s">
        <v>715</v>
      </c>
      <c r="D180" s="284">
        <v>205.75700000000001</v>
      </c>
      <c r="E180" s="1">
        <v>6.6373225806451615</v>
      </c>
      <c r="F180" s="1">
        <v>8.322338558274625</v>
      </c>
      <c r="G180" s="1">
        <v>8.3379999999999992</v>
      </c>
      <c r="N180" s="284">
        <v>103.02</v>
      </c>
      <c r="O180" s="1">
        <v>3.3232258064516129</v>
      </c>
      <c r="P180" s="1">
        <v>3.4385607990359657</v>
      </c>
      <c r="Q180" s="1">
        <v>6.1970000000000001</v>
      </c>
      <c r="S180" s="284">
        <v>159.374</v>
      </c>
      <c r="T180" s="1">
        <v>5.1410967741935485</v>
      </c>
      <c r="U180" s="1">
        <v>5.3622464528488436</v>
      </c>
      <c r="V180" s="1">
        <v>8.1940000000000008</v>
      </c>
      <c r="X180" s="284">
        <v>583.83399999999995</v>
      </c>
      <c r="Y180" s="1">
        <v>18.833354838709674</v>
      </c>
      <c r="Z180" s="1">
        <v>19.250571959584729</v>
      </c>
      <c r="AA180" s="1">
        <v>25.068999999999999</v>
      </c>
      <c r="AC180" s="284">
        <v>743.20799999999997</v>
      </c>
      <c r="AD180" s="1">
        <v>23.974451612903223</v>
      </c>
      <c r="AE180" s="1">
        <v>24.612818412433572</v>
      </c>
      <c r="AF180" s="1">
        <v>33.262999999999998</v>
      </c>
      <c r="AH180" s="299">
        <v>1584.7360000000001</v>
      </c>
      <c r="AI180" s="1">
        <v>51.120516129032261</v>
      </c>
      <c r="AJ180" s="1">
        <v>55.488410465331846</v>
      </c>
      <c r="AK180">
        <v>135.1</v>
      </c>
      <c r="AM180" s="299">
        <v>18.193000000000001</v>
      </c>
      <c r="AN180" s="1">
        <v>0.58687096774193548</v>
      </c>
      <c r="AO180" s="1">
        <v>0.71057444382647394</v>
      </c>
      <c r="AP180" t="s">
        <v>776</v>
      </c>
      <c r="AR180" s="284">
        <v>122.584</v>
      </c>
      <c r="AS180" s="1">
        <v>3.9543225806451612</v>
      </c>
      <c r="AT180" s="1">
        <v>4.2151102305030284</v>
      </c>
      <c r="AU180" s="1" t="s">
        <v>776</v>
      </c>
      <c r="AW180" s="284">
        <v>29.6</v>
      </c>
      <c r="AX180" s="1">
        <v>0.95483870967741935</v>
      </c>
      <c r="AY180" s="1">
        <v>0.58323418304288721</v>
      </c>
      <c r="AZ180" s="1" t="s">
        <v>776</v>
      </c>
      <c r="BB180" s="284">
        <v>21.634</v>
      </c>
      <c r="BC180" s="1">
        <v>0.69787096774193547</v>
      </c>
      <c r="BD180" s="1">
        <v>0.7927177944629834</v>
      </c>
      <c r="BE180" s="1" t="s">
        <v>776</v>
      </c>
      <c r="BG180" s="284">
        <v>18.905000000000001</v>
      </c>
      <c r="BH180" s="1">
        <v>0.60983870967741938</v>
      </c>
      <c r="BI180" s="1">
        <v>0.63486379310344832</v>
      </c>
      <c r="BJ180" s="1" t="s">
        <v>776</v>
      </c>
      <c r="BL180" s="284">
        <v>181.26690030737703</v>
      </c>
      <c r="BM180" s="1">
        <v>5.8473193647540977</v>
      </c>
      <c r="BN180" s="1">
        <v>5.3510138309535398</v>
      </c>
      <c r="BO180" s="1" t="s">
        <v>776</v>
      </c>
      <c r="BQ180" s="284">
        <v>10.241</v>
      </c>
      <c r="BR180" s="1">
        <v>0.33035483870967741</v>
      </c>
      <c r="BS180" s="1">
        <v>0.33094997837102952</v>
      </c>
      <c r="BT180" s="1" t="s">
        <v>776</v>
      </c>
      <c r="BV180" s="284">
        <v>5.5490000000000004</v>
      </c>
      <c r="BW180" s="1">
        <v>0.17900000000000002</v>
      </c>
      <c r="BX180" s="1">
        <v>0.16714951489309104</v>
      </c>
      <c r="BY180" s="1" t="s">
        <v>776</v>
      </c>
      <c r="CA180" s="284">
        <v>13.177</v>
      </c>
      <c r="CB180" s="1">
        <v>0.42506451612903223</v>
      </c>
      <c r="CC180" s="1">
        <v>0.42484212705475216</v>
      </c>
      <c r="CD180" s="1" t="s">
        <v>776</v>
      </c>
      <c r="CF180" s="284">
        <v>41.462912909836064</v>
      </c>
      <c r="CG180" s="1">
        <v>1.3375133196721312</v>
      </c>
      <c r="CH180" s="1">
        <v>1.3387347930234303</v>
      </c>
      <c r="CI180" s="1" t="s">
        <v>776</v>
      </c>
      <c r="CK180" s="284">
        <v>113.733</v>
      </c>
      <c r="CL180" s="1">
        <v>3.6688064516129035</v>
      </c>
      <c r="CM180" s="1">
        <v>3.8691824589049566</v>
      </c>
      <c r="CN180" s="1">
        <v>9.1069999999999993</v>
      </c>
      <c r="CP180" s="284">
        <v>175.19900000000001</v>
      </c>
      <c r="CQ180" s="1">
        <v>5.6515806451612907</v>
      </c>
      <c r="CR180" s="1">
        <v>5.864451137065875</v>
      </c>
      <c r="CS180" s="1">
        <v>9.5660000000000007</v>
      </c>
      <c r="CU180" s="284">
        <v>186.94399999999999</v>
      </c>
      <c r="CV180" s="1">
        <v>6.0304516129032253</v>
      </c>
      <c r="CW180" s="1">
        <v>6.2335801724137925</v>
      </c>
      <c r="CX180" s="1">
        <v>8.6229999999999993</v>
      </c>
      <c r="CZ180" s="269">
        <v>21.516999999999999</v>
      </c>
      <c r="DA180" s="1">
        <v>0.69409677419354832</v>
      </c>
      <c r="DC180" s="284">
        <v>13.601715846994535</v>
      </c>
      <c r="DD180" s="1">
        <v>0.43876502732240436</v>
      </c>
      <c r="DE180" s="1">
        <v>0.43584015520123748</v>
      </c>
      <c r="DF180" s="1" t="s">
        <v>776</v>
      </c>
      <c r="DH180" s="284">
        <f>DI180*31</f>
        <v>70.429912909836062</v>
      </c>
      <c r="DI180" s="1">
        <f t="shared" si="269"/>
        <v>2.2719326745108406</v>
      </c>
      <c r="DJ180" s="1">
        <f t="shared" si="277"/>
        <v>2.2616764133423026</v>
      </c>
      <c r="DM180" s="284">
        <f>DN180*31</f>
        <v>2958.4739873975409</v>
      </c>
      <c r="DN180" s="1">
        <f t="shared" si="270"/>
        <v>95.43464475475939</v>
      </c>
      <c r="DO180" s="1">
        <f t="shared" si="275"/>
        <v>101.88895912628028</v>
      </c>
      <c r="DR180" s="284">
        <f>DS180*31</f>
        <v>510.99471584699444</v>
      </c>
      <c r="DS180" s="1">
        <f t="shared" si="267"/>
        <v>16.483700511193369</v>
      </c>
      <c r="DT180" s="1" t="e">
        <f>SUM(CM180+CR180+CW180+#REF!+DE180)</f>
        <v>#REF!</v>
      </c>
      <c r="DW180" s="284">
        <f>DX180*31</f>
        <v>3469.4687032445354</v>
      </c>
      <c r="DX180" s="1">
        <f t="shared" si="278"/>
        <v>111.91834526595275</v>
      </c>
      <c r="DY180" s="1">
        <f t="shared" si="276"/>
        <v>119.05841296644013</v>
      </c>
      <c r="EB180" s="2">
        <v>3.28</v>
      </c>
      <c r="EL180">
        <v>2012</v>
      </c>
      <c r="EM180" s="157" t="s">
        <v>715</v>
      </c>
      <c r="EN180" t="s">
        <v>841</v>
      </c>
      <c r="EO180">
        <v>205.75700000000001</v>
      </c>
      <c r="EP180" t="e">
        <f t="shared" si="250"/>
        <v>#VALUE!</v>
      </c>
    </row>
    <row r="181" spans="1:146" x14ac:dyDescent="0.25">
      <c r="A181" s="8">
        <v>2012</v>
      </c>
      <c r="B181" t="s">
        <v>718</v>
      </c>
      <c r="D181" s="284">
        <v>196.54400000000001</v>
      </c>
      <c r="E181" s="1">
        <v>6.5510000000000002</v>
      </c>
      <c r="F181" s="1">
        <v>8.0779999999999994</v>
      </c>
      <c r="G181" s="1">
        <v>8.3030000000000008</v>
      </c>
      <c r="N181" s="284">
        <v>102.149</v>
      </c>
      <c r="O181" s="1">
        <v>3.4049999999999998</v>
      </c>
      <c r="P181" s="1">
        <v>3.43</v>
      </c>
      <c r="Q181" s="1">
        <v>13.489000000000001</v>
      </c>
      <c r="S181" s="284">
        <v>148.43799999999999</v>
      </c>
      <c r="T181" s="1">
        <v>4.9480000000000004</v>
      </c>
      <c r="U181" s="1">
        <v>5.35</v>
      </c>
      <c r="V181" s="1">
        <v>11.132</v>
      </c>
      <c r="X181" s="284">
        <v>561.41899999999998</v>
      </c>
      <c r="Y181" s="1">
        <v>18.713999999999999</v>
      </c>
      <c r="Z181" s="1">
        <v>19.207999999999998</v>
      </c>
      <c r="AA181" s="1">
        <v>30.132999999999999</v>
      </c>
      <c r="AC181" s="284">
        <v>709.85699999999997</v>
      </c>
      <c r="AD181" s="1">
        <v>23.661999999999999</v>
      </c>
      <c r="AE181" s="1">
        <v>24.559000000000001</v>
      </c>
      <c r="AF181" s="1">
        <v>41.265000000000001</v>
      </c>
      <c r="AH181" s="299">
        <v>1534.731</v>
      </c>
      <c r="AI181">
        <v>51.158000000000001</v>
      </c>
      <c r="AJ181">
        <v>55.585999999999999</v>
      </c>
      <c r="AK181">
        <v>144</v>
      </c>
      <c r="AM181" s="299">
        <v>16.260000000000002</v>
      </c>
      <c r="AN181">
        <v>0.54200000000000004</v>
      </c>
      <c r="AO181">
        <v>0.70399999999999996</v>
      </c>
      <c r="AP181" t="s">
        <v>776</v>
      </c>
      <c r="AR181" s="284">
        <v>102.48</v>
      </c>
      <c r="AS181" s="1">
        <v>3.4159999999999999</v>
      </c>
      <c r="AT181" s="1">
        <v>4.1879999999999997</v>
      </c>
      <c r="AU181" s="1" t="s">
        <v>776</v>
      </c>
      <c r="AW181" s="284">
        <v>21.54</v>
      </c>
      <c r="AX181" s="1">
        <v>0.71799999999999997</v>
      </c>
      <c r="AY181" s="1">
        <v>0.61399999999999999</v>
      </c>
      <c r="AZ181" s="1" t="s">
        <v>776</v>
      </c>
      <c r="BB181" s="284">
        <v>19.02</v>
      </c>
      <c r="BC181" s="1">
        <v>0.63400000000000001</v>
      </c>
      <c r="BD181" s="1">
        <v>0.78100000000000003</v>
      </c>
      <c r="BE181" s="1" t="s">
        <v>776</v>
      </c>
      <c r="BG181" s="284">
        <v>17.97</v>
      </c>
      <c r="BH181" s="1">
        <v>0.59899999999999998</v>
      </c>
      <c r="BI181" s="1">
        <v>0.63800000000000001</v>
      </c>
      <c r="BJ181" s="1" t="s">
        <v>776</v>
      </c>
      <c r="BL181" s="284">
        <v>175.42</v>
      </c>
      <c r="BM181" s="1">
        <v>5.8470000000000004</v>
      </c>
      <c r="BN181" s="1">
        <v>5.4749999999999996</v>
      </c>
      <c r="BO181" s="1" t="s">
        <v>776</v>
      </c>
      <c r="BQ181" s="284">
        <v>11.25</v>
      </c>
      <c r="BR181" s="1">
        <v>0.375</v>
      </c>
      <c r="BS181" s="1">
        <v>0.33500000000000002</v>
      </c>
      <c r="BT181" s="1" t="s">
        <v>776</v>
      </c>
      <c r="BV181" s="284">
        <v>4.26</v>
      </c>
      <c r="BW181" s="1">
        <v>0.14199999999999999</v>
      </c>
      <c r="BX181" s="1">
        <v>0.16700000000000001</v>
      </c>
      <c r="BY181" s="1" t="s">
        <v>776</v>
      </c>
      <c r="CA181" s="284">
        <v>10.86</v>
      </c>
      <c r="CB181" s="1">
        <v>0.36199999999999999</v>
      </c>
      <c r="CC181" s="1">
        <v>0.42299999999999999</v>
      </c>
      <c r="CD181" s="1" t="s">
        <v>776</v>
      </c>
      <c r="CF181" s="284">
        <v>40.125</v>
      </c>
      <c r="CG181" s="1">
        <v>1.3380000000000001</v>
      </c>
      <c r="CH181" s="1">
        <v>1.339</v>
      </c>
      <c r="CI181" s="1" t="s">
        <v>776</v>
      </c>
      <c r="CK181" s="284">
        <v>90.629000000000005</v>
      </c>
      <c r="CL181" s="1">
        <v>3.0209999999999999</v>
      </c>
      <c r="CM181" s="1">
        <v>3.9359999999999999</v>
      </c>
      <c r="CN181" s="1">
        <v>10.525</v>
      </c>
      <c r="CP181" s="284">
        <v>164.41800000000001</v>
      </c>
      <c r="CQ181" s="1">
        <v>5.4809999999999999</v>
      </c>
      <c r="CR181" s="1">
        <v>5.8179999999999996</v>
      </c>
      <c r="CS181" s="1">
        <v>8.2590000000000003</v>
      </c>
      <c r="CU181" s="284">
        <v>170.626</v>
      </c>
      <c r="CV181" s="1">
        <v>5.6879999999999997</v>
      </c>
      <c r="CW181" s="1">
        <v>6.1769999999999996</v>
      </c>
      <c r="CX181" s="1">
        <v>8.3970000000000002</v>
      </c>
      <c r="CZ181" s="269">
        <v>19.785</v>
      </c>
      <c r="DA181" s="1">
        <v>0.66</v>
      </c>
      <c r="DC181" s="284">
        <v>13.163</v>
      </c>
      <c r="DD181" s="1">
        <v>0.439</v>
      </c>
      <c r="DE181" s="1">
        <v>0.437</v>
      </c>
      <c r="DF181" s="1" t="s">
        <v>776</v>
      </c>
      <c r="DH181" s="284">
        <f>DI181*30</f>
        <v>66.510000000000005</v>
      </c>
      <c r="DI181" s="1">
        <f t="shared" si="269"/>
        <v>2.2170000000000001</v>
      </c>
      <c r="DJ181" s="1">
        <f t="shared" si="277"/>
        <v>2.2637560461429111</v>
      </c>
      <c r="DM181" s="284">
        <f>DN181*30</f>
        <v>2829.45</v>
      </c>
      <c r="DN181" s="1">
        <f t="shared" si="270"/>
        <v>94.314999999999998</v>
      </c>
      <c r="DO181" s="1">
        <f t="shared" ref="DO181:DO193" si="279">SUM(DN170:DN181)/12</f>
        <v>101.78928100603675</v>
      </c>
      <c r="DR181" s="284">
        <f>DS181*30</f>
        <v>458.66999999999996</v>
      </c>
      <c r="DS181" s="1">
        <f t="shared" si="267"/>
        <v>15.288999999999998</v>
      </c>
      <c r="DT181" s="1" t="e">
        <f>SUM(CM181+CR181+CW181+#REF!+DE181)</f>
        <v>#REF!</v>
      </c>
      <c r="DW181" s="284">
        <f>DX181*30</f>
        <v>3288.12</v>
      </c>
      <c r="DX181" s="1">
        <f t="shared" si="278"/>
        <v>109.604</v>
      </c>
      <c r="DY181" s="1">
        <f t="shared" ref="DY181:DY193" si="280">SUM(DX170:DX181)/12</f>
        <v>118.91846897861667</v>
      </c>
      <c r="EB181">
        <v>2.38</v>
      </c>
      <c r="EL181">
        <v>2012</v>
      </c>
      <c r="EM181" s="157" t="s">
        <v>718</v>
      </c>
      <c r="EN181" t="s">
        <v>841</v>
      </c>
      <c r="EO181">
        <v>196.54400000000001</v>
      </c>
      <c r="EP181" t="e">
        <f t="shared" si="250"/>
        <v>#VALUE!</v>
      </c>
    </row>
    <row r="182" spans="1:146" s="72" customFormat="1" x14ac:dyDescent="0.25">
      <c r="A182" s="8">
        <v>2012</v>
      </c>
      <c r="B182" s="69" t="s">
        <v>716</v>
      </c>
      <c r="D182" s="285">
        <v>206.27199999999999</v>
      </c>
      <c r="E182" s="33">
        <v>6.6539354838709679</v>
      </c>
      <c r="F182" s="33">
        <f>SUM(E171:E182)/12</f>
        <v>7.9260693826473867</v>
      </c>
      <c r="G182" s="6">
        <v>8.1950000000000003</v>
      </c>
      <c r="H182" s="6"/>
      <c r="I182" s="285"/>
      <c r="J182" s="6"/>
      <c r="K182" s="6"/>
      <c r="L182" s="6"/>
      <c r="M182" s="74"/>
      <c r="N182" s="285">
        <v>99.762</v>
      </c>
      <c r="O182" s="71">
        <v>3.2181290322580645</v>
      </c>
      <c r="P182" s="33">
        <f>SUM(O171:O182)/12</f>
        <v>3.4196905481399082</v>
      </c>
      <c r="Q182" s="6">
        <v>8.2919999999999998</v>
      </c>
      <c r="R182" s="74"/>
      <c r="S182" s="285">
        <v>137.29300000000001</v>
      </c>
      <c r="T182" s="71">
        <v>4.4288064516129033</v>
      </c>
      <c r="U182" s="33">
        <f>SUM(T171:T182)/12</f>
        <v>5.34172476826103</v>
      </c>
      <c r="V182" s="6">
        <v>9.8379999999999992</v>
      </c>
      <c r="W182" s="189"/>
      <c r="X182" s="285">
        <v>550.548</v>
      </c>
      <c r="Y182" s="71">
        <v>17.759612903225808</v>
      </c>
      <c r="Z182" s="33">
        <f>SUM(Y171:Y182)/12</f>
        <v>19.195633966753185</v>
      </c>
      <c r="AA182" s="6">
        <v>28</v>
      </c>
      <c r="AB182" s="74"/>
      <c r="AC182" s="298">
        <f>S182+X182</f>
        <v>687.84100000000001</v>
      </c>
      <c r="AD182" s="35">
        <v>22.188419354838711</v>
      </c>
      <c r="AE182" s="35">
        <f>SUM(AD171:AD182)/12</f>
        <v>24.537358735014209</v>
      </c>
      <c r="AF182" s="75">
        <f>V182+AA182</f>
        <v>37.838000000000001</v>
      </c>
      <c r="AG182" s="74"/>
      <c r="AH182" s="285">
        <v>1550.086</v>
      </c>
      <c r="AI182" s="71">
        <v>50.00277419354839</v>
      </c>
      <c r="AJ182" s="33">
        <f>SUM(AI171:AI182)/12</f>
        <v>55.624977669632926</v>
      </c>
      <c r="AK182" s="6">
        <v>119</v>
      </c>
      <c r="AL182" s="74"/>
      <c r="AM182" s="285">
        <v>15.401</v>
      </c>
      <c r="AN182" s="71">
        <v>0.49680645161290321</v>
      </c>
      <c r="AO182" s="33">
        <f>SUM(AN171:AN182)/12</f>
        <v>0.69733878074403666</v>
      </c>
      <c r="AP182" s="6" t="s">
        <v>776</v>
      </c>
      <c r="AQ182" s="74"/>
      <c r="AR182" s="285">
        <v>112.5</v>
      </c>
      <c r="AS182" s="71">
        <v>3.629032258064516</v>
      </c>
      <c r="AT182" s="33">
        <f>SUM(AS171:AS182)/12</f>
        <v>4.1853837072055375</v>
      </c>
      <c r="AU182" s="6" t="s">
        <v>776</v>
      </c>
      <c r="AV182" s="74"/>
      <c r="AW182" s="285">
        <v>28.04</v>
      </c>
      <c r="AX182" s="71">
        <v>0.90451612903225809</v>
      </c>
      <c r="AY182" s="33">
        <f>SUM(AX171:AX182)/12</f>
        <v>0.66345864540847854</v>
      </c>
      <c r="AZ182" s="6" t="s">
        <v>776</v>
      </c>
      <c r="BA182" s="74"/>
      <c r="BB182" s="285">
        <v>21.03</v>
      </c>
      <c r="BC182" s="71">
        <v>0.67838709677419362</v>
      </c>
      <c r="BD182" s="33">
        <f>SUM(BC171:BC182)/12</f>
        <v>0.77249664750957858</v>
      </c>
      <c r="BE182" s="6" t="s">
        <v>776</v>
      </c>
      <c r="BF182" s="74"/>
      <c r="BG182" s="285">
        <v>16.542000000000002</v>
      </c>
      <c r="BH182" s="71">
        <v>0.53361290322580646</v>
      </c>
      <c r="BI182" s="33">
        <f>SUM(BH171:BH182)/12</f>
        <v>0.63955402607835865</v>
      </c>
      <c r="BJ182" s="6" t="s">
        <v>776</v>
      </c>
      <c r="BK182" s="74"/>
      <c r="BL182" s="285">
        <v>181.26690030737703</v>
      </c>
      <c r="BM182" s="71">
        <v>5.8473193647540977</v>
      </c>
      <c r="BN182" s="33">
        <f>SUM(BM171:BM182)/12</f>
        <v>5.5996364984514182</v>
      </c>
      <c r="BO182" s="6" t="s">
        <v>776</v>
      </c>
      <c r="BP182" s="74"/>
      <c r="BQ182" s="284">
        <v>11.023999999999999</v>
      </c>
      <c r="BR182" s="34">
        <v>0.35561290322580641</v>
      </c>
      <c r="BS182" s="33">
        <f>SUM(BR171:BR182)/12</f>
        <v>0.33813214682981085</v>
      </c>
      <c r="BT182" s="6" t="s">
        <v>776</v>
      </c>
      <c r="BU182" s="74"/>
      <c r="BV182" s="284">
        <v>5.1829999999999998</v>
      </c>
      <c r="BW182" s="34">
        <v>0.16719354838709677</v>
      </c>
      <c r="BX182" s="33">
        <f>SUM(BW171:BW182)/12</f>
        <v>0.1685014862192559</v>
      </c>
      <c r="BY182" s="6" t="s">
        <v>776</v>
      </c>
      <c r="BZ182" s="74"/>
      <c r="CA182" s="285">
        <v>10.977</v>
      </c>
      <c r="CB182" s="71">
        <v>0.3540967741935484</v>
      </c>
      <c r="CC182" s="33">
        <f>SUM(CB171:CB182)/12</f>
        <v>0.42189436719812129</v>
      </c>
      <c r="CD182" s="6" t="s">
        <v>776</v>
      </c>
      <c r="CE182" s="74"/>
      <c r="CF182" s="285">
        <v>41.462912909836064</v>
      </c>
      <c r="CG182" s="71">
        <v>1.3375133196721312</v>
      </c>
      <c r="CH182" s="33">
        <f>SUM(CG171:CG182)/12</f>
        <v>1.3381646130417699</v>
      </c>
      <c r="CI182" s="6" t="s">
        <v>776</v>
      </c>
      <c r="CJ182" s="74"/>
      <c r="CK182" s="285">
        <v>62.838000000000001</v>
      </c>
      <c r="CL182" s="71">
        <v>2.0270322580645161</v>
      </c>
      <c r="CM182" s="33">
        <f>SUM(CL171:CL182)/12</f>
        <v>3.9591752008404399</v>
      </c>
      <c r="CN182" s="6">
        <v>9.8149999999999995</v>
      </c>
      <c r="CO182" s="74"/>
      <c r="CP182" s="285">
        <v>172.45400000000001</v>
      </c>
      <c r="CQ182" s="71">
        <v>5.5630322580645162</v>
      </c>
      <c r="CR182" s="33">
        <f>SUM(CQ171:CQ182)/12</f>
        <v>5.8041000617970573</v>
      </c>
      <c r="CS182" s="6">
        <v>9.1340000000000003</v>
      </c>
      <c r="CT182" s="74"/>
      <c r="CU182" s="285">
        <v>168.01900000000001</v>
      </c>
      <c r="CV182" s="71">
        <v>5.4199677419354844</v>
      </c>
      <c r="CW182" s="33">
        <f>SUM(CV171:CV182)/12</f>
        <v>6.1155558892596709</v>
      </c>
      <c r="CX182" s="6">
        <v>10.273999999999999</v>
      </c>
      <c r="CY182" s="6"/>
      <c r="CZ182" s="270">
        <v>16.858000000000001</v>
      </c>
      <c r="DA182" s="71">
        <v>0.5438064516129032</v>
      </c>
      <c r="DB182" s="74"/>
      <c r="DC182" s="285">
        <v>13.601715846994535</v>
      </c>
      <c r="DD182" s="71">
        <v>0.43876502732240436</v>
      </c>
      <c r="DE182" s="33">
        <f>SUM(DD171:DD182)/12</f>
        <v>0.43732217231828724</v>
      </c>
      <c r="DF182" s="6" t="s">
        <v>776</v>
      </c>
      <c r="DG182" s="70"/>
      <c r="DH182" s="284">
        <f>DI182*31</f>
        <v>68.646912909836061</v>
      </c>
      <c r="DI182" s="1">
        <f t="shared" si="269"/>
        <v>2.2144165454785827</v>
      </c>
      <c r="DJ182" s="1">
        <f t="shared" si="277"/>
        <v>2.2666926132889573</v>
      </c>
      <c r="DM182" s="284">
        <f>DN182*31</f>
        <v>2850.0939873975403</v>
      </c>
      <c r="DN182" s="1">
        <f t="shared" si="270"/>
        <v>91.938515722501307</v>
      </c>
      <c r="DO182" s="1">
        <f t="shared" si="279"/>
        <v>101.79927202754288</v>
      </c>
      <c r="DR182" s="284">
        <f>DS182*31</f>
        <v>433.77071584699456</v>
      </c>
      <c r="DS182" s="1">
        <f t="shared" si="267"/>
        <v>13.992603736999824</v>
      </c>
      <c r="DT182" s="1" t="e">
        <f>SUM(CM182+CR182+CW182+#REF!+DE182)</f>
        <v>#REF!</v>
      </c>
      <c r="DW182" s="284">
        <f>DX182*31</f>
        <v>3283.8647032445351</v>
      </c>
      <c r="DX182" s="1">
        <f t="shared" si="278"/>
        <v>105.93111945950113</v>
      </c>
      <c r="DY182" s="1">
        <f t="shared" si="280"/>
        <v>118.86963476654019</v>
      </c>
      <c r="EB182" s="72">
        <v>2.81</v>
      </c>
      <c r="EL182" s="72">
        <v>2012</v>
      </c>
      <c r="EM182" s="157" t="s">
        <v>716</v>
      </c>
      <c r="EN182" t="s">
        <v>841</v>
      </c>
      <c r="EO182">
        <v>206.27199999999999</v>
      </c>
      <c r="EP182" t="e">
        <f t="shared" si="250"/>
        <v>#VALUE!</v>
      </c>
    </row>
    <row r="183" spans="1:146" x14ac:dyDescent="0.25">
      <c r="A183" s="8">
        <v>2012</v>
      </c>
      <c r="B183" t="s">
        <v>708</v>
      </c>
      <c r="D183" s="284">
        <v>205.928</v>
      </c>
      <c r="E183" s="1">
        <v>6.6429999999999998</v>
      </c>
      <c r="F183" s="1">
        <v>7.7519999999999998</v>
      </c>
      <c r="G183" s="1">
        <v>7.8760000000000003</v>
      </c>
      <c r="N183" s="284">
        <v>96.334999999999994</v>
      </c>
      <c r="O183" s="1">
        <v>3.1080000000000001</v>
      </c>
      <c r="P183" s="1">
        <v>3.4039999999999999</v>
      </c>
      <c r="Q183" s="1">
        <v>10.148</v>
      </c>
      <c r="S183" s="284">
        <v>129.10400000000001</v>
      </c>
      <c r="T183" s="1">
        <v>4.165</v>
      </c>
      <c r="U183" s="1">
        <v>5.327</v>
      </c>
      <c r="V183" s="1">
        <v>7.423</v>
      </c>
      <c r="X183" s="284">
        <v>534.48099999999999</v>
      </c>
      <c r="Y183" s="1">
        <v>17.241</v>
      </c>
      <c r="Z183" s="1">
        <v>19.201000000000001</v>
      </c>
      <c r="AA183" s="1">
        <v>23.774000000000001</v>
      </c>
      <c r="AC183" s="284">
        <v>663.58500000000004</v>
      </c>
      <c r="AD183" s="1">
        <v>21.405999999999999</v>
      </c>
      <c r="AE183" s="1">
        <v>24.527000000000001</v>
      </c>
      <c r="AF183" s="1">
        <v>31.196999999999999</v>
      </c>
      <c r="AH183" s="299">
        <v>1510.3430000000001</v>
      </c>
      <c r="AI183">
        <v>48.720999999999997</v>
      </c>
      <c r="AJ183">
        <v>55.201000000000001</v>
      </c>
      <c r="AK183">
        <v>109</v>
      </c>
      <c r="AM183" s="299">
        <v>16.439</v>
      </c>
      <c r="AN183">
        <v>0.53</v>
      </c>
      <c r="AO183">
        <v>0.68500000000000005</v>
      </c>
      <c r="AP183" t="s">
        <v>776</v>
      </c>
      <c r="AR183" s="284">
        <v>107.373</v>
      </c>
      <c r="AS183" s="1">
        <v>3.464</v>
      </c>
      <c r="AT183" s="1">
        <v>4.1609999999999996</v>
      </c>
      <c r="AU183" s="1" t="s">
        <v>776</v>
      </c>
      <c r="AW183" s="284">
        <v>28.311</v>
      </c>
      <c r="AX183" s="1">
        <v>0.91300000000000003</v>
      </c>
      <c r="AY183" s="1">
        <v>0.70099999999999996</v>
      </c>
      <c r="AZ183" s="1" t="s">
        <v>776</v>
      </c>
      <c r="BB183" s="284">
        <v>22.321000000000002</v>
      </c>
      <c r="BC183" s="1">
        <v>0.72</v>
      </c>
      <c r="BD183" s="1">
        <v>0.76</v>
      </c>
      <c r="BE183" s="1" t="s">
        <v>776</v>
      </c>
      <c r="BG183" s="284">
        <v>15.115</v>
      </c>
      <c r="BH183" s="1">
        <v>0.48799999999999999</v>
      </c>
      <c r="BI183" s="1">
        <v>0.628</v>
      </c>
      <c r="BJ183" s="1" t="s">
        <v>776</v>
      </c>
      <c r="BL183" s="284">
        <v>181.267</v>
      </c>
      <c r="BM183" s="1">
        <v>5.8470000000000004</v>
      </c>
      <c r="BN183" s="1">
        <v>5.7220000000000004</v>
      </c>
      <c r="BO183" s="1" t="s">
        <v>776</v>
      </c>
      <c r="BQ183" s="284">
        <v>9.9870000000000001</v>
      </c>
      <c r="BR183" s="1">
        <v>0.32200000000000001</v>
      </c>
      <c r="BS183" s="1">
        <v>0.34</v>
      </c>
      <c r="BT183" s="1" t="s">
        <v>776</v>
      </c>
      <c r="BV183" s="284">
        <v>4.7320000000000002</v>
      </c>
      <c r="BW183" s="1">
        <v>0.153</v>
      </c>
      <c r="BX183" s="1">
        <v>0.17100000000000001</v>
      </c>
      <c r="BY183" s="1" t="s">
        <v>776</v>
      </c>
      <c r="CA183" s="284">
        <v>11.241</v>
      </c>
      <c r="CB183" s="1">
        <v>0.36299999999999999</v>
      </c>
      <c r="CC183" s="1">
        <v>0.42</v>
      </c>
      <c r="CD183" s="1" t="s">
        <v>776</v>
      </c>
      <c r="CF183" s="284">
        <v>41.463000000000001</v>
      </c>
      <c r="CG183" s="1">
        <v>1.3380000000000001</v>
      </c>
      <c r="CH183" s="1">
        <v>1.3380000000000001</v>
      </c>
      <c r="CI183" s="1" t="s">
        <v>776</v>
      </c>
      <c r="CK183" s="284">
        <v>60.137</v>
      </c>
      <c r="CL183" s="1">
        <v>1.94</v>
      </c>
      <c r="CM183" s="1">
        <v>3.9020000000000001</v>
      </c>
      <c r="CN183" s="1">
        <v>10.5</v>
      </c>
      <c r="CP183" s="284">
        <v>166.55099999999999</v>
      </c>
      <c r="CQ183" s="1">
        <v>5.3730000000000002</v>
      </c>
      <c r="CR183" s="1">
        <v>5.798</v>
      </c>
      <c r="CS183" s="1">
        <v>8.3480000000000008</v>
      </c>
      <c r="CU183" s="284">
        <v>186.94300000000001</v>
      </c>
      <c r="CV183" s="1">
        <v>6.03</v>
      </c>
      <c r="CW183" s="1">
        <v>6.125</v>
      </c>
      <c r="CX183" s="1">
        <v>8.6229999999999993</v>
      </c>
      <c r="CZ183" s="269">
        <v>15.907</v>
      </c>
      <c r="DA183" s="1">
        <v>0.51300000000000001</v>
      </c>
      <c r="DC183" s="284">
        <v>13.602</v>
      </c>
      <c r="DD183" s="1">
        <v>0.439</v>
      </c>
      <c r="DE183" s="1">
        <v>0.438</v>
      </c>
      <c r="DF183" s="1" t="s">
        <v>776</v>
      </c>
      <c r="DH183" s="284">
        <f>DI183*31</f>
        <v>67.456000000000003</v>
      </c>
      <c r="DI183" s="1">
        <f t="shared" si="269"/>
        <v>2.1760000000000002</v>
      </c>
      <c r="DJ183" s="1">
        <f t="shared" si="277"/>
        <v>2.2681509199246914</v>
      </c>
      <c r="DK183" s="72"/>
      <c r="DL183" s="72"/>
      <c r="DM183" s="284">
        <f>DN183*31</f>
        <v>2779.5839999999994</v>
      </c>
      <c r="DN183" s="1">
        <f t="shared" si="270"/>
        <v>89.663999999999973</v>
      </c>
      <c r="DO183" s="1">
        <f t="shared" si="279"/>
        <v>101.27505071733519</v>
      </c>
      <c r="DP183" s="72"/>
      <c r="DQ183" s="72"/>
      <c r="DR183" s="284">
        <f>DS183*31</f>
        <v>443.14499999999998</v>
      </c>
      <c r="DS183" s="1">
        <f t="shared" si="267"/>
        <v>14.295</v>
      </c>
      <c r="DT183" s="1" t="e">
        <f>SUM(CM183+CR183+CW183+#REF!+DE183)</f>
        <v>#REF!</v>
      </c>
      <c r="DW183" s="284">
        <f>DX183*31</f>
        <v>3222.7289999999994</v>
      </c>
      <c r="DX183" s="1">
        <f t="shared" si="278"/>
        <v>103.95899999999997</v>
      </c>
      <c r="DY183" s="1">
        <f t="shared" si="280"/>
        <v>118.28632823391389</v>
      </c>
      <c r="EB183" s="2">
        <v>2.78</v>
      </c>
      <c r="EL183">
        <v>2012</v>
      </c>
      <c r="EM183" s="157" t="s">
        <v>708</v>
      </c>
      <c r="EN183" t="s">
        <v>841</v>
      </c>
      <c r="EO183">
        <v>205.928</v>
      </c>
      <c r="EP183" t="e">
        <f t="shared" si="250"/>
        <v>#VALUE!</v>
      </c>
    </row>
    <row r="184" spans="1:146" x14ac:dyDescent="0.25">
      <c r="A184" s="8">
        <v>2012</v>
      </c>
      <c r="B184" t="s">
        <v>709</v>
      </c>
      <c r="D184" s="284">
        <v>143.459</v>
      </c>
      <c r="E184" s="1">
        <v>4.782</v>
      </c>
      <c r="F184" s="1">
        <v>7.28</v>
      </c>
      <c r="G184" s="1">
        <v>6.3609999999999998</v>
      </c>
      <c r="N184" s="284">
        <v>91.736000000000004</v>
      </c>
      <c r="O184" s="1">
        <v>3.0579999999999998</v>
      </c>
      <c r="P184" s="1">
        <v>3.3490000000000002</v>
      </c>
      <c r="Q184" s="1">
        <v>7.0049999999999999</v>
      </c>
      <c r="S184" s="284">
        <v>121.255</v>
      </c>
      <c r="T184" s="1">
        <v>4.0419999999999998</v>
      </c>
      <c r="U184" s="1">
        <v>5.2009999999999996</v>
      </c>
      <c r="V184" s="1">
        <v>7.992</v>
      </c>
      <c r="X184" s="284">
        <v>503.52199999999999</v>
      </c>
      <c r="Y184" s="1">
        <v>16.783999999999999</v>
      </c>
      <c r="Z184" s="1">
        <v>18.966999999999999</v>
      </c>
      <c r="AA184" s="1">
        <v>24.716000000000001</v>
      </c>
      <c r="AC184" s="284">
        <v>624.77700000000004</v>
      </c>
      <c r="AD184" s="1">
        <v>20.826000000000001</v>
      </c>
      <c r="AE184" s="1">
        <v>24.167999999999999</v>
      </c>
      <c r="AF184" s="1">
        <v>32.707999999999998</v>
      </c>
      <c r="AH184" s="299">
        <v>1464.9580000000001</v>
      </c>
      <c r="AI184">
        <v>48.832000000000001</v>
      </c>
      <c r="AJ184">
        <v>53.88</v>
      </c>
      <c r="AK184">
        <v>120.5</v>
      </c>
      <c r="AM184" s="299">
        <v>16.77</v>
      </c>
      <c r="AN184">
        <v>0.55900000000000005</v>
      </c>
      <c r="AO184">
        <v>0.63900000000000001</v>
      </c>
      <c r="AP184" t="s">
        <v>776</v>
      </c>
      <c r="AR184" s="284">
        <v>112.32</v>
      </c>
      <c r="AS184" s="1">
        <v>3.7440000000000002</v>
      </c>
      <c r="AT184" s="1">
        <v>4.0570000000000004</v>
      </c>
      <c r="AU184" s="1" t="s">
        <v>776</v>
      </c>
      <c r="AW184" s="284">
        <v>28.89</v>
      </c>
      <c r="AX184" s="1">
        <v>0.96299999999999997</v>
      </c>
      <c r="AY184" s="1">
        <v>0.71799999999999997</v>
      </c>
      <c r="AZ184" s="1" t="s">
        <v>776</v>
      </c>
      <c r="BB184" s="284">
        <v>12.9</v>
      </c>
      <c r="BC184" s="1">
        <v>0.43</v>
      </c>
      <c r="BD184" s="1">
        <v>0.71499999999999997</v>
      </c>
      <c r="BE184" s="1" t="s">
        <v>776</v>
      </c>
      <c r="BG184" s="284">
        <v>16.5</v>
      </c>
      <c r="BH184" s="1">
        <v>0.55000000000000004</v>
      </c>
      <c r="BI184" s="1">
        <v>0.60299999999999998</v>
      </c>
      <c r="BJ184" s="1" t="s">
        <v>776</v>
      </c>
      <c r="BL184" s="284">
        <v>175.42</v>
      </c>
      <c r="BM184" s="1">
        <v>5.8470000000000004</v>
      </c>
      <c r="BN184" s="1">
        <v>5.8470000000000004</v>
      </c>
      <c r="BO184" s="1" t="s">
        <v>776</v>
      </c>
      <c r="BQ184" s="284">
        <v>10.44</v>
      </c>
      <c r="BR184" s="1">
        <v>0.34799999999999998</v>
      </c>
      <c r="BS184" s="1">
        <v>0.33700000000000002</v>
      </c>
      <c r="BT184" s="1" t="s">
        <v>776</v>
      </c>
      <c r="BV184" s="284">
        <v>5.0999999999999996</v>
      </c>
      <c r="BW184" s="1">
        <v>0.17</v>
      </c>
      <c r="BX184" s="1">
        <v>0.16700000000000001</v>
      </c>
      <c r="BY184" s="1" t="s">
        <v>776</v>
      </c>
      <c r="CA184" s="284">
        <v>12.42</v>
      </c>
      <c r="CB184" s="1">
        <v>0.41399999999999998</v>
      </c>
      <c r="CC184" s="1">
        <v>0.40600000000000003</v>
      </c>
      <c r="CD184" s="1" t="s">
        <v>776</v>
      </c>
      <c r="CF184" s="284">
        <v>40.125</v>
      </c>
      <c r="CG184" s="1">
        <v>1.3380000000000001</v>
      </c>
      <c r="CH184" s="1">
        <v>1.3380000000000001</v>
      </c>
      <c r="CI184" s="1" t="s">
        <v>776</v>
      </c>
      <c r="CK184" s="284">
        <v>126.627</v>
      </c>
      <c r="CL184" s="1">
        <v>4.2210000000000001</v>
      </c>
      <c r="CM184" s="1">
        <v>3.722</v>
      </c>
      <c r="CN184" s="1">
        <v>7.593</v>
      </c>
      <c r="CP184" s="284">
        <v>178.43700000000001</v>
      </c>
      <c r="CQ184" s="1">
        <v>5.9480000000000004</v>
      </c>
      <c r="CR184" s="1">
        <v>5.7649999999999997</v>
      </c>
      <c r="CS184" s="1">
        <v>9.1679999999999993</v>
      </c>
      <c r="CU184" s="284">
        <v>148.59700000000001</v>
      </c>
      <c r="CV184" s="1">
        <v>4.9530000000000003</v>
      </c>
      <c r="CW184" s="1">
        <v>6.0090000000000003</v>
      </c>
      <c r="CX184" s="1">
        <v>9.9459999999999997</v>
      </c>
      <c r="CZ184" s="269">
        <v>19.53</v>
      </c>
      <c r="DA184" s="1">
        <v>0.65100000000000002</v>
      </c>
      <c r="DC184" s="284">
        <v>13.163</v>
      </c>
      <c r="DD184" s="1">
        <v>0.439</v>
      </c>
      <c r="DE184" s="1">
        <v>0.439</v>
      </c>
      <c r="DF184" s="1" t="s">
        <v>776</v>
      </c>
      <c r="DH184" s="284">
        <f>DI184*30</f>
        <v>68.099999999999994</v>
      </c>
      <c r="DI184" s="1">
        <f t="shared" si="269"/>
        <v>2.27</v>
      </c>
      <c r="DJ184" s="1">
        <f t="shared" si="277"/>
        <v>2.2470277749475227</v>
      </c>
      <c r="DK184" s="72"/>
      <c r="DL184" s="72"/>
      <c r="DM184" s="284">
        <f>DN184*30</f>
        <v>2619.63</v>
      </c>
      <c r="DN184" s="1">
        <f t="shared" si="270"/>
        <v>87.320999999999998</v>
      </c>
      <c r="DO184" s="1">
        <f t="shared" si="279"/>
        <v>99.008108708202769</v>
      </c>
      <c r="DP184" s="72"/>
      <c r="DQ184" s="72"/>
      <c r="DR184" s="284">
        <f>DS184*30</f>
        <v>486.36</v>
      </c>
      <c r="DS184" s="1">
        <f t="shared" si="267"/>
        <v>16.212</v>
      </c>
      <c r="DT184" s="1" t="e">
        <f>SUM(CM184+CR184+CW184+#REF!+DE184)</f>
        <v>#REF!</v>
      </c>
      <c r="DW184" s="284">
        <f>DX184*30</f>
        <v>3105.9900000000002</v>
      </c>
      <c r="DX184" s="1">
        <f t="shared" si="278"/>
        <v>103.533</v>
      </c>
      <c r="DY184" s="1">
        <f t="shared" si="280"/>
        <v>115.681189801646</v>
      </c>
      <c r="EB184" s="2">
        <v>4.29</v>
      </c>
      <c r="EL184">
        <v>2012</v>
      </c>
      <c r="EM184" s="157" t="s">
        <v>709</v>
      </c>
      <c r="EN184" t="s">
        <v>841</v>
      </c>
      <c r="EO184">
        <v>143.459</v>
      </c>
      <c r="EP184" t="e">
        <f t="shared" si="250"/>
        <v>#VALUE!</v>
      </c>
    </row>
    <row r="185" spans="1:146" x14ac:dyDescent="0.25">
      <c r="A185" s="8">
        <v>2012</v>
      </c>
      <c r="B185" t="s">
        <v>710</v>
      </c>
      <c r="D185" s="284">
        <v>159.642</v>
      </c>
      <c r="E185" s="1">
        <v>5.15</v>
      </c>
      <c r="F185" s="1">
        <v>6.9820000000000002</v>
      </c>
      <c r="G185" s="1">
        <v>12.324</v>
      </c>
      <c r="N185" s="284">
        <v>98.399000000000001</v>
      </c>
      <c r="O185" s="1">
        <v>3.1739999999999999</v>
      </c>
      <c r="P185" s="1">
        <v>3.3260000000000001</v>
      </c>
      <c r="Q185" s="1">
        <v>10.504</v>
      </c>
      <c r="S185" s="284">
        <v>149.90100000000001</v>
      </c>
      <c r="T185" s="1">
        <v>4.8360000000000003</v>
      </c>
      <c r="U185" s="1">
        <v>5.1589999999999998</v>
      </c>
      <c r="V185" s="1">
        <v>24.341999999999999</v>
      </c>
      <c r="X185" s="284">
        <v>558.83399999999995</v>
      </c>
      <c r="Y185" s="1">
        <v>18.027000000000001</v>
      </c>
      <c r="Z185" s="1">
        <v>18.885000000000002</v>
      </c>
      <c r="AA185" s="1">
        <v>39.161000000000001</v>
      </c>
      <c r="AC185" s="284">
        <v>708.73500000000001</v>
      </c>
      <c r="AD185" s="1">
        <v>22.861999999999998</v>
      </c>
      <c r="AE185" s="1">
        <v>24.044</v>
      </c>
      <c r="AF185" s="1">
        <v>63.503</v>
      </c>
      <c r="AH185" s="299">
        <v>1617.806</v>
      </c>
      <c r="AI185">
        <v>52.186999999999998</v>
      </c>
      <c r="AJ185">
        <v>53.500999999999998</v>
      </c>
      <c r="AK185">
        <v>200.7</v>
      </c>
      <c r="AM185" s="299">
        <v>21.792999999999999</v>
      </c>
      <c r="AN185">
        <v>0.70299999999999996</v>
      </c>
      <c r="AO185">
        <v>0.63400000000000001</v>
      </c>
      <c r="AP185" t="s">
        <v>776</v>
      </c>
      <c r="AR185" s="284">
        <v>98.207999999999998</v>
      </c>
      <c r="AS185" s="1">
        <v>3.1680000000000001</v>
      </c>
      <c r="AT185" s="1">
        <v>3.9390000000000001</v>
      </c>
      <c r="AU185" s="1" t="s">
        <v>776</v>
      </c>
      <c r="AW185" s="284">
        <v>30.039000000000001</v>
      </c>
      <c r="AX185" s="1">
        <v>0.96899999999999997</v>
      </c>
      <c r="AY185" s="1">
        <v>0.75900000000000001</v>
      </c>
      <c r="AZ185" s="1" t="s">
        <v>776</v>
      </c>
      <c r="BB185" s="284">
        <v>20.305</v>
      </c>
      <c r="BC185" s="1">
        <v>0.65500000000000003</v>
      </c>
      <c r="BD185" s="1">
        <v>0.71</v>
      </c>
      <c r="BE185" s="1" t="s">
        <v>776</v>
      </c>
      <c r="BG185" s="284">
        <v>20.428999999999998</v>
      </c>
      <c r="BH185" s="1">
        <v>0.65900000000000003</v>
      </c>
      <c r="BI185" s="1">
        <v>0.60499999999999998</v>
      </c>
      <c r="BJ185" s="1" t="s">
        <v>776</v>
      </c>
      <c r="BL185" s="284">
        <v>193.98</v>
      </c>
      <c r="BM185" s="1">
        <v>6.2569999999999997</v>
      </c>
      <c r="BN185" s="1">
        <v>5.8810000000000002</v>
      </c>
      <c r="BO185" s="1" t="s">
        <v>776</v>
      </c>
      <c r="BQ185" s="284">
        <v>10.695</v>
      </c>
      <c r="BR185" s="1">
        <v>0.34499999999999997</v>
      </c>
      <c r="BS185" s="1">
        <v>0.33700000000000002</v>
      </c>
      <c r="BT185" s="1" t="s">
        <v>776</v>
      </c>
      <c r="BV185" s="284">
        <v>6.2309999999999999</v>
      </c>
      <c r="BW185" s="1">
        <v>0.20100000000000001</v>
      </c>
      <c r="BX185" s="1">
        <v>0.16700000000000001</v>
      </c>
      <c r="BY185" s="1" t="s">
        <v>776</v>
      </c>
      <c r="CA185" s="284">
        <v>12.586</v>
      </c>
      <c r="CB185" s="1">
        <v>0.40600000000000003</v>
      </c>
      <c r="CC185" s="1">
        <v>0.40200000000000002</v>
      </c>
      <c r="CD185" s="1" t="s">
        <v>776</v>
      </c>
      <c r="CF185" s="284">
        <v>41.463000000000001</v>
      </c>
      <c r="CG185" s="1">
        <v>1.3380000000000001</v>
      </c>
      <c r="CH185" s="1">
        <v>1.3380000000000001</v>
      </c>
      <c r="CI185" s="1" t="s">
        <v>776</v>
      </c>
      <c r="CK185" s="284">
        <v>283.73700000000002</v>
      </c>
      <c r="CL185" s="1">
        <v>9.1530000000000005</v>
      </c>
      <c r="CM185" s="1">
        <v>4.09</v>
      </c>
      <c r="CN185" s="1">
        <v>19.760999999999999</v>
      </c>
      <c r="CP185" s="284">
        <v>203.88900000000001</v>
      </c>
      <c r="CQ185" s="1">
        <v>6.577</v>
      </c>
      <c r="CR185" s="1">
        <v>5.8019999999999996</v>
      </c>
      <c r="CS185" s="1">
        <v>15.975</v>
      </c>
      <c r="CU185" s="284">
        <v>170.38499999999999</v>
      </c>
      <c r="CV185" s="1">
        <v>5.4960000000000004</v>
      </c>
      <c r="CW185" s="1">
        <v>5.9470000000000001</v>
      </c>
      <c r="CX185" s="1">
        <v>14.731</v>
      </c>
      <c r="CZ185" s="269">
        <v>22.324000000000002</v>
      </c>
      <c r="DA185" s="1">
        <v>0.72</v>
      </c>
      <c r="DC185" s="284">
        <v>13.43</v>
      </c>
      <c r="DD185" s="1">
        <v>0.433</v>
      </c>
      <c r="DE185" s="1">
        <v>0.439</v>
      </c>
      <c r="DF185" s="1" t="s">
        <v>776</v>
      </c>
      <c r="DH185" s="284">
        <f>DI185*31</f>
        <v>70.989999999999995</v>
      </c>
      <c r="DI185" s="1">
        <f t="shared" si="269"/>
        <v>2.29</v>
      </c>
      <c r="DJ185" s="1">
        <f t="shared" si="277"/>
        <v>2.244081772501727</v>
      </c>
      <c r="DK185" s="72"/>
      <c r="DL185" s="72"/>
      <c r="DM185" s="284">
        <f>DN185*31</f>
        <v>2898.3139999999999</v>
      </c>
      <c r="DN185" s="1">
        <f t="shared" si="270"/>
        <v>93.494</v>
      </c>
      <c r="DO185" s="1">
        <f t="shared" si="279"/>
        <v>98.135649064660981</v>
      </c>
      <c r="DP185" s="72"/>
      <c r="DQ185" s="72"/>
      <c r="DR185" s="284">
        <f>DS185*31</f>
        <v>693.74899999999991</v>
      </c>
      <c r="DS185" s="1">
        <f t="shared" si="267"/>
        <v>22.378999999999998</v>
      </c>
      <c r="DT185" s="1" t="e">
        <f>SUM(CM185+CR185+CW185+#REF!+DE185)</f>
        <v>#REF!</v>
      </c>
      <c r="DW185" s="284">
        <f>DX185*31</f>
        <v>3592.0629999999996</v>
      </c>
      <c r="DX185" s="1">
        <f t="shared" si="278"/>
        <v>115.87299999999999</v>
      </c>
      <c r="DY185" s="1">
        <f t="shared" si="280"/>
        <v>115.14460726604244</v>
      </c>
      <c r="EB185" s="2">
        <v>5.82</v>
      </c>
      <c r="EL185">
        <v>2012</v>
      </c>
      <c r="EM185" s="157" t="s">
        <v>710</v>
      </c>
      <c r="EN185" t="s">
        <v>841</v>
      </c>
      <c r="EO185">
        <v>159.642</v>
      </c>
      <c r="EP185" t="e">
        <f t="shared" si="250"/>
        <v>#VALUE!</v>
      </c>
    </row>
    <row r="186" spans="1:146" x14ac:dyDescent="0.25">
      <c r="A186" s="8">
        <v>2012</v>
      </c>
      <c r="B186" t="s">
        <v>711</v>
      </c>
      <c r="D186" s="284">
        <v>163.428</v>
      </c>
      <c r="E186" s="1">
        <v>5.4480000000000004</v>
      </c>
      <c r="F186" s="1">
        <v>6.7560000000000002</v>
      </c>
      <c r="G186" s="1">
        <v>6.8390000000000004</v>
      </c>
      <c r="N186" s="284">
        <v>93.680999999999997</v>
      </c>
      <c r="O186" s="1">
        <v>3.1230000000000002</v>
      </c>
      <c r="P186" s="1">
        <v>3.306</v>
      </c>
      <c r="Q186" s="1">
        <v>5.7249999999999996</v>
      </c>
      <c r="S186" s="284">
        <v>139.15700000000001</v>
      </c>
      <c r="T186" s="1">
        <v>4.6390000000000002</v>
      </c>
      <c r="U186" s="1">
        <v>5.0979999999999999</v>
      </c>
      <c r="V186" s="1">
        <v>7.8159999999999998</v>
      </c>
      <c r="X186" s="284">
        <v>553.89800000000002</v>
      </c>
      <c r="Y186" s="1">
        <v>18.463000000000001</v>
      </c>
      <c r="Z186" s="1">
        <v>18.824999999999999</v>
      </c>
      <c r="AA186" s="1">
        <v>24.744</v>
      </c>
      <c r="AC186" s="284">
        <v>693.05499999999995</v>
      </c>
      <c r="AD186" s="1">
        <v>23.102</v>
      </c>
      <c r="AE186" s="1">
        <v>23.922999999999998</v>
      </c>
      <c r="AF186" s="1">
        <v>32.56</v>
      </c>
      <c r="AH186" s="299">
        <v>1559.6279999999999</v>
      </c>
      <c r="AI186">
        <v>51.988</v>
      </c>
      <c r="AJ186">
        <v>53.25</v>
      </c>
      <c r="AK186">
        <v>129.19999999999999</v>
      </c>
      <c r="AM186" s="299">
        <v>25.800999999999998</v>
      </c>
      <c r="AN186">
        <v>0.86</v>
      </c>
      <c r="AO186">
        <v>0.65</v>
      </c>
      <c r="AP186" t="s">
        <v>776</v>
      </c>
      <c r="AR186" s="284">
        <v>114.06</v>
      </c>
      <c r="AS186" s="1">
        <v>3.802</v>
      </c>
      <c r="AT186" s="1">
        <v>3.8929999999999998</v>
      </c>
      <c r="AU186" s="1" t="s">
        <v>776</v>
      </c>
      <c r="AW186" s="284">
        <v>28.844999999999999</v>
      </c>
      <c r="AX186" s="1">
        <v>0.96199999999999997</v>
      </c>
      <c r="AY186" s="1">
        <v>0.80400000000000005</v>
      </c>
      <c r="AZ186" s="1" t="s">
        <v>776</v>
      </c>
      <c r="BB186" s="284">
        <v>19.73</v>
      </c>
      <c r="BC186" s="1">
        <v>0.65800000000000003</v>
      </c>
      <c r="BD186" s="1">
        <v>0.70099999999999996</v>
      </c>
      <c r="BE186" s="1" t="s">
        <v>776</v>
      </c>
      <c r="BG186" s="284">
        <v>18.343</v>
      </c>
      <c r="BH186" s="1">
        <v>0.61099999999999999</v>
      </c>
      <c r="BI186" s="1">
        <v>0.59899999999999998</v>
      </c>
      <c r="BJ186" s="1" t="s">
        <v>776</v>
      </c>
      <c r="BL186" s="284">
        <v>187.72300000000001</v>
      </c>
      <c r="BM186" s="1">
        <v>6.2569999999999997</v>
      </c>
      <c r="BN186" s="1">
        <v>5.915</v>
      </c>
      <c r="BO186" s="1" t="s">
        <v>776</v>
      </c>
      <c r="BQ186" s="284">
        <v>9.5250000000000004</v>
      </c>
      <c r="BR186" s="1">
        <v>0.318</v>
      </c>
      <c r="BS186" s="1">
        <v>0.33700000000000002</v>
      </c>
      <c r="BT186" s="1" t="s">
        <v>776</v>
      </c>
      <c r="BV186" s="284">
        <v>4.8099999999999996</v>
      </c>
      <c r="BW186" s="1">
        <v>0.16</v>
      </c>
      <c r="BX186" s="1">
        <v>0.16600000000000001</v>
      </c>
      <c r="BY186" s="1" t="s">
        <v>776</v>
      </c>
      <c r="CA186" s="284">
        <v>11.943</v>
      </c>
      <c r="CB186" s="1">
        <v>0.39800000000000002</v>
      </c>
      <c r="CC186" s="1">
        <v>0.40300000000000002</v>
      </c>
      <c r="CD186" s="1" t="s">
        <v>776</v>
      </c>
      <c r="CF186" s="284">
        <v>40.125</v>
      </c>
      <c r="CG186" s="1">
        <v>1.3380000000000001</v>
      </c>
      <c r="CH186" s="1">
        <v>1.3380000000000001</v>
      </c>
      <c r="CI186" s="1" t="s">
        <v>776</v>
      </c>
      <c r="CK186" s="284">
        <v>163.10300000000001</v>
      </c>
      <c r="CL186" s="1">
        <v>5.4370000000000003</v>
      </c>
      <c r="CM186" s="1">
        <v>4.1959999999999997</v>
      </c>
      <c r="CN186" s="1">
        <v>9.6140000000000008</v>
      </c>
      <c r="CP186" s="284">
        <v>200.28899999999999</v>
      </c>
      <c r="CQ186" s="1">
        <v>6.6760000000000002</v>
      </c>
      <c r="CR186" s="1">
        <v>5.8639999999999999</v>
      </c>
      <c r="CS186" s="1">
        <v>10.000999999999999</v>
      </c>
      <c r="CU186" s="284">
        <v>170.40600000000001</v>
      </c>
      <c r="CV186" s="1">
        <v>5.68</v>
      </c>
      <c r="CW186" s="1">
        <v>5.9139999999999997</v>
      </c>
      <c r="CX186" s="1">
        <v>8.9760000000000009</v>
      </c>
      <c r="CZ186" s="269">
        <v>21.725000000000001</v>
      </c>
      <c r="DA186" s="1">
        <v>0.72399999999999998</v>
      </c>
      <c r="DC186" s="284">
        <v>12.997</v>
      </c>
      <c r="DD186" s="1">
        <v>0.433</v>
      </c>
      <c r="DE186" s="1">
        <v>0.438</v>
      </c>
      <c r="DF186" s="1" t="s">
        <v>776</v>
      </c>
      <c r="DH186" s="284">
        <f>DI186*30</f>
        <v>66.42</v>
      </c>
      <c r="DI186" s="1">
        <f t="shared" si="269"/>
        <v>2.214</v>
      </c>
      <c r="DJ186" s="1">
        <f t="shared" si="277"/>
        <v>2.2443056625290496</v>
      </c>
      <c r="DK186" s="72"/>
      <c r="DL186" s="72"/>
      <c r="DM186" s="284">
        <f>DN186*30</f>
        <v>2837.9100000000008</v>
      </c>
      <c r="DN186" s="1">
        <f t="shared" si="270"/>
        <v>94.597000000000023</v>
      </c>
      <c r="DO186" s="1">
        <f t="shared" si="279"/>
        <v>97.554045783126398</v>
      </c>
      <c r="DP186" s="72"/>
      <c r="DQ186" s="72"/>
      <c r="DR186" s="284">
        <f>DS186*30</f>
        <v>568.5</v>
      </c>
      <c r="DS186" s="1">
        <f t="shared" si="267"/>
        <v>18.95</v>
      </c>
      <c r="DT186" s="1" t="e">
        <f>SUM(CM186+CR186+CW186+#REF!+DE186)</f>
        <v>#REF!</v>
      </c>
      <c r="DW186" s="284">
        <f>DX186*30</f>
        <v>3406.4100000000008</v>
      </c>
      <c r="DX186" s="1">
        <f t="shared" si="278"/>
        <v>113.54700000000003</v>
      </c>
      <c r="DY186" s="1">
        <f t="shared" si="280"/>
        <v>114.69325134334206</v>
      </c>
      <c r="EB186" s="2">
        <v>0.6</v>
      </c>
      <c r="EL186">
        <v>2012</v>
      </c>
      <c r="EM186" s="157" t="s">
        <v>711</v>
      </c>
      <c r="EN186" t="s">
        <v>841</v>
      </c>
      <c r="EO186">
        <v>163.428</v>
      </c>
      <c r="EP186" t="e">
        <f t="shared" si="250"/>
        <v>#VALUE!</v>
      </c>
    </row>
    <row r="187" spans="1:146" s="72" customFormat="1" x14ac:dyDescent="0.25">
      <c r="A187" s="73">
        <v>2012</v>
      </c>
      <c r="B187" s="69" t="s">
        <v>712</v>
      </c>
      <c r="D187" s="285">
        <v>168.42599999999999</v>
      </c>
      <c r="E187" s="33">
        <v>5.4330967741935483</v>
      </c>
      <c r="F187" s="33">
        <f>SUM(E176:E187)/12</f>
        <v>6.5335530744036596</v>
      </c>
      <c r="G187" s="6">
        <v>8.0459999999999994</v>
      </c>
      <c r="H187" s="6"/>
      <c r="I187" s="285"/>
      <c r="J187" s="6"/>
      <c r="K187" s="6"/>
      <c r="L187" s="6"/>
      <c r="M187" s="74"/>
      <c r="N187" s="285">
        <v>96.713999999999999</v>
      </c>
      <c r="O187" s="71">
        <v>3.1198064516129032</v>
      </c>
      <c r="P187" s="33">
        <f>SUM(O176:O187)/12</f>
        <v>3.2657092757384749</v>
      </c>
      <c r="Q187" s="6">
        <v>7.9669999999999996</v>
      </c>
      <c r="R187" s="74"/>
      <c r="S187" s="285">
        <v>143.614</v>
      </c>
      <c r="T187" s="71">
        <v>4.6327096774193546</v>
      </c>
      <c r="U187" s="33">
        <f>SUM(T176:T187)/12</f>
        <v>4.9783567575083429</v>
      </c>
      <c r="V187" s="6">
        <v>10.541</v>
      </c>
      <c r="W187" s="189"/>
      <c r="X187" s="285">
        <v>580.18499999999995</v>
      </c>
      <c r="Y187" s="71">
        <v>18.715645161290322</v>
      </c>
      <c r="Z187" s="33">
        <f>SUM(Y176:Y187)/12</f>
        <v>18.659533518724505</v>
      </c>
      <c r="AA187" s="6">
        <v>30.126999999999999</v>
      </c>
      <c r="AB187" s="74"/>
      <c r="AC187" s="298">
        <f>S187+X187</f>
        <v>723.79899999999998</v>
      </c>
      <c r="AD187" s="35">
        <v>23.348354838709678</v>
      </c>
      <c r="AE187" s="35">
        <f>SUM(AD176:AD187)/12</f>
        <v>23.637806942899516</v>
      </c>
      <c r="AF187" s="75">
        <f>V187+AA187</f>
        <v>40.667999999999999</v>
      </c>
      <c r="AG187" s="74"/>
      <c r="AH187" s="285">
        <v>1619.473</v>
      </c>
      <c r="AI187" s="71">
        <v>52.241064516129029</v>
      </c>
      <c r="AJ187" s="33">
        <f>SUM(AI176:AI187)/12</f>
        <v>52.423999533432209</v>
      </c>
      <c r="AK187" s="6">
        <v>171.1</v>
      </c>
      <c r="AL187" s="74"/>
      <c r="AM187" s="285">
        <v>28.838000000000001</v>
      </c>
      <c r="AN187" s="71">
        <v>0.93025806451612902</v>
      </c>
      <c r="AO187" s="33">
        <f>SUM(AN176:AN187)/12</f>
        <v>0.65246700655048817</v>
      </c>
      <c r="AP187" s="6" t="s">
        <v>776</v>
      </c>
      <c r="AQ187" s="74"/>
      <c r="AR187" s="285">
        <v>117.821</v>
      </c>
      <c r="AS187" s="71">
        <v>3.8006774193548387</v>
      </c>
      <c r="AT187" s="33">
        <f>SUM(AS176:AS187)/12</f>
        <v>3.7791080799653938</v>
      </c>
      <c r="AU187" s="6" t="s">
        <v>776</v>
      </c>
      <c r="AV187" s="74"/>
      <c r="AW187" s="285">
        <v>31.39</v>
      </c>
      <c r="AX187" s="71">
        <v>1.0125806451612904</v>
      </c>
      <c r="AY187" s="33">
        <f>SUM(AX176:AX187)/12</f>
        <v>0.83902979236188369</v>
      </c>
      <c r="AZ187" s="6" t="s">
        <v>776</v>
      </c>
      <c r="BA187" s="74"/>
      <c r="BB187" s="285">
        <v>20.968</v>
      </c>
      <c r="BC187" s="71">
        <v>0.67638709677419351</v>
      </c>
      <c r="BD187" s="33">
        <f>SUM(BC176:BC187)/12</f>
        <v>0.68242299159560005</v>
      </c>
      <c r="BE187" s="6" t="s">
        <v>776</v>
      </c>
      <c r="BF187" s="74"/>
      <c r="BG187" s="285">
        <v>20.105</v>
      </c>
      <c r="BH187" s="71">
        <v>0.6485483870967742</v>
      </c>
      <c r="BI187" s="33">
        <f>SUM(BH176:BH187)/12</f>
        <v>0.58706576442961311</v>
      </c>
      <c r="BJ187" s="6" t="s">
        <v>776</v>
      </c>
      <c r="BK187" s="74"/>
      <c r="BL187" s="285">
        <v>193.97993784153007</v>
      </c>
      <c r="BM187" s="71">
        <v>6.2574173497267767</v>
      </c>
      <c r="BN187" s="33">
        <f>SUM(BM176:BM187)/12</f>
        <v>5.9496944615209477</v>
      </c>
      <c r="BO187" s="6" t="s">
        <v>776</v>
      </c>
      <c r="BP187" s="74"/>
      <c r="BQ187" s="284">
        <v>9.7710000000000008</v>
      </c>
      <c r="BR187" s="34">
        <v>0.31519354838709679</v>
      </c>
      <c r="BS187" s="33">
        <f>SUM(BR176:BR187)/12</f>
        <v>0.33294540847855641</v>
      </c>
      <c r="BT187" s="6" t="s">
        <v>776</v>
      </c>
      <c r="BU187" s="74"/>
      <c r="BV187" s="284">
        <v>4.8109999999999999</v>
      </c>
      <c r="BW187" s="34">
        <v>0.15519354838709679</v>
      </c>
      <c r="BX187" s="33">
        <f>SUM(BW176:BW187)/12</f>
        <v>0.15399718514398714</v>
      </c>
      <c r="BY187" s="6" t="s">
        <v>776</v>
      </c>
      <c r="BZ187" s="74"/>
      <c r="CA187" s="285">
        <v>12.471</v>
      </c>
      <c r="CB187" s="71">
        <v>0.40229032258064518</v>
      </c>
      <c r="CC187" s="33">
        <f>SUM(CB176:CB187)/12</f>
        <v>0.39349911630206408</v>
      </c>
      <c r="CD187" s="6" t="s">
        <v>776</v>
      </c>
      <c r="CE187" s="74"/>
      <c r="CF187" s="285">
        <v>41.462912909836064</v>
      </c>
      <c r="CG187" s="71">
        <v>1.3375133196721312</v>
      </c>
      <c r="CH187" s="33">
        <f>SUM(CG176:CG187)/12</f>
        <v>1.3377161031420766</v>
      </c>
      <c r="CI187" s="6" t="s">
        <v>776</v>
      </c>
      <c r="CJ187" s="74"/>
      <c r="CK187" s="285">
        <v>150.184</v>
      </c>
      <c r="CL187" s="71">
        <v>4.8446451612903223</v>
      </c>
      <c r="CM187" s="33">
        <f>SUM(CL176:CL187)/12</f>
        <v>4.232768211593128</v>
      </c>
      <c r="CN187" s="6">
        <v>11.968</v>
      </c>
      <c r="CO187" s="74"/>
      <c r="CP187" s="285">
        <v>211.78800000000001</v>
      </c>
      <c r="CQ187" s="71">
        <v>6.8318709677419358</v>
      </c>
      <c r="CR187" s="33">
        <f>SUM(CQ176:CQ187)/12</f>
        <v>5.9208360833024338</v>
      </c>
      <c r="CS187" s="6">
        <v>11.749000000000001</v>
      </c>
      <c r="CT187" s="74"/>
      <c r="CU187" s="285">
        <v>179.584</v>
      </c>
      <c r="CV187" s="71">
        <v>5.7930322580645166</v>
      </c>
      <c r="CW187" s="33">
        <f>SUM(CV176:CV187)/12</f>
        <v>5.8584613552094931</v>
      </c>
      <c r="CX187" s="6">
        <v>9.9529999999999994</v>
      </c>
      <c r="CY187" s="6"/>
      <c r="CZ187" s="270">
        <v>22.972999999999999</v>
      </c>
      <c r="DA187" s="71">
        <v>0.74106451612903224</v>
      </c>
      <c r="DB187" s="74"/>
      <c r="DC187" s="285">
        <v>13.430157103825136</v>
      </c>
      <c r="DD187" s="71">
        <v>0.43323087431693991</v>
      </c>
      <c r="DE187" s="33">
        <f>SUM(DD176:DD187)/12</f>
        <v>0.43740175318761382</v>
      </c>
      <c r="DF187" s="6" t="s">
        <v>776</v>
      </c>
      <c r="DG187" s="70"/>
      <c r="DH187" s="284">
        <f>DI187*31</f>
        <v>68.515912909836075</v>
      </c>
      <c r="DI187" s="1">
        <f t="shared" si="269"/>
        <v>2.2101907390269702</v>
      </c>
      <c r="DJ187" s="1">
        <f t="shared" si="277"/>
        <v>2.2181578130666835</v>
      </c>
      <c r="DM187" s="284">
        <f>DN187*31</f>
        <v>2952.9980249316941</v>
      </c>
      <c r="DN187" s="1">
        <f t="shared" si="270"/>
        <v>95.258000804248198</v>
      </c>
      <c r="DO187" s="1">
        <f t="shared" si="279"/>
        <v>96.132699109831108</v>
      </c>
      <c r="DR187" s="284">
        <f>DS187*31</f>
        <v>577.95915710382519</v>
      </c>
      <c r="DS187" s="1">
        <f t="shared" si="267"/>
        <v>18.643843777542749</v>
      </c>
      <c r="DT187" s="1" t="e">
        <f>SUM(CM187+CR187+CW187+#REF!+DE187)</f>
        <v>#REF!</v>
      </c>
      <c r="DW187" s="284">
        <f>DX187*31</f>
        <v>3530.9571820355195</v>
      </c>
      <c r="DX187" s="1">
        <f t="shared" si="278"/>
        <v>113.90184458179095</v>
      </c>
      <c r="DY187" s="1">
        <f t="shared" si="280"/>
        <v>113.29908327557588</v>
      </c>
      <c r="EB187" s="2">
        <v>3.03</v>
      </c>
      <c r="EL187" s="72">
        <v>2012</v>
      </c>
      <c r="EM187" s="157" t="s">
        <v>712</v>
      </c>
      <c r="EN187" t="s">
        <v>841</v>
      </c>
      <c r="EO187">
        <v>168.42599999999999</v>
      </c>
      <c r="EP187" t="e">
        <f t="shared" si="250"/>
        <v>#VALUE!</v>
      </c>
    </row>
    <row r="188" spans="1:146" x14ac:dyDescent="0.25">
      <c r="A188" s="8">
        <v>2013</v>
      </c>
      <c r="B188" t="s">
        <v>719</v>
      </c>
      <c r="D188" s="284">
        <v>177.87</v>
      </c>
      <c r="E188" s="1">
        <v>5.7380000000000004</v>
      </c>
      <c r="F188" s="1">
        <v>6.2850000000000001</v>
      </c>
      <c r="G188" s="1">
        <v>8.2949999999999999</v>
      </c>
      <c r="N188" s="284">
        <v>99.346000000000004</v>
      </c>
      <c r="O188" s="1">
        <v>3.2050000000000001</v>
      </c>
      <c r="P188" s="1">
        <v>3.2410000000000001</v>
      </c>
      <c r="Q188" s="1">
        <v>6.3390000000000004</v>
      </c>
      <c r="S188" s="284">
        <v>157.458</v>
      </c>
      <c r="T188" s="1">
        <v>5.0789999999999997</v>
      </c>
      <c r="U188" s="1">
        <v>4.9050000000000002</v>
      </c>
      <c r="V188" s="1">
        <v>11.388</v>
      </c>
      <c r="X188" s="284">
        <v>608.66399999999999</v>
      </c>
      <c r="Y188" s="1">
        <v>19.634</v>
      </c>
      <c r="Z188" s="1">
        <v>18.597000000000001</v>
      </c>
      <c r="AA188" s="1">
        <v>31.265000000000001</v>
      </c>
      <c r="AC188" s="284">
        <v>766.12199999999996</v>
      </c>
      <c r="AD188" s="1">
        <v>24.713999999999999</v>
      </c>
      <c r="AE188" s="1">
        <v>23.501999999999999</v>
      </c>
      <c r="AF188" s="1">
        <v>42.652999999999999</v>
      </c>
      <c r="AH188" s="299">
        <v>1674.5740000000001</v>
      </c>
      <c r="AI188">
        <v>54.018999999999998</v>
      </c>
      <c r="AJ188">
        <v>52.136000000000003</v>
      </c>
      <c r="AK188">
        <v>177</v>
      </c>
      <c r="AM188" s="299">
        <v>23.469000000000001</v>
      </c>
      <c r="AN188">
        <v>0.75700000000000001</v>
      </c>
      <c r="AO188">
        <v>0.65700000000000003</v>
      </c>
      <c r="AP188" t="s">
        <v>776</v>
      </c>
      <c r="AR188" s="284">
        <v>122.327</v>
      </c>
      <c r="AS188" s="1">
        <v>3.9460000000000002</v>
      </c>
      <c r="AT188" s="1">
        <v>3.738</v>
      </c>
      <c r="AU188" s="1" t="s">
        <v>776</v>
      </c>
      <c r="AW188" s="284">
        <v>32.826999999999998</v>
      </c>
      <c r="AX188" s="1">
        <v>1.0589999999999999</v>
      </c>
      <c r="AY188" s="1">
        <v>0.89100000000000001</v>
      </c>
      <c r="AZ188" s="1" t="s">
        <v>776</v>
      </c>
      <c r="BB188" s="284">
        <v>21.245999999999999</v>
      </c>
      <c r="BC188" s="1">
        <v>0.68500000000000005</v>
      </c>
      <c r="BD188" s="1">
        <v>0.67800000000000005</v>
      </c>
      <c r="BE188" s="1" t="s">
        <v>776</v>
      </c>
      <c r="BG188" s="284">
        <v>21.102</v>
      </c>
      <c r="BH188" s="1">
        <v>0.68100000000000005</v>
      </c>
      <c r="BI188" s="1">
        <v>0.59199999999999997</v>
      </c>
      <c r="BJ188" s="1" t="s">
        <v>776</v>
      </c>
      <c r="BL188" s="284">
        <v>193.98</v>
      </c>
      <c r="BM188" s="1">
        <v>6.2569999999999997</v>
      </c>
      <c r="BN188" s="1">
        <v>5.984</v>
      </c>
      <c r="BO188" s="1" t="s">
        <v>776</v>
      </c>
      <c r="BQ188" s="284">
        <v>9.5519999999999996</v>
      </c>
      <c r="BR188" s="1">
        <v>0.308</v>
      </c>
      <c r="BS188" s="1">
        <v>0.33100000000000002</v>
      </c>
      <c r="BT188" s="1" t="s">
        <v>776</v>
      </c>
      <c r="BV188" s="284">
        <v>6.35</v>
      </c>
      <c r="BW188" s="1">
        <v>0.20499999999999999</v>
      </c>
      <c r="BX188" s="1">
        <v>0.157</v>
      </c>
      <c r="BY188" s="1" t="s">
        <v>776</v>
      </c>
      <c r="CA188" s="284">
        <v>12.792</v>
      </c>
      <c r="CB188" s="1">
        <v>0.41299999999999998</v>
      </c>
      <c r="CC188" s="1">
        <v>0.39300000000000002</v>
      </c>
      <c r="CD188" s="1" t="s">
        <v>776</v>
      </c>
      <c r="CF188" s="284">
        <v>41.463000000000001</v>
      </c>
      <c r="CG188" s="1">
        <v>1.3380000000000001</v>
      </c>
      <c r="CH188" s="1">
        <v>1.3380000000000001</v>
      </c>
      <c r="CI188" s="1" t="s">
        <v>776</v>
      </c>
      <c r="CK188" s="284">
        <v>158.62100000000001</v>
      </c>
      <c r="CL188" s="1">
        <v>5.117</v>
      </c>
      <c r="CM188" s="1">
        <v>4.3470000000000004</v>
      </c>
      <c r="CN188" s="1">
        <v>10.007999999999999</v>
      </c>
      <c r="CP188" s="284">
        <v>209.386</v>
      </c>
      <c r="CQ188" s="1">
        <v>6.7539999999999996</v>
      </c>
      <c r="CR188" s="1">
        <v>5.99</v>
      </c>
      <c r="CS188" s="1">
        <v>12.821999999999999</v>
      </c>
      <c r="CU188" s="284">
        <v>181.11799999999999</v>
      </c>
      <c r="CV188" s="1">
        <v>5.843</v>
      </c>
      <c r="CW188" s="1">
        <v>5.8079999999999998</v>
      </c>
      <c r="CX188" s="1">
        <v>10.302</v>
      </c>
      <c r="CZ188" s="269">
        <v>24.183</v>
      </c>
      <c r="DA188" s="1">
        <v>0.78</v>
      </c>
      <c r="DC188" s="284">
        <v>13.43</v>
      </c>
      <c r="DD188" s="1">
        <v>0.433</v>
      </c>
      <c r="DE188" s="1">
        <v>0.437</v>
      </c>
      <c r="DF188" s="1" t="s">
        <v>776</v>
      </c>
      <c r="DH188" s="284">
        <f>DI188*31</f>
        <v>70.184000000000012</v>
      </c>
      <c r="DI188" s="1">
        <f t="shared" si="269"/>
        <v>2.2640000000000002</v>
      </c>
      <c r="DJ188" s="1">
        <f t="shared" si="277"/>
        <v>2.2190639611585223</v>
      </c>
      <c r="DM188" s="284">
        <f>DN188*31</f>
        <v>3062.7069999999999</v>
      </c>
      <c r="DN188" s="1">
        <f t="shared" si="270"/>
        <v>98.796999999999997</v>
      </c>
      <c r="DO188" s="1">
        <f t="shared" si="279"/>
        <v>95.482903444783958</v>
      </c>
      <c r="DR188" s="284">
        <f>DS188*31</f>
        <v>586.73699999999997</v>
      </c>
      <c r="DS188" s="1">
        <f t="shared" si="267"/>
        <v>18.927</v>
      </c>
      <c r="DT188" s="1" t="e">
        <f>SUM(CM188+CR188+CW188+#REF!+DE188)</f>
        <v>#REF!</v>
      </c>
      <c r="DW188" s="284">
        <f>DX188*31</f>
        <v>3649.4439999999995</v>
      </c>
      <c r="DX188" s="1">
        <f t="shared" si="278"/>
        <v>117.72399999999999</v>
      </c>
      <c r="DY188" s="1">
        <f t="shared" si="280"/>
        <v>112.7784389120153</v>
      </c>
      <c r="EB188" s="2">
        <v>2.5299999999999998</v>
      </c>
      <c r="EL188">
        <v>2013</v>
      </c>
      <c r="EM188" s="157" t="s">
        <v>719</v>
      </c>
      <c r="EN188" t="s">
        <v>841</v>
      </c>
      <c r="EO188">
        <v>177.87</v>
      </c>
      <c r="EP188" t="e">
        <f t="shared" si="250"/>
        <v>#VALUE!</v>
      </c>
    </row>
    <row r="189" spans="1:146" x14ac:dyDescent="0.25">
      <c r="A189" s="8">
        <v>2013</v>
      </c>
      <c r="B189" t="s">
        <v>713</v>
      </c>
      <c r="D189" s="284">
        <v>162.25800000000001</v>
      </c>
      <c r="E189" s="1">
        <v>5.7949999999999999</v>
      </c>
      <c r="F189" s="1">
        <v>6.1310000000000002</v>
      </c>
      <c r="G189" s="1">
        <v>7.2370000000000001</v>
      </c>
      <c r="N189" s="284">
        <v>90.537000000000006</v>
      </c>
      <c r="O189" s="1">
        <v>3.2330000000000001</v>
      </c>
      <c r="P189" s="1">
        <v>3.2269999999999999</v>
      </c>
      <c r="Q189" s="1">
        <v>5.665</v>
      </c>
      <c r="S189" s="284">
        <v>153.596</v>
      </c>
      <c r="T189" s="1">
        <v>5.4859999999999998</v>
      </c>
      <c r="U189" s="1">
        <v>4.8929999999999998</v>
      </c>
      <c r="V189" s="1">
        <v>8.4420000000000002</v>
      </c>
      <c r="X189" s="284">
        <v>563.86099999999999</v>
      </c>
      <c r="Y189" s="1">
        <v>20.138000000000002</v>
      </c>
      <c r="Z189" s="1">
        <v>18.614999999999998</v>
      </c>
      <c r="AA189" s="1">
        <v>25.904</v>
      </c>
      <c r="AC189" s="284">
        <v>717.45699999999999</v>
      </c>
      <c r="AD189" s="1">
        <v>25.623000000000001</v>
      </c>
      <c r="AE189" s="1">
        <v>23.507000000000001</v>
      </c>
      <c r="AF189" s="1">
        <v>34.345999999999997</v>
      </c>
      <c r="AH189" s="299">
        <v>1548.269</v>
      </c>
      <c r="AI189">
        <v>55.295000000000002</v>
      </c>
      <c r="AJ189">
        <v>52.127000000000002</v>
      </c>
      <c r="AK189">
        <v>154</v>
      </c>
      <c r="AM189" s="299">
        <v>16.483000000000001</v>
      </c>
      <c r="AN189">
        <v>0.58899999999999997</v>
      </c>
      <c r="AO189">
        <v>0.65100000000000002</v>
      </c>
      <c r="AP189" t="s">
        <v>776</v>
      </c>
      <c r="AR189" s="284">
        <v>109.102</v>
      </c>
      <c r="AS189" s="1">
        <v>3.8969999999999998</v>
      </c>
      <c r="AT189" s="1">
        <v>3.714</v>
      </c>
      <c r="AU189" s="1" t="s">
        <v>776</v>
      </c>
      <c r="AW189" s="284">
        <v>34.101999999999997</v>
      </c>
      <c r="AX189" s="1">
        <v>1.218</v>
      </c>
      <c r="AY189" s="1">
        <v>0.95599999999999996</v>
      </c>
      <c r="AZ189" s="1" t="s">
        <v>776</v>
      </c>
      <c r="BB189" s="284">
        <v>18.661000000000001</v>
      </c>
      <c r="BC189" s="1">
        <v>0.66600000000000004</v>
      </c>
      <c r="BD189" s="1">
        <v>0.66600000000000004</v>
      </c>
      <c r="BE189" s="1" t="s">
        <v>776</v>
      </c>
      <c r="BG189" s="284">
        <v>19.082999999999998</v>
      </c>
      <c r="BH189" s="1">
        <v>0.68200000000000005</v>
      </c>
      <c r="BI189" s="1">
        <v>0.59799999999999998</v>
      </c>
      <c r="BJ189" s="1" t="s">
        <v>776</v>
      </c>
      <c r="BL189" s="284">
        <v>175.208</v>
      </c>
      <c r="BM189" s="1">
        <v>6.2569999999999997</v>
      </c>
      <c r="BN189" s="1">
        <v>6.0179999999999998</v>
      </c>
      <c r="BO189" s="1" t="s">
        <v>776</v>
      </c>
      <c r="BQ189" s="284">
        <v>8.59</v>
      </c>
      <c r="BR189" s="1">
        <v>0.307</v>
      </c>
      <c r="BS189" s="1">
        <v>0.33</v>
      </c>
      <c r="BT189" s="1" t="s">
        <v>776</v>
      </c>
      <c r="BV189" s="284">
        <v>5.4859999999999998</v>
      </c>
      <c r="BW189" s="1">
        <v>0.19600000000000001</v>
      </c>
      <c r="BX189" s="1">
        <v>0.16400000000000001</v>
      </c>
      <c r="BY189" s="1" t="s">
        <v>776</v>
      </c>
      <c r="CA189" s="284">
        <v>10.68</v>
      </c>
      <c r="CB189" s="1">
        <v>0.38100000000000001</v>
      </c>
      <c r="CC189" s="1">
        <v>0.39</v>
      </c>
      <c r="CD189" s="1" t="s">
        <v>776</v>
      </c>
      <c r="CF189" s="284">
        <v>37.450000000000003</v>
      </c>
      <c r="CG189" s="1">
        <v>1.3380000000000001</v>
      </c>
      <c r="CH189" s="1">
        <v>1.3380000000000001</v>
      </c>
      <c r="CI189" s="1" t="s">
        <v>776</v>
      </c>
      <c r="CK189" s="284">
        <v>157.05000000000001</v>
      </c>
      <c r="CL189" s="1">
        <v>5.609</v>
      </c>
      <c r="CM189" s="1">
        <v>4.4909999999999997</v>
      </c>
      <c r="CN189" s="1">
        <v>8.548</v>
      </c>
      <c r="CP189" s="284">
        <v>198.34200000000001</v>
      </c>
      <c r="CQ189" s="1">
        <v>7.0839999999999996</v>
      </c>
      <c r="CR189" s="1">
        <v>6.11</v>
      </c>
      <c r="CS189" s="1">
        <v>11.141999999999999</v>
      </c>
      <c r="CU189" s="284">
        <v>166.48599999999999</v>
      </c>
      <c r="CV189" s="1">
        <v>5.9459999999999997</v>
      </c>
      <c r="CW189" s="1">
        <v>5.7930000000000001</v>
      </c>
      <c r="CX189" s="1">
        <v>8.6110000000000007</v>
      </c>
      <c r="CZ189" s="269">
        <v>23.835999999999999</v>
      </c>
      <c r="DA189" s="1">
        <v>0.85099999999999998</v>
      </c>
      <c r="DC189" s="284">
        <v>12.13</v>
      </c>
      <c r="DD189" s="1">
        <v>0.433</v>
      </c>
      <c r="DE189" s="1">
        <v>0.437</v>
      </c>
      <c r="DF189" s="1" t="s">
        <v>776</v>
      </c>
      <c r="DH189" s="284">
        <f>DI189*28</f>
        <v>62.216000000000001</v>
      </c>
      <c r="DI189" s="1">
        <f t="shared" si="269"/>
        <v>2.222</v>
      </c>
      <c r="DJ189" s="1">
        <f t="shared" si="277"/>
        <v>2.2216677362433161</v>
      </c>
      <c r="DM189" s="284">
        <f>DN189*28</f>
        <v>2828.9240000000004</v>
      </c>
      <c r="DN189" s="1">
        <f t="shared" si="270"/>
        <v>101.03300000000002</v>
      </c>
      <c r="DO189" s="1">
        <f t="shared" si="279"/>
        <v>95.3746868490731</v>
      </c>
      <c r="DR189" s="284">
        <f>DS189*28</f>
        <v>557.84399999999994</v>
      </c>
      <c r="DS189" s="1">
        <f t="shared" si="267"/>
        <v>19.922999999999998</v>
      </c>
      <c r="DT189" s="1" t="e">
        <f>SUM(CM189+CR189+CW189+#REF!+DE189)</f>
        <v>#REF!</v>
      </c>
      <c r="DW189" s="284">
        <f>DX189*28</f>
        <v>3386.7680000000005</v>
      </c>
      <c r="DX189" s="1">
        <f t="shared" si="278"/>
        <v>120.95600000000002</v>
      </c>
      <c r="DY189" s="1">
        <f t="shared" si="280"/>
        <v>112.92117005828045</v>
      </c>
      <c r="EB189" s="2">
        <v>1.67</v>
      </c>
      <c r="EL189">
        <v>2013</v>
      </c>
      <c r="EM189" s="157" t="s">
        <v>713</v>
      </c>
      <c r="EN189" t="s">
        <v>841</v>
      </c>
      <c r="EO189">
        <v>162.25800000000001</v>
      </c>
      <c r="EP189" t="e">
        <f t="shared" si="250"/>
        <v>#VALUE!</v>
      </c>
    </row>
    <row r="190" spans="1:146" x14ac:dyDescent="0.25">
      <c r="A190" s="8">
        <v>2013</v>
      </c>
      <c r="B190" t="s">
        <v>714</v>
      </c>
      <c r="D190" s="284">
        <v>189.018</v>
      </c>
      <c r="E190" s="1">
        <v>6.0970000000000004</v>
      </c>
      <c r="F190" s="1">
        <v>6.0010000000000003</v>
      </c>
      <c r="G190" s="1">
        <v>8.07</v>
      </c>
      <c r="N190" s="284">
        <v>105.646</v>
      </c>
      <c r="O190" s="1">
        <v>3.4079999999999999</v>
      </c>
      <c r="P190" s="1">
        <v>3.222</v>
      </c>
      <c r="Q190" s="1">
        <v>11.093999999999999</v>
      </c>
      <c r="S190" s="284">
        <v>177.13499999999999</v>
      </c>
      <c r="T190" s="1">
        <v>5.7140000000000004</v>
      </c>
      <c r="U190" s="1">
        <v>4.8680000000000003</v>
      </c>
      <c r="V190" s="1">
        <v>8.1159999999999997</v>
      </c>
      <c r="X190" s="284">
        <v>635.298</v>
      </c>
      <c r="Y190" s="1">
        <v>20.492999999999999</v>
      </c>
      <c r="Z190" s="1">
        <v>18.643999999999998</v>
      </c>
      <c r="AA190" s="1">
        <v>28.298999999999999</v>
      </c>
      <c r="AC190" s="284">
        <v>812.43299999999999</v>
      </c>
      <c r="AD190" s="1">
        <v>26.207999999999998</v>
      </c>
      <c r="AE190" s="1">
        <v>23.512</v>
      </c>
      <c r="AF190" s="1">
        <v>36.414999999999999</v>
      </c>
      <c r="AH190" s="299">
        <v>1805.471</v>
      </c>
      <c r="AI190">
        <v>58.241</v>
      </c>
      <c r="AJ190">
        <v>52.203000000000003</v>
      </c>
      <c r="AK190">
        <v>124.2</v>
      </c>
      <c r="AM190" s="299">
        <v>21.018000000000001</v>
      </c>
      <c r="AN190">
        <v>0.67800000000000005</v>
      </c>
      <c r="AO190">
        <v>0.65300000000000002</v>
      </c>
      <c r="AP190" t="s">
        <v>776</v>
      </c>
      <c r="AR190" s="284">
        <v>130.47900000000001</v>
      </c>
      <c r="AS190" s="1">
        <v>4.2089999999999996</v>
      </c>
      <c r="AT190" s="1">
        <v>3.742</v>
      </c>
      <c r="AU190" s="1" t="s">
        <v>776</v>
      </c>
      <c r="AW190" s="284">
        <v>38.408999999999999</v>
      </c>
      <c r="AX190" s="1">
        <v>1.2390000000000001</v>
      </c>
      <c r="AY190" s="1">
        <v>0.97899999999999998</v>
      </c>
      <c r="AZ190" s="1" t="s">
        <v>776</v>
      </c>
      <c r="BB190" s="284">
        <v>21.855</v>
      </c>
      <c r="BC190" s="1">
        <v>0.70499999999999996</v>
      </c>
      <c r="BD190" s="1">
        <v>0.66</v>
      </c>
      <c r="BE190" s="1" t="s">
        <v>776</v>
      </c>
      <c r="BG190" s="284">
        <v>23.715</v>
      </c>
      <c r="BH190" s="1">
        <v>0.76500000000000001</v>
      </c>
      <c r="BI190" s="1">
        <v>0.61399999999999999</v>
      </c>
      <c r="BJ190" s="1" t="s">
        <v>776</v>
      </c>
      <c r="BL190" s="284">
        <v>193.98</v>
      </c>
      <c r="BM190" s="1">
        <v>6.2569999999999997</v>
      </c>
      <c r="BN190" s="1">
        <v>6.0519999999999996</v>
      </c>
      <c r="BO190" s="1" t="s">
        <v>776</v>
      </c>
      <c r="BQ190" s="284">
        <v>9.3930000000000007</v>
      </c>
      <c r="BR190" s="1">
        <v>0.30299999999999999</v>
      </c>
      <c r="BS190" s="1">
        <v>0.32900000000000001</v>
      </c>
      <c r="BT190" s="1" t="s">
        <v>776</v>
      </c>
      <c r="BV190" s="284">
        <v>5.7350000000000003</v>
      </c>
      <c r="BW190" s="1">
        <v>0.185</v>
      </c>
      <c r="BX190" s="1">
        <v>0.17</v>
      </c>
      <c r="BY190" s="1" t="s">
        <v>776</v>
      </c>
      <c r="CA190" s="284">
        <v>13.02</v>
      </c>
      <c r="CB190" s="1">
        <v>0.42</v>
      </c>
      <c r="CC190" s="1">
        <v>0.39300000000000002</v>
      </c>
      <c r="CD190" s="1" t="s">
        <v>776</v>
      </c>
      <c r="CF190" s="284">
        <v>41.463000000000001</v>
      </c>
      <c r="CG190" s="1">
        <v>1.3380000000000001</v>
      </c>
      <c r="CH190" s="1">
        <v>1.3380000000000001</v>
      </c>
      <c r="CI190" s="1" t="s">
        <v>776</v>
      </c>
      <c r="CK190" s="284">
        <v>188.465</v>
      </c>
      <c r="CL190" s="1">
        <v>6.08</v>
      </c>
      <c r="CM190" s="1">
        <v>4.6269999999999998</v>
      </c>
      <c r="CN190" s="1">
        <v>11.821999999999999</v>
      </c>
      <c r="CP190" s="284">
        <v>246.661</v>
      </c>
      <c r="CQ190" s="1">
        <v>7.9569999999999999</v>
      </c>
      <c r="CR190" s="1">
        <v>6.282</v>
      </c>
      <c r="CS190" s="1">
        <v>12.347</v>
      </c>
      <c r="CU190" s="284">
        <v>191.684</v>
      </c>
      <c r="CV190" s="1">
        <v>6.1829999999999998</v>
      </c>
      <c r="CW190" s="1">
        <v>5.7510000000000003</v>
      </c>
      <c r="CX190" s="1">
        <v>10.861000000000001</v>
      </c>
      <c r="CZ190" s="269">
        <v>26.318000000000001</v>
      </c>
      <c r="DA190" s="1">
        <v>0.84899999999999998</v>
      </c>
      <c r="DC190" s="284">
        <v>13.43</v>
      </c>
      <c r="DD190" s="1">
        <v>0.433</v>
      </c>
      <c r="DE190" s="1">
        <v>0.436</v>
      </c>
      <c r="DF190" s="1" t="s">
        <v>776</v>
      </c>
      <c r="DH190" s="284">
        <f>DI190*31</f>
        <v>69.626000000000005</v>
      </c>
      <c r="DI190" s="1">
        <f t="shared" si="269"/>
        <v>2.246</v>
      </c>
      <c r="DJ190" s="1">
        <f t="shared" si="277"/>
        <v>2.2302405510018213</v>
      </c>
      <c r="DM190" s="284">
        <f>DN190*31</f>
        <v>3272.3910000000005</v>
      </c>
      <c r="DN190" s="1">
        <f t="shared" si="270"/>
        <v>105.56100000000002</v>
      </c>
      <c r="DO190" s="1">
        <f t="shared" si="279"/>
        <v>95.408291721660348</v>
      </c>
      <c r="DR190" s="284">
        <f>DS190*31</f>
        <v>666.56200000000001</v>
      </c>
      <c r="DS190" s="1">
        <f t="shared" si="267"/>
        <v>21.501999999999999</v>
      </c>
      <c r="DT190" s="1" t="e">
        <f>SUM(CM190+CR190+CW190+#REF!+DE190)</f>
        <v>#REF!</v>
      </c>
      <c r="DW190" s="284">
        <f>DX190*31</f>
        <v>3938.9530000000004</v>
      </c>
      <c r="DX190" s="1">
        <f t="shared" si="278"/>
        <v>127.06300000000002</v>
      </c>
      <c r="DY190" s="1">
        <f t="shared" si="280"/>
        <v>113.21984558719301</v>
      </c>
      <c r="EB190" s="2">
        <v>2.8</v>
      </c>
      <c r="EL190">
        <v>2013</v>
      </c>
      <c r="EM190" s="157" t="s">
        <v>714</v>
      </c>
      <c r="EN190" t="s">
        <v>841</v>
      </c>
      <c r="EO190">
        <v>189.018</v>
      </c>
      <c r="EP190" t="e">
        <f t="shared" si="250"/>
        <v>#VALUE!</v>
      </c>
    </row>
    <row r="191" spans="1:146" x14ac:dyDescent="0.25">
      <c r="A191" s="8">
        <v>2013</v>
      </c>
      <c r="B191" t="s">
        <v>705</v>
      </c>
      <c r="D191" s="284">
        <v>172.869</v>
      </c>
      <c r="E191" s="1">
        <v>5.7619999999999996</v>
      </c>
      <c r="F191" s="1">
        <v>5.891</v>
      </c>
      <c r="G191" s="1">
        <v>7.7750000000000004</v>
      </c>
      <c r="N191" s="284">
        <v>101.68600000000001</v>
      </c>
      <c r="O191" s="1">
        <v>3.39</v>
      </c>
      <c r="P191" s="1">
        <v>3.23</v>
      </c>
      <c r="Q191" s="1">
        <v>7.1340000000000003</v>
      </c>
      <c r="S191" s="284">
        <v>167.06299999999999</v>
      </c>
      <c r="T191" s="1">
        <v>5.569</v>
      </c>
      <c r="U191" s="1">
        <v>4.8899999999999997</v>
      </c>
      <c r="V191" s="1">
        <v>8.26</v>
      </c>
      <c r="X191" s="284">
        <v>592.62099999999998</v>
      </c>
      <c r="Y191" s="1">
        <v>19.754000000000001</v>
      </c>
      <c r="Z191" s="1">
        <v>18.713000000000001</v>
      </c>
      <c r="AA191" s="1">
        <v>24.99</v>
      </c>
      <c r="AC191" s="284">
        <v>759.68399999999997</v>
      </c>
      <c r="AD191" s="1">
        <v>25.323</v>
      </c>
      <c r="AE191" s="1">
        <v>23.603000000000002</v>
      </c>
      <c r="AF191" s="1">
        <v>33.25</v>
      </c>
      <c r="AH191" s="299">
        <v>1667.058</v>
      </c>
      <c r="AI191">
        <v>55.569000000000003</v>
      </c>
      <c r="AJ191">
        <v>52.448</v>
      </c>
      <c r="AK191">
        <v>140.19999999999999</v>
      </c>
      <c r="AM191" s="299">
        <v>18.920000000000002</v>
      </c>
      <c r="AN191">
        <v>0.63100000000000001</v>
      </c>
      <c r="AO191">
        <v>0.65500000000000003</v>
      </c>
      <c r="AP191" t="s">
        <v>776</v>
      </c>
      <c r="AR191" s="284">
        <v>118.994</v>
      </c>
      <c r="AS191" s="1">
        <v>3.9660000000000002</v>
      </c>
      <c r="AT191" s="1">
        <v>3.75</v>
      </c>
      <c r="AU191" s="1" t="s">
        <v>776</v>
      </c>
      <c r="AW191" s="284">
        <v>28.521999999999998</v>
      </c>
      <c r="AX191" s="1">
        <v>0.95099999999999996</v>
      </c>
      <c r="AY191" s="1">
        <v>0.98899999999999999</v>
      </c>
      <c r="AZ191" s="1" t="s">
        <v>776</v>
      </c>
      <c r="BB191" s="284">
        <v>20.832000000000001</v>
      </c>
      <c r="BC191" s="1">
        <v>0.69399999999999995</v>
      </c>
      <c r="BD191" s="1">
        <v>0.65800000000000003</v>
      </c>
      <c r="BE191" s="1" t="s">
        <v>776</v>
      </c>
      <c r="BG191" s="284">
        <v>20.696000000000002</v>
      </c>
      <c r="BH191" s="1">
        <v>0.69</v>
      </c>
      <c r="BI191" s="1">
        <v>0.627</v>
      </c>
      <c r="BJ191" s="1" t="s">
        <v>776</v>
      </c>
      <c r="BL191" s="284">
        <v>187.72300000000001</v>
      </c>
      <c r="BM191" s="1">
        <v>6.2569999999999997</v>
      </c>
      <c r="BN191" s="1">
        <v>6.0860000000000003</v>
      </c>
      <c r="BO191" s="1" t="s">
        <v>776</v>
      </c>
      <c r="BQ191" s="284">
        <v>8.7149999999999999</v>
      </c>
      <c r="BR191" s="1">
        <v>0.29099999999999998</v>
      </c>
      <c r="BS191" s="1">
        <v>0.32700000000000001</v>
      </c>
      <c r="BT191" s="1" t="s">
        <v>776</v>
      </c>
      <c r="BV191" s="284">
        <v>6.1360000000000001</v>
      </c>
      <c r="BW191" s="1">
        <v>0.20499999999999999</v>
      </c>
      <c r="BX191" s="1">
        <v>0.17699999999999999</v>
      </c>
      <c r="BY191" s="1" t="s">
        <v>776</v>
      </c>
      <c r="CA191" s="284">
        <v>11.712999999999999</v>
      </c>
      <c r="CB191" s="1">
        <v>0.39</v>
      </c>
      <c r="CC191" s="1">
        <v>0.39400000000000002</v>
      </c>
      <c r="CD191" s="1" t="s">
        <v>776</v>
      </c>
      <c r="CF191" s="284">
        <v>40.125</v>
      </c>
      <c r="CG191" s="1">
        <v>1.3380000000000001</v>
      </c>
      <c r="CH191" s="1">
        <v>1.3380000000000001</v>
      </c>
      <c r="CI191" s="1" t="s">
        <v>776</v>
      </c>
      <c r="CK191" s="284">
        <v>145.35400000000001</v>
      </c>
      <c r="CL191" s="1">
        <v>4.8449999999999998</v>
      </c>
      <c r="CM191" s="1">
        <v>4.6639999999999997</v>
      </c>
      <c r="CN191" s="1">
        <v>8.2100000000000009</v>
      </c>
      <c r="CP191" s="284">
        <v>231.173</v>
      </c>
      <c r="CQ191" s="1">
        <v>7.7060000000000004</v>
      </c>
      <c r="CR191" s="1">
        <v>6.4669999999999996</v>
      </c>
      <c r="CS191" s="1">
        <v>11.381</v>
      </c>
      <c r="CU191" s="284">
        <v>178.79499999999999</v>
      </c>
      <c r="CV191" s="1">
        <v>5.96</v>
      </c>
      <c r="CW191" s="1">
        <v>5.7519999999999998</v>
      </c>
      <c r="CX191" s="1">
        <v>8.5579999999999998</v>
      </c>
      <c r="CZ191" s="269">
        <v>23.991</v>
      </c>
      <c r="DA191" s="1">
        <v>0.8</v>
      </c>
      <c r="DC191" s="284">
        <v>12.997</v>
      </c>
      <c r="DD191" s="1">
        <v>0.433</v>
      </c>
      <c r="DE191" s="1">
        <v>0.436</v>
      </c>
      <c r="DF191" s="1" t="s">
        <v>776</v>
      </c>
      <c r="DH191" s="284">
        <f>DI191*30</f>
        <v>66.72</v>
      </c>
      <c r="DI191" s="1">
        <f t="shared" si="269"/>
        <v>2.2240000000000002</v>
      </c>
      <c r="DJ191" s="1">
        <f t="shared" si="277"/>
        <v>2.234961663251366</v>
      </c>
      <c r="DM191" s="284">
        <f>DN191*30</f>
        <v>3030.27</v>
      </c>
      <c r="DN191" s="1">
        <f t="shared" si="270"/>
        <v>101.009</v>
      </c>
      <c r="DO191" s="1">
        <f t="shared" si="279"/>
        <v>95.701846773459081</v>
      </c>
      <c r="DR191" s="284">
        <f>DS191*30</f>
        <v>592.31999999999994</v>
      </c>
      <c r="DS191" s="1">
        <f t="shared" si="267"/>
        <v>19.744</v>
      </c>
      <c r="DT191" s="1" t="e">
        <f>SUM(CM191+CR191+CW191+#REF!+DE191)</f>
        <v>#REF!</v>
      </c>
      <c r="DW191" s="284">
        <f>DX191*30</f>
        <v>3622.59</v>
      </c>
      <c r="DX191" s="1">
        <f t="shared" si="278"/>
        <v>120.753</v>
      </c>
      <c r="DY191" s="1">
        <f t="shared" si="280"/>
        <v>113.73027577560373</v>
      </c>
      <c r="EB191" s="2">
        <v>2.76</v>
      </c>
      <c r="EL191">
        <v>2013</v>
      </c>
      <c r="EM191" s="157" t="s">
        <v>705</v>
      </c>
      <c r="EN191" t="s">
        <v>841</v>
      </c>
      <c r="EO191">
        <v>172.869</v>
      </c>
      <c r="EP191" t="e">
        <f t="shared" si="250"/>
        <v>#VALUE!</v>
      </c>
    </row>
    <row r="192" spans="1:146" x14ac:dyDescent="0.25">
      <c r="A192" s="8">
        <v>2013</v>
      </c>
      <c r="B192" t="s">
        <v>715</v>
      </c>
      <c r="D192" s="284">
        <v>177.7</v>
      </c>
      <c r="E192" s="1">
        <v>5.7320000000000002</v>
      </c>
      <c r="F192" s="1">
        <v>5.8150000000000004</v>
      </c>
      <c r="G192" s="1">
        <v>7.4859999999999998</v>
      </c>
      <c r="N192" s="284">
        <v>104.286</v>
      </c>
      <c r="O192" s="1">
        <v>3.3639999999999999</v>
      </c>
      <c r="P192" s="1">
        <v>3.234</v>
      </c>
      <c r="Q192" s="1">
        <v>7.2530000000000001</v>
      </c>
      <c r="S192" s="284">
        <v>165.86600000000001</v>
      </c>
      <c r="T192" s="1">
        <v>5.351</v>
      </c>
      <c r="U192" s="1">
        <v>4.9080000000000004</v>
      </c>
      <c r="V192" s="1">
        <v>9.3520000000000003</v>
      </c>
      <c r="X192" s="284">
        <v>602.91</v>
      </c>
      <c r="Y192" s="1">
        <v>19.449000000000002</v>
      </c>
      <c r="Z192" s="1">
        <v>18.763999999999999</v>
      </c>
      <c r="AA192" s="1">
        <v>27.300999999999998</v>
      </c>
      <c r="AC192" s="284">
        <v>768.77599999999995</v>
      </c>
      <c r="AD192" s="1">
        <v>24.798999999999999</v>
      </c>
      <c r="AE192" s="1">
        <v>23.672000000000001</v>
      </c>
      <c r="AF192" s="1">
        <v>36.652999999999999</v>
      </c>
      <c r="AH192" s="299">
        <v>1675.8879999999999</v>
      </c>
      <c r="AI192">
        <v>54.061</v>
      </c>
      <c r="AJ192">
        <v>52.692999999999998</v>
      </c>
      <c r="AK192">
        <v>126.1</v>
      </c>
      <c r="AM192" s="299">
        <v>18.654</v>
      </c>
      <c r="AN192">
        <v>0.60199999999999998</v>
      </c>
      <c r="AO192">
        <v>0.65700000000000003</v>
      </c>
      <c r="AP192" t="s">
        <v>776</v>
      </c>
      <c r="AR192" s="284">
        <v>124.239</v>
      </c>
      <c r="AS192" s="1">
        <v>4.008</v>
      </c>
      <c r="AT192" s="1">
        <v>3.754</v>
      </c>
      <c r="AU192" s="1" t="s">
        <v>776</v>
      </c>
      <c r="AW192" s="284">
        <v>28.396999999999998</v>
      </c>
      <c r="AX192" s="1">
        <v>0.91600000000000004</v>
      </c>
      <c r="AY192" s="1">
        <v>0.98599999999999999</v>
      </c>
      <c r="AZ192" s="1" t="s">
        <v>776</v>
      </c>
      <c r="BB192" s="284">
        <v>21.146999999999998</v>
      </c>
      <c r="BC192" s="1">
        <v>0.68200000000000005</v>
      </c>
      <c r="BD192" s="1">
        <v>0.65700000000000003</v>
      </c>
      <c r="BE192" s="1" t="s">
        <v>776</v>
      </c>
      <c r="BG192" s="284">
        <v>19.134</v>
      </c>
      <c r="BH192" s="1">
        <v>0.61699999999999999</v>
      </c>
      <c r="BI192" s="1">
        <v>0.627</v>
      </c>
      <c r="BJ192" s="1" t="s">
        <v>776</v>
      </c>
      <c r="BL192" s="284">
        <v>193.98</v>
      </c>
      <c r="BM192" s="1">
        <v>6.2569999999999997</v>
      </c>
      <c r="BN192" s="1">
        <v>6.12</v>
      </c>
      <c r="BO192" s="1" t="s">
        <v>776</v>
      </c>
      <c r="BQ192" s="284">
        <v>9.5459999999999994</v>
      </c>
      <c r="BR192" s="1">
        <v>0.308</v>
      </c>
      <c r="BS192" s="1">
        <v>0.32500000000000001</v>
      </c>
      <c r="BT192" s="1" t="s">
        <v>776</v>
      </c>
      <c r="BV192" s="284">
        <v>5.774</v>
      </c>
      <c r="BW192" s="1">
        <v>0.186</v>
      </c>
      <c r="BX192" s="1">
        <v>0.17699999999999999</v>
      </c>
      <c r="BY192" s="1" t="s">
        <v>776</v>
      </c>
      <c r="CA192" s="284">
        <v>12.105</v>
      </c>
      <c r="CB192" s="1">
        <v>0.39</v>
      </c>
      <c r="CC192" s="1">
        <v>0.39100000000000001</v>
      </c>
      <c r="CD192" s="1" t="s">
        <v>776</v>
      </c>
      <c r="CF192" s="284">
        <v>41.463000000000001</v>
      </c>
      <c r="CG192" s="1">
        <v>1.3380000000000001</v>
      </c>
      <c r="CH192" s="1">
        <v>1.3380000000000001</v>
      </c>
      <c r="CI192" s="1" t="s">
        <v>776</v>
      </c>
      <c r="CK192" s="284">
        <v>175.62799999999999</v>
      </c>
      <c r="CL192" s="1">
        <v>5.665</v>
      </c>
      <c r="CM192" s="1">
        <v>4.83</v>
      </c>
      <c r="CN192" s="1">
        <v>9.9440000000000008</v>
      </c>
      <c r="CP192" s="284">
        <v>246.94800000000001</v>
      </c>
      <c r="CQ192" s="1">
        <v>7.9660000000000002</v>
      </c>
      <c r="CR192" s="1">
        <v>6.66</v>
      </c>
      <c r="CS192" s="1">
        <v>11.816000000000001</v>
      </c>
      <c r="CU192" s="284">
        <v>177.73599999999999</v>
      </c>
      <c r="CV192" s="1">
        <v>5.7329999999999997</v>
      </c>
      <c r="CW192" s="1">
        <v>5.7270000000000003</v>
      </c>
      <c r="CX192" s="1">
        <v>8.2690000000000001</v>
      </c>
      <c r="CZ192" s="269">
        <v>24.515999999999998</v>
      </c>
      <c r="DA192" s="1">
        <v>0.79100000000000004</v>
      </c>
      <c r="DC192" s="284">
        <v>13.43</v>
      </c>
      <c r="DD192" s="1">
        <v>0.433</v>
      </c>
      <c r="DE192" s="1">
        <v>0.435</v>
      </c>
      <c r="DF192" s="1" t="s">
        <v>776</v>
      </c>
      <c r="DH192" s="284">
        <f>DI192*31</f>
        <v>68.882000000000005</v>
      </c>
      <c r="DI192" s="1">
        <f t="shared" si="269"/>
        <v>2.222</v>
      </c>
      <c r="DJ192" s="1">
        <f t="shared" si="277"/>
        <v>2.2308006070421298</v>
      </c>
      <c r="DM192" s="284">
        <f>DN192*31</f>
        <v>3063.2960000000003</v>
      </c>
      <c r="DN192" s="1">
        <f t="shared" si="270"/>
        <v>98.816000000000003</v>
      </c>
      <c r="DO192" s="1">
        <f t="shared" si="279"/>
        <v>95.983626377229129</v>
      </c>
      <c r="DR192" s="284">
        <f>DS192*31</f>
        <v>638.22800000000007</v>
      </c>
      <c r="DS192" s="1">
        <f t="shared" si="267"/>
        <v>20.588000000000001</v>
      </c>
      <c r="DT192" s="1" t="e">
        <f>SUM(CM192+CR192+CW192+#REF!+DE192)</f>
        <v>#REF!</v>
      </c>
      <c r="DW192" s="284">
        <f>DX192*31</f>
        <v>3701.5239999999999</v>
      </c>
      <c r="DX192" s="1">
        <f t="shared" si="278"/>
        <v>119.404</v>
      </c>
      <c r="DY192" s="1">
        <f t="shared" si="280"/>
        <v>114.35408033677435</v>
      </c>
      <c r="EB192" s="2">
        <v>2.82</v>
      </c>
      <c r="EL192">
        <v>2013</v>
      </c>
      <c r="EM192" s="157" t="s">
        <v>715</v>
      </c>
      <c r="EN192" t="s">
        <v>841</v>
      </c>
      <c r="EO192">
        <v>177.7</v>
      </c>
      <c r="EP192" t="e">
        <f t="shared" si="250"/>
        <v>#VALUE!</v>
      </c>
    </row>
    <row r="193" spans="1:146" x14ac:dyDescent="0.25">
      <c r="A193" s="8">
        <v>2013</v>
      </c>
      <c r="B193" t="s">
        <v>718</v>
      </c>
      <c r="D193" s="284">
        <v>181.22399999999999</v>
      </c>
      <c r="E193" s="1">
        <v>6.0410000000000004</v>
      </c>
      <c r="F193" s="1">
        <v>5.7729999999999997</v>
      </c>
      <c r="G193" s="1">
        <v>10.561999999999999</v>
      </c>
      <c r="N193" s="284">
        <v>108.056</v>
      </c>
      <c r="O193" s="1">
        <v>3.6019999999999999</v>
      </c>
      <c r="P193" s="1">
        <v>3.25</v>
      </c>
      <c r="Q193" s="1">
        <v>10.741</v>
      </c>
      <c r="S193" s="284">
        <v>196.08600000000001</v>
      </c>
      <c r="T193" s="1">
        <v>6.5359999999999996</v>
      </c>
      <c r="U193" s="1">
        <v>5.04</v>
      </c>
      <c r="V193" s="1">
        <v>16.925999999999998</v>
      </c>
      <c r="X193" s="284">
        <v>647.20399999999995</v>
      </c>
      <c r="Y193" s="1">
        <v>21.573</v>
      </c>
      <c r="Z193" s="1">
        <v>19.003</v>
      </c>
      <c r="AA193" s="1">
        <v>35.582999999999998</v>
      </c>
      <c r="AC193" s="284">
        <v>843.29</v>
      </c>
      <c r="AD193" s="1">
        <v>28.11</v>
      </c>
      <c r="AE193" s="1">
        <v>24.042000000000002</v>
      </c>
      <c r="AF193" s="1">
        <v>52.509</v>
      </c>
      <c r="AH193" s="299">
        <v>1785.643</v>
      </c>
      <c r="AI193">
        <v>59.521000000000001</v>
      </c>
      <c r="AJ193">
        <v>53.39</v>
      </c>
      <c r="AK193">
        <v>219.8</v>
      </c>
      <c r="AM193" s="299">
        <v>22.091999999999999</v>
      </c>
      <c r="AN193">
        <v>0.73599999999999999</v>
      </c>
      <c r="AO193">
        <v>0.67300000000000004</v>
      </c>
      <c r="AP193" t="s">
        <v>776</v>
      </c>
      <c r="AR193" s="284">
        <v>143.559</v>
      </c>
      <c r="AS193" s="1">
        <v>4.7850000000000001</v>
      </c>
      <c r="AT193" s="1">
        <v>3.8679999999999999</v>
      </c>
      <c r="AU193" s="1" t="s">
        <v>776</v>
      </c>
      <c r="AW193" s="284">
        <v>35.009</v>
      </c>
      <c r="AX193" s="1">
        <v>1.167</v>
      </c>
      <c r="AY193" s="1">
        <v>1.0229999999999999</v>
      </c>
      <c r="AZ193" s="1" t="s">
        <v>776</v>
      </c>
      <c r="BB193" s="284">
        <v>23.547000000000001</v>
      </c>
      <c r="BC193" s="1">
        <v>0.78500000000000003</v>
      </c>
      <c r="BD193" s="1">
        <v>0.67</v>
      </c>
      <c r="BE193" s="1" t="s">
        <v>776</v>
      </c>
      <c r="BG193" s="284">
        <v>24.919</v>
      </c>
      <c r="BH193" s="1">
        <v>0.83099999999999996</v>
      </c>
      <c r="BI193" s="1">
        <v>0.64600000000000002</v>
      </c>
      <c r="BJ193" s="1" t="s">
        <v>776</v>
      </c>
      <c r="BL193" s="284">
        <v>187.72300000000001</v>
      </c>
      <c r="BM193" s="1">
        <v>6.2569999999999997</v>
      </c>
      <c r="BN193" s="1">
        <v>6.1550000000000002</v>
      </c>
      <c r="BO193" s="1" t="s">
        <v>776</v>
      </c>
      <c r="BQ193" s="284">
        <v>10.534000000000001</v>
      </c>
      <c r="BR193" s="1">
        <v>0.35099999999999998</v>
      </c>
      <c r="BS193" s="1">
        <v>0.32300000000000001</v>
      </c>
      <c r="BT193" s="1" t="s">
        <v>776</v>
      </c>
      <c r="BV193" s="284">
        <v>7.4880000000000004</v>
      </c>
      <c r="BW193" s="1">
        <v>0.25</v>
      </c>
      <c r="BX193" s="1">
        <v>0.186</v>
      </c>
      <c r="BY193" s="1" t="s">
        <v>776</v>
      </c>
      <c r="CA193" s="284">
        <v>14.888999999999999</v>
      </c>
      <c r="CB193" s="1">
        <v>0.496</v>
      </c>
      <c r="CC193" s="1">
        <v>0.40200000000000002</v>
      </c>
      <c r="CD193" s="1" t="s">
        <v>776</v>
      </c>
      <c r="CF193" s="284">
        <v>40.125</v>
      </c>
      <c r="CG193" s="1">
        <v>1.3380000000000001</v>
      </c>
      <c r="CH193" s="1">
        <v>1.3380000000000001</v>
      </c>
      <c r="CI193" s="1" t="s">
        <v>776</v>
      </c>
      <c r="CK193" s="284">
        <v>180.68899999999999</v>
      </c>
      <c r="CL193" s="1">
        <v>6.0229999999999997</v>
      </c>
      <c r="CM193" s="1">
        <v>5.08</v>
      </c>
      <c r="CN193" s="1">
        <v>16.616</v>
      </c>
      <c r="CP193" s="284">
        <v>240.102</v>
      </c>
      <c r="CQ193" s="1">
        <v>8.0030000000000001</v>
      </c>
      <c r="CR193" s="1">
        <v>6.87</v>
      </c>
      <c r="CS193" s="1">
        <v>13.486000000000001</v>
      </c>
      <c r="CU193" s="284">
        <v>186.792</v>
      </c>
      <c r="CV193" s="1">
        <v>6.226</v>
      </c>
      <c r="CW193" s="1">
        <v>5.7720000000000002</v>
      </c>
      <c r="CX193" s="1">
        <v>16</v>
      </c>
      <c r="CZ193" s="269">
        <v>23.69</v>
      </c>
      <c r="DA193" s="1">
        <v>0.79</v>
      </c>
      <c r="DC193" s="284">
        <v>12.997</v>
      </c>
      <c r="DD193" s="1">
        <v>0.433</v>
      </c>
      <c r="DE193" s="1">
        <v>0.435</v>
      </c>
      <c r="DF193" s="1" t="s">
        <v>776</v>
      </c>
      <c r="DH193" s="284">
        <f>DI193*30</f>
        <v>73.05</v>
      </c>
      <c r="DI193" s="1">
        <f t="shared" si="269"/>
        <v>2.4350000000000001</v>
      </c>
      <c r="DJ193" s="1">
        <f t="shared" si="277"/>
        <v>2.248967273708796</v>
      </c>
      <c r="DM193" s="284">
        <f>DN193*31</f>
        <v>3391.4</v>
      </c>
      <c r="DN193" s="1">
        <f t="shared" si="270"/>
        <v>109.4</v>
      </c>
      <c r="DO193" s="1">
        <f t="shared" si="279"/>
        <v>97.240709710562484</v>
      </c>
      <c r="DR193" s="284">
        <f>DS193*30</f>
        <v>644.24999999999989</v>
      </c>
      <c r="DS193" s="1">
        <f t="shared" si="267"/>
        <v>21.474999999999998</v>
      </c>
      <c r="DT193" s="1" t="e">
        <f>SUM(CM193+CR193+CW193+#REF!+DE193)</f>
        <v>#REF!</v>
      </c>
      <c r="DW193" s="284">
        <f>DX193*30</f>
        <v>3926.25</v>
      </c>
      <c r="DX193" s="1">
        <f t="shared" si="278"/>
        <v>130.875</v>
      </c>
      <c r="DY193" s="1">
        <f t="shared" si="280"/>
        <v>116.12666367010767</v>
      </c>
      <c r="EB193" s="2">
        <v>9.9700000000000006</v>
      </c>
      <c r="EL193">
        <v>2013</v>
      </c>
      <c r="EM193" s="157" t="s">
        <v>718</v>
      </c>
      <c r="EN193" t="s">
        <v>841</v>
      </c>
      <c r="EO193">
        <v>181.22399999999999</v>
      </c>
      <c r="EP193" t="e">
        <f t="shared" si="250"/>
        <v>#VALUE!</v>
      </c>
    </row>
    <row r="194" spans="1:146" x14ac:dyDescent="0.25">
      <c r="A194" s="8">
        <v>2013</v>
      </c>
      <c r="B194" t="s">
        <v>716</v>
      </c>
      <c r="D194" s="284">
        <v>187.06899999999999</v>
      </c>
      <c r="E194" s="1">
        <v>6.0339999999999998</v>
      </c>
      <c r="F194" s="1">
        <v>5.7210000000000001</v>
      </c>
      <c r="G194" s="1">
        <v>9.3620000000000001</v>
      </c>
      <c r="N194" s="284">
        <v>110.254</v>
      </c>
      <c r="O194" s="1">
        <v>3.5569999999999999</v>
      </c>
      <c r="P194" s="1">
        <v>3.2789999999999999</v>
      </c>
      <c r="Q194" s="1">
        <v>14.637</v>
      </c>
      <c r="S194" s="284">
        <v>168.364</v>
      </c>
      <c r="T194" s="1">
        <v>5.431</v>
      </c>
      <c r="U194" s="1">
        <v>5.1230000000000002</v>
      </c>
      <c r="V194" s="1">
        <v>10.726000000000001</v>
      </c>
      <c r="X194" s="284">
        <v>602.601</v>
      </c>
      <c r="Y194" s="1">
        <v>19.439</v>
      </c>
      <c r="Z194" s="1">
        <v>19.143000000000001</v>
      </c>
      <c r="AA194" s="1">
        <v>29.391999999999999</v>
      </c>
      <c r="AC194" s="284">
        <v>770.96500000000003</v>
      </c>
      <c r="AD194" s="1">
        <v>24.87</v>
      </c>
      <c r="AE194" s="1">
        <v>24.265999999999998</v>
      </c>
      <c r="AF194" s="1">
        <v>40.118000000000002</v>
      </c>
      <c r="AH194" s="299">
        <v>1660.694</v>
      </c>
      <c r="AI194">
        <v>53.570999999999998</v>
      </c>
      <c r="AJ194">
        <v>53.686999999999998</v>
      </c>
      <c r="AK194">
        <v>121.3</v>
      </c>
      <c r="AM194" s="299">
        <v>19.623000000000001</v>
      </c>
      <c r="AN194">
        <v>0.63300000000000001</v>
      </c>
      <c r="AO194">
        <v>0.68400000000000005</v>
      </c>
      <c r="AP194" t="s">
        <v>776</v>
      </c>
      <c r="AR194" s="284">
        <v>128.09200000000001</v>
      </c>
      <c r="AS194" s="1">
        <v>4.1319999999999997</v>
      </c>
      <c r="AT194" s="1">
        <v>3.91</v>
      </c>
      <c r="AU194" s="1" t="s">
        <v>776</v>
      </c>
      <c r="AW194" s="284">
        <v>32.704999999999998</v>
      </c>
      <c r="AX194" s="1">
        <v>1.0549999999999999</v>
      </c>
      <c r="AY194" s="1">
        <v>1.0349999999999999</v>
      </c>
      <c r="AZ194" s="1" t="s">
        <v>776</v>
      </c>
      <c r="BB194" s="284">
        <v>22.382000000000001</v>
      </c>
      <c r="BC194" s="1">
        <v>0.72199999999999998</v>
      </c>
      <c r="BD194" s="1">
        <v>0.67300000000000004</v>
      </c>
      <c r="BE194" s="1" t="s">
        <v>776</v>
      </c>
      <c r="BG194" s="284">
        <v>21.08</v>
      </c>
      <c r="BH194" s="1">
        <v>0.68</v>
      </c>
      <c r="BI194" s="1">
        <v>0.65900000000000003</v>
      </c>
      <c r="BJ194" s="1" t="s">
        <v>776</v>
      </c>
      <c r="BL194" s="284">
        <v>193.98</v>
      </c>
      <c r="BM194" s="1">
        <v>6.2569999999999997</v>
      </c>
      <c r="BN194" s="1">
        <v>6.1890000000000001</v>
      </c>
      <c r="BO194" s="1" t="s">
        <v>776</v>
      </c>
      <c r="BQ194" s="284">
        <v>9.3740000000000006</v>
      </c>
      <c r="BR194" s="1">
        <v>0.30199999999999999</v>
      </c>
      <c r="BS194" s="1">
        <v>0.318</v>
      </c>
      <c r="BT194" s="1" t="s">
        <v>776</v>
      </c>
      <c r="BV194" s="284">
        <v>5.5490000000000004</v>
      </c>
      <c r="BW194" s="1">
        <v>0.17899999999999999</v>
      </c>
      <c r="BX194" s="1">
        <v>0.187</v>
      </c>
      <c r="BY194" s="1" t="s">
        <v>776</v>
      </c>
      <c r="CA194" s="284">
        <v>12.71</v>
      </c>
      <c r="CB194" s="1">
        <v>0.41</v>
      </c>
      <c r="CC194" s="1">
        <v>0.40699999999999997</v>
      </c>
      <c r="CD194" s="1" t="s">
        <v>776</v>
      </c>
      <c r="CF194" s="284">
        <v>41.463000000000001</v>
      </c>
      <c r="CG194" s="1">
        <v>1.3380000000000001</v>
      </c>
      <c r="CH194" s="1">
        <v>1.3380000000000001</v>
      </c>
      <c r="CI194" s="1" t="s">
        <v>776</v>
      </c>
      <c r="CK194" s="284">
        <v>182.45</v>
      </c>
      <c r="CL194" s="1">
        <v>5.8849999999999998</v>
      </c>
      <c r="CM194" s="1">
        <v>5.4020000000000001</v>
      </c>
      <c r="CN194" s="1">
        <v>18.916</v>
      </c>
      <c r="CP194" s="284">
        <v>222.73099999999999</v>
      </c>
      <c r="CQ194" s="1">
        <v>7.1849999999999996</v>
      </c>
      <c r="CR194" s="1">
        <v>7.0049999999999999</v>
      </c>
      <c r="CS194" s="1">
        <v>10.252000000000001</v>
      </c>
      <c r="CU194" s="284">
        <v>191.155</v>
      </c>
      <c r="CV194" s="1">
        <v>6.1660000000000004</v>
      </c>
      <c r="CW194" s="1">
        <v>5.8339999999999996</v>
      </c>
      <c r="CX194" s="1">
        <v>9.8960000000000008</v>
      </c>
      <c r="CZ194" s="269">
        <v>23.106999999999999</v>
      </c>
      <c r="DA194" s="1">
        <v>0.745</v>
      </c>
      <c r="DC194" s="284">
        <v>13.43</v>
      </c>
      <c r="DD194" s="1">
        <v>0.433</v>
      </c>
      <c r="DE194" s="1">
        <v>0.434</v>
      </c>
      <c r="DF194" s="1" t="s">
        <v>776</v>
      </c>
      <c r="DH194" s="284">
        <f>DI194*31</f>
        <v>69.099000000000004</v>
      </c>
      <c r="DI194" s="1">
        <f t="shared" si="269"/>
        <v>2.2290000000000001</v>
      </c>
      <c r="DJ194" s="1">
        <f t="shared" ref="DJ194:DJ199" si="281">SUM(DI183:DI194)/12</f>
        <v>2.2501825615855808</v>
      </c>
      <c r="DM194" s="284">
        <f>DN194*31</f>
        <v>3077.7420000000002</v>
      </c>
      <c r="DN194" s="1">
        <f t="shared" si="270"/>
        <v>99.282000000000011</v>
      </c>
      <c r="DO194" s="1">
        <f t="shared" ref="DO194:DO199" si="282">SUM(DN183:DN194)/12</f>
        <v>97.852666733687343</v>
      </c>
      <c r="DR194" s="284">
        <f>DS194*31</f>
        <v>632.83400000000006</v>
      </c>
      <c r="DS194" s="1">
        <f t="shared" si="267"/>
        <v>20.414000000000001</v>
      </c>
      <c r="DT194" s="1" t="e">
        <f>SUM(CM194+CR194+CW194+#REF!+DE194)</f>
        <v>#REF!</v>
      </c>
      <c r="DW194" s="284">
        <f>DX194*31</f>
        <v>3710.5760000000005</v>
      </c>
      <c r="DX194" s="1">
        <f t="shared" ref="DX194:DX199" si="283">SUM(DN194+DS194)</f>
        <v>119.69600000000001</v>
      </c>
      <c r="DY194" s="1">
        <f t="shared" ref="DY194:DY199" si="284">SUM(DX183:DX194)/12</f>
        <v>117.27373704848257</v>
      </c>
      <c r="EB194" s="2">
        <v>4.43</v>
      </c>
      <c r="EL194">
        <v>2013</v>
      </c>
      <c r="EM194" s="157" t="s">
        <v>716</v>
      </c>
      <c r="EN194" t="s">
        <v>841</v>
      </c>
      <c r="EO194">
        <v>187.06899999999999</v>
      </c>
      <c r="EP194" t="e">
        <f t="shared" si="250"/>
        <v>#VALUE!</v>
      </c>
    </row>
    <row r="195" spans="1:146" x14ac:dyDescent="0.25">
      <c r="A195" s="8">
        <v>2013</v>
      </c>
      <c r="B195" t="s">
        <v>708</v>
      </c>
      <c r="D195" s="284">
        <v>149.547</v>
      </c>
      <c r="E195" s="1">
        <v>4.8239999999999998</v>
      </c>
      <c r="F195" s="1">
        <v>5.57</v>
      </c>
      <c r="G195" s="1">
        <v>7.3239999999999998</v>
      </c>
      <c r="N195" s="284">
        <v>105.358</v>
      </c>
      <c r="O195" s="1">
        <v>3.399</v>
      </c>
      <c r="P195" s="1">
        <v>3.3029999999999999</v>
      </c>
      <c r="Q195" s="1">
        <v>5.7119999999999997</v>
      </c>
      <c r="S195" s="284">
        <v>139.44</v>
      </c>
      <c r="T195" s="1">
        <v>4.4980000000000002</v>
      </c>
      <c r="U195" s="1">
        <v>5.1509999999999998</v>
      </c>
      <c r="V195" s="1">
        <v>6.6959999999999997</v>
      </c>
      <c r="X195" s="284">
        <v>539.59199999999998</v>
      </c>
      <c r="Y195" s="1">
        <v>17.405999999999999</v>
      </c>
      <c r="Z195" s="1">
        <v>19.155999999999999</v>
      </c>
      <c r="AA195" s="1">
        <v>21.832999999999998</v>
      </c>
      <c r="AC195" s="284">
        <v>679.03200000000004</v>
      </c>
      <c r="AD195" s="1">
        <v>21.904</v>
      </c>
      <c r="AE195" s="1">
        <v>24.306999999999999</v>
      </c>
      <c r="AF195" s="1">
        <v>28.529</v>
      </c>
      <c r="AH195" s="299">
        <v>1515.752</v>
      </c>
      <c r="AI195">
        <v>48.895000000000003</v>
      </c>
      <c r="AJ195">
        <v>53.701999999999998</v>
      </c>
      <c r="AK195">
        <v>124.7</v>
      </c>
      <c r="AM195" s="299">
        <v>16.942</v>
      </c>
      <c r="AN195">
        <v>0.54700000000000004</v>
      </c>
      <c r="AO195">
        <v>0.68500000000000005</v>
      </c>
      <c r="AP195" t="s">
        <v>776</v>
      </c>
      <c r="AR195" s="284">
        <v>111.901</v>
      </c>
      <c r="AS195" s="1">
        <v>3.61</v>
      </c>
      <c r="AT195" s="1">
        <v>3.9220000000000002</v>
      </c>
      <c r="AU195" s="1" t="s">
        <v>776</v>
      </c>
      <c r="AW195" s="284">
        <v>32.087000000000003</v>
      </c>
      <c r="AX195" s="1">
        <v>1.0349999999999999</v>
      </c>
      <c r="AY195" s="1">
        <v>1.046</v>
      </c>
      <c r="AZ195" s="1" t="s">
        <v>776</v>
      </c>
      <c r="BB195" s="284">
        <v>20.175000000000001</v>
      </c>
      <c r="BC195" s="1">
        <v>0.65100000000000002</v>
      </c>
      <c r="BD195" s="1">
        <v>0.66700000000000004</v>
      </c>
      <c r="BE195" s="1" t="s">
        <v>776</v>
      </c>
      <c r="BG195" s="284">
        <v>17.87</v>
      </c>
      <c r="BH195" s="1">
        <v>0.57599999999999996</v>
      </c>
      <c r="BI195" s="1">
        <v>0.66600000000000004</v>
      </c>
      <c r="BJ195" s="1" t="s">
        <v>776</v>
      </c>
      <c r="BL195" s="284">
        <v>193.98</v>
      </c>
      <c r="BM195" s="1">
        <v>6.2569999999999997</v>
      </c>
      <c r="BN195" s="1">
        <v>6.2229999999999999</v>
      </c>
      <c r="BO195" s="1" t="s">
        <v>776</v>
      </c>
      <c r="BQ195" s="284">
        <v>9.4779999999999998</v>
      </c>
      <c r="BR195" s="1">
        <v>0.30599999999999999</v>
      </c>
      <c r="BS195" s="1">
        <v>0.317</v>
      </c>
      <c r="BT195" s="1" t="s">
        <v>776</v>
      </c>
      <c r="BV195" s="284">
        <v>4.6550000000000002</v>
      </c>
      <c r="BW195" s="1">
        <v>0.15</v>
      </c>
      <c r="BX195" s="1">
        <v>0.187</v>
      </c>
      <c r="BY195" s="1" t="s">
        <v>776</v>
      </c>
      <c r="CA195" s="284">
        <v>10.961</v>
      </c>
      <c r="CB195" s="1">
        <v>0.35399999999999998</v>
      </c>
      <c r="CC195" s="1">
        <v>0.40600000000000003</v>
      </c>
      <c r="CD195" s="1" t="s">
        <v>776</v>
      </c>
      <c r="CF195" s="284">
        <v>41.463000000000001</v>
      </c>
      <c r="CG195" s="1">
        <v>1.3380000000000001</v>
      </c>
      <c r="CH195" s="1">
        <v>1.3380000000000001</v>
      </c>
      <c r="CI195" s="1" t="s">
        <v>776</v>
      </c>
      <c r="CK195" s="284">
        <v>158.98599999999999</v>
      </c>
      <c r="CL195" s="1">
        <v>5.1289999999999996</v>
      </c>
      <c r="CM195" s="1">
        <v>5.6669999999999998</v>
      </c>
      <c r="CN195" s="1">
        <v>9.3079999999999998</v>
      </c>
      <c r="CP195" s="284">
        <v>206.607</v>
      </c>
      <c r="CQ195" s="1">
        <v>6.665</v>
      </c>
      <c r="CR195" s="1">
        <v>7.1130000000000004</v>
      </c>
      <c r="CS195" s="1">
        <v>9.3339999999999996</v>
      </c>
      <c r="CU195" s="284">
        <v>158.92400000000001</v>
      </c>
      <c r="CV195" s="1">
        <v>5.1269999999999998</v>
      </c>
      <c r="CW195" s="1">
        <v>5.7590000000000003</v>
      </c>
      <c r="CX195" s="1">
        <v>7.29</v>
      </c>
      <c r="CZ195" s="269">
        <v>19.114000000000001</v>
      </c>
      <c r="DA195" s="1">
        <v>0.61699999999999999</v>
      </c>
      <c r="DC195" s="284">
        <v>13.43</v>
      </c>
      <c r="DD195" s="1">
        <v>0.433</v>
      </c>
      <c r="DE195" s="1">
        <v>0.434</v>
      </c>
      <c r="DF195" s="1" t="s">
        <v>776</v>
      </c>
      <c r="DH195" s="284">
        <f>DI195*31</f>
        <v>66.588000000000008</v>
      </c>
      <c r="DI195" s="1">
        <f t="shared" si="269"/>
        <v>2.1480000000000001</v>
      </c>
      <c r="DJ195" s="1">
        <f t="shared" si="281"/>
        <v>2.2478492282522473</v>
      </c>
      <c r="DM195" s="284">
        <f>DN195*31</f>
        <v>2776.0499999999997</v>
      </c>
      <c r="DN195" s="1">
        <f t="shared" si="270"/>
        <v>89.55</v>
      </c>
      <c r="DO195" s="1">
        <f t="shared" si="282"/>
        <v>97.84316673368734</v>
      </c>
      <c r="DR195" s="284">
        <f>DS195*31</f>
        <v>557.101</v>
      </c>
      <c r="DS195" s="1">
        <f t="shared" si="267"/>
        <v>17.971</v>
      </c>
      <c r="DT195" s="1" t="e">
        <f>SUM(CM195+CR195+CW195+#REF!+DE195)</f>
        <v>#REF!</v>
      </c>
      <c r="DW195" s="284">
        <f>DX195*31</f>
        <v>3333.1509999999998</v>
      </c>
      <c r="DX195" s="1">
        <f t="shared" si="283"/>
        <v>107.521</v>
      </c>
      <c r="DY195" s="1">
        <f t="shared" si="284"/>
        <v>117.57057038181591</v>
      </c>
      <c r="EB195" s="2">
        <v>1.34</v>
      </c>
      <c r="EL195">
        <v>2013</v>
      </c>
      <c r="EM195" s="157" t="s">
        <v>708</v>
      </c>
      <c r="EN195" t="s">
        <v>841</v>
      </c>
      <c r="EO195">
        <v>149.547</v>
      </c>
      <c r="EP195" t="e">
        <f t="shared" si="250"/>
        <v>#VALUE!</v>
      </c>
    </row>
    <row r="196" spans="1:146" x14ac:dyDescent="0.25">
      <c r="A196" s="8">
        <v>2013</v>
      </c>
      <c r="B196" t="s">
        <v>709</v>
      </c>
      <c r="D196" s="284">
        <v>150.714</v>
      </c>
      <c r="E196" s="1">
        <v>5.024</v>
      </c>
      <c r="F196" s="1">
        <v>5.59</v>
      </c>
      <c r="G196" s="1">
        <v>12.561</v>
      </c>
      <c r="N196" s="284">
        <v>111.10899999999999</v>
      </c>
      <c r="O196" s="1">
        <v>3.7040000000000002</v>
      </c>
      <c r="P196" s="1">
        <v>3.3570000000000002</v>
      </c>
      <c r="Q196" s="1">
        <v>9.2390000000000008</v>
      </c>
      <c r="S196" s="284">
        <v>124.173</v>
      </c>
      <c r="T196" s="1">
        <v>4.1390000000000002</v>
      </c>
      <c r="U196" s="1">
        <v>5.1589999999999998</v>
      </c>
      <c r="V196" s="1">
        <v>7.91</v>
      </c>
      <c r="X196" s="284">
        <v>494.56799999999998</v>
      </c>
      <c r="Y196" s="1">
        <v>16.486000000000001</v>
      </c>
      <c r="Z196" s="1">
        <v>19.132000000000001</v>
      </c>
      <c r="AA196" s="1">
        <v>23.863</v>
      </c>
      <c r="AC196" s="284">
        <v>618.74099999999999</v>
      </c>
      <c r="AD196" s="1">
        <v>20.625</v>
      </c>
      <c r="AE196" s="1">
        <v>24.291</v>
      </c>
      <c r="AF196" s="1">
        <v>31.773</v>
      </c>
      <c r="AH196" s="299">
        <v>1421.432</v>
      </c>
      <c r="AI196">
        <v>47.381</v>
      </c>
      <c r="AJ196">
        <v>53.581000000000003</v>
      </c>
      <c r="AK196">
        <v>118.8</v>
      </c>
      <c r="AM196" s="299">
        <v>16.59</v>
      </c>
      <c r="AN196">
        <v>0.55300000000000005</v>
      </c>
      <c r="AO196">
        <v>0.68500000000000005</v>
      </c>
      <c r="AP196" t="s">
        <v>776</v>
      </c>
      <c r="AR196" s="284">
        <v>101.07</v>
      </c>
      <c r="AS196" s="1">
        <v>3.3690000000000002</v>
      </c>
      <c r="AT196" s="1">
        <v>3.891</v>
      </c>
      <c r="AU196" s="1" t="s">
        <v>776</v>
      </c>
      <c r="AW196" s="284">
        <v>25.65</v>
      </c>
      <c r="AX196" s="1">
        <v>0.85499999999999998</v>
      </c>
      <c r="AY196" s="1">
        <v>1.0369999999999999</v>
      </c>
      <c r="AZ196" s="1" t="s">
        <v>776</v>
      </c>
      <c r="BB196" s="284">
        <v>18.690000000000001</v>
      </c>
      <c r="BC196" s="1">
        <v>0.623</v>
      </c>
      <c r="BD196" s="1">
        <v>0.68400000000000005</v>
      </c>
      <c r="BE196" s="1" t="s">
        <v>776</v>
      </c>
      <c r="BG196" s="284">
        <v>15.81</v>
      </c>
      <c r="BH196" s="1">
        <v>0.52700000000000002</v>
      </c>
      <c r="BI196" s="1">
        <v>0.66400000000000003</v>
      </c>
      <c r="BJ196" s="1" t="s">
        <v>776</v>
      </c>
      <c r="BL196" s="284">
        <v>187.72300000000001</v>
      </c>
      <c r="BM196" s="1">
        <v>6.2569999999999997</v>
      </c>
      <c r="BN196" s="1">
        <v>6.2569999999999997</v>
      </c>
      <c r="BO196" s="1" t="s">
        <v>776</v>
      </c>
      <c r="BQ196" s="284">
        <v>9.15</v>
      </c>
      <c r="BR196" s="1">
        <v>0.30499999999999999</v>
      </c>
      <c r="BS196" s="1">
        <v>0.313</v>
      </c>
      <c r="BT196" s="1" t="s">
        <v>776</v>
      </c>
      <c r="BV196" s="284">
        <v>3.66</v>
      </c>
      <c r="BW196" s="1">
        <v>0.122</v>
      </c>
      <c r="BX196" s="1">
        <v>0.183</v>
      </c>
      <c r="BY196" s="1" t="s">
        <v>776</v>
      </c>
      <c r="CA196" s="284">
        <v>9.75</v>
      </c>
      <c r="CB196" s="1">
        <v>0.32500000000000001</v>
      </c>
      <c r="CC196" s="1">
        <v>0.39900000000000002</v>
      </c>
      <c r="CD196" s="1" t="s">
        <v>776</v>
      </c>
      <c r="CF196" s="284">
        <v>40.125</v>
      </c>
      <c r="CG196" s="1">
        <v>1.3380000000000001</v>
      </c>
      <c r="CH196" s="1">
        <v>1.3380000000000001</v>
      </c>
      <c r="CI196" s="1" t="s">
        <v>776</v>
      </c>
      <c r="CK196" s="284">
        <v>162.20099999999999</v>
      </c>
      <c r="CL196" s="1">
        <v>5.407</v>
      </c>
      <c r="CM196" s="1">
        <v>5.766</v>
      </c>
      <c r="CN196" s="1">
        <v>12.156000000000001</v>
      </c>
      <c r="CP196" s="284">
        <v>188.72300000000001</v>
      </c>
      <c r="CQ196" s="1">
        <v>6.2910000000000004</v>
      </c>
      <c r="CR196" s="1">
        <v>7.141</v>
      </c>
      <c r="CS196" s="1">
        <v>11.409000000000001</v>
      </c>
      <c r="CU196" s="284">
        <v>153.74100000000001</v>
      </c>
      <c r="CV196" s="1">
        <v>5.125</v>
      </c>
      <c r="CW196" s="1">
        <v>5.7729999999999997</v>
      </c>
      <c r="CX196" s="1">
        <v>11.565</v>
      </c>
      <c r="CZ196" s="269">
        <v>17.856999999999999</v>
      </c>
      <c r="DA196" s="1">
        <v>0.59499999999999997</v>
      </c>
      <c r="DC196" s="284">
        <v>12.997</v>
      </c>
      <c r="DD196" s="1">
        <v>0.433</v>
      </c>
      <c r="DE196" s="1">
        <v>0.433</v>
      </c>
      <c r="DF196" s="1" t="s">
        <v>776</v>
      </c>
      <c r="DH196" s="284">
        <f>DI196*30</f>
        <v>62.699999999999996</v>
      </c>
      <c r="DI196" s="1">
        <f t="shared" si="269"/>
        <v>2.09</v>
      </c>
      <c r="DJ196" s="1">
        <f t="shared" si="281"/>
        <v>2.2328492282522476</v>
      </c>
      <c r="DM196" s="284">
        <f>DN196*30</f>
        <v>2604.8400000000006</v>
      </c>
      <c r="DN196" s="1">
        <f t="shared" si="270"/>
        <v>86.828000000000017</v>
      </c>
      <c r="DO196" s="1">
        <f t="shared" si="282"/>
        <v>97.802083400354022</v>
      </c>
      <c r="DR196" s="284">
        <f>DS196*30</f>
        <v>535.53</v>
      </c>
      <c r="DS196" s="1">
        <f t="shared" si="267"/>
        <v>17.850999999999999</v>
      </c>
      <c r="DT196" s="1" t="e">
        <f>SUM(CM196+CR196+CW196+#REF!+DE196)</f>
        <v>#REF!</v>
      </c>
      <c r="DW196" s="284">
        <f>DX196*30</f>
        <v>3140.3700000000003</v>
      </c>
      <c r="DX196" s="1">
        <f t="shared" si="283"/>
        <v>104.67900000000002</v>
      </c>
      <c r="DY196" s="1">
        <f t="shared" si="284"/>
        <v>117.66607038181591</v>
      </c>
      <c r="EB196" s="2">
        <v>1.22</v>
      </c>
      <c r="EL196">
        <v>2013</v>
      </c>
      <c r="EM196" s="157" t="s">
        <v>709</v>
      </c>
      <c r="EN196" t="s">
        <v>841</v>
      </c>
      <c r="EO196">
        <v>150.714</v>
      </c>
      <c r="EP196" t="e">
        <f t="shared" si="250"/>
        <v>#VALUE!</v>
      </c>
    </row>
    <row r="197" spans="1:146" x14ac:dyDescent="0.25">
      <c r="A197" s="8">
        <v>2013</v>
      </c>
      <c r="B197" t="s">
        <v>710</v>
      </c>
      <c r="D197" s="284">
        <v>176.96299999999999</v>
      </c>
      <c r="E197" s="1">
        <v>5.7080000000000002</v>
      </c>
      <c r="F197" s="1">
        <v>5.6360000000000001</v>
      </c>
      <c r="G197" s="1">
        <v>12.851000000000001</v>
      </c>
      <c r="I197" s="284">
        <v>12.016</v>
      </c>
      <c r="J197" s="1">
        <v>0.38800000000000001</v>
      </c>
      <c r="K197" s="1">
        <v>0.38300000000000001</v>
      </c>
      <c r="L197" s="1">
        <v>0.93700000000000006</v>
      </c>
      <c r="N197" s="284">
        <v>99.483999999999995</v>
      </c>
      <c r="O197" s="1">
        <v>3.2090000000000001</v>
      </c>
      <c r="P197" s="1">
        <v>3.36</v>
      </c>
      <c r="Q197" s="1">
        <v>11.315</v>
      </c>
      <c r="S197" s="284">
        <v>141.01400000000001</v>
      </c>
      <c r="T197" s="1">
        <v>4.5490000000000004</v>
      </c>
      <c r="U197" s="1">
        <v>5.1349999999999998</v>
      </c>
      <c r="V197" s="1">
        <v>13.981999999999999</v>
      </c>
      <c r="X197" s="284">
        <v>535.24800000000005</v>
      </c>
      <c r="Y197" s="1">
        <v>17.265999999999998</v>
      </c>
      <c r="Z197" s="1">
        <v>19.068000000000001</v>
      </c>
      <c r="AA197" s="1">
        <v>33.076999999999998</v>
      </c>
      <c r="AC197" s="299">
        <v>676.26199999999994</v>
      </c>
      <c r="AD197">
        <v>21.815000000000001</v>
      </c>
      <c r="AE197">
        <v>24.202999999999999</v>
      </c>
      <c r="AF197">
        <v>47.058999999999997</v>
      </c>
      <c r="AH197" s="299">
        <v>1599.384</v>
      </c>
      <c r="AI197">
        <v>51.593000000000004</v>
      </c>
      <c r="AJ197">
        <v>53.530999999999999</v>
      </c>
      <c r="AK197">
        <v>157.9</v>
      </c>
      <c r="AM197" s="284">
        <v>21.08</v>
      </c>
      <c r="AN197" s="1">
        <v>0.68</v>
      </c>
      <c r="AO197" s="1">
        <v>0.68300000000000005</v>
      </c>
      <c r="AP197" s="1" t="s">
        <v>776</v>
      </c>
      <c r="AR197" s="284">
        <v>125.30200000000001</v>
      </c>
      <c r="AS197" s="1">
        <v>4.0419999999999998</v>
      </c>
      <c r="AT197" s="1">
        <v>3.964</v>
      </c>
      <c r="AU197" s="1" t="s">
        <v>776</v>
      </c>
      <c r="AW197" s="284">
        <v>29.853000000000002</v>
      </c>
      <c r="AX197" s="1">
        <v>0.96299999999999997</v>
      </c>
      <c r="AY197" s="1">
        <v>1.036</v>
      </c>
      <c r="AZ197" s="1" t="s">
        <v>776</v>
      </c>
      <c r="BB197" s="284">
        <v>20.986999999999998</v>
      </c>
      <c r="BC197" s="1">
        <v>0.67700000000000005</v>
      </c>
      <c r="BD197" s="1">
        <v>0.68500000000000005</v>
      </c>
      <c r="BE197" s="1" t="s">
        <v>776</v>
      </c>
      <c r="BG197" s="284">
        <v>20.646000000000001</v>
      </c>
      <c r="BH197" s="1">
        <v>0.66600000000000004</v>
      </c>
      <c r="BI197" s="1">
        <v>0.66500000000000004</v>
      </c>
      <c r="BJ197" s="1" t="s">
        <v>776</v>
      </c>
      <c r="BL197" s="284">
        <v>120.971</v>
      </c>
      <c r="BM197" s="1">
        <v>3.9020000000000001</v>
      </c>
      <c r="BN197" s="1">
        <v>6.0609999999999999</v>
      </c>
      <c r="BO197" s="1" t="s">
        <v>776</v>
      </c>
      <c r="BQ197" s="284">
        <v>10.044</v>
      </c>
      <c r="BR197" s="1">
        <v>0.32400000000000001</v>
      </c>
      <c r="BS197" s="1">
        <v>0.312</v>
      </c>
      <c r="BT197" s="1" t="s">
        <v>776</v>
      </c>
      <c r="BV197" s="284">
        <v>6.0449999999999999</v>
      </c>
      <c r="BW197" s="1">
        <v>0.19500000000000001</v>
      </c>
      <c r="BX197" s="1">
        <v>0.182</v>
      </c>
      <c r="BY197" s="1" t="s">
        <v>776</v>
      </c>
      <c r="CA197" s="284">
        <v>11.686999999999999</v>
      </c>
      <c r="CB197" s="1">
        <v>0.377</v>
      </c>
      <c r="CC197" s="1">
        <v>0.39600000000000002</v>
      </c>
      <c r="CD197" s="1" t="s">
        <v>776</v>
      </c>
      <c r="CF197" s="284">
        <v>45.689</v>
      </c>
      <c r="CG197" s="1">
        <v>1.474</v>
      </c>
      <c r="CH197" s="1">
        <v>1.349</v>
      </c>
      <c r="CI197" s="1" t="s">
        <v>776</v>
      </c>
      <c r="CK197" s="284">
        <v>157.90299999999999</v>
      </c>
      <c r="CL197" s="1">
        <v>5.0940000000000003</v>
      </c>
      <c r="CM197" s="1">
        <v>5.4279999999999999</v>
      </c>
      <c r="CN197" s="1">
        <v>11.18</v>
      </c>
      <c r="CP197" s="284">
        <v>199.16499999999999</v>
      </c>
      <c r="CQ197" s="1">
        <v>6.4249999999999998</v>
      </c>
      <c r="CR197" s="1">
        <v>7.1289999999999996</v>
      </c>
      <c r="CS197" s="1">
        <v>11.503</v>
      </c>
      <c r="CU197" s="284">
        <v>171.90100000000001</v>
      </c>
      <c r="CV197" s="1">
        <v>5.5449999999999999</v>
      </c>
      <c r="CW197" s="1">
        <v>5.7770000000000001</v>
      </c>
      <c r="CX197" s="1">
        <v>12.095000000000001</v>
      </c>
      <c r="CZ197" s="269">
        <v>21.202000000000002</v>
      </c>
      <c r="DA197" s="1">
        <v>0.68400000000000005</v>
      </c>
      <c r="DC197" s="284">
        <v>13.614000000000001</v>
      </c>
      <c r="DD197" s="1">
        <v>0.439</v>
      </c>
      <c r="DE197" s="1">
        <v>0.434</v>
      </c>
      <c r="DH197" s="284">
        <f>DI197*31</f>
        <v>73.47</v>
      </c>
      <c r="DI197" s="1">
        <f t="shared" si="269"/>
        <v>2.37</v>
      </c>
      <c r="DJ197" s="1">
        <f t="shared" si="281"/>
        <v>2.2395158949189145</v>
      </c>
      <c r="DK197" t="s">
        <v>776</v>
      </c>
      <c r="DM197" s="284">
        <f>DN197*31</f>
        <v>2829.4630000000002</v>
      </c>
      <c r="DN197" s="1">
        <f>SUM(E197+J197+O197+AD197+AI197+AN197+AS197+AX197+BC197+BH197+BM197-DI197)</f>
        <v>91.27300000000001</v>
      </c>
      <c r="DO197" s="1">
        <f t="shared" si="282"/>
        <v>97.617000067020683</v>
      </c>
      <c r="DR197" s="284">
        <f>DS197*31</f>
        <v>563.79700000000003</v>
      </c>
      <c r="DS197" s="1">
        <f t="shared" si="267"/>
        <v>18.187000000000001</v>
      </c>
      <c r="DT197" s="1" t="e">
        <f>SUM(CH197+CM197+CR197+CW197+#REF!)</f>
        <v>#REF!</v>
      </c>
      <c r="DW197" s="284">
        <f>DX197*31</f>
        <v>3393.26</v>
      </c>
      <c r="DX197" s="1">
        <f t="shared" si="283"/>
        <v>109.46000000000001</v>
      </c>
      <c r="DY197" s="1">
        <f t="shared" si="284"/>
        <v>117.13165371514926</v>
      </c>
      <c r="EB197" s="2">
        <v>6.25</v>
      </c>
      <c r="EL197">
        <v>2013</v>
      </c>
      <c r="EM197" s="157" t="s">
        <v>710</v>
      </c>
      <c r="EN197" t="s">
        <v>841</v>
      </c>
      <c r="EO197">
        <v>176.96299999999999</v>
      </c>
      <c r="EP197" t="e">
        <f t="shared" si="250"/>
        <v>#VALUE!</v>
      </c>
    </row>
    <row r="198" spans="1:146" x14ac:dyDescent="0.25">
      <c r="A198" s="8">
        <v>2013</v>
      </c>
      <c r="B198" t="s">
        <v>711</v>
      </c>
      <c r="D198" s="284">
        <v>177.94399999999999</v>
      </c>
      <c r="E198" s="1">
        <v>5.931</v>
      </c>
      <c r="F198" s="1">
        <v>5.6769999999999996</v>
      </c>
      <c r="G198" s="1">
        <v>14.438000000000001</v>
      </c>
      <c r="I198" s="284">
        <v>11.5</v>
      </c>
      <c r="J198" s="1">
        <v>0.38300000000000001</v>
      </c>
      <c r="K198" s="1">
        <v>0.38400000000000001</v>
      </c>
      <c r="L198" s="1">
        <v>0.65400000000000003</v>
      </c>
      <c r="N198" s="284">
        <v>116.661</v>
      </c>
      <c r="O198" s="1">
        <v>3.8889999999999998</v>
      </c>
      <c r="P198" s="1">
        <v>3.4319999999999999</v>
      </c>
      <c r="Q198" s="1">
        <v>7.6079999999999997</v>
      </c>
      <c r="S198" s="284">
        <v>128.73599999999999</v>
      </c>
      <c r="T198" s="1">
        <v>4.2910000000000004</v>
      </c>
      <c r="U198" s="1">
        <v>5.1059999999999999</v>
      </c>
      <c r="V198" s="1">
        <v>8.9789999999999992</v>
      </c>
      <c r="X198" s="284">
        <v>534.15899999999999</v>
      </c>
      <c r="Y198" s="1">
        <v>17.805</v>
      </c>
      <c r="Z198" s="1">
        <v>19.013000000000002</v>
      </c>
      <c r="AA198" s="1">
        <v>26.706</v>
      </c>
      <c r="AC198" s="284">
        <v>662.89499999999998</v>
      </c>
      <c r="AD198" s="1">
        <v>22.097000000000001</v>
      </c>
      <c r="AE198" s="1">
        <v>24.12</v>
      </c>
      <c r="AF198" s="1">
        <v>35.685000000000002</v>
      </c>
      <c r="AH198" s="299">
        <v>1537.9780000000001</v>
      </c>
      <c r="AI198">
        <v>51.265999999999998</v>
      </c>
      <c r="AJ198">
        <v>53.470999999999997</v>
      </c>
      <c r="AK198">
        <v>163</v>
      </c>
      <c r="AM198" s="299">
        <v>19.2</v>
      </c>
      <c r="AN198">
        <v>0.64</v>
      </c>
      <c r="AO198">
        <v>0.66500000000000004</v>
      </c>
      <c r="AP198" t="s">
        <v>776</v>
      </c>
      <c r="AR198" s="284">
        <v>112.05</v>
      </c>
      <c r="AS198" s="1">
        <v>3.7349999999999999</v>
      </c>
      <c r="AT198" s="1">
        <v>3.9580000000000002</v>
      </c>
      <c r="AU198" s="1" t="s">
        <v>776</v>
      </c>
      <c r="AW198" s="284">
        <v>28.23</v>
      </c>
      <c r="AX198" s="1">
        <v>0.94099999999999995</v>
      </c>
      <c r="AY198" s="1">
        <v>1.034</v>
      </c>
      <c r="AZ198" s="1" t="s">
        <v>776</v>
      </c>
      <c r="BB198" s="284">
        <v>20.07</v>
      </c>
      <c r="BC198" s="1">
        <v>0.66900000000000004</v>
      </c>
      <c r="BD198" s="1">
        <v>0.68600000000000005</v>
      </c>
      <c r="BE198" s="1" t="s">
        <v>776</v>
      </c>
      <c r="BG198" s="284">
        <v>18.48</v>
      </c>
      <c r="BH198" s="1">
        <v>0.61599999999999999</v>
      </c>
      <c r="BI198" s="1">
        <v>0.66500000000000004</v>
      </c>
      <c r="BJ198" s="1" t="s">
        <v>776</v>
      </c>
      <c r="BL198" s="284">
        <v>117.069</v>
      </c>
      <c r="BM198" s="1">
        <v>3.9020000000000001</v>
      </c>
      <c r="BN198" s="1">
        <v>5.8650000000000002</v>
      </c>
      <c r="BO198" s="1" t="s">
        <v>776</v>
      </c>
      <c r="BQ198" s="284">
        <v>8.8800000000000008</v>
      </c>
      <c r="BR198" s="1">
        <v>0.29599999999999999</v>
      </c>
      <c r="BS198" s="1">
        <v>0.31</v>
      </c>
      <c r="BT198" s="1" t="s">
        <v>776</v>
      </c>
      <c r="BV198" s="284">
        <v>5.0999999999999996</v>
      </c>
      <c r="BW198" s="1">
        <v>0.17</v>
      </c>
      <c r="BX198" s="1">
        <v>0.183</v>
      </c>
      <c r="BY198" s="1" t="s">
        <v>776</v>
      </c>
      <c r="CA198" s="284">
        <v>11.85</v>
      </c>
      <c r="CB198" s="1">
        <v>0.39500000000000002</v>
      </c>
      <c r="CC198" s="1">
        <v>0.39600000000000002</v>
      </c>
      <c r="CD198" s="1" t="s">
        <v>776</v>
      </c>
      <c r="CF198" s="284">
        <v>44.215000000000003</v>
      </c>
      <c r="CG198" s="1">
        <v>1.474</v>
      </c>
      <c r="CH198" s="1">
        <v>1.361</v>
      </c>
      <c r="CI198" s="1" t="s">
        <v>776</v>
      </c>
      <c r="CK198" s="284">
        <v>131.58000000000001</v>
      </c>
      <c r="CL198" s="1">
        <v>4.3860000000000001</v>
      </c>
      <c r="CM198" s="1">
        <v>5.34</v>
      </c>
      <c r="CN198" s="1">
        <v>7.7290000000000001</v>
      </c>
      <c r="CP198" s="284">
        <v>184.93</v>
      </c>
      <c r="CQ198" s="1">
        <v>6.1639999999999997</v>
      </c>
      <c r="CR198" s="1">
        <v>7.0860000000000003</v>
      </c>
      <c r="CS198" s="1">
        <v>10.173</v>
      </c>
      <c r="CU198" s="284">
        <v>165.99600000000001</v>
      </c>
      <c r="CV198" s="1">
        <v>5.5330000000000004</v>
      </c>
      <c r="CW198" s="1">
        <v>5.7649999999999997</v>
      </c>
      <c r="CX198" s="1">
        <v>9.09</v>
      </c>
      <c r="CZ198" s="269">
        <v>19.38</v>
      </c>
      <c r="DA198" s="1">
        <v>0.64600000000000002</v>
      </c>
      <c r="DC198" s="284">
        <v>13.173999999999999</v>
      </c>
      <c r="DD198" s="1">
        <v>0.439</v>
      </c>
      <c r="DE198" s="1">
        <v>0.434</v>
      </c>
      <c r="DF198" s="1" t="s">
        <v>776</v>
      </c>
      <c r="DH198" s="284">
        <f>DI198*30</f>
        <v>70.05</v>
      </c>
      <c r="DI198" s="1">
        <f t="shared" si="269"/>
        <v>2.335</v>
      </c>
      <c r="DJ198" s="1">
        <f t="shared" si="281"/>
        <v>2.2495992282522477</v>
      </c>
      <c r="DK198" t="s">
        <v>776</v>
      </c>
      <c r="DM198" s="284">
        <f>DN198*30</f>
        <v>2752.0200000000004</v>
      </c>
      <c r="DN198" s="1">
        <f>SUM(E198+J198+O198+AD198+AI198+AN198+AS198+AX198+BC198+BH198+BM198-DI198)</f>
        <v>91.734000000000009</v>
      </c>
      <c r="DO198" s="1">
        <f t="shared" si="282"/>
        <v>97.378416733687345</v>
      </c>
      <c r="DR198" s="284">
        <f>DS198*30</f>
        <v>515.04000000000008</v>
      </c>
      <c r="DS198" s="1">
        <f t="shared" si="267"/>
        <v>17.168000000000003</v>
      </c>
      <c r="DT198" s="1" t="e">
        <f>SUM(CH198+CM198+CR198+CW198+#REF!)</f>
        <v>#REF!</v>
      </c>
      <c r="DW198" s="284">
        <f>DX198*30</f>
        <v>3267.0600000000004</v>
      </c>
      <c r="DX198" s="1">
        <f t="shared" si="283"/>
        <v>108.90200000000002</v>
      </c>
      <c r="DY198" s="1">
        <f t="shared" si="284"/>
        <v>116.74457038181593</v>
      </c>
      <c r="EB198" s="2">
        <v>2.92</v>
      </c>
      <c r="EL198">
        <v>2013</v>
      </c>
      <c r="EM198" s="157" t="s">
        <v>711</v>
      </c>
      <c r="EN198" t="s">
        <v>841</v>
      </c>
      <c r="EO198">
        <v>177.94399999999999</v>
      </c>
      <c r="EP198" t="e">
        <f t="shared" si="250"/>
        <v>#VALUE!</v>
      </c>
    </row>
    <row r="199" spans="1:146" x14ac:dyDescent="0.25">
      <c r="A199" s="8">
        <v>2013</v>
      </c>
      <c r="B199" t="s">
        <v>712</v>
      </c>
      <c r="D199" s="284">
        <v>212.322</v>
      </c>
      <c r="E199" s="1">
        <v>6.8490000000000002</v>
      </c>
      <c r="F199" s="1">
        <v>5.7949999999999999</v>
      </c>
      <c r="G199" s="1">
        <v>13.506</v>
      </c>
      <c r="I199" s="284">
        <v>11.49</v>
      </c>
      <c r="J199" s="1">
        <v>0.371</v>
      </c>
      <c r="K199" s="1">
        <v>0.38700000000000001</v>
      </c>
      <c r="L199" s="1">
        <v>0.64400000000000002</v>
      </c>
      <c r="N199" s="284">
        <v>129.452</v>
      </c>
      <c r="O199" s="1">
        <v>4.1760000000000002</v>
      </c>
      <c r="P199" s="1">
        <v>3.5110000000000001</v>
      </c>
      <c r="Q199" s="1">
        <v>9.59</v>
      </c>
      <c r="S199" s="284">
        <v>165.477</v>
      </c>
      <c r="T199" s="1">
        <v>5.3380000000000001</v>
      </c>
      <c r="U199" s="1">
        <v>5.165</v>
      </c>
      <c r="V199" s="1">
        <v>11.429</v>
      </c>
      <c r="X199" s="284">
        <v>608.92999999999995</v>
      </c>
      <c r="Y199" s="1">
        <v>19.643000000000001</v>
      </c>
      <c r="Z199" s="1">
        <v>19.091000000000001</v>
      </c>
      <c r="AA199" s="1">
        <v>30.873000000000001</v>
      </c>
      <c r="AC199" s="284">
        <v>774.40700000000004</v>
      </c>
      <c r="AD199" s="1">
        <v>24.981000000000002</v>
      </c>
      <c r="AE199" s="1">
        <v>24.256</v>
      </c>
      <c r="AF199" s="1">
        <v>42.302</v>
      </c>
      <c r="AH199" s="299">
        <v>1782.144</v>
      </c>
      <c r="AI199">
        <v>57.488999999999997</v>
      </c>
      <c r="AJ199">
        <v>53.908000000000001</v>
      </c>
      <c r="AK199">
        <v>152.19999999999999</v>
      </c>
      <c r="AM199" s="299">
        <v>25.327000000000002</v>
      </c>
      <c r="AN199">
        <v>0.81699999999999995</v>
      </c>
      <c r="AO199">
        <v>0.65500000000000003</v>
      </c>
      <c r="AP199" t="s">
        <v>776</v>
      </c>
      <c r="AR199" s="284">
        <v>142.91</v>
      </c>
      <c r="AS199" s="1">
        <v>4.6100000000000003</v>
      </c>
      <c r="AT199" s="1">
        <v>4.0259999999999998</v>
      </c>
      <c r="AU199" s="1" t="s">
        <v>776</v>
      </c>
      <c r="AW199" s="284">
        <v>34.968000000000004</v>
      </c>
      <c r="AX199" s="1">
        <v>1.1279999999999999</v>
      </c>
      <c r="AY199" s="1">
        <v>1.044</v>
      </c>
      <c r="AZ199" s="1" t="s">
        <v>776</v>
      </c>
      <c r="BB199" s="284">
        <v>23.838999999999999</v>
      </c>
      <c r="BC199" s="1">
        <v>0.76900000000000002</v>
      </c>
      <c r="BD199" s="1">
        <v>0.69399999999999995</v>
      </c>
      <c r="BE199" s="1" t="s">
        <v>776</v>
      </c>
      <c r="BG199" s="284">
        <v>26.35</v>
      </c>
      <c r="BH199" s="1">
        <v>0.85</v>
      </c>
      <c r="BI199" s="1">
        <v>0.68200000000000005</v>
      </c>
      <c r="BJ199" s="1" t="s">
        <v>776</v>
      </c>
      <c r="BL199" s="284">
        <v>120.971</v>
      </c>
      <c r="BM199" s="1">
        <v>3.9020000000000001</v>
      </c>
      <c r="BN199" s="1">
        <v>5.6680000000000001</v>
      </c>
      <c r="BO199" s="1" t="s">
        <v>776</v>
      </c>
      <c r="BQ199" s="284">
        <v>9.7959999999999994</v>
      </c>
      <c r="BR199" s="1">
        <v>0.316</v>
      </c>
      <c r="BS199" s="1">
        <v>0.31</v>
      </c>
      <c r="BT199" s="1" t="s">
        <v>776</v>
      </c>
      <c r="BV199" s="284">
        <v>8.4629999999999992</v>
      </c>
      <c r="BW199" s="1">
        <v>0.27300000000000002</v>
      </c>
      <c r="BX199" s="1">
        <v>0.193</v>
      </c>
      <c r="BY199" s="1" t="s">
        <v>776</v>
      </c>
      <c r="CA199" s="284">
        <v>14.911</v>
      </c>
      <c r="CB199" s="1">
        <v>0.48099999999999998</v>
      </c>
      <c r="CC199" s="1">
        <v>0.40300000000000002</v>
      </c>
      <c r="CD199" s="1" t="s">
        <v>776</v>
      </c>
      <c r="CF199" s="284">
        <v>45.689</v>
      </c>
      <c r="CG199" s="1">
        <v>1.474</v>
      </c>
      <c r="CH199" s="1">
        <v>1.3720000000000001</v>
      </c>
      <c r="CI199" s="1" t="s">
        <v>776</v>
      </c>
      <c r="CK199" s="284">
        <v>143.02099999999999</v>
      </c>
      <c r="CL199" s="1">
        <v>4.6139999999999999</v>
      </c>
      <c r="CM199" s="1">
        <v>5.3209999999999997</v>
      </c>
      <c r="CN199" s="1">
        <v>12.474</v>
      </c>
      <c r="CP199" s="284">
        <v>192.887</v>
      </c>
      <c r="CQ199" s="1">
        <v>6.2220000000000004</v>
      </c>
      <c r="CR199" s="1">
        <v>7.0350000000000001</v>
      </c>
      <c r="CS199" s="1">
        <v>11.135</v>
      </c>
      <c r="CU199" s="284">
        <v>192.86699999999999</v>
      </c>
      <c r="CV199" s="1">
        <v>6.2220000000000004</v>
      </c>
      <c r="CW199" s="1">
        <v>5.8010000000000002</v>
      </c>
      <c r="CX199" s="1">
        <v>10.772</v>
      </c>
      <c r="CZ199" s="269">
        <v>25.844999999999999</v>
      </c>
      <c r="DA199" s="1">
        <v>0.83399999999999996</v>
      </c>
      <c r="DC199" s="284">
        <v>13.614000000000001</v>
      </c>
      <c r="DD199" s="1">
        <v>0.439</v>
      </c>
      <c r="DE199" s="1">
        <v>0.435</v>
      </c>
      <c r="DF199" s="1" t="s">
        <v>776</v>
      </c>
      <c r="DH199" s="284">
        <f>DI199*31</f>
        <v>78.86399999999999</v>
      </c>
      <c r="DI199" s="1">
        <f t="shared" si="269"/>
        <v>2.5439999999999996</v>
      </c>
      <c r="DJ199" s="1">
        <f t="shared" si="281"/>
        <v>2.2774166666666669</v>
      </c>
      <c r="DK199" t="s">
        <v>776</v>
      </c>
      <c r="DM199" s="284">
        <f>DN199*31</f>
        <v>3205.3379999999997</v>
      </c>
      <c r="DN199" s="1">
        <f>SUM(E199+J199+O199+AD199+AI199+AN199+AS199+AX199+BC199+BH199+BM199-DI199)</f>
        <v>103.398</v>
      </c>
      <c r="DO199" s="1">
        <f t="shared" si="282"/>
        <v>98.05674999999998</v>
      </c>
      <c r="DR199" s="284">
        <f>DS199*31</f>
        <v>568.26099999999997</v>
      </c>
      <c r="DS199" s="1">
        <f t="shared" si="267"/>
        <v>18.331</v>
      </c>
      <c r="DT199" s="1" t="e">
        <f>SUM(CH199+CM199+CR199+CW199+#REF!)</f>
        <v>#REF!</v>
      </c>
      <c r="DW199" s="284">
        <f>DX199*31</f>
        <v>3773.5990000000002</v>
      </c>
      <c r="DX199" s="1">
        <f t="shared" si="283"/>
        <v>121.729</v>
      </c>
      <c r="DY199" s="1">
        <f t="shared" si="284"/>
        <v>117.39683333333335</v>
      </c>
      <c r="EB199" s="2">
        <v>5.53</v>
      </c>
      <c r="EL199">
        <v>2013</v>
      </c>
      <c r="EM199" s="157" t="s">
        <v>712</v>
      </c>
      <c r="EN199" t="s">
        <v>841</v>
      </c>
      <c r="EO199">
        <v>212.322</v>
      </c>
      <c r="EP199" t="e">
        <f t="shared" si="250"/>
        <v>#VALUE!</v>
      </c>
    </row>
    <row r="200" spans="1:146" x14ac:dyDescent="0.25">
      <c r="A200" s="8">
        <v>2014</v>
      </c>
      <c r="B200" t="s">
        <v>719</v>
      </c>
      <c r="D200" s="284">
        <v>219.047</v>
      </c>
      <c r="E200" s="1">
        <v>7.0659999999999998</v>
      </c>
      <c r="F200" s="1">
        <v>5.9050000000000002</v>
      </c>
      <c r="G200" s="1">
        <v>9.4570000000000007</v>
      </c>
      <c r="I200" s="284">
        <v>11.98</v>
      </c>
      <c r="J200" s="1">
        <v>0.38600000000000001</v>
      </c>
      <c r="K200" s="1">
        <v>0.38800000000000001</v>
      </c>
      <c r="L200" s="1">
        <v>0.65</v>
      </c>
      <c r="N200" s="284">
        <v>139.16900000000001</v>
      </c>
      <c r="O200" s="1">
        <v>4.4889999999999999</v>
      </c>
      <c r="P200" s="1">
        <v>3.6179999999999999</v>
      </c>
      <c r="Q200" s="1">
        <v>8.4139999999999997</v>
      </c>
      <c r="S200" s="284">
        <v>186.91399999999999</v>
      </c>
      <c r="T200" s="1">
        <v>6.0289999999999999</v>
      </c>
      <c r="U200" s="1">
        <v>5.2439999999999998</v>
      </c>
      <c r="V200" s="1">
        <v>11.696999999999999</v>
      </c>
      <c r="X200" s="284">
        <v>642.83199999999999</v>
      </c>
      <c r="Y200" s="1">
        <v>20.736999999999998</v>
      </c>
      <c r="Z200" s="1">
        <v>19.181999999999999</v>
      </c>
      <c r="AA200" s="1">
        <v>31.562999999999999</v>
      </c>
      <c r="AC200" s="284">
        <v>829.74599999999998</v>
      </c>
      <c r="AD200" s="1">
        <v>26.765999999999998</v>
      </c>
      <c r="AE200" s="1">
        <v>24.427</v>
      </c>
      <c r="AF200" s="1">
        <v>43.26</v>
      </c>
      <c r="AH200" s="299">
        <v>1842.712</v>
      </c>
      <c r="AI200">
        <v>59.442</v>
      </c>
      <c r="AJ200">
        <v>54.36</v>
      </c>
      <c r="AK200">
        <v>138.6</v>
      </c>
      <c r="AM200" s="299">
        <v>25.234000000000002</v>
      </c>
      <c r="AN200">
        <v>0.81399999999999995</v>
      </c>
      <c r="AO200">
        <v>0.66</v>
      </c>
      <c r="AP200" t="s">
        <v>776</v>
      </c>
      <c r="AR200" s="284">
        <v>144.739</v>
      </c>
      <c r="AS200" s="1">
        <v>4.6689999999999996</v>
      </c>
      <c r="AT200" s="1">
        <v>4.0860000000000003</v>
      </c>
      <c r="AU200" s="1" t="s">
        <v>776</v>
      </c>
      <c r="AW200" s="284">
        <v>34.968000000000004</v>
      </c>
      <c r="AX200" s="1">
        <v>1.1279999999999999</v>
      </c>
      <c r="AY200" s="1">
        <v>1.05</v>
      </c>
      <c r="AZ200" s="1" t="s">
        <v>776</v>
      </c>
      <c r="BB200" s="284">
        <v>22.568000000000001</v>
      </c>
      <c r="BC200" s="1">
        <v>0.72799999999999998</v>
      </c>
      <c r="BD200" s="1">
        <v>0.69799999999999995</v>
      </c>
      <c r="BE200" s="1" t="s">
        <v>776</v>
      </c>
      <c r="BG200" s="284">
        <v>25.513000000000002</v>
      </c>
      <c r="BH200" s="1">
        <v>0.82299999999999995</v>
      </c>
      <c r="BI200" s="1">
        <v>0.69399999999999995</v>
      </c>
      <c r="BJ200" s="1" t="s">
        <v>776</v>
      </c>
      <c r="BL200" s="284">
        <v>120.971</v>
      </c>
      <c r="BM200" s="1">
        <v>3.9020000000000001</v>
      </c>
      <c r="BN200" s="1">
        <v>5.4720000000000004</v>
      </c>
      <c r="BO200" s="1" t="s">
        <v>776</v>
      </c>
      <c r="BQ200" s="284">
        <v>10.260999999999999</v>
      </c>
      <c r="BR200" s="1">
        <v>0.33100000000000002</v>
      </c>
      <c r="BS200" s="1">
        <v>0.312</v>
      </c>
      <c r="BT200" s="1" t="s">
        <v>776</v>
      </c>
      <c r="BV200" s="284">
        <v>8.6489999999999991</v>
      </c>
      <c r="BW200" s="1">
        <v>0.27900000000000003</v>
      </c>
      <c r="BX200" s="1">
        <v>0.19900000000000001</v>
      </c>
      <c r="BY200" s="1" t="s">
        <v>776</v>
      </c>
      <c r="CA200" s="284">
        <v>14.446</v>
      </c>
      <c r="CB200" s="1">
        <v>0.46600000000000003</v>
      </c>
      <c r="CC200" s="1">
        <v>0.40699999999999997</v>
      </c>
      <c r="CD200" s="1" t="s">
        <v>776</v>
      </c>
      <c r="CF200" s="284">
        <v>45.689</v>
      </c>
      <c r="CG200" s="1">
        <v>1.474</v>
      </c>
      <c r="CH200" s="1">
        <v>1.383</v>
      </c>
      <c r="CI200" s="1" t="s">
        <v>776</v>
      </c>
      <c r="CK200" s="284">
        <v>170.83799999999999</v>
      </c>
      <c r="CL200" s="1">
        <v>5.5110000000000001</v>
      </c>
      <c r="CM200" s="1">
        <v>5.3540000000000001</v>
      </c>
      <c r="CN200" s="1">
        <v>10.129</v>
      </c>
      <c r="CP200" s="284">
        <v>201.43799999999999</v>
      </c>
      <c r="CQ200" s="1">
        <v>6.4980000000000002</v>
      </c>
      <c r="CR200" s="1">
        <v>7.0140000000000002</v>
      </c>
      <c r="CS200" s="1">
        <v>11.476000000000001</v>
      </c>
      <c r="CU200" s="284">
        <v>192.83699999999999</v>
      </c>
      <c r="CV200" s="1">
        <v>6.2210000000000001</v>
      </c>
      <c r="CW200" s="1">
        <v>5.8319999999999999</v>
      </c>
      <c r="CX200" s="1">
        <v>10.72</v>
      </c>
      <c r="CZ200" s="269">
        <v>26.571000000000002</v>
      </c>
      <c r="DA200" s="1">
        <v>0.85699999999999998</v>
      </c>
      <c r="DC200" s="284">
        <v>13.614000000000001</v>
      </c>
      <c r="DD200" s="1">
        <v>0.439</v>
      </c>
      <c r="DE200" s="1">
        <v>0.435</v>
      </c>
      <c r="DF200" s="1" t="s">
        <v>776</v>
      </c>
      <c r="DH200" s="284">
        <v>79.05</v>
      </c>
      <c r="DI200" s="1">
        <v>2.5499999999999998</v>
      </c>
      <c r="DJ200" s="1">
        <v>2.30125</v>
      </c>
      <c r="DK200" t="s">
        <v>776</v>
      </c>
      <c r="DM200" s="284">
        <v>3337.5529999999994</v>
      </c>
      <c r="DN200" s="1">
        <v>107.66299999999998</v>
      </c>
      <c r="DO200" s="1">
        <v>98.803916666666666</v>
      </c>
      <c r="DR200" s="284">
        <v>605.30600000000004</v>
      </c>
      <c r="DS200" s="1">
        <v>19.526</v>
      </c>
      <c r="DT200" s="1">
        <v>20.338000000000001</v>
      </c>
      <c r="DW200" s="284">
        <v>3942.8589999999995</v>
      </c>
      <c r="DX200" s="1">
        <v>127.18899999999998</v>
      </c>
      <c r="DY200" s="1">
        <v>118.19391666666667</v>
      </c>
      <c r="EB200" s="2">
        <v>2.58</v>
      </c>
      <c r="EL200">
        <v>2014</v>
      </c>
      <c r="EM200" s="157" t="s">
        <v>719</v>
      </c>
      <c r="EN200" t="s">
        <v>841</v>
      </c>
      <c r="EO200">
        <v>219.047</v>
      </c>
      <c r="EP200" t="e">
        <f t="shared" si="250"/>
        <v>#VALUE!</v>
      </c>
    </row>
    <row r="201" spans="1:146" x14ac:dyDescent="0.25">
      <c r="A201" s="8">
        <v>2014</v>
      </c>
      <c r="B201" t="s">
        <v>713</v>
      </c>
      <c r="D201" s="284">
        <v>204.58799999999999</v>
      </c>
      <c r="E201" s="1">
        <v>7.3070000000000004</v>
      </c>
      <c r="F201" s="1">
        <v>6.0309999999999997</v>
      </c>
      <c r="G201" s="1">
        <v>9.5920000000000005</v>
      </c>
      <c r="I201" s="284">
        <v>10.696999999999999</v>
      </c>
      <c r="J201" s="1">
        <v>0.38200000000000001</v>
      </c>
      <c r="K201" s="1">
        <v>0.38900000000000001</v>
      </c>
      <c r="L201" s="1">
        <v>0.65</v>
      </c>
      <c r="N201" s="284">
        <v>135.45699999999999</v>
      </c>
      <c r="O201" s="1">
        <v>4.8380000000000001</v>
      </c>
      <c r="P201" s="1">
        <v>3.7519999999999998</v>
      </c>
      <c r="Q201" s="1">
        <v>9.5229999999999997</v>
      </c>
      <c r="S201" s="284">
        <v>190.06399999999999</v>
      </c>
      <c r="T201" s="1">
        <v>6.7880000000000003</v>
      </c>
      <c r="U201" s="1">
        <v>5.3529999999999998</v>
      </c>
      <c r="V201" s="1">
        <v>11.1</v>
      </c>
      <c r="X201" s="284">
        <v>623.01700000000005</v>
      </c>
      <c r="Y201" s="1">
        <v>22.251000000000001</v>
      </c>
      <c r="Z201" s="1">
        <v>19.359000000000002</v>
      </c>
      <c r="AA201" s="1">
        <v>30.367999999999999</v>
      </c>
      <c r="AC201" s="284">
        <v>813.08100000000002</v>
      </c>
      <c r="AD201" s="1">
        <v>29.039000000000001</v>
      </c>
      <c r="AE201" s="1">
        <v>24.710999999999999</v>
      </c>
      <c r="AF201" s="1">
        <v>41.468000000000004</v>
      </c>
      <c r="AH201" s="299">
        <v>1848.6289999999999</v>
      </c>
      <c r="AI201">
        <v>66.022000000000006</v>
      </c>
      <c r="AJ201">
        <v>55.253999999999998</v>
      </c>
      <c r="AK201">
        <v>145.4</v>
      </c>
      <c r="AM201" s="299">
        <v>25.367999999999999</v>
      </c>
      <c r="AN201">
        <v>0.90600000000000003</v>
      </c>
      <c r="AO201">
        <v>0.68600000000000005</v>
      </c>
      <c r="AP201" t="s">
        <v>776</v>
      </c>
      <c r="AR201" s="284">
        <v>131.46</v>
      </c>
      <c r="AS201" s="1">
        <v>4.6950000000000003</v>
      </c>
      <c r="AT201" s="1">
        <v>4.1529999999999996</v>
      </c>
      <c r="AU201" s="1" t="s">
        <v>776</v>
      </c>
      <c r="AW201" s="284">
        <v>11.032</v>
      </c>
      <c r="AX201" s="1">
        <v>0.39400000000000002</v>
      </c>
      <c r="AY201" s="1">
        <v>0.98099999999999998</v>
      </c>
      <c r="AZ201" s="1" t="s">
        <v>776</v>
      </c>
      <c r="BB201" s="284">
        <v>22.4</v>
      </c>
      <c r="BC201" s="1">
        <v>0.8</v>
      </c>
      <c r="BD201" s="1">
        <v>0.70899999999999996</v>
      </c>
      <c r="BE201" s="1" t="s">
        <v>776</v>
      </c>
      <c r="BG201" s="284">
        <v>26.795999999999999</v>
      </c>
      <c r="BH201" s="1">
        <v>0.95699999999999996</v>
      </c>
      <c r="BI201" s="1">
        <v>0.71699999999999997</v>
      </c>
      <c r="BJ201" s="1" t="s">
        <v>776</v>
      </c>
      <c r="BL201" s="284">
        <v>109.264</v>
      </c>
      <c r="BM201" s="1">
        <v>3.9020000000000001</v>
      </c>
      <c r="BN201" s="1">
        <v>5.2759999999999998</v>
      </c>
      <c r="BO201" s="1" t="s">
        <v>776</v>
      </c>
      <c r="BQ201" s="284">
        <v>9.4079999999999995</v>
      </c>
      <c r="BR201" s="1">
        <v>0.33600000000000002</v>
      </c>
      <c r="BS201" s="1">
        <v>0.314</v>
      </c>
      <c r="BT201" s="1" t="s">
        <v>776</v>
      </c>
      <c r="BV201" s="284">
        <v>8.26</v>
      </c>
      <c r="BW201" s="1">
        <v>0.29499999999999998</v>
      </c>
      <c r="BX201" s="1">
        <v>0.20699999999999999</v>
      </c>
      <c r="BY201" s="1" t="s">
        <v>776</v>
      </c>
      <c r="CA201" s="284">
        <v>14.112</v>
      </c>
      <c r="CB201" s="1">
        <v>0.504</v>
      </c>
      <c r="CC201" s="1">
        <v>0.41699999999999998</v>
      </c>
      <c r="CD201" s="1" t="s">
        <v>776</v>
      </c>
      <c r="CF201" s="284">
        <v>41.268000000000001</v>
      </c>
      <c r="CG201" s="1">
        <v>1.474</v>
      </c>
      <c r="CH201" s="1">
        <v>1.395</v>
      </c>
      <c r="CI201" s="1" t="s">
        <v>776</v>
      </c>
      <c r="CK201" s="284">
        <v>172.07400000000001</v>
      </c>
      <c r="CL201" s="1">
        <v>6.1459999999999999</v>
      </c>
      <c r="CM201" s="1">
        <v>5.399</v>
      </c>
      <c r="CN201" s="1">
        <v>11.428000000000001</v>
      </c>
      <c r="CP201" s="284">
        <v>196.405</v>
      </c>
      <c r="CQ201" s="1">
        <v>7.0140000000000002</v>
      </c>
      <c r="CR201" s="1">
        <v>7.008</v>
      </c>
      <c r="CS201" s="1">
        <v>11.08</v>
      </c>
      <c r="CU201" s="284">
        <v>179.42599999999999</v>
      </c>
      <c r="CV201" s="1">
        <v>6.4080000000000004</v>
      </c>
      <c r="CW201" s="1">
        <v>5.8710000000000004</v>
      </c>
      <c r="CX201" s="1">
        <v>9.85</v>
      </c>
      <c r="CZ201" s="269">
        <v>28.792000000000002</v>
      </c>
      <c r="DA201" s="1">
        <v>1.028</v>
      </c>
      <c r="DC201" s="284">
        <v>12.295999999999999</v>
      </c>
      <c r="DD201" s="1">
        <v>0.439</v>
      </c>
      <c r="DE201" s="1">
        <v>0.436</v>
      </c>
      <c r="DF201" s="1" t="s">
        <v>776</v>
      </c>
      <c r="DH201" s="284">
        <f>DI201*28</f>
        <v>73.051999999999992</v>
      </c>
      <c r="DI201" s="1">
        <f t="shared" ref="DI201:DI232" si="285">SUM(BR201+BW201+CB201+CG201)</f>
        <v>2.609</v>
      </c>
      <c r="DJ201" s="1">
        <f t="shared" ref="DJ201:DJ230" si="286">SUM(DI190:DI201)/12</f>
        <v>2.3335000000000004</v>
      </c>
      <c r="DM201" s="284">
        <f>DN201*28</f>
        <v>3265.7240000000006</v>
      </c>
      <c r="DN201" s="1">
        <f t="shared" ref="DN201:DN232" si="287">SUM(E201+J201+O201+AD201+AI201+AN201+AS201+AX201+BC201+BH201+BM201-DI201)</f>
        <v>116.63300000000002</v>
      </c>
      <c r="DO201" s="1">
        <f t="shared" ref="DO201:DO230" si="288">SUM(DN190:DN201)/12</f>
        <v>100.09558333333335</v>
      </c>
      <c r="DR201" s="284">
        <f>DS201*28</f>
        <v>588.98</v>
      </c>
      <c r="DS201" s="1">
        <f t="shared" ref="DS201:DS232" si="289">SUM(CL201+CQ201+CV201+DA201+DD201)</f>
        <v>21.035</v>
      </c>
      <c r="DT201" s="1" t="e">
        <f>SUM(CH201+CM201+CR201+CW201+#REF!)</f>
        <v>#REF!</v>
      </c>
      <c r="DW201" s="284">
        <f>DX201*28</f>
        <v>3854.7040000000011</v>
      </c>
      <c r="DX201" s="1">
        <f t="shared" ref="DX201:DX230" si="290">SUM(DN201+DS201)</f>
        <v>137.66800000000003</v>
      </c>
      <c r="DY201" s="1">
        <f t="shared" ref="DY201:DY230" si="291">SUM(DX190:DX201)/12</f>
        <v>119.57825000000003</v>
      </c>
      <c r="EB201" s="2">
        <v>4.0199999999999996</v>
      </c>
      <c r="EL201">
        <v>2014</v>
      </c>
      <c r="EM201" s="157" t="s">
        <v>713</v>
      </c>
      <c r="EN201" t="s">
        <v>841</v>
      </c>
      <c r="EO201">
        <v>204.58799999999999</v>
      </c>
      <c r="EP201" t="e">
        <f t="shared" si="250"/>
        <v>#VALUE!</v>
      </c>
    </row>
    <row r="202" spans="1:146" x14ac:dyDescent="0.25">
      <c r="A202" s="8">
        <v>2014</v>
      </c>
      <c r="B202" t="s">
        <v>714</v>
      </c>
      <c r="D202" s="284">
        <v>213.80600000000001</v>
      </c>
      <c r="E202" s="1">
        <v>6.8970000000000002</v>
      </c>
      <c r="F202" s="1">
        <v>6.0979999999999999</v>
      </c>
      <c r="G202" s="1">
        <v>11.835000000000001</v>
      </c>
      <c r="I202" s="284">
        <v>11.803000000000001</v>
      </c>
      <c r="J202" s="1">
        <v>0.38100000000000001</v>
      </c>
      <c r="K202" s="1">
        <v>0.38900000000000001</v>
      </c>
      <c r="L202" s="1">
        <v>0.65400000000000003</v>
      </c>
      <c r="N202" s="284">
        <v>147.08099999999999</v>
      </c>
      <c r="O202" s="1">
        <v>4.7450000000000001</v>
      </c>
      <c r="P202" s="1">
        <v>3.8639999999999999</v>
      </c>
      <c r="Q202" s="1">
        <v>10.711</v>
      </c>
      <c r="S202" s="284">
        <v>214.328</v>
      </c>
      <c r="T202" s="1">
        <v>6.9139999999999997</v>
      </c>
      <c r="U202" s="1">
        <v>5.4530000000000003</v>
      </c>
      <c r="V202" s="1">
        <v>17.05</v>
      </c>
      <c r="X202" s="284">
        <v>690.43799999999999</v>
      </c>
      <c r="Y202" s="1">
        <v>22.271999999999998</v>
      </c>
      <c r="Z202" s="1">
        <v>19.507000000000001</v>
      </c>
      <c r="AA202" s="1">
        <v>35.100999999999999</v>
      </c>
      <c r="AC202" s="284">
        <v>904.76599999999996</v>
      </c>
      <c r="AD202" s="1">
        <v>29.186</v>
      </c>
      <c r="AE202" s="1">
        <v>24.96</v>
      </c>
      <c r="AF202" s="1">
        <v>52.151000000000003</v>
      </c>
      <c r="AH202" s="299">
        <v>1971.028</v>
      </c>
      <c r="AI202">
        <v>63.582000000000001</v>
      </c>
      <c r="AJ202">
        <v>55.698999999999998</v>
      </c>
      <c r="AK202">
        <v>167.4</v>
      </c>
      <c r="AM202" s="299">
        <v>25.265000000000001</v>
      </c>
      <c r="AN202">
        <v>0.81499999999999995</v>
      </c>
      <c r="AO202">
        <v>0.69799999999999995</v>
      </c>
      <c r="AP202" t="s">
        <v>776</v>
      </c>
      <c r="AR202" s="284">
        <v>145.97900000000001</v>
      </c>
      <c r="AS202" s="1">
        <v>4.7089999999999996</v>
      </c>
      <c r="AT202" s="1">
        <v>4.194</v>
      </c>
      <c r="AU202" s="1" t="s">
        <v>776</v>
      </c>
      <c r="AW202" s="284">
        <v>23.529</v>
      </c>
      <c r="AX202" s="1">
        <v>0.75900000000000001</v>
      </c>
      <c r="AY202" s="1">
        <v>0.94099999999999995</v>
      </c>
      <c r="AZ202" s="1" t="s">
        <v>776</v>
      </c>
      <c r="BB202" s="284">
        <v>23.838999999999999</v>
      </c>
      <c r="BC202" s="1">
        <v>0.76900000000000002</v>
      </c>
      <c r="BD202" s="1">
        <v>0.71399999999999997</v>
      </c>
      <c r="BE202" s="1" t="s">
        <v>776</v>
      </c>
      <c r="BG202" s="284">
        <v>28.055</v>
      </c>
      <c r="BH202" s="1">
        <v>0.90500000000000003</v>
      </c>
      <c r="BI202" s="1">
        <v>0.72799999999999998</v>
      </c>
      <c r="BJ202" s="1" t="s">
        <v>776</v>
      </c>
      <c r="BL202" s="284">
        <v>120.971</v>
      </c>
      <c r="BM202" s="1">
        <v>3.9020000000000001</v>
      </c>
      <c r="BN202" s="1">
        <v>5.0890000000000004</v>
      </c>
      <c r="BO202" s="1" t="s">
        <v>776</v>
      </c>
      <c r="BQ202" s="284">
        <v>9.7650000000000006</v>
      </c>
      <c r="BR202" s="1">
        <v>0.315</v>
      </c>
      <c r="BS202" s="1">
        <v>0.315</v>
      </c>
      <c r="BT202" s="1" t="s">
        <v>776</v>
      </c>
      <c r="BV202" s="284">
        <v>7.9980000000000002</v>
      </c>
      <c r="BW202" s="1">
        <v>0.25800000000000001</v>
      </c>
      <c r="BX202" s="1">
        <v>0.214</v>
      </c>
      <c r="BY202" s="1" t="s">
        <v>776</v>
      </c>
      <c r="CA202" s="284">
        <v>14.601000000000001</v>
      </c>
      <c r="CB202" s="1">
        <v>0.47099999999999997</v>
      </c>
      <c r="CC202" s="1">
        <v>0.42199999999999999</v>
      </c>
      <c r="CD202" s="1" t="s">
        <v>776</v>
      </c>
      <c r="CF202" s="284">
        <v>45.689</v>
      </c>
      <c r="CG202" s="1">
        <v>1.474</v>
      </c>
      <c r="CH202" s="1">
        <v>1.4059999999999999</v>
      </c>
      <c r="CI202" s="1" t="s">
        <v>776</v>
      </c>
      <c r="CK202" s="284">
        <v>217.017</v>
      </c>
      <c r="CL202" s="1">
        <v>7.0010000000000003</v>
      </c>
      <c r="CM202" s="1">
        <v>5.476</v>
      </c>
      <c r="CN202" s="1">
        <v>15.916</v>
      </c>
      <c r="CP202" s="284">
        <v>224.39</v>
      </c>
      <c r="CQ202" s="1">
        <v>7.2380000000000004</v>
      </c>
      <c r="CR202" s="1">
        <v>6.9480000000000004</v>
      </c>
      <c r="CS202" s="1">
        <v>13.54</v>
      </c>
      <c r="CU202" s="284">
        <v>199.976</v>
      </c>
      <c r="CV202" s="1">
        <v>6.4509999999999996</v>
      </c>
      <c r="CW202" s="1">
        <v>5.8929999999999998</v>
      </c>
      <c r="CX202" s="1">
        <v>12.593</v>
      </c>
      <c r="CZ202" s="269">
        <v>32.573</v>
      </c>
      <c r="DA202" s="1">
        <v>1.0509999999999999</v>
      </c>
      <c r="DC202" s="284">
        <v>13.614000000000001</v>
      </c>
      <c r="DD202" s="1">
        <v>0.439</v>
      </c>
      <c r="DE202" s="1">
        <v>0.437</v>
      </c>
      <c r="DF202" s="1" t="s">
        <v>776</v>
      </c>
      <c r="DH202" s="284">
        <f>DI202*31</f>
        <v>78.057999999999993</v>
      </c>
      <c r="DI202" s="1">
        <f t="shared" si="285"/>
        <v>2.5179999999999998</v>
      </c>
      <c r="DJ202" s="1">
        <f t="shared" si="286"/>
        <v>2.3561666666666667</v>
      </c>
      <c r="DM202" s="284">
        <f>DN202*31</f>
        <v>3538.0920000000001</v>
      </c>
      <c r="DN202" s="1">
        <f t="shared" si="287"/>
        <v>114.13200000000001</v>
      </c>
      <c r="DO202" s="1">
        <f t="shared" si="288"/>
        <v>100.80983333333336</v>
      </c>
      <c r="DR202" s="284">
        <f>DS202*31</f>
        <v>687.58</v>
      </c>
      <c r="DS202" s="1">
        <f t="shared" si="289"/>
        <v>22.18</v>
      </c>
      <c r="DT202" s="1" t="e">
        <f>SUM(CH202+CM202+CR202+CW202+#REF!)</f>
        <v>#REF!</v>
      </c>
      <c r="DW202" s="284">
        <f>DX202*31</f>
        <v>4225.6720000000005</v>
      </c>
      <c r="DX202" s="1">
        <f t="shared" si="290"/>
        <v>136.31200000000001</v>
      </c>
      <c r="DY202" s="1">
        <f t="shared" si="291"/>
        <v>120.349</v>
      </c>
      <c r="EB202" s="2">
        <v>4.26</v>
      </c>
      <c r="EL202">
        <v>2014</v>
      </c>
      <c r="EM202" s="157" t="s">
        <v>714</v>
      </c>
      <c r="EN202" t="s">
        <v>841</v>
      </c>
      <c r="EO202">
        <v>213.80600000000001</v>
      </c>
      <c r="EP202" t="e">
        <f t="shared" ref="EP202:EP248" si="292">-0.00227*EN202 +24.6228</f>
        <v>#VALUE!</v>
      </c>
    </row>
    <row r="203" spans="1:146" x14ac:dyDescent="0.25">
      <c r="A203" s="8">
        <v>2014</v>
      </c>
      <c r="B203" t="s">
        <v>705</v>
      </c>
      <c r="D203" s="284">
        <v>229.90600000000001</v>
      </c>
      <c r="E203" s="1">
        <v>7.6639999999999997</v>
      </c>
      <c r="F203" s="1">
        <v>6.2560000000000002</v>
      </c>
      <c r="G203" s="1">
        <v>15.49</v>
      </c>
      <c r="I203" s="284">
        <v>11.728999999999999</v>
      </c>
      <c r="J203" s="1">
        <v>0.39100000000000001</v>
      </c>
      <c r="K203" s="1">
        <v>0.38900000000000001</v>
      </c>
      <c r="L203" s="1">
        <v>0.84199999999999997</v>
      </c>
      <c r="N203" s="284">
        <v>150.559</v>
      </c>
      <c r="O203" s="1">
        <v>5.0190000000000001</v>
      </c>
      <c r="P203" s="1">
        <v>3.9990000000000001</v>
      </c>
      <c r="Q203" s="1">
        <v>17.960999999999999</v>
      </c>
      <c r="S203" s="284">
        <v>225.99600000000001</v>
      </c>
      <c r="T203" s="1">
        <v>7.5330000000000004</v>
      </c>
      <c r="U203" s="1">
        <v>5.6159999999999997</v>
      </c>
      <c r="V203" s="1">
        <v>24.34</v>
      </c>
      <c r="X203" s="284">
        <v>695.77700000000004</v>
      </c>
      <c r="Y203" s="1">
        <v>23.193000000000001</v>
      </c>
      <c r="Z203" s="1">
        <v>19.792999999999999</v>
      </c>
      <c r="AA203" s="1">
        <v>38.92</v>
      </c>
      <c r="AC203" s="284">
        <v>921.77300000000002</v>
      </c>
      <c r="AD203" s="1">
        <v>30.725999999999999</v>
      </c>
      <c r="AE203" s="1">
        <v>25.41</v>
      </c>
      <c r="AF203" s="1">
        <v>63.26</v>
      </c>
      <c r="AH203" s="299">
        <v>2061.86</v>
      </c>
      <c r="AI203">
        <v>68.728999999999999</v>
      </c>
      <c r="AJ203">
        <v>56.795999999999999</v>
      </c>
      <c r="AK203">
        <v>228.6</v>
      </c>
      <c r="AM203" s="299">
        <v>24.99</v>
      </c>
      <c r="AN203">
        <v>0.83299999999999996</v>
      </c>
      <c r="AO203">
        <v>0.71499999999999997</v>
      </c>
      <c r="AP203" t="s">
        <v>776</v>
      </c>
      <c r="AR203" s="284">
        <v>147.03</v>
      </c>
      <c r="AS203" s="1">
        <v>4.9009999999999998</v>
      </c>
      <c r="AT203" s="1">
        <v>4.2720000000000002</v>
      </c>
      <c r="AU203" s="1" t="s">
        <v>776</v>
      </c>
      <c r="AW203" s="284">
        <v>34.86</v>
      </c>
      <c r="AX203" s="1">
        <v>1.1619999999999999</v>
      </c>
      <c r="AY203" s="1">
        <v>0.95899999999999996</v>
      </c>
      <c r="AZ203" s="1" t="s">
        <v>776</v>
      </c>
      <c r="BB203" s="284">
        <v>23.22</v>
      </c>
      <c r="BC203" s="1">
        <v>0.77400000000000002</v>
      </c>
      <c r="BD203" s="1">
        <v>0.72099999999999997</v>
      </c>
      <c r="BE203" s="1" t="s">
        <v>776</v>
      </c>
      <c r="BG203" s="284">
        <v>27.48</v>
      </c>
      <c r="BH203" s="1">
        <v>0.91600000000000004</v>
      </c>
      <c r="BI203" s="1">
        <v>0.747</v>
      </c>
      <c r="BJ203" s="1" t="s">
        <v>776</v>
      </c>
      <c r="BL203" s="284">
        <v>117.069</v>
      </c>
      <c r="BM203" s="1">
        <v>3.9020000000000001</v>
      </c>
      <c r="BN203" s="1">
        <v>4.891</v>
      </c>
      <c r="BO203" s="1" t="s">
        <v>776</v>
      </c>
      <c r="BQ203" s="284">
        <v>11.04</v>
      </c>
      <c r="BR203" s="1">
        <v>0.36799999999999999</v>
      </c>
      <c r="BS203" s="1">
        <v>0.32200000000000001</v>
      </c>
      <c r="BT203" s="1" t="s">
        <v>776</v>
      </c>
      <c r="BV203" s="284">
        <v>9.18</v>
      </c>
      <c r="BW203" s="1">
        <v>0.30599999999999999</v>
      </c>
      <c r="BX203" s="1">
        <v>0.222</v>
      </c>
      <c r="BY203" s="1" t="s">
        <v>776</v>
      </c>
      <c r="CA203" s="284">
        <v>15.51</v>
      </c>
      <c r="CB203" s="1">
        <v>0.51700000000000002</v>
      </c>
      <c r="CC203" s="1">
        <v>0.432</v>
      </c>
      <c r="CD203" s="1" t="s">
        <v>776</v>
      </c>
      <c r="CF203" s="284">
        <v>44.215000000000003</v>
      </c>
      <c r="CG203" s="1">
        <v>1.474</v>
      </c>
      <c r="CH203" s="1">
        <v>1.417</v>
      </c>
      <c r="CI203" s="1" t="s">
        <v>776</v>
      </c>
      <c r="CK203" s="284">
        <v>221.03899999999999</v>
      </c>
      <c r="CL203" s="1">
        <v>7.3680000000000003</v>
      </c>
      <c r="CM203" s="1">
        <v>5.6859999999999999</v>
      </c>
      <c r="CN203" s="1">
        <v>28.957999999999998</v>
      </c>
      <c r="CP203" s="284">
        <v>230.93299999999999</v>
      </c>
      <c r="CQ203" s="1">
        <v>7.6980000000000004</v>
      </c>
      <c r="CR203" s="1">
        <v>6.9470000000000001</v>
      </c>
      <c r="CS203" s="1">
        <v>11.372999999999999</v>
      </c>
      <c r="CU203" s="284">
        <v>198.846</v>
      </c>
      <c r="CV203" s="1">
        <v>6.6280000000000001</v>
      </c>
      <c r="CW203" s="1">
        <v>5.9489999999999998</v>
      </c>
      <c r="CX203" s="1">
        <v>16.457000000000001</v>
      </c>
      <c r="CZ203" s="269">
        <v>34.149000000000001</v>
      </c>
      <c r="DA203" s="1">
        <v>1.1379999999999999</v>
      </c>
      <c r="DC203" s="284">
        <v>13.173999999999999</v>
      </c>
      <c r="DD203" s="1">
        <v>0.439</v>
      </c>
      <c r="DE203" s="1">
        <v>0.437</v>
      </c>
      <c r="DF203" s="1" t="s">
        <v>776</v>
      </c>
      <c r="DH203" s="284">
        <f>DI203*30</f>
        <v>79.95</v>
      </c>
      <c r="DI203" s="1">
        <f t="shared" si="285"/>
        <v>2.665</v>
      </c>
      <c r="DJ203" s="1">
        <f t="shared" si="286"/>
        <v>2.3929166666666668</v>
      </c>
      <c r="DM203" s="284">
        <f>DN203*30</f>
        <v>3670.5599999999995</v>
      </c>
      <c r="DN203" s="1">
        <f t="shared" si="287"/>
        <v>122.35199999999999</v>
      </c>
      <c r="DO203" s="1">
        <f t="shared" si="288"/>
        <v>102.5884166666667</v>
      </c>
      <c r="DR203" s="284">
        <f>DS203*30</f>
        <v>698.13</v>
      </c>
      <c r="DS203" s="1">
        <f t="shared" si="289"/>
        <v>23.271000000000001</v>
      </c>
      <c r="DT203" s="1" t="e">
        <f>SUM(CH203+CM203+CR203+CW203+#REF!)</f>
        <v>#REF!</v>
      </c>
      <c r="DW203" s="284">
        <f>DX203*30</f>
        <v>4368.6899999999996</v>
      </c>
      <c r="DX203" s="1">
        <f t="shared" si="290"/>
        <v>145.62299999999999</v>
      </c>
      <c r="DY203" s="1">
        <f t="shared" si="291"/>
        <v>122.42150000000004</v>
      </c>
      <c r="EB203" s="2">
        <v>6.47</v>
      </c>
      <c r="EL203">
        <v>2014</v>
      </c>
      <c r="EM203" s="157" t="s">
        <v>705</v>
      </c>
      <c r="EN203" t="s">
        <v>841</v>
      </c>
      <c r="EO203">
        <v>229.90600000000001</v>
      </c>
      <c r="EP203" t="e">
        <f t="shared" si="292"/>
        <v>#VALUE!</v>
      </c>
    </row>
    <row r="204" spans="1:146" x14ac:dyDescent="0.25">
      <c r="A204" s="8">
        <v>2014</v>
      </c>
      <c r="B204" t="s">
        <v>715</v>
      </c>
      <c r="D204" s="284">
        <v>236.971</v>
      </c>
      <c r="E204" s="1">
        <v>7.6440000000000001</v>
      </c>
      <c r="F204" s="1">
        <v>6.4160000000000004</v>
      </c>
      <c r="G204" s="1">
        <v>13.641999999999999</v>
      </c>
      <c r="I204" s="284">
        <v>12.486000000000001</v>
      </c>
      <c r="J204" s="1">
        <v>0.40300000000000002</v>
      </c>
      <c r="K204" s="1">
        <v>0.38900000000000001</v>
      </c>
      <c r="L204" s="1">
        <v>0.873</v>
      </c>
      <c r="N204" s="284">
        <v>151.57300000000001</v>
      </c>
      <c r="O204" s="1">
        <v>4.8890000000000002</v>
      </c>
      <c r="P204" s="1">
        <v>4.1260000000000003</v>
      </c>
      <c r="Q204" s="1">
        <v>17.006</v>
      </c>
      <c r="S204" s="284">
        <v>270.27999999999997</v>
      </c>
      <c r="T204" s="1">
        <v>8.7189999999999994</v>
      </c>
      <c r="U204" s="1">
        <v>5.8970000000000002</v>
      </c>
      <c r="V204" s="1">
        <v>24.34</v>
      </c>
      <c r="X204" s="284">
        <v>733.30399999999997</v>
      </c>
      <c r="Y204" s="1">
        <v>23.655000000000001</v>
      </c>
      <c r="Z204" s="1">
        <v>20.143999999999998</v>
      </c>
      <c r="AA204" s="1">
        <v>40.462000000000003</v>
      </c>
      <c r="AC204" s="284">
        <v>1003.5839999999999</v>
      </c>
      <c r="AD204" s="1">
        <v>32.374000000000002</v>
      </c>
      <c r="AE204" s="1">
        <v>26.041</v>
      </c>
      <c r="AF204" s="1">
        <v>64.802000000000007</v>
      </c>
      <c r="AH204" s="299">
        <v>2195.3629999999998</v>
      </c>
      <c r="AI204">
        <v>70.817999999999998</v>
      </c>
      <c r="AJ204">
        <v>58.192</v>
      </c>
      <c r="AK204">
        <v>208.3</v>
      </c>
      <c r="AM204" s="299">
        <v>26.04</v>
      </c>
      <c r="AN204">
        <v>0.84</v>
      </c>
      <c r="AO204">
        <v>0.73499999999999999</v>
      </c>
      <c r="AP204" t="s">
        <v>776</v>
      </c>
      <c r="AR204" s="284">
        <v>147.80799999999999</v>
      </c>
      <c r="AS204" s="1">
        <v>4.7679999999999998</v>
      </c>
      <c r="AT204" s="1">
        <v>4.335</v>
      </c>
      <c r="AU204" s="1" t="s">
        <v>776</v>
      </c>
      <c r="AW204" s="284">
        <v>17.887</v>
      </c>
      <c r="AX204" s="1">
        <v>0.57699999999999996</v>
      </c>
      <c r="AY204" s="1">
        <v>0.93</v>
      </c>
      <c r="AZ204" s="1" t="s">
        <v>776</v>
      </c>
      <c r="BB204" s="284">
        <v>22.227</v>
      </c>
      <c r="BC204" s="1">
        <v>0.71699999999999997</v>
      </c>
      <c r="BD204" s="1">
        <v>0.72399999999999998</v>
      </c>
      <c r="BE204" s="1" t="s">
        <v>776</v>
      </c>
      <c r="BG204" s="284">
        <v>25.760999999999999</v>
      </c>
      <c r="BH204" s="1">
        <v>0.83099999999999996</v>
      </c>
      <c r="BI204" s="1">
        <v>0.76500000000000001</v>
      </c>
      <c r="BJ204" s="1" t="s">
        <v>776</v>
      </c>
      <c r="BL204" s="284">
        <v>120.971</v>
      </c>
      <c r="BM204" s="1">
        <v>3.9020000000000001</v>
      </c>
      <c r="BN204" s="1">
        <v>4.6929999999999996</v>
      </c>
      <c r="BO204" s="1" t="s">
        <v>776</v>
      </c>
      <c r="BQ204" s="284">
        <v>10.974</v>
      </c>
      <c r="BR204" s="1">
        <v>0.35399999999999998</v>
      </c>
      <c r="BS204" s="1">
        <v>0.32500000000000001</v>
      </c>
      <c r="BT204" s="1" t="s">
        <v>776</v>
      </c>
      <c r="BV204" s="284">
        <v>8.2769999999999992</v>
      </c>
      <c r="BW204" s="1">
        <v>0.26700000000000002</v>
      </c>
      <c r="BX204" s="1">
        <v>0.22900000000000001</v>
      </c>
      <c r="BY204" s="1" t="s">
        <v>776</v>
      </c>
      <c r="CA204" s="284">
        <v>16.802</v>
      </c>
      <c r="CB204" s="1">
        <v>0.54200000000000004</v>
      </c>
      <c r="CC204" s="1">
        <v>0.44500000000000001</v>
      </c>
      <c r="CD204" s="1" t="s">
        <v>776</v>
      </c>
      <c r="CF204" s="284">
        <v>45.689</v>
      </c>
      <c r="CG204" s="1">
        <v>1.474</v>
      </c>
      <c r="CH204" s="1">
        <v>1.43</v>
      </c>
      <c r="CI204" s="1" t="s">
        <v>776</v>
      </c>
      <c r="CK204" s="284">
        <v>260.79899999999998</v>
      </c>
      <c r="CL204" s="1">
        <v>8.4130000000000003</v>
      </c>
      <c r="CM204" s="1">
        <v>5.915</v>
      </c>
      <c r="CN204" s="1">
        <v>22.670999999999999</v>
      </c>
      <c r="CP204" s="284">
        <v>206.7</v>
      </c>
      <c r="CQ204" s="1">
        <v>6.6680000000000001</v>
      </c>
      <c r="CR204" s="1">
        <v>6.8390000000000004</v>
      </c>
      <c r="CS204" s="1">
        <v>16.315000000000001</v>
      </c>
      <c r="CU204" s="284">
        <v>213.72200000000001</v>
      </c>
      <c r="CV204" s="1">
        <v>6.8940000000000001</v>
      </c>
      <c r="CW204" s="1">
        <v>6.0460000000000003</v>
      </c>
      <c r="CX204" s="1">
        <v>16.475000000000001</v>
      </c>
      <c r="CZ204" s="269">
        <v>37.351999999999997</v>
      </c>
      <c r="DA204" s="1">
        <v>1.2050000000000001</v>
      </c>
      <c r="DC204" s="284">
        <v>13.614000000000001</v>
      </c>
      <c r="DD204" s="1">
        <v>0.439</v>
      </c>
      <c r="DE204" s="1">
        <v>0.437</v>
      </c>
      <c r="DF204" s="1" t="s">
        <v>776</v>
      </c>
      <c r="DH204" s="284">
        <f>DI204*31</f>
        <v>81.747</v>
      </c>
      <c r="DI204" s="1">
        <f t="shared" si="285"/>
        <v>2.637</v>
      </c>
      <c r="DJ204" s="1">
        <f t="shared" si="286"/>
        <v>2.4275000000000002</v>
      </c>
      <c r="DM204" s="284">
        <f>DN204*31</f>
        <v>3878.9059999999999</v>
      </c>
      <c r="DN204" s="1">
        <f t="shared" si="287"/>
        <v>125.126</v>
      </c>
      <c r="DO204" s="1">
        <f t="shared" si="288"/>
        <v>104.7809166666667</v>
      </c>
      <c r="DR204" s="284">
        <f>DS204*31</f>
        <v>732.18899999999996</v>
      </c>
      <c r="DS204" s="1">
        <f t="shared" si="289"/>
        <v>23.619</v>
      </c>
      <c r="DT204" s="1" t="e">
        <f>SUM(CH204+CM204+CR204+CW204+#REF!)</f>
        <v>#REF!</v>
      </c>
      <c r="DW204" s="284">
        <f>DX204*31</f>
        <v>4611.0950000000003</v>
      </c>
      <c r="DX204" s="1">
        <f t="shared" si="290"/>
        <v>148.745</v>
      </c>
      <c r="DY204" s="1">
        <f t="shared" si="291"/>
        <v>124.86658333333337</v>
      </c>
      <c r="EB204" s="2">
        <v>4.96</v>
      </c>
      <c r="EL204">
        <v>2014</v>
      </c>
      <c r="EM204" s="157" t="s">
        <v>715</v>
      </c>
      <c r="EN204" t="s">
        <v>841</v>
      </c>
      <c r="EO204">
        <v>236.971</v>
      </c>
      <c r="EP204" t="e">
        <f t="shared" si="292"/>
        <v>#VALUE!</v>
      </c>
    </row>
    <row r="205" spans="1:146" x14ac:dyDescent="0.25">
      <c r="A205" s="8">
        <v>2014</v>
      </c>
      <c r="B205" t="s">
        <v>718</v>
      </c>
      <c r="D205" s="284">
        <v>246.13200000000001</v>
      </c>
      <c r="E205" s="1">
        <v>8.2040000000000006</v>
      </c>
      <c r="F205" s="1">
        <v>6.5960000000000001</v>
      </c>
      <c r="G205" s="1">
        <v>12.897</v>
      </c>
      <c r="I205" s="284">
        <v>17.824000000000002</v>
      </c>
      <c r="J205" s="1">
        <v>0.59399999999999997</v>
      </c>
      <c r="K205" s="1">
        <v>0.40400000000000003</v>
      </c>
      <c r="L205" s="1">
        <v>0.87</v>
      </c>
      <c r="N205" s="284">
        <v>129.97499999999999</v>
      </c>
      <c r="O205" s="1">
        <v>4.3330000000000002</v>
      </c>
      <c r="P205" s="1">
        <v>4.1870000000000003</v>
      </c>
      <c r="Q205" s="1">
        <v>9.4440000000000008</v>
      </c>
      <c r="S205" s="284">
        <v>205.66300000000001</v>
      </c>
      <c r="T205" s="1">
        <v>6.8550000000000004</v>
      </c>
      <c r="U205" s="1">
        <v>5.9240000000000004</v>
      </c>
      <c r="V205" s="1">
        <v>11.326000000000001</v>
      </c>
      <c r="X205" s="284">
        <v>621.35900000000004</v>
      </c>
      <c r="Y205" s="1">
        <v>20.712</v>
      </c>
      <c r="Z205" s="1">
        <v>20.071999999999999</v>
      </c>
      <c r="AA205" s="1">
        <v>30.52</v>
      </c>
      <c r="AC205" s="284">
        <v>827.02200000000005</v>
      </c>
      <c r="AD205" s="1">
        <v>27.567</v>
      </c>
      <c r="AE205" s="1">
        <v>25.995999999999999</v>
      </c>
      <c r="AF205" s="1">
        <v>41.845999999999997</v>
      </c>
      <c r="AH205" s="299">
        <v>1831.6279999999999</v>
      </c>
      <c r="AI205">
        <v>61.054000000000002</v>
      </c>
      <c r="AJ205">
        <v>58.32</v>
      </c>
      <c r="AK205">
        <v>183.2</v>
      </c>
      <c r="AM205" s="299">
        <v>21.48</v>
      </c>
      <c r="AN205">
        <v>0.71599999999999997</v>
      </c>
      <c r="AO205">
        <v>0.73299999999999998</v>
      </c>
      <c r="AP205" t="s">
        <v>776</v>
      </c>
      <c r="AR205" s="284">
        <v>118.29</v>
      </c>
      <c r="AS205" s="1">
        <v>3.9430000000000001</v>
      </c>
      <c r="AT205" s="1">
        <v>4.2649999999999997</v>
      </c>
      <c r="AU205" s="1" t="s">
        <v>776</v>
      </c>
      <c r="AW205" s="284">
        <v>15.36</v>
      </c>
      <c r="AX205" s="1">
        <v>0.51200000000000001</v>
      </c>
      <c r="AY205" s="1">
        <v>0.876</v>
      </c>
      <c r="AZ205" s="1" t="s">
        <v>776</v>
      </c>
      <c r="BB205" s="284">
        <v>18.420000000000002</v>
      </c>
      <c r="BC205" s="1">
        <v>0.61399999999999999</v>
      </c>
      <c r="BD205" s="1">
        <v>0.70899999999999996</v>
      </c>
      <c r="BE205" s="1" t="s">
        <v>776</v>
      </c>
      <c r="BG205" s="284">
        <v>19.079999999999998</v>
      </c>
      <c r="BH205" s="1">
        <v>0.63600000000000001</v>
      </c>
      <c r="BI205" s="1">
        <v>0.749</v>
      </c>
      <c r="BJ205" s="1" t="s">
        <v>776</v>
      </c>
      <c r="BL205" s="284">
        <v>117.069</v>
      </c>
      <c r="BM205" s="1">
        <v>3.9020000000000001</v>
      </c>
      <c r="BN205" s="1">
        <v>4.4950000000000001</v>
      </c>
      <c r="BO205" s="1" t="s">
        <v>776</v>
      </c>
      <c r="BQ205" s="284">
        <v>9.84</v>
      </c>
      <c r="BR205" s="1">
        <v>0.32800000000000001</v>
      </c>
      <c r="BS205" s="1">
        <v>0.32300000000000001</v>
      </c>
      <c r="BT205" s="1" t="s">
        <v>776</v>
      </c>
      <c r="BV205" s="284">
        <v>5.25</v>
      </c>
      <c r="BW205" s="1">
        <v>0.17499999999999999</v>
      </c>
      <c r="BX205" s="1">
        <v>0.222</v>
      </c>
      <c r="BY205" s="1" t="s">
        <v>776</v>
      </c>
      <c r="CA205" s="284">
        <v>19.350000000000001</v>
      </c>
      <c r="CB205" s="1">
        <v>0.64500000000000002</v>
      </c>
      <c r="CC205" s="1">
        <v>0.45700000000000002</v>
      </c>
      <c r="CD205" s="1" t="s">
        <v>776</v>
      </c>
      <c r="CF205" s="284">
        <v>44.215000000000003</v>
      </c>
      <c r="CG205" s="1">
        <v>1.474</v>
      </c>
      <c r="CH205" s="1">
        <v>1.4410000000000001</v>
      </c>
      <c r="CI205" s="1" t="s">
        <v>776</v>
      </c>
      <c r="CK205" s="284">
        <v>180.279</v>
      </c>
      <c r="CL205" s="1">
        <v>6.0090000000000003</v>
      </c>
      <c r="CM205" s="1">
        <v>5.9139999999999997</v>
      </c>
      <c r="CN205" s="1">
        <v>18.88</v>
      </c>
      <c r="CP205" s="284">
        <v>189.29</v>
      </c>
      <c r="CQ205" s="1">
        <v>6.31</v>
      </c>
      <c r="CR205" s="1">
        <v>6.6980000000000004</v>
      </c>
      <c r="CS205" s="1">
        <v>11.191000000000001</v>
      </c>
      <c r="CU205" s="284">
        <v>184.06</v>
      </c>
      <c r="CV205" s="1">
        <v>6.1349999999999998</v>
      </c>
      <c r="CW205" s="1">
        <v>6.0380000000000003</v>
      </c>
      <c r="CX205" s="1">
        <v>12.58</v>
      </c>
      <c r="CZ205" s="269">
        <v>31.713999999999999</v>
      </c>
      <c r="DA205" s="1">
        <v>1.0569999999999999</v>
      </c>
      <c r="DC205" s="284">
        <v>13.173999999999999</v>
      </c>
      <c r="DD205" s="1">
        <v>0.439</v>
      </c>
      <c r="DE205" s="1">
        <v>0.438</v>
      </c>
      <c r="DF205" s="1" t="s">
        <v>776</v>
      </c>
      <c r="DH205" s="284">
        <f>DI205*30</f>
        <v>78.66</v>
      </c>
      <c r="DI205" s="1">
        <f t="shared" si="285"/>
        <v>2.6219999999999999</v>
      </c>
      <c r="DJ205" s="1">
        <f t="shared" si="286"/>
        <v>2.4430833333333335</v>
      </c>
      <c r="DM205" s="284">
        <f>DN205*30</f>
        <v>3283.59</v>
      </c>
      <c r="DN205" s="1">
        <f t="shared" si="287"/>
        <v>109.453</v>
      </c>
      <c r="DO205" s="1">
        <f t="shared" si="288"/>
        <v>104.78533333333336</v>
      </c>
      <c r="DR205" s="284">
        <f>DS205*30</f>
        <v>598.5</v>
      </c>
      <c r="DS205" s="1">
        <f t="shared" si="289"/>
        <v>19.95</v>
      </c>
      <c r="DT205" s="1" t="e">
        <f>SUM(CH205+CM205+CR205+CW205+#REF!)</f>
        <v>#REF!</v>
      </c>
      <c r="DW205" s="284">
        <f>DX205*30</f>
        <v>3882.0899999999997</v>
      </c>
      <c r="DX205" s="1">
        <f t="shared" si="290"/>
        <v>129.40299999999999</v>
      </c>
      <c r="DY205" s="1">
        <f t="shared" si="291"/>
        <v>124.74391666666666</v>
      </c>
      <c r="EB205" s="2">
        <v>3.31</v>
      </c>
      <c r="EL205">
        <v>2014</v>
      </c>
      <c r="EM205" s="157" t="s">
        <v>718</v>
      </c>
      <c r="EN205" t="s">
        <v>841</v>
      </c>
      <c r="EO205">
        <v>246.13200000000001</v>
      </c>
      <c r="EP205" t="e">
        <f t="shared" si="292"/>
        <v>#VALUE!</v>
      </c>
    </row>
    <row r="206" spans="1:146" x14ac:dyDescent="0.25">
      <c r="A206" s="8">
        <v>2014</v>
      </c>
      <c r="B206" t="s">
        <v>716</v>
      </c>
      <c r="D206" s="284">
        <v>197.489</v>
      </c>
      <c r="E206" s="1">
        <v>6.3710000000000004</v>
      </c>
      <c r="F206" s="1">
        <v>6.6239999999999997</v>
      </c>
      <c r="G206" s="1">
        <v>12.39</v>
      </c>
      <c r="I206" s="284">
        <v>18.262</v>
      </c>
      <c r="J206" s="1">
        <v>0.58899999999999997</v>
      </c>
      <c r="K206" s="1">
        <v>0.42</v>
      </c>
      <c r="L206" s="1">
        <v>1.3420000000000001</v>
      </c>
      <c r="N206" s="284">
        <v>124.343</v>
      </c>
      <c r="O206" s="1">
        <v>4.0110000000000001</v>
      </c>
      <c r="P206" s="1">
        <v>4.2249999999999996</v>
      </c>
      <c r="Q206" s="1">
        <v>10.496</v>
      </c>
      <c r="S206" s="284">
        <v>179.82900000000001</v>
      </c>
      <c r="T206" s="1">
        <v>5.8010000000000002</v>
      </c>
      <c r="U206" s="1">
        <v>5.9550000000000001</v>
      </c>
      <c r="V206" s="1">
        <v>15.895</v>
      </c>
      <c r="X206" s="284">
        <v>565.42100000000005</v>
      </c>
      <c r="Y206" s="1">
        <v>18.239000000000001</v>
      </c>
      <c r="Z206" s="1">
        <v>19.972000000000001</v>
      </c>
      <c r="AA206" s="1">
        <v>33.923000000000002</v>
      </c>
      <c r="AC206" s="284">
        <v>745.25</v>
      </c>
      <c r="AD206" s="1">
        <v>24.04</v>
      </c>
      <c r="AE206" s="1">
        <v>25.927</v>
      </c>
      <c r="AF206" s="1">
        <v>49.817999999999998</v>
      </c>
      <c r="AH206" s="299">
        <v>1714.771</v>
      </c>
      <c r="AI206">
        <v>55.314999999999998</v>
      </c>
      <c r="AJ206">
        <v>57.731999999999999</v>
      </c>
      <c r="AK206">
        <v>164.2</v>
      </c>
      <c r="AM206" s="299">
        <v>19.22</v>
      </c>
      <c r="AN206">
        <v>0.62</v>
      </c>
      <c r="AO206">
        <v>0.73199999999999998</v>
      </c>
      <c r="AP206" t="s">
        <v>776</v>
      </c>
      <c r="AR206" s="284">
        <v>110.732</v>
      </c>
      <c r="AS206" s="1">
        <v>3.5720000000000001</v>
      </c>
      <c r="AT206" s="1">
        <v>4.2190000000000003</v>
      </c>
      <c r="AU206" s="1" t="s">
        <v>776</v>
      </c>
      <c r="AW206" s="284">
        <v>14.849</v>
      </c>
      <c r="AX206" s="1">
        <v>0.47899999999999998</v>
      </c>
      <c r="AY206" s="1">
        <v>0.82799999999999996</v>
      </c>
      <c r="AZ206" s="1" t="s">
        <v>776</v>
      </c>
      <c r="BB206" s="284">
        <v>18.321000000000002</v>
      </c>
      <c r="BC206" s="1">
        <v>0.59099999999999997</v>
      </c>
      <c r="BD206" s="1">
        <v>0.69899999999999995</v>
      </c>
      <c r="BE206" s="1" t="s">
        <v>776</v>
      </c>
      <c r="BG206" s="284">
        <v>18.414000000000001</v>
      </c>
      <c r="BH206" s="1">
        <v>0.59399999999999997</v>
      </c>
      <c r="BI206" s="1">
        <v>0.74099999999999999</v>
      </c>
      <c r="BJ206" s="1" t="s">
        <v>776</v>
      </c>
      <c r="BL206" s="284">
        <v>120.971</v>
      </c>
      <c r="BM206" s="1">
        <v>3.9020000000000001</v>
      </c>
      <c r="BN206" s="1">
        <v>4.298</v>
      </c>
      <c r="BO206" s="1" t="s">
        <v>776</v>
      </c>
      <c r="BQ206" s="284">
        <v>9.7959999999999994</v>
      </c>
      <c r="BR206" s="1">
        <v>0.316</v>
      </c>
      <c r="BS206" s="1">
        <v>0.32500000000000001</v>
      </c>
      <c r="BT206" s="1" t="s">
        <v>776</v>
      </c>
      <c r="BV206" s="284">
        <v>4.2469999999999999</v>
      </c>
      <c r="BW206" s="1">
        <v>0.13700000000000001</v>
      </c>
      <c r="BX206" s="1">
        <v>0.219</v>
      </c>
      <c r="BY206" s="1" t="s">
        <v>776</v>
      </c>
      <c r="CA206" s="284">
        <v>14.911</v>
      </c>
      <c r="CB206" s="1">
        <v>0.48099999999999998</v>
      </c>
      <c r="CC206" s="1">
        <v>0.46300000000000002</v>
      </c>
      <c r="CD206" s="1" t="s">
        <v>776</v>
      </c>
      <c r="CF206" s="284">
        <v>45.689</v>
      </c>
      <c r="CG206" s="1">
        <v>1.474</v>
      </c>
      <c r="CH206" s="1">
        <v>1.452</v>
      </c>
      <c r="CI206" s="1" t="s">
        <v>776</v>
      </c>
      <c r="CK206" s="284">
        <v>182.55199999999999</v>
      </c>
      <c r="CL206" s="1">
        <v>5.8890000000000002</v>
      </c>
      <c r="CM206" s="1">
        <v>5.9139999999999997</v>
      </c>
      <c r="CN206" s="1">
        <v>19.16</v>
      </c>
      <c r="CP206" s="284">
        <v>186.209</v>
      </c>
      <c r="CQ206" s="1">
        <v>6.0069999999999997</v>
      </c>
      <c r="CR206" s="1">
        <v>6.6</v>
      </c>
      <c r="CS206" s="1">
        <v>8.9879999999999995</v>
      </c>
      <c r="CU206" s="284">
        <v>175.51900000000001</v>
      </c>
      <c r="CV206" s="1">
        <v>5.6619999999999999</v>
      </c>
      <c r="CW206" s="1">
        <v>5.9960000000000004</v>
      </c>
      <c r="CX206" s="1">
        <v>8.8529999999999998</v>
      </c>
      <c r="CZ206" s="269">
        <v>18.262</v>
      </c>
      <c r="DA206" s="1">
        <v>0.58899999999999997</v>
      </c>
      <c r="DC206" s="284">
        <v>13.614000000000001</v>
      </c>
      <c r="DD206" s="1">
        <v>0.439</v>
      </c>
      <c r="DE206" s="1">
        <v>0.438</v>
      </c>
      <c r="DF206" s="1" t="s">
        <v>776</v>
      </c>
      <c r="DH206" s="284">
        <f>DI206*31</f>
        <v>74.647999999999996</v>
      </c>
      <c r="DI206" s="1">
        <f t="shared" si="285"/>
        <v>2.4079999999999999</v>
      </c>
      <c r="DJ206" s="1">
        <f t="shared" si="286"/>
        <v>2.4580000000000002</v>
      </c>
      <c r="DM206" s="284">
        <f>DN206*31</f>
        <v>3027.9559999999997</v>
      </c>
      <c r="DN206" s="1">
        <f t="shared" si="287"/>
        <v>97.675999999999988</v>
      </c>
      <c r="DO206" s="1">
        <f t="shared" si="288"/>
        <v>104.6515</v>
      </c>
      <c r="DR206" s="284">
        <f>DS206*31</f>
        <v>576.16599999999994</v>
      </c>
      <c r="DS206" s="1">
        <f t="shared" si="289"/>
        <v>18.585999999999999</v>
      </c>
      <c r="DT206" s="1" t="e">
        <f>SUM(CH206+CM206+CR206+CW206+#REF!)</f>
        <v>#REF!</v>
      </c>
      <c r="DW206" s="284">
        <f>DX206*31</f>
        <v>3604.1219999999994</v>
      </c>
      <c r="DX206" s="1">
        <f t="shared" si="290"/>
        <v>116.26199999999999</v>
      </c>
      <c r="DY206" s="1">
        <f t="shared" si="291"/>
        <v>124.45774999999999</v>
      </c>
      <c r="EB206" s="2">
        <v>4.68</v>
      </c>
      <c r="EL206">
        <v>2014</v>
      </c>
      <c r="EM206" s="157" t="s">
        <v>716</v>
      </c>
      <c r="EN206" t="s">
        <v>841</v>
      </c>
      <c r="EO206">
        <v>197.489</v>
      </c>
      <c r="EP206" t="e">
        <f t="shared" si="292"/>
        <v>#VALUE!</v>
      </c>
    </row>
    <row r="207" spans="1:146" x14ac:dyDescent="0.25">
      <c r="A207" s="8">
        <v>2014</v>
      </c>
      <c r="B207" t="s">
        <v>708</v>
      </c>
      <c r="D207" s="284">
        <v>175.40899999999999</v>
      </c>
      <c r="E207" s="1">
        <v>5.6580000000000004</v>
      </c>
      <c r="F207" s="1">
        <v>6.694</v>
      </c>
      <c r="G207" s="1">
        <v>12.26</v>
      </c>
      <c r="I207" s="284">
        <v>18.617000000000001</v>
      </c>
      <c r="J207" s="1">
        <v>0.60099999999999998</v>
      </c>
      <c r="K207" s="1">
        <v>0.44</v>
      </c>
      <c r="L207" s="1">
        <v>1.9970000000000001</v>
      </c>
      <c r="N207" s="284">
        <v>121.251</v>
      </c>
      <c r="O207" s="1">
        <v>3.911</v>
      </c>
      <c r="P207" s="1">
        <v>4.2679999999999998</v>
      </c>
      <c r="Q207" s="1">
        <v>18.364999999999998</v>
      </c>
      <c r="S207" s="284">
        <v>167.22399999999999</v>
      </c>
      <c r="T207" s="1">
        <v>5.3940000000000001</v>
      </c>
      <c r="U207" s="1">
        <v>6.0289999999999999</v>
      </c>
      <c r="V207" s="1">
        <v>24.986999999999998</v>
      </c>
      <c r="X207" s="284">
        <v>595.35199999999998</v>
      </c>
      <c r="Y207" s="1">
        <v>19.204999999999998</v>
      </c>
      <c r="Z207" s="1">
        <v>20.122</v>
      </c>
      <c r="AA207" s="1">
        <v>40.040999999999997</v>
      </c>
      <c r="AC207" s="284">
        <v>762.57600000000002</v>
      </c>
      <c r="AD207" s="1">
        <v>24.599</v>
      </c>
      <c r="AE207" s="1">
        <v>26.151</v>
      </c>
      <c r="AF207" s="1">
        <v>65.028000000000006</v>
      </c>
      <c r="AH207" s="299">
        <v>1652.0139999999999</v>
      </c>
      <c r="AI207">
        <v>53.290999999999997</v>
      </c>
      <c r="AJ207">
        <v>58.832000000000001</v>
      </c>
      <c r="AK207">
        <v>135.69999999999999</v>
      </c>
      <c r="AM207" s="299">
        <v>16.523</v>
      </c>
      <c r="AN207">
        <v>0.53300000000000003</v>
      </c>
      <c r="AO207">
        <v>0.73099999999999998</v>
      </c>
      <c r="AP207" t="s">
        <v>776</v>
      </c>
      <c r="AR207" s="284">
        <v>107.57</v>
      </c>
      <c r="AS207" s="1">
        <v>3.47</v>
      </c>
      <c r="AT207" s="1">
        <v>4.2069999999999999</v>
      </c>
      <c r="AU207" s="1" t="s">
        <v>776</v>
      </c>
      <c r="AW207" s="284">
        <v>14.973000000000001</v>
      </c>
      <c r="AX207" s="1">
        <v>0.48299999999999998</v>
      </c>
      <c r="AY207" s="1">
        <v>0.78200000000000003</v>
      </c>
      <c r="AZ207" s="1" t="s">
        <v>776</v>
      </c>
      <c r="BB207" s="284">
        <v>19.033999999999999</v>
      </c>
      <c r="BC207" s="1">
        <v>0.61399999999999999</v>
      </c>
      <c r="BD207" s="1">
        <v>0.69499999999999995</v>
      </c>
      <c r="BE207" s="1" t="s">
        <v>776</v>
      </c>
      <c r="BG207" s="284">
        <v>18.259</v>
      </c>
      <c r="BH207" s="1">
        <v>0.58899999999999997</v>
      </c>
      <c r="BI207" s="1">
        <v>0.74299999999999999</v>
      </c>
      <c r="BJ207" s="1" t="s">
        <v>776</v>
      </c>
      <c r="BL207" s="284">
        <v>120.971</v>
      </c>
      <c r="BM207" s="1">
        <v>3.9020000000000001</v>
      </c>
      <c r="BN207" s="1">
        <v>4.0999999999999996</v>
      </c>
      <c r="BO207" s="1" t="s">
        <v>776</v>
      </c>
      <c r="BQ207" s="284">
        <v>11.872999999999999</v>
      </c>
      <c r="BR207" s="1">
        <v>0.38300000000000001</v>
      </c>
      <c r="BS207" s="1">
        <v>0.33100000000000002</v>
      </c>
      <c r="BT207" s="1" t="s">
        <v>776</v>
      </c>
      <c r="BV207" s="284">
        <v>4.6189999999999998</v>
      </c>
      <c r="BW207" s="1">
        <v>0.14899999999999999</v>
      </c>
      <c r="BX207" s="1">
        <v>0.219</v>
      </c>
      <c r="BY207" s="1" t="s">
        <v>776</v>
      </c>
      <c r="CA207" s="284">
        <v>11.315</v>
      </c>
      <c r="CB207" s="1">
        <v>0.36499999999999999</v>
      </c>
      <c r="CC207" s="1">
        <v>0.46400000000000002</v>
      </c>
      <c r="CD207" s="1" t="s">
        <v>776</v>
      </c>
      <c r="CF207" s="284">
        <v>45.689</v>
      </c>
      <c r="CG207" s="1">
        <v>1.474</v>
      </c>
      <c r="CH207" s="1">
        <v>1.4630000000000001</v>
      </c>
      <c r="CI207" s="1" t="s">
        <v>776</v>
      </c>
      <c r="CK207" s="284">
        <v>179.62100000000001</v>
      </c>
      <c r="CL207" s="1">
        <v>5.7939999999999996</v>
      </c>
      <c r="CM207" s="1">
        <v>5.9690000000000003</v>
      </c>
      <c r="CN207" s="1">
        <v>17.478000000000002</v>
      </c>
      <c r="CP207" s="284">
        <v>193.66800000000001</v>
      </c>
      <c r="CQ207" s="1">
        <v>6.2469999999999999</v>
      </c>
      <c r="CR207" s="1">
        <v>6.5650000000000004</v>
      </c>
      <c r="CS207" s="1">
        <v>11.176</v>
      </c>
      <c r="CU207" s="284">
        <v>166.124</v>
      </c>
      <c r="CV207" s="1">
        <v>5.359</v>
      </c>
      <c r="CW207" s="1">
        <v>6.0149999999999997</v>
      </c>
      <c r="CX207" s="1">
        <v>12.79</v>
      </c>
      <c r="CZ207" s="269">
        <v>23.170999999999999</v>
      </c>
      <c r="DA207" s="1">
        <v>0.747</v>
      </c>
      <c r="DC207" s="284">
        <v>13.614000000000001</v>
      </c>
      <c r="DD207" s="1">
        <v>0.439</v>
      </c>
      <c r="DE207" s="1">
        <v>0.439</v>
      </c>
      <c r="DF207" s="1" t="s">
        <v>776</v>
      </c>
      <c r="DH207" s="284">
        <f>DI207*31</f>
        <v>73.501000000000005</v>
      </c>
      <c r="DI207" s="1">
        <f t="shared" si="285"/>
        <v>2.371</v>
      </c>
      <c r="DJ207" s="1">
        <f t="shared" si="286"/>
        <v>2.4765833333333331</v>
      </c>
      <c r="DM207" s="284">
        <f>DN207*31</f>
        <v>2953.6800000000003</v>
      </c>
      <c r="DN207" s="1">
        <f t="shared" si="287"/>
        <v>95.280000000000015</v>
      </c>
      <c r="DO207" s="1">
        <f t="shared" si="288"/>
        <v>105.129</v>
      </c>
      <c r="DR207" s="284">
        <f>DS207*31</f>
        <v>576.16599999999994</v>
      </c>
      <c r="DS207" s="1">
        <f t="shared" si="289"/>
        <v>18.585999999999999</v>
      </c>
      <c r="DT207" s="1" t="e">
        <f>SUM(CH207+CM207+CR207+CW207+#REF!)</f>
        <v>#REF!</v>
      </c>
      <c r="DW207" s="284">
        <f>DX207*31</f>
        <v>3529.8460000000005</v>
      </c>
      <c r="DX207" s="1">
        <f t="shared" si="290"/>
        <v>113.86600000000001</v>
      </c>
      <c r="DY207" s="1">
        <f t="shared" si="291"/>
        <v>124.98650000000002</v>
      </c>
      <c r="EB207" s="2">
        <v>3.39</v>
      </c>
      <c r="EL207">
        <v>2014</v>
      </c>
      <c r="EM207" s="157" t="s">
        <v>708</v>
      </c>
      <c r="EN207" t="s">
        <v>841</v>
      </c>
      <c r="EO207">
        <v>175.40899999999999</v>
      </c>
      <c r="EP207" t="e">
        <f t="shared" si="292"/>
        <v>#VALUE!</v>
      </c>
    </row>
    <row r="208" spans="1:146" x14ac:dyDescent="0.25">
      <c r="A208" s="8">
        <v>2014</v>
      </c>
      <c r="B208" t="s">
        <v>709</v>
      </c>
      <c r="D208" s="284">
        <v>161.28800000000001</v>
      </c>
      <c r="E208" s="1">
        <v>5.3760000000000003</v>
      </c>
      <c r="F208" s="1">
        <v>6.7229999999999999</v>
      </c>
      <c r="G208" s="1">
        <v>7.7519999999999998</v>
      </c>
      <c r="I208" s="284">
        <v>17.126999999999999</v>
      </c>
      <c r="J208" s="1">
        <v>0.57099999999999995</v>
      </c>
      <c r="K208" s="1">
        <v>0.45300000000000001</v>
      </c>
      <c r="L208" s="1">
        <v>1.3080000000000001</v>
      </c>
      <c r="M208" s="1"/>
      <c r="N208" s="284">
        <v>117.69</v>
      </c>
      <c r="O208" s="1">
        <v>3.923</v>
      </c>
      <c r="P208" s="1">
        <v>4.2859999999999996</v>
      </c>
      <c r="Q208" s="1">
        <v>8.6069999999999993</v>
      </c>
      <c r="S208" s="284">
        <v>169.45</v>
      </c>
      <c r="T208" s="1">
        <v>5.6479999999999997</v>
      </c>
      <c r="U208" s="1">
        <v>6.1550000000000002</v>
      </c>
      <c r="V208" s="1">
        <v>11.683</v>
      </c>
      <c r="X208" s="284">
        <v>568.26400000000001</v>
      </c>
      <c r="Y208" s="1">
        <v>18.942</v>
      </c>
      <c r="Z208" s="1">
        <v>20.327000000000002</v>
      </c>
      <c r="AA208" s="1">
        <v>29.745999999999999</v>
      </c>
      <c r="AC208" s="284">
        <v>737.71400000000006</v>
      </c>
      <c r="AD208" s="1">
        <v>24.59</v>
      </c>
      <c r="AE208" s="1">
        <v>26.481999999999999</v>
      </c>
      <c r="AF208" s="1">
        <v>41.429000000000002</v>
      </c>
      <c r="AH208" s="299">
        <v>1555.972</v>
      </c>
      <c r="AI208">
        <v>51.866</v>
      </c>
      <c r="AJ208">
        <v>59.206000000000003</v>
      </c>
      <c r="AK208" s="1">
        <v>134.9</v>
      </c>
      <c r="AM208" s="299">
        <v>11.46</v>
      </c>
      <c r="AN208">
        <v>0.38200000000000001</v>
      </c>
      <c r="AO208">
        <v>0.71599999999999997</v>
      </c>
      <c r="AP208" t="s">
        <v>776</v>
      </c>
      <c r="AR208" s="284">
        <v>100.02</v>
      </c>
      <c r="AS208" s="1">
        <v>3.3340000000000001</v>
      </c>
      <c r="AT208" s="1">
        <v>4.2039999999999997</v>
      </c>
      <c r="AU208" s="1" t="s">
        <v>776</v>
      </c>
      <c r="AW208" s="284">
        <v>27.99</v>
      </c>
      <c r="AX208" s="1">
        <v>0.93300000000000005</v>
      </c>
      <c r="AY208" s="1">
        <v>0.78800000000000003</v>
      </c>
      <c r="AZ208" s="1" t="s">
        <v>776</v>
      </c>
      <c r="BB208" s="284">
        <v>17.82</v>
      </c>
      <c r="BC208" s="1">
        <v>0.59399999999999997</v>
      </c>
      <c r="BD208" s="1">
        <v>0.69299999999999995</v>
      </c>
      <c r="BE208" s="1" t="s">
        <v>776</v>
      </c>
      <c r="BG208" s="284">
        <v>15.93</v>
      </c>
      <c r="BH208" s="1">
        <v>0.53100000000000003</v>
      </c>
      <c r="BI208" s="1">
        <v>0.74299999999999999</v>
      </c>
      <c r="BJ208" s="1" t="s">
        <v>776</v>
      </c>
      <c r="BL208" s="284">
        <v>117.069</v>
      </c>
      <c r="BM208" s="1">
        <v>3.9020000000000001</v>
      </c>
      <c r="BN208" s="1">
        <v>3.9020000000000001</v>
      </c>
      <c r="BO208" s="1" t="s">
        <v>776</v>
      </c>
      <c r="BQ208" s="284">
        <v>11.22</v>
      </c>
      <c r="BR208" s="1">
        <v>0.374</v>
      </c>
      <c r="BS208" s="1">
        <v>0.33700000000000002</v>
      </c>
      <c r="BT208" s="1" t="s">
        <v>776</v>
      </c>
      <c r="BV208" s="284">
        <v>4.29</v>
      </c>
      <c r="BW208" s="1">
        <v>0.14299999999999999</v>
      </c>
      <c r="BX208" s="1">
        <v>0.221</v>
      </c>
      <c r="BY208" s="1" t="s">
        <v>776</v>
      </c>
      <c r="CA208" s="284">
        <v>10.68</v>
      </c>
      <c r="CB208" s="1">
        <v>0.35599999999999998</v>
      </c>
      <c r="CC208" s="1">
        <v>0.46700000000000003</v>
      </c>
      <c r="CD208" s="1" t="s">
        <v>776</v>
      </c>
      <c r="CF208" s="284">
        <v>44.215000000000003</v>
      </c>
      <c r="CG208" s="1">
        <v>1.474</v>
      </c>
      <c r="CH208" s="1">
        <v>1.474</v>
      </c>
      <c r="CI208" s="1" t="s">
        <v>776</v>
      </c>
      <c r="CK208" s="284">
        <v>158.26</v>
      </c>
      <c r="CL208" s="1">
        <v>5.2750000000000004</v>
      </c>
      <c r="CM208" s="1">
        <v>5.9580000000000002</v>
      </c>
      <c r="CN208" s="1">
        <v>15.507999999999999</v>
      </c>
      <c r="CP208" s="284">
        <v>190.489</v>
      </c>
      <c r="CQ208" s="1">
        <v>6.35</v>
      </c>
      <c r="CR208" s="1">
        <v>6.57</v>
      </c>
      <c r="CS208" s="1">
        <v>9.6690000000000005</v>
      </c>
      <c r="CU208" s="284">
        <v>157.071</v>
      </c>
      <c r="CV208" s="1">
        <v>5.2359999999999998</v>
      </c>
      <c r="CW208" s="1">
        <v>6.0250000000000004</v>
      </c>
      <c r="CX208" s="1">
        <v>8.0920000000000005</v>
      </c>
      <c r="CZ208" s="269">
        <v>22.437999999999999</v>
      </c>
      <c r="DA208" s="1">
        <v>0.748</v>
      </c>
      <c r="DC208" s="284">
        <v>13.173999999999999</v>
      </c>
      <c r="DD208" s="1">
        <v>0.439</v>
      </c>
      <c r="DE208" s="1">
        <v>0.439</v>
      </c>
      <c r="DF208" s="1" t="s">
        <v>776</v>
      </c>
      <c r="DH208" s="284">
        <f>DI208*31</f>
        <v>72.757000000000005</v>
      </c>
      <c r="DI208" s="1">
        <f t="shared" si="285"/>
        <v>2.347</v>
      </c>
      <c r="DJ208" s="1">
        <f t="shared" si="286"/>
        <v>2.4979999999999998</v>
      </c>
      <c r="DM208" s="284">
        <f>DN208*31</f>
        <v>2903.3050000000003</v>
      </c>
      <c r="DN208" s="1">
        <f t="shared" si="287"/>
        <v>93.655000000000015</v>
      </c>
      <c r="DO208" s="1">
        <f t="shared" si="288"/>
        <v>105.69791666666667</v>
      </c>
      <c r="DR208" s="284">
        <f>DS208*31</f>
        <v>559.48800000000006</v>
      </c>
      <c r="DS208" s="1">
        <f t="shared" si="289"/>
        <v>18.048000000000002</v>
      </c>
      <c r="DT208" s="1" t="e">
        <f>SUM(CH208+CM208+CR208+CW208+#REF!)</f>
        <v>#REF!</v>
      </c>
      <c r="DW208" s="284">
        <f>DX208*31</f>
        <v>3462.7930000000006</v>
      </c>
      <c r="DX208" s="1">
        <f t="shared" si="290"/>
        <v>111.70300000000002</v>
      </c>
      <c r="DY208" s="1">
        <f t="shared" si="291"/>
        <v>125.57183333333334</v>
      </c>
      <c r="EB208" s="2">
        <v>1.1100000000000001</v>
      </c>
      <c r="EL208">
        <v>2014</v>
      </c>
      <c r="EM208" s="157" t="s">
        <v>709</v>
      </c>
      <c r="EN208" t="s">
        <v>841</v>
      </c>
      <c r="EO208">
        <v>161.28800000000001</v>
      </c>
      <c r="EP208" t="e">
        <f t="shared" si="292"/>
        <v>#VALUE!</v>
      </c>
    </row>
    <row r="209" spans="1:146" x14ac:dyDescent="0.25">
      <c r="A209" s="8">
        <v>2014</v>
      </c>
      <c r="B209" t="s">
        <v>710</v>
      </c>
      <c r="D209" s="284">
        <v>169.85</v>
      </c>
      <c r="E209" s="1">
        <v>5.48</v>
      </c>
      <c r="F209" s="1">
        <v>6.7</v>
      </c>
      <c r="G209" s="1">
        <v>8.66</v>
      </c>
      <c r="I209" s="284">
        <v>17.760000000000002</v>
      </c>
      <c r="J209" s="1">
        <v>0.56999999999999995</v>
      </c>
      <c r="K209" s="1">
        <v>0.47</v>
      </c>
      <c r="L209" s="1">
        <v>1.5</v>
      </c>
      <c r="N209" s="284">
        <v>121.41</v>
      </c>
      <c r="O209" s="1">
        <v>3.92</v>
      </c>
      <c r="P209" s="1">
        <v>4.3499999999999996</v>
      </c>
      <c r="Q209" s="1">
        <v>4.3499999999999996</v>
      </c>
      <c r="S209" s="284">
        <v>161.81</v>
      </c>
      <c r="T209" s="1">
        <v>5.22</v>
      </c>
      <c r="U209" s="1">
        <v>6.21</v>
      </c>
      <c r="V209" s="1">
        <v>8.68</v>
      </c>
      <c r="X209" s="284">
        <v>525.28</v>
      </c>
      <c r="Y209" s="1">
        <v>16.940000000000001</v>
      </c>
      <c r="Z209" s="1">
        <v>20.3</v>
      </c>
      <c r="AA209" s="1">
        <v>69.98</v>
      </c>
      <c r="AC209" s="284">
        <v>687.09</v>
      </c>
      <c r="AD209" s="1">
        <v>22.16</v>
      </c>
      <c r="AE209" s="1">
        <v>26.51</v>
      </c>
      <c r="AF209" s="1">
        <v>78.66</v>
      </c>
      <c r="AH209" s="299">
        <v>1623</v>
      </c>
      <c r="AI209">
        <v>52.35</v>
      </c>
      <c r="AJ209">
        <v>59.27</v>
      </c>
      <c r="AK209">
        <v>137.80000000000001</v>
      </c>
      <c r="AM209" s="299">
        <v>13.02</v>
      </c>
      <c r="AN209">
        <v>0.42</v>
      </c>
      <c r="AO209">
        <v>0.69</v>
      </c>
      <c r="AP209" t="s">
        <v>776</v>
      </c>
      <c r="AR209" s="284">
        <v>105.71</v>
      </c>
      <c r="AS209" s="1">
        <v>3.41</v>
      </c>
      <c r="AT209" s="1">
        <v>4.1500000000000004</v>
      </c>
      <c r="AU209" s="1" t="s">
        <v>776</v>
      </c>
      <c r="AW209" s="284">
        <v>25.11</v>
      </c>
      <c r="AX209" s="1">
        <v>0.81</v>
      </c>
      <c r="AY209" s="1">
        <v>0.78</v>
      </c>
      <c r="AZ209" s="1" t="s">
        <v>776</v>
      </c>
      <c r="BB209" s="284">
        <v>19.22</v>
      </c>
      <c r="BC209" s="1">
        <v>0.62</v>
      </c>
      <c r="BD209" s="1">
        <v>0.69</v>
      </c>
      <c r="BE209" s="1" t="s">
        <v>776</v>
      </c>
      <c r="BG209" s="284">
        <v>17.36</v>
      </c>
      <c r="BH209" s="1">
        <v>0.56000000000000005</v>
      </c>
      <c r="BI209" s="1">
        <v>0.73</v>
      </c>
      <c r="BJ209" s="1" t="s">
        <v>776</v>
      </c>
      <c r="BL209" s="284">
        <v>134.16</v>
      </c>
      <c r="BM209" s="1">
        <v>4.33</v>
      </c>
      <c r="BN209" s="1">
        <v>3.94</v>
      </c>
      <c r="BO209" s="1" t="s">
        <v>776</v>
      </c>
      <c r="BQ209" s="284">
        <v>9.92</v>
      </c>
      <c r="BR209" s="1">
        <v>0.32</v>
      </c>
      <c r="BS209" s="1">
        <v>0.34</v>
      </c>
      <c r="BT209" s="1" t="s">
        <v>776</v>
      </c>
      <c r="BV209" s="284">
        <v>4.96</v>
      </c>
      <c r="BW209" s="1">
        <v>0.16</v>
      </c>
      <c r="BX209" s="1">
        <v>0.22</v>
      </c>
      <c r="BY209" s="1" t="s">
        <v>776</v>
      </c>
      <c r="CA209" s="284">
        <v>11.47</v>
      </c>
      <c r="CB209" s="1">
        <v>0.37</v>
      </c>
      <c r="CC209" s="1">
        <v>0.47</v>
      </c>
      <c r="CD209" s="1" t="s">
        <v>776</v>
      </c>
      <c r="CF209" s="284">
        <v>45.69</v>
      </c>
      <c r="CG209" s="1">
        <v>1.47</v>
      </c>
      <c r="CH209" s="1">
        <v>1.47</v>
      </c>
      <c r="CI209" s="1" t="s">
        <v>776</v>
      </c>
      <c r="CK209" s="284">
        <v>151.82</v>
      </c>
      <c r="CL209" s="1">
        <v>4.9000000000000004</v>
      </c>
      <c r="CM209" s="1">
        <v>5.94</v>
      </c>
      <c r="CN209" s="1">
        <v>10.02</v>
      </c>
      <c r="CP209" s="284">
        <v>195.16</v>
      </c>
      <c r="CQ209" s="1">
        <v>6.3</v>
      </c>
      <c r="CR209" s="1">
        <v>6.56</v>
      </c>
      <c r="CS209" s="1">
        <v>9.2200000000000006</v>
      </c>
      <c r="CU209" s="284">
        <v>162.03</v>
      </c>
      <c r="CV209" s="1">
        <v>5.23</v>
      </c>
      <c r="CW209" s="1">
        <v>6</v>
      </c>
      <c r="CX209" s="1">
        <v>8.1999999999999993</v>
      </c>
      <c r="CZ209" s="269">
        <v>22.41</v>
      </c>
      <c r="DA209" s="1">
        <v>0.72</v>
      </c>
      <c r="DC209" s="284">
        <v>14.06</v>
      </c>
      <c r="DD209" s="1">
        <v>0.45</v>
      </c>
      <c r="DE209" s="1">
        <v>0.44</v>
      </c>
      <c r="DF209" s="1" t="s">
        <v>776</v>
      </c>
      <c r="DH209" s="284">
        <f>DI209*31</f>
        <v>71.92</v>
      </c>
      <c r="DI209" s="1">
        <f t="shared" si="285"/>
        <v>2.3199999999999998</v>
      </c>
      <c r="DJ209" s="1">
        <f t="shared" si="286"/>
        <v>2.4938333333333333</v>
      </c>
      <c r="DM209" s="284">
        <f>DN209*31</f>
        <v>2861.6100000000006</v>
      </c>
      <c r="DN209" s="1">
        <f t="shared" si="287"/>
        <v>92.310000000000016</v>
      </c>
      <c r="DO209" s="1">
        <f t="shared" si="288"/>
        <v>105.78433333333332</v>
      </c>
      <c r="DR209" s="284">
        <f>DS209*31</f>
        <v>545.59999999999991</v>
      </c>
      <c r="DS209" s="1">
        <f t="shared" si="289"/>
        <v>17.599999999999998</v>
      </c>
      <c r="DT209" s="1" t="e">
        <f>SUM(CH209+CM209+CR209+CW209+#REF!)</f>
        <v>#REF!</v>
      </c>
      <c r="DW209" s="284">
        <f>DX209*31</f>
        <v>3407.2100000000005</v>
      </c>
      <c r="DX209" s="1">
        <f t="shared" si="290"/>
        <v>109.91000000000001</v>
      </c>
      <c r="DY209" s="1">
        <f t="shared" si="291"/>
        <v>125.60933333333332</v>
      </c>
      <c r="EB209" s="2">
        <v>3.49</v>
      </c>
      <c r="EL209">
        <v>2014</v>
      </c>
      <c r="EM209" s="157" t="s">
        <v>710</v>
      </c>
      <c r="EN209" t="s">
        <v>841</v>
      </c>
      <c r="EO209">
        <v>169.85</v>
      </c>
      <c r="EP209" t="e">
        <f t="shared" si="292"/>
        <v>#VALUE!</v>
      </c>
    </row>
    <row r="210" spans="1:146" x14ac:dyDescent="0.25">
      <c r="A210" s="8">
        <v>2014</v>
      </c>
      <c r="B210" t="s">
        <v>711</v>
      </c>
      <c r="D210" s="284">
        <v>158.56</v>
      </c>
      <c r="E210" s="1">
        <v>5.29</v>
      </c>
      <c r="F210" s="1">
        <v>6.65</v>
      </c>
      <c r="G210" s="1">
        <v>6.65</v>
      </c>
      <c r="I210" s="284">
        <v>17.489999999999998</v>
      </c>
      <c r="J210" s="1">
        <v>0.57999999999999996</v>
      </c>
      <c r="K210" s="1">
        <v>0.48</v>
      </c>
      <c r="L210" s="1">
        <v>0.69</v>
      </c>
      <c r="N210" s="284">
        <v>114.63</v>
      </c>
      <c r="O210" s="1">
        <v>3.82</v>
      </c>
      <c r="P210" s="1">
        <v>4.34</v>
      </c>
      <c r="Q210" s="1">
        <v>4.34</v>
      </c>
      <c r="S210" s="284">
        <v>161.02000000000001</v>
      </c>
      <c r="T210" s="1">
        <v>5.37</v>
      </c>
      <c r="U210" s="1">
        <v>6.3</v>
      </c>
      <c r="V210" s="1">
        <v>6.3</v>
      </c>
      <c r="X210" s="284">
        <v>528.28</v>
      </c>
      <c r="Y210" s="1">
        <v>17.61</v>
      </c>
      <c r="Z210" s="1">
        <v>20.28</v>
      </c>
      <c r="AA210" s="1">
        <v>25.97</v>
      </c>
      <c r="AC210" s="284">
        <v>689.3</v>
      </c>
      <c r="AD210" s="1">
        <v>22.98</v>
      </c>
      <c r="AE210" s="1">
        <v>26.58</v>
      </c>
      <c r="AF210" s="1">
        <v>32.270000000000003</v>
      </c>
      <c r="AH210" s="299">
        <v>1594.71</v>
      </c>
      <c r="AI210">
        <v>53.16</v>
      </c>
      <c r="AJ210">
        <v>59.43</v>
      </c>
      <c r="AK210">
        <v>135.69999999999999</v>
      </c>
      <c r="AM210" s="299">
        <v>11.7</v>
      </c>
      <c r="AN210">
        <v>0.39</v>
      </c>
      <c r="AO210">
        <v>0.67</v>
      </c>
      <c r="AP210" t="s">
        <v>776</v>
      </c>
      <c r="AR210" s="284">
        <v>104.4</v>
      </c>
      <c r="AS210" s="1">
        <v>3.48</v>
      </c>
      <c r="AT210" s="1">
        <v>4.13</v>
      </c>
      <c r="AU210" s="1" t="s">
        <v>776</v>
      </c>
      <c r="AW210" s="284">
        <v>24.9</v>
      </c>
      <c r="AX210" s="1">
        <v>0.83</v>
      </c>
      <c r="AY210" s="1">
        <v>0.77</v>
      </c>
      <c r="AZ210" s="1" t="s">
        <v>776</v>
      </c>
      <c r="BB210" s="284">
        <v>18.899999999999999</v>
      </c>
      <c r="BC210" s="1">
        <v>0.63</v>
      </c>
      <c r="BD210" s="1">
        <v>0.69</v>
      </c>
      <c r="BE210" s="1" t="s">
        <v>776</v>
      </c>
      <c r="BG210" s="284">
        <v>18</v>
      </c>
      <c r="BH210" s="1">
        <v>0.6</v>
      </c>
      <c r="BI210" s="1">
        <v>0.73</v>
      </c>
      <c r="BJ210" s="1" t="s">
        <v>776</v>
      </c>
      <c r="BL210" s="284">
        <v>129.83000000000001</v>
      </c>
      <c r="BM210" s="1">
        <v>4.33</v>
      </c>
      <c r="BN210" s="1">
        <v>3.97</v>
      </c>
      <c r="BO210" s="1" t="s">
        <v>776</v>
      </c>
      <c r="BQ210" s="284">
        <v>9.3000000000000007</v>
      </c>
      <c r="BR210" s="1">
        <v>0.31</v>
      </c>
      <c r="BS210" s="1">
        <v>0.34</v>
      </c>
      <c r="BT210" s="1" t="s">
        <v>776</v>
      </c>
      <c r="BV210" s="284">
        <v>5.0999999999999996</v>
      </c>
      <c r="BW210" s="1">
        <v>0.17</v>
      </c>
      <c r="BX210" s="1">
        <v>0.22</v>
      </c>
      <c r="BY210" s="1" t="s">
        <v>776</v>
      </c>
      <c r="CA210" s="284">
        <v>10.8</v>
      </c>
      <c r="CB210" s="1">
        <v>0.36</v>
      </c>
      <c r="CC210" s="1">
        <v>0.46</v>
      </c>
      <c r="CD210" s="1" t="s">
        <v>776</v>
      </c>
      <c r="CF210" s="284">
        <v>44.22</v>
      </c>
      <c r="CG210" s="1">
        <v>1.47</v>
      </c>
      <c r="CH210" s="1">
        <v>1.47</v>
      </c>
      <c r="CI210" s="1" t="s">
        <v>776</v>
      </c>
      <c r="CK210" s="284">
        <v>122.75</v>
      </c>
      <c r="CL210" s="1">
        <v>4.09</v>
      </c>
      <c r="CM210" s="1">
        <v>5.92</v>
      </c>
      <c r="CN210" s="1">
        <v>9.11</v>
      </c>
      <c r="CP210" s="284">
        <v>191.66</v>
      </c>
      <c r="CQ210" s="1">
        <v>6.39</v>
      </c>
      <c r="CR210" s="1">
        <v>6.58</v>
      </c>
      <c r="CS210" s="1">
        <v>9.9600000000000009</v>
      </c>
      <c r="CU210" s="284">
        <v>159.82</v>
      </c>
      <c r="CV210" s="1">
        <v>5.33</v>
      </c>
      <c r="CW210" s="1">
        <v>5.98</v>
      </c>
      <c r="CX210" s="1">
        <v>5.98</v>
      </c>
      <c r="CZ210" s="269">
        <v>21.97</v>
      </c>
      <c r="DA210" s="1">
        <v>0.73</v>
      </c>
      <c r="DC210" s="284">
        <v>13.6</v>
      </c>
      <c r="DD210" s="1">
        <v>0.45</v>
      </c>
      <c r="DE210" s="1">
        <v>0.44</v>
      </c>
      <c r="DF210" s="1" t="s">
        <v>776</v>
      </c>
      <c r="DH210" s="284">
        <f>DI210*30</f>
        <v>69.3</v>
      </c>
      <c r="DI210" s="1">
        <f t="shared" si="285"/>
        <v>2.31</v>
      </c>
      <c r="DJ210" s="1">
        <f t="shared" si="286"/>
        <v>2.4917500000000001</v>
      </c>
      <c r="DM210" s="284">
        <f>DN210*30</f>
        <v>2813.3999999999996</v>
      </c>
      <c r="DN210" s="1">
        <f t="shared" si="287"/>
        <v>93.779999999999987</v>
      </c>
      <c r="DO210" s="1">
        <f t="shared" si="288"/>
        <v>105.95483333333333</v>
      </c>
      <c r="DR210" s="284">
        <f>DS210*30</f>
        <v>509.69999999999993</v>
      </c>
      <c r="DS210" s="1">
        <f t="shared" si="289"/>
        <v>16.989999999999998</v>
      </c>
      <c r="DT210" s="1" t="e">
        <f>SUM(CH210+CM210+CR210+CW210+#REF!)</f>
        <v>#REF!</v>
      </c>
      <c r="DW210" s="284">
        <f>DX210*30</f>
        <v>3323.0999999999995</v>
      </c>
      <c r="DX210" s="1">
        <f t="shared" si="290"/>
        <v>110.76999999999998</v>
      </c>
      <c r="DY210" s="1">
        <f t="shared" si="291"/>
        <v>125.765</v>
      </c>
      <c r="EB210" s="2">
        <v>2.64</v>
      </c>
      <c r="EL210">
        <v>2014</v>
      </c>
      <c r="EM210" s="157" t="s">
        <v>711</v>
      </c>
      <c r="EN210" t="s">
        <v>841</v>
      </c>
      <c r="EO210">
        <v>158.56</v>
      </c>
      <c r="EP210" t="e">
        <f t="shared" si="292"/>
        <v>#VALUE!</v>
      </c>
    </row>
    <row r="211" spans="1:146" x14ac:dyDescent="0.25">
      <c r="A211" s="8">
        <v>2014</v>
      </c>
      <c r="B211" t="s">
        <v>712</v>
      </c>
      <c r="D211" s="284">
        <v>174.81</v>
      </c>
      <c r="E211" s="1">
        <v>5.64</v>
      </c>
      <c r="F211" s="1">
        <v>6.55</v>
      </c>
      <c r="G211" s="1">
        <v>7.62</v>
      </c>
      <c r="I211" s="284">
        <v>16.79</v>
      </c>
      <c r="J211" s="1">
        <v>0.54</v>
      </c>
      <c r="K211" s="1">
        <v>0.5</v>
      </c>
      <c r="L211" s="1">
        <v>0.67</v>
      </c>
      <c r="N211" s="284">
        <v>124.07</v>
      </c>
      <c r="O211" s="1">
        <v>4</v>
      </c>
      <c r="P211" s="1">
        <v>4.32</v>
      </c>
      <c r="Q211" s="1">
        <v>8.33</v>
      </c>
      <c r="S211" s="284">
        <v>189.19</v>
      </c>
      <c r="T211" s="1">
        <v>6.1</v>
      </c>
      <c r="U211" s="1">
        <v>6.36</v>
      </c>
      <c r="V211" s="1">
        <v>10.67</v>
      </c>
      <c r="X211" s="284">
        <v>599.05999999999995</v>
      </c>
      <c r="Y211" s="1">
        <v>19.32</v>
      </c>
      <c r="Z211" s="1">
        <v>20.25</v>
      </c>
      <c r="AA211" s="1">
        <v>28.61</v>
      </c>
      <c r="AC211" s="284">
        <v>788.25</v>
      </c>
      <c r="AD211" s="1">
        <v>25.43</v>
      </c>
      <c r="AE211" s="1">
        <v>26.62</v>
      </c>
      <c r="AF211" s="1">
        <v>39.28</v>
      </c>
      <c r="AH211" s="299">
        <v>1817.18</v>
      </c>
      <c r="AI211">
        <v>58.62</v>
      </c>
      <c r="AJ211">
        <v>59.52</v>
      </c>
      <c r="AK211">
        <v>145.5</v>
      </c>
      <c r="AM211" s="299">
        <v>14.57</v>
      </c>
      <c r="AN211">
        <v>0.47</v>
      </c>
      <c r="AO211">
        <v>0.64</v>
      </c>
      <c r="AP211" t="s">
        <v>776</v>
      </c>
      <c r="AR211" s="284">
        <v>119.47</v>
      </c>
      <c r="AS211" s="1">
        <v>3.85</v>
      </c>
      <c r="AT211" s="1">
        <v>4.07</v>
      </c>
      <c r="AU211" s="1" t="s">
        <v>776</v>
      </c>
      <c r="AW211" s="284">
        <v>27.59</v>
      </c>
      <c r="AX211" s="1">
        <v>0.89</v>
      </c>
      <c r="AY211" s="1">
        <v>0.75</v>
      </c>
      <c r="AZ211" s="1" t="s">
        <v>776</v>
      </c>
      <c r="BB211" s="284">
        <v>21.7</v>
      </c>
      <c r="BC211" s="1">
        <v>0.7</v>
      </c>
      <c r="BD211" s="1">
        <v>0.68</v>
      </c>
      <c r="BE211" s="1" t="s">
        <v>776</v>
      </c>
      <c r="BG211" s="284">
        <v>22.32</v>
      </c>
      <c r="BH211" s="1">
        <v>0.72</v>
      </c>
      <c r="BI211" s="1">
        <v>0.72</v>
      </c>
      <c r="BJ211" s="1" t="s">
        <v>776</v>
      </c>
      <c r="BL211" s="284">
        <v>134.16</v>
      </c>
      <c r="BM211" s="1">
        <v>4.33</v>
      </c>
      <c r="BN211" s="1">
        <v>4.01</v>
      </c>
      <c r="BO211" s="1" t="s">
        <v>776</v>
      </c>
      <c r="BQ211" s="284">
        <v>9.3000000000000007</v>
      </c>
      <c r="BR211" s="1">
        <v>0.3</v>
      </c>
      <c r="BS211" s="1">
        <v>0.34</v>
      </c>
      <c r="BT211" s="1" t="s">
        <v>776</v>
      </c>
      <c r="BV211" s="284">
        <v>6.82</v>
      </c>
      <c r="BW211" s="1">
        <v>0.22</v>
      </c>
      <c r="BX211" s="1">
        <v>0.21</v>
      </c>
      <c r="BY211" s="1" t="s">
        <v>776</v>
      </c>
      <c r="CA211" s="284">
        <v>12.4</v>
      </c>
      <c r="CB211" s="1">
        <v>0.4</v>
      </c>
      <c r="CC211" s="1">
        <v>0.46</v>
      </c>
      <c r="CD211" s="1" t="s">
        <v>776</v>
      </c>
      <c r="CF211" s="284">
        <v>45.69</v>
      </c>
      <c r="CG211" s="1">
        <v>1.47</v>
      </c>
      <c r="CH211" s="1">
        <v>1.47</v>
      </c>
      <c r="CI211" s="1" t="s">
        <v>776</v>
      </c>
      <c r="CK211" s="284">
        <v>182.43</v>
      </c>
      <c r="CL211" s="1">
        <v>5.88</v>
      </c>
      <c r="CM211" s="1">
        <v>6.02</v>
      </c>
      <c r="CN211" s="1">
        <v>12.17</v>
      </c>
      <c r="CP211" s="284">
        <v>209.56</v>
      </c>
      <c r="CQ211" s="1">
        <v>6.76</v>
      </c>
      <c r="CR211" s="1">
        <v>6.62</v>
      </c>
      <c r="CS211" s="1">
        <v>10.74</v>
      </c>
      <c r="CU211" s="284">
        <v>176.77</v>
      </c>
      <c r="CV211" s="1">
        <v>5.7</v>
      </c>
      <c r="CW211" s="1">
        <v>5.94</v>
      </c>
      <c r="CX211" s="1">
        <v>9.14</v>
      </c>
      <c r="CZ211" s="269">
        <v>26.72</v>
      </c>
      <c r="DA211" s="1">
        <v>0.86</v>
      </c>
      <c r="DC211" s="284">
        <v>14.06</v>
      </c>
      <c r="DD211" s="1">
        <v>0.45</v>
      </c>
      <c r="DE211" s="1">
        <v>0.44</v>
      </c>
      <c r="DF211" s="1" t="s">
        <v>776</v>
      </c>
      <c r="DH211" s="284">
        <f>DI211*31</f>
        <v>74.09</v>
      </c>
      <c r="DI211" s="1">
        <f t="shared" si="285"/>
        <v>2.39</v>
      </c>
      <c r="DJ211" s="1">
        <f t="shared" si="286"/>
        <v>2.4789166666666667</v>
      </c>
      <c r="DM211" s="284">
        <f>DN211*31</f>
        <v>3186.7999999999993</v>
      </c>
      <c r="DN211" s="1">
        <f t="shared" si="287"/>
        <v>102.79999999999998</v>
      </c>
      <c r="DO211" s="1">
        <f t="shared" si="288"/>
        <v>105.90499999999997</v>
      </c>
      <c r="DR211" s="284">
        <f>DS211*31</f>
        <v>609.15</v>
      </c>
      <c r="DS211" s="1">
        <f t="shared" si="289"/>
        <v>19.649999999999999</v>
      </c>
      <c r="DT211" s="1" t="e">
        <f>SUM(CH211+CM211+CR211+CW211+#REF!)</f>
        <v>#REF!</v>
      </c>
      <c r="DW211" s="284">
        <f>DX211*31</f>
        <v>3795.95</v>
      </c>
      <c r="DX211" s="1">
        <f t="shared" si="290"/>
        <v>122.44999999999999</v>
      </c>
      <c r="DY211" s="1">
        <f t="shared" si="291"/>
        <v>125.82508333333334</v>
      </c>
      <c r="EB211" s="2">
        <v>3.5</v>
      </c>
      <c r="EL211">
        <v>2014</v>
      </c>
      <c r="EM211" s="157" t="s">
        <v>712</v>
      </c>
      <c r="EN211" t="s">
        <v>841</v>
      </c>
      <c r="EO211">
        <v>174.81</v>
      </c>
      <c r="EP211" t="e">
        <f t="shared" si="292"/>
        <v>#VALUE!</v>
      </c>
    </row>
    <row r="212" spans="1:146" x14ac:dyDescent="0.25">
      <c r="A212" s="8">
        <v>2015</v>
      </c>
      <c r="B212" t="s">
        <v>719</v>
      </c>
      <c r="D212" s="284">
        <v>191.95</v>
      </c>
      <c r="E212" s="1">
        <v>6.19</v>
      </c>
      <c r="F212" s="1">
        <v>6.48</v>
      </c>
      <c r="G212" s="1">
        <v>7.71</v>
      </c>
      <c r="I212" s="284">
        <v>17.600000000000001</v>
      </c>
      <c r="J212" s="1">
        <v>0.56999999999999995</v>
      </c>
      <c r="K212" s="1">
        <v>0.51</v>
      </c>
      <c r="L212" s="1">
        <v>0.66</v>
      </c>
      <c r="N212" s="284">
        <v>129.66</v>
      </c>
      <c r="O212" s="1">
        <v>4.18</v>
      </c>
      <c r="P212" s="1">
        <v>4.3</v>
      </c>
      <c r="Q212" s="1">
        <v>6.79</v>
      </c>
      <c r="S212" s="284">
        <v>204.95</v>
      </c>
      <c r="T212" s="1">
        <v>6.61</v>
      </c>
      <c r="U212" s="1">
        <v>6.41</v>
      </c>
      <c r="V212" s="1">
        <v>10.74</v>
      </c>
      <c r="X212" s="284">
        <v>619.23</v>
      </c>
      <c r="Y212" s="1">
        <v>19.98</v>
      </c>
      <c r="Z212" s="1">
        <v>20.190000000000001</v>
      </c>
      <c r="AA212" s="1">
        <v>28.04</v>
      </c>
      <c r="AC212" s="284">
        <v>824.18</v>
      </c>
      <c r="AD212" s="1">
        <v>26.59</v>
      </c>
      <c r="AE212" s="1">
        <v>26.6</v>
      </c>
      <c r="AF212" s="1">
        <v>38.78</v>
      </c>
      <c r="AH212" s="299">
        <v>1892.21</v>
      </c>
      <c r="AI212">
        <v>61.04</v>
      </c>
      <c r="AJ212">
        <v>59.65</v>
      </c>
      <c r="AK212">
        <v>138.6</v>
      </c>
      <c r="AM212" s="299">
        <v>16.12</v>
      </c>
      <c r="AN212">
        <v>0.52</v>
      </c>
      <c r="AO212">
        <v>0.62</v>
      </c>
      <c r="AP212" t="s">
        <v>776</v>
      </c>
      <c r="AR212" s="284">
        <v>132.99</v>
      </c>
      <c r="AS212" s="1">
        <v>4.29</v>
      </c>
      <c r="AT212" s="1">
        <v>4.04</v>
      </c>
      <c r="AU212" s="1" t="s">
        <v>776</v>
      </c>
      <c r="AW212" s="284">
        <v>31</v>
      </c>
      <c r="AX212" s="1">
        <v>1</v>
      </c>
      <c r="AY212" s="1">
        <v>0.74</v>
      </c>
      <c r="AZ212" s="1" t="s">
        <v>776</v>
      </c>
      <c r="BB212" s="284">
        <v>22.01</v>
      </c>
      <c r="BC212" s="1">
        <v>0.71</v>
      </c>
      <c r="BD212" s="1">
        <v>0.68</v>
      </c>
      <c r="BE212" s="1" t="s">
        <v>776</v>
      </c>
      <c r="BG212" s="284">
        <v>25.42</v>
      </c>
      <c r="BH212" s="1">
        <v>0.82</v>
      </c>
      <c r="BI212" s="1">
        <v>0.72</v>
      </c>
      <c r="BJ212" s="1" t="s">
        <v>776</v>
      </c>
      <c r="BL212" s="284">
        <v>134.16</v>
      </c>
      <c r="BM212" s="1">
        <v>4.33</v>
      </c>
      <c r="BN212" s="1">
        <v>4.04</v>
      </c>
      <c r="BO212" s="1" t="s">
        <v>776</v>
      </c>
      <c r="BQ212" s="284">
        <v>9.92</v>
      </c>
      <c r="BR212" s="1">
        <v>0.32</v>
      </c>
      <c r="BS212" s="1">
        <v>0.34</v>
      </c>
      <c r="BT212" s="1" t="s">
        <v>776</v>
      </c>
      <c r="BV212" s="284">
        <v>7.75</v>
      </c>
      <c r="BW212" s="1">
        <v>0.25</v>
      </c>
      <c r="BX212" s="1">
        <v>0.21</v>
      </c>
      <c r="BY212" s="1" t="s">
        <v>776</v>
      </c>
      <c r="CA212" s="284">
        <v>13.64</v>
      </c>
      <c r="CB212" s="1">
        <v>0.44</v>
      </c>
      <c r="CC212" s="1">
        <v>0.45</v>
      </c>
      <c r="CD212" s="1" t="s">
        <v>776</v>
      </c>
      <c r="CF212" s="284">
        <v>45.69</v>
      </c>
      <c r="CG212" s="1">
        <v>1.47</v>
      </c>
      <c r="CH212" s="1">
        <v>1.47</v>
      </c>
      <c r="CI212" s="1" t="s">
        <v>776</v>
      </c>
      <c r="CK212" s="284">
        <v>196.13</v>
      </c>
      <c r="CL212" s="1">
        <v>6.33</v>
      </c>
      <c r="CM212" s="1">
        <v>6.09</v>
      </c>
      <c r="CN212" s="1">
        <v>10.29</v>
      </c>
      <c r="CP212" s="284">
        <v>223.55</v>
      </c>
      <c r="CQ212" s="1">
        <v>7.21</v>
      </c>
      <c r="CR212" s="1">
        <v>6.68</v>
      </c>
      <c r="CS212" s="1">
        <v>11.18</v>
      </c>
      <c r="CU212" s="284">
        <v>183.11</v>
      </c>
      <c r="CV212" s="1">
        <v>5.91</v>
      </c>
      <c r="CW212" s="1">
        <v>5.91</v>
      </c>
      <c r="CX212" s="1">
        <v>11.46</v>
      </c>
      <c r="CZ212" s="269">
        <v>28.32</v>
      </c>
      <c r="DA212" s="1">
        <v>0.91</v>
      </c>
      <c r="DC212" s="284">
        <v>14.06</v>
      </c>
      <c r="DD212" s="1">
        <v>0.45</v>
      </c>
      <c r="DE212" s="1">
        <v>0.44</v>
      </c>
      <c r="DF212" s="1" t="s">
        <v>776</v>
      </c>
      <c r="DH212" s="284">
        <f>DI212*31</f>
        <v>76.88</v>
      </c>
      <c r="DI212" s="1">
        <f t="shared" si="285"/>
        <v>2.48</v>
      </c>
      <c r="DJ212" s="1">
        <f t="shared" si="286"/>
        <v>2.4730833333333333</v>
      </c>
      <c r="DM212" s="284">
        <f>DN212*31</f>
        <v>3340.5599999999995</v>
      </c>
      <c r="DN212" s="1">
        <f t="shared" si="287"/>
        <v>107.75999999999998</v>
      </c>
      <c r="DO212" s="1">
        <f t="shared" si="288"/>
        <v>105.91308333333335</v>
      </c>
      <c r="DR212" s="284">
        <f>DS212*31</f>
        <v>645.11</v>
      </c>
      <c r="DS212" s="1">
        <f t="shared" si="289"/>
        <v>20.81</v>
      </c>
      <c r="DT212" s="1" t="e">
        <f>SUM(CH212+CM212+CR212+CW212+#REF!)</f>
        <v>#REF!</v>
      </c>
      <c r="DW212" s="284">
        <f>DX212*31</f>
        <v>3985.6699999999987</v>
      </c>
      <c r="DX212" s="1">
        <f t="shared" si="290"/>
        <v>128.56999999999996</v>
      </c>
      <c r="DY212" s="1">
        <f t="shared" si="291"/>
        <v>125.94016666666666</v>
      </c>
      <c r="EB212" s="2">
        <v>3.73</v>
      </c>
      <c r="EL212">
        <v>2015</v>
      </c>
      <c r="EM212" s="157" t="s">
        <v>719</v>
      </c>
      <c r="EN212" t="s">
        <v>841</v>
      </c>
      <c r="EO212">
        <v>191.95</v>
      </c>
      <c r="EP212" t="e">
        <f t="shared" si="292"/>
        <v>#VALUE!</v>
      </c>
    </row>
    <row r="213" spans="1:146" x14ac:dyDescent="0.25">
      <c r="A213" s="8">
        <v>2015</v>
      </c>
      <c r="B213" t="s">
        <v>713</v>
      </c>
      <c r="D213" s="284">
        <v>153.15</v>
      </c>
      <c r="E213" s="1">
        <v>5.47</v>
      </c>
      <c r="F213" s="1">
        <v>6.32</v>
      </c>
      <c r="G213" s="1">
        <v>7.32</v>
      </c>
      <c r="I213" s="284">
        <v>15.88</v>
      </c>
      <c r="J213" s="1">
        <v>0.56999999999999995</v>
      </c>
      <c r="K213" s="1">
        <v>0.53</v>
      </c>
      <c r="L213" s="1">
        <v>0.67</v>
      </c>
      <c r="N213" s="284">
        <v>100.3</v>
      </c>
      <c r="O213" s="1">
        <v>3.58</v>
      </c>
      <c r="P213" s="1">
        <v>4.1900000000000004</v>
      </c>
      <c r="Q213" s="1">
        <v>5.68</v>
      </c>
      <c r="S213" s="284">
        <v>178.06</v>
      </c>
      <c r="T213" s="1">
        <v>6.36</v>
      </c>
      <c r="U213" s="1">
        <v>6.38</v>
      </c>
      <c r="V213" s="1">
        <v>10.3</v>
      </c>
      <c r="X213" s="284">
        <v>539.64</v>
      </c>
      <c r="Y213" s="1">
        <v>19.27</v>
      </c>
      <c r="Z213" s="1">
        <v>19.940000000000001</v>
      </c>
      <c r="AA213" s="1">
        <v>27.54</v>
      </c>
      <c r="AC213" s="284">
        <v>717.7</v>
      </c>
      <c r="AD213" s="1">
        <v>25.63</v>
      </c>
      <c r="AE213" s="1">
        <v>26.32</v>
      </c>
      <c r="AF213" s="1">
        <v>37.840000000000003</v>
      </c>
      <c r="AH213" s="299">
        <v>1570.58</v>
      </c>
      <c r="AI213">
        <v>56.09</v>
      </c>
      <c r="AJ213">
        <v>58.83</v>
      </c>
      <c r="AK213">
        <v>144</v>
      </c>
      <c r="AM213" s="299">
        <v>12.88</v>
      </c>
      <c r="AN213">
        <v>0.46</v>
      </c>
      <c r="AO213">
        <v>0.57999999999999996</v>
      </c>
      <c r="AP213" t="s">
        <v>776</v>
      </c>
      <c r="AR213" s="284">
        <v>116.2</v>
      </c>
      <c r="AS213" s="1">
        <v>4.1500000000000004</v>
      </c>
      <c r="AT213" s="1">
        <v>3.99</v>
      </c>
      <c r="AU213" s="1" t="s">
        <v>776</v>
      </c>
      <c r="AW213" s="284">
        <v>32.200000000000003</v>
      </c>
      <c r="AX213" s="1">
        <v>1.1499999999999999</v>
      </c>
      <c r="AY213" s="1">
        <v>0.8</v>
      </c>
      <c r="AZ213" s="1" t="s">
        <v>776</v>
      </c>
      <c r="BB213" s="284">
        <v>18.48</v>
      </c>
      <c r="BC213" s="1">
        <v>0.66</v>
      </c>
      <c r="BD213" s="1">
        <v>0.67</v>
      </c>
      <c r="BE213" s="1" t="s">
        <v>776</v>
      </c>
      <c r="BG213" s="284">
        <v>23.8</v>
      </c>
      <c r="BH213" s="1">
        <v>0.85</v>
      </c>
      <c r="BI213" s="1">
        <v>0.71</v>
      </c>
      <c r="BJ213" s="1" t="s">
        <v>776</v>
      </c>
      <c r="BL213" s="284">
        <v>121.18</v>
      </c>
      <c r="BM213" s="1">
        <v>4.33</v>
      </c>
      <c r="BN213" s="1">
        <v>4.08</v>
      </c>
      <c r="BO213" s="1" t="s">
        <v>776</v>
      </c>
      <c r="BQ213" s="284">
        <v>8.9600000000000009</v>
      </c>
      <c r="BR213" s="1">
        <v>0.32</v>
      </c>
      <c r="BS213" s="1">
        <v>0.33</v>
      </c>
      <c r="BT213" s="1" t="s">
        <v>776</v>
      </c>
      <c r="BV213" s="284">
        <v>6.44</v>
      </c>
      <c r="BW213" s="1">
        <v>0.23</v>
      </c>
      <c r="BX213" s="1">
        <v>0.21</v>
      </c>
      <c r="BY213" s="1" t="s">
        <v>776</v>
      </c>
      <c r="CA213" s="284">
        <v>11.2</v>
      </c>
      <c r="CB213" s="1">
        <v>0.4</v>
      </c>
      <c r="CC213" s="1">
        <v>0.45</v>
      </c>
      <c r="CD213" s="1" t="s">
        <v>776</v>
      </c>
      <c r="CF213" s="284">
        <v>41.27</v>
      </c>
      <c r="CG213" s="1">
        <v>1.47</v>
      </c>
      <c r="CH213" s="1">
        <v>1.47</v>
      </c>
      <c r="CI213" s="1" t="s">
        <v>776</v>
      </c>
      <c r="CK213" s="284">
        <v>163.05000000000001</v>
      </c>
      <c r="CL213" s="1">
        <v>5.82</v>
      </c>
      <c r="CM213" s="1">
        <v>6.06</v>
      </c>
      <c r="CN213" s="1">
        <v>10.81</v>
      </c>
      <c r="CP213" s="284">
        <v>194.12</v>
      </c>
      <c r="CQ213" s="1">
        <v>6.93</v>
      </c>
      <c r="CR213" s="1">
        <v>6.68</v>
      </c>
      <c r="CS213" s="1">
        <v>9.8000000000000007</v>
      </c>
      <c r="CU213" s="284">
        <v>157.84</v>
      </c>
      <c r="CV213" s="1">
        <v>5.64</v>
      </c>
      <c r="CW213" s="1">
        <v>5.85</v>
      </c>
      <c r="CX213" s="1">
        <v>8.1199999999999992</v>
      </c>
      <c r="CZ213" s="269">
        <v>25.55</v>
      </c>
      <c r="DA213" s="1">
        <v>0.91</v>
      </c>
      <c r="DC213" s="284">
        <v>12.7</v>
      </c>
      <c r="DD213" s="1">
        <v>0.45</v>
      </c>
      <c r="DE213" s="1">
        <v>0.44</v>
      </c>
      <c r="DF213" s="1" t="s">
        <v>776</v>
      </c>
      <c r="DH213" s="284">
        <f>DI213*28</f>
        <v>67.759999999999991</v>
      </c>
      <c r="DI213" s="1">
        <f t="shared" si="285"/>
        <v>2.42</v>
      </c>
      <c r="DJ213" s="1">
        <f t="shared" si="286"/>
        <v>2.4573333333333331</v>
      </c>
      <c r="DM213" s="284">
        <f>DN213*28</f>
        <v>2814.56</v>
      </c>
      <c r="DN213" s="1">
        <f t="shared" si="287"/>
        <v>100.52</v>
      </c>
      <c r="DO213" s="1">
        <f t="shared" si="288"/>
        <v>104.57033333333334</v>
      </c>
      <c r="DR213" s="284">
        <f>DS213*28</f>
        <v>553</v>
      </c>
      <c r="DS213" s="1">
        <f t="shared" si="289"/>
        <v>19.75</v>
      </c>
      <c r="DT213" s="1" t="e">
        <f>SUM(CH213+CM213+CR213+CW213+#REF!)</f>
        <v>#REF!</v>
      </c>
      <c r="DW213" s="284">
        <f>DX213*28</f>
        <v>3367.56</v>
      </c>
      <c r="DX213" s="1">
        <f t="shared" si="290"/>
        <v>120.27</v>
      </c>
      <c r="DY213" s="1">
        <f t="shared" si="291"/>
        <v>124.49033333333331</v>
      </c>
      <c r="EB213" s="2">
        <v>1.68</v>
      </c>
      <c r="EL213">
        <v>2015</v>
      </c>
      <c r="EM213" s="157" t="s">
        <v>713</v>
      </c>
      <c r="EN213" t="s">
        <v>841</v>
      </c>
      <c r="EO213">
        <v>153.15</v>
      </c>
      <c r="EP213" t="e">
        <f t="shared" si="292"/>
        <v>#VALUE!</v>
      </c>
    </row>
    <row r="214" spans="1:146" x14ac:dyDescent="0.25">
      <c r="A214" s="8">
        <v>2015</v>
      </c>
      <c r="B214" t="s">
        <v>714</v>
      </c>
      <c r="D214" s="284">
        <v>219.53</v>
      </c>
      <c r="E214" s="1">
        <v>7.08</v>
      </c>
      <c r="F214" s="1">
        <v>6.34</v>
      </c>
      <c r="G214" s="1">
        <v>9.25</v>
      </c>
      <c r="I214" s="284">
        <v>18.28</v>
      </c>
      <c r="J214" s="1">
        <v>0.59</v>
      </c>
      <c r="K214" s="1">
        <v>0.55000000000000004</v>
      </c>
      <c r="L214" s="1">
        <v>0.67</v>
      </c>
      <c r="N214" s="284">
        <v>144.41</v>
      </c>
      <c r="O214" s="1">
        <v>4.66</v>
      </c>
      <c r="P214" s="1">
        <v>4.1900000000000004</v>
      </c>
      <c r="Q214" s="1">
        <v>7.87</v>
      </c>
      <c r="S214" s="284">
        <v>245.23</v>
      </c>
      <c r="T214" s="1">
        <v>7.91</v>
      </c>
      <c r="U214" s="1">
        <v>6.46</v>
      </c>
      <c r="V214" s="1">
        <v>14.35</v>
      </c>
      <c r="X214" s="284">
        <v>695.57</v>
      </c>
      <c r="Y214" s="1">
        <v>22.44</v>
      </c>
      <c r="Z214" s="1">
        <v>19.95</v>
      </c>
      <c r="AA214" s="1">
        <v>33.49</v>
      </c>
      <c r="AC214" s="284">
        <v>940.8</v>
      </c>
      <c r="AD214" s="1">
        <v>30.35</v>
      </c>
      <c r="AE214" s="1">
        <v>26.41</v>
      </c>
      <c r="AF214" s="1">
        <v>47.84</v>
      </c>
      <c r="AH214" s="299">
        <v>2158.1999999999998</v>
      </c>
      <c r="AI214">
        <v>69.62</v>
      </c>
      <c r="AJ214">
        <v>59.33</v>
      </c>
      <c r="AK214">
        <v>137.6</v>
      </c>
      <c r="AM214" s="299">
        <v>21.39</v>
      </c>
      <c r="AN214">
        <v>0.69</v>
      </c>
      <c r="AO214">
        <v>0.56999999999999995</v>
      </c>
      <c r="AP214" t="s">
        <v>776</v>
      </c>
      <c r="AR214" s="284">
        <v>158.72</v>
      </c>
      <c r="AS214" s="1">
        <v>5.12</v>
      </c>
      <c r="AT214" s="1">
        <v>4.0199999999999996</v>
      </c>
      <c r="AU214" s="1" t="s">
        <v>776</v>
      </c>
      <c r="AW214" s="284">
        <v>34.409999999999997</v>
      </c>
      <c r="AX214" s="1">
        <v>1.1100000000000001</v>
      </c>
      <c r="AY214" s="1">
        <v>0.83</v>
      </c>
      <c r="AZ214" s="1" t="s">
        <v>776</v>
      </c>
      <c r="BB214" s="284">
        <v>23.25</v>
      </c>
      <c r="BC214" s="1">
        <v>0.75</v>
      </c>
      <c r="BD214" s="1">
        <v>0.66</v>
      </c>
      <c r="BE214" s="1" t="s">
        <v>776</v>
      </c>
      <c r="BG214" s="284">
        <v>33.17</v>
      </c>
      <c r="BH214" s="1">
        <v>1.07</v>
      </c>
      <c r="BI214" s="1">
        <v>0.73</v>
      </c>
      <c r="BJ214" s="1" t="s">
        <v>776</v>
      </c>
      <c r="BL214" s="284">
        <v>134.16</v>
      </c>
      <c r="BM214" s="1">
        <v>4.33</v>
      </c>
      <c r="BN214" s="1">
        <v>4.12</v>
      </c>
      <c r="BO214" s="1" t="s">
        <v>776</v>
      </c>
      <c r="BQ214" s="284">
        <v>11.16</v>
      </c>
      <c r="BR214" s="1">
        <v>0.36</v>
      </c>
      <c r="BS214" s="1">
        <v>0.34</v>
      </c>
      <c r="BT214" s="1" t="s">
        <v>776</v>
      </c>
      <c r="BV214" s="284">
        <v>10.85</v>
      </c>
      <c r="BW214" s="1">
        <v>0.35</v>
      </c>
      <c r="BX214" s="1">
        <v>0.21</v>
      </c>
      <c r="BY214" s="1" t="s">
        <v>776</v>
      </c>
      <c r="CA214" s="284">
        <v>14.57</v>
      </c>
      <c r="CB214" s="1">
        <v>0.47</v>
      </c>
      <c r="CC214" s="1">
        <v>0.45</v>
      </c>
      <c r="CD214" s="1" t="s">
        <v>776</v>
      </c>
      <c r="CF214" s="284">
        <v>45.69</v>
      </c>
      <c r="CG214" s="1">
        <v>1.47</v>
      </c>
      <c r="CH214" s="1">
        <v>1.47</v>
      </c>
      <c r="CI214" s="1" t="s">
        <v>776</v>
      </c>
      <c r="CK214" s="284">
        <v>205.24</v>
      </c>
      <c r="CL214" s="1">
        <v>6.62</v>
      </c>
      <c r="CM214" s="1">
        <v>6.03</v>
      </c>
      <c r="CN214" s="1">
        <v>12.09</v>
      </c>
      <c r="CP214" s="284">
        <v>260.76</v>
      </c>
      <c r="CQ214" s="1">
        <v>8.41</v>
      </c>
      <c r="CR214" s="1">
        <v>6.77</v>
      </c>
      <c r="CS214" s="1">
        <v>13.84</v>
      </c>
      <c r="CU214" s="284">
        <v>196.3</v>
      </c>
      <c r="CV214" s="1">
        <v>6.33</v>
      </c>
      <c r="CW214" s="1">
        <v>5.84</v>
      </c>
      <c r="CX214" s="1">
        <v>10.3</v>
      </c>
      <c r="CZ214" s="269">
        <v>35.46</v>
      </c>
      <c r="DA214" s="1">
        <v>1.1399999999999999</v>
      </c>
      <c r="DC214" s="284">
        <v>14.06</v>
      </c>
      <c r="DD214" s="1">
        <v>0.45</v>
      </c>
      <c r="DE214" s="1">
        <v>0.44</v>
      </c>
      <c r="DF214" s="1" t="s">
        <v>776</v>
      </c>
      <c r="DH214" s="284">
        <f>DI214*31</f>
        <v>82.149999999999991</v>
      </c>
      <c r="DI214" s="1">
        <f t="shared" si="285"/>
        <v>2.65</v>
      </c>
      <c r="DJ214" s="1">
        <f t="shared" si="286"/>
        <v>2.4683333333333333</v>
      </c>
      <c r="DM214" s="284">
        <f>DN214*31</f>
        <v>3804.32</v>
      </c>
      <c r="DN214" s="1">
        <f t="shared" si="287"/>
        <v>122.72</v>
      </c>
      <c r="DO214" s="1">
        <f t="shared" si="288"/>
        <v>105.286</v>
      </c>
      <c r="DR214" s="284">
        <f>DS214*31</f>
        <v>711.44999999999993</v>
      </c>
      <c r="DS214" s="1">
        <f t="shared" si="289"/>
        <v>22.95</v>
      </c>
      <c r="DT214" s="1" t="e">
        <f>SUM(CH214+CM214+CR214+CW214+#REF!)</f>
        <v>#REF!</v>
      </c>
      <c r="DW214" s="284">
        <f>DX214*31</f>
        <v>4515.7699999999995</v>
      </c>
      <c r="DX214" s="1">
        <f t="shared" si="290"/>
        <v>145.66999999999999</v>
      </c>
      <c r="DY214" s="1">
        <f t="shared" si="291"/>
        <v>125.27016666666664</v>
      </c>
      <c r="EB214" s="2">
        <v>4.04</v>
      </c>
      <c r="EL214">
        <v>2015</v>
      </c>
      <c r="EM214" s="157" t="s">
        <v>714</v>
      </c>
      <c r="EN214" t="s">
        <v>841</v>
      </c>
      <c r="EO214">
        <v>219.53</v>
      </c>
      <c r="EP214" t="e">
        <f t="shared" si="292"/>
        <v>#VALUE!</v>
      </c>
    </row>
    <row r="215" spans="1:146" x14ac:dyDescent="0.25">
      <c r="A215" s="8">
        <v>2015</v>
      </c>
      <c r="B215" t="s">
        <v>705</v>
      </c>
      <c r="D215" s="284">
        <v>198.54</v>
      </c>
      <c r="E215" s="1">
        <v>6.62</v>
      </c>
      <c r="F215" s="1">
        <v>6.25</v>
      </c>
      <c r="G215" s="1">
        <v>8.77</v>
      </c>
      <c r="I215" s="284">
        <v>17.670000000000002</v>
      </c>
      <c r="J215" s="1">
        <v>0.59</v>
      </c>
      <c r="K215" s="1">
        <v>0.56000000000000005</v>
      </c>
      <c r="L215" s="1">
        <v>0.89</v>
      </c>
      <c r="N215" s="284">
        <v>133.81</v>
      </c>
      <c r="O215" s="1">
        <v>4.46</v>
      </c>
      <c r="P215" s="1">
        <v>4.1399999999999997</v>
      </c>
      <c r="Q215" s="1">
        <v>8.85</v>
      </c>
      <c r="S215" s="284">
        <v>232.88</v>
      </c>
      <c r="T215" s="1">
        <v>7.76</v>
      </c>
      <c r="U215" s="1">
        <v>6.48</v>
      </c>
      <c r="V215" s="1">
        <v>12.9</v>
      </c>
      <c r="X215" s="284">
        <v>636.94000000000005</v>
      </c>
      <c r="Y215" s="1">
        <v>21.23</v>
      </c>
      <c r="Z215" s="1">
        <v>19.79</v>
      </c>
      <c r="AA215" s="1">
        <v>29.75</v>
      </c>
      <c r="AC215" s="284">
        <v>869.82</v>
      </c>
      <c r="AD215" s="1">
        <v>28.99</v>
      </c>
      <c r="AE215" s="1">
        <v>26.27</v>
      </c>
      <c r="AF215" s="1">
        <v>42.65</v>
      </c>
      <c r="AH215" s="299">
        <v>1939.78</v>
      </c>
      <c r="AI215">
        <v>64.66</v>
      </c>
      <c r="AJ215">
        <v>58.99</v>
      </c>
      <c r="AK215">
        <v>162.69999999999999</v>
      </c>
      <c r="AM215" s="299">
        <v>15.6</v>
      </c>
      <c r="AN215">
        <v>0.52</v>
      </c>
      <c r="AO215">
        <v>0.55000000000000004</v>
      </c>
      <c r="AP215" t="s">
        <v>776</v>
      </c>
      <c r="AR215" s="284">
        <v>126</v>
      </c>
      <c r="AS215" s="1">
        <v>4.2</v>
      </c>
      <c r="AT215" s="1">
        <v>3.97</v>
      </c>
      <c r="AU215" s="1" t="s">
        <v>776</v>
      </c>
      <c r="AW215" s="284">
        <v>27</v>
      </c>
      <c r="AX215" s="1">
        <v>0.9</v>
      </c>
      <c r="AY215" s="1">
        <v>0.81</v>
      </c>
      <c r="AZ215" s="1" t="s">
        <v>776</v>
      </c>
      <c r="BB215" s="284">
        <v>20.399999999999999</v>
      </c>
      <c r="BC215" s="1">
        <v>0.68</v>
      </c>
      <c r="BD215" s="1">
        <v>0.66</v>
      </c>
      <c r="BE215" s="1" t="s">
        <v>776</v>
      </c>
      <c r="BG215" s="284">
        <v>26.4</v>
      </c>
      <c r="BH215" s="1">
        <v>0.88</v>
      </c>
      <c r="BI215" s="1">
        <v>0.72</v>
      </c>
      <c r="BJ215" s="1" t="s">
        <v>776</v>
      </c>
      <c r="BL215" s="284">
        <v>129.83000000000001</v>
      </c>
      <c r="BM215" s="1">
        <v>4.33</v>
      </c>
      <c r="BN215" s="1">
        <v>4.1500000000000004</v>
      </c>
      <c r="BO215" s="1" t="s">
        <v>776</v>
      </c>
      <c r="BQ215" s="284">
        <v>9.3000000000000007</v>
      </c>
      <c r="BR215" s="1">
        <v>0.31</v>
      </c>
      <c r="BS215" s="1">
        <v>0.33</v>
      </c>
      <c r="BT215" s="1" t="s">
        <v>776</v>
      </c>
      <c r="BV215" s="284">
        <v>7.2</v>
      </c>
      <c r="BW215" s="1">
        <v>0.24</v>
      </c>
      <c r="BX215" s="1">
        <v>0.21</v>
      </c>
      <c r="BY215" s="1" t="s">
        <v>776</v>
      </c>
      <c r="CA215" s="284">
        <v>11.4</v>
      </c>
      <c r="CB215" s="1">
        <v>0.38</v>
      </c>
      <c r="CC215" s="1">
        <v>0.43</v>
      </c>
      <c r="CD215" s="1" t="s">
        <v>776</v>
      </c>
      <c r="CF215" s="284">
        <v>44.22</v>
      </c>
      <c r="CG215" s="1">
        <v>1.47</v>
      </c>
      <c r="CH215" s="1">
        <v>1.47</v>
      </c>
      <c r="CI215" s="1" t="s">
        <v>776</v>
      </c>
      <c r="CK215" s="284">
        <v>190.01</v>
      </c>
      <c r="CL215" s="1">
        <v>6.33</v>
      </c>
      <c r="CM215" s="1">
        <v>5.95</v>
      </c>
      <c r="CN215" s="1">
        <v>13.81</v>
      </c>
      <c r="CP215" s="284">
        <v>244.36</v>
      </c>
      <c r="CQ215" s="1">
        <v>8.15</v>
      </c>
      <c r="CR215" s="1">
        <v>6.81</v>
      </c>
      <c r="CS215" s="1">
        <v>12.35</v>
      </c>
      <c r="CU215" s="284">
        <v>183.58</v>
      </c>
      <c r="CV215" s="1">
        <v>6.12</v>
      </c>
      <c r="CW215" s="1">
        <v>5.8</v>
      </c>
      <c r="CX215" s="1">
        <v>10.9</v>
      </c>
      <c r="CZ215" s="269">
        <v>30.97</v>
      </c>
      <c r="DA215" s="1">
        <v>1.03</v>
      </c>
      <c r="DC215" s="284">
        <v>13.6</v>
      </c>
      <c r="DD215" s="1">
        <v>0.45</v>
      </c>
      <c r="DE215" s="1">
        <v>0.45</v>
      </c>
      <c r="DF215" s="1" t="s">
        <v>776</v>
      </c>
      <c r="DH215" s="284">
        <f>DI215*31</f>
        <v>74.399999999999991</v>
      </c>
      <c r="DI215" s="1">
        <f t="shared" si="285"/>
        <v>2.4</v>
      </c>
      <c r="DJ215" s="1">
        <f t="shared" si="286"/>
        <v>2.4462499999999996</v>
      </c>
      <c r="DM215" s="284">
        <f>DN215*30</f>
        <v>3432.8999999999996</v>
      </c>
      <c r="DN215" s="1">
        <f t="shared" si="287"/>
        <v>114.42999999999999</v>
      </c>
      <c r="DO215" s="1">
        <f t="shared" si="288"/>
        <v>104.62583333333333</v>
      </c>
      <c r="DR215" s="284">
        <f>DS215*30</f>
        <v>662.40000000000009</v>
      </c>
      <c r="DS215" s="1">
        <f t="shared" si="289"/>
        <v>22.080000000000002</v>
      </c>
      <c r="DT215" s="1" t="e">
        <f>SUM(CH215+CM215+CR215+CW215+#REF!)</f>
        <v>#REF!</v>
      </c>
      <c r="DW215" s="284">
        <f>DX215*30</f>
        <v>4095.2999999999997</v>
      </c>
      <c r="DX215" s="1">
        <f t="shared" si="290"/>
        <v>136.51</v>
      </c>
      <c r="DY215" s="1">
        <f t="shared" si="291"/>
        <v>124.51074999999999</v>
      </c>
      <c r="EB215" s="2">
        <v>3.41</v>
      </c>
      <c r="EL215">
        <v>2015</v>
      </c>
      <c r="EM215" s="157" t="s">
        <v>705</v>
      </c>
      <c r="EN215" t="s">
        <v>841</v>
      </c>
      <c r="EO215">
        <v>198.54</v>
      </c>
      <c r="EP215" t="e">
        <f t="shared" si="292"/>
        <v>#VALUE!</v>
      </c>
    </row>
    <row r="216" spans="1:146" x14ac:dyDescent="0.25">
      <c r="A216" s="8">
        <v>2015</v>
      </c>
      <c r="B216" t="s">
        <v>715</v>
      </c>
      <c r="D216" s="284">
        <v>159.84</v>
      </c>
      <c r="E216" s="1">
        <v>5.16</v>
      </c>
      <c r="F216" s="1">
        <v>6.04</v>
      </c>
      <c r="G216" s="1">
        <v>7.39</v>
      </c>
      <c r="I216" s="284">
        <v>18.3</v>
      </c>
      <c r="J216" s="1">
        <v>0.59</v>
      </c>
      <c r="K216" s="1">
        <v>0.57999999999999996</v>
      </c>
      <c r="L216" s="1">
        <v>0.71</v>
      </c>
      <c r="N216" s="284">
        <v>130.06</v>
      </c>
      <c r="O216" s="1">
        <v>4.2</v>
      </c>
      <c r="P216" s="1">
        <v>4.08</v>
      </c>
      <c r="Q216" s="1">
        <v>6.67</v>
      </c>
      <c r="S216" s="284">
        <v>211.06</v>
      </c>
      <c r="T216" s="1">
        <v>6.81</v>
      </c>
      <c r="U216" s="1">
        <v>6.32</v>
      </c>
      <c r="V216" s="1">
        <v>9.68</v>
      </c>
      <c r="X216" s="284">
        <v>583.20000000000005</v>
      </c>
      <c r="Y216" s="1">
        <v>18.809999999999999</v>
      </c>
      <c r="Z216" s="1">
        <v>19.39</v>
      </c>
      <c r="AA216" s="1">
        <v>26.16</v>
      </c>
      <c r="AC216" s="284">
        <v>794.26</v>
      </c>
      <c r="AD216" s="1">
        <v>25.62</v>
      </c>
      <c r="AE216" s="1">
        <v>25.71</v>
      </c>
      <c r="AF216" s="1">
        <v>35.840000000000003</v>
      </c>
      <c r="AH216" s="299">
        <v>1737.21</v>
      </c>
      <c r="AI216">
        <v>56.04</v>
      </c>
      <c r="AJ216">
        <v>57.76</v>
      </c>
      <c r="AK216">
        <v>133.6</v>
      </c>
      <c r="AM216" s="299">
        <v>13.95</v>
      </c>
      <c r="AN216">
        <v>0.45</v>
      </c>
      <c r="AO216">
        <v>0.51</v>
      </c>
      <c r="AP216" t="s">
        <v>776</v>
      </c>
      <c r="AR216" s="284">
        <v>117.8</v>
      </c>
      <c r="AS216" s="1">
        <v>3.8</v>
      </c>
      <c r="AT216" s="1">
        <v>3.88</v>
      </c>
      <c r="AU216" s="1" t="s">
        <v>776</v>
      </c>
      <c r="AW216" s="284">
        <v>27.9</v>
      </c>
      <c r="AX216" s="1">
        <v>0.9</v>
      </c>
      <c r="AY216" s="1">
        <v>0.83</v>
      </c>
      <c r="AZ216" s="1" t="s">
        <v>776</v>
      </c>
      <c r="BB216" s="284">
        <v>19.53</v>
      </c>
      <c r="BC216" s="1">
        <v>0.63</v>
      </c>
      <c r="BD216" s="1">
        <v>0.65</v>
      </c>
      <c r="BE216" s="1" t="s">
        <v>776</v>
      </c>
      <c r="BG216" s="284">
        <v>19.22</v>
      </c>
      <c r="BH216" s="1">
        <v>0.62</v>
      </c>
      <c r="BI216" s="1">
        <v>0.71</v>
      </c>
      <c r="BJ216" s="1" t="s">
        <v>776</v>
      </c>
      <c r="BL216" s="284">
        <v>134.16</v>
      </c>
      <c r="BM216" s="1">
        <v>4.33</v>
      </c>
      <c r="BN216" s="1">
        <v>4.1900000000000004</v>
      </c>
      <c r="BO216" s="1" t="s">
        <v>776</v>
      </c>
      <c r="BQ216" s="284">
        <v>9.92</v>
      </c>
      <c r="BR216" s="1">
        <v>0.32</v>
      </c>
      <c r="BS216" s="1">
        <v>0.33</v>
      </c>
      <c r="BT216" s="1" t="s">
        <v>776</v>
      </c>
      <c r="BV216" s="284">
        <v>4.6500000000000004</v>
      </c>
      <c r="BW216" s="1">
        <v>0.15</v>
      </c>
      <c r="BX216" s="1">
        <v>0.2</v>
      </c>
      <c r="BY216" s="1" t="s">
        <v>776</v>
      </c>
      <c r="CA216" s="284">
        <v>10.23</v>
      </c>
      <c r="CB216" s="1">
        <v>0.33</v>
      </c>
      <c r="CC216" s="1">
        <v>0.42</v>
      </c>
      <c r="CD216" s="1" t="s">
        <v>776</v>
      </c>
      <c r="CF216" s="284">
        <v>45.69</v>
      </c>
      <c r="CG216" s="1">
        <v>1.47</v>
      </c>
      <c r="CH216" s="1">
        <v>1.47</v>
      </c>
      <c r="CI216" s="1" t="s">
        <v>776</v>
      </c>
      <c r="CK216" s="284">
        <v>218.93</v>
      </c>
      <c r="CL216" s="1">
        <v>7.06</v>
      </c>
      <c r="CM216" s="1">
        <v>5.83</v>
      </c>
      <c r="CN216" s="1">
        <v>11.28</v>
      </c>
      <c r="CP216" s="284">
        <v>241.94</v>
      </c>
      <c r="CQ216" s="1">
        <v>7.8</v>
      </c>
      <c r="CR216" s="1">
        <v>6.91</v>
      </c>
      <c r="CS216" s="1">
        <v>13.14</v>
      </c>
      <c r="CU216" s="284">
        <v>186.43</v>
      </c>
      <c r="CV216" s="1">
        <v>6.01</v>
      </c>
      <c r="CW216" s="1">
        <v>5.72</v>
      </c>
      <c r="CX216" s="1">
        <v>10.96</v>
      </c>
      <c r="CZ216" s="269">
        <v>28.85</v>
      </c>
      <c r="DA216" s="1">
        <v>0.93</v>
      </c>
      <c r="DC216" s="284">
        <v>14.06</v>
      </c>
      <c r="DD216" s="1">
        <v>0.45</v>
      </c>
      <c r="DE216" s="1">
        <v>0.45</v>
      </c>
      <c r="DF216" s="1" t="s">
        <v>776</v>
      </c>
      <c r="DH216" s="284">
        <f>DI216*31</f>
        <v>70.37</v>
      </c>
      <c r="DI216" s="1">
        <f t="shared" si="285"/>
        <v>2.27</v>
      </c>
      <c r="DJ216" s="1">
        <f t="shared" si="286"/>
        <v>2.4156666666666662</v>
      </c>
      <c r="DM216" s="284">
        <f>DN216*31</f>
        <v>3102.17</v>
      </c>
      <c r="DN216" s="1">
        <f t="shared" si="287"/>
        <v>100.07000000000001</v>
      </c>
      <c r="DO216" s="1">
        <f t="shared" si="288"/>
        <v>102.53783333333332</v>
      </c>
      <c r="DR216" s="284">
        <f>DS216*31</f>
        <v>689.74999999999989</v>
      </c>
      <c r="DS216" s="1">
        <f t="shared" si="289"/>
        <v>22.249999999999996</v>
      </c>
      <c r="DT216" s="1" t="e">
        <f>SUM(CH216+CM216+CR216+CW216+#REF!)</f>
        <v>#REF!</v>
      </c>
      <c r="DW216" s="284">
        <f>DX216*31</f>
        <v>3791.92</v>
      </c>
      <c r="DX216" s="1">
        <f t="shared" si="290"/>
        <v>122.32000000000001</v>
      </c>
      <c r="DY216" s="1">
        <f t="shared" si="291"/>
        <v>122.30866666666667</v>
      </c>
      <c r="EB216" s="2">
        <v>1.92</v>
      </c>
      <c r="EL216">
        <v>2015</v>
      </c>
      <c r="EM216" s="157" t="s">
        <v>715</v>
      </c>
      <c r="EN216" t="s">
        <v>841</v>
      </c>
      <c r="EO216">
        <v>159.84</v>
      </c>
      <c r="EP216" t="e">
        <f t="shared" si="292"/>
        <v>#VALUE!</v>
      </c>
    </row>
    <row r="217" spans="1:146" x14ac:dyDescent="0.25">
      <c r="A217" s="8">
        <v>2015</v>
      </c>
      <c r="B217" t="s">
        <v>718</v>
      </c>
      <c r="D217" s="284">
        <v>148.02000000000001</v>
      </c>
      <c r="E217" s="1">
        <v>4.93</v>
      </c>
      <c r="F217" s="1">
        <v>5.77</v>
      </c>
      <c r="G217" s="1">
        <v>10.83</v>
      </c>
      <c r="I217" s="284">
        <v>19.37</v>
      </c>
      <c r="J217" s="1">
        <v>0.65</v>
      </c>
      <c r="K217" s="1">
        <v>0.57999999999999996</v>
      </c>
      <c r="L217" s="1">
        <v>1.1599999999999999</v>
      </c>
      <c r="N217" s="284">
        <v>130.32</v>
      </c>
      <c r="O217" s="1">
        <v>4.34</v>
      </c>
      <c r="P217" s="1">
        <v>4.08</v>
      </c>
      <c r="Q217" s="1">
        <v>15.33</v>
      </c>
      <c r="S217" s="284">
        <v>203.62</v>
      </c>
      <c r="T217" s="1">
        <v>6.79</v>
      </c>
      <c r="U217" s="1">
        <v>6.31</v>
      </c>
      <c r="V217" s="1">
        <v>17.29</v>
      </c>
      <c r="X217" s="284">
        <v>574.77</v>
      </c>
      <c r="Y217" s="1">
        <v>19.16</v>
      </c>
      <c r="Z217" s="1">
        <v>19.260000000000002</v>
      </c>
      <c r="AA217" s="1">
        <v>36.159999999999997</v>
      </c>
      <c r="AC217" s="284">
        <v>778.39</v>
      </c>
      <c r="AD217" s="1">
        <v>25.95</v>
      </c>
      <c r="AE217" s="1">
        <v>25.57</v>
      </c>
      <c r="AF217" s="1">
        <v>53.45</v>
      </c>
      <c r="AH217" s="299">
        <v>1884.05</v>
      </c>
      <c r="AI217">
        <v>62.8</v>
      </c>
      <c r="AJ217">
        <v>57.9</v>
      </c>
      <c r="AK217">
        <v>207.1</v>
      </c>
      <c r="AM217" s="299">
        <v>18.600000000000001</v>
      </c>
      <c r="AN217">
        <v>0.62</v>
      </c>
      <c r="AO217">
        <v>0.51</v>
      </c>
      <c r="AP217" t="s">
        <v>776</v>
      </c>
      <c r="AR217" s="284">
        <v>135.6</v>
      </c>
      <c r="AS217" s="1">
        <v>4.5199999999999996</v>
      </c>
      <c r="AT217" s="1">
        <v>3.93</v>
      </c>
      <c r="AU217" s="1" t="s">
        <v>776</v>
      </c>
      <c r="AW217" s="284">
        <v>34.799999999999997</v>
      </c>
      <c r="AX217" s="1">
        <v>1.1599999999999999</v>
      </c>
      <c r="AY217" s="1">
        <v>0.89</v>
      </c>
      <c r="AZ217" s="1" t="s">
        <v>776</v>
      </c>
      <c r="BB217" s="284">
        <v>21.6</v>
      </c>
      <c r="BC217" s="1">
        <v>0.72</v>
      </c>
      <c r="BD217" s="1">
        <v>0.66</v>
      </c>
      <c r="BE217" s="1" t="s">
        <v>776</v>
      </c>
      <c r="BG217" s="284">
        <v>27</v>
      </c>
      <c r="BH217" s="1">
        <v>0.9</v>
      </c>
      <c r="BI217" s="1">
        <v>0.73</v>
      </c>
      <c r="BJ217" s="1" t="s">
        <v>776</v>
      </c>
      <c r="BL217" s="284">
        <v>129.83000000000001</v>
      </c>
      <c r="BM217" s="1">
        <v>4.33</v>
      </c>
      <c r="BN217" s="1">
        <v>4.22</v>
      </c>
      <c r="BO217" s="1" t="s">
        <v>776</v>
      </c>
      <c r="BQ217" s="284">
        <v>10.8</v>
      </c>
      <c r="BR217" s="1">
        <v>0.36</v>
      </c>
      <c r="BS217" s="1">
        <v>0.33</v>
      </c>
      <c r="BT217" s="1" t="s">
        <v>776</v>
      </c>
      <c r="BV217" s="284">
        <v>7.2</v>
      </c>
      <c r="BW217" s="1">
        <v>0.24</v>
      </c>
      <c r="BX217" s="1">
        <v>0.2</v>
      </c>
      <c r="BY217" s="1" t="s">
        <v>776</v>
      </c>
      <c r="CA217" s="284">
        <v>12.6</v>
      </c>
      <c r="CB217" s="1">
        <v>0.42</v>
      </c>
      <c r="CC217" s="1">
        <v>0.4</v>
      </c>
      <c r="CD217" s="1" t="s">
        <v>776</v>
      </c>
      <c r="CF217" s="284">
        <v>44.22</v>
      </c>
      <c r="CG217" s="1">
        <v>1.47</v>
      </c>
      <c r="CH217" s="1">
        <v>1.47</v>
      </c>
      <c r="CI217" s="1" t="s">
        <v>776</v>
      </c>
      <c r="CK217" s="284">
        <v>215.13</v>
      </c>
      <c r="CL217" s="1">
        <v>7.17</v>
      </c>
      <c r="CM217" s="1">
        <v>5.93</v>
      </c>
      <c r="CN217" s="1">
        <v>17.63</v>
      </c>
      <c r="CP217" s="284">
        <v>251.34</v>
      </c>
      <c r="CQ217" s="1">
        <v>8.3800000000000008</v>
      </c>
      <c r="CR217" s="1">
        <v>7.08</v>
      </c>
      <c r="CS217" s="1">
        <v>17.77</v>
      </c>
      <c r="CU217" s="284">
        <v>177.76</v>
      </c>
      <c r="CV217" s="1">
        <v>5.93</v>
      </c>
      <c r="CW217" s="1">
        <v>5.7</v>
      </c>
      <c r="CX217" s="1">
        <v>14.99</v>
      </c>
      <c r="CZ217" s="269">
        <v>26.84</v>
      </c>
      <c r="DA217" s="1">
        <v>0.89</v>
      </c>
      <c r="DC217" s="284">
        <v>13.6</v>
      </c>
      <c r="DD217" s="1">
        <v>0.45</v>
      </c>
      <c r="DE217" s="1">
        <v>0.45</v>
      </c>
      <c r="DF217" s="1" t="s">
        <v>776</v>
      </c>
      <c r="DH217" s="284">
        <f>DI217*30</f>
        <v>74.7</v>
      </c>
      <c r="DI217" s="1">
        <f t="shared" si="285"/>
        <v>2.4900000000000002</v>
      </c>
      <c r="DJ217" s="1">
        <f t="shared" si="286"/>
        <v>2.4046666666666661</v>
      </c>
      <c r="DM217" s="284">
        <f>DN217*30</f>
        <v>3252.8999999999996</v>
      </c>
      <c r="DN217" s="1">
        <f t="shared" si="287"/>
        <v>108.42999999999999</v>
      </c>
      <c r="DO217" s="1">
        <f t="shared" si="288"/>
        <v>102.45258333333334</v>
      </c>
      <c r="DR217" s="284">
        <f>DS217*30</f>
        <v>684.6</v>
      </c>
      <c r="DS217" s="1">
        <f t="shared" si="289"/>
        <v>22.82</v>
      </c>
      <c r="DT217" s="1" t="e">
        <f>SUM(CH217+CM217+CR217+CW217+#REF!)</f>
        <v>#REF!</v>
      </c>
      <c r="DW217" s="284">
        <f>DX217*30</f>
        <v>3937.5</v>
      </c>
      <c r="DX217" s="1">
        <f t="shared" si="290"/>
        <v>131.25</v>
      </c>
      <c r="DY217" s="1">
        <f t="shared" si="291"/>
        <v>122.46258333333333</v>
      </c>
      <c r="EB217" s="2">
        <v>11.94</v>
      </c>
      <c r="EL217">
        <v>2015</v>
      </c>
      <c r="EM217" s="157" t="s">
        <v>718</v>
      </c>
      <c r="EN217" t="s">
        <v>841</v>
      </c>
      <c r="EO217">
        <v>148.02000000000001</v>
      </c>
      <c r="EP217" t="e">
        <f t="shared" si="292"/>
        <v>#VALUE!</v>
      </c>
    </row>
    <row r="218" spans="1:146" x14ac:dyDescent="0.25">
      <c r="A218" s="8">
        <v>2015</v>
      </c>
      <c r="B218" t="s">
        <v>716</v>
      </c>
      <c r="D218" s="284">
        <v>184.5</v>
      </c>
      <c r="E218" s="1">
        <v>5.95</v>
      </c>
      <c r="F218" s="1">
        <v>5.74</v>
      </c>
      <c r="G218" s="1">
        <v>7.46</v>
      </c>
      <c r="I218" s="284">
        <v>17.850000000000001</v>
      </c>
      <c r="J218" s="1">
        <v>0.57999999999999996</v>
      </c>
      <c r="K218" s="1">
        <v>0.57999999999999996</v>
      </c>
      <c r="L218" s="1">
        <v>0.91</v>
      </c>
      <c r="N218" s="284">
        <v>127.36</v>
      </c>
      <c r="O218" s="1">
        <v>4.1100000000000003</v>
      </c>
      <c r="P218" s="1">
        <v>4.09</v>
      </c>
      <c r="Q218" s="1">
        <v>12.42</v>
      </c>
      <c r="S218" s="284">
        <v>206.11</v>
      </c>
      <c r="T218" s="1">
        <v>6.65</v>
      </c>
      <c r="U218" s="1">
        <v>6.39</v>
      </c>
      <c r="V218" s="1">
        <v>9.4600000000000009</v>
      </c>
      <c r="X218" s="284">
        <v>718.38</v>
      </c>
      <c r="Y218" s="1">
        <v>23.17</v>
      </c>
      <c r="Z218" s="1">
        <v>19.670000000000002</v>
      </c>
      <c r="AA218" s="1">
        <v>50.77</v>
      </c>
      <c r="AC218" s="284">
        <v>924.49</v>
      </c>
      <c r="AD218" s="1">
        <v>29.82</v>
      </c>
      <c r="AE218" s="1">
        <v>26.05</v>
      </c>
      <c r="AF218" s="1">
        <v>60.23</v>
      </c>
      <c r="AH218" s="299">
        <v>1800.42</v>
      </c>
      <c r="AI218">
        <v>58.08</v>
      </c>
      <c r="AJ218">
        <v>58.13</v>
      </c>
      <c r="AK218">
        <v>153.1</v>
      </c>
      <c r="AM218" s="299">
        <v>16.739999999999998</v>
      </c>
      <c r="AN218">
        <v>0.54</v>
      </c>
      <c r="AO218">
        <v>0.5</v>
      </c>
      <c r="AP218" t="s">
        <v>776</v>
      </c>
      <c r="AR218" s="284">
        <v>134.85</v>
      </c>
      <c r="AS218" s="1">
        <v>4.3499999999999996</v>
      </c>
      <c r="AT218" s="1">
        <v>4</v>
      </c>
      <c r="AU218" s="1" t="s">
        <v>776</v>
      </c>
      <c r="AW218" s="284">
        <v>35.340000000000003</v>
      </c>
      <c r="AX218" s="1">
        <v>1.1399999999999999</v>
      </c>
      <c r="AY218" s="1">
        <v>0.94</v>
      </c>
      <c r="AZ218" s="1" t="s">
        <v>776</v>
      </c>
      <c r="BB218" s="284">
        <v>21.7</v>
      </c>
      <c r="BC218" s="1">
        <v>0.7</v>
      </c>
      <c r="BD218" s="1">
        <v>0.67</v>
      </c>
      <c r="BE218" s="1" t="s">
        <v>776</v>
      </c>
      <c r="BG218" s="284">
        <v>28.83</v>
      </c>
      <c r="BH218" s="1">
        <v>0.93</v>
      </c>
      <c r="BI218" s="1">
        <v>0.76</v>
      </c>
      <c r="BJ218" s="1" t="s">
        <v>776</v>
      </c>
      <c r="BL218" s="284">
        <v>134.16</v>
      </c>
      <c r="BM218" s="1">
        <v>4.33</v>
      </c>
      <c r="BN218" s="1">
        <v>4.26</v>
      </c>
      <c r="BO218" s="1" t="s">
        <v>776</v>
      </c>
      <c r="BQ218" s="284">
        <v>10.54</v>
      </c>
      <c r="BR218" s="1">
        <v>0.34</v>
      </c>
      <c r="BS218" s="1">
        <v>0.33</v>
      </c>
      <c r="BT218" s="1" t="s">
        <v>776</v>
      </c>
      <c r="BV218" s="284">
        <v>5.89</v>
      </c>
      <c r="BW218" s="1">
        <v>0.19</v>
      </c>
      <c r="BX218" s="1">
        <v>0.21</v>
      </c>
      <c r="BY218" s="1" t="s">
        <v>776</v>
      </c>
      <c r="CA218" s="284">
        <v>12.71</v>
      </c>
      <c r="CB218" s="1">
        <v>0.41</v>
      </c>
      <c r="CC218" s="1">
        <v>0.39</v>
      </c>
      <c r="CD218" s="1" t="s">
        <v>776</v>
      </c>
      <c r="CF218" s="284">
        <v>45.69</v>
      </c>
      <c r="CG218" s="1">
        <v>1.47</v>
      </c>
      <c r="CH218" s="1">
        <v>1.47</v>
      </c>
      <c r="CI218" s="1" t="s">
        <v>776</v>
      </c>
      <c r="CK218" s="284">
        <v>150.24</v>
      </c>
      <c r="CL218" s="1">
        <v>4.8499999999999996</v>
      </c>
      <c r="CM218" s="1">
        <v>5.84</v>
      </c>
      <c r="CN218" s="1">
        <v>7.8</v>
      </c>
      <c r="CP218" s="284">
        <v>256.22000000000003</v>
      </c>
      <c r="CQ218" s="1">
        <v>8.27</v>
      </c>
      <c r="CR218" s="1">
        <v>7.27</v>
      </c>
      <c r="CS218" s="1">
        <v>11.17</v>
      </c>
      <c r="CU218" s="284">
        <v>168.88</v>
      </c>
      <c r="CV218" s="1">
        <v>5.45</v>
      </c>
      <c r="CW218" s="1">
        <v>5.69</v>
      </c>
      <c r="CX218" s="1">
        <v>8.52</v>
      </c>
      <c r="CZ218" s="269">
        <v>24.52</v>
      </c>
      <c r="DA218" s="1">
        <v>0.79</v>
      </c>
      <c r="DC218" s="284">
        <v>14.06</v>
      </c>
      <c r="DD218" s="1">
        <v>0.45</v>
      </c>
      <c r="DE218" s="1">
        <v>0.45</v>
      </c>
      <c r="DF218" s="1" t="s">
        <v>776</v>
      </c>
      <c r="DH218" s="284">
        <f>DI218*31</f>
        <v>74.710000000000008</v>
      </c>
      <c r="DI218" s="1">
        <f t="shared" si="285"/>
        <v>2.41</v>
      </c>
      <c r="DJ218" s="1">
        <f t="shared" si="286"/>
        <v>2.4048333333333334</v>
      </c>
      <c r="DM218" s="284">
        <f>DN218*31</f>
        <v>3351.7200000000003</v>
      </c>
      <c r="DN218" s="1">
        <f t="shared" si="287"/>
        <v>108.12</v>
      </c>
      <c r="DO218" s="1">
        <f t="shared" si="288"/>
        <v>103.32291666666667</v>
      </c>
      <c r="DR218" s="284">
        <f>DS218*31</f>
        <v>614.11</v>
      </c>
      <c r="DS218" s="1">
        <f t="shared" si="289"/>
        <v>19.809999999999999</v>
      </c>
      <c r="DT218" s="1" t="e">
        <f>SUM(CH218+CM218+CR218+CW218+#REF!)</f>
        <v>#REF!</v>
      </c>
      <c r="DW218" s="284">
        <f>DX218*31</f>
        <v>3965.8300000000004</v>
      </c>
      <c r="DX218" s="1">
        <f t="shared" si="290"/>
        <v>127.93</v>
      </c>
      <c r="DY218" s="1">
        <f t="shared" si="291"/>
        <v>123.43491666666667</v>
      </c>
      <c r="EB218" s="2">
        <v>5.01</v>
      </c>
      <c r="EL218">
        <v>2015</v>
      </c>
      <c r="EM218" s="157" t="s">
        <v>716</v>
      </c>
      <c r="EN218" t="s">
        <v>841</v>
      </c>
      <c r="EO218">
        <v>184.5</v>
      </c>
      <c r="EP218" t="e">
        <f t="shared" si="292"/>
        <v>#VALUE!</v>
      </c>
    </row>
    <row r="219" spans="1:146" x14ac:dyDescent="0.25">
      <c r="A219" s="8">
        <v>2015</v>
      </c>
      <c r="B219" t="s">
        <v>708</v>
      </c>
      <c r="D219" s="284">
        <v>166.57</v>
      </c>
      <c r="E219" s="1">
        <v>5.37</v>
      </c>
      <c r="F219" s="1">
        <v>5.71</v>
      </c>
      <c r="G219" s="1">
        <v>7.56</v>
      </c>
      <c r="I219" s="284">
        <v>16.43</v>
      </c>
      <c r="J219" s="1">
        <v>0.53</v>
      </c>
      <c r="K219" s="1">
        <v>0.57999999999999996</v>
      </c>
      <c r="L219" s="1">
        <v>0.66</v>
      </c>
      <c r="N219" s="284">
        <v>115.6</v>
      </c>
      <c r="O219" s="1">
        <v>3.73</v>
      </c>
      <c r="P219" s="1">
        <v>4.08</v>
      </c>
      <c r="Q219" s="1">
        <v>5.75</v>
      </c>
      <c r="S219" s="284">
        <v>157.75</v>
      </c>
      <c r="T219" s="1">
        <v>5.09</v>
      </c>
      <c r="U219" s="1">
        <v>6.36</v>
      </c>
      <c r="V219" s="1">
        <v>7.48</v>
      </c>
      <c r="X219" s="284">
        <v>568.85</v>
      </c>
      <c r="Y219" s="1">
        <v>18.350000000000001</v>
      </c>
      <c r="Z219" s="1">
        <v>19.600000000000001</v>
      </c>
      <c r="AA219" s="1">
        <v>23.71</v>
      </c>
      <c r="AC219" s="284">
        <v>726.6</v>
      </c>
      <c r="AD219" s="1">
        <v>23.44</v>
      </c>
      <c r="AE219" s="1">
        <v>25.96</v>
      </c>
      <c r="AF219" s="1">
        <v>31.19</v>
      </c>
      <c r="AH219" s="299">
        <v>1545.52</v>
      </c>
      <c r="AI219">
        <v>49.86</v>
      </c>
      <c r="AJ219">
        <v>57.85</v>
      </c>
      <c r="AK219">
        <v>141.5</v>
      </c>
      <c r="AM219" s="299">
        <v>12.71</v>
      </c>
      <c r="AN219">
        <v>0.41</v>
      </c>
      <c r="AO219">
        <v>0.49</v>
      </c>
      <c r="AP219" t="s">
        <v>776</v>
      </c>
      <c r="AR219" s="284">
        <v>104.78</v>
      </c>
      <c r="AS219" s="1">
        <v>3.38</v>
      </c>
      <c r="AT219" s="1">
        <v>3.99</v>
      </c>
      <c r="AU219" s="1" t="s">
        <v>776</v>
      </c>
      <c r="AW219" s="284">
        <v>28.83</v>
      </c>
      <c r="AX219" s="1">
        <v>0.93</v>
      </c>
      <c r="AY219" s="1">
        <v>0.98</v>
      </c>
      <c r="AZ219" s="1" t="s">
        <v>776</v>
      </c>
      <c r="BB219" s="284">
        <v>9.3000000000000007</v>
      </c>
      <c r="BC219" s="1">
        <v>0.3</v>
      </c>
      <c r="BD219" s="1">
        <v>0.64</v>
      </c>
      <c r="BE219" s="1" t="s">
        <v>776</v>
      </c>
      <c r="BG219" s="284">
        <v>19.22</v>
      </c>
      <c r="BH219" s="1">
        <v>0.62</v>
      </c>
      <c r="BI219" s="1">
        <v>0.76</v>
      </c>
      <c r="BJ219" s="1" t="s">
        <v>776</v>
      </c>
      <c r="BL219" s="284">
        <v>134.16</v>
      </c>
      <c r="BM219" s="1">
        <v>4.33</v>
      </c>
      <c r="BN219" s="1">
        <v>4.29</v>
      </c>
      <c r="BO219" s="1" t="s">
        <v>776</v>
      </c>
      <c r="BQ219" s="284">
        <v>11.16</v>
      </c>
      <c r="BR219" s="1">
        <v>0.36</v>
      </c>
      <c r="BS219" s="1">
        <v>0.33</v>
      </c>
      <c r="BT219" s="1" t="s">
        <v>776</v>
      </c>
      <c r="BV219" s="284">
        <v>4.03</v>
      </c>
      <c r="BW219" s="1">
        <v>0.13</v>
      </c>
      <c r="BX219" s="1">
        <v>0.21</v>
      </c>
      <c r="BY219" s="1" t="s">
        <v>776</v>
      </c>
      <c r="CA219" s="284">
        <v>9.92</v>
      </c>
      <c r="CB219" s="1">
        <v>0.32</v>
      </c>
      <c r="CC219" s="1">
        <v>0.39</v>
      </c>
      <c r="CD219" s="1" t="s">
        <v>776</v>
      </c>
      <c r="CF219" s="284">
        <v>45.69</v>
      </c>
      <c r="CG219" s="1">
        <v>1.47</v>
      </c>
      <c r="CH219" s="1">
        <v>1.47</v>
      </c>
      <c r="CI219" s="1" t="s">
        <v>776</v>
      </c>
      <c r="CK219" s="284">
        <v>129.02000000000001</v>
      </c>
      <c r="CL219" s="1">
        <v>4.16</v>
      </c>
      <c r="CM219" s="1">
        <v>5.71</v>
      </c>
      <c r="CN219" s="1">
        <v>6.9</v>
      </c>
      <c r="CP219" s="284">
        <v>247.4</v>
      </c>
      <c r="CQ219" s="1">
        <v>7.98</v>
      </c>
      <c r="CR219" s="1">
        <v>7.41</v>
      </c>
      <c r="CS219" s="1">
        <v>10.87</v>
      </c>
      <c r="CU219" s="284">
        <v>148.80000000000001</v>
      </c>
      <c r="CV219" s="1">
        <v>4.8</v>
      </c>
      <c r="CW219" s="1">
        <v>5.64</v>
      </c>
      <c r="CX219" s="1">
        <v>7.05</v>
      </c>
      <c r="CZ219" s="269">
        <v>21.23</v>
      </c>
      <c r="DA219" s="1">
        <v>0.68</v>
      </c>
      <c r="DC219" s="284">
        <v>14.06</v>
      </c>
      <c r="DD219" s="1">
        <v>0.45</v>
      </c>
      <c r="DE219" s="1">
        <v>0.45</v>
      </c>
      <c r="DF219" s="1" t="s">
        <v>776</v>
      </c>
      <c r="DH219" s="284">
        <f>DI219*31</f>
        <v>70.680000000000007</v>
      </c>
      <c r="DI219" s="1">
        <f t="shared" si="285"/>
        <v>2.2800000000000002</v>
      </c>
      <c r="DJ219" s="1">
        <f t="shared" si="286"/>
        <v>2.3972500000000001</v>
      </c>
      <c r="DM219" s="284">
        <f>DN219*31</f>
        <v>2809.2200000000003</v>
      </c>
      <c r="DN219" s="1">
        <f t="shared" si="287"/>
        <v>90.62</v>
      </c>
      <c r="DO219" s="1">
        <f t="shared" si="288"/>
        <v>102.93458333333331</v>
      </c>
      <c r="DR219" s="284">
        <f>DS219*31</f>
        <v>560.16999999999996</v>
      </c>
      <c r="DS219" s="1">
        <f t="shared" si="289"/>
        <v>18.07</v>
      </c>
      <c r="DT219" s="1" t="e">
        <f>SUM(CH219+CM219+CR219+CW219+#REF!)</f>
        <v>#REF!</v>
      </c>
      <c r="DW219" s="284">
        <f>DX219*31</f>
        <v>3369.39</v>
      </c>
      <c r="DX219" s="1">
        <f t="shared" si="290"/>
        <v>108.69</v>
      </c>
      <c r="DY219" s="1">
        <f t="shared" si="291"/>
        <v>123.00358333333334</v>
      </c>
      <c r="EB219" s="2">
        <v>1.1599999999999999</v>
      </c>
      <c r="EL219">
        <v>2015</v>
      </c>
      <c r="EM219" s="157" t="s">
        <v>708</v>
      </c>
      <c r="EN219" t="s">
        <v>841</v>
      </c>
      <c r="EO219">
        <v>166.57</v>
      </c>
      <c r="EP219" t="e">
        <f t="shared" si="292"/>
        <v>#VALUE!</v>
      </c>
    </row>
    <row r="220" spans="1:146" x14ac:dyDescent="0.25">
      <c r="A220" s="8">
        <v>2015</v>
      </c>
      <c r="B220" t="s">
        <v>709</v>
      </c>
      <c r="D220" s="284">
        <v>155.28</v>
      </c>
      <c r="E220" s="1">
        <v>5.18</v>
      </c>
      <c r="F220" s="1">
        <v>5.7</v>
      </c>
      <c r="G220" s="1">
        <v>8.0399999999999991</v>
      </c>
      <c r="I220" s="284">
        <v>13.77</v>
      </c>
      <c r="J220" s="1">
        <v>0.46</v>
      </c>
      <c r="K220" s="1">
        <v>0.56999999999999995</v>
      </c>
      <c r="L220" s="1">
        <v>0.76</v>
      </c>
      <c r="N220" s="284">
        <v>100.39</v>
      </c>
      <c r="O220" s="1">
        <v>3.35</v>
      </c>
      <c r="P220" s="1">
        <v>4.03</v>
      </c>
      <c r="Q220" s="1">
        <v>6.85</v>
      </c>
      <c r="S220" s="284">
        <v>131.15</v>
      </c>
      <c r="T220" s="1">
        <v>4.37</v>
      </c>
      <c r="U220" s="1">
        <v>6.25</v>
      </c>
      <c r="V220" s="1">
        <v>8.07</v>
      </c>
      <c r="X220" s="284">
        <v>510.27</v>
      </c>
      <c r="Y220" s="1">
        <v>17.010000000000002</v>
      </c>
      <c r="Z220" s="1">
        <v>19.440000000000001</v>
      </c>
      <c r="AA220" s="1">
        <v>25.74</v>
      </c>
      <c r="AC220" s="284">
        <v>641.41999999999996</v>
      </c>
      <c r="AD220" s="1">
        <v>21.38</v>
      </c>
      <c r="AE220" s="1">
        <v>25.69</v>
      </c>
      <c r="AF220" s="1">
        <v>33.81</v>
      </c>
      <c r="AH220" s="299">
        <v>1441.48</v>
      </c>
      <c r="AI220">
        <v>48.05</v>
      </c>
      <c r="AJ220">
        <v>57.53</v>
      </c>
      <c r="AK220">
        <v>164.1</v>
      </c>
      <c r="AM220" s="299">
        <v>12</v>
      </c>
      <c r="AN220">
        <v>0.4</v>
      </c>
      <c r="AO220">
        <v>0.49</v>
      </c>
      <c r="AP220" t="s">
        <v>776</v>
      </c>
      <c r="AR220" s="284">
        <v>99.6</v>
      </c>
      <c r="AS220" s="1">
        <v>3.32</v>
      </c>
      <c r="AT220" s="1">
        <v>3.99</v>
      </c>
      <c r="AU220" s="1" t="s">
        <v>776</v>
      </c>
      <c r="AW220" s="284">
        <v>25.5</v>
      </c>
      <c r="AX220" s="1">
        <v>0.85</v>
      </c>
      <c r="AY220" s="1">
        <v>0.97</v>
      </c>
      <c r="AZ220" s="1" t="s">
        <v>776</v>
      </c>
      <c r="BB220" s="284">
        <v>17.399999999999999</v>
      </c>
      <c r="BC220" s="1">
        <v>0.57999999999999996</v>
      </c>
      <c r="BD220" s="1">
        <v>0.64</v>
      </c>
      <c r="BE220" s="1" t="s">
        <v>776</v>
      </c>
      <c r="BG220" s="284">
        <v>18.600000000000001</v>
      </c>
      <c r="BH220" s="1">
        <v>0.62</v>
      </c>
      <c r="BI220" s="1">
        <v>0.77</v>
      </c>
      <c r="BJ220" s="1" t="s">
        <v>776</v>
      </c>
      <c r="BL220" s="284">
        <v>129.83000000000001</v>
      </c>
      <c r="BM220" s="1">
        <v>4.33</v>
      </c>
      <c r="BN220" s="1">
        <v>4.33</v>
      </c>
      <c r="BO220" s="1" t="s">
        <v>776</v>
      </c>
      <c r="BQ220" s="284">
        <v>18.899999999999999</v>
      </c>
      <c r="BR220" s="1">
        <v>0.63</v>
      </c>
      <c r="BS220" s="1">
        <v>0.35</v>
      </c>
      <c r="BT220" s="1" t="s">
        <v>776</v>
      </c>
      <c r="BV220" s="284">
        <v>4.2</v>
      </c>
      <c r="BW220" s="1">
        <v>0.14000000000000001</v>
      </c>
      <c r="BX220" s="1">
        <v>0.21</v>
      </c>
      <c r="BY220" s="1" t="s">
        <v>776</v>
      </c>
      <c r="CA220" s="284">
        <v>10.199999999999999</v>
      </c>
      <c r="CB220" s="1">
        <v>0.34</v>
      </c>
      <c r="CC220" s="1">
        <v>0.39</v>
      </c>
      <c r="CD220" s="1" t="s">
        <v>776</v>
      </c>
      <c r="CF220" s="284">
        <v>44.22</v>
      </c>
      <c r="CG220" s="1">
        <v>1.47</v>
      </c>
      <c r="CH220" s="1">
        <v>1.47</v>
      </c>
      <c r="CI220" s="1" t="s">
        <v>776</v>
      </c>
      <c r="CK220" s="284">
        <v>117.74</v>
      </c>
      <c r="CL220" s="1">
        <v>3.92</v>
      </c>
      <c r="CM220" s="1">
        <v>5.59</v>
      </c>
      <c r="CN220" s="1">
        <v>8.43</v>
      </c>
      <c r="CP220" s="284">
        <v>221.47</v>
      </c>
      <c r="CQ220" s="1">
        <v>7.38</v>
      </c>
      <c r="CR220" s="1">
        <v>7.5</v>
      </c>
      <c r="CS220" s="1">
        <v>12.21</v>
      </c>
      <c r="CU220" s="284">
        <v>140.87</v>
      </c>
      <c r="CV220" s="1">
        <v>4.7</v>
      </c>
      <c r="CW220" s="1">
        <v>5.6</v>
      </c>
      <c r="CX220" s="1">
        <v>9.91</v>
      </c>
      <c r="CZ220" s="269">
        <v>18.809999999999999</v>
      </c>
      <c r="DA220" s="1">
        <v>0.63</v>
      </c>
      <c r="DC220" s="284">
        <v>13.6</v>
      </c>
      <c r="DD220" s="1">
        <v>0.45</v>
      </c>
      <c r="DE220" s="1">
        <v>0.45</v>
      </c>
      <c r="DF220" s="1" t="s">
        <v>776</v>
      </c>
      <c r="DH220" s="284">
        <f>DI220*30</f>
        <v>77.400000000000006</v>
      </c>
      <c r="DI220" s="1">
        <f t="shared" si="285"/>
        <v>2.58</v>
      </c>
      <c r="DJ220" s="1">
        <f t="shared" si="286"/>
        <v>2.4166666666666665</v>
      </c>
      <c r="DM220" s="284">
        <f>DN220*30</f>
        <v>2578.1999999999994</v>
      </c>
      <c r="DN220" s="1">
        <f t="shared" si="287"/>
        <v>85.939999999999984</v>
      </c>
      <c r="DO220" s="1">
        <f t="shared" si="288"/>
        <v>102.29166666666667</v>
      </c>
      <c r="DR220" s="284">
        <f>DS220*30</f>
        <v>512.4</v>
      </c>
      <c r="DS220" s="1">
        <f t="shared" si="289"/>
        <v>17.079999999999998</v>
      </c>
      <c r="DT220" s="1" t="e">
        <f>SUM(CH220+CM220+CR220+CW220+#REF!)</f>
        <v>#REF!</v>
      </c>
      <c r="DW220" s="284">
        <f>DX220*30</f>
        <v>3090.5999999999995</v>
      </c>
      <c r="DX220" s="1">
        <f t="shared" si="290"/>
        <v>103.01999999999998</v>
      </c>
      <c r="DY220" s="1">
        <f t="shared" si="291"/>
        <v>122.27999999999999</v>
      </c>
      <c r="EB220" s="2">
        <v>2.15</v>
      </c>
      <c r="EL220">
        <v>2015</v>
      </c>
      <c r="EM220" s="157" t="s">
        <v>709</v>
      </c>
      <c r="EN220" t="s">
        <v>841</v>
      </c>
      <c r="EO220">
        <v>155.28</v>
      </c>
      <c r="EP220" t="e">
        <f t="shared" si="292"/>
        <v>#VALUE!</v>
      </c>
    </row>
    <row r="221" spans="1:146" x14ac:dyDescent="0.25">
      <c r="A221" s="8">
        <v>2015</v>
      </c>
      <c r="B221" t="s">
        <v>710</v>
      </c>
      <c r="D221" s="284">
        <v>168.72</v>
      </c>
      <c r="E221" s="1">
        <v>5.44</v>
      </c>
      <c r="F221" s="1">
        <v>5.69</v>
      </c>
      <c r="G221" s="1">
        <v>7.9</v>
      </c>
      <c r="I221" s="284">
        <v>14.35</v>
      </c>
      <c r="J221" s="1">
        <v>0.46</v>
      </c>
      <c r="K221" s="1">
        <v>0.56000000000000005</v>
      </c>
      <c r="L221" s="1">
        <v>0.72</v>
      </c>
      <c r="N221" s="284">
        <v>104.61</v>
      </c>
      <c r="O221" s="1">
        <v>3.37</v>
      </c>
      <c r="P221" s="1">
        <v>3.98</v>
      </c>
      <c r="Q221" s="1">
        <v>6.85</v>
      </c>
      <c r="S221" s="284">
        <v>136.59</v>
      </c>
      <c r="T221" s="1">
        <v>4.41</v>
      </c>
      <c r="U221" s="1">
        <v>6.19</v>
      </c>
      <c r="V221" s="1">
        <v>6.88</v>
      </c>
      <c r="X221" s="284">
        <v>526.38</v>
      </c>
      <c r="Y221" s="1">
        <v>16.98</v>
      </c>
      <c r="Z221" s="1">
        <v>19.440000000000001</v>
      </c>
      <c r="AA221" s="1">
        <v>23.06</v>
      </c>
      <c r="AC221" s="284">
        <v>662.97</v>
      </c>
      <c r="AD221" s="1">
        <v>21.39</v>
      </c>
      <c r="AE221" s="1">
        <v>25.63</v>
      </c>
      <c r="AF221" s="1">
        <v>29.94</v>
      </c>
      <c r="AH221" s="299">
        <v>1572.16</v>
      </c>
      <c r="AI221">
        <v>50.71</v>
      </c>
      <c r="AJ221">
        <v>57.39</v>
      </c>
      <c r="AK221">
        <v>139.19999999999999</v>
      </c>
      <c r="AM221" s="299">
        <v>14.57</v>
      </c>
      <c r="AN221">
        <v>0.47</v>
      </c>
      <c r="AO221">
        <v>0.5</v>
      </c>
      <c r="AP221" t="s">
        <v>776</v>
      </c>
      <c r="AR221" s="284">
        <v>112.84</v>
      </c>
      <c r="AS221" s="1">
        <v>3.64</v>
      </c>
      <c r="AT221" s="1">
        <v>4.01</v>
      </c>
      <c r="AU221" s="1" t="s">
        <v>776</v>
      </c>
      <c r="AW221" s="284">
        <v>30.38</v>
      </c>
      <c r="AX221" s="1">
        <v>0.98</v>
      </c>
      <c r="AY221" s="1">
        <v>0.99</v>
      </c>
      <c r="AZ221" s="1" t="s">
        <v>776</v>
      </c>
      <c r="BB221" s="284">
        <v>19.84</v>
      </c>
      <c r="BC221" s="1">
        <v>0.64</v>
      </c>
      <c r="BD221" s="1">
        <v>0.64</v>
      </c>
      <c r="BE221" s="1" t="s">
        <v>776</v>
      </c>
      <c r="BG221" s="284">
        <v>22.94</v>
      </c>
      <c r="BH221" s="1">
        <v>0.74</v>
      </c>
      <c r="BI221" s="1">
        <v>0.78</v>
      </c>
      <c r="BJ221" s="1" t="s">
        <v>776</v>
      </c>
      <c r="BL221" s="284">
        <v>136.1</v>
      </c>
      <c r="BM221" s="1">
        <v>4.3899999999999997</v>
      </c>
      <c r="BN221" s="1">
        <v>4.34</v>
      </c>
      <c r="BO221" s="1" t="s">
        <v>776</v>
      </c>
      <c r="BQ221" s="284">
        <v>11.78</v>
      </c>
      <c r="BR221" s="1">
        <v>0.38</v>
      </c>
      <c r="BS221" s="1">
        <v>0.36</v>
      </c>
      <c r="BT221" s="1" t="s">
        <v>776</v>
      </c>
      <c r="BV221" s="284">
        <v>4.96</v>
      </c>
      <c r="BW221" s="1">
        <v>0.16</v>
      </c>
      <c r="BX221" s="1">
        <v>0.21</v>
      </c>
      <c r="BY221" s="1" t="s">
        <v>776</v>
      </c>
      <c r="CA221" s="284">
        <v>11.16</v>
      </c>
      <c r="CB221" s="1">
        <v>0.36</v>
      </c>
      <c r="CC221" s="1">
        <v>0.39</v>
      </c>
      <c r="CD221" s="1" t="s">
        <v>776</v>
      </c>
      <c r="CF221" s="284">
        <v>45.69</v>
      </c>
      <c r="CG221" s="1">
        <v>1.47</v>
      </c>
      <c r="CH221" s="1">
        <v>1.47</v>
      </c>
      <c r="CI221" s="1" t="s">
        <v>776</v>
      </c>
      <c r="CK221" s="284">
        <v>123.31</v>
      </c>
      <c r="CL221" s="1">
        <v>3.98</v>
      </c>
      <c r="CM221" s="1">
        <v>5.52</v>
      </c>
      <c r="CN221" s="1">
        <v>6.64</v>
      </c>
      <c r="CP221" s="284">
        <v>226.62</v>
      </c>
      <c r="CQ221" s="1">
        <v>7.31</v>
      </c>
      <c r="CR221" s="1">
        <v>7.58</v>
      </c>
      <c r="CS221" s="1">
        <v>11.41</v>
      </c>
      <c r="CU221" s="284">
        <v>152.38</v>
      </c>
      <c r="CV221" s="1">
        <v>4.92</v>
      </c>
      <c r="CW221" s="1">
        <v>5.57</v>
      </c>
      <c r="CX221" s="1">
        <v>9.99</v>
      </c>
      <c r="CZ221" s="269">
        <v>20.85</v>
      </c>
      <c r="DA221" s="1">
        <v>0.67</v>
      </c>
      <c r="DC221" s="284">
        <v>21.6</v>
      </c>
      <c r="DD221" s="1">
        <v>0.69699999999999995</v>
      </c>
      <c r="DE221" s="1">
        <v>0.47</v>
      </c>
      <c r="DF221" s="1" t="s">
        <v>776</v>
      </c>
      <c r="DH221" s="284">
        <f>DI221*30</f>
        <v>71.100000000000009</v>
      </c>
      <c r="DI221" s="1">
        <f t="shared" si="285"/>
        <v>2.37</v>
      </c>
      <c r="DJ221" s="1">
        <f t="shared" si="286"/>
        <v>2.4208333333333338</v>
      </c>
      <c r="DM221" s="284">
        <f>DN221*31</f>
        <v>2785.66</v>
      </c>
      <c r="DN221" s="1">
        <f t="shared" si="287"/>
        <v>89.86</v>
      </c>
      <c r="DO221" s="1">
        <f t="shared" si="288"/>
        <v>102.08749999999999</v>
      </c>
      <c r="DR221" s="284">
        <f>DS221*31</f>
        <v>544.88700000000006</v>
      </c>
      <c r="DS221" s="1">
        <f t="shared" si="289"/>
        <v>17.577000000000002</v>
      </c>
      <c r="DT221" s="1" t="e">
        <f>SUM(CH221+CM221+CR221+CW221+#REF!)</f>
        <v>#REF!</v>
      </c>
      <c r="DW221" s="284">
        <f>DX221*31</f>
        <v>3330.547</v>
      </c>
      <c r="DX221" s="1">
        <f t="shared" si="290"/>
        <v>107.437</v>
      </c>
      <c r="DY221" s="1">
        <f t="shared" si="291"/>
        <v>122.07391666666666</v>
      </c>
      <c r="EB221" s="2">
        <v>3.04</v>
      </c>
      <c r="EL221">
        <v>2015</v>
      </c>
      <c r="EM221" s="157" t="s">
        <v>710</v>
      </c>
      <c r="EN221" t="s">
        <v>841</v>
      </c>
      <c r="EO221">
        <v>168.72</v>
      </c>
      <c r="EP221" t="e">
        <f t="shared" si="292"/>
        <v>#VALUE!</v>
      </c>
    </row>
    <row r="222" spans="1:146" x14ac:dyDescent="0.25">
      <c r="A222" s="8">
        <v>2015</v>
      </c>
      <c r="B222" t="s">
        <v>711</v>
      </c>
      <c r="D222" s="284">
        <v>148.22999999999999</v>
      </c>
      <c r="E222" s="1">
        <v>4.9400000000000004</v>
      </c>
      <c r="F222" s="1">
        <v>5.66</v>
      </c>
      <c r="G222" s="1">
        <v>7.13</v>
      </c>
      <c r="I222" s="284">
        <v>14.72</v>
      </c>
      <c r="J222" s="1">
        <v>0.49</v>
      </c>
      <c r="K222" s="1">
        <v>0.55000000000000004</v>
      </c>
      <c r="L222" s="1">
        <v>0.65</v>
      </c>
      <c r="N222" s="284">
        <v>96.89</v>
      </c>
      <c r="O222" s="1">
        <v>3.23</v>
      </c>
      <c r="P222" s="1">
        <v>3.93</v>
      </c>
      <c r="Q222" s="1">
        <v>5.5</v>
      </c>
      <c r="S222" s="284">
        <v>136.19</v>
      </c>
      <c r="T222" s="1">
        <v>4.54</v>
      </c>
      <c r="U222" s="1">
        <v>6.12</v>
      </c>
      <c r="V222" s="1">
        <v>7.36</v>
      </c>
      <c r="X222" s="284">
        <v>477.54</v>
      </c>
      <c r="Y222" s="1">
        <v>15.92</v>
      </c>
      <c r="Z222" s="1">
        <v>19.3</v>
      </c>
      <c r="AA222" s="1">
        <v>23.98</v>
      </c>
      <c r="AC222" s="284">
        <v>613.73</v>
      </c>
      <c r="AD222" s="1">
        <v>20.46</v>
      </c>
      <c r="AE222" s="1">
        <v>25.42</v>
      </c>
      <c r="AF222" s="1">
        <v>31.34</v>
      </c>
      <c r="AH222" s="299">
        <v>1488.68</v>
      </c>
      <c r="AI222">
        <v>49.62</v>
      </c>
      <c r="AJ222">
        <v>57.1</v>
      </c>
      <c r="AK222">
        <v>147.69999999999999</v>
      </c>
      <c r="AM222" s="299">
        <v>13.8</v>
      </c>
      <c r="AN222">
        <v>0.46</v>
      </c>
      <c r="AO222">
        <v>0.5</v>
      </c>
      <c r="AP222" t="s">
        <v>776</v>
      </c>
      <c r="AR222" s="284">
        <v>98.1</v>
      </c>
      <c r="AS222" s="1">
        <v>3.27</v>
      </c>
      <c r="AT222" s="1">
        <v>3.99</v>
      </c>
      <c r="AU222" s="1" t="s">
        <v>776</v>
      </c>
      <c r="AW222" s="284">
        <v>26.1</v>
      </c>
      <c r="AX222" s="1">
        <v>0.87</v>
      </c>
      <c r="AY222" s="1">
        <v>0.99</v>
      </c>
      <c r="AZ222" s="1" t="s">
        <v>776</v>
      </c>
      <c r="BB222" s="284">
        <v>18</v>
      </c>
      <c r="BC222" s="1">
        <v>0.6</v>
      </c>
      <c r="BD222" s="1">
        <v>0.64</v>
      </c>
      <c r="BE222" s="1" t="s">
        <v>776</v>
      </c>
      <c r="BG222" s="284">
        <v>20.7</v>
      </c>
      <c r="BH222" s="1">
        <v>0.69</v>
      </c>
      <c r="BI222" s="1">
        <v>0.79</v>
      </c>
      <c r="BJ222" s="1" t="s">
        <v>776</v>
      </c>
      <c r="BL222" s="284">
        <v>131.71</v>
      </c>
      <c r="BM222" s="1">
        <v>4.3899999999999997</v>
      </c>
      <c r="BN222" s="1">
        <v>4.34</v>
      </c>
      <c r="BO222" s="1" t="s">
        <v>776</v>
      </c>
      <c r="BQ222" s="284">
        <v>9</v>
      </c>
      <c r="BR222" s="1">
        <v>0.3</v>
      </c>
      <c r="BS222" s="1">
        <v>0.36</v>
      </c>
      <c r="BT222" s="1" t="s">
        <v>776</v>
      </c>
      <c r="BV222" s="284">
        <v>5.0999999999999996</v>
      </c>
      <c r="BW222" s="1">
        <v>0.17</v>
      </c>
      <c r="BX222" s="1">
        <v>0.21</v>
      </c>
      <c r="BY222" s="1" t="s">
        <v>776</v>
      </c>
      <c r="CA222" s="284">
        <v>9.9</v>
      </c>
      <c r="CB222" s="1">
        <v>0.33</v>
      </c>
      <c r="CC222" s="1">
        <v>0.38</v>
      </c>
      <c r="CD222" s="1" t="s">
        <v>776</v>
      </c>
      <c r="CF222" s="284">
        <v>44.22</v>
      </c>
      <c r="CG222" s="1">
        <v>1.47</v>
      </c>
      <c r="CH222" s="1">
        <v>1.47</v>
      </c>
      <c r="CI222" s="1" t="s">
        <v>776</v>
      </c>
      <c r="CK222" s="284">
        <v>155.13</v>
      </c>
      <c r="CL222" s="1">
        <v>5.17</v>
      </c>
      <c r="CM222" s="1">
        <v>5.61</v>
      </c>
      <c r="CN222" s="1">
        <v>9.99</v>
      </c>
      <c r="CP222" s="284">
        <v>225.55</v>
      </c>
      <c r="CQ222" s="1">
        <v>7.52</v>
      </c>
      <c r="CR222" s="1">
        <v>7.68</v>
      </c>
      <c r="CS222" s="1">
        <v>10.97</v>
      </c>
      <c r="CU222" s="284">
        <v>150.01</v>
      </c>
      <c r="CV222" s="1">
        <v>5</v>
      </c>
      <c r="CW222" s="1">
        <v>5.54</v>
      </c>
      <c r="CX222" s="1">
        <v>7.54</v>
      </c>
      <c r="CZ222" s="269">
        <v>20.38</v>
      </c>
      <c r="DA222" s="1">
        <v>0.68</v>
      </c>
      <c r="DC222" s="284">
        <v>20.9</v>
      </c>
      <c r="DD222" s="1">
        <v>0.7</v>
      </c>
      <c r="DE222" s="1">
        <v>0.49</v>
      </c>
      <c r="DF222" s="1" t="s">
        <v>776</v>
      </c>
      <c r="DH222" s="284">
        <f>DI222*30</f>
        <v>68.099999999999994</v>
      </c>
      <c r="DI222" s="1">
        <f t="shared" si="285"/>
        <v>2.27</v>
      </c>
      <c r="DJ222" s="1">
        <f t="shared" si="286"/>
        <v>2.4175000000000004</v>
      </c>
      <c r="DM222" s="284">
        <f>DN222*30</f>
        <v>2602.4999999999995</v>
      </c>
      <c r="DN222" s="1">
        <f t="shared" si="287"/>
        <v>86.749999999999986</v>
      </c>
      <c r="DO222" s="1">
        <f t="shared" si="288"/>
        <v>101.50166666666665</v>
      </c>
      <c r="DR222" s="284">
        <f>DS222*30</f>
        <v>572.09999999999991</v>
      </c>
      <c r="DS222" s="1">
        <f t="shared" si="289"/>
        <v>19.069999999999997</v>
      </c>
      <c r="DT222" s="1" t="e">
        <f>SUM(CH222+CM222+CR222+CW222+#REF!)</f>
        <v>#REF!</v>
      </c>
      <c r="DW222" s="284">
        <f>DX222*30</f>
        <v>3174.5999999999995</v>
      </c>
      <c r="DX222" s="1">
        <f t="shared" si="290"/>
        <v>105.81999999999998</v>
      </c>
      <c r="DY222" s="1">
        <f t="shared" si="291"/>
        <v>121.66141666666665</v>
      </c>
      <c r="EB222" s="2">
        <v>2.1</v>
      </c>
      <c r="EL222">
        <v>2015</v>
      </c>
      <c r="EM222" s="157" t="s">
        <v>711</v>
      </c>
      <c r="EN222" t="s">
        <v>841</v>
      </c>
      <c r="EO222">
        <v>148.22999999999999</v>
      </c>
      <c r="EP222" t="e">
        <f t="shared" si="292"/>
        <v>#VALUE!</v>
      </c>
    </row>
    <row r="223" spans="1:146" x14ac:dyDescent="0.25">
      <c r="A223" s="8">
        <v>2015</v>
      </c>
      <c r="B223" t="s">
        <v>712</v>
      </c>
      <c r="D223" s="284">
        <v>153.11000000000001</v>
      </c>
      <c r="E223" s="1">
        <v>4.9400000000000004</v>
      </c>
      <c r="F223" s="1">
        <v>5.61</v>
      </c>
      <c r="G223" s="1">
        <v>8.06</v>
      </c>
      <c r="I223" s="284">
        <v>16.59</v>
      </c>
      <c r="J223" s="1">
        <v>0.54</v>
      </c>
      <c r="K223" s="1">
        <v>0.55000000000000004</v>
      </c>
      <c r="L223" s="1">
        <v>0.9</v>
      </c>
      <c r="N223" s="284">
        <v>102.11</v>
      </c>
      <c r="O223" s="1">
        <v>3.29</v>
      </c>
      <c r="P223" s="1">
        <v>3.88</v>
      </c>
      <c r="Q223" s="1">
        <v>5.72</v>
      </c>
      <c r="S223" s="284">
        <v>155.12</v>
      </c>
      <c r="T223" s="1">
        <v>5</v>
      </c>
      <c r="U223" s="1">
        <v>6.03</v>
      </c>
      <c r="V223" s="1">
        <v>9.31</v>
      </c>
      <c r="X223" s="284">
        <v>584.29</v>
      </c>
      <c r="Y223" s="1">
        <v>18.850000000000001</v>
      </c>
      <c r="Z223" s="1">
        <v>19.260000000000002</v>
      </c>
      <c r="AA223" s="1">
        <v>26.26</v>
      </c>
      <c r="AC223" s="284">
        <v>739.41</v>
      </c>
      <c r="AD223" s="1">
        <v>23.85</v>
      </c>
      <c r="AE223" s="1">
        <v>25.29</v>
      </c>
      <c r="AF223" s="1">
        <v>35.57</v>
      </c>
      <c r="AH223" s="299">
        <v>1676.18</v>
      </c>
      <c r="AI223">
        <v>54.07</v>
      </c>
      <c r="AJ223">
        <v>56.72</v>
      </c>
      <c r="AK223">
        <v>148.19999999999999</v>
      </c>
      <c r="AM223" s="299">
        <v>16.12</v>
      </c>
      <c r="AN223">
        <v>0.52</v>
      </c>
      <c r="AO223">
        <v>0.51</v>
      </c>
      <c r="AP223" t="s">
        <v>776</v>
      </c>
      <c r="AR223" s="284">
        <v>120.9</v>
      </c>
      <c r="AS223" s="1">
        <v>3.9</v>
      </c>
      <c r="AT223" s="1">
        <v>4</v>
      </c>
      <c r="AU223" s="1" t="s">
        <v>776</v>
      </c>
      <c r="AW223" s="284">
        <v>32.24</v>
      </c>
      <c r="AX223" s="1">
        <v>1.04</v>
      </c>
      <c r="AY223" s="1">
        <v>1</v>
      </c>
      <c r="AZ223" s="1" t="s">
        <v>776</v>
      </c>
      <c r="BB223" s="284">
        <v>21.08</v>
      </c>
      <c r="BC223" s="1">
        <v>0.68</v>
      </c>
      <c r="BD223" s="1">
        <v>0.64</v>
      </c>
      <c r="BE223" s="1" t="s">
        <v>776</v>
      </c>
      <c r="BG223" s="284">
        <v>25.42</v>
      </c>
      <c r="BH223" s="1">
        <v>0.82</v>
      </c>
      <c r="BI223" s="1">
        <v>0.8</v>
      </c>
      <c r="BJ223" s="1" t="s">
        <v>776</v>
      </c>
      <c r="BL223" s="284">
        <v>136.1</v>
      </c>
      <c r="BM223" s="1">
        <v>4.3899999999999997</v>
      </c>
      <c r="BN223" s="1">
        <v>4.3499999999999996</v>
      </c>
      <c r="BO223" s="1" t="s">
        <v>776</v>
      </c>
      <c r="BQ223" s="284">
        <v>9.61</v>
      </c>
      <c r="BR223" s="1">
        <v>0.31</v>
      </c>
      <c r="BS223" s="1">
        <v>0.36</v>
      </c>
      <c r="BT223" s="1" t="s">
        <v>776</v>
      </c>
      <c r="BV223" s="284">
        <v>6.2</v>
      </c>
      <c r="BW223" s="1">
        <v>0.2</v>
      </c>
      <c r="BX223" s="1">
        <v>0.2</v>
      </c>
      <c r="BY223" s="1" t="s">
        <v>776</v>
      </c>
      <c r="CA223" s="284">
        <v>12.09</v>
      </c>
      <c r="CB223" s="1">
        <v>0.39</v>
      </c>
      <c r="CC223" s="1">
        <v>0.38</v>
      </c>
      <c r="CD223" s="1" t="s">
        <v>776</v>
      </c>
      <c r="CF223" s="284">
        <v>45.69</v>
      </c>
      <c r="CG223" s="1">
        <v>1.47</v>
      </c>
      <c r="CH223" s="1">
        <v>1.47</v>
      </c>
      <c r="CI223" s="1" t="s">
        <v>776</v>
      </c>
      <c r="CK223" s="284">
        <v>170.27</v>
      </c>
      <c r="CL223" s="1">
        <v>5.49</v>
      </c>
      <c r="CM223" s="1">
        <v>5.58</v>
      </c>
      <c r="CN223" s="1">
        <v>10.41</v>
      </c>
      <c r="CP223" s="284">
        <v>228.22</v>
      </c>
      <c r="CQ223" s="1">
        <v>7.36</v>
      </c>
      <c r="CR223" s="1">
        <v>7.73</v>
      </c>
      <c r="CS223" s="1">
        <v>12.08</v>
      </c>
      <c r="CU223" s="284">
        <v>164.38</v>
      </c>
      <c r="CV223" s="1">
        <v>5.3</v>
      </c>
      <c r="CW223" s="1">
        <v>5.51</v>
      </c>
      <c r="CX223" s="1">
        <v>9.65</v>
      </c>
      <c r="CZ223" s="269">
        <v>23.45</v>
      </c>
      <c r="DA223" s="1">
        <v>0.76</v>
      </c>
      <c r="DC223" s="284">
        <v>21.6</v>
      </c>
      <c r="DD223" s="1">
        <v>0.7</v>
      </c>
      <c r="DE223" s="1">
        <v>0.51</v>
      </c>
      <c r="DF223" s="1" t="s">
        <v>776</v>
      </c>
      <c r="DH223" s="284">
        <f>DI223*30</f>
        <v>71.100000000000009</v>
      </c>
      <c r="DI223" s="1">
        <f t="shared" si="285"/>
        <v>2.37</v>
      </c>
      <c r="DJ223" s="1">
        <f t="shared" si="286"/>
        <v>2.4158333333333339</v>
      </c>
      <c r="DM223" s="284">
        <f>DN223*31</f>
        <v>2965.77</v>
      </c>
      <c r="DN223" s="1">
        <f t="shared" si="287"/>
        <v>95.67</v>
      </c>
      <c r="DO223" s="1">
        <f t="shared" si="288"/>
        <v>100.90749999999998</v>
      </c>
      <c r="DR223" s="284">
        <f>DS223*30</f>
        <v>588.30000000000007</v>
      </c>
      <c r="DS223" s="1">
        <f t="shared" si="289"/>
        <v>19.610000000000003</v>
      </c>
      <c r="DT223" s="1" t="e">
        <f>SUM(CH223+CM223+CR223+CW223+#REF!)</f>
        <v>#REF!</v>
      </c>
      <c r="DW223" s="284">
        <f>DX223*30</f>
        <v>3458.4</v>
      </c>
      <c r="DX223" s="1">
        <f t="shared" si="290"/>
        <v>115.28</v>
      </c>
      <c r="DY223" s="1">
        <f t="shared" si="291"/>
        <v>121.06391666666666</v>
      </c>
      <c r="EB223" s="2">
        <v>4.84</v>
      </c>
      <c r="EL223">
        <v>2015</v>
      </c>
      <c r="EM223" s="157" t="s">
        <v>712</v>
      </c>
      <c r="EN223" t="s">
        <v>841</v>
      </c>
      <c r="EO223">
        <v>153.11000000000001</v>
      </c>
      <c r="EP223" t="e">
        <f t="shared" si="292"/>
        <v>#VALUE!</v>
      </c>
    </row>
    <row r="224" spans="1:146" x14ac:dyDescent="0.25">
      <c r="A224" s="8">
        <v>2016</v>
      </c>
      <c r="B224" t="s">
        <v>719</v>
      </c>
      <c r="D224" s="284">
        <v>175.18</v>
      </c>
      <c r="E224" s="1">
        <v>5.65</v>
      </c>
      <c r="F224" s="1">
        <v>5.56</v>
      </c>
      <c r="G224" s="1">
        <v>8.06</v>
      </c>
      <c r="I224" s="284">
        <v>16.100000000000001</v>
      </c>
      <c r="J224" s="1">
        <v>0.52</v>
      </c>
      <c r="K224" s="1">
        <v>0.55000000000000004</v>
      </c>
      <c r="L224" s="1">
        <v>0.59</v>
      </c>
      <c r="N224" s="284">
        <v>104.95</v>
      </c>
      <c r="O224" s="1">
        <v>3.39</v>
      </c>
      <c r="P224" s="1">
        <v>3.81</v>
      </c>
      <c r="Q224" s="1">
        <v>3.81</v>
      </c>
      <c r="S224" s="284">
        <v>171.89</v>
      </c>
      <c r="T224" s="1">
        <v>5.54</v>
      </c>
      <c r="U224" s="1">
        <v>5.94</v>
      </c>
      <c r="V224" s="1">
        <v>10.19</v>
      </c>
      <c r="X224" s="284">
        <v>654.29</v>
      </c>
      <c r="Y224" s="1">
        <v>21.11</v>
      </c>
      <c r="Z224" s="1">
        <v>19.36</v>
      </c>
      <c r="AA224" s="1">
        <v>29.97</v>
      </c>
      <c r="AC224" s="284">
        <v>826.18</v>
      </c>
      <c r="AD224" s="1">
        <v>26.65</v>
      </c>
      <c r="AE224" s="1">
        <v>25.29</v>
      </c>
      <c r="AF224" s="1">
        <v>40.159999999999997</v>
      </c>
      <c r="AH224" s="299">
        <v>1742.19</v>
      </c>
      <c r="AI224">
        <v>56.2</v>
      </c>
      <c r="AJ224">
        <v>56.32</v>
      </c>
      <c r="AK224">
        <v>153.1</v>
      </c>
      <c r="AM224" s="299">
        <v>17.36</v>
      </c>
      <c r="AN224">
        <v>0.56000000000000005</v>
      </c>
      <c r="AO224">
        <v>0.51</v>
      </c>
      <c r="AP224" t="s">
        <v>776</v>
      </c>
      <c r="AR224" s="284">
        <v>131.44</v>
      </c>
      <c r="AS224" s="1">
        <v>4.24</v>
      </c>
      <c r="AT224" s="1">
        <v>3.99</v>
      </c>
      <c r="AU224" s="1" t="s">
        <v>776</v>
      </c>
      <c r="AW224" s="284">
        <v>34.409999999999997</v>
      </c>
      <c r="AX224" s="1">
        <v>1.1100000000000001</v>
      </c>
      <c r="AY224" s="1">
        <v>1.01</v>
      </c>
      <c r="AZ224" s="1" t="s">
        <v>776</v>
      </c>
      <c r="BB224" s="284">
        <v>22.32</v>
      </c>
      <c r="BC224" s="1">
        <v>0.72</v>
      </c>
      <c r="BD224" s="1">
        <v>0.64</v>
      </c>
      <c r="BE224" s="1" t="s">
        <v>776</v>
      </c>
      <c r="BG224" s="284">
        <v>25.73</v>
      </c>
      <c r="BH224" s="1">
        <v>0.83</v>
      </c>
      <c r="BI224" s="1">
        <v>0.8</v>
      </c>
      <c r="BJ224" s="1" t="s">
        <v>776</v>
      </c>
      <c r="BL224" s="284">
        <v>136.1</v>
      </c>
      <c r="BM224" s="1">
        <v>4.3899999999999997</v>
      </c>
      <c r="BN224" s="1">
        <v>4.3499999999999996</v>
      </c>
      <c r="BO224" s="1" t="s">
        <v>776</v>
      </c>
      <c r="BQ224" s="284">
        <v>9.3000000000000007</v>
      </c>
      <c r="BR224" s="1">
        <v>0.3</v>
      </c>
      <c r="BS224" s="1">
        <v>0.36</v>
      </c>
      <c r="BT224" s="1" t="s">
        <v>776</v>
      </c>
      <c r="BV224" s="284">
        <v>7.13</v>
      </c>
      <c r="BW224" s="1">
        <v>0.23</v>
      </c>
      <c r="BX224" s="1">
        <v>0.2</v>
      </c>
      <c r="BY224" s="1" t="s">
        <v>776</v>
      </c>
      <c r="CA224" s="284">
        <v>13.02</v>
      </c>
      <c r="CB224" s="1">
        <v>0.42</v>
      </c>
      <c r="CC224" s="1">
        <v>0.38</v>
      </c>
      <c r="CD224" s="1" t="s">
        <v>776</v>
      </c>
      <c r="CF224" s="284">
        <v>45.69</v>
      </c>
      <c r="CG224" s="1">
        <v>1.47</v>
      </c>
      <c r="CH224" s="1">
        <v>1.47</v>
      </c>
      <c r="CI224" s="1" t="s">
        <v>776</v>
      </c>
      <c r="CK224" s="284">
        <v>161.19</v>
      </c>
      <c r="CL224" s="1">
        <v>5.2</v>
      </c>
      <c r="CM224" s="1">
        <v>5.48</v>
      </c>
      <c r="CN224" s="1">
        <v>8.16</v>
      </c>
      <c r="CP224" s="284">
        <v>223.55</v>
      </c>
      <c r="CQ224" s="1">
        <v>7.21</v>
      </c>
      <c r="CR224" s="1">
        <v>7.73</v>
      </c>
      <c r="CS224" s="1">
        <v>11.18</v>
      </c>
      <c r="CU224" s="284">
        <v>189.82</v>
      </c>
      <c r="CV224" s="1">
        <v>6.12</v>
      </c>
      <c r="CW224" s="1">
        <v>5.53</v>
      </c>
      <c r="CX224" s="1">
        <v>10.43</v>
      </c>
      <c r="CZ224" s="269">
        <v>24.4</v>
      </c>
      <c r="DA224" s="1">
        <v>0.79</v>
      </c>
      <c r="DC224" s="284">
        <v>21.6</v>
      </c>
      <c r="DD224" s="1">
        <v>0.7</v>
      </c>
      <c r="DE224" s="1">
        <v>0.53</v>
      </c>
      <c r="DF224" s="1" t="s">
        <v>776</v>
      </c>
      <c r="DH224" s="284">
        <f>DI224*31</f>
        <v>75.02</v>
      </c>
      <c r="DI224" s="1">
        <f t="shared" si="285"/>
        <v>2.42</v>
      </c>
      <c r="DJ224" s="1">
        <f t="shared" si="286"/>
        <v>2.4108333333333332</v>
      </c>
      <c r="DM224" s="284">
        <f>DN224*31</f>
        <v>3157.0399999999995</v>
      </c>
      <c r="DN224" s="1">
        <f t="shared" si="287"/>
        <v>101.83999999999999</v>
      </c>
      <c r="DO224" s="1">
        <f t="shared" si="288"/>
        <v>100.41416666666665</v>
      </c>
      <c r="DR224" s="284">
        <f>DS224*31</f>
        <v>620.62</v>
      </c>
      <c r="DS224" s="1">
        <f t="shared" si="289"/>
        <v>20.02</v>
      </c>
      <c r="DT224" s="1" t="e">
        <f>SUM(CH224+CM224+CR224+CW224+#REF!)</f>
        <v>#REF!</v>
      </c>
      <c r="DW224" s="284">
        <f>DX224*31</f>
        <v>3777.6599999999994</v>
      </c>
      <c r="DX224" s="1">
        <f t="shared" si="290"/>
        <v>121.85999999999999</v>
      </c>
      <c r="DY224" s="1">
        <f t="shared" si="291"/>
        <v>120.50474999999999</v>
      </c>
      <c r="EB224" s="2">
        <v>2.68</v>
      </c>
      <c r="EL224">
        <v>2016</v>
      </c>
      <c r="EM224" s="157" t="s">
        <v>719</v>
      </c>
      <c r="EN224" t="s">
        <v>841</v>
      </c>
      <c r="EO224">
        <v>175.18</v>
      </c>
      <c r="EP224" t="e">
        <f t="shared" si="292"/>
        <v>#VALUE!</v>
      </c>
    </row>
    <row r="225" spans="1:146" x14ac:dyDescent="0.25">
      <c r="A225" s="8">
        <v>2016</v>
      </c>
      <c r="B225" t="s">
        <v>713</v>
      </c>
      <c r="D225" s="284">
        <v>212.01</v>
      </c>
      <c r="E225" s="1">
        <v>7.31</v>
      </c>
      <c r="F225" s="1">
        <v>5.71</v>
      </c>
      <c r="G225" s="1">
        <v>12.01</v>
      </c>
      <c r="I225" s="284">
        <v>16.5</v>
      </c>
      <c r="J225" s="1">
        <v>0.56999999999999995</v>
      </c>
      <c r="K225" s="1">
        <v>0.55000000000000004</v>
      </c>
      <c r="L225" s="1">
        <v>1.0900000000000001</v>
      </c>
      <c r="N225" s="284">
        <v>117.99</v>
      </c>
      <c r="O225" s="1">
        <v>4.07</v>
      </c>
      <c r="P225" s="1">
        <v>3.85</v>
      </c>
      <c r="Q225" s="1">
        <v>14.97</v>
      </c>
      <c r="S225" s="284">
        <v>212.92</v>
      </c>
      <c r="T225" s="1">
        <v>7.34</v>
      </c>
      <c r="U225" s="1">
        <v>6.02</v>
      </c>
      <c r="V225" s="1">
        <v>19.16</v>
      </c>
      <c r="X225" s="284">
        <v>686.87</v>
      </c>
      <c r="Y225" s="1">
        <v>23.69</v>
      </c>
      <c r="Z225" s="1">
        <v>19.73</v>
      </c>
      <c r="AA225" s="1">
        <v>36.090000000000003</v>
      </c>
      <c r="AC225" s="284">
        <v>899.79</v>
      </c>
      <c r="AD225" s="1">
        <v>31.03</v>
      </c>
      <c r="AE225" s="1">
        <v>25.74</v>
      </c>
      <c r="AF225" s="1">
        <v>55.25</v>
      </c>
      <c r="AH225" s="299">
        <v>1986.4</v>
      </c>
      <c r="AI225">
        <v>68.5</v>
      </c>
      <c r="AJ225">
        <v>57.35</v>
      </c>
      <c r="AK225">
        <v>234.2</v>
      </c>
      <c r="AM225" s="299">
        <v>21.75</v>
      </c>
      <c r="AN225">
        <v>0.75</v>
      </c>
      <c r="AO225">
        <v>0.53</v>
      </c>
      <c r="AP225" t="s">
        <v>776</v>
      </c>
      <c r="AR225" s="284">
        <v>146.74</v>
      </c>
      <c r="AS225" s="1">
        <v>5.0599999999999996</v>
      </c>
      <c r="AT225" s="1">
        <v>4.07</v>
      </c>
      <c r="AU225" s="1" t="s">
        <v>776</v>
      </c>
      <c r="AW225" s="284">
        <v>37.119999999999997</v>
      </c>
      <c r="AX225" s="1">
        <v>1.28</v>
      </c>
      <c r="AY225" s="1">
        <v>1.02</v>
      </c>
      <c r="AZ225" s="1" t="s">
        <v>776</v>
      </c>
      <c r="BB225" s="284">
        <v>24.07</v>
      </c>
      <c r="BC225" s="1">
        <v>0.83</v>
      </c>
      <c r="BD225" s="1">
        <v>0.65</v>
      </c>
      <c r="BE225" s="1" t="s">
        <v>776</v>
      </c>
      <c r="BG225" s="284">
        <v>30.74</v>
      </c>
      <c r="BH225" s="1">
        <v>1.06</v>
      </c>
      <c r="BI225" s="1">
        <v>0.82</v>
      </c>
      <c r="BJ225" s="1" t="s">
        <v>776</v>
      </c>
      <c r="BL225" s="284">
        <v>127.32</v>
      </c>
      <c r="BM225" s="1">
        <v>4.3899999999999997</v>
      </c>
      <c r="BN225" s="1">
        <v>4.3600000000000003</v>
      </c>
      <c r="BO225" s="1" t="s">
        <v>776</v>
      </c>
      <c r="BQ225" s="284">
        <v>18.27</v>
      </c>
      <c r="BR225" s="1">
        <v>0.63</v>
      </c>
      <c r="BS225" s="1">
        <v>0.38</v>
      </c>
      <c r="BT225" s="1" t="s">
        <v>776</v>
      </c>
      <c r="BV225" s="284">
        <v>10.44</v>
      </c>
      <c r="BW225" s="1">
        <v>0.36</v>
      </c>
      <c r="BX225" s="1">
        <v>0.21</v>
      </c>
      <c r="BY225" s="1" t="s">
        <v>776</v>
      </c>
      <c r="CA225" s="284">
        <v>14.5</v>
      </c>
      <c r="CB225" s="1">
        <v>0.5</v>
      </c>
      <c r="CC225" s="1">
        <v>0.39</v>
      </c>
      <c r="CD225" s="1" t="s">
        <v>776</v>
      </c>
      <c r="CF225" s="284">
        <v>42.74</v>
      </c>
      <c r="CG225" s="1">
        <v>1.47</v>
      </c>
      <c r="CH225" s="1">
        <v>1.47</v>
      </c>
      <c r="CI225" s="1" t="s">
        <v>776</v>
      </c>
      <c r="CK225" s="284">
        <v>174.79</v>
      </c>
      <c r="CL225" s="1">
        <v>6.03</v>
      </c>
      <c r="CM225" s="1">
        <v>5.5</v>
      </c>
      <c r="CN225" s="1">
        <v>18.37</v>
      </c>
      <c r="CP225" s="284">
        <v>267.69</v>
      </c>
      <c r="CQ225" s="1">
        <v>9.23</v>
      </c>
      <c r="CR225" s="1">
        <v>7.92</v>
      </c>
      <c r="CS225" s="1">
        <v>16.22</v>
      </c>
      <c r="CU225" s="284">
        <v>188.78</v>
      </c>
      <c r="CV225" s="1">
        <v>6.51</v>
      </c>
      <c r="CW225" s="1">
        <v>5.6</v>
      </c>
      <c r="CX225" s="1">
        <v>11.23</v>
      </c>
      <c r="CZ225" s="269">
        <v>30.54</v>
      </c>
      <c r="DA225" s="1">
        <v>1.05</v>
      </c>
      <c r="DC225" s="284">
        <v>20.2</v>
      </c>
      <c r="DD225" s="1">
        <v>0.7</v>
      </c>
      <c r="DE225" s="1">
        <v>0.55000000000000004</v>
      </c>
      <c r="DF225" s="1" t="s">
        <v>776</v>
      </c>
      <c r="DH225" s="284">
        <f>DI225*29</f>
        <v>85.84</v>
      </c>
      <c r="DI225" s="1">
        <f t="shared" si="285"/>
        <v>2.96</v>
      </c>
      <c r="DJ225" s="1">
        <f t="shared" si="286"/>
        <v>2.4558333333333331</v>
      </c>
      <c r="DM225" s="284">
        <f>DN225*29</f>
        <v>3534.8100000000004</v>
      </c>
      <c r="DN225" s="1">
        <f t="shared" si="287"/>
        <v>121.89000000000001</v>
      </c>
      <c r="DO225" s="1">
        <f t="shared" si="288"/>
        <v>102.19499999999999</v>
      </c>
      <c r="DR225" s="284">
        <f>DS225*29</f>
        <v>682.08</v>
      </c>
      <c r="DS225" s="1">
        <f t="shared" si="289"/>
        <v>23.520000000000003</v>
      </c>
      <c r="DT225" s="1" t="e">
        <f>SUM(CH225+CM225+CR225+CW225+#REF!)</f>
        <v>#REF!</v>
      </c>
      <c r="DW225" s="284">
        <f>DX225*29</f>
        <v>4216.8900000000003</v>
      </c>
      <c r="DX225" s="1">
        <f t="shared" si="290"/>
        <v>145.41000000000003</v>
      </c>
      <c r="DY225" s="1">
        <f t="shared" si="291"/>
        <v>122.59975000000001</v>
      </c>
      <c r="EB225" s="2">
        <v>3.79</v>
      </c>
      <c r="EL225">
        <v>2016</v>
      </c>
      <c r="EM225" s="157" t="s">
        <v>713</v>
      </c>
      <c r="EN225" t="s">
        <v>841</v>
      </c>
      <c r="EO225">
        <v>212.01</v>
      </c>
      <c r="EP225" t="e">
        <f t="shared" si="292"/>
        <v>#VALUE!</v>
      </c>
    </row>
    <row r="226" spans="1:146" x14ac:dyDescent="0.25">
      <c r="A226" s="8">
        <v>2016</v>
      </c>
      <c r="B226" t="s">
        <v>714</v>
      </c>
      <c r="D226" s="284">
        <v>195.23</v>
      </c>
      <c r="E226" s="1">
        <v>6.3</v>
      </c>
      <c r="F226" s="1">
        <v>5.65</v>
      </c>
      <c r="G226" s="1">
        <v>8.9499999999999993</v>
      </c>
      <c r="I226" s="284">
        <v>16.5</v>
      </c>
      <c r="J226" s="1">
        <v>0.53</v>
      </c>
      <c r="K226" s="1">
        <v>0.54</v>
      </c>
      <c r="L226" s="1">
        <v>0.63</v>
      </c>
      <c r="N226" s="284">
        <v>107.09</v>
      </c>
      <c r="O226" s="1">
        <v>3.45</v>
      </c>
      <c r="P226" s="1">
        <v>3.75</v>
      </c>
      <c r="Q226" s="1">
        <v>5.65</v>
      </c>
      <c r="S226" s="284">
        <v>183.43</v>
      </c>
      <c r="T226" s="1">
        <v>5.92</v>
      </c>
      <c r="U226" s="1">
        <v>5.85</v>
      </c>
      <c r="V226" s="1">
        <v>11.18</v>
      </c>
      <c r="X226" s="284">
        <v>622.01</v>
      </c>
      <c r="Y226" s="1">
        <v>20.059999999999999</v>
      </c>
      <c r="Z226" s="1">
        <v>19.53</v>
      </c>
      <c r="AA226" s="1">
        <v>31.08</v>
      </c>
      <c r="AC226" s="284">
        <v>805.44</v>
      </c>
      <c r="AD226" s="1">
        <v>25.98</v>
      </c>
      <c r="AE226" s="1">
        <v>25.38</v>
      </c>
      <c r="AF226" s="1">
        <v>42.26</v>
      </c>
      <c r="AH226" s="299">
        <v>1840.63</v>
      </c>
      <c r="AI226">
        <v>59.38</v>
      </c>
      <c r="AJ226">
        <v>56.5</v>
      </c>
      <c r="AK226">
        <v>153.6</v>
      </c>
      <c r="AM226" s="299">
        <v>15.5</v>
      </c>
      <c r="AN226">
        <v>0.5</v>
      </c>
      <c r="AO226">
        <v>0.52</v>
      </c>
      <c r="AP226" t="s">
        <v>776</v>
      </c>
      <c r="AR226" s="284">
        <v>123.38</v>
      </c>
      <c r="AS226" s="1">
        <v>3.98</v>
      </c>
      <c r="AT226" s="1">
        <v>3.97</v>
      </c>
      <c r="AU226" s="1" t="s">
        <v>776</v>
      </c>
      <c r="AW226" s="284">
        <v>32.549999999999997</v>
      </c>
      <c r="AX226" s="1">
        <v>1.05</v>
      </c>
      <c r="AY226" s="1">
        <v>1.02</v>
      </c>
      <c r="AZ226" s="1" t="s">
        <v>776</v>
      </c>
      <c r="BB226" s="284">
        <v>21.08</v>
      </c>
      <c r="BC226" s="1">
        <v>0.68</v>
      </c>
      <c r="BD226" s="1">
        <v>0.65</v>
      </c>
      <c r="BE226" s="1" t="s">
        <v>776</v>
      </c>
      <c r="BG226" s="284">
        <v>26.04</v>
      </c>
      <c r="BH226" s="1">
        <v>0.84</v>
      </c>
      <c r="BI226" s="1">
        <v>0.8</v>
      </c>
      <c r="BJ226" s="1" t="s">
        <v>776</v>
      </c>
      <c r="BL226" s="284">
        <v>136.1</v>
      </c>
      <c r="BM226" s="1">
        <v>4.3899999999999997</v>
      </c>
      <c r="BN226" s="1">
        <v>4.3600000000000003</v>
      </c>
      <c r="BO226" s="1" t="s">
        <v>776</v>
      </c>
      <c r="BQ226" s="284">
        <v>5.58</v>
      </c>
      <c r="BR226" s="1">
        <v>0.18</v>
      </c>
      <c r="BS226" s="1">
        <v>0.37</v>
      </c>
      <c r="BT226" s="1" t="s">
        <v>776</v>
      </c>
      <c r="BV226" s="284">
        <v>4.96</v>
      </c>
      <c r="BW226" s="1">
        <v>0.16</v>
      </c>
      <c r="BX226" s="1">
        <v>0.2</v>
      </c>
      <c r="BY226" s="1" t="s">
        <v>776</v>
      </c>
      <c r="CA226" s="284">
        <v>12.71</v>
      </c>
      <c r="CB226" s="1">
        <v>0.41</v>
      </c>
      <c r="CC226" s="1">
        <v>0.38</v>
      </c>
      <c r="CD226" s="1" t="s">
        <v>776</v>
      </c>
      <c r="CF226" s="284">
        <v>45.69</v>
      </c>
      <c r="CG226" s="1">
        <v>1.47</v>
      </c>
      <c r="CH226" s="1">
        <v>1.47</v>
      </c>
      <c r="CI226" s="1" t="s">
        <v>776</v>
      </c>
      <c r="CK226" s="284">
        <v>170.26</v>
      </c>
      <c r="CL226" s="1">
        <v>5.49</v>
      </c>
      <c r="CM226" s="1">
        <v>5.4</v>
      </c>
      <c r="CN226" s="1">
        <v>8.35</v>
      </c>
      <c r="CP226" s="284">
        <v>258</v>
      </c>
      <c r="CQ226" s="1">
        <v>8.32</v>
      </c>
      <c r="CR226" s="1">
        <v>7.91</v>
      </c>
      <c r="CS226" s="1">
        <v>12.05</v>
      </c>
      <c r="CU226" s="284">
        <v>174.97</v>
      </c>
      <c r="CV226" s="1">
        <v>5.64</v>
      </c>
      <c r="CW226" s="1">
        <v>5.54</v>
      </c>
      <c r="CX226" s="1">
        <v>8.61</v>
      </c>
      <c r="CZ226" s="269">
        <v>27.81</v>
      </c>
      <c r="DA226" s="1">
        <v>0.9</v>
      </c>
      <c r="DC226" s="284">
        <v>21.6</v>
      </c>
      <c r="DD226" s="1">
        <v>0.7</v>
      </c>
      <c r="DE226" s="1">
        <v>0.57999999999999996</v>
      </c>
      <c r="DF226" s="1" t="s">
        <v>776</v>
      </c>
      <c r="DH226" s="284">
        <f>DI226*31</f>
        <v>68.819999999999993</v>
      </c>
      <c r="DI226" s="1">
        <f t="shared" si="285"/>
        <v>2.2199999999999998</v>
      </c>
      <c r="DJ226" s="1">
        <f t="shared" si="286"/>
        <v>2.42</v>
      </c>
      <c r="DM226" s="284">
        <f>DN226*31</f>
        <v>3250.6600000000008</v>
      </c>
      <c r="DN226" s="1">
        <f t="shared" si="287"/>
        <v>104.86000000000003</v>
      </c>
      <c r="DO226" s="1">
        <f t="shared" si="288"/>
        <v>100.70666666666669</v>
      </c>
      <c r="DR226" s="284">
        <f>DS226*31</f>
        <v>652.54999999999995</v>
      </c>
      <c r="DS226" s="1">
        <f t="shared" si="289"/>
        <v>21.049999999999997</v>
      </c>
      <c r="DT226" s="1" t="e">
        <f>SUM(CH226+CM226+CR226+CW226+#REF!)</f>
        <v>#REF!</v>
      </c>
      <c r="DW226" s="284">
        <f>DX226*31</f>
        <v>3903.2100000000009</v>
      </c>
      <c r="DX226" s="1">
        <f t="shared" si="290"/>
        <v>125.91000000000003</v>
      </c>
      <c r="DY226" s="1">
        <f t="shared" si="291"/>
        <v>120.95308333333334</v>
      </c>
      <c r="EB226" s="2">
        <v>1.1599999999999999</v>
      </c>
      <c r="EL226">
        <v>2016</v>
      </c>
      <c r="EM226" s="157" t="s">
        <v>714</v>
      </c>
      <c r="EN226" t="s">
        <v>841</v>
      </c>
      <c r="EO226">
        <v>195.23</v>
      </c>
      <c r="EP226" t="e">
        <f t="shared" si="292"/>
        <v>#VALUE!</v>
      </c>
    </row>
    <row r="227" spans="1:146" ht="13" thickBot="1" x14ac:dyDescent="0.3">
      <c r="A227" s="8">
        <v>2016</v>
      </c>
      <c r="B227" t="s">
        <v>705</v>
      </c>
      <c r="D227" s="284">
        <v>189.59</v>
      </c>
      <c r="E227" s="1">
        <v>6.32</v>
      </c>
      <c r="F227" s="1">
        <v>5.62</v>
      </c>
      <c r="G227" s="1">
        <v>8.93</v>
      </c>
      <c r="I227" s="284">
        <v>16.149999999999999</v>
      </c>
      <c r="J227" s="1">
        <v>0.54</v>
      </c>
      <c r="K227" s="1">
        <v>0.54</v>
      </c>
      <c r="L227" s="1">
        <v>0.63</v>
      </c>
      <c r="N227" s="284">
        <v>99.99</v>
      </c>
      <c r="O227" s="1">
        <v>3.33</v>
      </c>
      <c r="P227" s="1">
        <v>3.66</v>
      </c>
      <c r="Q227" s="1">
        <v>6.44</v>
      </c>
      <c r="S227" s="284">
        <v>168.03</v>
      </c>
      <c r="T227" s="1">
        <v>5.6</v>
      </c>
      <c r="U227" s="1">
        <v>5.67</v>
      </c>
      <c r="V227" s="1">
        <v>9.5299999999999994</v>
      </c>
      <c r="X227" s="284">
        <v>543.30999999999995</v>
      </c>
      <c r="Y227" s="1">
        <v>18.11</v>
      </c>
      <c r="Z227" s="1">
        <v>19.27</v>
      </c>
      <c r="AA227" s="1">
        <v>27.96</v>
      </c>
      <c r="AC227" s="284">
        <v>711.34</v>
      </c>
      <c r="AD227" s="1">
        <v>23.71</v>
      </c>
      <c r="AE227" s="1">
        <v>24.94</v>
      </c>
      <c r="AF227" s="1">
        <v>37.49</v>
      </c>
      <c r="AH227" s="299">
        <v>1625.83</v>
      </c>
      <c r="AI227">
        <v>54.19</v>
      </c>
      <c r="AJ227">
        <v>55.63</v>
      </c>
      <c r="AK227">
        <v>150.6</v>
      </c>
      <c r="AM227" s="299">
        <v>13.5</v>
      </c>
      <c r="AN227">
        <v>0.45</v>
      </c>
      <c r="AO227">
        <v>0.51</v>
      </c>
      <c r="AP227" t="s">
        <v>776</v>
      </c>
      <c r="AR227" s="284">
        <v>109.2</v>
      </c>
      <c r="AS227" s="1">
        <v>3.64</v>
      </c>
      <c r="AT227" s="1">
        <v>3.93</v>
      </c>
      <c r="AU227" s="1" t="s">
        <v>776</v>
      </c>
      <c r="AW227" s="284">
        <v>30.3</v>
      </c>
      <c r="AX227" s="1">
        <v>1.01</v>
      </c>
      <c r="AY227" s="1">
        <v>1.03</v>
      </c>
      <c r="AZ227" s="1" t="s">
        <v>776</v>
      </c>
      <c r="BB227" s="284">
        <v>19.2</v>
      </c>
      <c r="BC227" s="1">
        <v>0.64</v>
      </c>
      <c r="BD227" s="1">
        <v>0.64</v>
      </c>
      <c r="BE227" s="1" t="s">
        <v>776</v>
      </c>
      <c r="BG227" s="284">
        <v>23.1</v>
      </c>
      <c r="BH227" s="1">
        <v>0.77</v>
      </c>
      <c r="BI227" s="1">
        <v>0.79</v>
      </c>
      <c r="BJ227" s="1" t="s">
        <v>776</v>
      </c>
      <c r="BL227" s="284">
        <v>131.71</v>
      </c>
      <c r="BM227" s="1">
        <v>4.3899999999999997</v>
      </c>
      <c r="BN227" s="1">
        <v>4.37</v>
      </c>
      <c r="BO227" s="1" t="s">
        <v>776</v>
      </c>
      <c r="BQ227" s="284">
        <v>3.3</v>
      </c>
      <c r="BR227" s="1">
        <v>0.11</v>
      </c>
      <c r="BS227" s="1">
        <v>0.35</v>
      </c>
      <c r="BT227" s="1" t="s">
        <v>776</v>
      </c>
      <c r="BV227" s="284">
        <v>3.9</v>
      </c>
      <c r="BW227" s="1">
        <v>0.13</v>
      </c>
      <c r="BX227" s="1">
        <v>0.19</v>
      </c>
      <c r="BY227" s="1" t="s">
        <v>776</v>
      </c>
      <c r="CA227" s="284">
        <v>11.7</v>
      </c>
      <c r="CB227" s="1">
        <v>0.39</v>
      </c>
      <c r="CC227" s="1">
        <v>0.39</v>
      </c>
      <c r="CD227" s="1" t="s">
        <v>776</v>
      </c>
      <c r="CF227" s="284">
        <v>44.22</v>
      </c>
      <c r="CG227" s="1">
        <v>1.47</v>
      </c>
      <c r="CH227" s="1">
        <v>1.47</v>
      </c>
      <c r="CI227" s="1" t="s">
        <v>776</v>
      </c>
      <c r="CK227" s="284">
        <v>152.58000000000001</v>
      </c>
      <c r="CL227" s="1">
        <v>5.09</v>
      </c>
      <c r="CM227" s="1">
        <v>5.3</v>
      </c>
      <c r="CN227" s="1">
        <v>8.51</v>
      </c>
      <c r="CP227" s="284">
        <v>238.07</v>
      </c>
      <c r="CQ227" s="1">
        <v>7.94</v>
      </c>
      <c r="CR227" s="1">
        <v>7.89</v>
      </c>
      <c r="CS227" s="1">
        <v>12.98</v>
      </c>
      <c r="CU227" s="284">
        <v>166.06</v>
      </c>
      <c r="CV227" s="1">
        <v>5.54</v>
      </c>
      <c r="CW227" s="1">
        <v>5.49</v>
      </c>
      <c r="CX227" s="1">
        <v>8.9</v>
      </c>
      <c r="CZ227" s="269">
        <v>25.61</v>
      </c>
      <c r="DA227" s="1">
        <v>0.85</v>
      </c>
      <c r="DC227" s="284">
        <v>20.9</v>
      </c>
      <c r="DD227" s="1">
        <v>0.7</v>
      </c>
      <c r="DE227" s="1">
        <v>0.6</v>
      </c>
      <c r="DF227" s="1" t="s">
        <v>776</v>
      </c>
      <c r="DH227" s="284">
        <f>DI227*30</f>
        <v>63</v>
      </c>
      <c r="DI227" s="1">
        <f t="shared" si="285"/>
        <v>2.1</v>
      </c>
      <c r="DJ227" s="1">
        <f t="shared" si="286"/>
        <v>2.395</v>
      </c>
      <c r="DM227" s="284">
        <f>DN227*30</f>
        <v>2906.7000000000003</v>
      </c>
      <c r="DN227" s="1">
        <f t="shared" si="287"/>
        <v>96.890000000000015</v>
      </c>
      <c r="DO227" s="1">
        <f t="shared" si="288"/>
        <v>99.245000000000005</v>
      </c>
      <c r="DR227" s="284">
        <f>DS227*30</f>
        <v>603.6</v>
      </c>
      <c r="DS227" s="1">
        <f t="shared" si="289"/>
        <v>20.12</v>
      </c>
      <c r="DT227" s="1" t="e">
        <f>SUM(CH227+CM227+CR227+CW227+#REF!)</f>
        <v>#REF!</v>
      </c>
      <c r="DW227" s="284">
        <f>DX227*30</f>
        <v>3510.3000000000006</v>
      </c>
      <c r="DX227" s="1">
        <f t="shared" si="290"/>
        <v>117.01000000000002</v>
      </c>
      <c r="DY227" s="1">
        <f t="shared" si="291"/>
        <v>119.32808333333334</v>
      </c>
      <c r="EB227" s="2">
        <v>2.0499999999999998</v>
      </c>
      <c r="EL227">
        <v>2016</v>
      </c>
      <c r="EM227" s="157" t="s">
        <v>705</v>
      </c>
      <c r="EN227" t="s">
        <v>841</v>
      </c>
      <c r="EO227">
        <v>189.59</v>
      </c>
      <c r="EP227" t="e">
        <f t="shared" si="292"/>
        <v>#VALUE!</v>
      </c>
    </row>
    <row r="228" spans="1:146" s="76" customFormat="1" ht="13" thickBot="1" x14ac:dyDescent="0.3">
      <c r="A228" s="263">
        <v>2016</v>
      </c>
      <c r="B228" s="76" t="s">
        <v>715</v>
      </c>
      <c r="D228" s="284">
        <v>225.81</v>
      </c>
      <c r="E228" s="77">
        <v>7.28</v>
      </c>
      <c r="F228" s="77">
        <v>5.8</v>
      </c>
      <c r="G228" s="77">
        <v>13.8</v>
      </c>
      <c r="H228" s="77"/>
      <c r="I228" s="284">
        <v>16.93</v>
      </c>
      <c r="J228" s="77">
        <v>0.55000000000000004</v>
      </c>
      <c r="K228" s="77">
        <v>0.54</v>
      </c>
      <c r="L228" s="77">
        <v>1.03</v>
      </c>
      <c r="N228" s="284">
        <v>110.86</v>
      </c>
      <c r="O228" s="77">
        <v>3.58</v>
      </c>
      <c r="P228" s="77">
        <v>3.6</v>
      </c>
      <c r="Q228" s="77">
        <v>15.72</v>
      </c>
      <c r="S228" s="284">
        <v>198.93</v>
      </c>
      <c r="T228" s="77">
        <v>6.42</v>
      </c>
      <c r="U228" s="77">
        <v>5.64</v>
      </c>
      <c r="V228" s="77">
        <v>23.28</v>
      </c>
      <c r="W228" s="106" t="s">
        <v>779</v>
      </c>
      <c r="X228" s="278">
        <v>619.23</v>
      </c>
      <c r="Y228" s="159">
        <f>+X228/31</f>
        <v>19.975161290322582</v>
      </c>
      <c r="Z228" s="160">
        <v>20.190000000000001</v>
      </c>
      <c r="AA228" s="158"/>
      <c r="AB228" s="144"/>
      <c r="AC228" s="300">
        <f>+S228+X228</f>
        <v>818.16000000000008</v>
      </c>
      <c r="AD228" s="77">
        <f>+AC228/31</f>
        <v>26.392258064516131</v>
      </c>
      <c r="AE228" s="173">
        <f>SUM(AD217:AD228)/12</f>
        <v>25.004354838709673</v>
      </c>
      <c r="AF228" s="145"/>
      <c r="AH228" s="299">
        <v>1809.01</v>
      </c>
      <c r="AI228" s="76">
        <v>58.36</v>
      </c>
      <c r="AJ228" s="76">
        <v>55.82</v>
      </c>
      <c r="AK228" s="76">
        <v>152.6</v>
      </c>
      <c r="AM228" s="299">
        <v>19.53</v>
      </c>
      <c r="AN228" s="76">
        <v>0.63</v>
      </c>
      <c r="AO228" s="76">
        <v>0.53</v>
      </c>
      <c r="AP228" s="76" t="s">
        <v>776</v>
      </c>
      <c r="AR228" s="284">
        <v>136.71</v>
      </c>
      <c r="AS228" s="77">
        <v>4.41</v>
      </c>
      <c r="AT228" s="77">
        <v>3.98</v>
      </c>
      <c r="AU228" s="77" t="s">
        <v>776</v>
      </c>
      <c r="AW228" s="284">
        <v>34.409999999999997</v>
      </c>
      <c r="AX228" s="77">
        <v>1.1100000000000001</v>
      </c>
      <c r="AY228" s="77">
        <v>1.04</v>
      </c>
      <c r="AZ228" s="77" t="s">
        <v>776</v>
      </c>
      <c r="BB228" s="284">
        <v>20.77</v>
      </c>
      <c r="BC228" s="77">
        <v>0.67</v>
      </c>
      <c r="BD228" s="77">
        <v>0.65</v>
      </c>
      <c r="BE228" s="77" t="s">
        <v>776</v>
      </c>
      <c r="BG228" s="284">
        <v>25.11</v>
      </c>
      <c r="BH228" s="77">
        <v>0.81</v>
      </c>
      <c r="BI228" s="77">
        <v>0.8</v>
      </c>
      <c r="BJ228" s="77" t="s">
        <v>776</v>
      </c>
      <c r="BL228" s="284">
        <v>135.72999999999999</v>
      </c>
      <c r="BM228" s="77">
        <v>4.38</v>
      </c>
      <c r="BN228" s="77">
        <v>4.3600000000000003</v>
      </c>
      <c r="BO228" s="77" t="s">
        <v>776</v>
      </c>
      <c r="BQ228" s="284">
        <v>9.3000000000000007</v>
      </c>
      <c r="BR228" s="77">
        <v>0.3</v>
      </c>
      <c r="BS228" s="77">
        <v>0.35</v>
      </c>
      <c r="BT228" s="77" t="s">
        <v>776</v>
      </c>
      <c r="BV228" s="284">
        <v>7.44</v>
      </c>
      <c r="BW228" s="77">
        <v>0.24</v>
      </c>
      <c r="BX228" s="77">
        <v>0.2</v>
      </c>
      <c r="BY228" s="77" t="s">
        <v>776</v>
      </c>
      <c r="CA228" s="284">
        <v>14.57</v>
      </c>
      <c r="CB228" s="77">
        <v>0.47</v>
      </c>
      <c r="CC228" s="77">
        <v>0.4</v>
      </c>
      <c r="CD228" s="77" t="s">
        <v>776</v>
      </c>
      <c r="CF228" s="284">
        <v>45.56</v>
      </c>
      <c r="CG228" s="77">
        <v>1.47</v>
      </c>
      <c r="CH228" s="77">
        <v>1.47</v>
      </c>
      <c r="CI228" s="77" t="s">
        <v>776</v>
      </c>
      <c r="CK228" s="284">
        <v>180.47</v>
      </c>
      <c r="CL228" s="77">
        <v>5.82</v>
      </c>
      <c r="CM228" s="77">
        <v>5.2</v>
      </c>
      <c r="CN228" s="77">
        <v>9.1</v>
      </c>
      <c r="CP228" s="284">
        <v>250.6</v>
      </c>
      <c r="CQ228" s="77">
        <v>8.08</v>
      </c>
      <c r="CR228" s="77">
        <v>7.92</v>
      </c>
      <c r="CS228" s="77">
        <v>15.82</v>
      </c>
      <c r="CU228" s="284">
        <v>188.66</v>
      </c>
      <c r="CV228" s="77">
        <v>6.09</v>
      </c>
      <c r="CW228" s="77">
        <v>5.5</v>
      </c>
      <c r="CX228" s="77">
        <v>14.87</v>
      </c>
      <c r="CY228" s="77"/>
      <c r="CZ228" s="269">
        <v>33.630000000000003</v>
      </c>
      <c r="DA228" s="77">
        <v>1.08</v>
      </c>
      <c r="DC228" s="284">
        <v>21.54</v>
      </c>
      <c r="DD228" s="77">
        <v>0.69</v>
      </c>
      <c r="DE228" s="77">
        <v>0.61</v>
      </c>
      <c r="DF228" s="77" t="s">
        <v>776</v>
      </c>
      <c r="DH228" s="284">
        <f>DI228*31</f>
        <v>76.88</v>
      </c>
      <c r="DI228" s="77">
        <f t="shared" si="285"/>
        <v>2.48</v>
      </c>
      <c r="DJ228" s="77">
        <f t="shared" si="286"/>
        <v>2.4125000000000005</v>
      </c>
      <c r="DM228" s="284">
        <f>DN228*31</f>
        <v>3276.4599999999996</v>
      </c>
      <c r="DN228" s="77">
        <f t="shared" si="287"/>
        <v>105.69225806451611</v>
      </c>
      <c r="DO228" s="77">
        <f t="shared" si="288"/>
        <v>99.713521505376363</v>
      </c>
      <c r="DR228" s="284">
        <f>DS228*31</f>
        <v>674.56000000000006</v>
      </c>
      <c r="DS228" s="77">
        <f t="shared" si="289"/>
        <v>21.76</v>
      </c>
      <c r="DT228" s="77" t="e">
        <f>SUM(CH228+CM228+CR228+CW228+#REF!)</f>
        <v>#REF!</v>
      </c>
      <c r="DW228" s="284">
        <f>DX228*31</f>
        <v>3951.0199999999995</v>
      </c>
      <c r="DX228" s="77">
        <f t="shared" si="290"/>
        <v>127.45225806451612</v>
      </c>
      <c r="DY228" s="77">
        <f t="shared" si="291"/>
        <v>119.75577150537634</v>
      </c>
      <c r="EB228" s="78">
        <v>5.65</v>
      </c>
      <c r="EL228" s="76">
        <v>2016</v>
      </c>
      <c r="EM228" s="157" t="s">
        <v>715</v>
      </c>
      <c r="EN228" s="76" t="s">
        <v>841</v>
      </c>
      <c r="EO228" s="76">
        <v>225.81</v>
      </c>
      <c r="EP228" s="76" t="e">
        <f t="shared" si="292"/>
        <v>#VALUE!</v>
      </c>
    </row>
    <row r="229" spans="1:146" ht="13" thickBot="1" x14ac:dyDescent="0.3">
      <c r="A229" s="8">
        <v>2016</v>
      </c>
      <c r="B229" t="s">
        <v>718</v>
      </c>
      <c r="D229" s="284">
        <v>187.62</v>
      </c>
      <c r="E229" s="1">
        <v>6.25</v>
      </c>
      <c r="F229" s="1">
        <v>5.91</v>
      </c>
      <c r="G229" s="1">
        <v>8.32</v>
      </c>
      <c r="I229" s="284">
        <v>10.83</v>
      </c>
      <c r="J229" s="1">
        <v>0.36</v>
      </c>
      <c r="K229" s="1">
        <v>0.51</v>
      </c>
      <c r="L229" s="1">
        <v>0.82</v>
      </c>
      <c r="N229" s="284">
        <v>88.83</v>
      </c>
      <c r="O229" s="1">
        <v>2.96</v>
      </c>
      <c r="P229" s="1">
        <v>3.49</v>
      </c>
      <c r="Q229" s="1">
        <v>9.89</v>
      </c>
      <c r="S229" s="284">
        <v>168.36</v>
      </c>
      <c r="T229" s="1">
        <v>5.61</v>
      </c>
      <c r="U229" s="1">
        <v>5.54</v>
      </c>
      <c r="V229" s="1">
        <v>8.84</v>
      </c>
      <c r="W229" s="105" t="s">
        <v>779</v>
      </c>
      <c r="X229" s="284">
        <v>591.84699999999998</v>
      </c>
      <c r="Y229" s="161">
        <f>+X229/30</f>
        <v>19.728233333333332</v>
      </c>
      <c r="Z229" s="161">
        <v>20.864226644905273</v>
      </c>
      <c r="AA229" s="161"/>
      <c r="AC229" s="300">
        <f t="shared" ref="AC229:AC245" si="293">+S229+X229</f>
        <v>760.20699999999999</v>
      </c>
      <c r="AD229" s="77">
        <f>+AC229/30</f>
        <v>25.340233333333334</v>
      </c>
      <c r="AE229" s="174">
        <f t="shared" ref="AE229:AE245" si="294">SUM(AD218:AD229)/12</f>
        <v>24.953540949820791</v>
      </c>
      <c r="AF229" s="146"/>
      <c r="AH229" s="299">
        <v>1561.27</v>
      </c>
      <c r="AI229">
        <v>52.04</v>
      </c>
      <c r="AJ229">
        <v>54.92</v>
      </c>
      <c r="AK229">
        <v>153.1</v>
      </c>
      <c r="AM229" s="299">
        <v>14.7</v>
      </c>
      <c r="AN229">
        <v>0.49</v>
      </c>
      <c r="AO229">
        <v>0.52</v>
      </c>
      <c r="AP229" t="s">
        <v>776</v>
      </c>
      <c r="AR229" s="284">
        <v>115.2</v>
      </c>
      <c r="AS229" s="1">
        <v>3.84</v>
      </c>
      <c r="AT229" s="1">
        <v>3.92</v>
      </c>
      <c r="AU229" s="1" t="s">
        <v>776</v>
      </c>
      <c r="AW229" s="284">
        <v>31.5</v>
      </c>
      <c r="AX229" s="1">
        <v>1.05</v>
      </c>
      <c r="AY229" s="1">
        <v>1.04</v>
      </c>
      <c r="AZ229" s="1" t="s">
        <v>776</v>
      </c>
      <c r="BB229" s="284">
        <v>20.399999999999999</v>
      </c>
      <c r="BC229" s="1">
        <v>0.68</v>
      </c>
      <c r="BD229" s="1">
        <v>0.64</v>
      </c>
      <c r="BE229" s="1" t="s">
        <v>776</v>
      </c>
      <c r="BG229" s="284">
        <v>20.399999999999999</v>
      </c>
      <c r="BH229" s="1">
        <v>0.68</v>
      </c>
      <c r="BI229" s="1">
        <v>0.78</v>
      </c>
      <c r="BJ229" s="1" t="s">
        <v>776</v>
      </c>
      <c r="BL229" s="284">
        <v>131.35</v>
      </c>
      <c r="BM229" s="1">
        <v>4.38</v>
      </c>
      <c r="BN229" s="1">
        <v>4.37</v>
      </c>
      <c r="BO229" s="1" t="s">
        <v>776</v>
      </c>
      <c r="BQ229" s="284">
        <v>9.3000000000000007</v>
      </c>
      <c r="BR229" s="1">
        <v>0.31</v>
      </c>
      <c r="BS229" s="1">
        <v>0.35</v>
      </c>
      <c r="BT229" s="1" t="s">
        <v>776</v>
      </c>
      <c r="BV229" s="284">
        <v>4.8</v>
      </c>
      <c r="BW229" s="1">
        <v>0.16</v>
      </c>
      <c r="BX229" s="1">
        <v>0.19</v>
      </c>
      <c r="BY229" s="1" t="s">
        <v>776</v>
      </c>
      <c r="CA229" s="284">
        <v>12.6</v>
      </c>
      <c r="CB229" s="1">
        <v>0.42</v>
      </c>
      <c r="CC229" s="1">
        <v>0.4</v>
      </c>
      <c r="CD229" s="1" t="s">
        <v>776</v>
      </c>
      <c r="CF229" s="284">
        <v>44.09</v>
      </c>
      <c r="CG229" s="1">
        <v>1.47</v>
      </c>
      <c r="CH229" s="1">
        <v>1.47</v>
      </c>
      <c r="CI229" s="1" t="s">
        <v>776</v>
      </c>
      <c r="CK229" s="284">
        <v>173.45</v>
      </c>
      <c r="CL229" s="1">
        <v>5.78</v>
      </c>
      <c r="CM229" s="1">
        <v>5.08</v>
      </c>
      <c r="CN229" s="1">
        <v>10.11</v>
      </c>
      <c r="CP229" s="284">
        <v>219.36</v>
      </c>
      <c r="CQ229" s="1">
        <v>7.31</v>
      </c>
      <c r="CR229" s="1">
        <v>7.83</v>
      </c>
      <c r="CS229" s="1">
        <v>11.99</v>
      </c>
      <c r="CU229" s="284">
        <v>164.59</v>
      </c>
      <c r="CV229" s="1">
        <v>5.49</v>
      </c>
      <c r="CW229" s="1">
        <v>5.46</v>
      </c>
      <c r="CX229" s="1">
        <v>7.83</v>
      </c>
      <c r="CZ229" s="269">
        <v>24.92</v>
      </c>
      <c r="DA229" s="1">
        <v>0.83</v>
      </c>
      <c r="DC229" s="284">
        <v>20.84</v>
      </c>
      <c r="DD229" s="1">
        <v>0.69</v>
      </c>
      <c r="DE229" s="1">
        <v>0.63</v>
      </c>
      <c r="DF229" s="1" t="s">
        <v>776</v>
      </c>
      <c r="DH229" s="284">
        <f>DI229*30</f>
        <v>70.8</v>
      </c>
      <c r="DI229" s="1">
        <f t="shared" si="285"/>
        <v>2.36</v>
      </c>
      <c r="DJ229" s="1">
        <f t="shared" si="286"/>
        <v>2.4016666666666668</v>
      </c>
      <c r="DM229" s="284">
        <f>DN229*30</f>
        <v>2871.3070000000002</v>
      </c>
      <c r="DN229" s="77">
        <f t="shared" si="287"/>
        <v>95.710233333333335</v>
      </c>
      <c r="DO229" s="77">
        <f t="shared" si="288"/>
        <v>98.653540949820794</v>
      </c>
      <c r="DP229" s="76"/>
      <c r="DQ229" s="76"/>
      <c r="DR229" s="284">
        <f>DS229*30</f>
        <v>602.99999999999989</v>
      </c>
      <c r="DS229" s="77">
        <f t="shared" si="289"/>
        <v>20.099999999999998</v>
      </c>
      <c r="DT229" s="77" t="e">
        <f>SUM(CH229+CM229+CR229+CW229+#REF!)</f>
        <v>#REF!</v>
      </c>
      <c r="DU229" s="76"/>
      <c r="DV229" s="76"/>
      <c r="DW229" s="284">
        <f>DX229*30</f>
        <v>3474.3069999999998</v>
      </c>
      <c r="DX229" s="77">
        <f t="shared" si="290"/>
        <v>115.81023333333333</v>
      </c>
      <c r="DY229" s="77">
        <f t="shared" si="291"/>
        <v>118.46912428315413</v>
      </c>
      <c r="EB229" s="2">
        <v>3.68</v>
      </c>
      <c r="EL229">
        <v>2016</v>
      </c>
      <c r="EM229" s="157" t="s">
        <v>718</v>
      </c>
      <c r="EN229" t="s">
        <v>841</v>
      </c>
      <c r="EO229">
        <v>187.62</v>
      </c>
      <c r="EP229" t="e">
        <f t="shared" si="292"/>
        <v>#VALUE!</v>
      </c>
    </row>
    <row r="230" spans="1:146" ht="13" thickBot="1" x14ac:dyDescent="0.3">
      <c r="A230" s="8">
        <v>2016</v>
      </c>
      <c r="B230" t="s">
        <v>716</v>
      </c>
      <c r="D230" s="284">
        <v>188.08</v>
      </c>
      <c r="E230" s="1">
        <v>6.07</v>
      </c>
      <c r="F230" s="1">
        <v>5.92</v>
      </c>
      <c r="G230" s="1">
        <v>8.8800000000000008</v>
      </c>
      <c r="I230" s="284">
        <v>15.06</v>
      </c>
      <c r="J230" s="1">
        <v>0.49</v>
      </c>
      <c r="K230" s="1">
        <v>0.5</v>
      </c>
      <c r="L230" s="1">
        <v>0.94</v>
      </c>
      <c r="N230" s="284">
        <v>111.04</v>
      </c>
      <c r="O230" s="1">
        <v>3.58</v>
      </c>
      <c r="P230" s="1">
        <v>3.44</v>
      </c>
      <c r="Q230" s="1">
        <v>10.58</v>
      </c>
      <c r="S230" s="284">
        <v>161.08000000000001</v>
      </c>
      <c r="T230" s="1">
        <v>5.2</v>
      </c>
      <c r="U230" s="1">
        <v>5.42</v>
      </c>
      <c r="V230" s="1">
        <v>10.119999999999999</v>
      </c>
      <c r="W230" s="105" t="s">
        <v>779</v>
      </c>
      <c r="X230" s="284">
        <v>558.83399999999995</v>
      </c>
      <c r="Y230" s="162">
        <f>+X230/31</f>
        <v>18.02690322580645</v>
      </c>
      <c r="Z230" s="162">
        <v>18.885000000000002</v>
      </c>
      <c r="AA230" s="162"/>
      <c r="AC230" s="300">
        <f t="shared" si="293"/>
        <v>719.91399999999999</v>
      </c>
      <c r="AD230" s="77">
        <f t="shared" ref="AD230:AD243" si="295">+AC230/31</f>
        <v>23.223032258064517</v>
      </c>
      <c r="AE230" s="174">
        <f t="shared" si="294"/>
        <v>24.403793637992834</v>
      </c>
      <c r="AF230" s="147"/>
      <c r="AH230" s="299">
        <v>1580.83</v>
      </c>
      <c r="AI230">
        <v>50.99</v>
      </c>
      <c r="AJ230">
        <v>54.33</v>
      </c>
      <c r="AK230">
        <v>180.2</v>
      </c>
      <c r="AM230" s="299">
        <v>17.98</v>
      </c>
      <c r="AN230">
        <v>0.57999999999999996</v>
      </c>
      <c r="AO230">
        <v>0.52</v>
      </c>
      <c r="AP230" t="s">
        <v>776</v>
      </c>
      <c r="AR230" s="284">
        <v>149.41999999999999</v>
      </c>
      <c r="AS230" s="1">
        <v>4.82</v>
      </c>
      <c r="AT230" s="1">
        <v>3.96</v>
      </c>
      <c r="AU230" s="1" t="s">
        <v>776</v>
      </c>
      <c r="AW230" s="284">
        <v>41.23</v>
      </c>
      <c r="AX230" s="1">
        <v>1.33</v>
      </c>
      <c r="AY230" s="1">
        <v>1.05</v>
      </c>
      <c r="AZ230" s="1" t="s">
        <v>776</v>
      </c>
      <c r="BB230" s="284">
        <v>26.97</v>
      </c>
      <c r="BC230" s="1">
        <v>0.87</v>
      </c>
      <c r="BD230" s="1">
        <v>0.66</v>
      </c>
      <c r="BE230" s="1" t="s">
        <v>776</v>
      </c>
      <c r="BG230" s="284">
        <v>25.42</v>
      </c>
      <c r="BH230" s="1">
        <v>0.82</v>
      </c>
      <c r="BI230" s="1">
        <v>0.78</v>
      </c>
      <c r="BJ230" s="1" t="s">
        <v>776</v>
      </c>
      <c r="BL230" s="284">
        <v>135.72999999999999</v>
      </c>
      <c r="BM230" s="1">
        <v>4.38</v>
      </c>
      <c r="BN230" s="1">
        <v>4.37</v>
      </c>
      <c r="BO230" s="1" t="s">
        <v>776</v>
      </c>
      <c r="BQ230" s="284">
        <v>12.71</v>
      </c>
      <c r="BR230" s="1">
        <v>0.41</v>
      </c>
      <c r="BS230" s="1">
        <v>0.35</v>
      </c>
      <c r="BT230" s="1" t="s">
        <v>776</v>
      </c>
      <c r="BV230" s="284">
        <v>6.51</v>
      </c>
      <c r="BW230" s="1">
        <v>0.21</v>
      </c>
      <c r="BX230" s="1">
        <v>0.19</v>
      </c>
      <c r="BY230" s="1" t="s">
        <v>776</v>
      </c>
      <c r="CA230" s="284">
        <v>15.81</v>
      </c>
      <c r="CB230" s="1">
        <v>0.51</v>
      </c>
      <c r="CC230" s="1">
        <v>0.41</v>
      </c>
      <c r="CD230" s="1" t="s">
        <v>776</v>
      </c>
      <c r="CF230" s="284">
        <v>45.56</v>
      </c>
      <c r="CG230" s="1">
        <v>1.47</v>
      </c>
      <c r="CH230" s="1">
        <v>1.47</v>
      </c>
      <c r="CI230" s="1" t="s">
        <v>776</v>
      </c>
      <c r="CK230" s="284">
        <v>149.18</v>
      </c>
      <c r="CL230" s="1">
        <v>4.8099999999999996</v>
      </c>
      <c r="CM230" s="1">
        <v>5.08</v>
      </c>
      <c r="CN230" s="1">
        <v>11.6</v>
      </c>
      <c r="CP230" s="284">
        <v>222.33</v>
      </c>
      <c r="CQ230" s="1">
        <v>7.17</v>
      </c>
      <c r="CR230" s="1">
        <v>7.73</v>
      </c>
      <c r="CS230" s="1">
        <v>12.92</v>
      </c>
      <c r="CU230" s="284">
        <v>158.28</v>
      </c>
      <c r="CV230" s="1">
        <v>5.1100000000000003</v>
      </c>
      <c r="CW230" s="1">
        <v>5.44</v>
      </c>
      <c r="CX230" s="1">
        <v>10.69</v>
      </c>
      <c r="CZ230" s="269">
        <v>22.42</v>
      </c>
      <c r="DA230" s="1">
        <v>0.72</v>
      </c>
      <c r="DC230" s="284">
        <v>21.54</v>
      </c>
      <c r="DD230" s="1">
        <v>0.69</v>
      </c>
      <c r="DE230" s="1">
        <v>0.65</v>
      </c>
      <c r="DF230" s="1" t="s">
        <v>776</v>
      </c>
      <c r="DH230" s="284">
        <f>DI230*31</f>
        <v>80.599999999999994</v>
      </c>
      <c r="DI230" s="1">
        <f t="shared" si="285"/>
        <v>2.5999999999999996</v>
      </c>
      <c r="DJ230" s="1">
        <f t="shared" si="286"/>
        <v>2.4175</v>
      </c>
      <c r="DM230" s="284">
        <f>DN230*31</f>
        <v>2931.1440000000007</v>
      </c>
      <c r="DN230" s="77">
        <f t="shared" si="287"/>
        <v>94.553032258064533</v>
      </c>
      <c r="DO230" s="77">
        <f t="shared" si="288"/>
        <v>97.522960304659492</v>
      </c>
      <c r="DP230" s="76"/>
      <c r="DQ230" s="76"/>
      <c r="DR230" s="284">
        <f>DS230*31</f>
        <v>573.5</v>
      </c>
      <c r="DS230" s="77">
        <f t="shared" si="289"/>
        <v>18.5</v>
      </c>
      <c r="DT230" s="77" t="e">
        <f>SUM(CH230+CM230+CR230+CW230+#REF!)</f>
        <v>#REF!</v>
      </c>
      <c r="DU230" s="76"/>
      <c r="DV230" s="76"/>
      <c r="DW230" s="284">
        <f>DX230*31</f>
        <v>3504.6440000000007</v>
      </c>
      <c r="DX230" s="77">
        <f t="shared" si="290"/>
        <v>113.05303225806453</v>
      </c>
      <c r="DY230" s="77">
        <f t="shared" si="291"/>
        <v>117.22937697132619</v>
      </c>
      <c r="EB230" s="2">
        <v>3.13</v>
      </c>
      <c r="EL230">
        <v>2016</v>
      </c>
      <c r="EM230" s="157" t="s">
        <v>716</v>
      </c>
      <c r="EN230" t="s">
        <v>841</v>
      </c>
      <c r="EO230">
        <v>188.08</v>
      </c>
      <c r="EP230" t="e">
        <f t="shared" si="292"/>
        <v>#VALUE!</v>
      </c>
    </row>
    <row r="231" spans="1:146" ht="13" thickBot="1" x14ac:dyDescent="0.3">
      <c r="A231" s="8">
        <v>2016</v>
      </c>
      <c r="B231" t="s">
        <v>708</v>
      </c>
      <c r="D231" s="284">
        <v>171.21</v>
      </c>
      <c r="E231" s="1">
        <v>5.52</v>
      </c>
      <c r="F231" s="1">
        <v>5.93</v>
      </c>
      <c r="G231" s="1">
        <v>7.29</v>
      </c>
      <c r="I231" s="284">
        <v>17.04</v>
      </c>
      <c r="J231" s="1">
        <v>0.55000000000000004</v>
      </c>
      <c r="K231" s="1">
        <v>0.51</v>
      </c>
      <c r="L231" s="1">
        <v>0.7</v>
      </c>
      <c r="N231" s="284">
        <v>84.99</v>
      </c>
      <c r="O231" s="1">
        <v>2.74</v>
      </c>
      <c r="P231" s="1">
        <v>3.36</v>
      </c>
      <c r="Q231" s="1">
        <v>4.92</v>
      </c>
      <c r="S231" s="284">
        <v>144.47999999999999</v>
      </c>
      <c r="T231" s="1">
        <v>4.66</v>
      </c>
      <c r="U231" s="1">
        <v>5.38</v>
      </c>
      <c r="V231" s="1">
        <v>8.58</v>
      </c>
      <c r="W231" s="105" t="s">
        <v>779</v>
      </c>
      <c r="X231" s="284">
        <v>576.71799999999996</v>
      </c>
      <c r="Y231" s="163">
        <f>+X231/31</f>
        <v>18.6038064516129</v>
      </c>
      <c r="Z231" s="163">
        <v>20.268474711981565</v>
      </c>
      <c r="AA231" s="163"/>
      <c r="AC231" s="300">
        <f t="shared" si="293"/>
        <v>721.19799999999998</v>
      </c>
      <c r="AD231" s="77">
        <f t="shared" si="295"/>
        <v>23.264451612903226</v>
      </c>
      <c r="AE231" s="174">
        <f t="shared" si="294"/>
        <v>24.389164605734766</v>
      </c>
      <c r="AF231" s="147"/>
      <c r="AH231" s="299">
        <v>1489.18</v>
      </c>
      <c r="AI231">
        <v>48.04</v>
      </c>
      <c r="AJ231">
        <v>54.18</v>
      </c>
      <c r="AK231">
        <v>219.4</v>
      </c>
      <c r="AM231" s="299">
        <v>8.3699999999999992</v>
      </c>
      <c r="AN231">
        <v>0.27</v>
      </c>
      <c r="AO231">
        <v>0.51</v>
      </c>
      <c r="AP231" t="s">
        <v>776</v>
      </c>
      <c r="AR231" s="284">
        <v>73.47</v>
      </c>
      <c r="AS231" s="1">
        <v>2.37</v>
      </c>
      <c r="AT231" s="1">
        <v>3.87</v>
      </c>
      <c r="AU231" s="1" t="s">
        <v>776</v>
      </c>
      <c r="AW231" s="284">
        <v>18.91</v>
      </c>
      <c r="AX231" s="1">
        <v>0.61</v>
      </c>
      <c r="AY231" s="1">
        <v>1.02</v>
      </c>
      <c r="AZ231" s="1" t="s">
        <v>776</v>
      </c>
      <c r="BB231" s="284">
        <v>14.26</v>
      </c>
      <c r="BC231" s="1">
        <v>0.46</v>
      </c>
      <c r="BD231" s="1">
        <v>0.67</v>
      </c>
      <c r="BE231" s="1" t="s">
        <v>776</v>
      </c>
      <c r="BG231" s="284">
        <v>12.71</v>
      </c>
      <c r="BH231" s="1">
        <v>0.41</v>
      </c>
      <c r="BI231" s="1">
        <v>0.76</v>
      </c>
      <c r="BJ231" s="1" t="s">
        <v>776</v>
      </c>
      <c r="BL231" s="284">
        <v>135.72999999999999</v>
      </c>
      <c r="BM231" s="1">
        <v>4.38</v>
      </c>
      <c r="BN231" s="1">
        <v>4.38</v>
      </c>
      <c r="BO231" s="1" t="s">
        <v>776</v>
      </c>
      <c r="BQ231" s="284">
        <v>6.51</v>
      </c>
      <c r="BR231" s="1">
        <v>0.21</v>
      </c>
      <c r="BS231" s="1">
        <v>0.34</v>
      </c>
      <c r="BT231" s="1" t="s">
        <v>776</v>
      </c>
      <c r="BV231" s="284">
        <v>3.41</v>
      </c>
      <c r="BW231" s="1">
        <v>0.11</v>
      </c>
      <c r="BX231" s="1">
        <v>0.19</v>
      </c>
      <c r="BY231" s="1" t="s">
        <v>776</v>
      </c>
      <c r="CA231" s="284">
        <v>7.75</v>
      </c>
      <c r="CB231" s="1">
        <v>0.25</v>
      </c>
      <c r="CC231" s="1">
        <v>0.4</v>
      </c>
      <c r="CD231" s="1" t="s">
        <v>776</v>
      </c>
      <c r="CF231" s="284">
        <v>45.56</v>
      </c>
      <c r="CG231" s="1">
        <v>1.47</v>
      </c>
      <c r="CH231" s="1">
        <v>1.47</v>
      </c>
      <c r="CI231" s="1" t="s">
        <v>776</v>
      </c>
      <c r="CK231" s="284">
        <v>169.63</v>
      </c>
      <c r="CL231" s="1">
        <v>5.47</v>
      </c>
      <c r="CM231" s="1">
        <v>5.19</v>
      </c>
      <c r="CP231" s="284">
        <v>208.33</v>
      </c>
      <c r="CQ231" s="1">
        <v>6.72</v>
      </c>
      <c r="CR231" s="1">
        <v>7.63</v>
      </c>
      <c r="CS231" s="1">
        <v>10.11</v>
      </c>
      <c r="CU231" s="284">
        <v>157.81</v>
      </c>
      <c r="CV231" s="1">
        <v>5.09</v>
      </c>
      <c r="CW231" s="1">
        <v>5.46</v>
      </c>
      <c r="CX231" s="1">
        <v>7.65</v>
      </c>
      <c r="CZ231" s="269">
        <v>22.52</v>
      </c>
      <c r="DA231" s="1">
        <v>0.73</v>
      </c>
      <c r="DC231" s="284">
        <v>21.54</v>
      </c>
      <c r="DD231" s="1">
        <v>0.69</v>
      </c>
      <c r="DE231" s="1">
        <v>0.67</v>
      </c>
      <c r="DF231" s="1" t="s">
        <v>776</v>
      </c>
      <c r="DH231" s="284">
        <f>DI231*31</f>
        <v>63.24</v>
      </c>
      <c r="DI231" s="1">
        <f t="shared" si="285"/>
        <v>2.04</v>
      </c>
      <c r="DJ231" s="1">
        <f t="shared" ref="DJ231:DJ239" si="296">SUM(DI220:DI231)/12</f>
        <v>2.3974999999999995</v>
      </c>
      <c r="DM231" s="284">
        <f>DN231*31</f>
        <v>2683.8079999999991</v>
      </c>
      <c r="DN231" s="77">
        <f t="shared" si="287"/>
        <v>86.574451612903204</v>
      </c>
      <c r="DO231" s="77">
        <f t="shared" ref="DO231:DO239" si="297">SUM(DN220:DN231)/12</f>
        <v>97.185831272401416</v>
      </c>
      <c r="DP231" s="76"/>
      <c r="DQ231" s="76"/>
      <c r="DR231" s="284">
        <f>DS231*31</f>
        <v>579.70000000000005</v>
      </c>
      <c r="DS231" s="77">
        <f t="shared" si="289"/>
        <v>18.700000000000003</v>
      </c>
      <c r="DT231" s="77" t="e">
        <f>SUM(CH231+CM231+CR231+CW231+#REF!)</f>
        <v>#REF!</v>
      </c>
      <c r="DU231" s="76"/>
      <c r="DV231" s="76"/>
      <c r="DW231" s="284">
        <f>DX231*31</f>
        <v>3263.5079999999994</v>
      </c>
      <c r="DX231" s="77">
        <f t="shared" ref="DX231:DX239" si="298">SUM(DN231+DS231)</f>
        <v>105.27445161290321</v>
      </c>
      <c r="DY231" s="77">
        <f t="shared" ref="DY231:DY239" si="299">SUM(DX220:DX231)/12</f>
        <v>116.94474793906812</v>
      </c>
      <c r="EB231" s="2">
        <v>2.79</v>
      </c>
      <c r="EL231">
        <v>2016</v>
      </c>
      <c r="EM231" s="157" t="s">
        <v>708</v>
      </c>
      <c r="EN231" t="s">
        <v>841</v>
      </c>
      <c r="EO231">
        <v>171.21</v>
      </c>
      <c r="EP231" t="e">
        <f t="shared" si="292"/>
        <v>#VALUE!</v>
      </c>
    </row>
    <row r="232" spans="1:146" ht="13" thickBot="1" x14ac:dyDescent="0.3">
      <c r="A232" s="8">
        <v>2016</v>
      </c>
      <c r="B232" t="s">
        <v>709</v>
      </c>
      <c r="D232" s="284">
        <v>148.1</v>
      </c>
      <c r="E232" s="1">
        <v>4.9400000000000004</v>
      </c>
      <c r="F232" s="1">
        <v>5.91</v>
      </c>
      <c r="G232" s="1">
        <v>8.0500000000000007</v>
      </c>
      <c r="I232" s="284">
        <v>16.239999999999998</v>
      </c>
      <c r="J232" s="1">
        <v>0.54</v>
      </c>
      <c r="K232" s="1">
        <v>0.51</v>
      </c>
      <c r="L232" s="1">
        <v>0.69</v>
      </c>
      <c r="N232" s="284">
        <v>83.93</v>
      </c>
      <c r="O232" s="1">
        <v>2.8</v>
      </c>
      <c r="P232" s="1">
        <v>3.32</v>
      </c>
      <c r="Q232" s="1">
        <v>7.05</v>
      </c>
      <c r="S232" s="284">
        <v>135.33000000000001</v>
      </c>
      <c r="T232" s="1">
        <v>4.51</v>
      </c>
      <c r="U232" s="1">
        <v>5.4</v>
      </c>
      <c r="V232" s="1">
        <v>8.26</v>
      </c>
      <c r="W232" s="105" t="s">
        <v>779</v>
      </c>
      <c r="X232" s="284">
        <v>535.24800000000005</v>
      </c>
      <c r="Y232" s="164">
        <f>+X232/30</f>
        <v>17.841600000000003</v>
      </c>
      <c r="Z232" s="164">
        <v>19.068000000000001</v>
      </c>
      <c r="AA232" s="164"/>
      <c r="AC232" s="300">
        <f t="shared" si="293"/>
        <v>670.57800000000009</v>
      </c>
      <c r="AD232" s="77">
        <f>+AC232/30</f>
        <v>22.352600000000002</v>
      </c>
      <c r="AE232" s="174">
        <f t="shared" si="294"/>
        <v>24.470214605734768</v>
      </c>
      <c r="AF232" s="147"/>
      <c r="AH232" s="299">
        <v>1417.54</v>
      </c>
      <c r="AI232">
        <v>47.25</v>
      </c>
      <c r="AJ232">
        <v>54.11</v>
      </c>
      <c r="AK232">
        <v>152.69999999999999</v>
      </c>
      <c r="AM232" s="299">
        <v>13.2</v>
      </c>
      <c r="AN232">
        <v>0.44</v>
      </c>
      <c r="AO232">
        <v>0.51</v>
      </c>
      <c r="AP232" t="s">
        <v>776</v>
      </c>
      <c r="AR232" s="284">
        <v>102.9</v>
      </c>
      <c r="AS232" s="1">
        <v>3.43</v>
      </c>
      <c r="AT232" s="1">
        <v>3.88</v>
      </c>
      <c r="AU232" s="1" t="s">
        <v>776</v>
      </c>
      <c r="AW232" s="284">
        <v>36</v>
      </c>
      <c r="AX232" s="1">
        <v>1.2</v>
      </c>
      <c r="AY232" s="1">
        <v>1.05</v>
      </c>
      <c r="AZ232" s="1" t="s">
        <v>776</v>
      </c>
      <c r="BB232" s="284">
        <v>20.7</v>
      </c>
      <c r="BC232" s="1">
        <v>0.69</v>
      </c>
      <c r="BD232" s="1">
        <v>0.68</v>
      </c>
      <c r="BE232" s="1" t="s">
        <v>776</v>
      </c>
      <c r="BG232" s="284">
        <v>19.2</v>
      </c>
      <c r="BH232" s="1">
        <v>0.64</v>
      </c>
      <c r="BI232" s="1">
        <v>0.76</v>
      </c>
      <c r="BJ232" s="1" t="s">
        <v>776</v>
      </c>
      <c r="BL232" s="284">
        <v>131.35</v>
      </c>
      <c r="BM232" s="1">
        <v>4.38</v>
      </c>
      <c r="BN232" s="1">
        <v>4.38</v>
      </c>
      <c r="BO232" s="1" t="s">
        <v>776</v>
      </c>
      <c r="BQ232" s="284">
        <v>9.3000000000000007</v>
      </c>
      <c r="BR232" s="1">
        <v>0.31</v>
      </c>
      <c r="BS232" s="1">
        <v>0.31</v>
      </c>
      <c r="BT232" s="1" t="s">
        <v>776</v>
      </c>
      <c r="BV232" s="284">
        <v>7.5</v>
      </c>
      <c r="BW232" s="1">
        <v>0.25</v>
      </c>
      <c r="BX232" s="1">
        <v>0.2</v>
      </c>
      <c r="BY232" s="1" t="s">
        <v>776</v>
      </c>
      <c r="CA232" s="284">
        <v>11.4</v>
      </c>
      <c r="CB232" s="1">
        <v>0.38</v>
      </c>
      <c r="CC232" s="1">
        <v>0.4</v>
      </c>
      <c r="CD232" s="1" t="s">
        <v>776</v>
      </c>
      <c r="CF232" s="284">
        <v>44.09</v>
      </c>
      <c r="CG232" s="1">
        <v>1.47</v>
      </c>
      <c r="CH232" s="1">
        <v>1.47</v>
      </c>
      <c r="CI232" s="1" t="s">
        <v>776</v>
      </c>
      <c r="CK232" s="284">
        <v>150.19999999999999</v>
      </c>
      <c r="CL232" s="1">
        <v>5.01</v>
      </c>
      <c r="CM232" s="1">
        <v>5.28</v>
      </c>
      <c r="CN232" s="1">
        <v>10.86</v>
      </c>
      <c r="CP232" s="284">
        <v>189.42</v>
      </c>
      <c r="CQ232" s="1">
        <v>6.31</v>
      </c>
      <c r="CR232" s="1">
        <v>7.54</v>
      </c>
      <c r="CS232" s="1">
        <v>12.42</v>
      </c>
      <c r="CU232" s="284">
        <v>147.91</v>
      </c>
      <c r="CV232" s="1">
        <v>4.93</v>
      </c>
      <c r="CW232" s="1">
        <v>5.48</v>
      </c>
      <c r="CX232" s="1">
        <v>10.130000000000001</v>
      </c>
      <c r="CZ232" s="269">
        <v>19.84</v>
      </c>
      <c r="DA232" s="1">
        <v>0.66</v>
      </c>
      <c r="DC232" s="284">
        <v>20.84</v>
      </c>
      <c r="DD232" s="1">
        <v>0.69</v>
      </c>
      <c r="DE232" s="1">
        <v>0.69</v>
      </c>
      <c r="DF232" s="1" t="s">
        <v>776</v>
      </c>
      <c r="DH232" s="284">
        <f>DI232*30</f>
        <v>72.300000000000011</v>
      </c>
      <c r="DI232" s="1">
        <f t="shared" si="285"/>
        <v>2.41</v>
      </c>
      <c r="DJ232" s="1">
        <f t="shared" si="296"/>
        <v>2.3833333333333333</v>
      </c>
      <c r="DM232" s="284">
        <f>DN232*30</f>
        <v>2587.578</v>
      </c>
      <c r="DN232" s="77">
        <f t="shared" si="287"/>
        <v>86.252600000000001</v>
      </c>
      <c r="DO232" s="77">
        <f t="shared" si="297"/>
        <v>97.211881272401442</v>
      </c>
      <c r="DP232" s="76"/>
      <c r="DQ232" s="76"/>
      <c r="DR232" s="284">
        <f>DS232*30</f>
        <v>528</v>
      </c>
      <c r="DS232" s="77">
        <f t="shared" si="289"/>
        <v>17.600000000000001</v>
      </c>
      <c r="DT232" s="77" t="e">
        <f>SUM(CH232+CM232+CR232+CW232+#REF!)</f>
        <v>#REF!</v>
      </c>
      <c r="DU232" s="76"/>
      <c r="DV232" s="76"/>
      <c r="DW232" s="284">
        <f>DX232*30</f>
        <v>3115.578</v>
      </c>
      <c r="DX232" s="77">
        <f t="shared" si="298"/>
        <v>103.8526</v>
      </c>
      <c r="DY232" s="77">
        <f t="shared" si="299"/>
        <v>117.01413127240146</v>
      </c>
      <c r="EB232" s="2">
        <v>2.5</v>
      </c>
      <c r="EL232">
        <v>2016</v>
      </c>
      <c r="EM232" s="157" t="s">
        <v>709</v>
      </c>
      <c r="EN232" t="s">
        <v>841</v>
      </c>
      <c r="EO232">
        <v>148.1</v>
      </c>
      <c r="EP232" t="e">
        <f t="shared" si="292"/>
        <v>#VALUE!</v>
      </c>
    </row>
    <row r="233" spans="1:146" ht="13" thickBot="1" x14ac:dyDescent="0.3">
      <c r="A233" s="8">
        <v>2016</v>
      </c>
      <c r="B233" t="s">
        <v>710</v>
      </c>
      <c r="D233" s="284">
        <v>152.22</v>
      </c>
      <c r="E233" s="1">
        <v>4.91</v>
      </c>
      <c r="F233" s="1">
        <v>5.87</v>
      </c>
      <c r="G233" s="1">
        <v>6.91</v>
      </c>
      <c r="I233" s="284">
        <v>16.309999999999999</v>
      </c>
      <c r="J233" s="1">
        <v>0.53</v>
      </c>
      <c r="K233" s="1">
        <v>0.52</v>
      </c>
      <c r="L233" s="1">
        <v>0.71</v>
      </c>
      <c r="N233" s="284">
        <v>83.8</v>
      </c>
      <c r="O233" s="1">
        <v>2.7</v>
      </c>
      <c r="P233" s="1">
        <v>3.25</v>
      </c>
      <c r="Q233" s="1">
        <v>4.68</v>
      </c>
      <c r="S233" s="284">
        <v>135.54</v>
      </c>
      <c r="T233" s="1">
        <v>4.37</v>
      </c>
      <c r="U233" s="1">
        <v>5.39</v>
      </c>
      <c r="V233" s="1">
        <v>6.78</v>
      </c>
      <c r="W233" s="105" t="s">
        <v>779</v>
      </c>
      <c r="X233" s="284">
        <f>X186</f>
        <v>553.89800000000002</v>
      </c>
      <c r="Y233" s="165">
        <f>+X233/31</f>
        <v>17.867677419354841</v>
      </c>
      <c r="Z233" s="165">
        <v>5.3421924731182804</v>
      </c>
      <c r="AA233" s="165"/>
      <c r="AC233" s="300">
        <f t="shared" si="293"/>
        <v>689.43799999999999</v>
      </c>
      <c r="AD233" s="175">
        <f>+AC233/31</f>
        <v>22.239935483870969</v>
      </c>
      <c r="AE233" s="176">
        <f t="shared" si="294"/>
        <v>24.541042562724016</v>
      </c>
      <c r="AF233" s="147"/>
      <c r="AH233" s="299">
        <v>1438.43</v>
      </c>
      <c r="AI233">
        <v>46.4</v>
      </c>
      <c r="AJ233">
        <v>53.75</v>
      </c>
      <c r="AK233">
        <v>147.30000000000001</v>
      </c>
      <c r="AM233" s="299">
        <v>13.95</v>
      </c>
      <c r="AN233">
        <v>0.45</v>
      </c>
      <c r="AO233">
        <v>0.51</v>
      </c>
      <c r="AP233" t="s">
        <v>776</v>
      </c>
      <c r="AR233" s="284">
        <v>103.23</v>
      </c>
      <c r="AS233" s="1">
        <v>3.33</v>
      </c>
      <c r="AT233" s="1">
        <v>3.86</v>
      </c>
      <c r="AU233" s="1" t="s">
        <v>776</v>
      </c>
      <c r="AW233" s="284">
        <v>39.68</v>
      </c>
      <c r="AX233" s="1">
        <v>1.28</v>
      </c>
      <c r="AY233" s="1">
        <v>1.08</v>
      </c>
      <c r="AZ233" s="1" t="s">
        <v>776</v>
      </c>
      <c r="BB233" s="284">
        <v>20.77</v>
      </c>
      <c r="BC233" s="1">
        <v>0.67</v>
      </c>
      <c r="BD233" s="1">
        <v>0.68</v>
      </c>
      <c r="BE233" s="1" t="s">
        <v>776</v>
      </c>
      <c r="BG233" s="284">
        <v>19.53</v>
      </c>
      <c r="BH233" s="1">
        <v>0.63</v>
      </c>
      <c r="BI233" s="1">
        <v>0.75</v>
      </c>
      <c r="BJ233" s="1" t="s">
        <v>776</v>
      </c>
      <c r="BL233" s="284">
        <v>131.38999999999999</v>
      </c>
      <c r="BM233" s="1">
        <v>4.24</v>
      </c>
      <c r="BN233" s="1">
        <v>4.37</v>
      </c>
      <c r="BO233" s="1" t="s">
        <v>776</v>
      </c>
      <c r="BQ233" s="284">
        <v>9.3000000000000007</v>
      </c>
      <c r="BR233" s="1">
        <v>0.3</v>
      </c>
      <c r="BS233" s="1">
        <v>0.31</v>
      </c>
      <c r="BT233" s="1" t="s">
        <v>776</v>
      </c>
      <c r="BV233" s="284">
        <v>8.99</v>
      </c>
      <c r="BW233" s="1">
        <v>0.28999999999999998</v>
      </c>
      <c r="BX233" s="1">
        <v>0.21</v>
      </c>
      <c r="BY233" s="1" t="s">
        <v>776</v>
      </c>
      <c r="CA233" s="284">
        <v>10.85</v>
      </c>
      <c r="CB233" s="1">
        <v>0.35</v>
      </c>
      <c r="CC233" s="1">
        <v>0.4</v>
      </c>
      <c r="CD233" s="1" t="s">
        <v>776</v>
      </c>
      <c r="CF233" s="284">
        <v>45.56</v>
      </c>
      <c r="CG233" s="1">
        <v>1.47</v>
      </c>
      <c r="CH233" s="1">
        <v>1.47</v>
      </c>
      <c r="CI233" s="1" t="s">
        <v>776</v>
      </c>
      <c r="CK233" s="284">
        <v>154.91999999999999</v>
      </c>
      <c r="CL233" s="1">
        <v>5</v>
      </c>
      <c r="CM233" s="1">
        <v>5.36</v>
      </c>
      <c r="CN233" s="1">
        <v>8.6999999999999993</v>
      </c>
      <c r="CP233" s="284">
        <v>186.93</v>
      </c>
      <c r="CQ233" s="1">
        <v>6.03</v>
      </c>
      <c r="CR233" s="1">
        <v>7.43</v>
      </c>
      <c r="CS233" s="1">
        <v>9.8000000000000007</v>
      </c>
      <c r="CU233" s="284">
        <v>154.18</v>
      </c>
      <c r="CV233" s="1">
        <v>4.97</v>
      </c>
      <c r="CW233" s="1">
        <v>5.48</v>
      </c>
      <c r="CX233" s="1">
        <v>7.55</v>
      </c>
      <c r="CZ233" s="269">
        <v>19.73</v>
      </c>
      <c r="DA233" s="1">
        <v>0.64</v>
      </c>
      <c r="DC233" s="284">
        <v>24.91</v>
      </c>
      <c r="DD233" s="1">
        <v>0.8</v>
      </c>
      <c r="DE233" s="1">
        <v>0.7</v>
      </c>
      <c r="DF233" s="1" t="s">
        <v>776</v>
      </c>
      <c r="DH233" s="284">
        <f>DI233*31</f>
        <v>74.710000000000008</v>
      </c>
      <c r="DI233" s="1">
        <f t="shared" ref="DI233:DI264" si="300">SUM(BR233+BW233+CB233+CG233)</f>
        <v>2.41</v>
      </c>
      <c r="DJ233" s="1">
        <f t="shared" si="296"/>
        <v>2.3866666666666663</v>
      </c>
      <c r="DM233" s="284">
        <f>DN233*31</f>
        <v>2634.0680000000002</v>
      </c>
      <c r="DN233" s="77">
        <f t="shared" ref="DN233:DN264" si="301">SUM(E233+J233+O233+AD233+AI233+AN233+AS233+AX233+BC233+BH233+BM233-DI233)</f>
        <v>84.96993548387097</v>
      </c>
      <c r="DO233" s="77">
        <f t="shared" si="297"/>
        <v>96.804375896057351</v>
      </c>
      <c r="DP233" s="76"/>
      <c r="DQ233" s="76"/>
      <c r="DR233" s="284">
        <f>DS233*31</f>
        <v>540.64</v>
      </c>
      <c r="DS233" s="77">
        <f t="shared" ref="DS233:DS264" si="302">SUM(CL233+CQ233+CV233+DA233+DD233)</f>
        <v>17.440000000000001</v>
      </c>
      <c r="DT233" s="77" t="e">
        <f>SUM(CH233+CM233+CR233+CW233+#REF!)</f>
        <v>#REF!</v>
      </c>
      <c r="DU233" s="76"/>
      <c r="DV233" s="76"/>
      <c r="DW233" s="284">
        <f>DX233*31</f>
        <v>3174.7080000000001</v>
      </c>
      <c r="DX233" s="77">
        <f t="shared" si="298"/>
        <v>102.40993548387097</v>
      </c>
      <c r="DY233" s="77">
        <f t="shared" si="299"/>
        <v>116.59520922939068</v>
      </c>
      <c r="EB233" s="2">
        <v>0.9</v>
      </c>
      <c r="EL233">
        <v>2016</v>
      </c>
      <c r="EM233" s="157" t="s">
        <v>710</v>
      </c>
      <c r="EN233" t="s">
        <v>841</v>
      </c>
      <c r="EO233">
        <v>152.22</v>
      </c>
      <c r="EP233" t="e">
        <f t="shared" si="292"/>
        <v>#VALUE!</v>
      </c>
    </row>
    <row r="234" spans="1:146" ht="13" thickBot="1" x14ac:dyDescent="0.3">
      <c r="A234" s="8">
        <v>2016</v>
      </c>
      <c r="B234" t="s">
        <v>711</v>
      </c>
      <c r="D234" s="284">
        <v>145.77000000000001</v>
      </c>
      <c r="E234" s="1">
        <v>4.8600000000000003</v>
      </c>
      <c r="F234" s="1">
        <v>5.86</v>
      </c>
      <c r="G234" s="1">
        <v>6.81</v>
      </c>
      <c r="I234" s="284">
        <v>17.22</v>
      </c>
      <c r="J234" s="1">
        <v>0.56999999999999995</v>
      </c>
      <c r="K234" s="1">
        <v>0.52</v>
      </c>
      <c r="L234" s="1">
        <v>0.73</v>
      </c>
      <c r="N234" s="284">
        <v>77.56</v>
      </c>
      <c r="O234" s="1">
        <v>2.59</v>
      </c>
      <c r="P234" s="1">
        <v>3.2</v>
      </c>
      <c r="Q234" s="1">
        <v>4.68</v>
      </c>
      <c r="S234" s="284">
        <v>125.71</v>
      </c>
      <c r="T234" s="1">
        <v>4.1900000000000004</v>
      </c>
      <c r="U234" s="1">
        <v>5.36</v>
      </c>
      <c r="V234" s="1">
        <v>7.07</v>
      </c>
      <c r="W234" s="105" t="s">
        <v>779</v>
      </c>
      <c r="X234" s="284">
        <v>503.52199999999999</v>
      </c>
      <c r="Y234" s="166">
        <f>+X234/30</f>
        <v>16.784066666666668</v>
      </c>
      <c r="Z234" s="166">
        <v>18.966999999999999</v>
      </c>
      <c r="AA234" s="166"/>
      <c r="AC234" s="300">
        <f t="shared" si="293"/>
        <v>629.23199999999997</v>
      </c>
      <c r="AD234" s="77">
        <f>+AC234/30</f>
        <v>20.974399999999999</v>
      </c>
      <c r="AE234" s="174">
        <f t="shared" si="294"/>
        <v>24.583909229390684</v>
      </c>
      <c r="AF234" s="147"/>
      <c r="AH234" s="299">
        <v>1352.55</v>
      </c>
      <c r="AI234">
        <v>45.09</v>
      </c>
      <c r="AJ234">
        <v>53.38</v>
      </c>
      <c r="AK234">
        <v>144.6</v>
      </c>
      <c r="AM234" s="299">
        <v>12.3</v>
      </c>
      <c r="AN234">
        <v>0.41</v>
      </c>
      <c r="AO234">
        <v>0.5</v>
      </c>
      <c r="AP234" t="s">
        <v>776</v>
      </c>
      <c r="AR234" s="284">
        <v>100.2</v>
      </c>
      <c r="AS234" s="1">
        <v>3.34</v>
      </c>
      <c r="AT234" s="1">
        <v>3.86</v>
      </c>
      <c r="AU234" s="1" t="s">
        <v>776</v>
      </c>
      <c r="AW234" s="284">
        <v>27.6</v>
      </c>
      <c r="AX234" s="1">
        <v>0.92</v>
      </c>
      <c r="AY234" s="1">
        <v>1.08</v>
      </c>
      <c r="AZ234" s="1" t="s">
        <v>776</v>
      </c>
      <c r="BB234" s="284">
        <v>19.8</v>
      </c>
      <c r="BC234" s="1">
        <v>0.66</v>
      </c>
      <c r="BD234" s="1">
        <v>0.69</v>
      </c>
      <c r="BE234" s="1" t="s">
        <v>776</v>
      </c>
      <c r="BG234" s="284">
        <v>17.399999999999999</v>
      </c>
      <c r="BH234" s="1">
        <v>0.57999999999999996</v>
      </c>
      <c r="BI234" s="1">
        <v>0.74</v>
      </c>
      <c r="BJ234" s="1" t="s">
        <v>776</v>
      </c>
      <c r="BL234" s="284">
        <v>127.16</v>
      </c>
      <c r="BM234" s="1">
        <v>4.24</v>
      </c>
      <c r="BN234" s="1">
        <v>4.3600000000000003</v>
      </c>
      <c r="BO234" s="1" t="s">
        <v>776</v>
      </c>
      <c r="BQ234" s="284">
        <v>8.4</v>
      </c>
      <c r="BR234" s="1">
        <v>0.28000000000000003</v>
      </c>
      <c r="BS234" s="1">
        <v>0.3</v>
      </c>
      <c r="BT234" s="1" t="s">
        <v>776</v>
      </c>
      <c r="BV234" s="284">
        <v>9.9</v>
      </c>
      <c r="BW234" s="1">
        <v>0.33</v>
      </c>
      <c r="BX234" s="1">
        <v>0.22</v>
      </c>
      <c r="BY234" s="1" t="s">
        <v>776</v>
      </c>
      <c r="CA234" s="284">
        <v>9.6</v>
      </c>
      <c r="CB234" s="1">
        <v>0.32</v>
      </c>
      <c r="CC234" s="1">
        <v>0.4</v>
      </c>
      <c r="CD234" s="1" t="s">
        <v>776</v>
      </c>
      <c r="CF234" s="284">
        <v>44.09</v>
      </c>
      <c r="CG234" s="1">
        <v>1.47</v>
      </c>
      <c r="CH234" s="1">
        <v>1.47</v>
      </c>
      <c r="CI234" s="1" t="s">
        <v>776</v>
      </c>
      <c r="CK234" s="284">
        <v>152.05000000000001</v>
      </c>
      <c r="CL234" s="1">
        <v>5.07</v>
      </c>
      <c r="CM234" s="1">
        <v>5.36</v>
      </c>
      <c r="CN234" s="1">
        <v>9.06</v>
      </c>
      <c r="CP234" s="284">
        <v>176.61</v>
      </c>
      <c r="CQ234" s="1">
        <v>5.89</v>
      </c>
      <c r="CR234" s="1">
        <v>7.3</v>
      </c>
      <c r="CS234" s="1">
        <v>9.57</v>
      </c>
      <c r="CU234" s="284">
        <v>139.96</v>
      </c>
      <c r="CV234" s="1">
        <v>4.67</v>
      </c>
      <c r="CW234" s="1">
        <v>5.46</v>
      </c>
      <c r="CX234" s="1">
        <v>7.42</v>
      </c>
      <c r="CZ234" s="269">
        <v>18.21</v>
      </c>
      <c r="DA234" s="1">
        <v>0.61</v>
      </c>
      <c r="DC234" s="284">
        <v>24.11</v>
      </c>
      <c r="DD234" s="1">
        <v>0.8</v>
      </c>
      <c r="DE234" s="1">
        <v>0.71</v>
      </c>
      <c r="DF234" s="1" t="s">
        <v>776</v>
      </c>
      <c r="DH234" s="284">
        <f>DI234*30</f>
        <v>72.000000000000014</v>
      </c>
      <c r="DI234" s="1">
        <f t="shared" si="300"/>
        <v>2.4000000000000004</v>
      </c>
      <c r="DJ234" s="1">
        <f t="shared" si="296"/>
        <v>2.3974999999999995</v>
      </c>
      <c r="DM234" s="284">
        <f>DN234*30</f>
        <v>2455.0319999999997</v>
      </c>
      <c r="DN234" s="77">
        <f t="shared" si="301"/>
        <v>81.834399999999988</v>
      </c>
      <c r="DO234" s="77">
        <f t="shared" si="297"/>
        <v>96.394742562724005</v>
      </c>
      <c r="DP234" s="76"/>
      <c r="DQ234" s="76"/>
      <c r="DR234" s="284">
        <f>DS234*30</f>
        <v>511.2000000000001</v>
      </c>
      <c r="DS234" s="77">
        <f t="shared" si="302"/>
        <v>17.040000000000003</v>
      </c>
      <c r="DT234" s="77" t="e">
        <f>SUM(CH234+CM234+CR234+CW234+#REF!)</f>
        <v>#REF!</v>
      </c>
      <c r="DU234" s="76"/>
      <c r="DV234" s="76"/>
      <c r="DW234" s="284">
        <f>DX234*30</f>
        <v>2966.232</v>
      </c>
      <c r="DX234" s="77">
        <f t="shared" si="298"/>
        <v>98.874399999999994</v>
      </c>
      <c r="DY234" s="77">
        <f t="shared" si="299"/>
        <v>116.01640922939066</v>
      </c>
      <c r="EB234" s="2">
        <v>0.76</v>
      </c>
      <c r="EL234">
        <v>2016</v>
      </c>
      <c r="EM234" s="157" t="s">
        <v>711</v>
      </c>
      <c r="EN234" t="s">
        <v>841</v>
      </c>
      <c r="EO234">
        <v>145.77000000000001</v>
      </c>
      <c r="EP234" t="e">
        <f t="shared" si="292"/>
        <v>#VALUE!</v>
      </c>
    </row>
    <row r="235" spans="1:146" ht="13" thickBot="1" x14ac:dyDescent="0.3">
      <c r="A235" s="8">
        <v>2016</v>
      </c>
      <c r="B235" t="s">
        <v>712</v>
      </c>
      <c r="D235" s="284">
        <v>153.9</v>
      </c>
      <c r="E235" s="1">
        <v>4.96</v>
      </c>
      <c r="F235" s="1">
        <v>5.86</v>
      </c>
      <c r="G235" s="1">
        <v>6.78</v>
      </c>
      <c r="I235" s="284">
        <v>17.11</v>
      </c>
      <c r="J235" s="1">
        <v>0.55000000000000004</v>
      </c>
      <c r="K235" s="1">
        <v>0.53</v>
      </c>
      <c r="L235" s="1">
        <v>0.77</v>
      </c>
      <c r="N235" s="284">
        <v>81.66</v>
      </c>
      <c r="O235" s="1">
        <v>2.63</v>
      </c>
      <c r="P235" s="1">
        <v>3.14</v>
      </c>
      <c r="Q235" s="1">
        <v>4.51</v>
      </c>
      <c r="S235" s="284">
        <v>120.04</v>
      </c>
      <c r="T235" s="1">
        <v>3.87</v>
      </c>
      <c r="U235" s="1">
        <v>5.27</v>
      </c>
      <c r="V235" s="1">
        <v>7.13</v>
      </c>
      <c r="W235" s="105" t="s">
        <v>779</v>
      </c>
      <c r="X235" s="284">
        <f>X126</f>
        <v>520.64700000000005</v>
      </c>
      <c r="Y235" s="167">
        <f>+X235/31</f>
        <v>16.795064516129035</v>
      </c>
      <c r="Z235" s="167">
        <v>19.432749884792624</v>
      </c>
      <c r="AA235" s="167"/>
      <c r="AC235" s="300">
        <f t="shared" si="293"/>
        <v>640.68700000000001</v>
      </c>
      <c r="AD235" s="77">
        <f t="shared" si="295"/>
        <v>20.667322580645163</v>
      </c>
      <c r="AE235" s="174">
        <f t="shared" si="294"/>
        <v>24.318686111111116</v>
      </c>
      <c r="AF235" s="146"/>
      <c r="AH235" s="299">
        <v>1477.42</v>
      </c>
      <c r="AI235">
        <v>47.66</v>
      </c>
      <c r="AJ235">
        <v>52.84</v>
      </c>
      <c r="AK235">
        <v>147.5</v>
      </c>
      <c r="AM235" s="299">
        <v>14.26</v>
      </c>
      <c r="AN235">
        <v>0.46</v>
      </c>
      <c r="AO235">
        <v>0.5</v>
      </c>
      <c r="AP235" t="s">
        <v>776</v>
      </c>
      <c r="AR235" s="284">
        <v>105.71</v>
      </c>
      <c r="AS235" s="1">
        <v>3.41</v>
      </c>
      <c r="AT235" s="1">
        <v>3.82</v>
      </c>
      <c r="AU235" s="1" t="s">
        <v>776</v>
      </c>
      <c r="AW235" s="284">
        <v>29.14</v>
      </c>
      <c r="AX235" s="1">
        <v>0.94</v>
      </c>
      <c r="AY235" s="1">
        <v>1.07</v>
      </c>
      <c r="AZ235" s="1" t="s">
        <v>776</v>
      </c>
      <c r="BB235" s="284">
        <v>21.08</v>
      </c>
      <c r="BC235" s="1">
        <v>0.68</v>
      </c>
      <c r="BD235" s="1">
        <v>0.69</v>
      </c>
      <c r="BE235" s="1" t="s">
        <v>776</v>
      </c>
      <c r="BG235" s="284">
        <v>21.08</v>
      </c>
      <c r="BH235" s="1">
        <v>0.68</v>
      </c>
      <c r="BI235" s="1">
        <v>0.73</v>
      </c>
      <c r="BJ235" s="1" t="s">
        <v>776</v>
      </c>
      <c r="BL235" s="284">
        <v>131.38999999999999</v>
      </c>
      <c r="BM235" s="1">
        <v>4.24</v>
      </c>
      <c r="BN235" s="1">
        <v>4.3499999999999996</v>
      </c>
      <c r="BO235" s="1" t="s">
        <v>776</v>
      </c>
      <c r="BQ235" s="284">
        <v>8.99</v>
      </c>
      <c r="BR235" s="1">
        <v>0.28999999999999998</v>
      </c>
      <c r="BS235" s="1">
        <v>0.3</v>
      </c>
      <c r="BT235" s="1" t="s">
        <v>776</v>
      </c>
      <c r="BV235" s="284">
        <v>17.05</v>
      </c>
      <c r="BW235" s="1">
        <v>0.55000000000000004</v>
      </c>
      <c r="BX235" s="1">
        <v>0.25</v>
      </c>
      <c r="BY235" s="1" t="s">
        <v>776</v>
      </c>
      <c r="CA235" s="284">
        <v>10.85</v>
      </c>
      <c r="CB235" s="1">
        <v>0.35</v>
      </c>
      <c r="CC235" s="1">
        <v>0.4</v>
      </c>
      <c r="CD235" s="1" t="s">
        <v>776</v>
      </c>
      <c r="CF235" s="284">
        <v>45.56</v>
      </c>
      <c r="CG235" s="1">
        <v>1.47</v>
      </c>
      <c r="CH235" s="1">
        <v>1.47</v>
      </c>
      <c r="CI235" s="1" t="s">
        <v>776</v>
      </c>
      <c r="CK235" s="284">
        <v>164.38</v>
      </c>
      <c r="CL235" s="1">
        <v>5.3</v>
      </c>
      <c r="CM235" s="1">
        <v>5.34</v>
      </c>
      <c r="CN235" s="1">
        <v>9.57</v>
      </c>
      <c r="CP235" s="284">
        <v>192.63</v>
      </c>
      <c r="CQ235" s="1">
        <v>6.21</v>
      </c>
      <c r="CR235" s="1">
        <v>7.2</v>
      </c>
      <c r="CS235" s="1">
        <v>9.26</v>
      </c>
      <c r="CU235" s="284">
        <v>157.16</v>
      </c>
      <c r="CV235" s="1">
        <v>5.07</v>
      </c>
      <c r="CW235" s="1">
        <v>5.44</v>
      </c>
      <c r="CX235" s="1">
        <v>7.82</v>
      </c>
      <c r="CZ235" s="269">
        <v>20.05</v>
      </c>
      <c r="DA235" s="1">
        <v>0.65</v>
      </c>
      <c r="DC235" s="284">
        <v>24.91</v>
      </c>
      <c r="DD235" s="1">
        <v>0.8</v>
      </c>
      <c r="DE235" s="1">
        <v>0.72</v>
      </c>
      <c r="DF235" s="1" t="s">
        <v>776</v>
      </c>
      <c r="DH235" s="284">
        <f>DI235*31</f>
        <v>82.460000000000008</v>
      </c>
      <c r="DI235" s="1">
        <f t="shared" si="300"/>
        <v>2.66</v>
      </c>
      <c r="DJ235" s="1">
        <f t="shared" si="296"/>
        <v>2.4216666666666664</v>
      </c>
      <c r="DM235" s="284">
        <f>DN235*31</f>
        <v>2610.7370000000001</v>
      </c>
      <c r="DN235" s="1">
        <f t="shared" si="301"/>
        <v>84.21732258064516</v>
      </c>
      <c r="DO235" s="1">
        <f t="shared" si="297"/>
        <v>95.440352777777775</v>
      </c>
      <c r="DR235" s="284">
        <f>DS235*31</f>
        <v>558.92999999999995</v>
      </c>
      <c r="DS235" s="1">
        <f t="shared" si="302"/>
        <v>18.029999999999998</v>
      </c>
      <c r="DT235" s="1" t="e">
        <f>SUM(CH235+CM235+CR235+CW235+#REF!)</f>
        <v>#REF!</v>
      </c>
      <c r="DW235" s="284">
        <f>DX235*31</f>
        <v>3169.6669999999999</v>
      </c>
      <c r="DX235" s="1">
        <f t="shared" si="298"/>
        <v>102.24732258064516</v>
      </c>
      <c r="DY235" s="1">
        <f t="shared" si="299"/>
        <v>114.93035277777778</v>
      </c>
      <c r="EB235" s="2">
        <v>2.61</v>
      </c>
      <c r="EL235">
        <v>2016</v>
      </c>
      <c r="EM235" s="157" t="s">
        <v>712</v>
      </c>
      <c r="EN235" t="s">
        <v>841</v>
      </c>
      <c r="EO235">
        <v>153.9</v>
      </c>
      <c r="EP235" t="e">
        <f t="shared" si="292"/>
        <v>#VALUE!</v>
      </c>
    </row>
    <row r="236" spans="1:146" ht="13" thickBot="1" x14ac:dyDescent="0.3">
      <c r="A236" s="8">
        <v>2017</v>
      </c>
      <c r="B236" t="s">
        <v>719</v>
      </c>
      <c r="D236" s="284">
        <v>153.77000000000001</v>
      </c>
      <c r="E236" s="1">
        <v>4.96</v>
      </c>
      <c r="F236" s="1">
        <v>5.81</v>
      </c>
      <c r="G236" s="1">
        <v>6.7</v>
      </c>
      <c r="I236" s="284">
        <v>16.57</v>
      </c>
      <c r="J236" s="1">
        <v>0.53</v>
      </c>
      <c r="K236" s="1">
        <v>0.53</v>
      </c>
      <c r="L236" s="1">
        <v>0.69</v>
      </c>
      <c r="N236" s="284">
        <v>94.3</v>
      </c>
      <c r="O236" s="1">
        <v>3.04</v>
      </c>
      <c r="P236" s="1">
        <v>3.11</v>
      </c>
      <c r="Q236" s="1">
        <v>5.85</v>
      </c>
      <c r="S236" s="284">
        <v>158.59</v>
      </c>
      <c r="T236" s="1">
        <v>5.12</v>
      </c>
      <c r="U236" s="1">
        <v>5.23</v>
      </c>
      <c r="V236" s="1">
        <v>8.3000000000000007</v>
      </c>
      <c r="W236" s="105" t="s">
        <v>779</v>
      </c>
      <c r="X236" s="284">
        <v>559.29</v>
      </c>
      <c r="Y236" s="168">
        <f>+X236/31</f>
        <v>18.041612903225804</v>
      </c>
      <c r="Z236" s="168">
        <v>19.432749884792624</v>
      </c>
      <c r="AA236" s="168"/>
      <c r="AC236" s="300">
        <f t="shared" si="293"/>
        <v>717.88</v>
      </c>
      <c r="AD236" s="77">
        <f t="shared" si="295"/>
        <v>23.157419354838709</v>
      </c>
      <c r="AE236" s="174">
        <f t="shared" si="294"/>
        <v>24.02763772401433</v>
      </c>
      <c r="AF236" s="147"/>
      <c r="AH236" s="299">
        <v>1559.74</v>
      </c>
      <c r="AI236">
        <v>50.31</v>
      </c>
      <c r="AJ236">
        <v>52.35</v>
      </c>
      <c r="AK236">
        <v>131.69999999999999</v>
      </c>
      <c r="AM236" s="299">
        <v>14.57</v>
      </c>
      <c r="AN236">
        <v>0.47</v>
      </c>
      <c r="AO236">
        <v>0.49</v>
      </c>
      <c r="AP236" t="s">
        <v>776</v>
      </c>
      <c r="AR236" s="284">
        <v>109.74</v>
      </c>
      <c r="AS236" s="1">
        <v>3.54</v>
      </c>
      <c r="AT236" s="1">
        <v>3.76</v>
      </c>
      <c r="AU236" s="1" t="s">
        <v>776</v>
      </c>
      <c r="AW236" s="284">
        <v>31.93</v>
      </c>
      <c r="AX236" s="1">
        <v>1.03</v>
      </c>
      <c r="AY236" s="1">
        <v>1.07</v>
      </c>
      <c r="AZ236" s="1" t="s">
        <v>776</v>
      </c>
      <c r="BB236" s="284">
        <v>21.7</v>
      </c>
      <c r="BC236" s="1">
        <v>0.7</v>
      </c>
      <c r="BD236" s="1">
        <v>0.69</v>
      </c>
      <c r="BE236" s="1" t="s">
        <v>776</v>
      </c>
      <c r="BG236" s="284">
        <v>22.01</v>
      </c>
      <c r="BH236" s="1">
        <v>0.71</v>
      </c>
      <c r="BI236" s="1">
        <v>0.72</v>
      </c>
      <c r="BJ236" s="1" t="s">
        <v>776</v>
      </c>
      <c r="BL236" s="284">
        <v>131.38999999999999</v>
      </c>
      <c r="BM236" s="1">
        <v>4.24</v>
      </c>
      <c r="BN236" s="1">
        <v>4.33</v>
      </c>
      <c r="BO236" s="1" t="s">
        <v>776</v>
      </c>
      <c r="BQ236" s="284">
        <v>8.3699999999999992</v>
      </c>
      <c r="BR236" s="1">
        <v>0.27</v>
      </c>
      <c r="BS236" s="1">
        <v>0.3</v>
      </c>
      <c r="BT236" s="1" t="s">
        <v>776</v>
      </c>
      <c r="BV236" s="284">
        <v>16.739999999999998</v>
      </c>
      <c r="BW236" s="1">
        <v>0.54</v>
      </c>
      <c r="BX236" s="1">
        <v>0.28000000000000003</v>
      </c>
      <c r="BY236" s="1" t="s">
        <v>776</v>
      </c>
      <c r="CA236" s="284">
        <v>10.85</v>
      </c>
      <c r="CB236" s="1">
        <v>0.35</v>
      </c>
      <c r="CC236" s="1">
        <v>0.39</v>
      </c>
      <c r="CD236" s="1" t="s">
        <v>776</v>
      </c>
      <c r="CF236" s="284">
        <v>45.56</v>
      </c>
      <c r="CG236" s="1">
        <v>1.47</v>
      </c>
      <c r="CH236" s="1">
        <v>1.47</v>
      </c>
      <c r="CI236" s="1" t="s">
        <v>776</v>
      </c>
      <c r="CK236" s="284">
        <v>184.75</v>
      </c>
      <c r="CL236" s="1">
        <v>5.96</v>
      </c>
      <c r="CM236" s="1">
        <v>5.4</v>
      </c>
      <c r="CN236" s="1">
        <v>11.12</v>
      </c>
      <c r="CP236" s="284">
        <v>193.02</v>
      </c>
      <c r="CQ236" s="1">
        <v>6.23</v>
      </c>
      <c r="CR236" s="1">
        <v>7.12</v>
      </c>
      <c r="CS236" s="1">
        <v>9.57</v>
      </c>
      <c r="CU236" s="284">
        <v>159.55000000000001</v>
      </c>
      <c r="CV236" s="1">
        <v>5.15</v>
      </c>
      <c r="CW236" s="1">
        <v>5.36</v>
      </c>
      <c r="CX236" s="1">
        <v>8.8000000000000007</v>
      </c>
      <c r="CZ236" s="269">
        <v>21.14</v>
      </c>
      <c r="DA236" s="1">
        <v>0.68</v>
      </c>
      <c r="DC236" s="284">
        <v>24.91</v>
      </c>
      <c r="DD236" s="1">
        <v>0.8</v>
      </c>
      <c r="DE236" s="1">
        <v>0.73</v>
      </c>
      <c r="DF236" s="1" t="s">
        <v>776</v>
      </c>
      <c r="DH236" s="284">
        <f>DI236*31</f>
        <v>81.53</v>
      </c>
      <c r="DI236" s="1">
        <f t="shared" si="300"/>
        <v>2.63</v>
      </c>
      <c r="DJ236" s="1">
        <f t="shared" si="296"/>
        <v>2.4391666666666665</v>
      </c>
      <c r="DM236" s="284">
        <f>DN236*31</f>
        <v>2791.78</v>
      </c>
      <c r="DN236" s="77">
        <f t="shared" si="301"/>
        <v>90.057419354838714</v>
      </c>
      <c r="DO236" s="77">
        <f t="shared" si="297"/>
        <v>94.458471057347666</v>
      </c>
      <c r="DP236" s="76"/>
      <c r="DQ236" s="76"/>
      <c r="DR236" s="284">
        <f>DS236*31</f>
        <v>583.42000000000007</v>
      </c>
      <c r="DS236" s="77">
        <f t="shared" si="302"/>
        <v>18.820000000000004</v>
      </c>
      <c r="DT236" s="77" t="e">
        <f>SUM(CH236+CM236+CR236+CW236+#REF!)</f>
        <v>#REF!</v>
      </c>
      <c r="DU236" s="76"/>
      <c r="DV236" s="76"/>
      <c r="DW236" s="284">
        <f>DX236*31</f>
        <v>3375.2000000000003</v>
      </c>
      <c r="DX236" s="77">
        <f t="shared" si="298"/>
        <v>108.87741935483872</v>
      </c>
      <c r="DY236" s="77">
        <f t="shared" si="299"/>
        <v>113.84847105734768</v>
      </c>
      <c r="EB236" s="2">
        <v>2.75</v>
      </c>
      <c r="EL236">
        <v>2017</v>
      </c>
      <c r="EM236" s="157" t="s">
        <v>719</v>
      </c>
      <c r="EN236" t="s">
        <v>841</v>
      </c>
      <c r="EO236">
        <v>153.77000000000001</v>
      </c>
      <c r="EP236" t="e">
        <f t="shared" si="292"/>
        <v>#VALUE!</v>
      </c>
    </row>
    <row r="237" spans="1:146" ht="13" thickBot="1" x14ac:dyDescent="0.3">
      <c r="A237" s="8">
        <v>2017</v>
      </c>
      <c r="B237" t="s">
        <v>713</v>
      </c>
      <c r="D237" s="284">
        <v>137.19999999999999</v>
      </c>
      <c r="E237" s="1">
        <v>4.9000000000000004</v>
      </c>
      <c r="F237" s="1">
        <v>5.61</v>
      </c>
      <c r="G237" s="1">
        <v>6.36</v>
      </c>
      <c r="I237" s="284">
        <v>14.76</v>
      </c>
      <c r="J237" s="1">
        <v>0.53</v>
      </c>
      <c r="K237" s="1">
        <v>0.52</v>
      </c>
      <c r="L237" s="1">
        <v>0.66</v>
      </c>
      <c r="N237" s="284">
        <v>87.04</v>
      </c>
      <c r="O237" s="1">
        <v>3.11</v>
      </c>
      <c r="P237" s="1">
        <v>3.04</v>
      </c>
      <c r="Q237" s="1">
        <v>5</v>
      </c>
      <c r="S237" s="284">
        <v>138.74</v>
      </c>
      <c r="T237" s="1">
        <v>4.96</v>
      </c>
      <c r="U237" s="1">
        <v>5.04</v>
      </c>
      <c r="V237" s="1">
        <v>7.47</v>
      </c>
      <c r="W237" s="105" t="s">
        <v>779</v>
      </c>
      <c r="X237" s="284">
        <v>520.64700000000005</v>
      </c>
      <c r="Y237" s="169">
        <f>+X237/28</f>
        <v>18.594535714285715</v>
      </c>
      <c r="Z237" s="169">
        <v>19.881110099846392</v>
      </c>
      <c r="AA237" s="169"/>
      <c r="AC237" s="300">
        <f t="shared" si="293"/>
        <v>659.38700000000006</v>
      </c>
      <c r="AD237" s="77">
        <f>+AC237/28</f>
        <v>23.549535714285717</v>
      </c>
      <c r="AE237" s="174">
        <f t="shared" si="294"/>
        <v>23.404265700204807</v>
      </c>
      <c r="AF237" s="147"/>
      <c r="AH237" s="299">
        <v>1318.88</v>
      </c>
      <c r="AI237">
        <v>47.1</v>
      </c>
      <c r="AJ237">
        <v>50.57</v>
      </c>
      <c r="AK237">
        <v>128.9</v>
      </c>
      <c r="AM237" s="299">
        <v>12.04</v>
      </c>
      <c r="AN237">
        <v>0.43</v>
      </c>
      <c r="AO237">
        <v>0.47</v>
      </c>
      <c r="AP237" t="s">
        <v>776</v>
      </c>
      <c r="AR237" s="284">
        <v>92.12</v>
      </c>
      <c r="AS237" s="1">
        <v>3.29</v>
      </c>
      <c r="AT237" s="1">
        <v>3.62</v>
      </c>
      <c r="AU237" s="1" t="s">
        <v>776</v>
      </c>
      <c r="AW237" s="284">
        <v>32.479999999999997</v>
      </c>
      <c r="AX237" s="1">
        <v>1.1599999999999999</v>
      </c>
      <c r="AY237" s="1">
        <v>1.06</v>
      </c>
      <c r="AZ237" s="1" t="s">
        <v>776</v>
      </c>
      <c r="BB237" s="284">
        <v>17.920000000000002</v>
      </c>
      <c r="BC237" s="1">
        <v>0.64</v>
      </c>
      <c r="BD237" s="1">
        <v>0.67</v>
      </c>
      <c r="BE237" s="1" t="s">
        <v>776</v>
      </c>
      <c r="BG237" s="284">
        <v>17.36</v>
      </c>
      <c r="BH237" s="1">
        <v>0.62</v>
      </c>
      <c r="BI237" s="1">
        <v>0.68</v>
      </c>
      <c r="BJ237" s="1" t="s">
        <v>776</v>
      </c>
      <c r="BL237" s="284">
        <v>118.68</v>
      </c>
      <c r="BM237" s="1">
        <v>4.24</v>
      </c>
      <c r="BN237" s="1">
        <v>4.32</v>
      </c>
      <c r="BO237" s="1" t="s">
        <v>776</v>
      </c>
      <c r="BQ237" s="284">
        <v>7.56</v>
      </c>
      <c r="BR237" s="1">
        <v>0.27</v>
      </c>
      <c r="BS237" s="1">
        <v>0.27</v>
      </c>
      <c r="BT237" s="1" t="s">
        <v>776</v>
      </c>
      <c r="BV237" s="284">
        <v>12.04</v>
      </c>
      <c r="BW237" s="1">
        <v>0.43</v>
      </c>
      <c r="BX237" s="1">
        <v>0.28000000000000003</v>
      </c>
      <c r="BY237" s="1" t="s">
        <v>776</v>
      </c>
      <c r="CA237" s="284">
        <v>8.9600000000000009</v>
      </c>
      <c r="CB237" s="1">
        <v>0.32</v>
      </c>
      <c r="CC237" s="1">
        <v>0.38</v>
      </c>
      <c r="CD237" s="1" t="s">
        <v>776</v>
      </c>
      <c r="CF237" s="284">
        <v>41.16</v>
      </c>
      <c r="CG237" s="1">
        <v>1.47</v>
      </c>
      <c r="CH237" s="1">
        <v>1.47</v>
      </c>
      <c r="CI237" s="1" t="s">
        <v>776</v>
      </c>
      <c r="CK237" s="284">
        <v>158.11000000000001</v>
      </c>
      <c r="CL237" s="1">
        <v>5.65</v>
      </c>
      <c r="CM237" s="1">
        <v>5.37</v>
      </c>
      <c r="CN237" s="1">
        <v>9.34</v>
      </c>
      <c r="CP237" s="284">
        <v>176.14</v>
      </c>
      <c r="CQ237" s="1">
        <v>6.29</v>
      </c>
      <c r="CR237" s="1">
        <v>6.88</v>
      </c>
      <c r="CS237" s="1">
        <v>9.7200000000000006</v>
      </c>
      <c r="CU237" s="284">
        <v>131.63</v>
      </c>
      <c r="CV237" s="1">
        <v>4.7</v>
      </c>
      <c r="CW237" s="1">
        <v>5.2</v>
      </c>
      <c r="CX237" s="1">
        <v>7.36</v>
      </c>
      <c r="CZ237" s="269">
        <v>18.309999999999999</v>
      </c>
      <c r="DA237" s="1">
        <v>0.65</v>
      </c>
      <c r="DC237" s="284">
        <v>22.5</v>
      </c>
      <c r="DD237" s="1">
        <v>0.8</v>
      </c>
      <c r="DE237" s="1">
        <v>0.74</v>
      </c>
      <c r="DF237" s="1" t="s">
        <v>776</v>
      </c>
      <c r="DH237" s="284">
        <f>DI237*28</f>
        <v>69.72</v>
      </c>
      <c r="DI237" s="1">
        <f t="shared" si="300"/>
        <v>2.4900000000000002</v>
      </c>
      <c r="DJ237" s="1">
        <f t="shared" si="296"/>
        <v>2.4000000000000004</v>
      </c>
      <c r="DM237" s="284">
        <f>DN237*28</f>
        <v>2438.2270000000003</v>
      </c>
      <c r="DN237" s="77">
        <f t="shared" si="301"/>
        <v>87.079535714285726</v>
      </c>
      <c r="DO237" s="77">
        <f t="shared" si="297"/>
        <v>91.557599033538125</v>
      </c>
      <c r="DP237" s="76"/>
      <c r="DQ237" s="76"/>
      <c r="DR237" s="284">
        <f>DS237*28</f>
        <v>506.52</v>
      </c>
      <c r="DS237" s="77">
        <f t="shared" si="302"/>
        <v>18.09</v>
      </c>
      <c r="DT237" s="77" t="e">
        <f>SUM(CH237+CM237+CR237+CW237+#REF!)</f>
        <v>#REF!</v>
      </c>
      <c r="DU237" s="76"/>
      <c r="DV237" s="76"/>
      <c r="DW237" s="284">
        <f>DX237*28</f>
        <v>2944.7470000000003</v>
      </c>
      <c r="DX237" s="77">
        <f t="shared" si="298"/>
        <v>105.16953571428573</v>
      </c>
      <c r="DY237" s="77">
        <f t="shared" si="299"/>
        <v>110.49509903353817</v>
      </c>
      <c r="EB237" s="2">
        <v>0.68</v>
      </c>
      <c r="EL237">
        <v>2017</v>
      </c>
      <c r="EM237" s="157" t="s">
        <v>713</v>
      </c>
      <c r="EN237" t="s">
        <v>841</v>
      </c>
      <c r="EO237">
        <v>137.19999999999999</v>
      </c>
      <c r="EP237" t="e">
        <f t="shared" si="292"/>
        <v>#VALUE!</v>
      </c>
    </row>
    <row r="238" spans="1:146" ht="13" thickBot="1" x14ac:dyDescent="0.3">
      <c r="A238" s="8">
        <v>2017</v>
      </c>
      <c r="B238" t="s">
        <v>714</v>
      </c>
      <c r="D238" s="284">
        <v>153.91</v>
      </c>
      <c r="E238" s="1">
        <v>4.96</v>
      </c>
      <c r="F238" s="1">
        <v>5.49</v>
      </c>
      <c r="G238" s="1">
        <v>7.61</v>
      </c>
      <c r="I238" s="284">
        <v>16.39</v>
      </c>
      <c r="J238" s="1">
        <v>0.53</v>
      </c>
      <c r="K238" s="1">
        <v>0.52</v>
      </c>
      <c r="L238" s="1">
        <v>0.66</v>
      </c>
      <c r="N238" s="284">
        <v>98.85</v>
      </c>
      <c r="O238" s="1">
        <v>3.19</v>
      </c>
      <c r="P238" s="1">
        <v>3.02</v>
      </c>
      <c r="Q238" s="1">
        <v>6.56</v>
      </c>
      <c r="S238" s="284">
        <v>160.78</v>
      </c>
      <c r="T238" s="1">
        <v>5.19</v>
      </c>
      <c r="U238" s="1">
        <v>4.9800000000000004</v>
      </c>
      <c r="V238" s="1">
        <v>9.4700000000000006</v>
      </c>
      <c r="W238" s="105" t="s">
        <v>779</v>
      </c>
      <c r="X238" s="284">
        <f>X128</f>
        <v>559.29</v>
      </c>
      <c r="Y238" s="169">
        <f>+X238/31</f>
        <v>18.041612903225804</v>
      </c>
      <c r="Z238" s="169">
        <v>19.881110099846392</v>
      </c>
      <c r="AA238" s="169"/>
      <c r="AC238" s="300">
        <f t="shared" si="293"/>
        <v>720.06999999999994</v>
      </c>
      <c r="AD238" s="77">
        <f t="shared" si="295"/>
        <v>23.228064516129031</v>
      </c>
      <c r="AE238" s="174">
        <f t="shared" si="294"/>
        <v>23.174937743215569</v>
      </c>
      <c r="AF238" s="147"/>
      <c r="AH238" s="299">
        <v>1532.34</v>
      </c>
      <c r="AI238">
        <v>49.43</v>
      </c>
      <c r="AJ238">
        <v>49.74</v>
      </c>
      <c r="AK238">
        <v>128.9</v>
      </c>
      <c r="AM238" s="299">
        <v>17.05</v>
      </c>
      <c r="AN238">
        <v>0.55000000000000004</v>
      </c>
      <c r="AO238">
        <v>0.47</v>
      </c>
      <c r="AP238" t="s">
        <v>776</v>
      </c>
      <c r="AR238" s="284">
        <v>113.15</v>
      </c>
      <c r="AS238" s="1">
        <v>3.65</v>
      </c>
      <c r="AT238" s="1">
        <v>3.59</v>
      </c>
      <c r="AU238" s="1" t="s">
        <v>776</v>
      </c>
      <c r="AW238" s="284">
        <v>18.91</v>
      </c>
      <c r="AX238" s="1">
        <v>0.61</v>
      </c>
      <c r="AY238" s="1">
        <v>1.02</v>
      </c>
      <c r="AZ238" s="1" t="s">
        <v>776</v>
      </c>
      <c r="BB238" s="284">
        <v>20.46</v>
      </c>
      <c r="BC238" s="1">
        <v>0.66</v>
      </c>
      <c r="BD238" s="1">
        <v>0.67</v>
      </c>
      <c r="BE238" s="1" t="s">
        <v>776</v>
      </c>
      <c r="BG238" s="284">
        <v>21.39</v>
      </c>
      <c r="BH238" s="1">
        <v>0.69</v>
      </c>
      <c r="BI238" s="1">
        <v>0.67</v>
      </c>
      <c r="BJ238" s="1" t="s">
        <v>776</v>
      </c>
      <c r="BL238" s="284">
        <v>131.38999999999999</v>
      </c>
      <c r="BM238" s="1">
        <v>4.24</v>
      </c>
      <c r="BN238" s="1">
        <v>4.3099999999999996</v>
      </c>
      <c r="BO238" s="1" t="s">
        <v>776</v>
      </c>
      <c r="BQ238" s="284">
        <v>8.3699999999999992</v>
      </c>
      <c r="BR238" s="1">
        <v>0.27</v>
      </c>
      <c r="BS238" s="1">
        <v>0.28000000000000003</v>
      </c>
      <c r="BT238" s="1" t="s">
        <v>776</v>
      </c>
      <c r="BV238" s="284">
        <v>16.12</v>
      </c>
      <c r="BW238" s="1">
        <v>0.52</v>
      </c>
      <c r="BX238" s="1">
        <v>0.31</v>
      </c>
      <c r="BY238" s="1" t="s">
        <v>776</v>
      </c>
      <c r="CA238" s="284">
        <v>11.47</v>
      </c>
      <c r="CB238" s="1">
        <v>0.37</v>
      </c>
      <c r="CC238" s="1">
        <v>0.37</v>
      </c>
      <c r="CD238" s="1" t="s">
        <v>776</v>
      </c>
      <c r="CF238" s="284">
        <v>45.56</v>
      </c>
      <c r="CG238" s="1">
        <v>1.47</v>
      </c>
      <c r="CH238" s="1">
        <v>1.47</v>
      </c>
      <c r="CI238" s="1" t="s">
        <v>776</v>
      </c>
      <c r="CK238" s="284">
        <v>190.4</v>
      </c>
      <c r="CL238" s="1">
        <v>6.14</v>
      </c>
      <c r="CM238" s="1">
        <v>5.43</v>
      </c>
      <c r="CN238" s="1">
        <v>11.96</v>
      </c>
      <c r="CP238" s="284">
        <v>193.96</v>
      </c>
      <c r="CQ238" s="1">
        <v>6.26</v>
      </c>
      <c r="CR238" s="1">
        <v>6.7</v>
      </c>
      <c r="CS238" s="1">
        <v>10.46</v>
      </c>
      <c r="CU238" s="284">
        <v>151.94</v>
      </c>
      <c r="CV238" s="1">
        <v>4.9000000000000004</v>
      </c>
      <c r="CW238" s="1">
        <v>5.14</v>
      </c>
      <c r="CX238" s="1">
        <v>9.18</v>
      </c>
      <c r="CZ238" s="269">
        <v>21.23</v>
      </c>
      <c r="DA238" s="1">
        <v>0.68</v>
      </c>
      <c r="DC238" s="284">
        <v>24.91</v>
      </c>
      <c r="DD238" s="1">
        <v>0.8</v>
      </c>
      <c r="DE238" s="1">
        <v>0.75</v>
      </c>
      <c r="DF238" s="1" t="s">
        <v>776</v>
      </c>
      <c r="DH238" s="284">
        <f>DI238*31</f>
        <v>81.53</v>
      </c>
      <c r="DI238" s="1">
        <f t="shared" si="300"/>
        <v>2.63</v>
      </c>
      <c r="DJ238" s="1">
        <f t="shared" si="296"/>
        <v>2.4341666666666666</v>
      </c>
      <c r="DM238" s="284">
        <f>DN238*31</f>
        <v>2762.35</v>
      </c>
      <c r="DN238" s="77">
        <f t="shared" si="301"/>
        <v>89.108064516129033</v>
      </c>
      <c r="DO238" s="77">
        <f t="shared" si="297"/>
        <v>90.244937743215573</v>
      </c>
      <c r="DP238" s="76"/>
      <c r="DQ238" s="76"/>
      <c r="DR238" s="284">
        <f>DS238*31</f>
        <v>582.17999999999995</v>
      </c>
      <c r="DS238" s="77">
        <f t="shared" si="302"/>
        <v>18.779999999999998</v>
      </c>
      <c r="DT238" s="77" t="e">
        <f>SUM(CH238+CM238+CR238+CW238+#REF!)</f>
        <v>#REF!</v>
      </c>
      <c r="DU238" s="76"/>
      <c r="DV238" s="76"/>
      <c r="DW238" s="284">
        <f>DX238*31</f>
        <v>3344.53</v>
      </c>
      <c r="DX238" s="77">
        <f t="shared" si="298"/>
        <v>107.88806451612903</v>
      </c>
      <c r="DY238" s="77">
        <f t="shared" si="299"/>
        <v>108.99327107654892</v>
      </c>
      <c r="EB238" s="2">
        <v>3.19</v>
      </c>
      <c r="EL238">
        <v>2017</v>
      </c>
      <c r="EM238" s="157" t="s">
        <v>714</v>
      </c>
      <c r="EN238" t="s">
        <v>841</v>
      </c>
      <c r="EO238">
        <v>153.91</v>
      </c>
      <c r="EP238" t="e">
        <f t="shared" si="292"/>
        <v>#VALUE!</v>
      </c>
    </row>
    <row r="239" spans="1:146" s="1" customFormat="1" ht="13.5" thickBot="1" x14ac:dyDescent="0.35">
      <c r="A239" s="8">
        <v>2017</v>
      </c>
      <c r="B239" s="95" t="s">
        <v>705</v>
      </c>
      <c r="C239" s="93"/>
      <c r="D239" s="284">
        <v>164.98</v>
      </c>
      <c r="E239" s="1">
        <v>5.5</v>
      </c>
      <c r="F239" s="1">
        <v>5.43</v>
      </c>
      <c r="G239" s="1">
        <v>7.78</v>
      </c>
      <c r="H239" s="96"/>
      <c r="I239" s="284">
        <v>16.09</v>
      </c>
      <c r="J239" s="97">
        <v>0.54</v>
      </c>
      <c r="K239" s="98">
        <v>0.52</v>
      </c>
      <c r="L239" s="94">
        <v>0.66</v>
      </c>
      <c r="M239" s="96"/>
      <c r="N239" s="294">
        <v>98.56</v>
      </c>
      <c r="O239" s="97">
        <v>3.29</v>
      </c>
      <c r="P239" s="98">
        <v>3.02</v>
      </c>
      <c r="Q239" s="94">
        <v>8.24</v>
      </c>
      <c r="R239" s="96"/>
      <c r="S239" s="294">
        <v>170.47</v>
      </c>
      <c r="T239" s="97">
        <v>5.68</v>
      </c>
      <c r="U239" s="98">
        <v>4.9800000000000004</v>
      </c>
      <c r="V239" s="94">
        <v>10.35</v>
      </c>
      <c r="W239" s="105" t="s">
        <v>779</v>
      </c>
      <c r="X239" s="284">
        <v>559.29</v>
      </c>
      <c r="Y239" s="168">
        <f>+X239/30</f>
        <v>18.642999999999997</v>
      </c>
      <c r="Z239" s="168">
        <v>19.432749884792624</v>
      </c>
      <c r="AA239" s="168"/>
      <c r="AB239" s="96"/>
      <c r="AC239" s="300">
        <f t="shared" si="293"/>
        <v>729.76</v>
      </c>
      <c r="AD239" s="77">
        <f>+AC239/30</f>
        <v>24.325333333333333</v>
      </c>
      <c r="AE239" s="174">
        <f t="shared" si="294"/>
        <v>23.226215520993346</v>
      </c>
      <c r="AF239" s="148"/>
      <c r="AG239" s="96"/>
      <c r="AH239" s="294">
        <v>1584.08</v>
      </c>
      <c r="AI239" s="97">
        <v>52.8</v>
      </c>
      <c r="AJ239" s="98">
        <v>49.62</v>
      </c>
      <c r="AK239" s="94">
        <v>130.19999999999999</v>
      </c>
      <c r="AL239" s="96"/>
      <c r="AM239" s="294">
        <v>17.7</v>
      </c>
      <c r="AN239" s="97">
        <v>0.59</v>
      </c>
      <c r="AO239" s="98">
        <v>0.48</v>
      </c>
      <c r="AP239" s="94" t="s">
        <v>776</v>
      </c>
      <c r="AQ239" s="96"/>
      <c r="AR239" s="294">
        <v>111.9</v>
      </c>
      <c r="AS239" s="97">
        <v>3.73</v>
      </c>
      <c r="AT239" s="98">
        <v>3.6</v>
      </c>
      <c r="AU239" s="94" t="s">
        <v>776</v>
      </c>
      <c r="AV239" s="96"/>
      <c r="AW239" s="294">
        <v>30.9</v>
      </c>
      <c r="AX239" s="97">
        <v>1.03</v>
      </c>
      <c r="AY239" s="98">
        <v>1.02</v>
      </c>
      <c r="AZ239" s="94" t="s">
        <v>776</v>
      </c>
      <c r="BA239" s="96"/>
      <c r="BB239" s="294">
        <v>21.3</v>
      </c>
      <c r="BC239" s="97">
        <v>0.71</v>
      </c>
      <c r="BD239" s="98">
        <v>0.67</v>
      </c>
      <c r="BE239" s="94" t="s">
        <v>776</v>
      </c>
      <c r="BF239" s="96"/>
      <c r="BG239" s="294">
        <v>22.5</v>
      </c>
      <c r="BH239" s="97">
        <v>0.75</v>
      </c>
      <c r="BI239" s="98">
        <v>0.67</v>
      </c>
      <c r="BJ239" s="94" t="s">
        <v>776</v>
      </c>
      <c r="BK239" s="96"/>
      <c r="BL239" s="294">
        <v>131.38999999999999</v>
      </c>
      <c r="BM239" s="97">
        <v>4.38</v>
      </c>
      <c r="BN239" s="98">
        <v>4.3099999999999996</v>
      </c>
      <c r="BO239" s="94" t="s">
        <v>776</v>
      </c>
      <c r="BP239" s="96"/>
      <c r="BQ239" s="316">
        <v>8.6999999999999993</v>
      </c>
      <c r="BR239" s="93">
        <v>0.28999999999999998</v>
      </c>
      <c r="BS239" s="98">
        <v>0.28999999999999998</v>
      </c>
      <c r="BT239" s="94" t="s">
        <v>776</v>
      </c>
      <c r="BU239" s="96"/>
      <c r="BV239" s="316">
        <v>11.4</v>
      </c>
      <c r="BW239" s="93">
        <v>0.38</v>
      </c>
      <c r="BX239" s="98">
        <v>0.33</v>
      </c>
      <c r="BY239" s="94" t="s">
        <v>776</v>
      </c>
      <c r="BZ239" s="96"/>
      <c r="CA239" s="294">
        <v>11.7</v>
      </c>
      <c r="CB239" s="97">
        <v>0.39</v>
      </c>
      <c r="CC239" s="98">
        <v>0.37</v>
      </c>
      <c r="CD239" s="94" t="s">
        <v>776</v>
      </c>
      <c r="CE239" s="96"/>
      <c r="CF239" s="294">
        <v>44.09</v>
      </c>
      <c r="CG239" s="97">
        <v>1.47</v>
      </c>
      <c r="CH239" s="98">
        <v>1.47</v>
      </c>
      <c r="CI239" s="94" t="s">
        <v>776</v>
      </c>
      <c r="CJ239" s="96"/>
      <c r="CK239" s="294">
        <v>167.76</v>
      </c>
      <c r="CL239" s="97">
        <v>5.59</v>
      </c>
      <c r="CM239" s="98">
        <v>5.47</v>
      </c>
      <c r="CN239" s="94">
        <v>9.11</v>
      </c>
      <c r="CO239" s="96"/>
      <c r="CP239" s="294">
        <v>191.82</v>
      </c>
      <c r="CQ239" s="97">
        <v>6.39</v>
      </c>
      <c r="CR239" s="98">
        <v>6.57</v>
      </c>
      <c r="CS239" s="94">
        <v>11.22</v>
      </c>
      <c r="CT239" s="96"/>
      <c r="CU239" s="294">
        <v>158.31</v>
      </c>
      <c r="CV239" s="97">
        <v>5.28</v>
      </c>
      <c r="CW239" s="98">
        <v>5.12</v>
      </c>
      <c r="CX239" s="94">
        <v>9.07</v>
      </c>
      <c r="CY239" s="94"/>
      <c r="CZ239" s="271">
        <v>21.1</v>
      </c>
      <c r="DA239" s="97">
        <v>0.7</v>
      </c>
      <c r="DB239" s="96"/>
      <c r="DC239" s="294">
        <v>24.11</v>
      </c>
      <c r="DD239" s="97">
        <v>0.8</v>
      </c>
      <c r="DE239" s="98">
        <v>0.75</v>
      </c>
      <c r="DF239" s="94" t="s">
        <v>776</v>
      </c>
      <c r="DG239" s="96"/>
      <c r="DH239" s="284">
        <f>DI239*30</f>
        <v>75.900000000000006</v>
      </c>
      <c r="DI239" s="1">
        <f t="shared" si="300"/>
        <v>2.5300000000000002</v>
      </c>
      <c r="DJ239" s="1">
        <f t="shared" si="296"/>
        <v>2.4700000000000002</v>
      </c>
      <c r="DM239" s="284">
        <f>DN239*30</f>
        <v>2853.4599999999996</v>
      </c>
      <c r="DN239" s="77">
        <f t="shared" si="301"/>
        <v>95.115333333333325</v>
      </c>
      <c r="DO239" s="77">
        <f t="shared" si="297"/>
        <v>90.097048854326673</v>
      </c>
      <c r="DP239" s="77"/>
      <c r="DQ239" s="77"/>
      <c r="DR239" s="284">
        <f>DS239*30</f>
        <v>562.80000000000007</v>
      </c>
      <c r="DS239" s="77">
        <f t="shared" si="302"/>
        <v>18.760000000000002</v>
      </c>
      <c r="DT239" s="77" t="e">
        <f>SUM(CH239+CM239+CR239+CW239+#REF!)</f>
        <v>#REF!</v>
      </c>
      <c r="DU239" s="77"/>
      <c r="DV239" s="77"/>
      <c r="DW239" s="284">
        <f>DX239*30</f>
        <v>3416.2599999999998</v>
      </c>
      <c r="DX239" s="77">
        <f t="shared" si="298"/>
        <v>113.87533333333333</v>
      </c>
      <c r="DY239" s="77">
        <f t="shared" si="299"/>
        <v>108.73204885432669</v>
      </c>
      <c r="EB239" s="2">
        <v>2.62</v>
      </c>
      <c r="EE239"/>
      <c r="EF239"/>
      <c r="EL239" s="1">
        <v>2017</v>
      </c>
      <c r="EM239" s="157" t="s">
        <v>705</v>
      </c>
      <c r="EN239" t="s">
        <v>841</v>
      </c>
      <c r="EO239">
        <v>164.98</v>
      </c>
      <c r="EP239" t="e">
        <f t="shared" si="292"/>
        <v>#VALUE!</v>
      </c>
    </row>
    <row r="240" spans="1:146" ht="13" thickBot="1" x14ac:dyDescent="0.3">
      <c r="A240" s="8">
        <v>2017</v>
      </c>
      <c r="B240" t="s">
        <v>715</v>
      </c>
      <c r="D240" s="284">
        <v>174.37</v>
      </c>
      <c r="E240" s="1">
        <v>5.62</v>
      </c>
      <c r="F240" s="1">
        <v>5.29</v>
      </c>
      <c r="G240" s="1">
        <v>9</v>
      </c>
      <c r="I240" s="284">
        <v>17.73</v>
      </c>
      <c r="J240" s="1">
        <v>0.56999999999999995</v>
      </c>
      <c r="K240" s="1">
        <v>0.52</v>
      </c>
      <c r="L240" s="1">
        <v>0.91</v>
      </c>
      <c r="N240" s="284">
        <v>108.35</v>
      </c>
      <c r="O240" s="1">
        <v>3.5</v>
      </c>
      <c r="P240" s="1">
        <v>3.01</v>
      </c>
      <c r="Q240" s="1">
        <v>11.57</v>
      </c>
      <c r="S240" s="284">
        <v>192.61</v>
      </c>
      <c r="T240" s="1">
        <v>6.21</v>
      </c>
      <c r="U240" s="1">
        <v>4.96</v>
      </c>
      <c r="V240" s="1">
        <v>13.98</v>
      </c>
      <c r="W240" s="105" t="s">
        <v>779</v>
      </c>
      <c r="X240" s="284">
        <v>563.86099999999999</v>
      </c>
      <c r="Y240" s="1">
        <f>+X240/31</f>
        <v>18.189064516129033</v>
      </c>
      <c r="Z240" s="1">
        <v>18.614999999999998</v>
      </c>
      <c r="AC240" s="300">
        <f t="shared" si="293"/>
        <v>756.471</v>
      </c>
      <c r="AD240" s="77">
        <f t="shared" si="295"/>
        <v>24.402290322580644</v>
      </c>
      <c r="AE240" s="174">
        <f t="shared" si="294"/>
        <v>23.060384875832053</v>
      </c>
      <c r="AF240" s="147"/>
      <c r="AH240" s="299">
        <v>1697.82</v>
      </c>
      <c r="AI240">
        <v>54.77</v>
      </c>
      <c r="AJ240">
        <v>49.32</v>
      </c>
      <c r="AK240">
        <v>159</v>
      </c>
      <c r="AM240" s="299">
        <v>17.670000000000002</v>
      </c>
      <c r="AN240">
        <v>0.56999999999999995</v>
      </c>
      <c r="AO240">
        <v>0.48</v>
      </c>
      <c r="AP240" t="s">
        <v>776</v>
      </c>
      <c r="AR240" s="284">
        <v>118.73</v>
      </c>
      <c r="AS240" s="1">
        <v>3.83</v>
      </c>
      <c r="AT240" s="1">
        <v>3.55</v>
      </c>
      <c r="AU240" s="1" t="s">
        <v>776</v>
      </c>
      <c r="AW240" s="284">
        <v>28.52</v>
      </c>
      <c r="AX240" s="1">
        <v>0.92</v>
      </c>
      <c r="AY240" s="1">
        <v>1.01</v>
      </c>
      <c r="AZ240" s="1" t="s">
        <v>776</v>
      </c>
      <c r="BB240" s="284">
        <v>21.7</v>
      </c>
      <c r="BC240" s="1">
        <v>0.7</v>
      </c>
      <c r="BD240" s="1">
        <v>0.68</v>
      </c>
      <c r="BE240" s="1" t="s">
        <v>776</v>
      </c>
      <c r="BG240" s="284">
        <v>23.87</v>
      </c>
      <c r="BH240" s="1">
        <v>0.77</v>
      </c>
      <c r="BI240" s="1">
        <v>0.67</v>
      </c>
      <c r="BJ240" s="1" t="s">
        <v>776</v>
      </c>
      <c r="BL240" s="284">
        <v>131.38999999999999</v>
      </c>
      <c r="BM240" s="1">
        <v>4.24</v>
      </c>
      <c r="BN240" s="1">
        <v>4.29</v>
      </c>
      <c r="BO240" s="1" t="s">
        <v>776</v>
      </c>
      <c r="BQ240" s="284">
        <v>11.47</v>
      </c>
      <c r="BR240" s="1">
        <v>0.37</v>
      </c>
      <c r="BS240" s="1">
        <v>0.3</v>
      </c>
      <c r="BT240" s="1" t="s">
        <v>776</v>
      </c>
      <c r="BV240" s="284">
        <v>13.02</v>
      </c>
      <c r="BW240" s="1">
        <v>0.42</v>
      </c>
      <c r="BX240" s="1">
        <v>0.35</v>
      </c>
      <c r="BY240" s="1" t="s">
        <v>776</v>
      </c>
      <c r="CA240" s="284">
        <v>12.4</v>
      </c>
      <c r="CB240" s="1">
        <v>0.4</v>
      </c>
      <c r="CC240" s="1">
        <v>0.37</v>
      </c>
      <c r="CD240" s="1" t="s">
        <v>776</v>
      </c>
      <c r="CF240" s="284">
        <v>45.56</v>
      </c>
      <c r="CG240" s="1">
        <v>1.47</v>
      </c>
      <c r="CH240" s="1">
        <v>1.47</v>
      </c>
      <c r="CI240" s="1" t="s">
        <v>776</v>
      </c>
      <c r="CK240" s="284">
        <v>189.63</v>
      </c>
      <c r="CL240" s="1">
        <v>6.12</v>
      </c>
      <c r="CM240" s="1">
        <v>5.49</v>
      </c>
      <c r="CN240" s="1">
        <v>11.13</v>
      </c>
      <c r="CP240" s="284">
        <v>200.77</v>
      </c>
      <c r="CQ240" s="1">
        <v>6.48</v>
      </c>
      <c r="CR240" s="1">
        <v>6.44</v>
      </c>
      <c r="CS240" s="1">
        <v>11.64</v>
      </c>
      <c r="CU240" s="284">
        <v>174.48</v>
      </c>
      <c r="CV240" s="1">
        <v>5.63</v>
      </c>
      <c r="CW240" s="1">
        <v>5.08</v>
      </c>
      <c r="CX240" s="1">
        <v>12.79</v>
      </c>
      <c r="CZ240" s="269">
        <v>23.66</v>
      </c>
      <c r="DA240" s="1">
        <v>0.76</v>
      </c>
      <c r="DC240" s="284">
        <v>24.91</v>
      </c>
      <c r="DD240" s="1">
        <v>0.8</v>
      </c>
      <c r="DE240" s="1">
        <v>0.76</v>
      </c>
      <c r="DF240" s="1" t="s">
        <v>776</v>
      </c>
      <c r="DH240" s="284">
        <f>DI240*31</f>
        <v>82.460000000000008</v>
      </c>
      <c r="DI240" s="1">
        <f t="shared" si="300"/>
        <v>2.66</v>
      </c>
      <c r="DJ240" s="1">
        <f t="shared" ref="DJ240:DJ246" si="303">SUM(DI229:DI240)/12</f>
        <v>2.4849999999999999</v>
      </c>
      <c r="DM240" s="284">
        <f>DN240*31</f>
        <v>3014.201</v>
      </c>
      <c r="DN240" s="77">
        <f t="shared" si="301"/>
        <v>97.232290322580639</v>
      </c>
      <c r="DO240" s="77">
        <f t="shared" ref="DO240:DO246" si="304">SUM(DN229:DN240)/12</f>
        <v>89.392051542498734</v>
      </c>
      <c r="DP240" s="76"/>
      <c r="DQ240" s="76"/>
      <c r="DR240" s="284">
        <f>DS240*31</f>
        <v>613.49000000000012</v>
      </c>
      <c r="DS240" s="77">
        <f t="shared" si="302"/>
        <v>19.790000000000003</v>
      </c>
      <c r="DT240" s="77" t="e">
        <f>SUM(CH240+CM240+CR240+CW240+#REF!)</f>
        <v>#REF!</v>
      </c>
      <c r="DU240" s="76"/>
      <c r="DV240" s="76"/>
      <c r="DW240" s="284">
        <f>DX240*31</f>
        <v>3627.6909999999998</v>
      </c>
      <c r="DX240" s="77">
        <f t="shared" ref="DX240:DX246" si="305">SUM(DN240+DS240)</f>
        <v>117.02229032258064</v>
      </c>
      <c r="DY240" s="77">
        <f t="shared" ref="DY240:DY246" si="306">SUM(DX229:DX240)/12</f>
        <v>107.86288487583205</v>
      </c>
      <c r="EB240" s="2">
        <v>5.55</v>
      </c>
      <c r="EL240">
        <v>2017</v>
      </c>
      <c r="EM240" s="157" t="s">
        <v>715</v>
      </c>
      <c r="EN240" t="s">
        <v>841</v>
      </c>
      <c r="EO240">
        <v>174.37</v>
      </c>
      <c r="EP240" t="e">
        <f t="shared" si="292"/>
        <v>#VALUE!</v>
      </c>
    </row>
    <row r="241" spans="1:146" ht="13" thickBot="1" x14ac:dyDescent="0.3">
      <c r="A241" s="8">
        <v>2017</v>
      </c>
      <c r="B241" t="s">
        <v>718</v>
      </c>
      <c r="D241" s="284">
        <v>152.41</v>
      </c>
      <c r="E241" s="1">
        <v>5.08</v>
      </c>
      <c r="F241" s="1">
        <v>5.19</v>
      </c>
      <c r="G241" s="1">
        <v>6.36</v>
      </c>
      <c r="I241" s="284">
        <v>16.7</v>
      </c>
      <c r="J241" s="1">
        <v>0.56000000000000005</v>
      </c>
      <c r="K241" s="1">
        <v>0.54</v>
      </c>
      <c r="L241" s="1">
        <v>0.72</v>
      </c>
      <c r="N241" s="284">
        <v>100.94</v>
      </c>
      <c r="O241" s="1">
        <v>3.36</v>
      </c>
      <c r="P241" s="1">
        <v>3.04</v>
      </c>
      <c r="Q241" s="1">
        <v>5.43</v>
      </c>
      <c r="S241" s="284">
        <v>173.26</v>
      </c>
      <c r="T241" s="1">
        <v>5.78</v>
      </c>
      <c r="U241" s="1">
        <v>4.9800000000000004</v>
      </c>
      <c r="V241" s="1">
        <v>8.3000000000000007</v>
      </c>
      <c r="W241" s="105" t="s">
        <v>779</v>
      </c>
      <c r="X241" s="284">
        <v>520.64700000000005</v>
      </c>
      <c r="Y241" s="169">
        <f>+X241/30</f>
        <v>17.354900000000001</v>
      </c>
      <c r="Z241" s="169">
        <v>19.881110099846392</v>
      </c>
      <c r="AA241" s="169"/>
      <c r="AC241" s="300">
        <f t="shared" si="293"/>
        <v>693.90700000000004</v>
      </c>
      <c r="AD241" s="77">
        <f>+AC241/30</f>
        <v>23.130233333333333</v>
      </c>
      <c r="AE241" s="174">
        <f t="shared" si="294"/>
        <v>22.876218209165387</v>
      </c>
      <c r="AF241" s="147"/>
      <c r="AH241" s="299">
        <v>1457.99</v>
      </c>
      <c r="AI241">
        <v>48.6</v>
      </c>
      <c r="AJ241">
        <v>49.04</v>
      </c>
      <c r="AK241">
        <v>128.30000000000001</v>
      </c>
      <c r="AM241" s="299">
        <v>14.1</v>
      </c>
      <c r="AN241">
        <v>0.47</v>
      </c>
      <c r="AO241">
        <v>0.47</v>
      </c>
      <c r="AP241" t="s">
        <v>776</v>
      </c>
      <c r="AR241" s="284">
        <v>106.8</v>
      </c>
      <c r="AS241" s="1">
        <v>3.56</v>
      </c>
      <c r="AT241" s="1">
        <v>3.53</v>
      </c>
      <c r="AU241" s="1" t="s">
        <v>776</v>
      </c>
      <c r="AW241" s="284">
        <v>34.799999999999997</v>
      </c>
      <c r="AX241" s="1">
        <v>1.1599999999999999</v>
      </c>
      <c r="AY241" s="1">
        <v>1.02</v>
      </c>
      <c r="AZ241" s="1" t="s">
        <v>776</v>
      </c>
      <c r="BB241" s="284">
        <v>18.899999999999999</v>
      </c>
      <c r="BC241" s="1">
        <v>0.63</v>
      </c>
      <c r="BD241" s="1">
        <v>0.67</v>
      </c>
      <c r="BE241" s="1" t="s">
        <v>776</v>
      </c>
      <c r="BG241" s="284">
        <v>17.399999999999999</v>
      </c>
      <c r="BH241" s="1">
        <v>0.57999999999999996</v>
      </c>
      <c r="BI241" s="1">
        <v>0.66</v>
      </c>
      <c r="BJ241" s="1" t="s">
        <v>776</v>
      </c>
      <c r="BL241" s="284">
        <v>127.16</v>
      </c>
      <c r="BM241" s="1">
        <v>4.24</v>
      </c>
      <c r="BN241" s="1">
        <v>4.28</v>
      </c>
      <c r="BO241" s="1" t="s">
        <v>776</v>
      </c>
      <c r="BQ241" s="284">
        <v>8.6999999999999993</v>
      </c>
      <c r="BR241" s="1">
        <v>0.28999999999999998</v>
      </c>
      <c r="BS241" s="1">
        <v>0.3</v>
      </c>
      <c r="BT241" s="1" t="s">
        <v>776</v>
      </c>
      <c r="BV241" s="284">
        <v>6.9</v>
      </c>
      <c r="BW241" s="1">
        <v>0.23</v>
      </c>
      <c r="BX241" s="1">
        <v>0.36</v>
      </c>
      <c r="BY241" s="1" t="s">
        <v>776</v>
      </c>
      <c r="CA241" s="284">
        <v>11.4</v>
      </c>
      <c r="CB241" s="1">
        <v>0.38</v>
      </c>
      <c r="CC241" s="1">
        <v>0.36</v>
      </c>
      <c r="CD241" s="1" t="s">
        <v>776</v>
      </c>
      <c r="CF241" s="284">
        <v>44.09</v>
      </c>
      <c r="CG241" s="1">
        <v>1.47</v>
      </c>
      <c r="CH241" s="1">
        <v>1.47</v>
      </c>
      <c r="CI241" s="1" t="s">
        <v>776</v>
      </c>
      <c r="CK241" s="284">
        <v>181.73</v>
      </c>
      <c r="CL241" s="1">
        <v>6.06</v>
      </c>
      <c r="CM241" s="1">
        <v>5.52</v>
      </c>
      <c r="CN241" s="1">
        <v>9.0399999999999991</v>
      </c>
      <c r="CP241" s="284">
        <v>183.8</v>
      </c>
      <c r="CQ241" s="1">
        <v>6.13</v>
      </c>
      <c r="CR241" s="1">
        <v>6.34</v>
      </c>
      <c r="CS241" s="1">
        <v>9.1300000000000008</v>
      </c>
      <c r="CU241" s="284">
        <v>152.07</v>
      </c>
      <c r="CV241" s="1">
        <v>5.07</v>
      </c>
      <c r="CW241" s="1">
        <v>5.05</v>
      </c>
      <c r="CX241" s="1">
        <v>7.42</v>
      </c>
      <c r="CZ241" s="269">
        <v>20.350000000000001</v>
      </c>
      <c r="DA241" s="1">
        <v>0.68</v>
      </c>
      <c r="DC241" s="284">
        <v>24.11</v>
      </c>
      <c r="DD241" s="1">
        <v>0.8</v>
      </c>
      <c r="DE241" s="1">
        <v>0.77</v>
      </c>
      <c r="DF241" s="1" t="s">
        <v>776</v>
      </c>
      <c r="DH241" s="284">
        <f>DI241*30</f>
        <v>71.100000000000009</v>
      </c>
      <c r="DI241" s="1">
        <f t="shared" si="300"/>
        <v>2.37</v>
      </c>
      <c r="DJ241" s="1">
        <f t="shared" si="303"/>
        <v>2.4858333333333333</v>
      </c>
      <c r="DM241" s="284">
        <f>DN241*30</f>
        <v>2670.0069999999996</v>
      </c>
      <c r="DN241" s="77">
        <f t="shared" si="301"/>
        <v>89.000233333333313</v>
      </c>
      <c r="DO241" s="77">
        <f t="shared" si="304"/>
        <v>88.83288487583205</v>
      </c>
      <c r="DP241" s="76"/>
      <c r="DQ241" s="76"/>
      <c r="DR241" s="284">
        <f>DS241*30</f>
        <v>562.19999999999993</v>
      </c>
      <c r="DS241" s="77">
        <f t="shared" si="302"/>
        <v>18.739999999999998</v>
      </c>
      <c r="DT241" s="77" t="e">
        <f>SUM(CH241+CM241+CR241+CW241+#REF!)</f>
        <v>#REF!</v>
      </c>
      <c r="DU241" s="76"/>
      <c r="DV241" s="76"/>
      <c r="DW241" s="284">
        <f>DX241*30</f>
        <v>3232.2069999999994</v>
      </c>
      <c r="DX241" s="77">
        <f t="shared" si="305"/>
        <v>107.74023333333331</v>
      </c>
      <c r="DY241" s="77">
        <f t="shared" si="306"/>
        <v>107.19038487583204</v>
      </c>
      <c r="EB241" s="2">
        <v>1.1299999999999999</v>
      </c>
      <c r="EL241">
        <v>2017</v>
      </c>
      <c r="EM241" s="157" t="s">
        <v>718</v>
      </c>
      <c r="EN241" t="s">
        <v>841</v>
      </c>
      <c r="EO241">
        <v>152.41</v>
      </c>
      <c r="EP241" t="e">
        <f t="shared" si="292"/>
        <v>#VALUE!</v>
      </c>
    </row>
    <row r="242" spans="1:146" ht="13" thickBot="1" x14ac:dyDescent="0.3">
      <c r="A242" s="8">
        <v>2017</v>
      </c>
      <c r="B242" t="s">
        <v>716</v>
      </c>
      <c r="D242" s="284">
        <v>148.72</v>
      </c>
      <c r="E242" s="1">
        <v>4.8</v>
      </c>
      <c r="F242" s="1">
        <v>5.08</v>
      </c>
      <c r="G242" s="1">
        <v>8.32</v>
      </c>
      <c r="I242" s="284">
        <v>18.39</v>
      </c>
      <c r="J242" s="1">
        <v>0.59</v>
      </c>
      <c r="K242" s="1">
        <v>0.55000000000000004</v>
      </c>
      <c r="L242" s="1">
        <v>1.04</v>
      </c>
      <c r="N242" s="284">
        <v>102.94</v>
      </c>
      <c r="O242" s="1">
        <v>3.32</v>
      </c>
      <c r="P242" s="1">
        <v>3.02</v>
      </c>
      <c r="Q242" s="1">
        <v>9.73</v>
      </c>
      <c r="S242" s="284">
        <v>189.27</v>
      </c>
      <c r="T242" s="1">
        <v>6.11</v>
      </c>
      <c r="U242" s="1">
        <v>5.05</v>
      </c>
      <c r="V242" s="1">
        <v>20.25</v>
      </c>
      <c r="W242" s="105" t="s">
        <v>779</v>
      </c>
      <c r="X242" s="284">
        <v>555.17700000000002</v>
      </c>
      <c r="Y242" s="170">
        <f>+X242/31</f>
        <v>17.90893548387097</v>
      </c>
      <c r="Z242" s="170">
        <v>20.259869873271889</v>
      </c>
      <c r="AA242" s="170"/>
      <c r="AC242" s="300">
        <f t="shared" si="293"/>
        <v>744.447</v>
      </c>
      <c r="AD242" s="77">
        <f t="shared" si="295"/>
        <v>24.014419354838711</v>
      </c>
      <c r="AE242" s="174">
        <f t="shared" si="294"/>
        <v>22.942167133896572</v>
      </c>
      <c r="AF242" s="147"/>
      <c r="AH242" s="299">
        <v>1580.73</v>
      </c>
      <c r="AI242">
        <v>50.99</v>
      </c>
      <c r="AJ242">
        <v>49.04</v>
      </c>
      <c r="AK242">
        <v>221.4</v>
      </c>
      <c r="AM242" s="299">
        <v>16.12</v>
      </c>
      <c r="AN242">
        <v>0.52</v>
      </c>
      <c r="AO242">
        <v>0.47</v>
      </c>
      <c r="AP242" t="s">
        <v>776</v>
      </c>
      <c r="AR242" s="284">
        <v>110.98</v>
      </c>
      <c r="AS242" s="1">
        <v>3.58</v>
      </c>
      <c r="AT242" s="1">
        <v>3.42</v>
      </c>
      <c r="AU242" s="1" t="s">
        <v>776</v>
      </c>
      <c r="AW242" s="284">
        <v>28.52</v>
      </c>
      <c r="AX242" s="1">
        <v>0.92</v>
      </c>
      <c r="AY242" s="1">
        <v>0.98</v>
      </c>
      <c r="AZ242" s="1" t="s">
        <v>776</v>
      </c>
      <c r="BB242" s="284">
        <v>20.77</v>
      </c>
      <c r="BC242" s="1">
        <v>0.67</v>
      </c>
      <c r="BD242" s="1">
        <v>0.66</v>
      </c>
      <c r="BE242" s="1" t="s">
        <v>776</v>
      </c>
      <c r="BG242" s="284">
        <v>20.46</v>
      </c>
      <c r="BH242" s="1">
        <v>0.66</v>
      </c>
      <c r="BI242" s="1">
        <v>0.64</v>
      </c>
      <c r="BJ242" s="1" t="s">
        <v>776</v>
      </c>
      <c r="BL242" s="284">
        <v>131.38999999999999</v>
      </c>
      <c r="BM242" s="1">
        <v>4.24</v>
      </c>
      <c r="BN242" s="1">
        <v>4.26</v>
      </c>
      <c r="BO242" s="1" t="s">
        <v>776</v>
      </c>
      <c r="BQ242" s="284">
        <v>9.92</v>
      </c>
      <c r="BR242" s="1">
        <v>0.32</v>
      </c>
      <c r="BS242" s="1">
        <v>0.28999999999999998</v>
      </c>
      <c r="BT242" s="1" t="s">
        <v>776</v>
      </c>
      <c r="BV242" s="284">
        <v>8.06</v>
      </c>
      <c r="BW242" s="1">
        <v>0.26</v>
      </c>
      <c r="BX242" s="1">
        <v>0.36</v>
      </c>
      <c r="BY242" s="1" t="s">
        <v>776</v>
      </c>
      <c r="CA242" s="284">
        <v>12.09</v>
      </c>
      <c r="CB242" s="1">
        <v>0.39</v>
      </c>
      <c r="CC242" s="1">
        <v>0.35</v>
      </c>
      <c r="CD242" s="1" t="s">
        <v>776</v>
      </c>
      <c r="CF242" s="284">
        <v>45.56</v>
      </c>
      <c r="CG242" s="1">
        <v>1.47</v>
      </c>
      <c r="CH242" s="1">
        <v>1.47</v>
      </c>
      <c r="CI242" s="1" t="s">
        <v>776</v>
      </c>
      <c r="CK242" s="284">
        <v>176.92</v>
      </c>
      <c r="CL242" s="1">
        <v>5.71</v>
      </c>
      <c r="CM242" s="1">
        <v>5.59</v>
      </c>
      <c r="CN242" s="1">
        <v>14.49</v>
      </c>
      <c r="CP242" s="284">
        <v>186.93</v>
      </c>
      <c r="CQ242" s="1">
        <v>6.03</v>
      </c>
      <c r="CR242" s="1">
        <v>6.25</v>
      </c>
      <c r="CS242" s="1">
        <v>9.8000000000000007</v>
      </c>
      <c r="CU242" s="284">
        <v>157.94999999999999</v>
      </c>
      <c r="CV242" s="1">
        <v>5.0999999999999996</v>
      </c>
      <c r="CW242" s="1">
        <v>5.05</v>
      </c>
      <c r="CX242" s="1">
        <v>12.76</v>
      </c>
      <c r="CZ242" s="269">
        <v>20.23</v>
      </c>
      <c r="DA242" s="1">
        <v>0.65</v>
      </c>
      <c r="DC242" s="284">
        <v>24.91</v>
      </c>
      <c r="DD242" s="1">
        <v>0.8</v>
      </c>
      <c r="DE242" s="1">
        <v>0.78</v>
      </c>
      <c r="DF242" s="1" t="s">
        <v>776</v>
      </c>
      <c r="DH242" s="284">
        <f>DI242*31</f>
        <v>75.64</v>
      </c>
      <c r="DI242" s="1">
        <f t="shared" si="300"/>
        <v>2.44</v>
      </c>
      <c r="DJ242" s="1">
        <f t="shared" si="303"/>
        <v>2.4725000000000001</v>
      </c>
      <c r="DM242" s="284">
        <f>DN242*31</f>
        <v>2847.7969999999996</v>
      </c>
      <c r="DN242" s="77">
        <f t="shared" si="301"/>
        <v>91.864419354838702</v>
      </c>
      <c r="DO242" s="77">
        <f t="shared" si="304"/>
        <v>88.608833800563218</v>
      </c>
      <c r="DP242" s="76"/>
      <c r="DQ242" s="76"/>
      <c r="DR242" s="284">
        <f>DS242*31</f>
        <v>566.99</v>
      </c>
      <c r="DS242" s="77">
        <f t="shared" si="302"/>
        <v>18.29</v>
      </c>
      <c r="DT242" s="77" t="e">
        <f>SUM(CH242+CM242+CR242+CW242+#REF!)</f>
        <v>#REF!</v>
      </c>
      <c r="DU242" s="76"/>
      <c r="DV242" s="76"/>
      <c r="DW242" s="284">
        <f>DX242*31</f>
        <v>3414.7869999999994</v>
      </c>
      <c r="DX242" s="77">
        <f t="shared" si="305"/>
        <v>110.15441935483869</v>
      </c>
      <c r="DY242" s="77">
        <f t="shared" si="306"/>
        <v>106.94883380056321</v>
      </c>
      <c r="EB242" s="2">
        <v>9.15</v>
      </c>
      <c r="EL242">
        <v>2017</v>
      </c>
      <c r="EM242" s="157" t="s">
        <v>716</v>
      </c>
      <c r="EN242" t="s">
        <v>841</v>
      </c>
      <c r="EO242">
        <v>148.72</v>
      </c>
      <c r="EP242" t="e">
        <f t="shared" si="292"/>
        <v>#VALUE!</v>
      </c>
    </row>
    <row r="243" spans="1:146" s="1" customFormat="1" ht="13" thickBot="1" x14ac:dyDescent="0.3">
      <c r="A243" s="8">
        <v>2017</v>
      </c>
      <c r="B243" s="101" t="s">
        <v>708</v>
      </c>
      <c r="C243" s="99"/>
      <c r="D243" s="286">
        <v>143.93</v>
      </c>
      <c r="E243" s="103">
        <v>4.6399999999999997</v>
      </c>
      <c r="F243" s="103">
        <v>5.01</v>
      </c>
      <c r="G243" s="100">
        <v>6.75</v>
      </c>
      <c r="H243" s="102"/>
      <c r="I243" s="286">
        <v>19.54</v>
      </c>
      <c r="J243" s="104">
        <v>0.63</v>
      </c>
      <c r="K243" s="103">
        <v>0.56000000000000005</v>
      </c>
      <c r="L243" s="100">
        <v>1.1299999999999999</v>
      </c>
      <c r="M243" s="102"/>
      <c r="N243" s="286">
        <v>101.48</v>
      </c>
      <c r="O243" s="104">
        <v>3.27</v>
      </c>
      <c r="P243" s="103">
        <v>3.07</v>
      </c>
      <c r="Q243" s="100">
        <v>10.52</v>
      </c>
      <c r="R243" s="102"/>
      <c r="S243" s="286">
        <v>182.96</v>
      </c>
      <c r="T243" s="104">
        <v>5.9</v>
      </c>
      <c r="U243" s="103">
        <v>5.16</v>
      </c>
      <c r="V243" s="100">
        <v>9.84</v>
      </c>
      <c r="W243" s="105" t="s">
        <v>779</v>
      </c>
      <c r="X243" s="284">
        <v>571.48299999999995</v>
      </c>
      <c r="Y243" s="171">
        <f>+X243/31</f>
        <v>18.434935483870966</v>
      </c>
      <c r="Z243" s="171">
        <v>21.142235279057861</v>
      </c>
      <c r="AA243" s="171"/>
      <c r="AB243" s="102"/>
      <c r="AC243" s="300">
        <f t="shared" si="293"/>
        <v>754.44299999999998</v>
      </c>
      <c r="AD243" s="77">
        <f t="shared" si="295"/>
        <v>24.336870967741934</v>
      </c>
      <c r="AE243" s="174">
        <f t="shared" si="294"/>
        <v>23.031535413466461</v>
      </c>
      <c r="AF243" s="149"/>
      <c r="AG243" s="102"/>
      <c r="AH243" s="286">
        <v>1689.89</v>
      </c>
      <c r="AI243" s="104">
        <v>54.51</v>
      </c>
      <c r="AJ243" s="103">
        <v>49.58</v>
      </c>
      <c r="AK243" s="100">
        <v>152.5</v>
      </c>
      <c r="AL243" s="102"/>
      <c r="AM243" s="286">
        <v>15.81</v>
      </c>
      <c r="AN243" s="104">
        <v>0.51</v>
      </c>
      <c r="AO243" s="103">
        <v>0.49</v>
      </c>
      <c r="AP243" s="100" t="s">
        <v>776</v>
      </c>
      <c r="AQ243" s="102"/>
      <c r="AR243" s="286">
        <v>119.66</v>
      </c>
      <c r="AS243" s="104">
        <v>3.86</v>
      </c>
      <c r="AT243" s="103">
        <v>3.55</v>
      </c>
      <c r="AU243" s="100" t="s">
        <v>776</v>
      </c>
      <c r="AV243" s="102"/>
      <c r="AW243" s="286">
        <v>26.66</v>
      </c>
      <c r="AX243" s="104">
        <v>0.86</v>
      </c>
      <c r="AY243" s="103">
        <v>1</v>
      </c>
      <c r="AZ243" s="100" t="s">
        <v>776</v>
      </c>
      <c r="BA243" s="102"/>
      <c r="BB243" s="286">
        <v>21.7</v>
      </c>
      <c r="BC243" s="104">
        <v>0.7</v>
      </c>
      <c r="BD243" s="103">
        <v>0.68</v>
      </c>
      <c r="BE243" s="100" t="s">
        <v>776</v>
      </c>
      <c r="BF243" s="102"/>
      <c r="BG243" s="286">
        <v>21.08</v>
      </c>
      <c r="BH243" s="104">
        <v>0.68</v>
      </c>
      <c r="BI243" s="103">
        <v>0.67</v>
      </c>
      <c r="BJ243" s="100" t="s">
        <v>776</v>
      </c>
      <c r="BK243" s="102"/>
      <c r="BL243" s="286">
        <v>131.38999999999999</v>
      </c>
      <c r="BM243" s="104">
        <v>4.24</v>
      </c>
      <c r="BN243" s="103">
        <v>4.25</v>
      </c>
      <c r="BO243" s="100" t="s">
        <v>776</v>
      </c>
      <c r="BP243" s="102"/>
      <c r="BQ243" s="317">
        <v>9.3000000000000007</v>
      </c>
      <c r="BR243" s="99">
        <v>0.3</v>
      </c>
      <c r="BS243" s="103">
        <v>0.3</v>
      </c>
      <c r="BT243" s="100" t="s">
        <v>776</v>
      </c>
      <c r="BU243" s="102"/>
      <c r="BV243" s="317">
        <v>7.13</v>
      </c>
      <c r="BW243" s="99">
        <v>0.23</v>
      </c>
      <c r="BX243" s="103">
        <v>0.37</v>
      </c>
      <c r="BY243" s="100" t="s">
        <v>776</v>
      </c>
      <c r="BZ243" s="102"/>
      <c r="CA243" s="286">
        <v>13.02</v>
      </c>
      <c r="CB243" s="104">
        <v>0.42</v>
      </c>
      <c r="CC243" s="103">
        <v>0.37</v>
      </c>
      <c r="CD243" s="100" t="s">
        <v>776</v>
      </c>
      <c r="CE243" s="102"/>
      <c r="CF243" s="286">
        <v>45.56</v>
      </c>
      <c r="CG243" s="104">
        <v>1.47</v>
      </c>
      <c r="CH243" s="103">
        <v>1.47</v>
      </c>
      <c r="CI243" s="100" t="s">
        <v>776</v>
      </c>
      <c r="CJ243" s="102"/>
      <c r="CK243" s="286">
        <v>162.31</v>
      </c>
      <c r="CL243" s="104">
        <v>5.24</v>
      </c>
      <c r="CM243" s="103">
        <v>5.57</v>
      </c>
      <c r="CN243" s="100">
        <v>12.31</v>
      </c>
      <c r="CO243" s="102"/>
      <c r="CP243" s="286">
        <v>189.79</v>
      </c>
      <c r="CQ243" s="104">
        <v>6.12</v>
      </c>
      <c r="CR243" s="103">
        <v>6.2</v>
      </c>
      <c r="CS243" s="100">
        <v>9.1300000000000008</v>
      </c>
      <c r="CT243" s="102"/>
      <c r="CU243" s="286">
        <v>162.58000000000001</v>
      </c>
      <c r="CV243" s="104">
        <v>5.24</v>
      </c>
      <c r="CW243" s="103">
        <v>5.0599999999999996</v>
      </c>
      <c r="CX243" s="100">
        <v>15.32</v>
      </c>
      <c r="CY243" s="100"/>
      <c r="CZ243" s="272">
        <v>19.559999999999999</v>
      </c>
      <c r="DA243" s="104">
        <v>0.63</v>
      </c>
      <c r="DB243" s="102"/>
      <c r="DC243" s="286">
        <v>24.91</v>
      </c>
      <c r="DD243" s="104">
        <v>0.8</v>
      </c>
      <c r="DE243" s="103">
        <v>0.79</v>
      </c>
      <c r="DF243" s="100" t="s">
        <v>776</v>
      </c>
      <c r="DG243" s="102"/>
      <c r="DH243" s="284">
        <f>DI243*31</f>
        <v>75.02</v>
      </c>
      <c r="DI243" s="1">
        <f t="shared" si="300"/>
        <v>2.42</v>
      </c>
      <c r="DJ243" s="1">
        <f t="shared" si="303"/>
        <v>2.5041666666666669</v>
      </c>
      <c r="DM243" s="284">
        <f>DN243*31</f>
        <v>2970.3230000000003</v>
      </c>
      <c r="DN243" s="77">
        <f t="shared" si="301"/>
        <v>95.816870967741949</v>
      </c>
      <c r="DO243" s="77">
        <f t="shared" si="304"/>
        <v>89.379035413466454</v>
      </c>
      <c r="DP243" s="76"/>
      <c r="DQ243" s="76"/>
      <c r="DR243" s="284">
        <f>DS243*31</f>
        <v>558.93000000000006</v>
      </c>
      <c r="DS243" s="77">
        <f t="shared" si="302"/>
        <v>18.03</v>
      </c>
      <c r="DT243" s="77" t="e">
        <f>SUM(CH243+CM243+CR243+CW243+#REF!)</f>
        <v>#REF!</v>
      </c>
      <c r="DU243" s="76"/>
      <c r="DV243" s="76"/>
      <c r="DW243" s="284">
        <f>DX243*31</f>
        <v>3529.2530000000006</v>
      </c>
      <c r="DX243" s="77">
        <f t="shared" si="305"/>
        <v>113.84687096774195</v>
      </c>
      <c r="DY243" s="77">
        <f t="shared" si="306"/>
        <v>107.66320208013313</v>
      </c>
      <c r="EB243" s="2">
        <v>4.59</v>
      </c>
      <c r="EE243"/>
      <c r="EF243"/>
      <c r="EL243" s="1">
        <v>2017</v>
      </c>
      <c r="EM243" s="157" t="s">
        <v>708</v>
      </c>
      <c r="EN243" t="s">
        <v>841</v>
      </c>
      <c r="EO243">
        <v>143.93</v>
      </c>
      <c r="EP243" t="e">
        <f t="shared" si="292"/>
        <v>#VALUE!</v>
      </c>
    </row>
    <row r="244" spans="1:146" ht="13" thickBot="1" x14ac:dyDescent="0.3">
      <c r="A244" s="8">
        <v>2017</v>
      </c>
      <c r="B244" t="s">
        <v>709</v>
      </c>
      <c r="D244" s="284">
        <v>129.51</v>
      </c>
      <c r="E244" s="1">
        <v>4.32</v>
      </c>
      <c r="F244" s="1">
        <v>4.96</v>
      </c>
      <c r="G244" s="1">
        <v>5.98</v>
      </c>
      <c r="I244" s="284">
        <v>19.18</v>
      </c>
      <c r="J244" s="1">
        <v>0.64</v>
      </c>
      <c r="K244" s="1">
        <v>0.56999999999999995</v>
      </c>
      <c r="L244" s="1">
        <v>0.87</v>
      </c>
      <c r="N244" s="284">
        <v>97.58</v>
      </c>
      <c r="O244" s="1">
        <v>3.25</v>
      </c>
      <c r="P244" s="1">
        <v>3.1</v>
      </c>
      <c r="Q244" s="1">
        <v>5.35</v>
      </c>
      <c r="S244" s="284">
        <v>170.9</v>
      </c>
      <c r="T244" s="1">
        <v>5.7</v>
      </c>
      <c r="U244" s="1">
        <v>5.26</v>
      </c>
      <c r="V244" s="1">
        <v>8.9499999999999993</v>
      </c>
      <c r="W244" s="105" t="s">
        <v>779</v>
      </c>
      <c r="X244" s="269">
        <v>532.83299999999997</v>
      </c>
      <c r="Y244" s="172">
        <f>+X244/30</f>
        <v>17.761099999999999</v>
      </c>
      <c r="Z244" s="172">
        <v>20.165240655401945</v>
      </c>
      <c r="AA244" s="172"/>
      <c r="AC244" s="300">
        <f t="shared" si="293"/>
        <v>703.73299999999995</v>
      </c>
      <c r="AD244" s="77">
        <f>+AC244/30</f>
        <v>23.457766666666664</v>
      </c>
      <c r="AE244" s="174">
        <f t="shared" si="294"/>
        <v>23.123632635688683</v>
      </c>
      <c r="AF244" s="147"/>
      <c r="AH244" s="299">
        <v>1478.17</v>
      </c>
      <c r="AI244">
        <v>49.27</v>
      </c>
      <c r="AJ244">
        <v>49.74</v>
      </c>
      <c r="AK244">
        <v>125.7</v>
      </c>
      <c r="AM244" s="299">
        <v>14.1</v>
      </c>
      <c r="AN244">
        <v>0.47</v>
      </c>
      <c r="AO244">
        <v>0.49</v>
      </c>
      <c r="AP244" t="s">
        <v>776</v>
      </c>
      <c r="AR244" s="284">
        <v>103.5</v>
      </c>
      <c r="AS244" s="1">
        <v>3.45</v>
      </c>
      <c r="AT244" s="1">
        <v>3.55</v>
      </c>
      <c r="AU244" s="1" t="s">
        <v>776</v>
      </c>
      <c r="AW244" s="284">
        <v>16.2</v>
      </c>
      <c r="AX244" s="1">
        <v>0.54</v>
      </c>
      <c r="AY244" s="1">
        <v>0.95</v>
      </c>
      <c r="AZ244" s="1" t="s">
        <v>776</v>
      </c>
      <c r="BB244" s="284">
        <v>24</v>
      </c>
      <c r="BC244" s="1">
        <v>0.8</v>
      </c>
      <c r="BD244" s="1">
        <v>0.69</v>
      </c>
      <c r="BE244" s="1" t="s">
        <v>776</v>
      </c>
      <c r="BG244" s="284">
        <v>18</v>
      </c>
      <c r="BH244" s="1">
        <v>0.6</v>
      </c>
      <c r="BI244" s="1">
        <v>0.66</v>
      </c>
      <c r="BJ244" s="1" t="s">
        <v>776</v>
      </c>
      <c r="BL244" s="284">
        <v>127.16</v>
      </c>
      <c r="BM244" s="1">
        <v>4.24</v>
      </c>
      <c r="BN244" s="1">
        <v>4.24</v>
      </c>
      <c r="BO244" s="1" t="s">
        <v>776</v>
      </c>
      <c r="BQ244" s="284">
        <v>8.6999999999999993</v>
      </c>
      <c r="BR244" s="1">
        <v>0.28999999999999998</v>
      </c>
      <c r="BS244" s="1">
        <v>0.3</v>
      </c>
      <c r="BT244" s="1" t="s">
        <v>776</v>
      </c>
      <c r="BV244" s="284">
        <v>3.9</v>
      </c>
      <c r="BW244" s="1">
        <v>0.13</v>
      </c>
      <c r="BX244" s="1">
        <v>0.36</v>
      </c>
      <c r="BY244" s="1" t="s">
        <v>776</v>
      </c>
      <c r="CA244" s="284">
        <v>11.4</v>
      </c>
      <c r="CB244" s="1">
        <v>0.38</v>
      </c>
      <c r="CC244" s="1">
        <v>0.37</v>
      </c>
      <c r="CD244" s="1" t="s">
        <v>776</v>
      </c>
      <c r="CF244" s="284">
        <v>44.09</v>
      </c>
      <c r="CG244" s="1">
        <v>1.47</v>
      </c>
      <c r="CH244" s="1">
        <v>1.47</v>
      </c>
      <c r="CI244" s="1" t="s">
        <v>776</v>
      </c>
      <c r="CK244" s="284">
        <v>153.5</v>
      </c>
      <c r="CL244" s="1">
        <v>5.12</v>
      </c>
      <c r="CM244" s="1">
        <v>5.58</v>
      </c>
      <c r="CN244" s="1">
        <v>9.75</v>
      </c>
      <c r="CP244" s="284">
        <v>176.61</v>
      </c>
      <c r="CQ244" s="1">
        <v>5.89</v>
      </c>
      <c r="CR244" s="1">
        <v>6.16</v>
      </c>
      <c r="CS244" s="1">
        <v>9.57</v>
      </c>
      <c r="CU244" s="284">
        <v>156.79</v>
      </c>
      <c r="CV244" s="1">
        <v>5.23</v>
      </c>
      <c r="CW244" s="1">
        <v>5.08</v>
      </c>
      <c r="CX244" s="1">
        <v>12.99</v>
      </c>
      <c r="CZ244" s="269">
        <v>18.43</v>
      </c>
      <c r="DA244" s="1">
        <v>0.61</v>
      </c>
      <c r="DC244" s="284">
        <v>24.11</v>
      </c>
      <c r="DD244" s="1">
        <v>0.8</v>
      </c>
      <c r="DE244" s="1">
        <v>0.8</v>
      </c>
      <c r="DF244" s="1" t="s">
        <v>776</v>
      </c>
      <c r="DH244" s="284">
        <f>DI244*30</f>
        <v>68.099999999999994</v>
      </c>
      <c r="DI244" s="1">
        <f t="shared" si="300"/>
        <v>2.27</v>
      </c>
      <c r="DJ244" s="1">
        <f t="shared" si="303"/>
        <v>2.4925000000000006</v>
      </c>
      <c r="DM244" s="284">
        <f>DN244*30</f>
        <v>2663.0330000000004</v>
      </c>
      <c r="DN244" s="77">
        <f t="shared" si="301"/>
        <v>88.767766666666674</v>
      </c>
      <c r="DO244" s="77">
        <f t="shared" si="304"/>
        <v>89.588632635688668</v>
      </c>
      <c r="DP244" s="76"/>
      <c r="DQ244" s="76"/>
      <c r="DR244" s="284">
        <f>DS244*30</f>
        <v>529.50000000000011</v>
      </c>
      <c r="DS244" s="77">
        <f t="shared" si="302"/>
        <v>17.650000000000002</v>
      </c>
      <c r="DT244" s="77" t="e">
        <f>SUM(CH244+CM244+CR244+CW244+#REF!)</f>
        <v>#REF!</v>
      </c>
      <c r="DU244" s="76"/>
      <c r="DV244" s="76"/>
      <c r="DW244" s="284">
        <f>DX244*30</f>
        <v>3192.5330000000004</v>
      </c>
      <c r="DX244" s="77">
        <f t="shared" si="305"/>
        <v>106.41776666666668</v>
      </c>
      <c r="DY244" s="77">
        <f t="shared" si="306"/>
        <v>107.87696596902202</v>
      </c>
      <c r="EB244" s="2">
        <v>1.43</v>
      </c>
      <c r="EL244">
        <v>2017</v>
      </c>
      <c r="EM244" s="157" t="s">
        <v>709</v>
      </c>
      <c r="EN244" t="s">
        <v>841</v>
      </c>
      <c r="EO244">
        <v>129.51</v>
      </c>
      <c r="EP244" t="e">
        <f t="shared" si="292"/>
        <v>#VALUE!</v>
      </c>
    </row>
    <row r="245" spans="1:146" s="76" customFormat="1" ht="13" thickBot="1" x14ac:dyDescent="0.3">
      <c r="A245" s="263">
        <v>2017</v>
      </c>
      <c r="B245" s="76" t="s">
        <v>710</v>
      </c>
      <c r="D245" s="284">
        <v>127.4</v>
      </c>
      <c r="E245" s="77">
        <v>4.1100000000000003</v>
      </c>
      <c r="F245" s="77">
        <v>4.8899999999999997</v>
      </c>
      <c r="G245" s="77">
        <v>5.78</v>
      </c>
      <c r="H245" s="77"/>
      <c r="I245" s="284">
        <v>19.579999999999998</v>
      </c>
      <c r="J245" s="77">
        <v>0.63</v>
      </c>
      <c r="K245" s="77">
        <v>0.56999999999999995</v>
      </c>
      <c r="L245" s="77">
        <v>1.03</v>
      </c>
      <c r="N245" s="284">
        <v>94.2</v>
      </c>
      <c r="O245" s="77">
        <v>3.04</v>
      </c>
      <c r="P245" s="77">
        <v>3.13</v>
      </c>
      <c r="Q245" s="77">
        <v>6.11</v>
      </c>
      <c r="S245" s="284">
        <v>165.32</v>
      </c>
      <c r="T245" s="77">
        <v>5.33</v>
      </c>
      <c r="U245" s="77">
        <v>5.34</v>
      </c>
      <c r="V245" s="77">
        <v>9.1</v>
      </c>
      <c r="W245" s="106" t="s">
        <v>779</v>
      </c>
      <c r="X245" s="269">
        <v>532.83299999999997</v>
      </c>
      <c r="Y245" s="172">
        <f>+X245/31</f>
        <v>17.188161290322579</v>
      </c>
      <c r="Z245" s="172">
        <v>20.165240655401945</v>
      </c>
      <c r="AA245" s="172"/>
      <c r="AB245" s="150"/>
      <c r="AC245" s="300">
        <f t="shared" si="293"/>
        <v>698.15300000000002</v>
      </c>
      <c r="AD245" s="77">
        <f>+AC245/31</f>
        <v>22.521064516129034</v>
      </c>
      <c r="AE245" s="174">
        <f t="shared" si="294"/>
        <v>23.147060055043525</v>
      </c>
      <c r="AF245" s="151"/>
      <c r="AH245" s="299">
        <v>1442.33</v>
      </c>
      <c r="AI245" s="76">
        <v>46.53</v>
      </c>
      <c r="AJ245" s="76">
        <v>49.76</v>
      </c>
      <c r="AK245" s="76">
        <v>127.4</v>
      </c>
      <c r="AM245" s="299">
        <v>13.95</v>
      </c>
      <c r="AN245" s="76">
        <v>0.45</v>
      </c>
      <c r="AO245" s="76">
        <v>0.49</v>
      </c>
      <c r="AP245" s="76" t="s">
        <v>776</v>
      </c>
      <c r="AR245" s="284">
        <v>106.33</v>
      </c>
      <c r="AS245" s="77">
        <v>3.43</v>
      </c>
      <c r="AT245" s="77">
        <v>3.56</v>
      </c>
      <c r="AU245" s="77" t="s">
        <v>776</v>
      </c>
      <c r="AW245" s="284">
        <v>18.600000000000001</v>
      </c>
      <c r="AX245" s="77">
        <v>0.6</v>
      </c>
      <c r="AY245" s="77">
        <v>0.89</v>
      </c>
      <c r="AZ245" s="77" t="s">
        <v>776</v>
      </c>
      <c r="BB245" s="284">
        <v>21.39</v>
      </c>
      <c r="BC245" s="77">
        <v>0.69</v>
      </c>
      <c r="BD245" s="77">
        <v>0.69</v>
      </c>
      <c r="BE245" s="77" t="s">
        <v>776</v>
      </c>
      <c r="BG245" s="284">
        <v>18.600000000000001</v>
      </c>
      <c r="BH245" s="77">
        <v>0.6</v>
      </c>
      <c r="BI245" s="77">
        <v>0.66</v>
      </c>
      <c r="BJ245" s="77" t="s">
        <v>776</v>
      </c>
      <c r="BL245" s="284">
        <v>124.37</v>
      </c>
      <c r="BM245" s="77">
        <v>4.01</v>
      </c>
      <c r="BN245" s="77">
        <v>4.22</v>
      </c>
      <c r="BO245" s="77" t="s">
        <v>776</v>
      </c>
      <c r="BQ245" s="284">
        <v>8.68</v>
      </c>
      <c r="BR245" s="77">
        <v>0.28000000000000003</v>
      </c>
      <c r="BS245" s="77">
        <v>0.28999999999999998</v>
      </c>
      <c r="BT245" s="77" t="s">
        <v>776</v>
      </c>
      <c r="BV245" s="284">
        <v>4.03</v>
      </c>
      <c r="BW245" s="77">
        <v>0.13</v>
      </c>
      <c r="BX245" s="77">
        <v>0.35</v>
      </c>
      <c r="BY245" s="77" t="s">
        <v>776</v>
      </c>
      <c r="CA245" s="284">
        <v>11.16</v>
      </c>
      <c r="CB245" s="77">
        <v>0.36</v>
      </c>
      <c r="CC245" s="77">
        <v>0.37</v>
      </c>
      <c r="CD245" s="77" t="s">
        <v>776</v>
      </c>
      <c r="CF245" s="284">
        <v>45.69</v>
      </c>
      <c r="CG245" s="77">
        <v>1.47</v>
      </c>
      <c r="CH245" s="77">
        <v>1.47</v>
      </c>
      <c r="CI245" s="77" t="s">
        <v>776</v>
      </c>
      <c r="CK245" s="284">
        <v>153.77000000000001</v>
      </c>
      <c r="CL245" s="77">
        <v>4.96</v>
      </c>
      <c r="CM245" s="77">
        <v>5.58</v>
      </c>
      <c r="CN245" s="77">
        <v>9.51</v>
      </c>
      <c r="CP245" s="284">
        <v>182.53</v>
      </c>
      <c r="CQ245" s="77">
        <v>5.89</v>
      </c>
      <c r="CR245" s="77">
        <v>6.15</v>
      </c>
      <c r="CS245" s="77">
        <v>9.57</v>
      </c>
      <c r="CU245" s="284">
        <v>160.9</v>
      </c>
      <c r="CV245" s="77">
        <v>5.19</v>
      </c>
      <c r="CW245" s="77">
        <v>5.0999999999999996</v>
      </c>
      <c r="CX245" s="77">
        <v>7.85</v>
      </c>
      <c r="CY245" s="77"/>
      <c r="CZ245" s="269">
        <v>17.79</v>
      </c>
      <c r="DA245" s="77">
        <v>0.56999999999999995</v>
      </c>
      <c r="DC245" s="284">
        <v>26.3</v>
      </c>
      <c r="DD245" s="77">
        <v>0.85</v>
      </c>
      <c r="DE245" s="77">
        <v>0.8</v>
      </c>
      <c r="DF245" s="77" t="s">
        <v>776</v>
      </c>
      <c r="DH245" s="284">
        <f>DI245*31</f>
        <v>69.440000000000012</v>
      </c>
      <c r="DI245" s="77">
        <f t="shared" si="300"/>
        <v>2.2400000000000002</v>
      </c>
      <c r="DJ245" s="77">
        <f t="shared" si="303"/>
        <v>2.4783333333333335</v>
      </c>
      <c r="DM245" s="284">
        <f>DN245*31</f>
        <v>2615.5030000000002</v>
      </c>
      <c r="DN245" s="77">
        <f t="shared" si="301"/>
        <v>84.371064516129039</v>
      </c>
      <c r="DO245" s="77">
        <f t="shared" si="304"/>
        <v>89.538726721710191</v>
      </c>
      <c r="DR245" s="284">
        <f>DS245*31</f>
        <v>541.26</v>
      </c>
      <c r="DS245" s="77">
        <f t="shared" si="302"/>
        <v>17.46</v>
      </c>
      <c r="DT245" s="77" t="e">
        <f>SUM(CH245+CM245+CR245+CW245+#REF!)</f>
        <v>#REF!</v>
      </c>
      <c r="DW245" s="284">
        <f>DX245*31</f>
        <v>3156.7629999999999</v>
      </c>
      <c r="DX245" s="77">
        <f t="shared" si="305"/>
        <v>101.83106451612903</v>
      </c>
      <c r="DY245" s="77">
        <f t="shared" si="306"/>
        <v>107.8287267217102</v>
      </c>
      <c r="EB245" s="78">
        <v>2.02</v>
      </c>
      <c r="ED245" s="76" t="s">
        <v>780</v>
      </c>
      <c r="EE245" s="76">
        <v>31</v>
      </c>
      <c r="EL245" s="76">
        <v>2017</v>
      </c>
      <c r="EM245" s="157" t="s">
        <v>710</v>
      </c>
      <c r="EN245" s="76" t="s">
        <v>841</v>
      </c>
      <c r="EO245" s="76">
        <v>127.4</v>
      </c>
      <c r="EP245" s="76" t="e">
        <f t="shared" si="292"/>
        <v>#VALUE!</v>
      </c>
    </row>
    <row r="246" spans="1:146" s="7" customFormat="1" x14ac:dyDescent="0.25">
      <c r="A246" s="8">
        <v>2017</v>
      </c>
      <c r="B246" s="138" t="s">
        <v>711</v>
      </c>
      <c r="C246" s="139"/>
      <c r="D246" s="287">
        <v>124.28</v>
      </c>
      <c r="E246" s="141">
        <v>4.1399999999999997</v>
      </c>
      <c r="F246" s="141">
        <v>4.83</v>
      </c>
      <c r="G246" s="140">
        <v>5.97</v>
      </c>
      <c r="H246" s="139"/>
      <c r="I246" s="287">
        <v>18.579999999999998</v>
      </c>
      <c r="J246" s="142">
        <v>0.62</v>
      </c>
      <c r="K246" s="141">
        <v>0.57999999999999996</v>
      </c>
      <c r="L246" s="140">
        <v>0.92</v>
      </c>
      <c r="M246" s="139"/>
      <c r="N246" s="287">
        <v>93.66</v>
      </c>
      <c r="O246" s="142">
        <v>3.12</v>
      </c>
      <c r="P246" s="141">
        <v>3.18</v>
      </c>
      <c r="Q246" s="140">
        <v>5.5</v>
      </c>
      <c r="R246" s="139"/>
      <c r="S246" s="287">
        <v>165.88</v>
      </c>
      <c r="T246" s="142">
        <v>5.53</v>
      </c>
      <c r="U246" s="141">
        <v>5.45</v>
      </c>
      <c r="V246" s="140">
        <v>9.6300000000000008</v>
      </c>
      <c r="W246" s="190"/>
      <c r="X246" s="278">
        <v>445.81</v>
      </c>
      <c r="Y246" s="117">
        <v>14.86</v>
      </c>
      <c r="Z246" s="181">
        <v>17.760000000000002</v>
      </c>
      <c r="AA246" s="180">
        <v>22.82</v>
      </c>
      <c r="AB246" s="139"/>
      <c r="AC246" s="301">
        <v>611.69000000000005</v>
      </c>
      <c r="AD246" s="141">
        <v>20.39</v>
      </c>
      <c r="AE246" s="141">
        <v>23.21</v>
      </c>
      <c r="AF246" s="143">
        <v>32.450000000000003</v>
      </c>
      <c r="AG246" s="139"/>
      <c r="AH246" s="288">
        <v>1440.57</v>
      </c>
      <c r="AI246" s="142">
        <v>48.02</v>
      </c>
      <c r="AJ246" s="141">
        <v>50</v>
      </c>
      <c r="AK246" s="140">
        <v>134.80000000000001</v>
      </c>
      <c r="AL246" s="139"/>
      <c r="AM246" s="287">
        <v>13.5</v>
      </c>
      <c r="AN246" s="142">
        <v>0.45</v>
      </c>
      <c r="AO246" s="141">
        <v>0.5</v>
      </c>
      <c r="AP246" s="140" t="s">
        <v>776</v>
      </c>
      <c r="AQ246" s="139"/>
      <c r="AR246" s="287">
        <v>101.4</v>
      </c>
      <c r="AS246" s="142">
        <v>3.38</v>
      </c>
      <c r="AT246" s="141">
        <v>3.56</v>
      </c>
      <c r="AU246" s="140" t="s">
        <v>776</v>
      </c>
      <c r="AV246" s="139"/>
      <c r="AW246" s="287">
        <v>16.5</v>
      </c>
      <c r="AX246" s="142">
        <v>0.55000000000000004</v>
      </c>
      <c r="AY246" s="141">
        <v>0.86</v>
      </c>
      <c r="AZ246" s="140" t="s">
        <v>776</v>
      </c>
      <c r="BA246" s="139"/>
      <c r="BB246" s="287">
        <v>20.399999999999999</v>
      </c>
      <c r="BC246" s="142">
        <v>0.68</v>
      </c>
      <c r="BD246" s="141">
        <v>0.69</v>
      </c>
      <c r="BE246" s="140" t="s">
        <v>776</v>
      </c>
      <c r="BF246" s="139"/>
      <c r="BG246" s="287">
        <v>17.7</v>
      </c>
      <c r="BH246" s="142">
        <v>0.59</v>
      </c>
      <c r="BI246" s="141">
        <v>0.66</v>
      </c>
      <c r="BJ246" s="140" t="s">
        <v>776</v>
      </c>
      <c r="BK246" s="139"/>
      <c r="BL246" s="287">
        <v>120.36</v>
      </c>
      <c r="BM246" s="142">
        <v>4.01</v>
      </c>
      <c r="BN246" s="141">
        <v>4.2</v>
      </c>
      <c r="BO246" s="140" t="s">
        <v>776</v>
      </c>
      <c r="BP246" s="139"/>
      <c r="BQ246" s="318">
        <v>7.2</v>
      </c>
      <c r="BR246" s="139">
        <v>0.24</v>
      </c>
      <c r="BS246" s="141">
        <v>0.28999999999999998</v>
      </c>
      <c r="BT246" s="140" t="s">
        <v>776</v>
      </c>
      <c r="BU246" s="139"/>
      <c r="BV246" s="318">
        <v>7.5</v>
      </c>
      <c r="BW246" s="139">
        <v>0.25</v>
      </c>
      <c r="BX246" s="141">
        <v>0.34</v>
      </c>
      <c r="BY246" s="140" t="s">
        <v>776</v>
      </c>
      <c r="BZ246" s="139"/>
      <c r="CA246" s="287">
        <v>10.5</v>
      </c>
      <c r="CB246" s="142">
        <v>0.35</v>
      </c>
      <c r="CC246" s="141">
        <v>0.37</v>
      </c>
      <c r="CD246" s="140" t="s">
        <v>776</v>
      </c>
      <c r="CE246" s="139"/>
      <c r="CF246" s="287">
        <v>44.22</v>
      </c>
      <c r="CG246" s="142">
        <v>1.47</v>
      </c>
      <c r="CH246" s="141">
        <v>1.47</v>
      </c>
      <c r="CI246" s="140" t="s">
        <v>776</v>
      </c>
      <c r="CJ246" s="139"/>
      <c r="CK246" s="287">
        <v>140.86000000000001</v>
      </c>
      <c r="CL246" s="142">
        <v>4.7</v>
      </c>
      <c r="CM246" s="141">
        <v>5.55</v>
      </c>
      <c r="CN246" s="140">
        <v>8.19</v>
      </c>
      <c r="CO246" s="139"/>
      <c r="CP246" s="287">
        <v>176.61</v>
      </c>
      <c r="CQ246" s="142">
        <v>5.89</v>
      </c>
      <c r="CR246" s="141">
        <v>6.15</v>
      </c>
      <c r="CS246" s="140">
        <v>9.57</v>
      </c>
      <c r="CT246" s="139"/>
      <c r="CU246" s="287">
        <v>161.94</v>
      </c>
      <c r="CV246" s="142">
        <v>5.4</v>
      </c>
      <c r="CW246" s="141">
        <v>5.16</v>
      </c>
      <c r="CX246" s="140">
        <v>7.98</v>
      </c>
      <c r="CY246" s="140"/>
      <c r="CZ246" s="273">
        <v>18.649999999999999</v>
      </c>
      <c r="DA246" s="142">
        <v>0.62</v>
      </c>
      <c r="DB246" s="139"/>
      <c r="DC246" s="287">
        <v>25.45</v>
      </c>
      <c r="DD246" s="142">
        <v>0.85</v>
      </c>
      <c r="DE246" s="141">
        <v>0.81</v>
      </c>
      <c r="DF246" s="140" t="s">
        <v>776</v>
      </c>
      <c r="DG246" s="139"/>
      <c r="DH246" s="284">
        <f>DI246*30</f>
        <v>69.3</v>
      </c>
      <c r="DI246" s="1">
        <f t="shared" si="300"/>
        <v>2.31</v>
      </c>
      <c r="DJ246" s="1">
        <f t="shared" si="303"/>
        <v>2.4708333333333337</v>
      </c>
      <c r="DM246" s="284">
        <f>DN246*30</f>
        <v>2509.2000000000003</v>
      </c>
      <c r="DN246" s="1">
        <f t="shared" si="301"/>
        <v>83.640000000000015</v>
      </c>
      <c r="DO246" s="1">
        <f t="shared" si="304"/>
        <v>89.689193388376864</v>
      </c>
      <c r="DR246" s="284">
        <f>DS246*30</f>
        <v>523.80000000000007</v>
      </c>
      <c r="DS246" s="1">
        <f t="shared" si="302"/>
        <v>17.46</v>
      </c>
      <c r="DT246" s="1" t="e">
        <f>SUM(CH246+CM246+CR246+CW246+#REF!)</f>
        <v>#REF!</v>
      </c>
      <c r="DW246" s="284">
        <f>DX246*30</f>
        <v>3033.0000000000009</v>
      </c>
      <c r="DX246" s="1">
        <f t="shared" si="305"/>
        <v>101.10000000000002</v>
      </c>
      <c r="DY246" s="1">
        <f t="shared" si="306"/>
        <v>108.01419338837688</v>
      </c>
      <c r="EB246" s="2">
        <v>2</v>
      </c>
      <c r="ED246" s="7" t="s">
        <v>781</v>
      </c>
      <c r="EE246" s="7">
        <v>30</v>
      </c>
      <c r="EL246" s="7">
        <v>2017</v>
      </c>
      <c r="EM246" s="157" t="s">
        <v>711</v>
      </c>
      <c r="EN246" t="s">
        <v>841</v>
      </c>
      <c r="EO246">
        <v>124.28</v>
      </c>
      <c r="EP246" t="e">
        <f t="shared" si="292"/>
        <v>#VALUE!</v>
      </c>
    </row>
    <row r="247" spans="1:146" s="1" customFormat="1" x14ac:dyDescent="0.25">
      <c r="A247" s="8">
        <v>2017</v>
      </c>
      <c r="B247" s="109" t="s">
        <v>712</v>
      </c>
      <c r="C247" s="107"/>
      <c r="D247" s="288">
        <v>123.33</v>
      </c>
      <c r="E247" s="111">
        <v>3.98</v>
      </c>
      <c r="F247" s="111">
        <v>4.75</v>
      </c>
      <c r="G247" s="108">
        <v>5.0199999999999996</v>
      </c>
      <c r="H247" s="110"/>
      <c r="I247" s="288">
        <v>18.62</v>
      </c>
      <c r="J247" s="112">
        <v>0.6</v>
      </c>
      <c r="K247" s="111">
        <v>0.57999999999999996</v>
      </c>
      <c r="L247" s="108">
        <v>0.73</v>
      </c>
      <c r="M247" s="110"/>
      <c r="N247" s="288">
        <v>94.91</v>
      </c>
      <c r="O247" s="112">
        <v>3.06</v>
      </c>
      <c r="P247" s="111">
        <v>3.21</v>
      </c>
      <c r="Q247" s="108">
        <v>6.95</v>
      </c>
      <c r="R247" s="110"/>
      <c r="S247" s="288">
        <v>165.36</v>
      </c>
      <c r="T247" s="112">
        <v>5.33</v>
      </c>
      <c r="U247" s="111">
        <v>5.57</v>
      </c>
      <c r="V247" s="108">
        <v>8.4600000000000009</v>
      </c>
      <c r="W247" s="191"/>
      <c r="X247" s="288">
        <v>436.11</v>
      </c>
      <c r="Y247" s="112">
        <v>14.07</v>
      </c>
      <c r="Z247" s="111">
        <v>17.43</v>
      </c>
      <c r="AA247" s="108">
        <v>22.86</v>
      </c>
      <c r="AB247" s="110"/>
      <c r="AC247" s="302">
        <v>601.47</v>
      </c>
      <c r="AD247" s="115">
        <v>19.399999999999999</v>
      </c>
      <c r="AE247" s="115">
        <v>23</v>
      </c>
      <c r="AF247" s="116">
        <v>31.32</v>
      </c>
      <c r="AG247" s="110"/>
      <c r="AH247" s="288">
        <v>1417.55</v>
      </c>
      <c r="AI247" s="112">
        <v>45.73</v>
      </c>
      <c r="AJ247" s="111">
        <v>49.84</v>
      </c>
      <c r="AK247" s="108">
        <v>135.19999999999999</v>
      </c>
      <c r="AL247" s="110"/>
      <c r="AM247" s="288">
        <v>13.95</v>
      </c>
      <c r="AN247" s="112">
        <v>0.45</v>
      </c>
      <c r="AO247" s="111">
        <v>0.49</v>
      </c>
      <c r="AP247" s="108" t="s">
        <v>776</v>
      </c>
      <c r="AQ247" s="110"/>
      <c r="AR247" s="288">
        <v>106.64</v>
      </c>
      <c r="AS247" s="112">
        <v>3.44</v>
      </c>
      <c r="AT247" s="111">
        <v>3.56</v>
      </c>
      <c r="AU247" s="108" t="s">
        <v>776</v>
      </c>
      <c r="AV247" s="110"/>
      <c r="AW247" s="288">
        <v>19.22</v>
      </c>
      <c r="AX247" s="112">
        <v>0.62</v>
      </c>
      <c r="AY247" s="111">
        <v>0.83</v>
      </c>
      <c r="AZ247" s="108" t="s">
        <v>776</v>
      </c>
      <c r="BA247" s="110"/>
      <c r="BB247" s="288">
        <v>20.149999999999999</v>
      </c>
      <c r="BC247" s="112">
        <v>0.65</v>
      </c>
      <c r="BD247" s="111">
        <v>0.69</v>
      </c>
      <c r="BE247" s="108" t="s">
        <v>776</v>
      </c>
      <c r="BF247" s="110"/>
      <c r="BG247" s="288">
        <v>19.53</v>
      </c>
      <c r="BH247" s="112">
        <v>0.63</v>
      </c>
      <c r="BI247" s="111">
        <v>0.66</v>
      </c>
      <c r="BJ247" s="108" t="s">
        <v>776</v>
      </c>
      <c r="BK247" s="110"/>
      <c r="BL247" s="288">
        <v>124.37</v>
      </c>
      <c r="BM247" s="112">
        <v>4.01</v>
      </c>
      <c r="BN247" s="111">
        <v>4.18</v>
      </c>
      <c r="BO247" s="108" t="s">
        <v>776</v>
      </c>
      <c r="BP247" s="110"/>
      <c r="BQ247" s="319">
        <v>8.06</v>
      </c>
      <c r="BR247" s="107">
        <v>0.26</v>
      </c>
      <c r="BS247" s="111">
        <v>0.28999999999999998</v>
      </c>
      <c r="BT247" s="108" t="s">
        <v>776</v>
      </c>
      <c r="BU247" s="110"/>
      <c r="BV247" s="319">
        <v>8.99</v>
      </c>
      <c r="BW247" s="107">
        <v>0.28999999999999998</v>
      </c>
      <c r="BX247" s="111">
        <v>0.32</v>
      </c>
      <c r="BY247" s="108" t="s">
        <v>776</v>
      </c>
      <c r="BZ247" s="110"/>
      <c r="CA247" s="288">
        <v>12.09</v>
      </c>
      <c r="CB247" s="112">
        <v>0.39</v>
      </c>
      <c r="CC247" s="111">
        <v>0.38</v>
      </c>
      <c r="CD247" s="108" t="s">
        <v>776</v>
      </c>
      <c r="CE247" s="110"/>
      <c r="CF247" s="288">
        <v>45.69</v>
      </c>
      <c r="CG247" s="112">
        <v>1.47</v>
      </c>
      <c r="CH247" s="111">
        <v>1.47</v>
      </c>
      <c r="CI247" s="108" t="s">
        <v>776</v>
      </c>
      <c r="CJ247" s="110"/>
      <c r="CK247" s="288">
        <v>147.31</v>
      </c>
      <c r="CL247" s="112">
        <v>4.75</v>
      </c>
      <c r="CM247" s="111">
        <v>5.5</v>
      </c>
      <c r="CN247" s="108">
        <v>8.99</v>
      </c>
      <c r="CO247" s="110"/>
      <c r="CP247" s="288">
        <v>182.53</v>
      </c>
      <c r="CQ247" s="112">
        <v>5.89</v>
      </c>
      <c r="CR247" s="111">
        <v>6.12</v>
      </c>
      <c r="CS247" s="108">
        <v>9.57</v>
      </c>
      <c r="CT247" s="110"/>
      <c r="CU247" s="288">
        <v>156.43</v>
      </c>
      <c r="CV247" s="112">
        <v>5.05</v>
      </c>
      <c r="CW247" s="111">
        <v>5.16</v>
      </c>
      <c r="CX247" s="108">
        <v>7.6</v>
      </c>
      <c r="CY247" s="108"/>
      <c r="CZ247" s="274">
        <v>18.600000000000001</v>
      </c>
      <c r="DA247" s="112">
        <v>0.6</v>
      </c>
      <c r="DB247" s="110"/>
      <c r="DC247" s="288">
        <v>26.3</v>
      </c>
      <c r="DD247" s="112">
        <v>0.85</v>
      </c>
      <c r="DE247" s="111">
        <v>0.81</v>
      </c>
      <c r="DF247" s="108" t="s">
        <v>776</v>
      </c>
      <c r="DG247" s="110"/>
      <c r="DH247" s="284">
        <f>DI247*31</f>
        <v>74.710000000000008</v>
      </c>
      <c r="DI247" s="1">
        <f t="shared" si="300"/>
        <v>2.41</v>
      </c>
      <c r="DJ247" s="1">
        <f t="shared" ref="DJ247:DJ252" si="307">SUM(DI236:DI247)/12</f>
        <v>2.4499999999999997</v>
      </c>
      <c r="DM247" s="284">
        <f>DN247*31</f>
        <v>2484.9600000000005</v>
      </c>
      <c r="DN247" s="77">
        <f t="shared" si="301"/>
        <v>80.160000000000011</v>
      </c>
      <c r="DO247" s="77">
        <f t="shared" ref="DO247:DO252" si="308">SUM(DN236:DN247)/12</f>
        <v>89.351083173323104</v>
      </c>
      <c r="DP247" s="118"/>
      <c r="DQ247" s="118"/>
      <c r="DR247" s="284">
        <f>DS247*31</f>
        <v>531.34000000000015</v>
      </c>
      <c r="DS247" s="77">
        <f t="shared" si="302"/>
        <v>17.140000000000004</v>
      </c>
      <c r="DT247" s="77" t="e">
        <f>SUM(CH247+CM247+CR247+CW247+#REF!)</f>
        <v>#REF!</v>
      </c>
      <c r="DU247" s="77"/>
      <c r="DV247" s="77"/>
      <c r="DW247" s="284">
        <f>DX247*31</f>
        <v>3016.3</v>
      </c>
      <c r="DX247" s="77">
        <f t="shared" ref="DX247:DX252" si="309">SUM(DN247+DS247)</f>
        <v>97.300000000000011</v>
      </c>
      <c r="DY247" s="77">
        <f t="shared" ref="DY247:DY252" si="310">SUM(DX236:DX247)/12</f>
        <v>107.60191650665644</v>
      </c>
      <c r="EB247" s="2">
        <v>0.5</v>
      </c>
      <c r="ED247" s="76" t="s">
        <v>782</v>
      </c>
      <c r="EE247" s="1">
        <v>31</v>
      </c>
      <c r="EL247" s="1">
        <v>2017</v>
      </c>
      <c r="EM247" s="157" t="s">
        <v>712</v>
      </c>
      <c r="EN247" t="s">
        <v>841</v>
      </c>
      <c r="EO247">
        <v>123.33</v>
      </c>
      <c r="EP247" t="e">
        <f t="shared" si="292"/>
        <v>#VALUE!</v>
      </c>
    </row>
    <row r="248" spans="1:146" s="1" customFormat="1" x14ac:dyDescent="0.25">
      <c r="A248" s="8">
        <v>2018</v>
      </c>
      <c r="B248" s="109" t="s">
        <v>719</v>
      </c>
      <c r="C248" s="107"/>
      <c r="D248" s="288">
        <v>134.53</v>
      </c>
      <c r="E248" s="111">
        <v>4.34</v>
      </c>
      <c r="F248" s="111">
        <v>4.7</v>
      </c>
      <c r="G248" s="108">
        <v>4.7</v>
      </c>
      <c r="H248" s="110"/>
      <c r="I248" s="288">
        <v>17.87</v>
      </c>
      <c r="J248" s="226">
        <v>0.57999999999999996</v>
      </c>
      <c r="K248" s="115">
        <v>0.59</v>
      </c>
      <c r="L248" s="225">
        <v>0.73</v>
      </c>
      <c r="M248" s="110"/>
      <c r="N248" s="288">
        <v>99.79</v>
      </c>
      <c r="O248" s="112">
        <v>3.22</v>
      </c>
      <c r="P248" s="111">
        <v>3.23</v>
      </c>
      <c r="Q248" s="108">
        <v>5.3</v>
      </c>
      <c r="R248" s="110"/>
      <c r="S248" s="288">
        <v>170.2</v>
      </c>
      <c r="T248" s="112">
        <v>5.49</v>
      </c>
      <c r="U248" s="111">
        <v>5.6</v>
      </c>
      <c r="V248" s="108">
        <v>8.1</v>
      </c>
      <c r="W248" s="191"/>
      <c r="X248" s="288">
        <v>437.57</v>
      </c>
      <c r="Y248" s="112">
        <v>14.12</v>
      </c>
      <c r="Z248" s="111">
        <v>17.100000000000001</v>
      </c>
      <c r="AA248" s="108">
        <v>21.78</v>
      </c>
      <c r="AB248" s="110"/>
      <c r="AC248" s="302">
        <v>607.77</v>
      </c>
      <c r="AD248" s="113">
        <v>19.61</v>
      </c>
      <c r="AE248" s="113">
        <v>22.7</v>
      </c>
      <c r="AF248" s="114">
        <v>29.88</v>
      </c>
      <c r="AG248" s="110"/>
      <c r="AH248" s="288">
        <v>1437.26</v>
      </c>
      <c r="AI248" s="112">
        <v>46.36</v>
      </c>
      <c r="AJ248" s="111">
        <v>49.51</v>
      </c>
      <c r="AK248" s="108">
        <v>151.4</v>
      </c>
      <c r="AL248" s="110"/>
      <c r="AM248" s="288">
        <v>10.23</v>
      </c>
      <c r="AN248" s="112">
        <v>0.33</v>
      </c>
      <c r="AO248" s="111">
        <v>0.48</v>
      </c>
      <c r="AP248" s="108" t="s">
        <v>776</v>
      </c>
      <c r="AQ248" s="110"/>
      <c r="AR248" s="288">
        <v>112.53</v>
      </c>
      <c r="AS248" s="112">
        <v>3.63</v>
      </c>
      <c r="AT248" s="111">
        <v>3.57</v>
      </c>
      <c r="AU248" s="108" t="s">
        <v>776</v>
      </c>
      <c r="AV248" s="110"/>
      <c r="AW248" s="288">
        <v>21.7</v>
      </c>
      <c r="AX248" s="112">
        <v>0.7</v>
      </c>
      <c r="AY248" s="111">
        <v>0.81</v>
      </c>
      <c r="AZ248" s="108" t="s">
        <v>776</v>
      </c>
      <c r="BA248" s="110"/>
      <c r="BB248" s="288">
        <v>21.39</v>
      </c>
      <c r="BC248" s="112">
        <v>0.69</v>
      </c>
      <c r="BD248" s="111">
        <v>0.69</v>
      </c>
      <c r="BE248" s="108" t="s">
        <v>776</v>
      </c>
      <c r="BF248" s="110"/>
      <c r="BG248" s="288">
        <v>22.94</v>
      </c>
      <c r="BH248" s="112">
        <v>0.74</v>
      </c>
      <c r="BI248" s="111">
        <v>0.66</v>
      </c>
      <c r="BJ248" s="108" t="s">
        <v>776</v>
      </c>
      <c r="BK248" s="110"/>
      <c r="BL248" s="288">
        <v>124.37</v>
      </c>
      <c r="BM248" s="112">
        <v>4.01</v>
      </c>
      <c r="BN248" s="111">
        <v>4.16</v>
      </c>
      <c r="BO248" s="108" t="s">
        <v>776</v>
      </c>
      <c r="BP248" s="110"/>
      <c r="BQ248" s="319">
        <v>8.06</v>
      </c>
      <c r="BR248" s="107">
        <v>0.26</v>
      </c>
      <c r="BS248" s="111">
        <v>0.28999999999999998</v>
      </c>
      <c r="BT248" s="108" t="s">
        <v>776</v>
      </c>
      <c r="BU248" s="110"/>
      <c r="BV248" s="319">
        <v>7.44</v>
      </c>
      <c r="BW248" s="107">
        <v>0.24</v>
      </c>
      <c r="BX248" s="111">
        <v>0.28999999999999998</v>
      </c>
      <c r="BY248" s="108" t="s">
        <v>776</v>
      </c>
      <c r="BZ248" s="110"/>
      <c r="CA248" s="288">
        <v>13.02</v>
      </c>
      <c r="CB248" s="112">
        <v>0.42</v>
      </c>
      <c r="CC248" s="111">
        <v>0.38</v>
      </c>
      <c r="CD248" s="108" t="s">
        <v>776</v>
      </c>
      <c r="CE248" s="110"/>
      <c r="CF248" s="288">
        <v>45.69</v>
      </c>
      <c r="CG248" s="112">
        <v>1.47</v>
      </c>
      <c r="CH248" s="111">
        <v>1.47</v>
      </c>
      <c r="CI248" s="108" t="s">
        <v>776</v>
      </c>
      <c r="CJ248" s="110"/>
      <c r="CK248" s="288">
        <v>160.68</v>
      </c>
      <c r="CL248" s="112">
        <v>5.18</v>
      </c>
      <c r="CM248" s="111">
        <v>5.44</v>
      </c>
      <c r="CN248" s="108"/>
      <c r="CO248" s="110"/>
      <c r="CP248" s="288">
        <v>164.38</v>
      </c>
      <c r="CQ248" s="112">
        <v>5.3</v>
      </c>
      <c r="CR248" s="111">
        <v>6.05</v>
      </c>
      <c r="CS248" s="108">
        <v>7.79</v>
      </c>
      <c r="CT248" s="110"/>
      <c r="CU248" s="288">
        <v>152.51</v>
      </c>
      <c r="CV248" s="112">
        <v>4.92</v>
      </c>
      <c r="CW248" s="111">
        <v>5.14</v>
      </c>
      <c r="CX248" s="108">
        <v>12.88</v>
      </c>
      <c r="CY248" s="108"/>
      <c r="CZ248" s="274">
        <v>18.809999999999999</v>
      </c>
      <c r="DA248" s="112">
        <v>0.61</v>
      </c>
      <c r="DB248" s="110"/>
      <c r="DC248" s="288">
        <v>26.3</v>
      </c>
      <c r="DD248" s="112">
        <v>0.85</v>
      </c>
      <c r="DE248" s="111">
        <v>0.82</v>
      </c>
      <c r="DF248" s="108" t="s">
        <v>776</v>
      </c>
      <c r="DG248" s="110"/>
      <c r="DH248" s="284">
        <f>DI248*31</f>
        <v>74.089999999999989</v>
      </c>
      <c r="DI248" s="1">
        <f t="shared" si="300"/>
        <v>2.3899999999999997</v>
      </c>
      <c r="DJ248" s="1">
        <f t="shared" si="307"/>
        <v>2.4299999999999997</v>
      </c>
      <c r="DM248" s="284">
        <f>DN248*31</f>
        <v>2536.4199999999996</v>
      </c>
      <c r="DN248" s="77">
        <f t="shared" si="301"/>
        <v>81.819999999999993</v>
      </c>
      <c r="DO248" s="77">
        <f t="shared" si="308"/>
        <v>88.664631560419863</v>
      </c>
      <c r="DP248" s="118"/>
      <c r="DQ248" s="118"/>
      <c r="DR248" s="284">
        <f>DS248*31</f>
        <v>522.66000000000008</v>
      </c>
      <c r="DS248" s="77">
        <f t="shared" si="302"/>
        <v>16.860000000000003</v>
      </c>
      <c r="DT248" s="77" t="e">
        <f>SUM(CH248+CM248+CR248+CW248+#REF!)</f>
        <v>#REF!</v>
      </c>
      <c r="DU248" s="77"/>
      <c r="DV248" s="77"/>
      <c r="DW248" s="284">
        <f>DX248*31</f>
        <v>3059.08</v>
      </c>
      <c r="DX248" s="77">
        <f t="shared" si="309"/>
        <v>98.679999999999993</v>
      </c>
      <c r="DY248" s="77">
        <f t="shared" si="310"/>
        <v>106.75213156041987</v>
      </c>
      <c r="EB248" s="2">
        <v>0.94</v>
      </c>
      <c r="ED248" s="7" t="s">
        <v>783</v>
      </c>
      <c r="EE248" s="1">
        <v>31</v>
      </c>
      <c r="EL248" s="1">
        <v>2018</v>
      </c>
      <c r="EM248" s="157" t="s">
        <v>719</v>
      </c>
      <c r="EN248" t="s">
        <v>841</v>
      </c>
      <c r="EO248">
        <v>134.53</v>
      </c>
      <c r="EP248" t="e">
        <f t="shared" si="292"/>
        <v>#VALUE!</v>
      </c>
    </row>
    <row r="249" spans="1:146" s="1" customFormat="1" x14ac:dyDescent="0.25">
      <c r="A249" s="8">
        <v>2018</v>
      </c>
      <c r="B249" s="121" t="s">
        <v>713</v>
      </c>
      <c r="C249" s="119"/>
      <c r="D249" s="289">
        <v>157.57</v>
      </c>
      <c r="E249" s="123">
        <v>5.63</v>
      </c>
      <c r="F249" s="123">
        <v>4.76</v>
      </c>
      <c r="G249" s="120">
        <v>9.98</v>
      </c>
      <c r="H249" s="122"/>
      <c r="I249" s="289">
        <v>18.2</v>
      </c>
      <c r="J249" s="124">
        <v>0.65</v>
      </c>
      <c r="K249" s="123">
        <v>0.6</v>
      </c>
      <c r="L249" s="120">
        <v>0.75</v>
      </c>
      <c r="M249" s="122"/>
      <c r="N249" s="289">
        <v>87.97</v>
      </c>
      <c r="O249" s="124">
        <v>3.14</v>
      </c>
      <c r="P249" s="123">
        <v>3.23</v>
      </c>
      <c r="Q249" s="120">
        <v>5.7</v>
      </c>
      <c r="R249" s="122"/>
      <c r="S249" s="289">
        <v>172.28</v>
      </c>
      <c r="T249" s="124">
        <v>6.15</v>
      </c>
      <c r="U249" s="123">
        <v>5.7</v>
      </c>
      <c r="V249" s="120">
        <v>11.01</v>
      </c>
      <c r="W249" s="192"/>
      <c r="X249" s="289">
        <v>452.81</v>
      </c>
      <c r="Y249" s="124">
        <v>16.170000000000002</v>
      </c>
      <c r="Z249" s="123">
        <v>16.97</v>
      </c>
      <c r="AA249" s="120">
        <v>27.35</v>
      </c>
      <c r="AB249" s="122"/>
      <c r="AC249" s="303">
        <v>625.09</v>
      </c>
      <c r="AD249" s="125">
        <v>22.32</v>
      </c>
      <c r="AE249" s="125">
        <v>22.67</v>
      </c>
      <c r="AF249" s="126">
        <v>38.36</v>
      </c>
      <c r="AG249" s="122"/>
      <c r="AH249" s="289">
        <v>1516.33</v>
      </c>
      <c r="AI249" s="124">
        <v>54.15</v>
      </c>
      <c r="AJ249" s="123">
        <v>50.1</v>
      </c>
      <c r="AK249" s="120">
        <v>150.9</v>
      </c>
      <c r="AL249" s="122"/>
      <c r="AM249" s="289">
        <v>9.8000000000000007</v>
      </c>
      <c r="AN249" s="124">
        <v>0.35</v>
      </c>
      <c r="AO249" s="123">
        <v>0.48</v>
      </c>
      <c r="AP249" s="120" t="s">
        <v>776</v>
      </c>
      <c r="AQ249" s="122"/>
      <c r="AR249" s="289">
        <v>99.12</v>
      </c>
      <c r="AS249" s="124">
        <v>3.54</v>
      </c>
      <c r="AT249" s="123">
        <v>3.59</v>
      </c>
      <c r="AU249" s="120" t="s">
        <v>776</v>
      </c>
      <c r="AV249" s="122"/>
      <c r="AW249" s="289">
        <v>18.48</v>
      </c>
      <c r="AX249" s="124">
        <v>0.66</v>
      </c>
      <c r="AY249" s="123">
        <v>0.76</v>
      </c>
      <c r="AZ249" s="120" t="s">
        <v>776</v>
      </c>
      <c r="BA249" s="122"/>
      <c r="BB249" s="289">
        <v>18.48</v>
      </c>
      <c r="BC249" s="124">
        <v>0.66</v>
      </c>
      <c r="BD249" s="123">
        <v>0.69</v>
      </c>
      <c r="BE249" s="120" t="s">
        <v>776</v>
      </c>
      <c r="BF249" s="122"/>
      <c r="BG249" s="289">
        <v>19.88</v>
      </c>
      <c r="BH249" s="124">
        <v>0.71</v>
      </c>
      <c r="BI249" s="123">
        <v>0.67</v>
      </c>
      <c r="BJ249" s="120" t="s">
        <v>776</v>
      </c>
      <c r="BK249" s="122"/>
      <c r="BL249" s="289">
        <v>112.33</v>
      </c>
      <c r="BM249" s="124">
        <v>4.01</v>
      </c>
      <c r="BN249" s="123">
        <v>4.1399999999999997</v>
      </c>
      <c r="BO249" s="120" t="s">
        <v>776</v>
      </c>
      <c r="BP249" s="122"/>
      <c r="BQ249" s="320">
        <v>6.72</v>
      </c>
      <c r="BR249" s="119">
        <v>0.24</v>
      </c>
      <c r="BS249" s="123">
        <v>0.28000000000000003</v>
      </c>
      <c r="BT249" s="120" t="s">
        <v>776</v>
      </c>
      <c r="BU249" s="122"/>
      <c r="BV249" s="320">
        <v>7.84</v>
      </c>
      <c r="BW249" s="119">
        <v>0.28000000000000003</v>
      </c>
      <c r="BX249" s="123">
        <v>0.28000000000000003</v>
      </c>
      <c r="BY249" s="120" t="s">
        <v>776</v>
      </c>
      <c r="BZ249" s="122"/>
      <c r="CA249" s="289">
        <v>10.92</v>
      </c>
      <c r="CB249" s="124">
        <v>0.39</v>
      </c>
      <c r="CC249" s="123">
        <v>0.39</v>
      </c>
      <c r="CD249" s="120" t="s">
        <v>776</v>
      </c>
      <c r="CE249" s="122"/>
      <c r="CF249" s="289">
        <v>41.27</v>
      </c>
      <c r="CG249" s="124">
        <v>1.47</v>
      </c>
      <c r="CH249" s="123">
        <v>1.47</v>
      </c>
      <c r="CI249" s="120" t="s">
        <v>776</v>
      </c>
      <c r="CJ249" s="122"/>
      <c r="CK249" s="289">
        <v>166.72</v>
      </c>
      <c r="CL249" s="124">
        <v>5.95</v>
      </c>
      <c r="CM249" s="123">
        <v>5.46</v>
      </c>
      <c r="CN249" s="120">
        <v>11.41</v>
      </c>
      <c r="CO249" s="122"/>
      <c r="CP249" s="289">
        <v>157.57</v>
      </c>
      <c r="CQ249" s="124">
        <v>5.63</v>
      </c>
      <c r="CR249" s="123">
        <v>5.99</v>
      </c>
      <c r="CS249" s="120">
        <v>9.98</v>
      </c>
      <c r="CT249" s="122"/>
      <c r="CU249" s="289">
        <v>154.86000000000001</v>
      </c>
      <c r="CV249" s="124">
        <v>5.53</v>
      </c>
      <c r="CW249" s="123">
        <v>5.21</v>
      </c>
      <c r="CX249" s="120">
        <v>10.37</v>
      </c>
      <c r="CY249" s="120"/>
      <c r="CZ249" s="275">
        <v>20.95</v>
      </c>
      <c r="DA249" s="124">
        <v>0.75</v>
      </c>
      <c r="DB249" s="122"/>
      <c r="DC249" s="289">
        <v>23.76</v>
      </c>
      <c r="DD249" s="124">
        <v>0.85</v>
      </c>
      <c r="DE249" s="123">
        <v>0.82</v>
      </c>
      <c r="DF249" s="120" t="s">
        <v>776</v>
      </c>
      <c r="DG249" s="122"/>
      <c r="DH249" s="284">
        <f>DI249*28</f>
        <v>66.64</v>
      </c>
      <c r="DI249" s="1">
        <f t="shared" si="300"/>
        <v>2.38</v>
      </c>
      <c r="DJ249" s="1">
        <f t="shared" si="307"/>
        <v>2.4208333333333334</v>
      </c>
      <c r="DM249" s="284">
        <f>DN249*28</f>
        <v>2616.3199999999997</v>
      </c>
      <c r="DN249" s="77">
        <f t="shared" si="301"/>
        <v>93.44</v>
      </c>
      <c r="DO249" s="77">
        <f t="shared" si="308"/>
        <v>89.194670250896067</v>
      </c>
      <c r="DP249" s="118"/>
      <c r="DQ249" s="118"/>
      <c r="DR249" s="284">
        <f>DS249*28</f>
        <v>523.88</v>
      </c>
      <c r="DS249" s="77">
        <f t="shared" si="302"/>
        <v>18.71</v>
      </c>
      <c r="DT249" s="77" t="e">
        <f>SUM(CH249+CM249+CR249+CW249+#REF!)</f>
        <v>#REF!</v>
      </c>
      <c r="DU249" s="77"/>
      <c r="DV249" s="77"/>
      <c r="DW249" s="284">
        <f>DX249*28</f>
        <v>3140.2000000000003</v>
      </c>
      <c r="DX249" s="77">
        <f t="shared" si="309"/>
        <v>112.15</v>
      </c>
      <c r="DY249" s="77">
        <f t="shared" si="310"/>
        <v>107.33383691756273</v>
      </c>
      <c r="EB249" s="2">
        <v>4.79</v>
      </c>
      <c r="ED249" s="76" t="s">
        <v>17</v>
      </c>
      <c r="EE249" s="1">
        <v>28</v>
      </c>
      <c r="EL249" s="1">
        <v>2018</v>
      </c>
      <c r="EM249" s="157" t="s">
        <v>713</v>
      </c>
      <c r="EN249" s="1" t="s">
        <v>841</v>
      </c>
      <c r="EO249" s="1">
        <v>157.57</v>
      </c>
    </row>
    <row r="250" spans="1:146" s="1" customFormat="1" x14ac:dyDescent="0.25">
      <c r="A250" s="8">
        <v>2018</v>
      </c>
      <c r="B250" s="121" t="s">
        <v>714</v>
      </c>
      <c r="C250" s="119"/>
      <c r="D250" s="289">
        <v>135.16999999999999</v>
      </c>
      <c r="E250" s="123">
        <v>4.3600000000000003</v>
      </c>
      <c r="F250" s="123">
        <v>4.71</v>
      </c>
      <c r="G250" s="120">
        <v>7.61</v>
      </c>
      <c r="H250" s="122"/>
      <c r="I250" s="289">
        <v>18.920000000000002</v>
      </c>
      <c r="J250" s="124">
        <v>0.61</v>
      </c>
      <c r="K250" s="123">
        <v>0.6</v>
      </c>
      <c r="L250" s="120">
        <v>0.78</v>
      </c>
      <c r="M250" s="122"/>
      <c r="N250" s="289">
        <v>99.01</v>
      </c>
      <c r="O250" s="124">
        <v>3.19</v>
      </c>
      <c r="P250" s="123">
        <v>3.23</v>
      </c>
      <c r="Q250" s="120">
        <v>6.32</v>
      </c>
      <c r="R250" s="122"/>
      <c r="S250" s="289">
        <v>185.54</v>
      </c>
      <c r="T250" s="124">
        <v>5.99</v>
      </c>
      <c r="U250" s="123">
        <v>5.77</v>
      </c>
      <c r="V250" s="120">
        <v>8.36</v>
      </c>
      <c r="W250" s="192"/>
      <c r="X250" s="289">
        <v>493.69</v>
      </c>
      <c r="Y250" s="124">
        <v>15.93</v>
      </c>
      <c r="Z250" s="123">
        <v>16.79</v>
      </c>
      <c r="AA250" s="120">
        <v>22.3</v>
      </c>
      <c r="AB250" s="122"/>
      <c r="AC250" s="303">
        <v>679.23</v>
      </c>
      <c r="AD250" s="125">
        <v>21.91</v>
      </c>
      <c r="AE250" s="125">
        <v>22.56</v>
      </c>
      <c r="AF250" s="126">
        <v>30.66</v>
      </c>
      <c r="AG250" s="122"/>
      <c r="AH250" s="289">
        <v>1584.84</v>
      </c>
      <c r="AI250" s="124">
        <v>51.12</v>
      </c>
      <c r="AJ250" s="123">
        <v>50.24</v>
      </c>
      <c r="AK250" s="120">
        <v>135.80000000000001</v>
      </c>
      <c r="AL250" s="122"/>
      <c r="AM250" s="289">
        <v>10.85</v>
      </c>
      <c r="AN250" s="124">
        <v>0.35</v>
      </c>
      <c r="AO250" s="123">
        <v>0.46</v>
      </c>
      <c r="AP250" s="120" t="s">
        <v>776</v>
      </c>
      <c r="AQ250" s="122"/>
      <c r="AR250" s="289">
        <v>104.47</v>
      </c>
      <c r="AS250" s="124">
        <v>3.37</v>
      </c>
      <c r="AT250" s="123">
        <v>3.57</v>
      </c>
      <c r="AU250" s="120" t="s">
        <v>776</v>
      </c>
      <c r="AV250" s="122"/>
      <c r="AW250" s="289">
        <v>19.22</v>
      </c>
      <c r="AX250" s="124">
        <v>0.62</v>
      </c>
      <c r="AY250" s="123">
        <v>0.77</v>
      </c>
      <c r="AZ250" s="120" t="s">
        <v>776</v>
      </c>
      <c r="BA250" s="122"/>
      <c r="BB250" s="289">
        <v>20.46</v>
      </c>
      <c r="BC250" s="124">
        <v>0.66</v>
      </c>
      <c r="BD250" s="123">
        <v>0.69</v>
      </c>
      <c r="BE250" s="120" t="s">
        <v>776</v>
      </c>
      <c r="BF250" s="122"/>
      <c r="BG250" s="289">
        <v>21.08</v>
      </c>
      <c r="BH250" s="124">
        <v>0.68</v>
      </c>
      <c r="BI250" s="123">
        <v>0.67</v>
      </c>
      <c r="BJ250" s="120" t="s">
        <v>776</v>
      </c>
      <c r="BK250" s="122"/>
      <c r="BL250" s="289">
        <v>124.37</v>
      </c>
      <c r="BM250" s="124">
        <v>4.01</v>
      </c>
      <c r="BN250" s="123">
        <v>4.13</v>
      </c>
      <c r="BO250" s="120" t="s">
        <v>776</v>
      </c>
      <c r="BP250" s="122"/>
      <c r="BQ250" s="320">
        <v>7.75</v>
      </c>
      <c r="BR250" s="119">
        <v>0.25</v>
      </c>
      <c r="BS250" s="123">
        <v>0.28000000000000003</v>
      </c>
      <c r="BT250" s="120" t="s">
        <v>776</v>
      </c>
      <c r="BU250" s="122"/>
      <c r="BV250" s="320">
        <v>4.34</v>
      </c>
      <c r="BW250" s="119">
        <v>0.14000000000000001</v>
      </c>
      <c r="BX250" s="123">
        <v>0.25</v>
      </c>
      <c r="BY250" s="120" t="s">
        <v>776</v>
      </c>
      <c r="BZ250" s="122"/>
      <c r="CA250" s="289">
        <v>11.78</v>
      </c>
      <c r="CB250" s="124">
        <v>0.38</v>
      </c>
      <c r="CC250" s="123">
        <v>0.39</v>
      </c>
      <c r="CD250" s="120" t="s">
        <v>776</v>
      </c>
      <c r="CE250" s="122"/>
      <c r="CF250" s="289">
        <v>45.69</v>
      </c>
      <c r="CG250" s="124">
        <v>1.47</v>
      </c>
      <c r="CH250" s="123">
        <v>1.47</v>
      </c>
      <c r="CI250" s="120" t="s">
        <v>776</v>
      </c>
      <c r="CJ250" s="122"/>
      <c r="CK250" s="289">
        <v>178.12</v>
      </c>
      <c r="CL250" s="124">
        <v>5.75</v>
      </c>
      <c r="CM250" s="123">
        <v>5.43</v>
      </c>
      <c r="CN250" s="120">
        <v>11.96</v>
      </c>
      <c r="CO250" s="122"/>
      <c r="CP250" s="289">
        <v>173.77</v>
      </c>
      <c r="CQ250" s="124">
        <v>5.61</v>
      </c>
      <c r="CR250" s="123">
        <v>5.94</v>
      </c>
      <c r="CS250" s="120">
        <v>10.46</v>
      </c>
      <c r="CT250" s="122"/>
      <c r="CU250" s="289">
        <v>165.07</v>
      </c>
      <c r="CV250" s="124">
        <v>5.32</v>
      </c>
      <c r="CW250" s="123">
        <v>5.25</v>
      </c>
      <c r="CX250" s="120">
        <v>9.18</v>
      </c>
      <c r="CY250" s="120"/>
      <c r="CZ250" s="275">
        <v>22.55</v>
      </c>
      <c r="DA250" s="124">
        <v>0.73</v>
      </c>
      <c r="DB250" s="122"/>
      <c r="DC250" s="289">
        <v>26.3</v>
      </c>
      <c r="DD250" s="124">
        <v>0.85</v>
      </c>
      <c r="DE250" s="123">
        <v>0.83</v>
      </c>
      <c r="DF250" s="120" t="s">
        <v>776</v>
      </c>
      <c r="DG250" s="122"/>
      <c r="DH250" s="284">
        <f>DI250*31</f>
        <v>69.440000000000012</v>
      </c>
      <c r="DI250" s="1">
        <f t="shared" si="300"/>
        <v>2.2400000000000002</v>
      </c>
      <c r="DJ250" s="1">
        <f t="shared" si="307"/>
        <v>2.3883333333333332</v>
      </c>
      <c r="DK250" s="1" t="s">
        <v>784</v>
      </c>
      <c r="DM250" s="284">
        <f>DN250*31</f>
        <v>2747.8400000000006</v>
      </c>
      <c r="DN250" s="77">
        <f t="shared" si="301"/>
        <v>88.640000000000015</v>
      </c>
      <c r="DO250" s="77">
        <f t="shared" si="308"/>
        <v>89.155664874551974</v>
      </c>
      <c r="DP250" s="118"/>
      <c r="DQ250" s="118"/>
      <c r="DR250" s="284">
        <f>DS250*31</f>
        <v>566.06000000000006</v>
      </c>
      <c r="DS250" s="77">
        <f t="shared" si="302"/>
        <v>18.260000000000002</v>
      </c>
      <c r="DT250" s="77" t="e">
        <f>SUM(CH250+CM250+CR250+CW250+#REF!)</f>
        <v>#REF!</v>
      </c>
      <c r="DU250" s="77"/>
      <c r="DV250" s="77"/>
      <c r="DW250" s="284">
        <f>DX250*31</f>
        <v>3313.9000000000005</v>
      </c>
      <c r="DX250" s="77">
        <f t="shared" si="309"/>
        <v>106.90000000000002</v>
      </c>
      <c r="DY250" s="77">
        <f t="shared" si="310"/>
        <v>107.25149820788532</v>
      </c>
      <c r="EB250" s="2">
        <v>1.92</v>
      </c>
      <c r="ED250" s="7" t="s">
        <v>785</v>
      </c>
      <c r="EE250" s="1">
        <v>31</v>
      </c>
      <c r="EL250" s="1">
        <v>2018</v>
      </c>
      <c r="EM250" s="157" t="s">
        <v>714</v>
      </c>
      <c r="EN250" s="1" t="s">
        <v>841</v>
      </c>
      <c r="EO250" s="1">
        <v>135.16999999999999</v>
      </c>
    </row>
    <row r="251" spans="1:146" s="1" customFormat="1" x14ac:dyDescent="0.25">
      <c r="A251" s="8">
        <v>2018</v>
      </c>
      <c r="B251" s="131" t="s">
        <v>705</v>
      </c>
      <c r="C251" s="129"/>
      <c r="D251" s="289">
        <v>135.88999999999999</v>
      </c>
      <c r="E251" s="133">
        <v>4.53</v>
      </c>
      <c r="F251" s="133">
        <v>4.63</v>
      </c>
      <c r="G251" s="130">
        <v>7.16</v>
      </c>
      <c r="H251" s="132"/>
      <c r="I251" s="295">
        <v>19.55</v>
      </c>
      <c r="J251" s="134">
        <v>0.65</v>
      </c>
      <c r="K251" s="133">
        <v>0.61</v>
      </c>
      <c r="L251" s="130">
        <v>0.92</v>
      </c>
      <c r="M251" s="132"/>
      <c r="N251" s="295">
        <v>99.13</v>
      </c>
      <c r="O251" s="134">
        <v>3.3</v>
      </c>
      <c r="P251" s="133">
        <v>3.23</v>
      </c>
      <c r="Q251" s="130">
        <v>9.58</v>
      </c>
      <c r="R251" s="132"/>
      <c r="S251" s="295">
        <v>189.2</v>
      </c>
      <c r="T251" s="134">
        <v>6.31</v>
      </c>
      <c r="U251" s="133">
        <v>5.82</v>
      </c>
      <c r="V251" s="130">
        <v>23.33</v>
      </c>
      <c r="W251" s="193"/>
      <c r="X251" s="295">
        <v>470.97</v>
      </c>
      <c r="Y251" s="134">
        <v>15.7</v>
      </c>
      <c r="Z251" s="133">
        <v>16.54</v>
      </c>
      <c r="AA251" s="130">
        <v>35.82</v>
      </c>
      <c r="AB251" s="132"/>
      <c r="AC251" s="304">
        <v>660.17</v>
      </c>
      <c r="AD251" s="135">
        <v>22.01</v>
      </c>
      <c r="AE251" s="135">
        <v>22.36</v>
      </c>
      <c r="AF251" s="136">
        <v>59.15</v>
      </c>
      <c r="AG251" s="132"/>
      <c r="AH251" s="295">
        <v>1549.46</v>
      </c>
      <c r="AI251" s="134">
        <v>51.65</v>
      </c>
      <c r="AJ251" s="133">
        <v>50.14</v>
      </c>
      <c r="AK251" s="130">
        <v>136.19999999999999</v>
      </c>
      <c r="AL251" s="132"/>
      <c r="AM251" s="295">
        <v>10.5</v>
      </c>
      <c r="AN251" s="134">
        <v>0.35</v>
      </c>
      <c r="AO251" s="133">
        <v>0.44</v>
      </c>
      <c r="AP251" s="130" t="s">
        <v>776</v>
      </c>
      <c r="AQ251" s="132"/>
      <c r="AR251" s="295">
        <v>103.2</v>
      </c>
      <c r="AS251" s="134">
        <v>3.44</v>
      </c>
      <c r="AT251" s="133">
        <v>3.54</v>
      </c>
      <c r="AU251" s="130" t="s">
        <v>776</v>
      </c>
      <c r="AV251" s="132"/>
      <c r="AW251" s="295">
        <v>18.3</v>
      </c>
      <c r="AX251" s="134">
        <v>0.61</v>
      </c>
      <c r="AY251" s="133">
        <v>0.73</v>
      </c>
      <c r="AZ251" s="130" t="s">
        <v>776</v>
      </c>
      <c r="BA251" s="132"/>
      <c r="BB251" s="295">
        <v>19.5</v>
      </c>
      <c r="BC251" s="134">
        <v>0.65</v>
      </c>
      <c r="BD251" s="133">
        <v>0.68</v>
      </c>
      <c r="BE251" s="130" t="s">
        <v>776</v>
      </c>
      <c r="BF251" s="132"/>
      <c r="BG251" s="295">
        <v>20.100000000000001</v>
      </c>
      <c r="BH251" s="134">
        <v>0.67</v>
      </c>
      <c r="BI251" s="133">
        <v>0.66</v>
      </c>
      <c r="BJ251" s="130" t="s">
        <v>776</v>
      </c>
      <c r="BK251" s="132"/>
      <c r="BL251" s="295">
        <v>120.36</v>
      </c>
      <c r="BM251" s="134">
        <v>4.01</v>
      </c>
      <c r="BN251" s="133">
        <v>4.1100000000000003</v>
      </c>
      <c r="BO251" s="130" t="s">
        <v>776</v>
      </c>
      <c r="BP251" s="132"/>
      <c r="BQ251" s="321">
        <v>9.6</v>
      </c>
      <c r="BR251" s="129">
        <v>0.32</v>
      </c>
      <c r="BS251" s="133">
        <v>0.28999999999999998</v>
      </c>
      <c r="BT251" s="130" t="s">
        <v>776</v>
      </c>
      <c r="BU251" s="132"/>
      <c r="BV251" s="321">
        <v>4.2</v>
      </c>
      <c r="BW251" s="129">
        <v>0.14000000000000001</v>
      </c>
      <c r="BX251" s="133">
        <v>0.23</v>
      </c>
      <c r="BY251" s="130" t="s">
        <v>776</v>
      </c>
      <c r="BZ251" s="132"/>
      <c r="CA251" s="295">
        <v>10.5</v>
      </c>
      <c r="CB251" s="134">
        <v>0.35</v>
      </c>
      <c r="CC251" s="133">
        <v>0.38</v>
      </c>
      <c r="CD251" s="130" t="s">
        <v>776</v>
      </c>
      <c r="CE251" s="132"/>
      <c r="CF251" s="295">
        <v>44.22</v>
      </c>
      <c r="CG251" s="134">
        <v>1.47</v>
      </c>
      <c r="CH251" s="133">
        <v>1.47</v>
      </c>
      <c r="CI251" s="130" t="s">
        <v>776</v>
      </c>
      <c r="CJ251" s="132"/>
      <c r="CK251" s="295">
        <v>192.32</v>
      </c>
      <c r="CL251" s="134">
        <v>6.41</v>
      </c>
      <c r="CM251" s="133">
        <v>5.5</v>
      </c>
      <c r="CN251" s="130">
        <v>14.28</v>
      </c>
      <c r="CO251" s="132"/>
      <c r="CP251" s="295">
        <v>166.94</v>
      </c>
      <c r="CQ251" s="134">
        <v>5.56</v>
      </c>
      <c r="CR251" s="133">
        <v>5.87</v>
      </c>
      <c r="CS251" s="130">
        <v>9.32</v>
      </c>
      <c r="CT251" s="132"/>
      <c r="CU251" s="295">
        <v>161.28</v>
      </c>
      <c r="CV251" s="134">
        <v>5.38</v>
      </c>
      <c r="CW251" s="133">
        <v>5.26</v>
      </c>
      <c r="CX251" s="130">
        <v>9.9600000000000009</v>
      </c>
      <c r="CY251" s="130"/>
      <c r="CZ251" s="276">
        <v>23.15</v>
      </c>
      <c r="DA251" s="134">
        <v>0.77</v>
      </c>
      <c r="DB251" s="132"/>
      <c r="DC251" s="295">
        <v>25.45</v>
      </c>
      <c r="DD251" s="134">
        <v>0.85</v>
      </c>
      <c r="DE251" s="133">
        <v>0.83</v>
      </c>
      <c r="DF251" s="130" t="s">
        <v>776</v>
      </c>
      <c r="DG251" s="132"/>
      <c r="DH251" s="284">
        <f>DI251*30</f>
        <v>68.400000000000006</v>
      </c>
      <c r="DI251" s="1">
        <f t="shared" si="300"/>
        <v>2.2800000000000002</v>
      </c>
      <c r="DJ251" s="1">
        <f t="shared" si="307"/>
        <v>2.3675000000000002</v>
      </c>
      <c r="DM251" s="284">
        <f>DN251*30</f>
        <v>2687.7000000000003</v>
      </c>
      <c r="DN251" s="77">
        <f t="shared" si="301"/>
        <v>89.59</v>
      </c>
      <c r="DO251" s="77">
        <f t="shared" si="308"/>
        <v>88.695220430107511</v>
      </c>
      <c r="DP251" s="118"/>
      <c r="DQ251" s="118"/>
      <c r="DR251" s="284">
        <f>DS251*30</f>
        <v>569.09999999999991</v>
      </c>
      <c r="DS251" s="77">
        <f t="shared" si="302"/>
        <v>18.97</v>
      </c>
      <c r="DT251" s="77" t="e">
        <f>SUM(CH251+CM251+CR251+CW251+#REF!)</f>
        <v>#REF!</v>
      </c>
      <c r="DU251" s="77"/>
      <c r="DV251" s="77"/>
      <c r="DW251" s="284">
        <f>DX251*30</f>
        <v>3256.8</v>
      </c>
      <c r="DX251" s="77">
        <f t="shared" si="309"/>
        <v>108.56</v>
      </c>
      <c r="DY251" s="77">
        <f t="shared" si="310"/>
        <v>106.80855376344086</v>
      </c>
      <c r="EB251" s="2">
        <v>3.59</v>
      </c>
      <c r="ED251" s="76" t="s">
        <v>18</v>
      </c>
      <c r="EE251" s="1">
        <v>30</v>
      </c>
      <c r="EL251" s="1">
        <v>2018</v>
      </c>
      <c r="EM251" s="157" t="s">
        <v>705</v>
      </c>
      <c r="EN251" s="1" t="s">
        <v>841</v>
      </c>
      <c r="EO251" s="1">
        <v>135.88999999999999</v>
      </c>
    </row>
    <row r="252" spans="1:146" x14ac:dyDescent="0.25">
      <c r="A252" s="8">
        <v>2018</v>
      </c>
      <c r="B252" t="s">
        <v>715</v>
      </c>
      <c r="D252" s="284">
        <v>151.99</v>
      </c>
      <c r="E252" s="1">
        <v>4.9000000000000004</v>
      </c>
      <c r="F252" s="1">
        <v>4.57</v>
      </c>
      <c r="G252" s="1">
        <v>4.57</v>
      </c>
      <c r="I252" s="284">
        <v>20.99</v>
      </c>
      <c r="J252" s="1">
        <v>0.68</v>
      </c>
      <c r="K252" s="1">
        <v>0.62</v>
      </c>
      <c r="L252" s="1">
        <v>1.38</v>
      </c>
      <c r="N252" s="284">
        <v>113.47</v>
      </c>
      <c r="O252" s="1">
        <v>3.66</v>
      </c>
      <c r="P252" s="1">
        <v>3.24</v>
      </c>
      <c r="Q252" s="1">
        <v>10.94</v>
      </c>
      <c r="S252" s="284">
        <v>212.11</v>
      </c>
      <c r="T252" s="1">
        <v>6.84</v>
      </c>
      <c r="U252" s="1">
        <v>5.87</v>
      </c>
      <c r="V252" s="1">
        <v>14.57</v>
      </c>
      <c r="X252" s="278">
        <v>553.46</v>
      </c>
      <c r="Y252" s="117">
        <v>17.850000000000001</v>
      </c>
      <c r="Z252" s="181">
        <v>16.420000000000002</v>
      </c>
      <c r="AA252" s="180">
        <v>31.15</v>
      </c>
      <c r="AC252" s="284">
        <v>765.57</v>
      </c>
      <c r="AD252" s="1">
        <v>24.7</v>
      </c>
      <c r="AE252" s="1">
        <v>22.29</v>
      </c>
      <c r="AF252" s="1">
        <v>45.72</v>
      </c>
      <c r="AH252" s="299">
        <v>1924.94</v>
      </c>
      <c r="AI252">
        <v>62.09</v>
      </c>
      <c r="AJ252">
        <v>50.75</v>
      </c>
      <c r="AK252">
        <v>176.6</v>
      </c>
      <c r="AM252" s="299">
        <v>19.53</v>
      </c>
      <c r="AN252">
        <v>0.63</v>
      </c>
      <c r="AO252">
        <v>0.44</v>
      </c>
      <c r="AP252" t="s">
        <v>776</v>
      </c>
      <c r="AR252" s="284">
        <v>145.38999999999999</v>
      </c>
      <c r="AS252" s="1">
        <v>4.6900000000000004</v>
      </c>
      <c r="AT252" s="1">
        <v>3.61</v>
      </c>
      <c r="AU252" s="1" t="s">
        <v>776</v>
      </c>
      <c r="AW252" s="284">
        <v>28.21</v>
      </c>
      <c r="AX252" s="1">
        <v>0.91</v>
      </c>
      <c r="AY252" s="1">
        <v>0.73</v>
      </c>
      <c r="AZ252" s="1" t="s">
        <v>776</v>
      </c>
      <c r="BB252" s="284">
        <v>27.28</v>
      </c>
      <c r="BC252" s="1">
        <v>0.88</v>
      </c>
      <c r="BD252" s="1">
        <v>0.7</v>
      </c>
      <c r="BE252" s="1" t="s">
        <v>776</v>
      </c>
      <c r="BG252" s="284">
        <v>31</v>
      </c>
      <c r="BH252" s="1">
        <v>1</v>
      </c>
      <c r="BI252" s="1">
        <v>0.68</v>
      </c>
      <c r="BJ252" s="1" t="s">
        <v>776</v>
      </c>
      <c r="BL252" s="284">
        <v>124.37</v>
      </c>
      <c r="BM252" s="1">
        <v>4.01</v>
      </c>
      <c r="BN252" s="1">
        <v>4.09</v>
      </c>
      <c r="BO252" s="1" t="s">
        <v>776</v>
      </c>
      <c r="BQ252" s="284">
        <v>14.26</v>
      </c>
      <c r="BR252" s="1">
        <v>0.46</v>
      </c>
      <c r="BS252" s="1">
        <v>0.28999999999999998</v>
      </c>
      <c r="BT252" s="1" t="s">
        <v>776</v>
      </c>
      <c r="BV252" s="284">
        <v>7.75</v>
      </c>
      <c r="BW252" s="1">
        <v>0.25</v>
      </c>
      <c r="BX252" s="1">
        <v>0.21</v>
      </c>
      <c r="BY252" s="1" t="s">
        <v>776</v>
      </c>
      <c r="CA252" s="284">
        <v>15.5</v>
      </c>
      <c r="CB252" s="1">
        <v>0.5</v>
      </c>
      <c r="CC252" s="1">
        <v>0.39</v>
      </c>
      <c r="CD252" s="1" t="s">
        <v>776</v>
      </c>
      <c r="CF252" s="284">
        <v>45.69</v>
      </c>
      <c r="CG252" s="1">
        <v>1.47</v>
      </c>
      <c r="CH252" s="1">
        <v>1.47</v>
      </c>
      <c r="CI252" s="1" t="s">
        <v>776</v>
      </c>
      <c r="CK252" s="284">
        <v>203.71</v>
      </c>
      <c r="CL252" s="1">
        <v>6.57</v>
      </c>
      <c r="CM252" s="1">
        <v>5.53</v>
      </c>
      <c r="CN252" s="1">
        <v>16.05</v>
      </c>
      <c r="CP252" s="284">
        <v>190.62</v>
      </c>
      <c r="CQ252" s="1">
        <v>6.15</v>
      </c>
      <c r="CR252" s="1">
        <v>5.84</v>
      </c>
      <c r="CS252" s="1">
        <v>11.5</v>
      </c>
      <c r="CU252" s="284">
        <v>183.95</v>
      </c>
      <c r="CV252" s="1">
        <v>5.93</v>
      </c>
      <c r="CW252" s="1">
        <v>5.28</v>
      </c>
      <c r="CX252" s="1">
        <v>10.32</v>
      </c>
      <c r="CZ252" s="269">
        <v>27.89</v>
      </c>
      <c r="DA252" s="1">
        <v>0.9</v>
      </c>
      <c r="DC252" s="284">
        <v>26.3</v>
      </c>
      <c r="DD252" s="1">
        <v>0.85</v>
      </c>
      <c r="DE252" s="1">
        <v>0.83</v>
      </c>
      <c r="DF252" s="1" t="s">
        <v>776</v>
      </c>
      <c r="DH252" s="284">
        <f>DI252*31</f>
        <v>83.079999999999984</v>
      </c>
      <c r="DI252" s="1">
        <f t="shared" si="300"/>
        <v>2.6799999999999997</v>
      </c>
      <c r="DJ252" s="1">
        <f t="shared" si="307"/>
        <v>2.3691666666666666</v>
      </c>
      <c r="DK252" s="1"/>
      <c r="DL252" s="1"/>
      <c r="DM252" s="284">
        <f>DN252*31</f>
        <v>3269.57</v>
      </c>
      <c r="DN252" s="77">
        <f t="shared" si="301"/>
        <v>105.47</v>
      </c>
      <c r="DO252" s="77">
        <f t="shared" si="308"/>
        <v>89.381696236559151</v>
      </c>
      <c r="DP252" s="118"/>
      <c r="DQ252" s="118"/>
      <c r="DR252" s="284">
        <f>DS252*31</f>
        <v>632.4</v>
      </c>
      <c r="DS252" s="77">
        <f t="shared" si="302"/>
        <v>20.399999999999999</v>
      </c>
      <c r="DT252" s="77" t="e">
        <f>SUM(CH252+CM252+CR252+CW252+#REF!)</f>
        <v>#REF!</v>
      </c>
      <c r="DU252" s="77"/>
      <c r="DV252" s="77"/>
      <c r="DW252" s="284">
        <f>DX252*31</f>
        <v>3901.9700000000003</v>
      </c>
      <c r="DX252" s="77">
        <f t="shared" si="309"/>
        <v>125.87</v>
      </c>
      <c r="DY252" s="77">
        <f t="shared" si="310"/>
        <v>107.5458629032258</v>
      </c>
      <c r="EB252" s="2">
        <v>8.73</v>
      </c>
      <c r="ED252" s="76" t="s">
        <v>786</v>
      </c>
      <c r="EE252" s="1">
        <v>31</v>
      </c>
      <c r="EL252">
        <v>2018</v>
      </c>
      <c r="EM252" s="157" t="s">
        <v>715</v>
      </c>
      <c r="EN252" t="s">
        <v>841</v>
      </c>
      <c r="EO252">
        <v>151.99</v>
      </c>
    </row>
    <row r="253" spans="1:146" x14ac:dyDescent="0.25">
      <c r="A253" s="8">
        <v>2018</v>
      </c>
      <c r="B253" t="s">
        <v>718</v>
      </c>
      <c r="D253" s="269">
        <v>151.4</v>
      </c>
      <c r="E253" s="1">
        <v>5.05</v>
      </c>
      <c r="F253" s="1">
        <v>4.57</v>
      </c>
      <c r="G253" s="1">
        <v>7.57</v>
      </c>
      <c r="I253" s="284">
        <v>18.77</v>
      </c>
      <c r="J253" s="1">
        <v>0.63</v>
      </c>
      <c r="K253" s="1">
        <v>0.63</v>
      </c>
      <c r="L253" s="1">
        <v>1.37</v>
      </c>
      <c r="N253" s="284">
        <v>110.58</v>
      </c>
      <c r="O253" s="1">
        <v>3.69</v>
      </c>
      <c r="P253" s="1">
        <v>3.27</v>
      </c>
      <c r="Q253" s="1">
        <v>15.14</v>
      </c>
      <c r="S253" s="284">
        <v>214.01</v>
      </c>
      <c r="T253" s="1">
        <v>7.13</v>
      </c>
      <c r="U253" s="1">
        <v>5.98</v>
      </c>
      <c r="V253" s="1">
        <v>25</v>
      </c>
      <c r="X253" s="284">
        <v>586.87</v>
      </c>
      <c r="Y253" s="180">
        <v>19.559999999999999</v>
      </c>
      <c r="Z253" s="180">
        <v>16.63</v>
      </c>
      <c r="AA253">
        <v>37.18</v>
      </c>
      <c r="AB253" s="181"/>
      <c r="AC253" s="284">
        <v>800.88</v>
      </c>
      <c r="AD253" s="180">
        <v>26.7</v>
      </c>
      <c r="AE253" s="1">
        <v>22.61</v>
      </c>
      <c r="AF253" s="1">
        <v>62.18</v>
      </c>
      <c r="AH253" s="299">
        <v>1869.44</v>
      </c>
      <c r="AI253">
        <v>62.31</v>
      </c>
      <c r="AJ253">
        <v>51.89</v>
      </c>
      <c r="AK253">
        <v>241.6</v>
      </c>
      <c r="AM253" s="299">
        <v>15.3</v>
      </c>
      <c r="AN253">
        <v>0.51</v>
      </c>
      <c r="AO253">
        <v>0.45</v>
      </c>
      <c r="AP253" t="s">
        <v>776</v>
      </c>
      <c r="AR253" s="284">
        <v>128.4</v>
      </c>
      <c r="AS253" s="1">
        <v>4.28</v>
      </c>
      <c r="AT253" s="1">
        <v>3.67</v>
      </c>
      <c r="AU253" s="1" t="s">
        <v>776</v>
      </c>
      <c r="AW253" s="284">
        <v>17.7</v>
      </c>
      <c r="AX253" s="1">
        <v>0.59</v>
      </c>
      <c r="AY253" s="1">
        <v>0.68</v>
      </c>
      <c r="AZ253" s="1" t="s">
        <v>776</v>
      </c>
      <c r="BB253" s="284">
        <v>22.5</v>
      </c>
      <c r="BC253" s="1">
        <v>0.75</v>
      </c>
      <c r="BD253" s="1">
        <v>0.71</v>
      </c>
      <c r="BE253" s="1" t="s">
        <v>776</v>
      </c>
      <c r="BG253" s="284">
        <v>25.2</v>
      </c>
      <c r="BH253" s="1">
        <v>0.84</v>
      </c>
      <c r="BI253" s="1">
        <v>0.7</v>
      </c>
      <c r="BJ253" s="1" t="s">
        <v>776</v>
      </c>
      <c r="BL253" s="284">
        <v>120.36</v>
      </c>
      <c r="BM253" s="1">
        <v>4.01</v>
      </c>
      <c r="BN253" s="1">
        <v>4.07</v>
      </c>
      <c r="BO253" s="1" t="s">
        <v>776</v>
      </c>
      <c r="BQ253" s="284">
        <v>12.6</v>
      </c>
      <c r="BR253" s="1">
        <v>0.42</v>
      </c>
      <c r="BS253" s="1">
        <v>0.3</v>
      </c>
      <c r="BT253" s="1" t="s">
        <v>776</v>
      </c>
      <c r="BV253" s="284">
        <v>5.7</v>
      </c>
      <c r="BW253" s="1">
        <v>0.19</v>
      </c>
      <c r="BX253" s="1">
        <v>0.21</v>
      </c>
      <c r="BY253" s="1" t="s">
        <v>776</v>
      </c>
      <c r="CA253" s="284">
        <v>11.7</v>
      </c>
      <c r="CB253" s="1">
        <v>0.39</v>
      </c>
      <c r="CC253" s="1">
        <v>0.39</v>
      </c>
      <c r="CD253" s="1" t="s">
        <v>776</v>
      </c>
      <c r="CF253" s="284">
        <v>44.22</v>
      </c>
      <c r="CG253" s="1">
        <v>1.47</v>
      </c>
      <c r="CH253" s="1">
        <v>1.47</v>
      </c>
      <c r="CI253" s="1" t="s">
        <v>776</v>
      </c>
      <c r="CK253" s="284">
        <v>175.26</v>
      </c>
      <c r="CL253" s="1">
        <v>5.84</v>
      </c>
      <c r="CM253" s="1">
        <v>5.52</v>
      </c>
      <c r="CN253" s="1">
        <v>10.77</v>
      </c>
      <c r="CP253" s="284">
        <v>173.48</v>
      </c>
      <c r="CQ253" s="1">
        <v>5.78</v>
      </c>
      <c r="CR253" s="1">
        <v>5.81</v>
      </c>
      <c r="CS253" s="1">
        <v>10.02</v>
      </c>
      <c r="CU253" s="284">
        <v>173.59</v>
      </c>
      <c r="CV253" s="1">
        <v>5.79</v>
      </c>
      <c r="CW253" s="1">
        <v>5.34</v>
      </c>
      <c r="CX253" s="1">
        <v>9.1</v>
      </c>
      <c r="CZ253" s="269">
        <v>25.99</v>
      </c>
      <c r="DA253" s="1">
        <v>0.87</v>
      </c>
      <c r="DC253" s="284">
        <v>25.45</v>
      </c>
      <c r="DD253" s="1">
        <v>0.85</v>
      </c>
      <c r="DE253" s="1">
        <v>0.84</v>
      </c>
      <c r="DF253" s="1" t="s">
        <v>776</v>
      </c>
      <c r="DH253" s="284">
        <f>DI253*30</f>
        <v>74.099999999999994</v>
      </c>
      <c r="DI253" s="1">
        <f t="shared" si="300"/>
        <v>2.4699999999999998</v>
      </c>
      <c r="DJ253" s="1">
        <f t="shared" ref="DJ253:DJ263" si="311">SUM(DI242:DI253)/12</f>
        <v>2.3774999999999999</v>
      </c>
      <c r="DM253" s="284">
        <f>DN253*30</f>
        <v>3206.7000000000003</v>
      </c>
      <c r="DN253" s="77">
        <f t="shared" si="301"/>
        <v>106.89000000000001</v>
      </c>
      <c r="DO253" s="77">
        <f t="shared" ref="DO253:DO263" si="312">SUM(DN242:DN253)/12</f>
        <v>90.872510125448045</v>
      </c>
      <c r="DR253" s="284">
        <f>DS253*30</f>
        <v>573.90000000000009</v>
      </c>
      <c r="DS253" s="77">
        <f t="shared" si="302"/>
        <v>19.130000000000003</v>
      </c>
      <c r="DT253" s="77" t="e">
        <f>SUM(CH253+CM253+CR253+CW253+#REF!)</f>
        <v>#REF!</v>
      </c>
      <c r="DU253" s="77"/>
      <c r="DV253" s="77"/>
      <c r="DW253" s="284">
        <f>DX253*30</f>
        <v>3780.6000000000004</v>
      </c>
      <c r="DX253" s="77">
        <f t="shared" ref="DX253:DX263" si="313">SUM(DN253+DS253)</f>
        <v>126.02000000000001</v>
      </c>
      <c r="DY253" s="77">
        <f t="shared" ref="DY253:DY263" si="314">SUM(DX242:DX253)/12</f>
        <v>109.06917679211467</v>
      </c>
      <c r="EB253" s="2">
        <v>5.21</v>
      </c>
      <c r="ED253" s="7" t="s">
        <v>787</v>
      </c>
      <c r="EE253" s="1">
        <v>30</v>
      </c>
      <c r="EL253">
        <v>2018</v>
      </c>
      <c r="EM253" s="157" t="s">
        <v>718</v>
      </c>
      <c r="EN253" t="s">
        <v>841</v>
      </c>
      <c r="EO253">
        <v>151.4</v>
      </c>
    </row>
    <row r="254" spans="1:146" x14ac:dyDescent="0.25">
      <c r="A254" s="8">
        <v>2018</v>
      </c>
      <c r="B254" t="s">
        <v>716</v>
      </c>
      <c r="D254" s="284">
        <v>167.5</v>
      </c>
      <c r="E254" s="1">
        <v>5.4</v>
      </c>
      <c r="F254" s="1">
        <v>4.62</v>
      </c>
      <c r="G254" s="1">
        <v>11.47</v>
      </c>
      <c r="I254" s="284">
        <v>19.78</v>
      </c>
      <c r="J254" s="1">
        <v>0.64</v>
      </c>
      <c r="K254" s="1">
        <v>0.63</v>
      </c>
      <c r="L254" s="1">
        <v>1.8</v>
      </c>
      <c r="N254" s="284">
        <v>111.13</v>
      </c>
      <c r="O254" s="1">
        <v>3.58</v>
      </c>
      <c r="P254" s="1">
        <v>3.29</v>
      </c>
      <c r="Q254" s="1">
        <v>20.07</v>
      </c>
      <c r="S254" s="284">
        <v>206.92</v>
      </c>
      <c r="T254" s="1">
        <v>6.67</v>
      </c>
      <c r="U254" s="1">
        <v>6.03</v>
      </c>
      <c r="V254" s="1">
        <v>25</v>
      </c>
      <c r="X254" s="284">
        <v>662.17</v>
      </c>
      <c r="Y254" s="180">
        <v>21.36</v>
      </c>
      <c r="Z254" s="181">
        <v>16.920000000000002</v>
      </c>
      <c r="AA254" s="180">
        <v>84.4</v>
      </c>
      <c r="AB254" s="181"/>
      <c r="AC254" s="284">
        <v>869.09</v>
      </c>
      <c r="AD254" s="180">
        <v>28.04</v>
      </c>
      <c r="AE254" s="1">
        <v>22.95</v>
      </c>
      <c r="AF254" s="1">
        <v>109.4</v>
      </c>
      <c r="AH254" s="299">
        <v>1760.2</v>
      </c>
      <c r="AI254">
        <v>56.78</v>
      </c>
      <c r="AJ254">
        <v>52.38</v>
      </c>
      <c r="AK254">
        <v>215.3</v>
      </c>
      <c r="AM254" s="299">
        <v>16.739999999999998</v>
      </c>
      <c r="AN254">
        <v>0.54</v>
      </c>
      <c r="AO254">
        <v>0.45</v>
      </c>
      <c r="AP254" t="s">
        <v>776</v>
      </c>
      <c r="AR254" s="284">
        <v>134.54</v>
      </c>
      <c r="AS254" s="1">
        <v>4.34</v>
      </c>
      <c r="AT254" s="1">
        <v>3.74</v>
      </c>
      <c r="AU254" s="1" t="s">
        <v>776</v>
      </c>
      <c r="AW254" s="284">
        <v>25.11</v>
      </c>
      <c r="AX254" s="1">
        <v>0.81</v>
      </c>
      <c r="AY254" s="1">
        <v>0.67</v>
      </c>
      <c r="AZ254" s="1" t="s">
        <v>776</v>
      </c>
      <c r="BB254" s="284">
        <v>25.11</v>
      </c>
      <c r="BC254" s="1">
        <v>0.81</v>
      </c>
      <c r="BD254" s="1">
        <v>0.72</v>
      </c>
      <c r="BE254" s="1" t="s">
        <v>776</v>
      </c>
      <c r="BG254" s="284">
        <v>28.83</v>
      </c>
      <c r="BH254" s="1">
        <v>0.93</v>
      </c>
      <c r="BI254" s="1">
        <v>0.72</v>
      </c>
      <c r="BJ254" s="1" t="s">
        <v>776</v>
      </c>
      <c r="BL254" s="284">
        <v>124.37</v>
      </c>
      <c r="BM254" s="1">
        <v>4.01</v>
      </c>
      <c r="BN254" s="1">
        <v>4.05</v>
      </c>
      <c r="BO254" s="1" t="s">
        <v>776</v>
      </c>
      <c r="BQ254" s="284">
        <v>14.26</v>
      </c>
      <c r="BR254" s="1">
        <v>0.46</v>
      </c>
      <c r="BS254" s="1">
        <v>0.32</v>
      </c>
      <c r="BT254" s="1" t="s">
        <v>776</v>
      </c>
      <c r="BV254" s="284">
        <v>7.13</v>
      </c>
      <c r="BW254" s="1">
        <v>0.23</v>
      </c>
      <c r="BX254" s="1">
        <v>0.21</v>
      </c>
      <c r="BY254" s="1" t="s">
        <v>776</v>
      </c>
      <c r="CA254" s="284">
        <v>14.57</v>
      </c>
      <c r="CB254" s="1">
        <v>0.47</v>
      </c>
      <c r="CC254" s="1">
        <v>0.4</v>
      </c>
      <c r="CD254" s="1" t="s">
        <v>776</v>
      </c>
      <c r="CF254" s="284">
        <v>45.69</v>
      </c>
      <c r="CG254" s="1">
        <v>1.47</v>
      </c>
      <c r="CH254" s="1">
        <v>1.47</v>
      </c>
      <c r="CI254" s="1" t="s">
        <v>776</v>
      </c>
      <c r="CK254" s="284">
        <v>150.05000000000001</v>
      </c>
      <c r="CL254" s="1">
        <v>4.84</v>
      </c>
      <c r="CM254" s="1">
        <v>5.44</v>
      </c>
      <c r="CN254" s="1">
        <v>25.07</v>
      </c>
      <c r="CP254" s="284">
        <v>171.11</v>
      </c>
      <c r="CQ254" s="1">
        <v>5.52</v>
      </c>
      <c r="CR254" s="1">
        <v>5.77</v>
      </c>
      <c r="CS254" s="1">
        <v>11.47</v>
      </c>
      <c r="CU254" s="284">
        <v>173.61</v>
      </c>
      <c r="CV254" s="1">
        <v>5.6</v>
      </c>
      <c r="CW254" s="1">
        <v>5.38</v>
      </c>
      <c r="CX254" s="1">
        <v>15.33</v>
      </c>
      <c r="CZ254" s="269">
        <v>26.25</v>
      </c>
      <c r="DA254" s="1">
        <v>0.85</v>
      </c>
      <c r="DC254" s="284">
        <v>26.3</v>
      </c>
      <c r="DD254" s="1">
        <v>0.85</v>
      </c>
      <c r="DE254" s="1">
        <v>0.84</v>
      </c>
      <c r="DF254" s="1" t="s">
        <v>776</v>
      </c>
      <c r="DH254" s="284">
        <f>DI254*31</f>
        <v>81.53</v>
      </c>
      <c r="DI254" s="1">
        <f t="shared" si="300"/>
        <v>2.63</v>
      </c>
      <c r="DJ254" s="1">
        <f t="shared" si="311"/>
        <v>2.3933333333333331</v>
      </c>
      <c r="DM254" s="284">
        <f>DN254*31</f>
        <v>3200.7500000000009</v>
      </c>
      <c r="DN254" s="77">
        <f t="shared" si="301"/>
        <v>103.25000000000003</v>
      </c>
      <c r="DO254" s="77">
        <f t="shared" si="312"/>
        <v>91.821308512544817</v>
      </c>
      <c r="DR254" s="284">
        <f>DS254*31</f>
        <v>547.46</v>
      </c>
      <c r="DS254" s="77">
        <f t="shared" si="302"/>
        <v>17.66</v>
      </c>
      <c r="DT254" s="77" t="e">
        <f>SUM(CH254+CM254+CR254+CW254+#REF!)</f>
        <v>#REF!</v>
      </c>
      <c r="DU254" s="77"/>
      <c r="DV254" s="77"/>
      <c r="DW254" s="284">
        <f>DX254*31</f>
        <v>3748.2100000000009</v>
      </c>
      <c r="DX254" s="77">
        <f t="shared" si="313"/>
        <v>120.91000000000003</v>
      </c>
      <c r="DY254" s="77">
        <f t="shared" si="314"/>
        <v>109.96547517921148</v>
      </c>
      <c r="EB254" s="2">
        <v>9.73</v>
      </c>
      <c r="ED254" s="76" t="s">
        <v>788</v>
      </c>
      <c r="EE254" s="1">
        <v>31</v>
      </c>
      <c r="EL254">
        <v>2018</v>
      </c>
      <c r="EM254" s="157" t="s">
        <v>716</v>
      </c>
      <c r="EN254" t="s">
        <v>841</v>
      </c>
      <c r="EO254">
        <v>167.5</v>
      </c>
    </row>
    <row r="255" spans="1:146" x14ac:dyDescent="0.25">
      <c r="A255" s="8">
        <v>2018</v>
      </c>
      <c r="B255" s="131" t="s">
        <v>708</v>
      </c>
      <c r="C255" s="129"/>
      <c r="D255" s="284">
        <v>182.37</v>
      </c>
      <c r="E255" s="1">
        <v>5.88</v>
      </c>
      <c r="F255" s="1">
        <v>4.72</v>
      </c>
      <c r="G255" s="1">
        <v>8.52</v>
      </c>
      <c r="I255" s="284">
        <v>19.57</v>
      </c>
      <c r="J255" s="1">
        <v>0.63</v>
      </c>
      <c r="K255" s="1">
        <v>0.63</v>
      </c>
      <c r="L255" s="1">
        <v>1.8</v>
      </c>
      <c r="N255" s="284">
        <v>102.83</v>
      </c>
      <c r="O255" s="1">
        <v>3.32</v>
      </c>
      <c r="P255" s="1">
        <v>3.3</v>
      </c>
      <c r="Q255" s="1">
        <v>6.98</v>
      </c>
      <c r="S255" s="284">
        <v>220.47</v>
      </c>
      <c r="T255" s="1">
        <v>7.11</v>
      </c>
      <c r="U255" s="1">
        <v>6.13</v>
      </c>
      <c r="V255" s="1">
        <v>10.77</v>
      </c>
      <c r="X255" s="284">
        <v>599.72</v>
      </c>
      <c r="Y255" s="180">
        <v>19.350000000000001</v>
      </c>
      <c r="Z255" s="181">
        <v>16.989999999999998</v>
      </c>
      <c r="AA255" s="180">
        <v>45.16</v>
      </c>
      <c r="AB255" s="181"/>
      <c r="AC255" s="284">
        <v>820.19</v>
      </c>
      <c r="AD255" s="180">
        <v>26.46</v>
      </c>
      <c r="AE255" s="1">
        <v>23.13</v>
      </c>
      <c r="AF255" s="1">
        <v>55.93</v>
      </c>
      <c r="AH255" s="299">
        <v>1769.18</v>
      </c>
      <c r="AI255">
        <v>57.07</v>
      </c>
      <c r="AJ255">
        <v>52.59</v>
      </c>
      <c r="AK255">
        <v>154.6</v>
      </c>
      <c r="AM255" s="299">
        <v>15.81</v>
      </c>
      <c r="AN255">
        <v>0.51</v>
      </c>
      <c r="AO255">
        <v>0.45</v>
      </c>
      <c r="AP255" t="s">
        <v>776</v>
      </c>
      <c r="AR255" s="284">
        <v>155</v>
      </c>
      <c r="AS255" s="1">
        <v>5</v>
      </c>
      <c r="AT255" s="1">
        <v>3.83</v>
      </c>
      <c r="AU255" s="1" t="s">
        <v>776</v>
      </c>
      <c r="AW255" s="284">
        <v>30.38</v>
      </c>
      <c r="AX255" s="1">
        <v>0.98</v>
      </c>
      <c r="AY255" s="1">
        <v>0.68</v>
      </c>
      <c r="AZ255" s="1" t="s">
        <v>776</v>
      </c>
      <c r="BB255" s="284">
        <v>31</v>
      </c>
      <c r="BC255" s="1">
        <v>1</v>
      </c>
      <c r="BD255" s="1">
        <v>0.74</v>
      </c>
      <c r="BE255" s="1" t="s">
        <v>776</v>
      </c>
      <c r="BG255" s="284">
        <v>25.11</v>
      </c>
      <c r="BH255" s="1">
        <v>0.81</v>
      </c>
      <c r="BI255" s="1">
        <v>0.73</v>
      </c>
      <c r="BJ255" s="1" t="s">
        <v>776</v>
      </c>
      <c r="BL255" s="284">
        <v>124.37</v>
      </c>
      <c r="BM255" s="1">
        <v>4.01</v>
      </c>
      <c r="BN255" s="1">
        <v>4.03</v>
      </c>
      <c r="BO255" s="1" t="s">
        <v>776</v>
      </c>
      <c r="BQ255" s="284">
        <v>21.7</v>
      </c>
      <c r="BR255" s="1">
        <v>0.7</v>
      </c>
      <c r="BS255" s="1">
        <v>0.35</v>
      </c>
      <c r="BT255" s="1" t="s">
        <v>776</v>
      </c>
      <c r="BV255" s="284">
        <v>7.44</v>
      </c>
      <c r="BW255" s="1">
        <v>0.24</v>
      </c>
      <c r="BX255" s="1">
        <v>0.21</v>
      </c>
      <c r="BY255" s="1" t="s">
        <v>776</v>
      </c>
      <c r="CA255" s="284">
        <v>15.19</v>
      </c>
      <c r="CB255" s="1">
        <v>0.49</v>
      </c>
      <c r="CC255" s="1">
        <v>0.41</v>
      </c>
      <c r="CD255" s="1" t="s">
        <v>776</v>
      </c>
      <c r="CF255" s="284">
        <v>45.69</v>
      </c>
      <c r="CG255" s="1">
        <v>1.47</v>
      </c>
      <c r="CH255" s="1">
        <v>1.47</v>
      </c>
      <c r="CI255" s="1" t="s">
        <v>776</v>
      </c>
      <c r="CK255" s="284">
        <v>158.51</v>
      </c>
      <c r="CL255" s="1">
        <v>5.1100000000000003</v>
      </c>
      <c r="CM255" s="1">
        <v>5.43</v>
      </c>
      <c r="CN255" s="1">
        <v>12.69</v>
      </c>
      <c r="CP255" s="284">
        <v>191.42</v>
      </c>
      <c r="CQ255" s="1">
        <v>6.17</v>
      </c>
      <c r="CR255" s="1">
        <v>5.77</v>
      </c>
      <c r="CS255" s="1">
        <v>10.51</v>
      </c>
      <c r="CU255" s="284">
        <v>187.31</v>
      </c>
      <c r="CV255" s="1">
        <v>6.04</v>
      </c>
      <c r="CW255" s="1">
        <v>5.45</v>
      </c>
      <c r="CX255" s="1">
        <v>14.48</v>
      </c>
      <c r="CZ255" s="269">
        <v>26.1</v>
      </c>
      <c r="DA255" s="1">
        <v>0.84</v>
      </c>
      <c r="DC255" s="284">
        <v>26.3</v>
      </c>
      <c r="DD255" s="1">
        <v>0.85</v>
      </c>
      <c r="DE255" s="1">
        <v>0.85</v>
      </c>
      <c r="DF255" s="1" t="s">
        <v>776</v>
      </c>
      <c r="DH255" s="284">
        <f>DI255*31</f>
        <v>89.899999999999991</v>
      </c>
      <c r="DI255" s="1">
        <f t="shared" si="300"/>
        <v>2.9</v>
      </c>
      <c r="DJ255" s="1">
        <f t="shared" si="311"/>
        <v>2.4333333333333331</v>
      </c>
      <c r="DM255" s="284">
        <f>DN255*31</f>
        <v>3185.8700000000003</v>
      </c>
      <c r="DN255" s="77">
        <f t="shared" si="301"/>
        <v>102.77000000000001</v>
      </c>
      <c r="DO255" s="77">
        <f t="shared" si="312"/>
        <v>92.400735931899646</v>
      </c>
      <c r="DR255" s="284">
        <f>DS255*31</f>
        <v>589.31000000000006</v>
      </c>
      <c r="DS255" s="77">
        <f t="shared" si="302"/>
        <v>19.010000000000002</v>
      </c>
      <c r="DT255" s="77" t="e">
        <f>SUM(CH255+CM255+CR255+CW255+#REF!)</f>
        <v>#REF!</v>
      </c>
      <c r="DU255" s="77"/>
      <c r="DV255" s="77"/>
      <c r="DW255" s="284">
        <f>DX255*31</f>
        <v>3775.1800000000003</v>
      </c>
      <c r="DX255" s="77">
        <f t="shared" si="313"/>
        <v>121.78000000000002</v>
      </c>
      <c r="DY255" s="77">
        <f t="shared" si="314"/>
        <v>110.62656926523299</v>
      </c>
      <c r="EB255" s="2">
        <v>5.19</v>
      </c>
      <c r="ED255" s="7" t="s">
        <v>789</v>
      </c>
      <c r="EE255" s="1">
        <v>31</v>
      </c>
      <c r="EL255">
        <v>2018</v>
      </c>
      <c r="EM255" s="157" t="s">
        <v>708</v>
      </c>
      <c r="EN255" t="s">
        <v>841</v>
      </c>
      <c r="EO255">
        <v>182.37</v>
      </c>
    </row>
    <row r="256" spans="1:146" s="1" customFormat="1" x14ac:dyDescent="0.25">
      <c r="A256" s="8">
        <v>2018</v>
      </c>
      <c r="B256" s="152" t="s">
        <v>709</v>
      </c>
      <c r="C256" s="177"/>
      <c r="D256" s="277">
        <v>184.91</v>
      </c>
      <c r="E256" s="127">
        <v>6.16</v>
      </c>
      <c r="F256" s="127">
        <v>4.87</v>
      </c>
      <c r="G256" s="156">
        <v>10.63</v>
      </c>
      <c r="H256" s="153"/>
      <c r="I256" s="277">
        <v>20.8</v>
      </c>
      <c r="J256" s="128">
        <v>0.69</v>
      </c>
      <c r="K256" s="127">
        <v>0.63</v>
      </c>
      <c r="L256" s="156">
        <v>1.4</v>
      </c>
      <c r="M256" s="153"/>
      <c r="N256" s="277">
        <v>114.93</v>
      </c>
      <c r="O256" s="128">
        <v>3.83</v>
      </c>
      <c r="P256" s="127">
        <v>3.35</v>
      </c>
      <c r="Q256" s="156">
        <v>10.49</v>
      </c>
      <c r="R256" s="153"/>
      <c r="S256" s="277">
        <v>241.49</v>
      </c>
      <c r="T256" s="128">
        <v>8.0500000000000007</v>
      </c>
      <c r="U256" s="127">
        <v>6.33</v>
      </c>
      <c r="V256" s="156">
        <v>15.98</v>
      </c>
      <c r="W256" s="194"/>
      <c r="X256" s="277">
        <v>625.52</v>
      </c>
      <c r="Y256" s="128">
        <v>20.85</v>
      </c>
      <c r="Z256" s="127">
        <v>17.25</v>
      </c>
      <c r="AA256" s="156">
        <v>32.22</v>
      </c>
      <c r="AB256" s="153"/>
      <c r="AC256" s="305">
        <v>867.01</v>
      </c>
      <c r="AD256" s="154">
        <v>28.9</v>
      </c>
      <c r="AE256" s="154">
        <v>23.58</v>
      </c>
      <c r="AF256" s="155">
        <v>48.2</v>
      </c>
      <c r="AG256" s="153"/>
      <c r="AH256" s="277">
        <v>2067.4899999999998</v>
      </c>
      <c r="AI256" s="128">
        <v>68.92</v>
      </c>
      <c r="AJ256" s="127">
        <v>54.23</v>
      </c>
      <c r="AK256" s="156">
        <v>218.9</v>
      </c>
      <c r="AL256" s="153"/>
      <c r="AM256" s="277">
        <v>17.7</v>
      </c>
      <c r="AN256" s="128">
        <v>0.59</v>
      </c>
      <c r="AO256" s="127">
        <v>0.46</v>
      </c>
      <c r="AP256" s="156" t="s">
        <v>776</v>
      </c>
      <c r="AQ256" s="153"/>
      <c r="AR256" s="277">
        <v>136.80000000000001</v>
      </c>
      <c r="AS256" s="128">
        <v>4.5599999999999996</v>
      </c>
      <c r="AT256" s="127">
        <v>3.93</v>
      </c>
      <c r="AU256" s="156" t="s">
        <v>776</v>
      </c>
      <c r="AV256" s="153"/>
      <c r="AW256" s="277">
        <v>28.5</v>
      </c>
      <c r="AX256" s="128">
        <v>0.95</v>
      </c>
      <c r="AY256" s="127">
        <v>0.72</v>
      </c>
      <c r="AZ256" s="156" t="s">
        <v>776</v>
      </c>
      <c r="BA256" s="153"/>
      <c r="BB256" s="277">
        <v>34.799999999999997</v>
      </c>
      <c r="BC256" s="128">
        <v>1.1599999999999999</v>
      </c>
      <c r="BD256" s="127">
        <v>0.77</v>
      </c>
      <c r="BE256" s="156" t="s">
        <v>776</v>
      </c>
      <c r="BF256" s="153"/>
      <c r="BG256" s="277">
        <v>29.1</v>
      </c>
      <c r="BH256" s="128">
        <v>0.97</v>
      </c>
      <c r="BI256" s="127">
        <v>0.76</v>
      </c>
      <c r="BJ256" s="156" t="s">
        <v>776</v>
      </c>
      <c r="BK256" s="153"/>
      <c r="BL256" s="277">
        <v>120.36</v>
      </c>
      <c r="BM256" s="128">
        <v>4.01</v>
      </c>
      <c r="BN256" s="127">
        <v>4.01</v>
      </c>
      <c r="BO256" s="156" t="s">
        <v>776</v>
      </c>
      <c r="BP256" s="153"/>
      <c r="BQ256" s="322">
        <v>15</v>
      </c>
      <c r="BR256" s="177">
        <v>0.5</v>
      </c>
      <c r="BS256" s="127">
        <v>0.37</v>
      </c>
      <c r="BT256" s="156" t="s">
        <v>776</v>
      </c>
      <c r="BU256" s="153"/>
      <c r="BV256" s="322">
        <v>9</v>
      </c>
      <c r="BW256" s="177">
        <v>0.3</v>
      </c>
      <c r="BX256" s="127">
        <v>0.22</v>
      </c>
      <c r="BY256" s="156" t="s">
        <v>776</v>
      </c>
      <c r="BZ256" s="153"/>
      <c r="CA256" s="277">
        <v>16.5</v>
      </c>
      <c r="CB256" s="128">
        <v>0.55000000000000004</v>
      </c>
      <c r="CC256" s="127">
        <v>0.42</v>
      </c>
      <c r="CD256" s="156" t="s">
        <v>776</v>
      </c>
      <c r="CE256" s="153"/>
      <c r="CF256" s="277">
        <v>44.22</v>
      </c>
      <c r="CG256" s="128">
        <v>1.47</v>
      </c>
      <c r="CH256" s="127">
        <v>1.47</v>
      </c>
      <c r="CI256" s="156" t="s">
        <v>776</v>
      </c>
      <c r="CJ256" s="153"/>
      <c r="CK256" s="277">
        <v>126.89</v>
      </c>
      <c r="CL256" s="128">
        <v>4.2300000000000004</v>
      </c>
      <c r="CM256" s="127">
        <v>5.36</v>
      </c>
      <c r="CN256" s="156">
        <v>9.73</v>
      </c>
      <c r="CO256" s="153"/>
      <c r="CP256" s="277">
        <v>204.92</v>
      </c>
      <c r="CQ256" s="128">
        <v>6.83</v>
      </c>
      <c r="CR256" s="127">
        <v>5.85</v>
      </c>
      <c r="CS256" s="156">
        <v>10.85</v>
      </c>
      <c r="CT256" s="153"/>
      <c r="CU256" s="277">
        <v>192.18</v>
      </c>
      <c r="CV256" s="128">
        <v>6.41</v>
      </c>
      <c r="CW256" s="127">
        <v>5.55</v>
      </c>
      <c r="CX256" s="156">
        <v>12.15</v>
      </c>
      <c r="CY256" s="156"/>
      <c r="CZ256" s="277">
        <v>27.68</v>
      </c>
      <c r="DA256" s="128">
        <v>0.92</v>
      </c>
      <c r="DB256" s="153"/>
      <c r="DC256" s="277">
        <v>25.45</v>
      </c>
      <c r="DD256" s="128">
        <v>0.85</v>
      </c>
      <c r="DE256" s="127">
        <v>0.85</v>
      </c>
      <c r="DF256" s="156" t="s">
        <v>776</v>
      </c>
      <c r="DG256" s="153"/>
      <c r="DH256" s="284">
        <f>DI256*30</f>
        <v>84.600000000000009</v>
      </c>
      <c r="DI256" s="1">
        <f t="shared" si="300"/>
        <v>2.8200000000000003</v>
      </c>
      <c r="DJ256" s="1">
        <f t="shared" si="311"/>
        <v>2.4791666666666665</v>
      </c>
      <c r="DM256" s="284">
        <f>DN256*30</f>
        <v>3537.6000000000004</v>
      </c>
      <c r="DN256" s="77">
        <f t="shared" si="301"/>
        <v>117.92000000000002</v>
      </c>
      <c r="DO256" s="77">
        <f t="shared" si="312"/>
        <v>94.83008870967744</v>
      </c>
      <c r="DR256" s="284">
        <f>DS256*30</f>
        <v>577.20000000000005</v>
      </c>
      <c r="DS256" s="77">
        <f t="shared" si="302"/>
        <v>19.240000000000002</v>
      </c>
      <c r="DT256" s="77" t="e">
        <f>SUM(CH256+CM256+CR256+CW256+#REF!)</f>
        <v>#REF!</v>
      </c>
      <c r="DU256" s="77"/>
      <c r="DV256" s="77"/>
      <c r="DW256" s="284">
        <f>DX256*30</f>
        <v>4114.8000000000011</v>
      </c>
      <c r="DX256" s="77">
        <f t="shared" si="313"/>
        <v>137.16000000000003</v>
      </c>
      <c r="DY256" s="77">
        <f t="shared" si="314"/>
        <v>113.18842204301076</v>
      </c>
      <c r="EB256" s="2">
        <v>9.73</v>
      </c>
      <c r="ED256" s="76" t="s">
        <v>790</v>
      </c>
      <c r="EE256" s="1">
        <v>30</v>
      </c>
      <c r="EL256" s="1">
        <v>2018</v>
      </c>
      <c r="EM256" s="157" t="s">
        <v>709</v>
      </c>
      <c r="EN256" s="1" t="s">
        <v>841</v>
      </c>
      <c r="EO256" s="1">
        <v>184.91</v>
      </c>
    </row>
    <row r="257" spans="1:145" s="1" customFormat="1" x14ac:dyDescent="0.25">
      <c r="A257" s="8">
        <v>2018</v>
      </c>
      <c r="B257" s="152" t="s">
        <v>710</v>
      </c>
      <c r="C257" s="177"/>
      <c r="D257" s="277">
        <v>189.18</v>
      </c>
      <c r="E257" s="127">
        <v>6.1</v>
      </c>
      <c r="F257" s="127">
        <v>5.04</v>
      </c>
      <c r="G257" s="156">
        <v>10.79</v>
      </c>
      <c r="H257" s="153"/>
      <c r="I257" s="277">
        <v>21.75</v>
      </c>
      <c r="J257" s="128">
        <v>0.7</v>
      </c>
      <c r="K257" s="127">
        <v>0.64</v>
      </c>
      <c r="L257" s="156">
        <v>1.17</v>
      </c>
      <c r="M257" s="153"/>
      <c r="N257" s="277">
        <v>109.01</v>
      </c>
      <c r="O257" s="128">
        <v>3.52</v>
      </c>
      <c r="P257" s="127">
        <v>3.39</v>
      </c>
      <c r="Q257" s="156">
        <v>5.97</v>
      </c>
      <c r="R257" s="153"/>
      <c r="S257" s="277">
        <v>233.55</v>
      </c>
      <c r="T257" s="128">
        <v>7.53</v>
      </c>
      <c r="U257" s="127">
        <v>6.51</v>
      </c>
      <c r="V257" s="156">
        <v>12.08</v>
      </c>
      <c r="W257" s="194"/>
      <c r="X257" s="277">
        <v>622.92999999999995</v>
      </c>
      <c r="Y257" s="128">
        <v>20.09</v>
      </c>
      <c r="Z257" s="127">
        <v>17.489999999999998</v>
      </c>
      <c r="AA257" s="156">
        <v>28.47</v>
      </c>
      <c r="AB257" s="153"/>
      <c r="AC257" s="305">
        <v>856.48</v>
      </c>
      <c r="AD257" s="154">
        <v>27.63</v>
      </c>
      <c r="AE257" s="154">
        <v>24.01</v>
      </c>
      <c r="AF257" s="155">
        <v>40.549999999999997</v>
      </c>
      <c r="AG257" s="153"/>
      <c r="AH257" s="277">
        <v>1872.7</v>
      </c>
      <c r="AI257" s="128">
        <v>60.41</v>
      </c>
      <c r="AJ257" s="127">
        <v>55.38</v>
      </c>
      <c r="AK257" s="156">
        <v>168.7</v>
      </c>
      <c r="AL257" s="153"/>
      <c r="AM257" s="277">
        <v>19.91</v>
      </c>
      <c r="AN257" s="128">
        <v>0.64</v>
      </c>
      <c r="AO257" s="127">
        <v>0.48</v>
      </c>
      <c r="AP257" s="156" t="s">
        <v>776</v>
      </c>
      <c r="AQ257" s="153"/>
      <c r="AR257" s="277">
        <v>151.28</v>
      </c>
      <c r="AS257" s="128">
        <v>4.88</v>
      </c>
      <c r="AT257" s="127">
        <v>4.05</v>
      </c>
      <c r="AU257" s="156" t="s">
        <v>776</v>
      </c>
      <c r="AV257" s="153"/>
      <c r="AW257" s="277">
        <v>36.270000000000003</v>
      </c>
      <c r="AX257" s="128">
        <v>1.17</v>
      </c>
      <c r="AY257" s="127">
        <v>0.76</v>
      </c>
      <c r="AZ257" s="156" t="s">
        <v>776</v>
      </c>
      <c r="BA257" s="153"/>
      <c r="BB257" s="277">
        <v>36.58</v>
      </c>
      <c r="BC257" s="128">
        <v>1.18</v>
      </c>
      <c r="BD257" s="127">
        <v>0.81</v>
      </c>
      <c r="BE257" s="156" t="s">
        <v>776</v>
      </c>
      <c r="BF257" s="153"/>
      <c r="BG257" s="277">
        <v>34.1</v>
      </c>
      <c r="BH257" s="128">
        <v>1.1000000000000001</v>
      </c>
      <c r="BI257" s="127">
        <v>0.81</v>
      </c>
      <c r="BJ257" s="156" t="s">
        <v>776</v>
      </c>
      <c r="BK257" s="153"/>
      <c r="BL257" s="277">
        <v>120.83</v>
      </c>
      <c r="BM257" s="248">
        <v>3.9</v>
      </c>
      <c r="BN257" s="127">
        <v>4</v>
      </c>
      <c r="BO257" s="156" t="s">
        <v>776</v>
      </c>
      <c r="BP257" s="153"/>
      <c r="BQ257" s="322">
        <v>14.88</v>
      </c>
      <c r="BR257" s="177">
        <v>0.48</v>
      </c>
      <c r="BS257" s="127">
        <v>0.38</v>
      </c>
      <c r="BT257" s="156" t="s">
        <v>776</v>
      </c>
      <c r="BU257" s="153"/>
      <c r="BV257" s="322">
        <v>9.61</v>
      </c>
      <c r="BW257" s="177">
        <v>0.31</v>
      </c>
      <c r="BX257" s="127">
        <v>0.24</v>
      </c>
      <c r="BY257" s="156" t="s">
        <v>776</v>
      </c>
      <c r="BZ257" s="153"/>
      <c r="CA257" s="277">
        <v>17.05</v>
      </c>
      <c r="CB257" s="128">
        <v>0.55000000000000004</v>
      </c>
      <c r="CC257" s="127">
        <v>0.44</v>
      </c>
      <c r="CD257" s="156" t="s">
        <v>776</v>
      </c>
      <c r="CE257" s="153"/>
      <c r="CF257" s="277">
        <v>45.69</v>
      </c>
      <c r="CG257" s="128">
        <v>1.47</v>
      </c>
      <c r="CH257" s="127">
        <v>1.47</v>
      </c>
      <c r="CI257" s="156" t="s">
        <v>776</v>
      </c>
      <c r="CJ257" s="153"/>
      <c r="CK257" s="277">
        <v>148.80000000000001</v>
      </c>
      <c r="CL257" s="128">
        <v>4.8</v>
      </c>
      <c r="CM257" s="127">
        <v>5.34</v>
      </c>
      <c r="CN257" s="156">
        <v>8.35</v>
      </c>
      <c r="CO257" s="153"/>
      <c r="CP257" s="277">
        <v>189.18</v>
      </c>
      <c r="CQ257" s="128">
        <v>6.1</v>
      </c>
      <c r="CR257" s="127">
        <v>5.87</v>
      </c>
      <c r="CS257" s="156">
        <v>10.79</v>
      </c>
      <c r="CT257" s="153"/>
      <c r="CU257" s="277">
        <v>186.56</v>
      </c>
      <c r="CV257" s="128">
        <v>6.02</v>
      </c>
      <c r="CW257" s="127">
        <v>5.62</v>
      </c>
      <c r="CX257" s="156">
        <v>9</v>
      </c>
      <c r="CY257" s="156"/>
      <c r="CZ257" s="277">
        <v>26.65</v>
      </c>
      <c r="DA257" s="128">
        <v>0.86</v>
      </c>
      <c r="DB257" s="153"/>
      <c r="DC257" s="277">
        <v>26.13</v>
      </c>
      <c r="DD257" s="248">
        <v>0.84</v>
      </c>
      <c r="DE257" s="127">
        <v>0.85</v>
      </c>
      <c r="DF257" s="156" t="s">
        <v>776</v>
      </c>
      <c r="DG257" s="153"/>
      <c r="DH257" s="284">
        <f>DI257*30</f>
        <v>84.3</v>
      </c>
      <c r="DI257" s="1">
        <f t="shared" si="300"/>
        <v>2.81</v>
      </c>
      <c r="DJ257" s="1">
        <f t="shared" si="311"/>
        <v>2.5266666666666664</v>
      </c>
      <c r="DM257" s="284">
        <f>DN257*31</f>
        <v>3361.02</v>
      </c>
      <c r="DN257" s="77">
        <f t="shared" si="301"/>
        <v>108.42</v>
      </c>
      <c r="DO257" s="77">
        <f t="shared" si="312"/>
        <v>96.83416666666669</v>
      </c>
      <c r="DR257" s="284">
        <f>DS257*31</f>
        <v>577.21999999999991</v>
      </c>
      <c r="DS257" s="77">
        <f t="shared" si="302"/>
        <v>18.619999999999997</v>
      </c>
      <c r="DT257" s="77" t="e">
        <f>SUM(CH257+CM257+CR257+CW257+#REF!)</f>
        <v>#REF!</v>
      </c>
      <c r="DU257" s="77"/>
      <c r="DV257" s="77"/>
      <c r="DW257" s="284">
        <f>DX257*31</f>
        <v>3938.24</v>
      </c>
      <c r="DX257" s="77">
        <f t="shared" si="313"/>
        <v>127.03999999999999</v>
      </c>
      <c r="DY257" s="77">
        <f t="shared" si="314"/>
        <v>115.28916666666667</v>
      </c>
      <c r="EB257" s="2">
        <v>3.06</v>
      </c>
      <c r="ED257" s="7" t="s">
        <v>780</v>
      </c>
      <c r="EE257" s="1">
        <v>31</v>
      </c>
      <c r="EL257" s="1">
        <v>2018</v>
      </c>
      <c r="EM257" s="157" t="s">
        <v>710</v>
      </c>
      <c r="EN257" s="1" t="s">
        <v>841</v>
      </c>
      <c r="EO257" s="1">
        <v>189.18</v>
      </c>
    </row>
    <row r="258" spans="1:145" s="1" customFormat="1" x14ac:dyDescent="0.25">
      <c r="A258" s="265">
        <v>2018</v>
      </c>
      <c r="B258" s="178" t="s">
        <v>711</v>
      </c>
      <c r="C258" s="184"/>
      <c r="D258" s="278">
        <v>206.16</v>
      </c>
      <c r="E258" s="181">
        <v>6.87</v>
      </c>
      <c r="F258" s="181">
        <v>5.27</v>
      </c>
      <c r="G258" s="180">
        <v>10.56</v>
      </c>
      <c r="H258" s="179"/>
      <c r="I258" s="278">
        <v>21.9</v>
      </c>
      <c r="J258" s="117">
        <v>0.73</v>
      </c>
      <c r="K258" s="181">
        <v>0.65</v>
      </c>
      <c r="L258" s="180">
        <v>1.08</v>
      </c>
      <c r="M258" s="179"/>
      <c r="N258" s="278">
        <v>106.77</v>
      </c>
      <c r="O258" s="117">
        <v>3.56</v>
      </c>
      <c r="P258" s="181">
        <v>3.42</v>
      </c>
      <c r="Q258" s="180">
        <v>9.66</v>
      </c>
      <c r="R258" s="179"/>
      <c r="S258" s="278">
        <v>280.27999999999997</v>
      </c>
      <c r="T258" s="117">
        <v>9.34</v>
      </c>
      <c r="U258" s="181">
        <v>6.83</v>
      </c>
      <c r="V258" s="180">
        <v>25</v>
      </c>
      <c r="W258" s="195"/>
      <c r="X258" s="278">
        <v>677.41</v>
      </c>
      <c r="Y258" s="117">
        <v>22.58</v>
      </c>
      <c r="Z258" s="181">
        <v>18.14</v>
      </c>
      <c r="AA258" s="180">
        <v>47.84</v>
      </c>
      <c r="AB258" s="179"/>
      <c r="AC258" s="306">
        <v>957.69</v>
      </c>
      <c r="AD258" s="182">
        <v>31.92</v>
      </c>
      <c r="AE258" s="182">
        <v>24.97</v>
      </c>
      <c r="AF258" s="183">
        <v>72.84</v>
      </c>
      <c r="AG258" s="179"/>
      <c r="AH258" s="278">
        <v>2166.6</v>
      </c>
      <c r="AI258" s="117">
        <v>72.22</v>
      </c>
      <c r="AJ258" s="181">
        <v>57.4</v>
      </c>
      <c r="AK258" s="180">
        <v>186.5</v>
      </c>
      <c r="AL258" s="179"/>
      <c r="AM258" s="278">
        <v>18.899999999999999</v>
      </c>
      <c r="AN258" s="117">
        <v>0.63</v>
      </c>
      <c r="AO258" s="181">
        <v>0.49</v>
      </c>
      <c r="AP258" s="180" t="s">
        <v>776</v>
      </c>
      <c r="AQ258" s="179"/>
      <c r="AR258" s="278">
        <v>153.6</v>
      </c>
      <c r="AS258" s="117">
        <v>5.12</v>
      </c>
      <c r="AT258" s="181">
        <v>4.1900000000000004</v>
      </c>
      <c r="AU258" s="180" t="s">
        <v>776</v>
      </c>
      <c r="AV258" s="179"/>
      <c r="AW258" s="278">
        <v>27</v>
      </c>
      <c r="AX258" s="117">
        <v>0.9</v>
      </c>
      <c r="AY258" s="181">
        <v>0.79</v>
      </c>
      <c r="AZ258" s="180" t="s">
        <v>776</v>
      </c>
      <c r="BA258" s="179"/>
      <c r="BB258" s="278">
        <v>37.5</v>
      </c>
      <c r="BC258" s="117">
        <v>1.25</v>
      </c>
      <c r="BD258" s="181">
        <v>0.86</v>
      </c>
      <c r="BE258" s="180" t="s">
        <v>776</v>
      </c>
      <c r="BF258" s="179"/>
      <c r="BG258" s="278">
        <v>32.4</v>
      </c>
      <c r="BH258" s="117">
        <v>1.08</v>
      </c>
      <c r="BI258" s="181">
        <v>0.85</v>
      </c>
      <c r="BJ258" s="180" t="s">
        <v>776</v>
      </c>
      <c r="BK258" s="179"/>
      <c r="BL258" s="278">
        <v>116.93</v>
      </c>
      <c r="BM258" s="249">
        <v>3.9</v>
      </c>
      <c r="BN258" s="181">
        <v>3.99</v>
      </c>
      <c r="BO258" s="180" t="s">
        <v>776</v>
      </c>
      <c r="BP258" s="179"/>
      <c r="BQ258" s="323">
        <v>15.6</v>
      </c>
      <c r="BR258" s="184">
        <v>0.52</v>
      </c>
      <c r="BS258" s="181">
        <v>0.41</v>
      </c>
      <c r="BT258" s="180" t="s">
        <v>776</v>
      </c>
      <c r="BU258" s="179"/>
      <c r="BV258" s="323">
        <v>8.4</v>
      </c>
      <c r="BW258" s="184">
        <v>0.28000000000000003</v>
      </c>
      <c r="BX258" s="181">
        <v>0.24</v>
      </c>
      <c r="BY258" s="180" t="s">
        <v>776</v>
      </c>
      <c r="BZ258" s="179"/>
      <c r="CA258" s="278">
        <v>15.9</v>
      </c>
      <c r="CB258" s="117">
        <v>0.53</v>
      </c>
      <c r="CC258" s="181">
        <v>0.45</v>
      </c>
      <c r="CD258" s="180" t="s">
        <v>776</v>
      </c>
      <c r="CE258" s="179"/>
      <c r="CF258" s="278">
        <v>44.22</v>
      </c>
      <c r="CG258" s="117">
        <v>1.47</v>
      </c>
      <c r="CH258" s="181">
        <v>1.47</v>
      </c>
      <c r="CI258" s="180" t="s">
        <v>776</v>
      </c>
      <c r="CJ258" s="179"/>
      <c r="CK258" s="278">
        <v>158.62</v>
      </c>
      <c r="CL258" s="117">
        <v>5.29</v>
      </c>
      <c r="CM258" s="181">
        <v>5.39</v>
      </c>
      <c r="CN258" s="180">
        <v>15.11</v>
      </c>
      <c r="CO258" s="179"/>
      <c r="CP258" s="278">
        <v>237.88</v>
      </c>
      <c r="CQ258" s="117">
        <v>7.93</v>
      </c>
      <c r="CR258" s="181">
        <v>6.04</v>
      </c>
      <c r="CS258" s="180">
        <v>12.86</v>
      </c>
      <c r="CT258" s="179"/>
      <c r="CU258" s="278">
        <v>208.81</v>
      </c>
      <c r="CV258" s="117">
        <v>6.96</v>
      </c>
      <c r="CW258" s="181">
        <v>5.75</v>
      </c>
      <c r="CX258" s="180">
        <v>12.74</v>
      </c>
      <c r="CY258" s="180"/>
      <c r="CZ258" s="278">
        <v>33.520000000000003</v>
      </c>
      <c r="DA258" s="117">
        <v>1.1200000000000001</v>
      </c>
      <c r="DB258" s="179"/>
      <c r="DC258" s="278">
        <v>25.45</v>
      </c>
      <c r="DD258" s="249">
        <v>0.85</v>
      </c>
      <c r="DE258" s="181">
        <v>0.85</v>
      </c>
      <c r="DF258" s="180" t="s">
        <v>776</v>
      </c>
      <c r="DG258" s="179"/>
      <c r="DH258" s="284">
        <f>DI258*30</f>
        <v>84</v>
      </c>
      <c r="DI258" s="1">
        <f t="shared" si="300"/>
        <v>2.8</v>
      </c>
      <c r="DJ258" s="1">
        <f t="shared" si="311"/>
        <v>2.5674999999999994</v>
      </c>
      <c r="DM258" s="284">
        <f>DN258*30</f>
        <v>3761.4</v>
      </c>
      <c r="DN258" s="77">
        <f t="shared" si="301"/>
        <v>125.38000000000001</v>
      </c>
      <c r="DO258" s="77">
        <f t="shared" si="312"/>
        <v>100.31250000000001</v>
      </c>
      <c r="DR258" s="284">
        <f>DS258*30</f>
        <v>664.50000000000011</v>
      </c>
      <c r="DS258" s="77">
        <f t="shared" si="302"/>
        <v>22.150000000000002</v>
      </c>
      <c r="DT258" s="77" t="e">
        <f>SUM(CH258+CM258+CR258+CW258+#REF!)</f>
        <v>#REF!</v>
      </c>
      <c r="DU258" s="77"/>
      <c r="DV258" s="77"/>
      <c r="DW258" s="284">
        <f>DX258*30</f>
        <v>4425.8999999999996</v>
      </c>
      <c r="DX258" s="77">
        <f t="shared" si="313"/>
        <v>147.53</v>
      </c>
      <c r="DY258" s="77">
        <f t="shared" si="314"/>
        <v>119.15833333333335</v>
      </c>
      <c r="EB258" s="2">
        <v>7.57</v>
      </c>
      <c r="ED258" s="76" t="s">
        <v>781</v>
      </c>
      <c r="EE258" s="1">
        <v>30</v>
      </c>
      <c r="EL258" s="1">
        <v>2018</v>
      </c>
      <c r="EM258" s="157" t="s">
        <v>711</v>
      </c>
      <c r="EN258" s="1" t="s">
        <v>841</v>
      </c>
      <c r="EO258" s="1">
        <v>206.16</v>
      </c>
    </row>
    <row r="259" spans="1:145" x14ac:dyDescent="0.25">
      <c r="A259" s="265">
        <v>2018</v>
      </c>
      <c r="B259" s="178" t="s">
        <v>712</v>
      </c>
      <c r="C259" s="184"/>
      <c r="D259" s="278">
        <v>205</v>
      </c>
      <c r="E259" s="181">
        <v>6.61</v>
      </c>
      <c r="F259" s="181">
        <v>5.49</v>
      </c>
      <c r="G259" s="180">
        <v>11.11</v>
      </c>
      <c r="H259" s="179"/>
      <c r="I259" s="278">
        <v>23.42</v>
      </c>
      <c r="J259" s="117">
        <v>0.76</v>
      </c>
      <c r="K259" s="181">
        <v>0.66</v>
      </c>
      <c r="L259" s="180">
        <v>1.26</v>
      </c>
      <c r="M259" s="179"/>
      <c r="N259" s="278">
        <v>118.06</v>
      </c>
      <c r="O259" s="117">
        <v>3.81</v>
      </c>
      <c r="P259" s="181">
        <v>3.49</v>
      </c>
      <c r="Q259" s="180">
        <v>9.9700000000000006</v>
      </c>
      <c r="R259" s="179"/>
      <c r="S259" s="278">
        <v>298.25</v>
      </c>
      <c r="T259" s="117">
        <v>9.6199999999999992</v>
      </c>
      <c r="U259" s="181">
        <v>7.19</v>
      </c>
      <c r="V259" s="180">
        <v>22.71</v>
      </c>
      <c r="W259" s="195"/>
      <c r="X259" s="278">
        <v>690.87</v>
      </c>
      <c r="Y259" s="117">
        <v>22.29</v>
      </c>
      <c r="Z259" s="181">
        <v>18.82</v>
      </c>
      <c r="AA259" s="180">
        <v>35.51</v>
      </c>
      <c r="AB259" s="179"/>
      <c r="AC259" s="306">
        <v>989.12</v>
      </c>
      <c r="AD259" s="182">
        <v>31.91</v>
      </c>
      <c r="AE259" s="182">
        <v>26.01</v>
      </c>
      <c r="AF259" s="183">
        <v>58.22</v>
      </c>
      <c r="AG259" s="179"/>
      <c r="AH259" s="278">
        <v>2207.7800000000002</v>
      </c>
      <c r="AI259" s="117">
        <v>71.22</v>
      </c>
      <c r="AJ259" s="181">
        <v>59.53</v>
      </c>
      <c r="AK259" s="180">
        <v>202.9</v>
      </c>
      <c r="AL259" s="179"/>
      <c r="AM259" s="278">
        <v>15.19</v>
      </c>
      <c r="AN259" s="117">
        <v>0.49</v>
      </c>
      <c r="AO259" s="181">
        <v>0.49</v>
      </c>
      <c r="AP259" s="180" t="s">
        <v>776</v>
      </c>
      <c r="AQ259" s="179"/>
      <c r="AR259" s="278">
        <v>185.38</v>
      </c>
      <c r="AS259" s="117">
        <v>5.98</v>
      </c>
      <c r="AT259" s="181">
        <v>4.4000000000000004</v>
      </c>
      <c r="AU259" s="180" t="s">
        <v>776</v>
      </c>
      <c r="AV259" s="179"/>
      <c r="AW259" s="278">
        <v>30.38</v>
      </c>
      <c r="AX259" s="117">
        <v>0.98</v>
      </c>
      <c r="AY259" s="181">
        <v>0.82</v>
      </c>
      <c r="AZ259" s="180" t="s">
        <v>776</v>
      </c>
      <c r="BA259" s="179"/>
      <c r="BB259" s="278">
        <v>39.99</v>
      </c>
      <c r="BC259" s="117">
        <v>1.29</v>
      </c>
      <c r="BD259" s="181">
        <v>0.92</v>
      </c>
      <c r="BE259" s="180" t="s">
        <v>776</v>
      </c>
      <c r="BF259" s="179"/>
      <c r="BG259" s="278">
        <v>35.96</v>
      </c>
      <c r="BH259" s="117">
        <v>1.1599999999999999</v>
      </c>
      <c r="BI259" s="181">
        <v>0.89</v>
      </c>
      <c r="BJ259" s="180" t="s">
        <v>776</v>
      </c>
      <c r="BK259" s="179"/>
      <c r="BL259" s="278">
        <v>120.83</v>
      </c>
      <c r="BM259" s="249">
        <v>3.9</v>
      </c>
      <c r="BN259" s="181">
        <v>3.98</v>
      </c>
      <c r="BO259" s="180" t="s">
        <v>776</v>
      </c>
      <c r="BP259" s="179"/>
      <c r="BQ259" s="323">
        <v>16.12</v>
      </c>
      <c r="BR259" s="184">
        <v>0.52</v>
      </c>
      <c r="BS259" s="181">
        <v>0.43</v>
      </c>
      <c r="BT259" s="180" t="s">
        <v>776</v>
      </c>
      <c r="BU259" s="179"/>
      <c r="BV259" s="323">
        <v>11.47</v>
      </c>
      <c r="BW259" s="184">
        <v>0.37</v>
      </c>
      <c r="BX259" s="181">
        <v>0.25</v>
      </c>
      <c r="BY259" s="180" t="s">
        <v>776</v>
      </c>
      <c r="BZ259" s="179"/>
      <c r="CA259" s="278">
        <v>17.670000000000002</v>
      </c>
      <c r="CB259" s="117">
        <v>0.56999999999999995</v>
      </c>
      <c r="CC259" s="181">
        <v>0.47</v>
      </c>
      <c r="CD259" s="180" t="s">
        <v>776</v>
      </c>
      <c r="CE259" s="179"/>
      <c r="CF259" s="278">
        <v>45.69</v>
      </c>
      <c r="CG259" s="117">
        <v>1.47</v>
      </c>
      <c r="CH259" s="181">
        <v>1.47</v>
      </c>
      <c r="CI259" s="180" t="s">
        <v>776</v>
      </c>
      <c r="CJ259" s="179"/>
      <c r="CK259" s="278">
        <v>193.84</v>
      </c>
      <c r="CL259" s="117">
        <v>6.25</v>
      </c>
      <c r="CM259" s="181">
        <v>5.52</v>
      </c>
      <c r="CN259" s="180">
        <v>17.14</v>
      </c>
      <c r="CO259" s="179"/>
      <c r="CP259" s="278">
        <v>238.15</v>
      </c>
      <c r="CQ259" s="117">
        <v>7.68</v>
      </c>
      <c r="CR259" s="181">
        <v>6.19</v>
      </c>
      <c r="CS259" s="180">
        <v>14.45</v>
      </c>
      <c r="CT259" s="179"/>
      <c r="CU259" s="278">
        <v>212.01</v>
      </c>
      <c r="CV259" s="117">
        <v>6.84</v>
      </c>
      <c r="CW259" s="181">
        <v>5.9</v>
      </c>
      <c r="CX259" s="180">
        <v>13.24</v>
      </c>
      <c r="CY259" s="180"/>
      <c r="CZ259" s="278">
        <v>35.74</v>
      </c>
      <c r="DA259" s="117">
        <v>1.1499999999999999</v>
      </c>
      <c r="DB259" s="179"/>
      <c r="DC259" s="278">
        <v>26.3</v>
      </c>
      <c r="DD259" s="249">
        <v>0.85</v>
      </c>
      <c r="DE259" s="181">
        <v>0.85</v>
      </c>
      <c r="DF259" s="180" t="s">
        <v>776</v>
      </c>
      <c r="DG259" s="179"/>
      <c r="DH259" s="284">
        <f>DI259*31</f>
        <v>90.829999999999984</v>
      </c>
      <c r="DI259" s="1">
        <f t="shared" si="300"/>
        <v>2.9299999999999997</v>
      </c>
      <c r="DJ259" s="1">
        <f t="shared" si="311"/>
        <v>2.6108333333333329</v>
      </c>
      <c r="DM259" s="284">
        <f>DN259*31</f>
        <v>3880.5800000000004</v>
      </c>
      <c r="DN259" s="77">
        <f t="shared" si="301"/>
        <v>125.18</v>
      </c>
      <c r="DO259" s="77">
        <f t="shared" si="312"/>
        <v>104.06416666666667</v>
      </c>
      <c r="DR259" s="284">
        <f>DS259*31</f>
        <v>705.87</v>
      </c>
      <c r="DS259" s="77">
        <f t="shared" si="302"/>
        <v>22.77</v>
      </c>
      <c r="DT259" s="77" t="e">
        <f>SUM(CH259+CM259+CR259+CW259+#REF!)</f>
        <v>#REF!</v>
      </c>
      <c r="DW259" s="284">
        <f>DX259*31</f>
        <v>4586.4500000000007</v>
      </c>
      <c r="DX259" s="77">
        <f t="shared" si="313"/>
        <v>147.95000000000002</v>
      </c>
      <c r="DY259" s="77">
        <f t="shared" si="314"/>
        <v>123.37916666666668</v>
      </c>
      <c r="EB259" s="2">
        <v>5.82</v>
      </c>
      <c r="ED259" s="76" t="s">
        <v>782</v>
      </c>
      <c r="EE259">
        <v>31</v>
      </c>
      <c r="EL259">
        <v>2018</v>
      </c>
      <c r="EM259" t="s">
        <v>712</v>
      </c>
      <c r="EN259" t="s">
        <v>841</v>
      </c>
      <c r="EO259">
        <v>205</v>
      </c>
    </row>
    <row r="260" spans="1:145" x14ac:dyDescent="0.25">
      <c r="A260" s="8">
        <v>2019</v>
      </c>
      <c r="B260" t="s">
        <v>719</v>
      </c>
      <c r="D260" s="278">
        <v>229.86</v>
      </c>
      <c r="E260" s="1">
        <v>7.41</v>
      </c>
      <c r="F260" s="1">
        <v>5.74</v>
      </c>
      <c r="G260" s="1">
        <v>10.36</v>
      </c>
      <c r="I260" s="284">
        <v>24.24</v>
      </c>
      <c r="J260" s="1">
        <v>0.78</v>
      </c>
      <c r="K260" s="1">
        <v>0.68</v>
      </c>
      <c r="L260" s="1">
        <v>1.29</v>
      </c>
      <c r="N260" s="284">
        <v>118.75</v>
      </c>
      <c r="O260" s="1">
        <v>3.83</v>
      </c>
      <c r="P260" s="1">
        <v>3.54</v>
      </c>
      <c r="Q260" s="1">
        <v>7.37</v>
      </c>
      <c r="S260" s="284">
        <v>303.04000000000002</v>
      </c>
      <c r="T260" s="1">
        <v>9.7799999999999994</v>
      </c>
      <c r="U260" s="1">
        <v>7.54</v>
      </c>
      <c r="V260" s="1">
        <v>18.8</v>
      </c>
      <c r="X260" s="296">
        <v>662.12</v>
      </c>
      <c r="Y260" s="180">
        <v>21.36</v>
      </c>
      <c r="Z260" s="181">
        <v>19.420000000000002</v>
      </c>
      <c r="AA260" s="180">
        <v>31.01</v>
      </c>
      <c r="AC260" s="296">
        <v>965.16</v>
      </c>
      <c r="AD260" s="180">
        <v>31.13</v>
      </c>
      <c r="AE260" s="1">
        <v>26.97</v>
      </c>
      <c r="AF260" s="1">
        <v>49.81</v>
      </c>
      <c r="AH260" s="299">
        <v>2182.5500000000002</v>
      </c>
      <c r="AI260">
        <v>70.400000000000006</v>
      </c>
      <c r="AJ260">
        <v>61.53</v>
      </c>
      <c r="AK260">
        <v>158.30000000000001</v>
      </c>
      <c r="AM260" s="299">
        <v>13.02</v>
      </c>
      <c r="AN260">
        <v>0.42</v>
      </c>
      <c r="AO260">
        <v>0.5</v>
      </c>
      <c r="AP260" t="s">
        <v>776</v>
      </c>
      <c r="AR260" s="284">
        <v>155</v>
      </c>
      <c r="AS260" s="1">
        <v>5</v>
      </c>
      <c r="AT260" s="1">
        <v>4.5199999999999996</v>
      </c>
      <c r="AU260" s="1" t="s">
        <v>776</v>
      </c>
      <c r="AW260" s="284">
        <v>26.35</v>
      </c>
      <c r="AX260" s="1">
        <v>0.85</v>
      </c>
      <c r="AY260" s="1">
        <v>0.84</v>
      </c>
      <c r="AZ260" s="1" t="s">
        <v>776</v>
      </c>
      <c r="BB260" s="284">
        <v>37.51</v>
      </c>
      <c r="BC260" s="1">
        <v>1.21</v>
      </c>
      <c r="BD260" s="1">
        <v>0.96</v>
      </c>
      <c r="BE260" s="1" t="s">
        <v>776</v>
      </c>
      <c r="BG260" s="284">
        <v>31.62</v>
      </c>
      <c r="BH260" s="1">
        <v>1.02</v>
      </c>
      <c r="BI260" s="1">
        <v>0.91</v>
      </c>
      <c r="BJ260" s="1" t="s">
        <v>776</v>
      </c>
      <c r="BL260" s="284">
        <v>120.83</v>
      </c>
      <c r="BM260" s="170">
        <v>3.9</v>
      </c>
      <c r="BN260" s="1">
        <v>3.97</v>
      </c>
      <c r="BO260" s="1" t="s">
        <v>776</v>
      </c>
      <c r="BQ260" s="284">
        <v>14.57</v>
      </c>
      <c r="BR260" s="1">
        <v>0.47</v>
      </c>
      <c r="BS260" s="1">
        <v>0.45</v>
      </c>
      <c r="BT260" s="1" t="s">
        <v>776</v>
      </c>
      <c r="BV260" s="284">
        <v>8.06</v>
      </c>
      <c r="BW260" s="1">
        <v>0.26</v>
      </c>
      <c r="BX260" s="1">
        <v>0.25</v>
      </c>
      <c r="BY260" s="1" t="s">
        <v>776</v>
      </c>
      <c r="CA260" s="284">
        <v>16.43</v>
      </c>
      <c r="CB260" s="1">
        <v>0.53</v>
      </c>
      <c r="CC260" s="1">
        <v>0.48</v>
      </c>
      <c r="CD260" s="1" t="s">
        <v>776</v>
      </c>
      <c r="CF260" s="284">
        <v>45.69</v>
      </c>
      <c r="CG260" s="1">
        <v>1.47</v>
      </c>
      <c r="CH260" s="1">
        <v>1.47</v>
      </c>
      <c r="CI260" s="1" t="s">
        <v>776</v>
      </c>
      <c r="CK260" s="284">
        <v>180.4</v>
      </c>
      <c r="CL260" s="1">
        <v>5.82</v>
      </c>
      <c r="CM260" s="1">
        <v>5.57</v>
      </c>
      <c r="CP260" s="284">
        <v>268.49</v>
      </c>
      <c r="CQ260" s="1">
        <v>8.66</v>
      </c>
      <c r="CR260" s="1">
        <v>6.47</v>
      </c>
      <c r="CS260" s="1">
        <v>13.02</v>
      </c>
      <c r="CU260" s="284">
        <v>216.83</v>
      </c>
      <c r="CV260" s="1">
        <v>6.99</v>
      </c>
      <c r="CW260" s="1">
        <v>6.07</v>
      </c>
      <c r="CX260" s="1">
        <v>11.96</v>
      </c>
      <c r="CZ260" s="269">
        <v>34.9</v>
      </c>
      <c r="DA260" s="1">
        <v>1.1299999999999999</v>
      </c>
      <c r="DC260" s="284">
        <v>26.13</v>
      </c>
      <c r="DD260" s="170">
        <v>0.84</v>
      </c>
      <c r="DE260" s="1">
        <v>0.85</v>
      </c>
      <c r="DF260" s="1" t="s">
        <v>776</v>
      </c>
      <c r="DH260" s="284">
        <f>DI260*31</f>
        <v>84.63</v>
      </c>
      <c r="DI260" s="1">
        <f t="shared" si="300"/>
        <v>2.73</v>
      </c>
      <c r="DJ260" s="1">
        <f t="shared" si="311"/>
        <v>2.6391666666666667</v>
      </c>
      <c r="DM260" s="284">
        <f>DN260*31</f>
        <v>3819.82</v>
      </c>
      <c r="DN260" s="77">
        <f t="shared" si="301"/>
        <v>123.22</v>
      </c>
      <c r="DO260" s="77">
        <f t="shared" si="312"/>
        <v>107.51416666666667</v>
      </c>
      <c r="DR260" s="284">
        <f>DS260*31</f>
        <v>726.63999999999987</v>
      </c>
      <c r="DS260" s="77">
        <f t="shared" si="302"/>
        <v>23.439999999999998</v>
      </c>
      <c r="DT260" s="77" t="e">
        <f>SUM(CH260+CM260+CR260+CW260+#REF!)</f>
        <v>#REF!</v>
      </c>
      <c r="DW260" s="284">
        <f>DX260*31</f>
        <v>4546.46</v>
      </c>
      <c r="DX260" s="77">
        <f t="shared" si="313"/>
        <v>146.66</v>
      </c>
      <c r="DY260" s="77">
        <f t="shared" si="314"/>
        <v>127.37750000000001</v>
      </c>
      <c r="EB260">
        <v>2.4900000000000002</v>
      </c>
      <c r="ED260" s="7" t="s">
        <v>783</v>
      </c>
      <c r="EE260">
        <v>31</v>
      </c>
      <c r="EL260">
        <v>2019</v>
      </c>
      <c r="EM260" t="s">
        <v>719</v>
      </c>
      <c r="EN260" t="s">
        <v>841</v>
      </c>
      <c r="EO260">
        <v>229.86</v>
      </c>
    </row>
    <row r="261" spans="1:145" s="201" customFormat="1" x14ac:dyDescent="0.25">
      <c r="A261" s="265">
        <v>2019</v>
      </c>
      <c r="B261" s="196" t="s">
        <v>713</v>
      </c>
      <c r="D261" s="290">
        <v>207.32</v>
      </c>
      <c r="E261" s="199">
        <v>7.4</v>
      </c>
      <c r="F261" s="199">
        <v>5.89</v>
      </c>
      <c r="G261" s="198">
        <v>10.15</v>
      </c>
      <c r="H261" s="197"/>
      <c r="I261" s="290">
        <v>22.82</v>
      </c>
      <c r="J261" s="137">
        <v>0.82</v>
      </c>
      <c r="K261" s="199">
        <v>0.69</v>
      </c>
      <c r="L261" s="198">
        <v>0.95</v>
      </c>
      <c r="M261" s="197"/>
      <c r="N261" s="290">
        <v>106.64</v>
      </c>
      <c r="O261" s="137">
        <v>3.81</v>
      </c>
      <c r="P261" s="199">
        <v>3.59</v>
      </c>
      <c r="Q261" s="198">
        <v>7.95</v>
      </c>
      <c r="R261" s="197"/>
      <c r="S261" s="290">
        <v>277.8</v>
      </c>
      <c r="T261" s="137">
        <v>9.92</v>
      </c>
      <c r="U261" s="199">
        <v>7.86</v>
      </c>
      <c r="V261" s="198">
        <v>16.88</v>
      </c>
      <c r="W261" s="197"/>
      <c r="X261" s="290">
        <v>631.77</v>
      </c>
      <c r="Y261" s="137">
        <v>22.56</v>
      </c>
      <c r="Z261" s="199">
        <v>19.96</v>
      </c>
      <c r="AA261" s="198">
        <v>37.71</v>
      </c>
      <c r="AB261" s="197"/>
      <c r="AC261" s="307">
        <v>909.57</v>
      </c>
      <c r="AD261" s="174">
        <v>32.479999999999997</v>
      </c>
      <c r="AE261" s="174">
        <v>27.82</v>
      </c>
      <c r="AF261" s="200">
        <v>54.59</v>
      </c>
      <c r="AG261" s="197"/>
      <c r="AH261" s="290">
        <v>1972.99</v>
      </c>
      <c r="AI261" s="137">
        <v>70.459999999999994</v>
      </c>
      <c r="AJ261" s="199">
        <v>62.89</v>
      </c>
      <c r="AK261" s="198">
        <v>138</v>
      </c>
      <c r="AL261" s="197"/>
      <c r="AM261" s="290">
        <v>18.2</v>
      </c>
      <c r="AN261" s="137">
        <v>0.65</v>
      </c>
      <c r="AO261" s="199">
        <v>0.52</v>
      </c>
      <c r="AP261" s="198" t="s">
        <v>776</v>
      </c>
      <c r="AQ261" s="197"/>
      <c r="AR261" s="290">
        <v>147</v>
      </c>
      <c r="AS261" s="137">
        <v>5.25</v>
      </c>
      <c r="AT261" s="199">
        <v>4.66</v>
      </c>
      <c r="AU261" s="198" t="s">
        <v>776</v>
      </c>
      <c r="AV261" s="197"/>
      <c r="AW261" s="290">
        <v>24.64</v>
      </c>
      <c r="AX261" s="137">
        <v>0.88</v>
      </c>
      <c r="AY261" s="199">
        <v>0.85</v>
      </c>
      <c r="AZ261" s="198" t="s">
        <v>776</v>
      </c>
      <c r="BA261" s="197"/>
      <c r="BB261" s="290">
        <v>35.28</v>
      </c>
      <c r="BC261" s="137">
        <v>1.26</v>
      </c>
      <c r="BD261" s="199">
        <v>1.01</v>
      </c>
      <c r="BE261" s="198" t="s">
        <v>776</v>
      </c>
      <c r="BF261" s="197"/>
      <c r="BG261" s="290">
        <v>30.8</v>
      </c>
      <c r="BH261" s="137">
        <v>1.1000000000000001</v>
      </c>
      <c r="BI261" s="199">
        <v>0.95</v>
      </c>
      <c r="BJ261" s="198" t="s">
        <v>776</v>
      </c>
      <c r="BK261" s="197"/>
      <c r="BL261" s="290">
        <v>109.14</v>
      </c>
      <c r="BM261" s="250">
        <v>3.9</v>
      </c>
      <c r="BN261" s="199">
        <v>3.96</v>
      </c>
      <c r="BO261" s="198" t="s">
        <v>776</v>
      </c>
      <c r="BP261" s="197"/>
      <c r="BQ261" s="296">
        <v>13.16</v>
      </c>
      <c r="BR261" s="201">
        <v>0.47</v>
      </c>
      <c r="BS261" s="199">
        <v>0.46</v>
      </c>
      <c r="BT261" s="198" t="s">
        <v>776</v>
      </c>
      <c r="BU261" s="197"/>
      <c r="BV261" s="296">
        <v>8.1199999999999992</v>
      </c>
      <c r="BW261" s="201">
        <v>0.28999999999999998</v>
      </c>
      <c r="BX261" s="199">
        <v>0.25</v>
      </c>
      <c r="BY261" s="198" t="s">
        <v>776</v>
      </c>
      <c r="BZ261" s="197"/>
      <c r="CA261" s="290">
        <v>15.12</v>
      </c>
      <c r="CB261" s="137">
        <v>0.54</v>
      </c>
      <c r="CC261" s="199">
        <v>0.49</v>
      </c>
      <c r="CD261" s="198" t="s">
        <v>776</v>
      </c>
      <c r="CE261" s="197"/>
      <c r="CF261" s="290">
        <v>41.27</v>
      </c>
      <c r="CG261" s="137">
        <v>1.47</v>
      </c>
      <c r="CH261" s="199">
        <v>1.47</v>
      </c>
      <c r="CI261" s="198" t="s">
        <v>776</v>
      </c>
      <c r="CJ261" s="197"/>
      <c r="CK261" s="290">
        <v>176.41</v>
      </c>
      <c r="CL261" s="137">
        <v>6.3</v>
      </c>
      <c r="CM261" s="199">
        <v>5.6</v>
      </c>
      <c r="CN261" s="198">
        <v>11.58</v>
      </c>
      <c r="CO261" s="197"/>
      <c r="CP261" s="290">
        <v>229.63</v>
      </c>
      <c r="CQ261" s="137">
        <v>8.1999999999999993</v>
      </c>
      <c r="CR261" s="199">
        <v>6.68</v>
      </c>
      <c r="CS261" s="198">
        <v>11.89</v>
      </c>
      <c r="CT261" s="197"/>
      <c r="CU261" s="290">
        <v>191.5</v>
      </c>
      <c r="CV261" s="137">
        <v>6.84</v>
      </c>
      <c r="CW261" s="199">
        <v>6.18</v>
      </c>
      <c r="CX261" s="198">
        <v>9.9499999999999993</v>
      </c>
      <c r="CY261" s="198"/>
      <c r="CZ261" s="279">
        <v>32.96</v>
      </c>
      <c r="DA261" s="137">
        <v>1.18</v>
      </c>
      <c r="DB261" s="197"/>
      <c r="DC261" s="290">
        <v>23.6</v>
      </c>
      <c r="DD261" s="250">
        <v>0.84</v>
      </c>
      <c r="DE261" s="199">
        <v>0.85</v>
      </c>
      <c r="DF261" s="198" t="s">
        <v>776</v>
      </c>
      <c r="DG261" s="197"/>
      <c r="DH261" s="284">
        <f>DI261*28</f>
        <v>77.56</v>
      </c>
      <c r="DI261" s="1">
        <f t="shared" si="300"/>
        <v>2.77</v>
      </c>
      <c r="DJ261" s="1">
        <f t="shared" si="311"/>
        <v>2.6716666666666669</v>
      </c>
      <c r="DM261" s="284">
        <f>DN261*29</f>
        <v>3631.96</v>
      </c>
      <c r="DN261" s="77">
        <f t="shared" si="301"/>
        <v>125.24</v>
      </c>
      <c r="DO261" s="77">
        <f t="shared" si="312"/>
        <v>110.16416666666667</v>
      </c>
      <c r="DR261" s="284">
        <f>DS261*29</f>
        <v>677.43999999999994</v>
      </c>
      <c r="DS261" s="77">
        <f t="shared" si="302"/>
        <v>23.36</v>
      </c>
      <c r="DT261" s="77" t="e">
        <f>SUM(CH261+CM261+CR261+CW261+#REF!)</f>
        <v>#REF!</v>
      </c>
      <c r="DW261" s="284">
        <f>DX261*29</f>
        <v>4309.3999999999996</v>
      </c>
      <c r="DX261" s="77">
        <f t="shared" si="313"/>
        <v>148.6</v>
      </c>
      <c r="DY261" s="77">
        <f t="shared" si="314"/>
        <v>130.41499999999999</v>
      </c>
      <c r="EB261" s="201">
        <v>3.52</v>
      </c>
      <c r="ED261" s="76" t="s">
        <v>17</v>
      </c>
      <c r="EE261" s="201">
        <v>29</v>
      </c>
      <c r="EL261" s="201">
        <v>2019</v>
      </c>
      <c r="EM261" s="201" t="s">
        <v>713</v>
      </c>
      <c r="EN261" s="201" t="s">
        <v>841</v>
      </c>
      <c r="EO261" s="201">
        <v>207.32</v>
      </c>
    </row>
    <row r="262" spans="1:145" s="201" customFormat="1" x14ac:dyDescent="0.25">
      <c r="A262" s="265">
        <v>2019</v>
      </c>
      <c r="B262" s="196" t="s">
        <v>714</v>
      </c>
      <c r="D262" s="290">
        <v>239.85</v>
      </c>
      <c r="E262" s="199">
        <v>7.74</v>
      </c>
      <c r="F262" s="199">
        <v>6.17</v>
      </c>
      <c r="G262" s="198">
        <v>12.4</v>
      </c>
      <c r="H262" s="197"/>
      <c r="I262" s="290">
        <v>23.79</v>
      </c>
      <c r="J262" s="137">
        <v>0.77</v>
      </c>
      <c r="K262" s="199">
        <v>0.71</v>
      </c>
      <c r="L262" s="198">
        <v>1.26</v>
      </c>
      <c r="M262" s="197"/>
      <c r="N262" s="290">
        <v>120.88</v>
      </c>
      <c r="O262" s="137">
        <v>3.9</v>
      </c>
      <c r="P262" s="199">
        <v>3.65</v>
      </c>
      <c r="Q262" s="198">
        <v>10.11</v>
      </c>
      <c r="R262" s="197"/>
      <c r="S262" s="290">
        <v>328.15</v>
      </c>
      <c r="T262" s="137">
        <v>10.59</v>
      </c>
      <c r="U262" s="199">
        <v>8.24</v>
      </c>
      <c r="V262" s="198">
        <v>25</v>
      </c>
      <c r="W262" s="197">
        <v>745.68</v>
      </c>
      <c r="X262" s="279">
        <v>745.68</v>
      </c>
      <c r="Y262" s="137">
        <v>24.05</v>
      </c>
      <c r="Z262" s="199">
        <v>20.63</v>
      </c>
      <c r="AA262" s="198">
        <v>37.799999999999997</v>
      </c>
      <c r="AB262" s="197"/>
      <c r="AC262" s="307">
        <v>1073.83</v>
      </c>
      <c r="AD262" s="174">
        <v>34.64</v>
      </c>
      <c r="AE262" s="174">
        <v>28.88</v>
      </c>
      <c r="AF262" s="200">
        <v>62.8</v>
      </c>
      <c r="AG262" s="197"/>
      <c r="AH262" s="290">
        <v>2192.5100000000002</v>
      </c>
      <c r="AI262" s="137">
        <v>70.73</v>
      </c>
      <c r="AJ262" s="199">
        <v>64.52</v>
      </c>
      <c r="AK262" s="198">
        <v>188.6</v>
      </c>
      <c r="AL262" s="197"/>
      <c r="AM262" s="290">
        <v>18.91</v>
      </c>
      <c r="AN262" s="137">
        <v>0.61</v>
      </c>
      <c r="AO262" s="199">
        <v>0.55000000000000004</v>
      </c>
      <c r="AP262" s="198" t="s">
        <v>776</v>
      </c>
      <c r="AQ262" s="197"/>
      <c r="AR262" s="290">
        <v>191.27</v>
      </c>
      <c r="AS262" s="137">
        <v>6.17</v>
      </c>
      <c r="AT262" s="199">
        <v>4.8899999999999997</v>
      </c>
      <c r="AU262" s="198" t="s">
        <v>776</v>
      </c>
      <c r="AV262" s="197"/>
      <c r="AW262" s="290">
        <v>26.66</v>
      </c>
      <c r="AX262" s="137">
        <v>0.86</v>
      </c>
      <c r="AY262" s="199">
        <v>0.87</v>
      </c>
      <c r="AZ262" s="198" t="s">
        <v>776</v>
      </c>
      <c r="BA262" s="197"/>
      <c r="BB262" s="290">
        <v>39.44</v>
      </c>
      <c r="BC262" s="137">
        <v>1.27</v>
      </c>
      <c r="BD262" s="199">
        <v>1.06</v>
      </c>
      <c r="BE262" s="198" t="s">
        <v>776</v>
      </c>
      <c r="BF262" s="197"/>
      <c r="BG262" s="290">
        <v>31.31</v>
      </c>
      <c r="BH262" s="137">
        <v>1.01</v>
      </c>
      <c r="BI262" s="199">
        <v>0.97</v>
      </c>
      <c r="BJ262" s="198" t="s">
        <v>776</v>
      </c>
      <c r="BK262" s="197"/>
      <c r="BL262" s="290">
        <v>120.83</v>
      </c>
      <c r="BM262" s="250">
        <v>3.9</v>
      </c>
      <c r="BN262" s="199">
        <v>3.96</v>
      </c>
      <c r="BO262" s="198" t="s">
        <v>776</v>
      </c>
      <c r="BP262" s="197"/>
      <c r="BQ262" s="296">
        <v>14.57</v>
      </c>
      <c r="BR262" s="201">
        <v>0.47</v>
      </c>
      <c r="BS262" s="199">
        <v>0.48</v>
      </c>
      <c r="BT262" s="198" t="s">
        <v>776</v>
      </c>
      <c r="BU262" s="197"/>
      <c r="BV262" s="296">
        <v>9.61</v>
      </c>
      <c r="BW262" s="201">
        <v>0.31</v>
      </c>
      <c r="BX262" s="199">
        <v>0.26</v>
      </c>
      <c r="BY262" s="198" t="s">
        <v>776</v>
      </c>
      <c r="BZ262" s="197"/>
      <c r="CA262" s="290">
        <v>15.81</v>
      </c>
      <c r="CB262" s="137">
        <v>0.51</v>
      </c>
      <c r="CC262" s="199">
        <v>0.5</v>
      </c>
      <c r="CD262" s="198" t="s">
        <v>776</v>
      </c>
      <c r="CE262" s="197"/>
      <c r="CF262" s="290">
        <v>45.69</v>
      </c>
      <c r="CG262" s="137">
        <v>1.47</v>
      </c>
      <c r="CH262" s="199">
        <v>1.47</v>
      </c>
      <c r="CI262" s="198" t="s">
        <v>776</v>
      </c>
      <c r="CJ262" s="197"/>
      <c r="CK262" s="290">
        <v>218.7</v>
      </c>
      <c r="CL262" s="137">
        <v>7.05</v>
      </c>
      <c r="CM262" s="199">
        <v>5.71</v>
      </c>
      <c r="CN262" s="198">
        <v>18.440000000000001</v>
      </c>
      <c r="CO262" s="197"/>
      <c r="CP262" s="290">
        <v>248.61</v>
      </c>
      <c r="CQ262" s="137">
        <v>8.02</v>
      </c>
      <c r="CR262" s="199">
        <v>6.88</v>
      </c>
      <c r="CS262" s="198">
        <v>15.3</v>
      </c>
      <c r="CT262" s="197"/>
      <c r="CU262" s="290">
        <v>219.09</v>
      </c>
      <c r="CV262" s="137">
        <v>7.07</v>
      </c>
      <c r="CW262" s="199">
        <v>6.32</v>
      </c>
      <c r="CX262" s="198">
        <v>14.69</v>
      </c>
      <c r="CY262" s="198"/>
      <c r="CZ262" s="279">
        <v>38.090000000000003</v>
      </c>
      <c r="DA262" s="137">
        <v>1.23</v>
      </c>
      <c r="DB262" s="197"/>
      <c r="DC262" s="290">
        <v>26.13</v>
      </c>
      <c r="DD262" s="250">
        <v>0.84</v>
      </c>
      <c r="DE262" s="199">
        <v>0.85</v>
      </c>
      <c r="DF262" s="198" t="s">
        <v>776</v>
      </c>
      <c r="DG262" s="197"/>
      <c r="DH262" s="284">
        <f>DI262*31</f>
        <v>85.559999999999988</v>
      </c>
      <c r="DI262" s="1">
        <f t="shared" si="300"/>
        <v>2.76</v>
      </c>
      <c r="DJ262" s="1">
        <f t="shared" si="311"/>
        <v>2.7149999999999999</v>
      </c>
      <c r="DM262" s="284">
        <f>DN262*31</f>
        <v>3994.04</v>
      </c>
      <c r="DN262" s="77">
        <f t="shared" si="301"/>
        <v>128.84</v>
      </c>
      <c r="DO262" s="77">
        <f t="shared" si="312"/>
        <v>113.51416666666667</v>
      </c>
      <c r="DR262" s="284">
        <f>DS262*31</f>
        <v>750.51</v>
      </c>
      <c r="DS262" s="77">
        <f t="shared" si="302"/>
        <v>24.21</v>
      </c>
      <c r="DT262" s="77" t="e">
        <f>SUM(CH262+CM262+CR262+CW262+#REF!)</f>
        <v>#REF!</v>
      </c>
      <c r="DW262" s="284">
        <f>DX262*31</f>
        <v>4744.55</v>
      </c>
      <c r="DX262" s="77">
        <f t="shared" si="313"/>
        <v>153.05000000000001</v>
      </c>
      <c r="DY262" s="77">
        <f t="shared" si="314"/>
        <v>134.26083333333335</v>
      </c>
      <c r="EB262" s="201">
        <v>4</v>
      </c>
      <c r="ED262" s="7" t="s">
        <v>785</v>
      </c>
      <c r="EE262" s="201">
        <v>31</v>
      </c>
      <c r="EL262" s="201">
        <v>2019</v>
      </c>
      <c r="EM262" s="201" t="s">
        <v>714</v>
      </c>
      <c r="EN262" s="201" t="s">
        <v>841</v>
      </c>
      <c r="EO262" s="201">
        <v>239.85</v>
      </c>
    </row>
    <row r="263" spans="1:145" s="201" customFormat="1" x14ac:dyDescent="0.25">
      <c r="A263" s="265">
        <v>2019</v>
      </c>
      <c r="B263" s="201" t="s">
        <v>705</v>
      </c>
      <c r="D263" s="290">
        <v>211.66</v>
      </c>
      <c r="E263" s="199">
        <v>7.06</v>
      </c>
      <c r="F263" s="199">
        <v>6.38</v>
      </c>
      <c r="G263" s="198">
        <v>8.5500000000000007</v>
      </c>
      <c r="H263" s="197"/>
      <c r="I263" s="290">
        <v>20.76</v>
      </c>
      <c r="J263" s="137">
        <v>0.69</v>
      </c>
      <c r="K263" s="199">
        <v>0.71</v>
      </c>
      <c r="L263" s="198">
        <v>1.05</v>
      </c>
      <c r="M263" s="197"/>
      <c r="N263" s="290">
        <v>106.16</v>
      </c>
      <c r="O263" s="137">
        <v>3.54</v>
      </c>
      <c r="P263" s="199">
        <v>3.67</v>
      </c>
      <c r="Q263" s="198">
        <v>5.3</v>
      </c>
      <c r="R263" s="197"/>
      <c r="S263" s="290">
        <v>249.59</v>
      </c>
      <c r="T263" s="137">
        <v>8.32</v>
      </c>
      <c r="U263" s="199">
        <v>8.41</v>
      </c>
      <c r="V263" s="198">
        <v>12.01</v>
      </c>
      <c r="W263" s="197"/>
      <c r="X263" s="279">
        <v>581.74</v>
      </c>
      <c r="Y263" s="137">
        <v>19.39</v>
      </c>
      <c r="Z263" s="199">
        <v>20.94</v>
      </c>
      <c r="AA263" s="198">
        <v>26.42</v>
      </c>
      <c r="AB263" s="197"/>
      <c r="AC263" s="307">
        <v>831.33</v>
      </c>
      <c r="AD263" s="174">
        <v>27.71</v>
      </c>
      <c r="AE263" s="174">
        <v>29.35</v>
      </c>
      <c r="AF263" s="200">
        <v>38.43</v>
      </c>
      <c r="AG263" s="197"/>
      <c r="AH263" s="290">
        <v>1762.55</v>
      </c>
      <c r="AI263" s="137">
        <v>58.75</v>
      </c>
      <c r="AJ263" s="199">
        <v>65.11</v>
      </c>
      <c r="AK263" s="198">
        <v>193.1</v>
      </c>
      <c r="AL263" s="197"/>
      <c r="AM263" s="290">
        <v>13.2</v>
      </c>
      <c r="AN263" s="137">
        <v>0.44</v>
      </c>
      <c r="AO263" s="199">
        <v>0.55000000000000004</v>
      </c>
      <c r="AP263" s="198" t="s">
        <v>776</v>
      </c>
      <c r="AQ263" s="197"/>
      <c r="AR263" s="290">
        <v>157.5</v>
      </c>
      <c r="AS263" s="137">
        <v>5.25</v>
      </c>
      <c r="AT263" s="199">
        <v>5.04</v>
      </c>
      <c r="AU263" s="198" t="s">
        <v>776</v>
      </c>
      <c r="AV263" s="197"/>
      <c r="AW263" s="290">
        <v>22.8</v>
      </c>
      <c r="AX263" s="137">
        <v>0.76</v>
      </c>
      <c r="AY263" s="199">
        <v>0.89</v>
      </c>
      <c r="AZ263" s="198" t="s">
        <v>776</v>
      </c>
      <c r="BA263" s="197"/>
      <c r="BB263" s="290">
        <v>33.9</v>
      </c>
      <c r="BC263" s="137">
        <v>1.1299999999999999</v>
      </c>
      <c r="BD263" s="199">
        <v>1.1000000000000001</v>
      </c>
      <c r="BE263" s="198" t="s">
        <v>776</v>
      </c>
      <c r="BF263" s="197"/>
      <c r="BG263" s="290">
        <v>24.9</v>
      </c>
      <c r="BH263" s="137">
        <v>0.83</v>
      </c>
      <c r="BI263" s="199">
        <v>0.99</v>
      </c>
      <c r="BJ263" s="198" t="s">
        <v>776</v>
      </c>
      <c r="BK263" s="197"/>
      <c r="BL263" s="290">
        <v>116.93</v>
      </c>
      <c r="BM263" s="250">
        <v>3.9</v>
      </c>
      <c r="BN263" s="199">
        <v>3.95</v>
      </c>
      <c r="BO263" s="198" t="s">
        <v>776</v>
      </c>
      <c r="BP263" s="197"/>
      <c r="BQ263" s="296">
        <v>13.2</v>
      </c>
      <c r="BR263" s="201">
        <v>0.44</v>
      </c>
      <c r="BS263" s="199">
        <v>0.49</v>
      </c>
      <c r="BT263" s="198" t="s">
        <v>776</v>
      </c>
      <c r="BU263" s="197"/>
      <c r="BV263" s="296">
        <v>3.9</v>
      </c>
      <c r="BW263" s="201">
        <v>0.13</v>
      </c>
      <c r="BX263" s="199">
        <v>0.26</v>
      </c>
      <c r="BY263" s="198" t="s">
        <v>776</v>
      </c>
      <c r="BZ263" s="197"/>
      <c r="CA263" s="290">
        <v>12.9</v>
      </c>
      <c r="CB263" s="137">
        <v>0.43</v>
      </c>
      <c r="CC263" s="199">
        <v>0.51</v>
      </c>
      <c r="CD263" s="198" t="s">
        <v>776</v>
      </c>
      <c r="CE263" s="197"/>
      <c r="CF263" s="290">
        <v>44.22</v>
      </c>
      <c r="CG263" s="137">
        <v>1.47</v>
      </c>
      <c r="CH263" s="199">
        <v>1.47</v>
      </c>
      <c r="CI263" s="198" t="s">
        <v>776</v>
      </c>
      <c r="CJ263" s="197"/>
      <c r="CK263" s="290">
        <v>175.91</v>
      </c>
      <c r="CL263" s="137">
        <v>5.86</v>
      </c>
      <c r="CM263" s="199">
        <v>5.66</v>
      </c>
      <c r="CN263" s="198">
        <v>8.1999999999999993</v>
      </c>
      <c r="CO263" s="197"/>
      <c r="CP263" s="290">
        <v>220.05</v>
      </c>
      <c r="CQ263" s="137">
        <v>7.34</v>
      </c>
      <c r="CR263" s="199">
        <v>7.03</v>
      </c>
      <c r="CS263" s="198">
        <v>10.34</v>
      </c>
      <c r="CT263" s="197"/>
      <c r="CU263" s="290">
        <v>189.86</v>
      </c>
      <c r="CV263" s="137">
        <v>6.33</v>
      </c>
      <c r="CW263" s="199">
        <v>6.4</v>
      </c>
      <c r="CX263" s="198">
        <v>8.56</v>
      </c>
      <c r="CY263" s="198"/>
      <c r="CZ263" s="279">
        <v>32.380000000000003</v>
      </c>
      <c r="DA263" s="137">
        <v>1.08</v>
      </c>
      <c r="DB263" s="197"/>
      <c r="DC263" s="290">
        <v>25.29</v>
      </c>
      <c r="DD263" s="250">
        <v>0.84</v>
      </c>
      <c r="DE263" s="199">
        <v>0.84</v>
      </c>
      <c r="DF263" s="198" t="s">
        <v>776</v>
      </c>
      <c r="DG263" s="197"/>
      <c r="DH263" s="284">
        <f>DI263*30</f>
        <v>74.099999999999994</v>
      </c>
      <c r="DI263" s="1">
        <f t="shared" si="300"/>
        <v>2.4699999999999998</v>
      </c>
      <c r="DJ263" s="1">
        <f t="shared" si="311"/>
        <v>2.730833333333333</v>
      </c>
      <c r="DM263" s="284">
        <f>DN263*30</f>
        <v>3227.7000000000003</v>
      </c>
      <c r="DN263" s="77">
        <f t="shared" si="301"/>
        <v>107.59</v>
      </c>
      <c r="DO263" s="77">
        <f t="shared" si="312"/>
        <v>115.01416666666665</v>
      </c>
      <c r="DR263" s="284">
        <f>DS263*30</f>
        <v>643.5</v>
      </c>
      <c r="DS263" s="77">
        <f t="shared" si="302"/>
        <v>21.45</v>
      </c>
      <c r="DT263" s="77" t="e">
        <f>SUM(CH263+CM263+CR263+CW263+#REF!)</f>
        <v>#REF!</v>
      </c>
      <c r="DW263" s="284">
        <f>DX263*30</f>
        <v>3871.2</v>
      </c>
      <c r="DX263" s="77">
        <f t="shared" si="313"/>
        <v>129.04</v>
      </c>
      <c r="DY263" s="77">
        <f t="shared" si="314"/>
        <v>135.9675</v>
      </c>
      <c r="EB263" s="201">
        <v>2.2400000000000002</v>
      </c>
      <c r="ED263" s="76" t="s">
        <v>18</v>
      </c>
      <c r="EE263" s="201">
        <v>30</v>
      </c>
      <c r="EL263" s="201">
        <v>2019</v>
      </c>
      <c r="EM263" s="201" t="s">
        <v>705</v>
      </c>
      <c r="EN263" s="201" t="s">
        <v>841</v>
      </c>
      <c r="EO263" s="201">
        <v>211.66</v>
      </c>
    </row>
    <row r="264" spans="1:145" x14ac:dyDescent="0.25">
      <c r="A264" s="265">
        <v>2019</v>
      </c>
      <c r="B264" s="203" t="s">
        <v>715</v>
      </c>
      <c r="C264" s="210"/>
      <c r="D264" s="291">
        <v>211.07</v>
      </c>
      <c r="E264" s="206">
        <v>6.81</v>
      </c>
      <c r="F264" s="206">
        <v>6.54</v>
      </c>
      <c r="G264" s="205">
        <v>9.41</v>
      </c>
      <c r="H264" s="204"/>
      <c r="I264" s="291">
        <v>20.82</v>
      </c>
      <c r="J264" s="207">
        <v>0.67</v>
      </c>
      <c r="K264" s="206">
        <v>0.71</v>
      </c>
      <c r="L264" s="205">
        <v>1.56</v>
      </c>
      <c r="M264" s="204"/>
      <c r="N264" s="291">
        <v>107.75</v>
      </c>
      <c r="O264" s="207">
        <v>3.48</v>
      </c>
      <c r="P264" s="206">
        <v>3.66</v>
      </c>
      <c r="Q264" s="205">
        <v>5.92</v>
      </c>
      <c r="R264" s="204"/>
      <c r="S264" s="291">
        <v>259.2</v>
      </c>
      <c r="T264" s="207">
        <v>8.36</v>
      </c>
      <c r="U264" s="206">
        <v>8.5399999999999991</v>
      </c>
      <c r="V264" s="205">
        <v>13.99</v>
      </c>
      <c r="W264" s="204"/>
      <c r="X264" s="291">
        <v>622.54999999999995</v>
      </c>
      <c r="Y264" s="207">
        <v>20.079999999999998</v>
      </c>
      <c r="Z264" s="206">
        <v>21.13</v>
      </c>
      <c r="AA264" s="205">
        <v>29.59</v>
      </c>
      <c r="AB264" s="204"/>
      <c r="AC264" s="308">
        <v>881.75</v>
      </c>
      <c r="AD264" s="208">
        <v>28.44</v>
      </c>
      <c r="AE264" s="208">
        <v>29.66</v>
      </c>
      <c r="AF264" s="209">
        <v>43.58</v>
      </c>
      <c r="AG264" s="204"/>
      <c r="AH264" s="291">
        <v>1909.11</v>
      </c>
      <c r="AI264" s="207">
        <v>61.58</v>
      </c>
      <c r="AJ264" s="206">
        <v>65.069999999999993</v>
      </c>
      <c r="AK264" s="205">
        <v>167.1</v>
      </c>
      <c r="AL264" s="204"/>
      <c r="AM264" s="291">
        <v>14.57</v>
      </c>
      <c r="AN264" s="207">
        <v>0.47</v>
      </c>
      <c r="AO264" s="206">
        <v>0.54</v>
      </c>
      <c r="AP264" s="205" t="s">
        <v>776</v>
      </c>
      <c r="AQ264" s="204"/>
      <c r="AR264" s="291">
        <v>137.63999999999999</v>
      </c>
      <c r="AS264" s="207">
        <v>4.4400000000000004</v>
      </c>
      <c r="AT264" s="206">
        <v>5.0199999999999996</v>
      </c>
      <c r="AU264" s="205" t="s">
        <v>776</v>
      </c>
      <c r="AV264" s="204"/>
      <c r="AW264" s="291">
        <v>30.07</v>
      </c>
      <c r="AX264" s="207">
        <v>0.97</v>
      </c>
      <c r="AY264" s="206">
        <v>0.89</v>
      </c>
      <c r="AZ264" s="205" t="s">
        <v>776</v>
      </c>
      <c r="BA264" s="204"/>
      <c r="BB264" s="291">
        <v>34.409999999999997</v>
      </c>
      <c r="BC264" s="207">
        <v>1.1100000000000001</v>
      </c>
      <c r="BD264" s="206">
        <v>1.1200000000000001</v>
      </c>
      <c r="BE264" s="205" t="s">
        <v>776</v>
      </c>
      <c r="BF264" s="204"/>
      <c r="BG264" s="291">
        <v>26.35</v>
      </c>
      <c r="BH264" s="207">
        <v>0.85</v>
      </c>
      <c r="BI264" s="206">
        <v>0.98</v>
      </c>
      <c r="BJ264" s="205" t="s">
        <v>776</v>
      </c>
      <c r="BK264" s="204"/>
      <c r="BL264" s="291">
        <v>120.83</v>
      </c>
      <c r="BM264" s="251">
        <v>3.9</v>
      </c>
      <c r="BN264" s="206">
        <v>3.94</v>
      </c>
      <c r="BO264" s="205" t="s">
        <v>776</v>
      </c>
      <c r="BP264" s="204"/>
      <c r="BQ264" s="324">
        <v>14.57</v>
      </c>
      <c r="BR264" s="210">
        <v>0.47</v>
      </c>
      <c r="BS264" s="206">
        <v>0.49</v>
      </c>
      <c r="BT264" s="205" t="s">
        <v>776</v>
      </c>
      <c r="BU264" s="204"/>
      <c r="BV264" s="327">
        <v>22.94</v>
      </c>
      <c r="BW264" s="210">
        <v>0.74</v>
      </c>
      <c r="BX264" s="206">
        <v>0.3</v>
      </c>
      <c r="BY264" s="205" t="s">
        <v>776</v>
      </c>
      <c r="BZ264" s="204"/>
      <c r="CA264" s="291">
        <v>15.5</v>
      </c>
      <c r="CB264" s="207">
        <v>0.5</v>
      </c>
      <c r="CC264" s="206">
        <v>0.51</v>
      </c>
      <c r="CD264" s="205" t="s">
        <v>776</v>
      </c>
      <c r="CE264" s="204"/>
      <c r="CF264" s="291">
        <v>45.69</v>
      </c>
      <c r="CG264" s="207">
        <v>1.47</v>
      </c>
      <c r="CH264" s="206">
        <v>1.47</v>
      </c>
      <c r="CI264" s="205" t="s">
        <v>776</v>
      </c>
      <c r="CJ264" s="204"/>
      <c r="CK264" s="291">
        <v>194.13</v>
      </c>
      <c r="CL264" s="207">
        <v>6.26</v>
      </c>
      <c r="CM264" s="206">
        <v>5.64</v>
      </c>
      <c r="CN264" s="205">
        <v>14.69</v>
      </c>
      <c r="CO264" s="204"/>
      <c r="CP264" s="291">
        <v>234.57</v>
      </c>
      <c r="CQ264" s="207">
        <v>7.57</v>
      </c>
      <c r="CR264" s="206">
        <v>7.15</v>
      </c>
      <c r="CS264" s="205">
        <v>12.45</v>
      </c>
      <c r="CT264" s="204"/>
      <c r="CU264" s="291">
        <v>206.23</v>
      </c>
      <c r="CV264" s="207">
        <v>6.65</v>
      </c>
      <c r="CW264" s="206">
        <v>6.46</v>
      </c>
      <c r="CX264" s="205">
        <v>10.6</v>
      </c>
      <c r="CY264" s="205"/>
      <c r="CZ264" s="280">
        <v>31.41</v>
      </c>
      <c r="DA264" s="207">
        <v>1.01</v>
      </c>
      <c r="DB264" s="204"/>
      <c r="DC264" s="291">
        <v>26.13</v>
      </c>
      <c r="DD264" s="251">
        <v>0.84</v>
      </c>
      <c r="DE264" s="206">
        <v>0.84</v>
      </c>
      <c r="DF264" s="205" t="s">
        <v>776</v>
      </c>
      <c r="DG264" s="204"/>
      <c r="DH264" s="284">
        <f t="shared" ref="DH264:DH266" si="315">DI264*31</f>
        <v>98.579999999999984</v>
      </c>
      <c r="DI264" s="1">
        <f t="shared" si="300"/>
        <v>3.1799999999999997</v>
      </c>
      <c r="DJ264" s="1">
        <f t="shared" ref="DJ264:DJ266" si="316">SUM(DI253:DI264)/12</f>
        <v>2.7724999999999995</v>
      </c>
      <c r="DK264" s="201"/>
      <c r="DL264" s="201"/>
      <c r="DM264" s="284">
        <f>DN264*31</f>
        <v>3395.74</v>
      </c>
      <c r="DN264" s="77">
        <f t="shared" si="301"/>
        <v>109.53999999999999</v>
      </c>
      <c r="DO264" s="77">
        <f t="shared" ref="DO264:DO266" si="317">SUM(DN253:DN264)/12</f>
        <v>115.35333333333334</v>
      </c>
      <c r="DP264" s="201"/>
      <c r="DQ264" s="201"/>
      <c r="DR264" s="284">
        <f t="shared" ref="DR264:DR266" si="318">DS264*31</f>
        <v>692.23</v>
      </c>
      <c r="DS264" s="77">
        <f t="shared" si="302"/>
        <v>22.330000000000002</v>
      </c>
      <c r="DT264" s="77" t="e">
        <f>SUM(CH264+CM264+CR264+CW264+#REF!)</f>
        <v>#REF!</v>
      </c>
      <c r="DU264" s="201"/>
      <c r="DV264" s="201"/>
      <c r="DW264" s="284">
        <f t="shared" ref="DW264:DW266" si="319">DX264*31</f>
        <v>4087.9700000000003</v>
      </c>
      <c r="DX264" s="77">
        <f t="shared" ref="DX264:DX266" si="320">SUM(DN264+DS264)</f>
        <v>131.87</v>
      </c>
      <c r="DY264" s="77">
        <f t="shared" ref="DY264:DY266" si="321">SUM(DX253:DX264)/12</f>
        <v>136.4675</v>
      </c>
      <c r="EB264">
        <v>4.97</v>
      </c>
      <c r="ED264" s="7" t="s">
        <v>786</v>
      </c>
      <c r="EE264">
        <v>31</v>
      </c>
      <c r="EL264">
        <v>2019</v>
      </c>
      <c r="EM264" t="s">
        <v>715</v>
      </c>
      <c r="EN264" t="s">
        <v>841</v>
      </c>
      <c r="EO264">
        <v>211.07</v>
      </c>
    </row>
    <row r="265" spans="1:145" s="201" customFormat="1" x14ac:dyDescent="0.25">
      <c r="A265" s="266">
        <v>2019</v>
      </c>
      <c r="B265" s="196" t="s">
        <v>718</v>
      </c>
      <c r="D265" s="290">
        <v>175.92</v>
      </c>
      <c r="E265" s="199">
        <v>5.86</v>
      </c>
      <c r="F265" s="199">
        <v>6.61</v>
      </c>
      <c r="G265" s="198">
        <v>7.29</v>
      </c>
      <c r="H265" s="197"/>
      <c r="I265" s="290">
        <v>18.809999999999999</v>
      </c>
      <c r="J265" s="137">
        <v>0.63</v>
      </c>
      <c r="K265" s="199">
        <v>0.71</v>
      </c>
      <c r="L265" s="198">
        <v>0.95</v>
      </c>
      <c r="M265" s="197"/>
      <c r="N265" s="290">
        <v>97.76</v>
      </c>
      <c r="O265" s="137">
        <v>3.26</v>
      </c>
      <c r="P265" s="199">
        <v>3.62</v>
      </c>
      <c r="Q265" s="198">
        <v>5.36</v>
      </c>
      <c r="R265" s="197"/>
      <c r="S265" s="290">
        <v>215.45</v>
      </c>
      <c r="T265" s="137">
        <v>7.18</v>
      </c>
      <c r="U265" s="199">
        <v>8.5399999999999991</v>
      </c>
      <c r="V265" s="198">
        <v>10.130000000000001</v>
      </c>
      <c r="W265" s="197"/>
      <c r="X265" s="290">
        <v>538.14</v>
      </c>
      <c r="Y265" s="137">
        <v>17.940000000000001</v>
      </c>
      <c r="Z265" s="199">
        <v>20.99</v>
      </c>
      <c r="AA265" s="198">
        <v>24.77</v>
      </c>
      <c r="AB265" s="197"/>
      <c r="AC265" s="307">
        <v>753.59</v>
      </c>
      <c r="AD265" s="174">
        <v>25.12</v>
      </c>
      <c r="AE265" s="174">
        <v>29.53</v>
      </c>
      <c r="AF265" s="200">
        <v>34.9</v>
      </c>
      <c r="AG265" s="197"/>
      <c r="AH265" s="290">
        <v>1595.47</v>
      </c>
      <c r="AI265" s="137">
        <v>53.18</v>
      </c>
      <c r="AJ265" s="199">
        <v>64.31</v>
      </c>
      <c r="AK265" s="198">
        <v>187.4</v>
      </c>
      <c r="AL265" s="197"/>
      <c r="AM265" s="290">
        <v>15</v>
      </c>
      <c r="AN265" s="137">
        <v>0.5</v>
      </c>
      <c r="AO265" s="199">
        <v>0.54</v>
      </c>
      <c r="AP265" s="198" t="s">
        <v>776</v>
      </c>
      <c r="AQ265" s="197"/>
      <c r="AR265" s="290">
        <v>174.6</v>
      </c>
      <c r="AS265" s="137">
        <v>5.82</v>
      </c>
      <c r="AT265" s="199">
        <v>5.15</v>
      </c>
      <c r="AU265" s="198" t="s">
        <v>776</v>
      </c>
      <c r="AV265" s="197"/>
      <c r="AW265" s="290">
        <v>26.7</v>
      </c>
      <c r="AX265" s="137">
        <v>0.89</v>
      </c>
      <c r="AY265" s="199">
        <v>0.92</v>
      </c>
      <c r="AZ265" s="198" t="s">
        <v>776</v>
      </c>
      <c r="BA265" s="197"/>
      <c r="BB265" s="290">
        <v>21.9</v>
      </c>
      <c r="BC265" s="137">
        <v>0.73</v>
      </c>
      <c r="BD265" s="199">
        <v>1.1100000000000001</v>
      </c>
      <c r="BE265" s="198" t="s">
        <v>776</v>
      </c>
      <c r="BF265" s="197"/>
      <c r="BG265" s="290">
        <v>25.5</v>
      </c>
      <c r="BH265" s="137">
        <v>0.85</v>
      </c>
      <c r="BI265" s="199">
        <v>0.98</v>
      </c>
      <c r="BJ265" s="198" t="s">
        <v>776</v>
      </c>
      <c r="BK265" s="197"/>
      <c r="BL265" s="290">
        <v>116.93</v>
      </c>
      <c r="BM265" s="250">
        <v>3.9</v>
      </c>
      <c r="BN265" s="199">
        <v>3.93</v>
      </c>
      <c r="BO265" s="198" t="s">
        <v>776</v>
      </c>
      <c r="BP265" s="197"/>
      <c r="BQ265" s="296">
        <v>13.5</v>
      </c>
      <c r="BR265" s="201">
        <v>0.45</v>
      </c>
      <c r="BS265" s="199">
        <v>0.5</v>
      </c>
      <c r="BT265" s="198" t="s">
        <v>776</v>
      </c>
      <c r="BU265" s="197"/>
      <c r="BV265" s="296">
        <v>17.100000000000001</v>
      </c>
      <c r="BW265" s="201">
        <v>0.56999999999999995</v>
      </c>
      <c r="BX265" s="199">
        <v>0.34</v>
      </c>
      <c r="BY265" s="198" t="s">
        <v>776</v>
      </c>
      <c r="BZ265" s="197"/>
      <c r="CA265" s="290">
        <v>12</v>
      </c>
      <c r="CB265" s="137">
        <v>0.4</v>
      </c>
      <c r="CC265" s="199">
        <v>0.51</v>
      </c>
      <c r="CD265" s="198" t="s">
        <v>776</v>
      </c>
      <c r="CE265" s="197"/>
      <c r="CF265" s="290">
        <v>44.22</v>
      </c>
      <c r="CG265" s="137">
        <v>1.47</v>
      </c>
      <c r="CH265" s="199">
        <v>1.47</v>
      </c>
      <c r="CI265" s="198" t="s">
        <v>776</v>
      </c>
      <c r="CJ265" s="197"/>
      <c r="CK265" s="290">
        <v>166.67</v>
      </c>
      <c r="CL265" s="137">
        <v>5.56</v>
      </c>
      <c r="CM265" s="199">
        <v>5.61</v>
      </c>
      <c r="CN265" s="198">
        <v>8.1999999999999993</v>
      </c>
      <c r="CO265" s="197"/>
      <c r="CP265" s="290">
        <v>218.49</v>
      </c>
      <c r="CQ265" s="137">
        <v>7.28</v>
      </c>
      <c r="CR265" s="199">
        <v>7.28</v>
      </c>
      <c r="CS265" s="198">
        <v>11.48</v>
      </c>
      <c r="CT265" s="197"/>
      <c r="CU265" s="290">
        <v>177.42</v>
      </c>
      <c r="CV265" s="137">
        <v>5.91</v>
      </c>
      <c r="CW265" s="199">
        <v>6.47</v>
      </c>
      <c r="CX265" s="198">
        <v>8.33</v>
      </c>
      <c r="CY265" s="198"/>
      <c r="CZ265" s="279">
        <v>23.8</v>
      </c>
      <c r="DA265" s="137">
        <v>0.79</v>
      </c>
      <c r="DB265" s="197"/>
      <c r="DC265" s="290">
        <v>25.29</v>
      </c>
      <c r="DD265" s="250">
        <v>0.84</v>
      </c>
      <c r="DE265" s="199">
        <v>0.84</v>
      </c>
      <c r="DF265" s="198" t="s">
        <v>776</v>
      </c>
      <c r="DG265" s="197"/>
      <c r="DH265" s="284">
        <f>DI265*30</f>
        <v>86.699999999999989</v>
      </c>
      <c r="DI265" s="1">
        <f t="shared" ref="DI265:DI272" si="322">SUM(BR265+BW265+CB265+CG265)</f>
        <v>2.8899999999999997</v>
      </c>
      <c r="DJ265" s="1">
        <f t="shared" si="316"/>
        <v>2.8074999999999997</v>
      </c>
      <c r="DM265" s="284">
        <f t="shared" ref="DM265" si="323">DN265*30</f>
        <v>2935.5000000000005</v>
      </c>
      <c r="DN265" s="77">
        <f t="shared" ref="DN265:DN272" si="324">SUM(E265+J265+O265+AD265+AI265+AN265+AS265+AX265+BC265+BH265+BM265-DI265)</f>
        <v>97.850000000000009</v>
      </c>
      <c r="DO265" s="77">
        <f t="shared" si="317"/>
        <v>114.59999999999998</v>
      </c>
      <c r="DR265" s="284">
        <f>DS265*30</f>
        <v>611.4</v>
      </c>
      <c r="DS265" s="77">
        <f t="shared" ref="DS265:DS272" si="325">SUM(CL265+CQ265+CV265+DA265+DD265)</f>
        <v>20.38</v>
      </c>
      <c r="DT265" s="77" t="e">
        <f>SUM(CH265+CM265+CR265+CW265+#REF!)</f>
        <v>#REF!</v>
      </c>
      <c r="DW265" s="284">
        <f>DX265*30</f>
        <v>3546.9</v>
      </c>
      <c r="DX265" s="77">
        <f t="shared" si="320"/>
        <v>118.23</v>
      </c>
      <c r="DY265" s="77">
        <f t="shared" si="321"/>
        <v>135.81833333333336</v>
      </c>
      <c r="EB265" s="201">
        <v>4.2699999999999996</v>
      </c>
      <c r="ED265" s="76" t="s">
        <v>787</v>
      </c>
      <c r="EE265" s="201">
        <v>30</v>
      </c>
      <c r="EL265" s="201">
        <v>2019</v>
      </c>
      <c r="EM265" s="201" t="s">
        <v>718</v>
      </c>
      <c r="EN265" s="201" t="s">
        <v>841</v>
      </c>
      <c r="EO265" s="201">
        <v>175.92</v>
      </c>
    </row>
    <row r="266" spans="1:145" s="201" customFormat="1" x14ac:dyDescent="0.25">
      <c r="A266" s="266">
        <v>2019</v>
      </c>
      <c r="B266" s="196" t="s">
        <v>716</v>
      </c>
      <c r="D266" s="290">
        <v>200.25</v>
      </c>
      <c r="E266" s="199">
        <v>6.46</v>
      </c>
      <c r="F266" s="199">
        <v>6.7</v>
      </c>
      <c r="G266" s="198">
        <v>12.32</v>
      </c>
      <c r="H266" s="197"/>
      <c r="I266" s="290">
        <v>19.46</v>
      </c>
      <c r="J266" s="137">
        <v>0.63</v>
      </c>
      <c r="K266" s="199">
        <v>0.71</v>
      </c>
      <c r="L266" s="198">
        <v>2.1</v>
      </c>
      <c r="M266" s="197"/>
      <c r="N266" s="290">
        <v>99.39</v>
      </c>
      <c r="O266" s="137">
        <v>3.21</v>
      </c>
      <c r="P266" s="199">
        <v>3.59</v>
      </c>
      <c r="Q266" s="198">
        <v>9.9600000000000009</v>
      </c>
      <c r="R266" s="197"/>
      <c r="S266" s="290">
        <v>213.36</v>
      </c>
      <c r="T266" s="137">
        <v>6.88</v>
      </c>
      <c r="U266" s="199">
        <v>8.56</v>
      </c>
      <c r="V266" s="198">
        <v>16.989999999999998</v>
      </c>
      <c r="W266" s="197"/>
      <c r="X266" s="290">
        <v>522.76</v>
      </c>
      <c r="Y266" s="137">
        <v>16.86</v>
      </c>
      <c r="Z266" s="199">
        <v>20.62</v>
      </c>
      <c r="AA266" s="198">
        <v>30.19</v>
      </c>
      <c r="AB266" s="197"/>
      <c r="AC266" s="307">
        <v>736.12</v>
      </c>
      <c r="AD266" s="174">
        <v>23.75</v>
      </c>
      <c r="AE266" s="174">
        <v>29.17</v>
      </c>
      <c r="AF266" s="200">
        <v>47.18</v>
      </c>
      <c r="AG266" s="197"/>
      <c r="AH266" s="290">
        <v>1595.32</v>
      </c>
      <c r="AI266" s="137">
        <v>51.46</v>
      </c>
      <c r="AJ266" s="199">
        <v>63.87</v>
      </c>
      <c r="AK266" s="198">
        <v>161.5</v>
      </c>
      <c r="AL266" s="197"/>
      <c r="AM266" s="290">
        <v>12.71</v>
      </c>
      <c r="AN266" s="137">
        <v>0.41</v>
      </c>
      <c r="AO266" s="199">
        <v>0.53</v>
      </c>
      <c r="AP266" s="198" t="s">
        <v>776</v>
      </c>
      <c r="AQ266" s="197"/>
      <c r="AR266" s="290">
        <v>172.05</v>
      </c>
      <c r="AS266" s="137">
        <v>5.55</v>
      </c>
      <c r="AT266" s="199">
        <v>5.25</v>
      </c>
      <c r="AU266" s="198" t="s">
        <v>776</v>
      </c>
      <c r="AV266" s="197"/>
      <c r="AW266" s="290">
        <v>17.36</v>
      </c>
      <c r="AX266" s="137">
        <v>0.56000000000000005</v>
      </c>
      <c r="AY266" s="199">
        <v>0.9</v>
      </c>
      <c r="AZ266" s="198" t="s">
        <v>776</v>
      </c>
      <c r="BA266" s="197"/>
      <c r="BB266" s="290">
        <v>18.91</v>
      </c>
      <c r="BC266" s="137">
        <v>0.61</v>
      </c>
      <c r="BD266" s="199">
        <v>1.1000000000000001</v>
      </c>
      <c r="BE266" s="198" t="s">
        <v>776</v>
      </c>
      <c r="BF266" s="197"/>
      <c r="BG266" s="290">
        <v>24.8</v>
      </c>
      <c r="BH266" s="137">
        <v>0.8</v>
      </c>
      <c r="BI266" s="199">
        <v>0.97</v>
      </c>
      <c r="BJ266" s="198" t="s">
        <v>776</v>
      </c>
      <c r="BK266" s="197"/>
      <c r="BL266" s="290">
        <v>120.83</v>
      </c>
      <c r="BM266" s="250">
        <v>3.9</v>
      </c>
      <c r="BN266" s="199">
        <v>3.92</v>
      </c>
      <c r="BO266" s="198" t="s">
        <v>776</v>
      </c>
      <c r="BP266" s="197"/>
      <c r="BQ266" s="296">
        <v>13.64</v>
      </c>
      <c r="BR266" s="201">
        <v>0.44</v>
      </c>
      <c r="BS266" s="199">
        <v>0.49</v>
      </c>
      <c r="BT266" s="198" t="s">
        <v>776</v>
      </c>
      <c r="BU266" s="197"/>
      <c r="BV266" s="296">
        <v>3.41</v>
      </c>
      <c r="BW266" s="201">
        <v>0.11</v>
      </c>
      <c r="BX266" s="199">
        <v>0.33</v>
      </c>
      <c r="BY266" s="198" t="s">
        <v>776</v>
      </c>
      <c r="BZ266" s="197"/>
      <c r="CA266" s="290">
        <v>17.670000000000002</v>
      </c>
      <c r="CB266" s="137">
        <v>0.56999999999999995</v>
      </c>
      <c r="CC266" s="199">
        <v>0.51</v>
      </c>
      <c r="CD266" s="198" t="s">
        <v>776</v>
      </c>
      <c r="CE266" s="197"/>
      <c r="CF266" s="290">
        <v>45.69</v>
      </c>
      <c r="CG266" s="137">
        <v>1.47</v>
      </c>
      <c r="CH266" s="199">
        <v>1.47</v>
      </c>
      <c r="CI266" s="198" t="s">
        <v>776</v>
      </c>
      <c r="CJ266" s="197"/>
      <c r="CK266" s="290">
        <v>168.13</v>
      </c>
      <c r="CL266" s="137">
        <v>5.42</v>
      </c>
      <c r="CM266" s="199">
        <v>5.66</v>
      </c>
      <c r="CN266" s="198">
        <v>9.58</v>
      </c>
      <c r="CO266" s="197"/>
      <c r="CP266" s="290">
        <v>229.58</v>
      </c>
      <c r="CQ266" s="137">
        <v>7.41</v>
      </c>
      <c r="CR266" s="199">
        <v>7.43</v>
      </c>
      <c r="CS266" s="198">
        <v>32.6</v>
      </c>
      <c r="CT266" s="197"/>
      <c r="CU266" s="290">
        <v>181.38</v>
      </c>
      <c r="CV266" s="137">
        <v>5.85</v>
      </c>
      <c r="CW266" s="199">
        <v>6.49</v>
      </c>
      <c r="CX266" s="198">
        <v>14.63</v>
      </c>
      <c r="CY266" s="198"/>
      <c r="CZ266" s="279">
        <v>26.05</v>
      </c>
      <c r="DA266" s="137">
        <v>0.84</v>
      </c>
      <c r="DB266" s="197"/>
      <c r="DC266" s="290">
        <v>26.13</v>
      </c>
      <c r="DD266" s="250">
        <v>0.84</v>
      </c>
      <c r="DE266" s="199">
        <v>0.84</v>
      </c>
      <c r="DF266" s="198" t="s">
        <v>776</v>
      </c>
      <c r="DG266" s="197"/>
      <c r="DH266" s="284">
        <f t="shared" si="315"/>
        <v>80.289999999999992</v>
      </c>
      <c r="DI266" s="1">
        <f t="shared" si="322"/>
        <v>2.59</v>
      </c>
      <c r="DJ266" s="1">
        <f t="shared" si="316"/>
        <v>2.8041666666666671</v>
      </c>
      <c r="DM266" s="284">
        <f>DN266*31</f>
        <v>2937.2499999999995</v>
      </c>
      <c r="DN266" s="77">
        <f t="shared" si="324"/>
        <v>94.749999999999986</v>
      </c>
      <c r="DO266" s="77">
        <f t="shared" si="317"/>
        <v>113.89166666666667</v>
      </c>
      <c r="DR266" s="284">
        <f t="shared" si="318"/>
        <v>631.16</v>
      </c>
      <c r="DS266" s="77">
        <f t="shared" si="325"/>
        <v>20.36</v>
      </c>
      <c r="DT266" s="77" t="e">
        <f>SUM(CH266+CM266+CR266+CW266+#REF!)</f>
        <v>#REF!</v>
      </c>
      <c r="DW266" s="284">
        <f t="shared" si="319"/>
        <v>3568.4099999999994</v>
      </c>
      <c r="DX266" s="77">
        <f t="shared" si="320"/>
        <v>115.10999999999999</v>
      </c>
      <c r="DY266" s="77">
        <f t="shared" si="321"/>
        <v>135.33499999999998</v>
      </c>
      <c r="EB266" s="201">
        <v>6.49</v>
      </c>
      <c r="ED266" s="76" t="s">
        <v>788</v>
      </c>
      <c r="EE266" s="201">
        <v>31</v>
      </c>
      <c r="EL266" s="201">
        <v>2019</v>
      </c>
      <c r="EM266" s="201" t="s">
        <v>716</v>
      </c>
      <c r="EN266" s="201" t="s">
        <v>841</v>
      </c>
      <c r="EO266" s="201">
        <v>200.25</v>
      </c>
    </row>
    <row r="267" spans="1:145" s="201" customFormat="1" x14ac:dyDescent="0.25">
      <c r="A267" s="266">
        <v>2019</v>
      </c>
      <c r="B267" s="201" t="s">
        <v>708</v>
      </c>
      <c r="D267" s="290">
        <v>206.29</v>
      </c>
      <c r="E267" s="199">
        <v>6.65</v>
      </c>
      <c r="F267" s="199">
        <v>6.76</v>
      </c>
      <c r="G267" s="198">
        <v>8.84</v>
      </c>
      <c r="H267" s="197"/>
      <c r="I267" s="290">
        <v>19.239999999999998</v>
      </c>
      <c r="J267" s="137">
        <v>0.62</v>
      </c>
      <c r="K267" s="199">
        <v>0.71</v>
      </c>
      <c r="L267" s="198">
        <v>1.98</v>
      </c>
      <c r="M267" s="197"/>
      <c r="N267" s="290">
        <v>89.16</v>
      </c>
      <c r="O267" s="137">
        <v>2.88</v>
      </c>
      <c r="P267" s="199">
        <v>3.55</v>
      </c>
      <c r="Q267" s="198">
        <v>7.2</v>
      </c>
      <c r="R267" s="197"/>
      <c r="S267" s="290">
        <v>198.96</v>
      </c>
      <c r="T267" s="137">
        <v>6.42</v>
      </c>
      <c r="U267" s="199">
        <v>8.5</v>
      </c>
      <c r="V267" s="198">
        <v>10.67</v>
      </c>
      <c r="W267" s="197"/>
      <c r="X267" s="290">
        <v>473.34</v>
      </c>
      <c r="Y267" s="137">
        <v>15.27</v>
      </c>
      <c r="Z267" s="199">
        <v>20.28</v>
      </c>
      <c r="AA267" s="198">
        <v>23</v>
      </c>
      <c r="AB267" s="197"/>
      <c r="AC267" s="307">
        <v>672.3</v>
      </c>
      <c r="AD267" s="174">
        <v>21.69</v>
      </c>
      <c r="AE267" s="174">
        <v>28.78</v>
      </c>
      <c r="AF267" s="200">
        <v>33.67</v>
      </c>
      <c r="AG267" s="197"/>
      <c r="AH267" s="290">
        <v>1419.07</v>
      </c>
      <c r="AI267" s="137">
        <v>45.78</v>
      </c>
      <c r="AJ267" s="199">
        <v>62.93</v>
      </c>
      <c r="AK267" s="198">
        <v>164.5</v>
      </c>
      <c r="AL267" s="197"/>
      <c r="AM267" s="290">
        <v>10.85</v>
      </c>
      <c r="AN267" s="137">
        <v>0.35</v>
      </c>
      <c r="AO267" s="199">
        <v>0.51</v>
      </c>
      <c r="AP267" s="198" t="s">
        <v>776</v>
      </c>
      <c r="AQ267" s="197"/>
      <c r="AR267" s="290">
        <v>156.24</v>
      </c>
      <c r="AS267" s="137">
        <v>5.04</v>
      </c>
      <c r="AT267" s="199">
        <v>5.26</v>
      </c>
      <c r="AU267" s="198" t="s">
        <v>776</v>
      </c>
      <c r="AV267" s="197"/>
      <c r="AW267" s="290">
        <v>14.26</v>
      </c>
      <c r="AX267" s="137">
        <v>0.46</v>
      </c>
      <c r="AY267" s="199">
        <v>0.85</v>
      </c>
      <c r="AZ267" s="198" t="s">
        <v>776</v>
      </c>
      <c r="BA267" s="197"/>
      <c r="BB267" s="290">
        <v>19.84</v>
      </c>
      <c r="BC267" s="137">
        <v>0.64</v>
      </c>
      <c r="BD267" s="199">
        <v>1.07</v>
      </c>
      <c r="BE267" s="198" t="s">
        <v>776</v>
      </c>
      <c r="BF267" s="197"/>
      <c r="BG267" s="290">
        <v>49.6</v>
      </c>
      <c r="BH267" s="137">
        <v>1.6</v>
      </c>
      <c r="BI267" s="199">
        <v>1.03</v>
      </c>
      <c r="BJ267" s="198" t="s">
        <v>776</v>
      </c>
      <c r="BK267" s="197"/>
      <c r="BL267" s="290">
        <v>120.83</v>
      </c>
      <c r="BM267" s="250">
        <v>3.9</v>
      </c>
      <c r="BN267" s="199">
        <v>3.91</v>
      </c>
      <c r="BO267" s="198" t="s">
        <v>776</v>
      </c>
      <c r="BP267" s="197"/>
      <c r="BQ267" s="296">
        <v>13.33</v>
      </c>
      <c r="BR267" s="201">
        <v>0.43</v>
      </c>
      <c r="BS267" s="199">
        <v>0.47</v>
      </c>
      <c r="BT267" s="198" t="s">
        <v>776</v>
      </c>
      <c r="BU267" s="197"/>
      <c r="BV267" s="296">
        <v>6.2</v>
      </c>
      <c r="BW267" s="201">
        <v>0.2</v>
      </c>
      <c r="BX267" s="199">
        <v>0.32</v>
      </c>
      <c r="BY267" s="198" t="s">
        <v>776</v>
      </c>
      <c r="BZ267" s="197"/>
      <c r="CA267" s="290">
        <v>26.66</v>
      </c>
      <c r="CB267" s="137">
        <v>0.86</v>
      </c>
      <c r="CC267" s="199">
        <v>0.55000000000000004</v>
      </c>
      <c r="CD267" s="198" t="s">
        <v>776</v>
      </c>
      <c r="CE267" s="197"/>
      <c r="CF267" s="290">
        <v>45.69</v>
      </c>
      <c r="CG267" s="137">
        <v>1.47</v>
      </c>
      <c r="CH267" s="199">
        <v>1.47</v>
      </c>
      <c r="CI267" s="198" t="s">
        <v>776</v>
      </c>
      <c r="CJ267" s="197"/>
      <c r="CK267" s="290">
        <v>115.89</v>
      </c>
      <c r="CL267" s="137">
        <v>3.74</v>
      </c>
      <c r="CM267" s="199">
        <v>5.55</v>
      </c>
      <c r="CN267" s="198">
        <v>6.84</v>
      </c>
      <c r="CO267" s="197"/>
      <c r="CP267" s="290">
        <v>227.44</v>
      </c>
      <c r="CQ267" s="137">
        <v>7.34</v>
      </c>
      <c r="CR267" s="199">
        <v>7.53</v>
      </c>
      <c r="CS267" s="198">
        <v>13.13</v>
      </c>
      <c r="CT267" s="197"/>
      <c r="CU267" s="290">
        <v>169.86</v>
      </c>
      <c r="CV267" s="137">
        <v>5.48</v>
      </c>
      <c r="CW267" s="199">
        <v>6.45</v>
      </c>
      <c r="CX267" s="198">
        <v>11.57</v>
      </c>
      <c r="CY267" s="198"/>
      <c r="CZ267" s="279">
        <v>24.46</v>
      </c>
      <c r="DA267" s="137">
        <v>0.79</v>
      </c>
      <c r="DB267" s="197"/>
      <c r="DC267" s="290">
        <v>26.13</v>
      </c>
      <c r="DD267" s="250">
        <v>0.84</v>
      </c>
      <c r="DE267" s="199">
        <v>0.84</v>
      </c>
      <c r="DF267" s="198" t="s">
        <v>776</v>
      </c>
      <c r="DG267" s="197"/>
      <c r="DH267" s="284">
        <f t="shared" ref="DH267" si="326">DI267*31</f>
        <v>91.76</v>
      </c>
      <c r="DI267" s="1">
        <f t="shared" si="322"/>
        <v>2.96</v>
      </c>
      <c r="DJ267" s="1">
        <f t="shared" ref="DJ267:DJ268" si="327">SUM(DI256:DI267)/12</f>
        <v>2.8091666666666661</v>
      </c>
      <c r="DM267" s="284">
        <f t="shared" ref="DM267" si="328">DN267*31</f>
        <v>2686.15</v>
      </c>
      <c r="DN267" s="77">
        <f t="shared" si="324"/>
        <v>86.65</v>
      </c>
      <c r="DO267" s="77">
        <f t="shared" ref="DO267:DO268" si="329">SUM(DN256:DN267)/12</f>
        <v>112.54833333333335</v>
      </c>
      <c r="DR267" s="284">
        <f t="shared" ref="DR267" si="330">DS267*31</f>
        <v>563.89</v>
      </c>
      <c r="DS267" s="77">
        <f t="shared" si="325"/>
        <v>18.190000000000001</v>
      </c>
      <c r="DT267" s="77" t="e">
        <f>SUM(CH267+CM267+CR267+CW267+#REF!)</f>
        <v>#REF!</v>
      </c>
      <c r="DW267" s="284">
        <f t="shared" ref="DW267" si="331">DX267*31</f>
        <v>3250.04</v>
      </c>
      <c r="DX267" s="77">
        <f t="shared" ref="DX267:DX268" si="332">SUM(DN267+DS267)</f>
        <v>104.84</v>
      </c>
      <c r="DY267" s="77">
        <f t="shared" ref="DY267:DY268" si="333">SUM(DX256:DX267)/12</f>
        <v>133.92333333333332</v>
      </c>
      <c r="EB267" s="201">
        <v>1.99</v>
      </c>
      <c r="ED267" s="7" t="s">
        <v>789</v>
      </c>
      <c r="EE267" s="201">
        <v>31</v>
      </c>
      <c r="EL267" s="201">
        <v>2019</v>
      </c>
      <c r="EM267" s="201" t="s">
        <v>708</v>
      </c>
      <c r="EN267" s="201" t="s">
        <v>841</v>
      </c>
      <c r="EO267" s="201">
        <v>206.29</v>
      </c>
    </row>
    <row r="268" spans="1:145" x14ac:dyDescent="0.25">
      <c r="A268" s="265">
        <v>2019</v>
      </c>
      <c r="B268" s="210" t="s">
        <v>709</v>
      </c>
      <c r="C268" s="210"/>
      <c r="D268" s="291">
        <v>191.51</v>
      </c>
      <c r="E268" s="206">
        <v>6.38</v>
      </c>
      <c r="F268" s="206">
        <v>6.78</v>
      </c>
      <c r="G268" s="205">
        <v>8.4600000000000009</v>
      </c>
      <c r="H268" s="204"/>
      <c r="I268" s="291">
        <v>18.350000000000001</v>
      </c>
      <c r="J268" s="207">
        <v>0.61</v>
      </c>
      <c r="K268" s="206">
        <v>0.7</v>
      </c>
      <c r="L268" s="205">
        <v>1.1200000000000001</v>
      </c>
      <c r="M268" s="204"/>
      <c r="N268" s="291">
        <v>85.36</v>
      </c>
      <c r="O268" s="207">
        <v>2.85</v>
      </c>
      <c r="P268" s="206">
        <v>3.47</v>
      </c>
      <c r="Q268" s="205">
        <v>4.38</v>
      </c>
      <c r="R268" s="204"/>
      <c r="S268" s="291">
        <v>170.76</v>
      </c>
      <c r="T268" s="207">
        <v>5.69</v>
      </c>
      <c r="U268" s="206">
        <v>8.3000000000000007</v>
      </c>
      <c r="V268" s="205">
        <v>8.36</v>
      </c>
      <c r="W268" s="204"/>
      <c r="X268" s="291">
        <v>454.28</v>
      </c>
      <c r="Y268" s="207">
        <v>15.14</v>
      </c>
      <c r="Z268" s="206">
        <v>19.8</v>
      </c>
      <c r="AA268" s="205">
        <v>22.28</v>
      </c>
      <c r="AB268" s="204"/>
      <c r="AC268" s="308">
        <v>625.04</v>
      </c>
      <c r="AD268" s="208">
        <v>20.83</v>
      </c>
      <c r="AE268" s="208">
        <v>28.1</v>
      </c>
      <c r="AF268" s="209">
        <v>30.64</v>
      </c>
      <c r="AG268" s="204"/>
      <c r="AH268" s="291">
        <v>1660.52</v>
      </c>
      <c r="AI268" s="208">
        <v>55.35</v>
      </c>
      <c r="AJ268" s="206">
        <v>61.8</v>
      </c>
      <c r="AK268" s="205">
        <v>164.2</v>
      </c>
      <c r="AL268" s="204"/>
      <c r="AM268" s="291">
        <v>10.199999999999999</v>
      </c>
      <c r="AN268" s="207">
        <v>0.34</v>
      </c>
      <c r="AO268" s="206">
        <v>0.49</v>
      </c>
      <c r="AP268" s="205" t="s">
        <v>776</v>
      </c>
      <c r="AQ268" s="204"/>
      <c r="AR268" s="291">
        <v>127.5</v>
      </c>
      <c r="AS268" s="208">
        <v>4.25</v>
      </c>
      <c r="AT268" s="206">
        <v>5.23</v>
      </c>
      <c r="AU268" s="205" t="s">
        <v>776</v>
      </c>
      <c r="AV268" s="204"/>
      <c r="AW268" s="291">
        <v>14.4</v>
      </c>
      <c r="AX268" s="207">
        <v>0.48</v>
      </c>
      <c r="AY268" s="206">
        <v>0.81</v>
      </c>
      <c r="AZ268" s="205" t="s">
        <v>776</v>
      </c>
      <c r="BA268" s="204"/>
      <c r="BB268" s="291">
        <v>18</v>
      </c>
      <c r="BC268" s="207">
        <v>0.6</v>
      </c>
      <c r="BD268" s="206">
        <v>1.02</v>
      </c>
      <c r="BE268" s="205" t="s">
        <v>776</v>
      </c>
      <c r="BF268" s="204"/>
      <c r="BG268" s="291">
        <v>45</v>
      </c>
      <c r="BH268" s="207">
        <v>1.5</v>
      </c>
      <c r="BI268" s="206">
        <v>1.08</v>
      </c>
      <c r="BJ268" s="205" t="s">
        <v>776</v>
      </c>
      <c r="BK268" s="204"/>
      <c r="BL268" s="291">
        <v>116.93</v>
      </c>
      <c r="BM268" s="251">
        <v>3.9</v>
      </c>
      <c r="BN268" s="206">
        <v>3.9</v>
      </c>
      <c r="BO268" s="205" t="s">
        <v>776</v>
      </c>
      <c r="BP268" s="204"/>
      <c r="BQ268" s="324">
        <v>12.3</v>
      </c>
      <c r="BR268" s="210">
        <v>0.41</v>
      </c>
      <c r="BS268" s="206">
        <v>0.46</v>
      </c>
      <c r="BT268" s="205" t="s">
        <v>776</v>
      </c>
      <c r="BU268" s="204"/>
      <c r="BV268" s="327">
        <v>6.3</v>
      </c>
      <c r="BW268" s="210">
        <v>0.21</v>
      </c>
      <c r="BX268" s="206">
        <v>0.32</v>
      </c>
      <c r="BY268" s="205" t="s">
        <v>776</v>
      </c>
      <c r="BZ268" s="204"/>
      <c r="CA268" s="291">
        <v>9.3000000000000007</v>
      </c>
      <c r="CB268" s="207">
        <v>0.31</v>
      </c>
      <c r="CC268" s="206">
        <v>0.53</v>
      </c>
      <c r="CD268" s="205" t="s">
        <v>776</v>
      </c>
      <c r="CE268" s="204"/>
      <c r="CF268" s="291">
        <v>44.22</v>
      </c>
      <c r="CG268" s="207">
        <v>1.47</v>
      </c>
      <c r="CH268" s="206">
        <v>1.47</v>
      </c>
      <c r="CI268" s="205" t="s">
        <v>776</v>
      </c>
      <c r="CJ268" s="204"/>
      <c r="CK268" s="291">
        <v>94.59</v>
      </c>
      <c r="CL268" s="206">
        <v>3.15</v>
      </c>
      <c r="CM268" s="206">
        <v>5.46</v>
      </c>
      <c r="CN268" s="205">
        <v>5.74</v>
      </c>
      <c r="CO268" s="204"/>
      <c r="CP268" s="291">
        <v>193.12</v>
      </c>
      <c r="CQ268" s="206">
        <v>6.44</v>
      </c>
      <c r="CR268" s="206">
        <v>7.5</v>
      </c>
      <c r="CS268" s="205">
        <v>27.34</v>
      </c>
      <c r="CT268" s="204"/>
      <c r="CU268" s="291">
        <v>145.21</v>
      </c>
      <c r="CV268" s="207">
        <v>4.84</v>
      </c>
      <c r="CW268" s="206">
        <v>6.32</v>
      </c>
      <c r="CX268" s="205">
        <v>7.09</v>
      </c>
      <c r="CY268" s="205"/>
      <c r="CZ268" s="280">
        <v>17.28</v>
      </c>
      <c r="DA268" s="207">
        <v>0.57999999999999996</v>
      </c>
      <c r="DB268" s="204"/>
      <c r="DC268" s="291">
        <v>25.29</v>
      </c>
      <c r="DD268" s="251">
        <v>0.84</v>
      </c>
      <c r="DE268" s="206">
        <v>0.84</v>
      </c>
      <c r="DF268" s="205" t="s">
        <v>776</v>
      </c>
      <c r="DG268" s="204"/>
      <c r="DH268" s="284">
        <f>DI268*30</f>
        <v>72</v>
      </c>
      <c r="DI268" s="1">
        <f t="shared" si="322"/>
        <v>2.4</v>
      </c>
      <c r="DJ268" s="1">
        <f t="shared" si="327"/>
        <v>2.7741666666666664</v>
      </c>
      <c r="DK268" s="201"/>
      <c r="DL268" s="201"/>
      <c r="DM268" s="284">
        <f>DN268*30</f>
        <v>2840.7</v>
      </c>
      <c r="DN268" s="77">
        <f t="shared" si="324"/>
        <v>94.69</v>
      </c>
      <c r="DO268" s="77">
        <f t="shared" si="329"/>
        <v>110.61250000000001</v>
      </c>
      <c r="DP268" s="201"/>
      <c r="DQ268" s="201"/>
      <c r="DR268" s="284">
        <f>DS268*30</f>
        <v>475.5</v>
      </c>
      <c r="DS268" s="77">
        <f t="shared" si="325"/>
        <v>15.85</v>
      </c>
      <c r="DT268" s="77" t="e">
        <f>SUM(CH268+CM268+CR268+CW268+#REF!)</f>
        <v>#REF!</v>
      </c>
      <c r="DU268" s="201"/>
      <c r="DV268" s="201"/>
      <c r="DW268" s="284">
        <f>DX268*30</f>
        <v>3316.2</v>
      </c>
      <c r="DX268" s="77">
        <f t="shared" si="332"/>
        <v>110.53999999999999</v>
      </c>
      <c r="DY268" s="77">
        <f t="shared" si="333"/>
        <v>131.70499999999996</v>
      </c>
      <c r="EB268" s="201">
        <v>0.25</v>
      </c>
      <c r="ED268" s="76" t="s">
        <v>790</v>
      </c>
      <c r="EE268" s="201">
        <v>30</v>
      </c>
      <c r="EL268">
        <v>2019</v>
      </c>
      <c r="EM268" t="s">
        <v>709</v>
      </c>
      <c r="EN268" t="s">
        <v>841</v>
      </c>
      <c r="EO268">
        <v>191.51</v>
      </c>
    </row>
    <row r="269" spans="1:145" x14ac:dyDescent="0.25">
      <c r="A269" s="267">
        <v>2019</v>
      </c>
      <c r="B269" s="227" t="s">
        <v>710</v>
      </c>
      <c r="C269" s="234"/>
      <c r="D269" s="292">
        <v>189.56</v>
      </c>
      <c r="E269" s="230">
        <v>6.11</v>
      </c>
      <c r="F269" s="230">
        <v>6.78</v>
      </c>
      <c r="G269" s="229">
        <v>9.9499999999999993</v>
      </c>
      <c r="H269" s="228"/>
      <c r="I269" s="292">
        <v>19.28</v>
      </c>
      <c r="J269" s="231">
        <v>0.62</v>
      </c>
      <c r="K269" s="230">
        <v>0.69</v>
      </c>
      <c r="L269" s="229">
        <v>1</v>
      </c>
      <c r="M269" s="228"/>
      <c r="N269" s="292">
        <v>90.24</v>
      </c>
      <c r="O269" s="231">
        <v>2.91</v>
      </c>
      <c r="P269" s="230">
        <v>3.42</v>
      </c>
      <c r="Q269" s="229">
        <v>8.3699999999999992</v>
      </c>
      <c r="R269" s="228"/>
      <c r="S269" s="292">
        <v>174.44</v>
      </c>
      <c r="T269" s="231">
        <v>5.63</v>
      </c>
      <c r="U269" s="230">
        <v>8.14</v>
      </c>
      <c r="V269" s="229">
        <v>14.39</v>
      </c>
      <c r="W269" s="228"/>
      <c r="X269" s="292">
        <v>425.58</v>
      </c>
      <c r="Y269" s="231">
        <v>13.73</v>
      </c>
      <c r="Z269" s="230">
        <v>19.27</v>
      </c>
      <c r="AA269" s="229">
        <v>29.63</v>
      </c>
      <c r="AB269" s="228"/>
      <c r="AC269" s="309">
        <v>600.02</v>
      </c>
      <c r="AD269" s="232">
        <v>19.36</v>
      </c>
      <c r="AE269" s="232">
        <v>27.42</v>
      </c>
      <c r="AF269" s="233">
        <v>44.02</v>
      </c>
      <c r="AG269" s="228"/>
      <c r="AH269" s="312">
        <v>1605.63</v>
      </c>
      <c r="AI269" s="236">
        <v>51.79</v>
      </c>
      <c r="AJ269" s="237">
        <v>61.08</v>
      </c>
      <c r="AK269" s="235">
        <v>134.9</v>
      </c>
      <c r="AL269" s="228"/>
      <c r="AM269" s="292">
        <v>14.26</v>
      </c>
      <c r="AN269" s="231">
        <v>0.46</v>
      </c>
      <c r="AO269" s="230">
        <v>0.48</v>
      </c>
      <c r="AP269" s="229" t="s">
        <v>776</v>
      </c>
      <c r="AQ269" s="228"/>
      <c r="AR269" s="292">
        <v>137.33000000000001</v>
      </c>
      <c r="AS269" s="231">
        <v>4.43</v>
      </c>
      <c r="AT269" s="230">
        <v>5.19</v>
      </c>
      <c r="AU269" s="229" t="s">
        <v>776</v>
      </c>
      <c r="AV269" s="228"/>
      <c r="AW269" s="292">
        <v>18.91</v>
      </c>
      <c r="AX269" s="231">
        <v>0.61</v>
      </c>
      <c r="AY269" s="230">
        <v>0.77</v>
      </c>
      <c r="AZ269" s="229" t="s">
        <v>776</v>
      </c>
      <c r="BA269" s="228"/>
      <c r="BB269" s="292">
        <v>15.81</v>
      </c>
      <c r="BC269" s="231">
        <v>0.51</v>
      </c>
      <c r="BD269" s="230">
        <v>0.97</v>
      </c>
      <c r="BE269" s="229" t="s">
        <v>776</v>
      </c>
      <c r="BF269" s="228"/>
      <c r="BG269" s="292">
        <v>35.65</v>
      </c>
      <c r="BH269" s="231">
        <v>1.1499999999999999</v>
      </c>
      <c r="BI269" s="230">
        <v>1.08</v>
      </c>
      <c r="BJ269" s="229" t="s">
        <v>776</v>
      </c>
      <c r="BK269" s="228"/>
      <c r="BL269" s="312">
        <v>98.25</v>
      </c>
      <c r="BM269" s="236">
        <v>3.17</v>
      </c>
      <c r="BN269" s="237">
        <v>3.84</v>
      </c>
      <c r="BO269" s="235" t="s">
        <v>776</v>
      </c>
      <c r="BP269" s="228"/>
      <c r="BQ269" s="325">
        <v>13.02</v>
      </c>
      <c r="BR269" s="234">
        <v>0.42</v>
      </c>
      <c r="BS269" s="230">
        <v>0.46</v>
      </c>
      <c r="BT269" s="229" t="s">
        <v>776</v>
      </c>
      <c r="BU269" s="228"/>
      <c r="BV269" s="325">
        <v>14.26</v>
      </c>
      <c r="BW269" s="234">
        <v>0.46</v>
      </c>
      <c r="BX269" s="230">
        <v>0.33</v>
      </c>
      <c r="BY269" s="229" t="s">
        <v>776</v>
      </c>
      <c r="BZ269" s="228"/>
      <c r="CA269" s="292">
        <v>10.54</v>
      </c>
      <c r="CB269" s="231">
        <v>0.34</v>
      </c>
      <c r="CC269" s="230">
        <v>0.51</v>
      </c>
      <c r="CD269" s="229" t="s">
        <v>776</v>
      </c>
      <c r="CE269" s="228"/>
      <c r="CF269" s="292">
        <v>45.69</v>
      </c>
      <c r="CG269" s="231">
        <v>1.47</v>
      </c>
      <c r="CH269" s="230">
        <v>1.47</v>
      </c>
      <c r="CI269" s="229" t="s">
        <v>776</v>
      </c>
      <c r="CJ269" s="228"/>
      <c r="CK269" s="292">
        <v>96.75</v>
      </c>
      <c r="CL269" s="231">
        <v>3.12</v>
      </c>
      <c r="CM269" s="230">
        <v>5.32</v>
      </c>
      <c r="CN269" s="229">
        <v>9.26</v>
      </c>
      <c r="CO269" s="228"/>
      <c r="CP269" s="292">
        <v>206.8</v>
      </c>
      <c r="CQ269" s="231">
        <v>6.67</v>
      </c>
      <c r="CR269" s="230">
        <v>7.55</v>
      </c>
      <c r="CS269" s="229">
        <v>13.96</v>
      </c>
      <c r="CT269" s="228"/>
      <c r="CU269" s="292">
        <v>155.94999999999999</v>
      </c>
      <c r="CV269" s="231">
        <v>5.03</v>
      </c>
      <c r="CW269" s="230">
        <v>6.23</v>
      </c>
      <c r="CX269" s="229">
        <v>14.92</v>
      </c>
      <c r="CY269" s="229"/>
      <c r="CZ269" s="281">
        <v>18.809999999999999</v>
      </c>
      <c r="DA269" s="231">
        <v>0.61</v>
      </c>
      <c r="DB269" s="228"/>
      <c r="DC269" s="292">
        <v>30.22</v>
      </c>
      <c r="DD269" s="231">
        <v>0.97</v>
      </c>
      <c r="DE269" s="230">
        <v>0.85</v>
      </c>
      <c r="DF269" s="229" t="s">
        <v>776</v>
      </c>
      <c r="DG269" s="228"/>
      <c r="DH269" s="284">
        <f>DI269*31</f>
        <v>83.39</v>
      </c>
      <c r="DI269" s="1">
        <f t="shared" si="322"/>
        <v>2.69</v>
      </c>
      <c r="DJ269" s="1">
        <f t="shared" ref="DJ269:DJ272" si="334">SUM(DI258:DI269)/12</f>
        <v>2.7641666666666662</v>
      </c>
      <c r="DM269" s="284">
        <f t="shared" ref="DM269" si="335">DN269*31</f>
        <v>2741.33</v>
      </c>
      <c r="DN269" s="77">
        <f t="shared" si="324"/>
        <v>88.429999999999993</v>
      </c>
      <c r="DO269" s="77">
        <f t="shared" ref="DO269:DO271" si="336">SUM(DN258:DN269)/12</f>
        <v>108.94666666666667</v>
      </c>
      <c r="DR269" s="284">
        <f>DS269*31</f>
        <v>508.4</v>
      </c>
      <c r="DS269" s="77">
        <f t="shared" si="325"/>
        <v>16.399999999999999</v>
      </c>
      <c r="DT269" s="77" t="e">
        <f>SUM(CH269+CM269+CR269+CW269+#REF!)</f>
        <v>#REF!</v>
      </c>
      <c r="DU269" s="201"/>
      <c r="DV269" s="201"/>
      <c r="DW269" s="284">
        <f>DX269*31</f>
        <v>3249.7299999999996</v>
      </c>
      <c r="DX269" s="77">
        <f t="shared" ref="DX269:DX271" si="337">SUM(DN269+DS269)</f>
        <v>104.82999999999998</v>
      </c>
      <c r="DY269" s="77">
        <f t="shared" ref="DY269:DY271" si="338">SUM(DX258:DX269)/12</f>
        <v>129.85416666666663</v>
      </c>
      <c r="ED269" s="201"/>
      <c r="EE269" s="201"/>
      <c r="EL269">
        <v>2019</v>
      </c>
      <c r="EM269" t="s">
        <v>710</v>
      </c>
      <c r="EN269" t="s">
        <v>841</v>
      </c>
      <c r="EO269">
        <v>189.56</v>
      </c>
    </row>
    <row r="270" spans="1:145" x14ac:dyDescent="0.25">
      <c r="A270" s="267">
        <v>2019</v>
      </c>
      <c r="B270" s="227" t="s">
        <v>711</v>
      </c>
      <c r="C270" s="234"/>
      <c r="D270" s="292">
        <v>193.35</v>
      </c>
      <c r="E270" s="230">
        <v>6.45</v>
      </c>
      <c r="F270" s="230">
        <v>6.75</v>
      </c>
      <c r="G270" s="229">
        <v>9.08</v>
      </c>
      <c r="H270" s="228"/>
      <c r="I270" s="292">
        <v>18.52</v>
      </c>
      <c r="J270" s="231">
        <v>0.62</v>
      </c>
      <c r="K270" s="230">
        <v>0.69</v>
      </c>
      <c r="L270" s="229">
        <v>0.73</v>
      </c>
      <c r="M270" s="228"/>
      <c r="N270" s="292">
        <v>84.15</v>
      </c>
      <c r="O270" s="231">
        <v>2.81</v>
      </c>
      <c r="P270" s="230">
        <v>3.36</v>
      </c>
      <c r="Q270" s="229">
        <v>5.18</v>
      </c>
      <c r="R270" s="228"/>
      <c r="S270" s="292">
        <v>178.46</v>
      </c>
      <c r="T270" s="231">
        <v>5.95</v>
      </c>
      <c r="U270" s="230">
        <v>7.86</v>
      </c>
      <c r="V270" s="229">
        <v>14.38</v>
      </c>
      <c r="W270" s="228"/>
      <c r="X270" s="292">
        <v>386.45</v>
      </c>
      <c r="Y270" s="231">
        <v>12.88</v>
      </c>
      <c r="Z270" s="230">
        <v>18.46</v>
      </c>
      <c r="AA270" s="229">
        <v>29.63</v>
      </c>
      <c r="AB270" s="228"/>
      <c r="AC270" s="309">
        <v>564.91</v>
      </c>
      <c r="AD270" s="232">
        <v>18.829999999999998</v>
      </c>
      <c r="AE270" s="232">
        <v>26.32</v>
      </c>
      <c r="AF270" s="233">
        <v>44.01</v>
      </c>
      <c r="AG270" s="228"/>
      <c r="AH270" s="312">
        <v>1869.44</v>
      </c>
      <c r="AI270" s="236">
        <v>62.31</v>
      </c>
      <c r="AJ270" s="237">
        <v>60.25</v>
      </c>
      <c r="AK270" s="235">
        <v>241.6</v>
      </c>
      <c r="AL270" s="228"/>
      <c r="AM270" s="292">
        <v>11.4</v>
      </c>
      <c r="AN270" s="231">
        <v>0.38</v>
      </c>
      <c r="AO270" s="230">
        <v>0.46</v>
      </c>
      <c r="AP270" s="229" t="s">
        <v>776</v>
      </c>
      <c r="AQ270" s="228"/>
      <c r="AR270" s="292">
        <v>127.5</v>
      </c>
      <c r="AS270" s="231">
        <v>4.25</v>
      </c>
      <c r="AT270" s="230">
        <v>5.12</v>
      </c>
      <c r="AU270" s="229" t="s">
        <v>776</v>
      </c>
      <c r="AV270" s="228"/>
      <c r="AW270" s="292">
        <v>16.8</v>
      </c>
      <c r="AX270" s="231">
        <v>0.56000000000000005</v>
      </c>
      <c r="AY270" s="230">
        <v>0.74</v>
      </c>
      <c r="AZ270" s="229" t="s">
        <v>776</v>
      </c>
      <c r="BA270" s="228"/>
      <c r="BB270" s="292">
        <v>13.2</v>
      </c>
      <c r="BC270" s="231">
        <v>0.44</v>
      </c>
      <c r="BD270" s="230">
        <v>0.9</v>
      </c>
      <c r="BE270" s="229" t="s">
        <v>776</v>
      </c>
      <c r="BF270" s="228"/>
      <c r="BG270" s="292">
        <v>26.1</v>
      </c>
      <c r="BH270" s="231">
        <v>0.87</v>
      </c>
      <c r="BI270" s="230">
        <v>1.06</v>
      </c>
      <c r="BJ270" s="229" t="s">
        <v>776</v>
      </c>
      <c r="BK270" s="228"/>
      <c r="BL270" s="312">
        <v>95.08</v>
      </c>
      <c r="BM270" s="236">
        <v>3.17</v>
      </c>
      <c r="BN270" s="237">
        <v>3.78</v>
      </c>
      <c r="BO270" s="235" t="s">
        <v>776</v>
      </c>
      <c r="BP270" s="228"/>
      <c r="BQ270" s="325">
        <v>11.7</v>
      </c>
      <c r="BR270" s="234">
        <v>0.39</v>
      </c>
      <c r="BS270" s="230">
        <v>0.45</v>
      </c>
      <c r="BT270" s="229" t="s">
        <v>776</v>
      </c>
      <c r="BU270" s="228"/>
      <c r="BV270" s="325">
        <v>12.9</v>
      </c>
      <c r="BW270" s="234">
        <v>0.43</v>
      </c>
      <c r="BX270" s="230">
        <v>0.34</v>
      </c>
      <c r="BY270" s="229" t="s">
        <v>776</v>
      </c>
      <c r="BZ270" s="228"/>
      <c r="CA270" s="292">
        <v>10.199999999999999</v>
      </c>
      <c r="CB270" s="231">
        <v>0.34</v>
      </c>
      <c r="CC270" s="230">
        <v>0.49</v>
      </c>
      <c r="CD270" s="229" t="s">
        <v>776</v>
      </c>
      <c r="CE270" s="228"/>
      <c r="CF270" s="292">
        <v>44.22</v>
      </c>
      <c r="CG270" s="231">
        <v>1.47</v>
      </c>
      <c r="CH270" s="230">
        <v>1.47</v>
      </c>
      <c r="CI270" s="229" t="s">
        <v>776</v>
      </c>
      <c r="CJ270" s="228"/>
      <c r="CK270" s="292">
        <v>123.05</v>
      </c>
      <c r="CL270" s="231">
        <v>4.0999999999999996</v>
      </c>
      <c r="CM270" s="230">
        <v>5.22</v>
      </c>
      <c r="CN270" s="229">
        <v>12.42</v>
      </c>
      <c r="CO270" s="228"/>
      <c r="CP270" s="292">
        <v>194.9</v>
      </c>
      <c r="CQ270" s="231">
        <v>6.5</v>
      </c>
      <c r="CR270" s="230">
        <v>7.43</v>
      </c>
      <c r="CS270" s="229">
        <v>14.1</v>
      </c>
      <c r="CT270" s="228"/>
      <c r="CU270" s="292">
        <v>155.55000000000001</v>
      </c>
      <c r="CV270" s="231">
        <v>5.19</v>
      </c>
      <c r="CW270" s="230">
        <v>6.09</v>
      </c>
      <c r="CX270" s="229">
        <v>13.72</v>
      </c>
      <c r="CY270" s="229"/>
      <c r="CZ270" s="281">
        <v>19.77</v>
      </c>
      <c r="DA270" s="231">
        <v>0.66</v>
      </c>
      <c r="DB270" s="228"/>
      <c r="DC270" s="292">
        <v>29.25</v>
      </c>
      <c r="DD270" s="231">
        <v>0.98</v>
      </c>
      <c r="DE270" s="230">
        <v>0.86</v>
      </c>
      <c r="DF270" s="229" t="s">
        <v>776</v>
      </c>
      <c r="DG270" s="228"/>
      <c r="DH270" s="284">
        <f t="shared" ref="DH270" si="339">DI270*30</f>
        <v>78.899999999999991</v>
      </c>
      <c r="DI270" s="1">
        <f t="shared" si="322"/>
        <v>2.63</v>
      </c>
      <c r="DJ270" s="1">
        <f t="shared" si="334"/>
        <v>2.75</v>
      </c>
      <c r="DM270" s="284">
        <f t="shared" ref="DM270" si="340">DN270*30</f>
        <v>2941.8000000000006</v>
      </c>
      <c r="DN270" s="77">
        <f t="shared" si="324"/>
        <v>98.060000000000016</v>
      </c>
      <c r="DO270" s="77">
        <f t="shared" si="336"/>
        <v>106.67</v>
      </c>
      <c r="DR270" s="284">
        <f t="shared" ref="DR270" si="341">DS270*30</f>
        <v>522.9</v>
      </c>
      <c r="DS270" s="77">
        <f t="shared" si="325"/>
        <v>17.43</v>
      </c>
      <c r="DT270" s="77" t="e">
        <f>SUM(CH270+CM270+CR270+CW270+#REF!)</f>
        <v>#REF!</v>
      </c>
      <c r="DU270" s="201"/>
      <c r="DV270" s="201"/>
      <c r="DW270" s="284">
        <f t="shared" ref="DW270" si="342">DX270*30</f>
        <v>3464.7000000000003</v>
      </c>
      <c r="DX270" s="77">
        <f t="shared" si="337"/>
        <v>115.49000000000001</v>
      </c>
      <c r="DY270" s="77">
        <f t="shared" si="338"/>
        <v>127.18416666666666</v>
      </c>
      <c r="ED270" s="201"/>
      <c r="EE270" s="201"/>
      <c r="EL270">
        <v>2019</v>
      </c>
      <c r="EM270" t="s">
        <v>711</v>
      </c>
      <c r="EN270" t="s">
        <v>841</v>
      </c>
      <c r="EO270">
        <v>193.35</v>
      </c>
    </row>
    <row r="271" spans="1:145" x14ac:dyDescent="0.25">
      <c r="A271" s="267">
        <v>2019</v>
      </c>
      <c r="B271" s="227" t="s">
        <v>712</v>
      </c>
      <c r="C271" s="234"/>
      <c r="D271" s="292">
        <v>203.93</v>
      </c>
      <c r="E271" s="230">
        <v>6.58</v>
      </c>
      <c r="F271" s="230">
        <v>6.74</v>
      </c>
      <c r="G271" s="229">
        <v>12.24</v>
      </c>
      <c r="H271" s="228"/>
      <c r="I271" s="292">
        <v>13.7</v>
      </c>
      <c r="J271" s="231">
        <v>0.44</v>
      </c>
      <c r="K271" s="230">
        <v>0.66</v>
      </c>
      <c r="L271" s="229">
        <v>0.75</v>
      </c>
      <c r="M271" s="228"/>
      <c r="N271" s="292">
        <v>87.51</v>
      </c>
      <c r="O271" s="231">
        <v>2.82</v>
      </c>
      <c r="P271" s="230">
        <v>3.28</v>
      </c>
      <c r="Q271" s="229">
        <v>4.25</v>
      </c>
      <c r="R271" s="228"/>
      <c r="S271" s="292">
        <v>193.62</v>
      </c>
      <c r="T271" s="231">
        <v>6.25</v>
      </c>
      <c r="U271" s="230">
        <v>7.58</v>
      </c>
      <c r="V271" s="229">
        <v>9.25</v>
      </c>
      <c r="W271" s="228"/>
      <c r="X271" s="292">
        <v>388.34</v>
      </c>
      <c r="Y271" s="231">
        <v>12.53</v>
      </c>
      <c r="Z271" s="230">
        <v>17.649999999999999</v>
      </c>
      <c r="AA271" s="229">
        <v>20.38</v>
      </c>
      <c r="AB271" s="228"/>
      <c r="AC271" s="309">
        <v>581.96</v>
      </c>
      <c r="AD271" s="232">
        <v>18.77</v>
      </c>
      <c r="AE271" s="232">
        <v>25.23</v>
      </c>
      <c r="AF271" s="233">
        <v>29.63</v>
      </c>
      <c r="AG271" s="228"/>
      <c r="AH271" s="312">
        <v>1666.75</v>
      </c>
      <c r="AI271" s="236">
        <v>53.77</v>
      </c>
      <c r="AJ271" s="237">
        <v>58.8</v>
      </c>
      <c r="AK271" s="235">
        <v>170.7</v>
      </c>
      <c r="AL271" s="228"/>
      <c r="AM271" s="292">
        <v>13.95</v>
      </c>
      <c r="AN271" s="231">
        <v>0.45</v>
      </c>
      <c r="AO271" s="230">
        <v>0.46</v>
      </c>
      <c r="AP271" s="229" t="s">
        <v>776</v>
      </c>
      <c r="AQ271" s="228"/>
      <c r="AR271" s="292">
        <v>148.80000000000001</v>
      </c>
      <c r="AS271" s="231">
        <v>4.8</v>
      </c>
      <c r="AT271" s="230">
        <v>5.0199999999999996</v>
      </c>
      <c r="AU271" s="229" t="s">
        <v>776</v>
      </c>
      <c r="AV271" s="228"/>
      <c r="AW271" s="292">
        <v>19.84</v>
      </c>
      <c r="AX271" s="231">
        <v>0.64</v>
      </c>
      <c r="AY271" s="230">
        <v>0.71</v>
      </c>
      <c r="AZ271" s="229" t="s">
        <v>776</v>
      </c>
      <c r="BA271" s="228"/>
      <c r="BB271" s="292">
        <v>14.88</v>
      </c>
      <c r="BC271" s="231">
        <v>0.48</v>
      </c>
      <c r="BD271" s="230">
        <v>0.83</v>
      </c>
      <c r="BE271" s="229" t="s">
        <v>776</v>
      </c>
      <c r="BF271" s="228"/>
      <c r="BG271" s="292">
        <v>30.07</v>
      </c>
      <c r="BH271" s="231">
        <v>0.97</v>
      </c>
      <c r="BI271" s="230">
        <v>1.05</v>
      </c>
      <c r="BJ271" s="229" t="s">
        <v>776</v>
      </c>
      <c r="BK271" s="228"/>
      <c r="BL271" s="312">
        <v>98.25</v>
      </c>
      <c r="BM271" s="236">
        <v>3.17</v>
      </c>
      <c r="BN271" s="237">
        <v>3.72</v>
      </c>
      <c r="BO271" s="235" t="s">
        <v>776</v>
      </c>
      <c r="BP271" s="228"/>
      <c r="BQ271" s="325">
        <v>12.09</v>
      </c>
      <c r="BR271" s="234">
        <v>0.39</v>
      </c>
      <c r="BS271" s="230">
        <v>0.44</v>
      </c>
      <c r="BT271" s="229" t="s">
        <v>776</v>
      </c>
      <c r="BU271" s="228"/>
      <c r="BV271" s="325">
        <v>14.88</v>
      </c>
      <c r="BW271" s="234">
        <v>0.48</v>
      </c>
      <c r="BX271" s="230">
        <v>0.35</v>
      </c>
      <c r="BY271" s="229" t="s">
        <v>776</v>
      </c>
      <c r="BZ271" s="228"/>
      <c r="CA271" s="292">
        <v>10.85</v>
      </c>
      <c r="CB271" s="231">
        <v>0.35</v>
      </c>
      <c r="CC271" s="230">
        <v>0.47</v>
      </c>
      <c r="CD271" s="229" t="s">
        <v>776</v>
      </c>
      <c r="CE271" s="228"/>
      <c r="CF271" s="292">
        <v>45.69</v>
      </c>
      <c r="CG271" s="231">
        <v>1.47</v>
      </c>
      <c r="CH271" s="230">
        <v>1.47</v>
      </c>
      <c r="CI271" s="229" t="s">
        <v>776</v>
      </c>
      <c r="CJ271" s="228"/>
      <c r="CK271" s="292">
        <v>131.81</v>
      </c>
      <c r="CL271" s="231">
        <v>4.25</v>
      </c>
      <c r="CM271" s="230">
        <v>5.05</v>
      </c>
      <c r="CN271" s="229">
        <v>6.46</v>
      </c>
      <c r="CO271" s="228"/>
      <c r="CP271" s="292">
        <v>192.77</v>
      </c>
      <c r="CQ271" s="231">
        <v>6.22</v>
      </c>
      <c r="CR271" s="230">
        <v>7.3</v>
      </c>
      <c r="CS271" s="229">
        <v>9.6999999999999993</v>
      </c>
      <c r="CT271" s="228"/>
      <c r="CU271" s="292">
        <v>165.41</v>
      </c>
      <c r="CV271" s="231">
        <v>5.34</v>
      </c>
      <c r="CW271" s="230">
        <v>5.96</v>
      </c>
      <c r="CX271" s="229">
        <v>7.5</v>
      </c>
      <c r="CY271" s="229"/>
      <c r="CZ271" s="281">
        <v>23.29</v>
      </c>
      <c r="DA271" s="231">
        <v>0.75</v>
      </c>
      <c r="DB271" s="228"/>
      <c r="DC271" s="292">
        <v>30.22</v>
      </c>
      <c r="DD271" s="231">
        <v>0.97</v>
      </c>
      <c r="DE271" s="230">
        <v>0.87</v>
      </c>
      <c r="DF271" s="229" t="s">
        <v>776</v>
      </c>
      <c r="DG271" s="228"/>
      <c r="DH271" s="284">
        <f>DI271*31</f>
        <v>83.39</v>
      </c>
      <c r="DI271" s="1">
        <f t="shared" si="322"/>
        <v>2.69</v>
      </c>
      <c r="DJ271" s="1">
        <f t="shared" si="334"/>
        <v>2.73</v>
      </c>
      <c r="DM271" s="284">
        <f t="shared" ref="DM271:DM272" si="343">DN271*31</f>
        <v>2796.2000000000003</v>
      </c>
      <c r="DN271" s="77">
        <f t="shared" si="324"/>
        <v>90.2</v>
      </c>
      <c r="DO271" s="77">
        <f t="shared" si="336"/>
        <v>103.755</v>
      </c>
      <c r="DR271" s="284">
        <f>DS271*31</f>
        <v>543.42999999999995</v>
      </c>
      <c r="DS271" s="77">
        <f t="shared" si="325"/>
        <v>17.529999999999998</v>
      </c>
      <c r="DT271" s="77" t="e">
        <f>SUM(CH271+CM271+CR271+CW271+#REF!)</f>
        <v>#REF!</v>
      </c>
      <c r="DU271" s="201"/>
      <c r="DV271" s="201"/>
      <c r="DW271" s="284">
        <f>DX271*31</f>
        <v>3339.63</v>
      </c>
      <c r="DX271" s="77">
        <f t="shared" si="337"/>
        <v>107.73</v>
      </c>
      <c r="DY271" s="77">
        <f t="shared" si="338"/>
        <v>123.8325</v>
      </c>
      <c r="ED271" s="201"/>
      <c r="EE271" s="201"/>
      <c r="EL271">
        <v>2019</v>
      </c>
      <c r="EM271" t="s">
        <v>712</v>
      </c>
      <c r="EN271" t="s">
        <v>841</v>
      </c>
      <c r="EO271">
        <v>203.93</v>
      </c>
    </row>
    <row r="272" spans="1:145" x14ac:dyDescent="0.25">
      <c r="A272" s="267">
        <v>2020</v>
      </c>
      <c r="B272" s="238" t="s">
        <v>719</v>
      </c>
      <c r="C272" s="238"/>
      <c r="D272" s="290">
        <v>193.36</v>
      </c>
      <c r="E272" s="199">
        <v>6.24</v>
      </c>
      <c r="F272" s="199">
        <v>6.65</v>
      </c>
      <c r="G272" s="198">
        <v>9.2799999999999994</v>
      </c>
      <c r="H272" s="197"/>
      <c r="I272" s="290">
        <v>19.989999999999998</v>
      </c>
      <c r="J272" s="137">
        <v>0.64</v>
      </c>
      <c r="K272" s="199">
        <v>0.65</v>
      </c>
      <c r="L272" s="198">
        <v>0.75</v>
      </c>
      <c r="M272" s="197"/>
      <c r="N272" s="290">
        <v>91.94</v>
      </c>
      <c r="O272" s="137">
        <v>2.97</v>
      </c>
      <c r="P272" s="199">
        <v>3.2</v>
      </c>
      <c r="Q272" s="198">
        <v>5.64</v>
      </c>
      <c r="R272" s="197"/>
      <c r="S272" s="290">
        <v>210.44</v>
      </c>
      <c r="T272" s="137">
        <v>6.79</v>
      </c>
      <c r="U272" s="199">
        <v>7.33</v>
      </c>
      <c r="V272" s="198">
        <v>12.28</v>
      </c>
      <c r="W272" s="197"/>
      <c r="X272" s="290">
        <v>407.42</v>
      </c>
      <c r="Y272" s="137">
        <v>13.14</v>
      </c>
      <c r="Z272" s="199">
        <v>16.96</v>
      </c>
      <c r="AA272" s="198">
        <v>25.66</v>
      </c>
      <c r="AB272" s="197"/>
      <c r="AC272" s="307">
        <v>617.86</v>
      </c>
      <c r="AD272" s="174">
        <v>19.93</v>
      </c>
      <c r="AE272" s="174">
        <v>24.3</v>
      </c>
      <c r="AF272" s="200">
        <v>37.94</v>
      </c>
      <c r="AG272" s="197"/>
      <c r="AH272" s="279">
        <v>1683.72</v>
      </c>
      <c r="AI272" s="239">
        <v>54.31</v>
      </c>
      <c r="AJ272" s="240">
        <v>57.46</v>
      </c>
      <c r="AK272" s="202">
        <v>157.6</v>
      </c>
      <c r="AL272" s="197"/>
      <c r="AM272" s="290">
        <v>24.8</v>
      </c>
      <c r="AN272" s="137">
        <v>0.8</v>
      </c>
      <c r="AO272" s="199">
        <v>0.49</v>
      </c>
      <c r="AP272" s="198" t="s">
        <v>776</v>
      </c>
      <c r="AQ272" s="197"/>
      <c r="AR272" s="290">
        <v>190.34</v>
      </c>
      <c r="AS272" s="137">
        <v>6.14</v>
      </c>
      <c r="AT272" s="199">
        <v>5.12</v>
      </c>
      <c r="AU272" s="198" t="s">
        <v>776</v>
      </c>
      <c r="AV272" s="197"/>
      <c r="AW272" s="290">
        <v>22.32</v>
      </c>
      <c r="AX272" s="137">
        <v>0.72</v>
      </c>
      <c r="AY272" s="199">
        <v>0.7</v>
      </c>
      <c r="AZ272" s="198" t="s">
        <v>776</v>
      </c>
      <c r="BA272" s="197"/>
      <c r="BB272" s="290">
        <v>15.81</v>
      </c>
      <c r="BC272" s="137">
        <v>0.51</v>
      </c>
      <c r="BD272" s="199">
        <v>0.77</v>
      </c>
      <c r="BE272" s="198" t="s">
        <v>776</v>
      </c>
      <c r="BF272" s="197"/>
      <c r="BG272" s="290">
        <v>31.31</v>
      </c>
      <c r="BH272" s="137">
        <v>1.01</v>
      </c>
      <c r="BI272" s="199">
        <v>1.05</v>
      </c>
      <c r="BJ272" s="198" t="s">
        <v>776</v>
      </c>
      <c r="BK272" s="197"/>
      <c r="BL272" s="279">
        <v>98.25</v>
      </c>
      <c r="BM272" s="239">
        <v>3.17</v>
      </c>
      <c r="BN272" s="240">
        <v>3.66</v>
      </c>
      <c r="BO272" s="202" t="s">
        <v>776</v>
      </c>
      <c r="BP272" s="197"/>
      <c r="BQ272" s="296">
        <v>12.4</v>
      </c>
      <c r="BR272" s="201">
        <v>0.4</v>
      </c>
      <c r="BS272" s="199">
        <v>0.43</v>
      </c>
      <c r="BT272" s="198" t="s">
        <v>776</v>
      </c>
      <c r="BU272" s="197"/>
      <c r="BV272" s="296">
        <v>19.84</v>
      </c>
      <c r="BW272" s="201">
        <v>0.64</v>
      </c>
      <c r="BX272" s="199">
        <v>0.38</v>
      </c>
      <c r="BY272" s="198" t="s">
        <v>776</v>
      </c>
      <c r="BZ272" s="197"/>
      <c r="CA272" s="290">
        <v>11.78</v>
      </c>
      <c r="CB272" s="137">
        <v>0.38</v>
      </c>
      <c r="CC272" s="199">
        <v>0.46</v>
      </c>
      <c r="CD272" s="198" t="s">
        <v>776</v>
      </c>
      <c r="CE272" s="197"/>
      <c r="CF272" s="290">
        <v>45.69</v>
      </c>
      <c r="CG272" s="137">
        <v>1.47</v>
      </c>
      <c r="CH272" s="199">
        <v>1.47</v>
      </c>
      <c r="CI272" s="198" t="s">
        <v>776</v>
      </c>
      <c r="CJ272" s="197"/>
      <c r="CK272" s="290">
        <v>167.19</v>
      </c>
      <c r="CL272" s="137">
        <v>5.39</v>
      </c>
      <c r="CM272" s="199">
        <v>5.0199999999999996</v>
      </c>
      <c r="CN272" s="198">
        <v>11.39</v>
      </c>
      <c r="CO272" s="197"/>
      <c r="CP272" s="290">
        <v>214.35</v>
      </c>
      <c r="CQ272" s="137">
        <v>6.91</v>
      </c>
      <c r="CR272" s="199">
        <v>7.16</v>
      </c>
      <c r="CS272" s="198">
        <v>10.32</v>
      </c>
      <c r="CT272" s="197"/>
      <c r="CU272" s="290">
        <v>169.73</v>
      </c>
      <c r="CV272" s="137">
        <v>5.48</v>
      </c>
      <c r="CW272" s="199">
        <v>5.83</v>
      </c>
      <c r="CX272" s="198">
        <v>8.49</v>
      </c>
      <c r="CY272" s="198"/>
      <c r="CZ272" s="279">
        <v>21.17</v>
      </c>
      <c r="DA272" s="137">
        <v>0.68</v>
      </c>
      <c r="DB272" s="197"/>
      <c r="DC272" s="290">
        <v>30.22</v>
      </c>
      <c r="DD272" s="137">
        <v>0.97</v>
      </c>
      <c r="DE272" s="199">
        <v>0.88</v>
      </c>
      <c r="DF272" s="198" t="s">
        <v>776</v>
      </c>
      <c r="DG272" s="228"/>
      <c r="DH272" s="284">
        <f>DI272*31</f>
        <v>89.589999999999989</v>
      </c>
      <c r="DI272" s="1">
        <f t="shared" si="322"/>
        <v>2.8899999999999997</v>
      </c>
      <c r="DJ272" s="1">
        <f t="shared" si="334"/>
        <v>2.7433333333333336</v>
      </c>
      <c r="DM272" s="284">
        <f t="shared" si="343"/>
        <v>2900.05</v>
      </c>
      <c r="DN272" s="77">
        <f t="shared" si="324"/>
        <v>93.550000000000011</v>
      </c>
      <c r="DO272" s="77">
        <f t="shared" ref="DO272" si="344">SUM(DN261:DN272)/12</f>
        <v>101.28249999999998</v>
      </c>
      <c r="DR272" s="284">
        <f t="shared" ref="DR272" si="345">DS272*31</f>
        <v>602.33000000000004</v>
      </c>
      <c r="DS272" s="77">
        <f t="shared" si="325"/>
        <v>19.43</v>
      </c>
      <c r="DT272" s="77" t="e">
        <f>SUM(CH272+CM272+CR272+CW272+#REF!)</f>
        <v>#REF!</v>
      </c>
      <c r="DU272" s="201"/>
      <c r="DV272" s="201"/>
      <c r="DW272" s="284">
        <f>DX272*31</f>
        <v>3502.3800000000006</v>
      </c>
      <c r="DX272" s="77">
        <f t="shared" ref="DX272" si="346">SUM(DN272+DS272)</f>
        <v>112.98000000000002</v>
      </c>
      <c r="DY272" s="77">
        <f t="shared" ref="DY272" si="347">SUM(DX261:DX272)/12</f>
        <v>121.02583333333332</v>
      </c>
      <c r="ED272" s="201"/>
      <c r="EE272" s="201"/>
      <c r="EL272">
        <v>2020</v>
      </c>
      <c r="EM272" t="s">
        <v>719</v>
      </c>
      <c r="EN272" t="s">
        <v>841</v>
      </c>
      <c r="EO272">
        <v>193.36</v>
      </c>
    </row>
    <row r="273" spans="1:145" x14ac:dyDescent="0.25">
      <c r="A273" s="267">
        <v>2020</v>
      </c>
      <c r="B273" s="238" t="s">
        <v>713</v>
      </c>
      <c r="C273" s="238"/>
      <c r="D273" s="290">
        <v>192.65</v>
      </c>
      <c r="E273" s="199">
        <v>6.64</v>
      </c>
      <c r="F273" s="199">
        <v>6.58</v>
      </c>
      <c r="G273" s="198">
        <v>9.73</v>
      </c>
      <c r="H273" s="197"/>
      <c r="I273" s="290">
        <v>13.55</v>
      </c>
      <c r="J273" s="137">
        <v>0.47</v>
      </c>
      <c r="K273" s="199">
        <v>0.62</v>
      </c>
      <c r="L273" s="198">
        <v>0.79</v>
      </c>
      <c r="M273" s="197"/>
      <c r="N273" s="290">
        <v>91.72</v>
      </c>
      <c r="O273" s="137">
        <v>3.16</v>
      </c>
      <c r="P273" s="199">
        <v>3.15</v>
      </c>
      <c r="Q273" s="198">
        <v>7.39</v>
      </c>
      <c r="R273" s="197"/>
      <c r="S273" s="290">
        <v>211.47</v>
      </c>
      <c r="T273" s="137">
        <v>7.29</v>
      </c>
      <c r="U273" s="199">
        <v>7.11</v>
      </c>
      <c r="V273" s="198">
        <v>12.44</v>
      </c>
      <c r="W273" s="197"/>
      <c r="X273" s="290">
        <v>484.65</v>
      </c>
      <c r="Y273" s="137">
        <v>16.71</v>
      </c>
      <c r="Z273" s="199">
        <v>16.48</v>
      </c>
      <c r="AA273" s="198">
        <v>25.24</v>
      </c>
      <c r="AB273" s="197"/>
      <c r="AC273" s="307">
        <v>696.12</v>
      </c>
      <c r="AD273" s="174">
        <v>24</v>
      </c>
      <c r="AE273" s="174">
        <v>23.59</v>
      </c>
      <c r="AF273" s="200">
        <v>37.68</v>
      </c>
      <c r="AG273" s="197"/>
      <c r="AH273" s="279">
        <v>1731.16</v>
      </c>
      <c r="AI273" s="239">
        <v>59.7</v>
      </c>
      <c r="AJ273" s="240">
        <v>56.56</v>
      </c>
      <c r="AK273" s="202">
        <v>147.9</v>
      </c>
      <c r="AL273" s="197"/>
      <c r="AM273" s="290">
        <v>6.09</v>
      </c>
      <c r="AN273" s="137">
        <v>0.21</v>
      </c>
      <c r="AO273" s="199">
        <v>0.45</v>
      </c>
      <c r="AP273" s="198" t="s">
        <v>776</v>
      </c>
      <c r="AQ273" s="197"/>
      <c r="AR273" s="290">
        <v>140.07</v>
      </c>
      <c r="AS273" s="137">
        <v>4.83</v>
      </c>
      <c r="AT273" s="199">
        <v>5.08</v>
      </c>
      <c r="AU273" s="198" t="s">
        <v>776</v>
      </c>
      <c r="AV273" s="197"/>
      <c r="AW273" s="290">
        <v>17.98</v>
      </c>
      <c r="AX273" s="137">
        <v>0.62</v>
      </c>
      <c r="AY273" s="199">
        <v>0.68</v>
      </c>
      <c r="AZ273" s="198" t="s">
        <v>776</v>
      </c>
      <c r="BA273" s="197"/>
      <c r="BB273" s="290">
        <v>13.92</v>
      </c>
      <c r="BC273" s="137">
        <v>0.48</v>
      </c>
      <c r="BD273" s="199">
        <v>0.71</v>
      </c>
      <c r="BE273" s="198" t="s">
        <v>776</v>
      </c>
      <c r="BF273" s="197"/>
      <c r="BG273" s="290">
        <v>29.29</v>
      </c>
      <c r="BH273" s="137">
        <v>1.01</v>
      </c>
      <c r="BI273" s="199">
        <v>1.04</v>
      </c>
      <c r="BJ273" s="198" t="s">
        <v>776</v>
      </c>
      <c r="BK273" s="197"/>
      <c r="BL273" s="279">
        <v>91.91</v>
      </c>
      <c r="BM273" s="239">
        <v>3.17</v>
      </c>
      <c r="BN273" s="240">
        <v>3.6</v>
      </c>
      <c r="BO273" s="202" t="s">
        <v>776</v>
      </c>
      <c r="BP273" s="197"/>
      <c r="BQ273" s="296">
        <v>10.73</v>
      </c>
      <c r="BR273" s="201">
        <v>0.37</v>
      </c>
      <c r="BS273" s="199">
        <v>0.42</v>
      </c>
      <c r="BT273" s="198" t="s">
        <v>776</v>
      </c>
      <c r="BU273" s="197"/>
      <c r="BV273" s="296">
        <v>13.05</v>
      </c>
      <c r="BW273" s="201">
        <v>0.45</v>
      </c>
      <c r="BX273" s="199">
        <v>0.39</v>
      </c>
      <c r="BY273" s="198" t="s">
        <v>776</v>
      </c>
      <c r="BZ273" s="197"/>
      <c r="CA273" s="290">
        <v>9.86</v>
      </c>
      <c r="CB273" s="137">
        <v>0.34</v>
      </c>
      <c r="CC273" s="199">
        <v>0.44</v>
      </c>
      <c r="CD273" s="198" t="s">
        <v>776</v>
      </c>
      <c r="CE273" s="197"/>
      <c r="CF273" s="290">
        <v>42.74</v>
      </c>
      <c r="CG273" s="137">
        <v>1.47</v>
      </c>
      <c r="CH273" s="199">
        <v>1.47</v>
      </c>
      <c r="CI273" s="198" t="s">
        <v>776</v>
      </c>
      <c r="CJ273" s="197"/>
      <c r="CK273" s="290">
        <v>161.19</v>
      </c>
      <c r="CL273" s="137">
        <v>5.56</v>
      </c>
      <c r="CM273" s="199">
        <v>4.96</v>
      </c>
      <c r="CN273" s="198">
        <v>9.9700000000000006</v>
      </c>
      <c r="CO273" s="197"/>
      <c r="CP273" s="290">
        <v>209.56</v>
      </c>
      <c r="CQ273" s="137">
        <v>7.23</v>
      </c>
      <c r="CR273" s="199">
        <v>7.08</v>
      </c>
      <c r="CS273" s="198">
        <v>10.56</v>
      </c>
      <c r="CT273" s="197"/>
      <c r="CU273" s="290">
        <v>163.61000000000001</v>
      </c>
      <c r="CV273" s="137">
        <v>5.64</v>
      </c>
      <c r="CW273" s="199">
        <v>5.73</v>
      </c>
      <c r="CX273" s="198">
        <v>8.9700000000000006</v>
      </c>
      <c r="CY273" s="198"/>
      <c r="CZ273" s="279">
        <v>26.13</v>
      </c>
      <c r="DA273" s="137">
        <v>0.9</v>
      </c>
      <c r="DB273" s="197"/>
      <c r="DC273" s="290">
        <v>28.27</v>
      </c>
      <c r="DD273" s="137">
        <v>0.97</v>
      </c>
      <c r="DE273" s="199">
        <v>0.9</v>
      </c>
      <c r="DF273" s="198" t="s">
        <v>776</v>
      </c>
      <c r="DG273" s="228"/>
      <c r="DH273" s="284">
        <f>DI273*29</f>
        <v>76.27</v>
      </c>
      <c r="DI273" s="1">
        <v>2.63</v>
      </c>
      <c r="DJ273" s="1">
        <v>2.7316666666666669</v>
      </c>
      <c r="DM273" s="284">
        <f>DN273*29</f>
        <v>2948.1400000000003</v>
      </c>
      <c r="DN273" s="77">
        <v>101.66000000000001</v>
      </c>
      <c r="DO273" s="77">
        <v>99.31750000000001</v>
      </c>
      <c r="DR273" s="284">
        <v>629.29999999999995</v>
      </c>
      <c r="DS273" s="77">
        <v>20.299999999999997</v>
      </c>
      <c r="DT273" s="77">
        <v>20.07</v>
      </c>
      <c r="DU273" s="201"/>
      <c r="DV273" s="201"/>
      <c r="DW273" s="284">
        <v>3780.76</v>
      </c>
      <c r="DX273" s="77">
        <v>121.96000000000001</v>
      </c>
      <c r="DY273" s="77">
        <v>118.80583333333334</v>
      </c>
      <c r="ED273" s="201"/>
      <c r="EE273" s="201"/>
      <c r="EL273">
        <v>2020</v>
      </c>
      <c r="EM273" t="s">
        <v>713</v>
      </c>
      <c r="EN273" t="s">
        <v>841</v>
      </c>
      <c r="EO273">
        <v>192.65</v>
      </c>
    </row>
    <row r="274" spans="1:145" x14ac:dyDescent="0.25">
      <c r="A274" s="267">
        <v>2020</v>
      </c>
      <c r="B274" s="238" t="s">
        <v>714</v>
      </c>
      <c r="C274" s="238"/>
      <c r="D274" s="291">
        <v>189.03</v>
      </c>
      <c r="E274" s="206">
        <v>6.1</v>
      </c>
      <c r="F274" s="206">
        <v>6.45</v>
      </c>
      <c r="G274" s="205">
        <v>7.96</v>
      </c>
      <c r="H274" s="204"/>
      <c r="I274" s="291">
        <v>13.47</v>
      </c>
      <c r="J274" s="207">
        <v>0.43</v>
      </c>
      <c r="K274" s="206">
        <v>0.59</v>
      </c>
      <c r="L274" s="205">
        <v>0.7</v>
      </c>
      <c r="M274" s="204"/>
      <c r="N274" s="291">
        <v>91.5</v>
      </c>
      <c r="O274" s="207">
        <v>2.95</v>
      </c>
      <c r="P274" s="206">
        <v>3.07</v>
      </c>
      <c r="Q274" s="205">
        <v>4.67</v>
      </c>
      <c r="R274" s="204"/>
      <c r="S274" s="291">
        <v>215.48</v>
      </c>
      <c r="T274" s="207">
        <v>6.95</v>
      </c>
      <c r="U274" s="206">
        <v>6.81</v>
      </c>
      <c r="V274" s="205">
        <v>10.24</v>
      </c>
      <c r="W274" s="204"/>
      <c r="X274" s="291">
        <v>566.9</v>
      </c>
      <c r="Y274" s="207">
        <v>18.29</v>
      </c>
      <c r="Z274" s="206">
        <v>16</v>
      </c>
      <c r="AA274" s="205">
        <v>25.46</v>
      </c>
      <c r="AB274" s="204"/>
      <c r="AC274" s="308">
        <v>782.38</v>
      </c>
      <c r="AD274" s="208">
        <v>25.24</v>
      </c>
      <c r="AE274" s="208">
        <v>22.81</v>
      </c>
      <c r="AF274" s="209">
        <v>35.700000000000003</v>
      </c>
      <c r="AG274" s="204"/>
      <c r="AH274" s="291">
        <v>1686.93</v>
      </c>
      <c r="AI274" s="208">
        <v>54.42</v>
      </c>
      <c r="AJ274" s="206">
        <v>55.2</v>
      </c>
      <c r="AK274" s="205">
        <v>147.4</v>
      </c>
      <c r="AL274" s="204"/>
      <c r="AM274" s="291">
        <v>11.78</v>
      </c>
      <c r="AN274" s="207">
        <v>0.38</v>
      </c>
      <c r="AO274" s="206">
        <v>0.43</v>
      </c>
      <c r="AP274" s="205" t="s">
        <v>776</v>
      </c>
      <c r="AQ274" s="204"/>
      <c r="AR274" s="291">
        <v>147.87</v>
      </c>
      <c r="AS274" s="208">
        <v>4.7699999999999996</v>
      </c>
      <c r="AT274" s="206">
        <v>4.96</v>
      </c>
      <c r="AU274" s="205" t="s">
        <v>776</v>
      </c>
      <c r="AV274" s="204"/>
      <c r="AW274" s="291">
        <v>27.59</v>
      </c>
      <c r="AX274" s="207">
        <v>0.89</v>
      </c>
      <c r="AY274" s="206">
        <v>0.68</v>
      </c>
      <c r="AZ274" s="205" t="s">
        <v>776</v>
      </c>
      <c r="BA274" s="204"/>
      <c r="BB274" s="291">
        <v>16.739999999999998</v>
      </c>
      <c r="BC274" s="207">
        <v>0.54</v>
      </c>
      <c r="BD274" s="206">
        <v>0.65</v>
      </c>
      <c r="BE274" s="205" t="s">
        <v>776</v>
      </c>
      <c r="BF274" s="204"/>
      <c r="BG274" s="291">
        <v>62.62</v>
      </c>
      <c r="BH274" s="207">
        <v>2.02</v>
      </c>
      <c r="BI274" s="206">
        <v>1.1200000000000001</v>
      </c>
      <c r="BJ274" s="205" t="s">
        <v>776</v>
      </c>
      <c r="BK274" s="204"/>
      <c r="BL274" s="291">
        <v>98.25</v>
      </c>
      <c r="BM274" s="207">
        <v>3.17</v>
      </c>
      <c r="BN274" s="206">
        <v>3.54</v>
      </c>
      <c r="BO274" s="205" t="s">
        <v>776</v>
      </c>
      <c r="BP274" s="204"/>
      <c r="BQ274" s="324">
        <v>12.71</v>
      </c>
      <c r="BR274" s="210">
        <v>0.41</v>
      </c>
      <c r="BS274" s="206">
        <v>0.42</v>
      </c>
      <c r="BT274" s="205" t="s">
        <v>776</v>
      </c>
      <c r="BU274" s="204"/>
      <c r="BV274" s="327">
        <v>14.26</v>
      </c>
      <c r="BW274" s="210">
        <v>0.46</v>
      </c>
      <c r="BX274" s="206">
        <v>0.41</v>
      </c>
      <c r="BY274" s="205" t="s">
        <v>776</v>
      </c>
      <c r="BZ274" s="204"/>
      <c r="CA274" s="291">
        <v>11.78</v>
      </c>
      <c r="CB274" s="207">
        <v>0.38</v>
      </c>
      <c r="CC274" s="206">
        <v>0.43</v>
      </c>
      <c r="CD274" s="205" t="s">
        <v>776</v>
      </c>
      <c r="CE274" s="204"/>
      <c r="CF274" s="291">
        <v>45.69</v>
      </c>
      <c r="CG274" s="207">
        <v>1.47</v>
      </c>
      <c r="CH274" s="206">
        <v>1.47</v>
      </c>
      <c r="CI274" s="205" t="s">
        <v>776</v>
      </c>
      <c r="CJ274" s="204"/>
      <c r="CK274" s="291">
        <v>149.72</v>
      </c>
      <c r="CL274" s="206">
        <v>4.83</v>
      </c>
      <c r="CM274" s="206">
        <v>4.7699999999999996</v>
      </c>
      <c r="CN274" s="205">
        <v>8.9600000000000009</v>
      </c>
      <c r="CO274" s="204"/>
      <c r="CP274" s="291">
        <v>216.3</v>
      </c>
      <c r="CQ274" s="206">
        <v>6.98</v>
      </c>
      <c r="CR274" s="206">
        <v>6.99</v>
      </c>
      <c r="CS274" s="205">
        <v>10.82</v>
      </c>
      <c r="CT274" s="204"/>
      <c r="CU274" s="291">
        <v>173.33</v>
      </c>
      <c r="CV274" s="207">
        <v>5.59</v>
      </c>
      <c r="CW274" s="206">
        <v>5.61</v>
      </c>
      <c r="CX274" s="205">
        <v>7.91</v>
      </c>
      <c r="CY274" s="205"/>
      <c r="CZ274" s="280">
        <v>26.62</v>
      </c>
      <c r="DA274" s="207">
        <v>0.86</v>
      </c>
      <c r="DB274" s="204"/>
      <c r="DC274" s="291">
        <v>30.22</v>
      </c>
      <c r="DD274" s="207">
        <v>0.97</v>
      </c>
      <c r="DE274" s="206">
        <v>0.91</v>
      </c>
      <c r="DF274" s="205" t="s">
        <v>776</v>
      </c>
      <c r="DG274" s="204"/>
      <c r="DH274" s="284">
        <f>DI274*31</f>
        <v>84.32</v>
      </c>
      <c r="DI274" s="1">
        <f t="shared" ref="DI274:DI316" si="348">SUM(BR274+BW274+CB274+CG274)</f>
        <v>2.7199999999999998</v>
      </c>
      <c r="DJ274" s="1">
        <f t="shared" ref="DJ274" si="349">SUM(DI263:DI274)/12</f>
        <v>2.7283333333333335</v>
      </c>
      <c r="DM274" s="284">
        <f t="shared" ref="DM274" si="350">DN274*31</f>
        <v>3043.89</v>
      </c>
      <c r="DN274" s="77">
        <f t="shared" ref="DN274:DN316" si="351">SUM(E274+J274+O274+AD274+AI274+AN274+AS274+AX274+BC274+BH274+BM274-DI274)</f>
        <v>98.19</v>
      </c>
      <c r="DO274" s="77">
        <f t="shared" ref="DO274" si="352">SUM(DN263:DN274)/12</f>
        <v>96.763333333333335</v>
      </c>
      <c r="DR274" s="284">
        <f t="shared" ref="DR274" si="353">DS274*31</f>
        <v>596.12999999999988</v>
      </c>
      <c r="DS274" s="77">
        <f t="shared" ref="DS274:DS316" si="354">SUM(CL274+CQ274+CV274+DA274+DD274)</f>
        <v>19.229999999999997</v>
      </c>
      <c r="DT274" s="77" t="e">
        <f>SUM(CH274+CM274+CR274+CW274+#REF!)</f>
        <v>#REF!</v>
      </c>
      <c r="DU274" s="201"/>
      <c r="DV274" s="201"/>
      <c r="DW274" s="284">
        <f>DX274*30</f>
        <v>3522.5999999999995</v>
      </c>
      <c r="DX274" s="77">
        <f t="shared" ref="DX274" si="355">SUM(DN274+DS274)</f>
        <v>117.41999999999999</v>
      </c>
      <c r="DY274" s="77">
        <f t="shared" ref="DY274" si="356">SUM(DX263:DX274)/12</f>
        <v>115.83666666666669</v>
      </c>
      <c r="ED274" s="201"/>
      <c r="EE274" s="201"/>
      <c r="EL274">
        <v>2020</v>
      </c>
      <c r="EM274" t="s">
        <v>714</v>
      </c>
      <c r="EN274" t="s">
        <v>841</v>
      </c>
      <c r="EO274">
        <v>189.03</v>
      </c>
    </row>
    <row r="275" spans="1:145" x14ac:dyDescent="0.25">
      <c r="A275" s="265">
        <v>2020</v>
      </c>
      <c r="B275" s="247" t="s">
        <v>705</v>
      </c>
      <c r="C275" s="247"/>
      <c r="D275" s="290">
        <v>192.36</v>
      </c>
      <c r="E275" s="199">
        <v>6.41</v>
      </c>
      <c r="F275" s="199">
        <v>6.39</v>
      </c>
      <c r="G275" s="198">
        <v>23.67</v>
      </c>
      <c r="H275" s="197"/>
      <c r="I275" s="290">
        <v>17.809999999999999</v>
      </c>
      <c r="J275" s="137">
        <v>0.59</v>
      </c>
      <c r="K275" s="199">
        <v>0.57999999999999996</v>
      </c>
      <c r="L275" s="198">
        <v>0.99</v>
      </c>
      <c r="M275" s="197"/>
      <c r="N275" s="290">
        <v>92.61</v>
      </c>
      <c r="O275" s="137">
        <v>3.09</v>
      </c>
      <c r="P275" s="199">
        <v>3.03</v>
      </c>
      <c r="Q275" s="198">
        <v>7</v>
      </c>
      <c r="R275" s="197"/>
      <c r="S275" s="290">
        <v>235.93</v>
      </c>
      <c r="T275" s="137">
        <v>7.86</v>
      </c>
      <c r="U275" s="199">
        <v>6.77</v>
      </c>
      <c r="V275" s="198">
        <v>15.74</v>
      </c>
      <c r="W275" s="197"/>
      <c r="X275" s="290">
        <v>581.26</v>
      </c>
      <c r="Y275" s="137">
        <v>19.38</v>
      </c>
      <c r="Z275" s="199">
        <v>16</v>
      </c>
      <c r="AA275" s="198">
        <v>31.62</v>
      </c>
      <c r="AB275" s="197"/>
      <c r="AC275" s="307">
        <f t="shared" ref="AC275" si="357">S275+X275</f>
        <v>817.19</v>
      </c>
      <c r="AD275" s="174">
        <f>AC275/30</f>
        <v>27.239666666666668</v>
      </c>
      <c r="AE275" s="174">
        <f t="shared" ref="AE275" si="358">SUM(AD264:AD275)/12</f>
        <v>22.766638888888892</v>
      </c>
      <c r="AF275" s="200">
        <f t="shared" ref="AF275" si="359">V275+AA275</f>
        <v>47.36</v>
      </c>
      <c r="AG275" s="197"/>
      <c r="AH275" s="279">
        <v>1767.17</v>
      </c>
      <c r="AI275" s="239">
        <v>58.91</v>
      </c>
      <c r="AJ275" s="240">
        <v>55.21</v>
      </c>
      <c r="AK275" s="202">
        <v>179.8</v>
      </c>
      <c r="AL275" s="197"/>
      <c r="AM275" s="290">
        <v>19.8</v>
      </c>
      <c r="AN275" s="137">
        <v>0.66</v>
      </c>
      <c r="AO275" s="199">
        <v>0.45</v>
      </c>
      <c r="AP275" s="198" t="s">
        <v>776</v>
      </c>
      <c r="AQ275" s="197"/>
      <c r="AR275" s="290">
        <v>189.9</v>
      </c>
      <c r="AS275" s="137">
        <v>6.33</v>
      </c>
      <c r="AT275" s="199">
        <v>5.05</v>
      </c>
      <c r="AU275" s="198" t="s">
        <v>776</v>
      </c>
      <c r="AV275" s="197"/>
      <c r="AW275" s="290">
        <v>32.700000000000003</v>
      </c>
      <c r="AX275" s="137">
        <v>1.0900000000000001</v>
      </c>
      <c r="AY275" s="199">
        <v>0.71</v>
      </c>
      <c r="AZ275" s="198" t="s">
        <v>776</v>
      </c>
      <c r="BA275" s="197"/>
      <c r="BB275" s="290">
        <v>16.8</v>
      </c>
      <c r="BC275" s="137">
        <v>0.56000000000000005</v>
      </c>
      <c r="BD275" s="199">
        <v>0.6</v>
      </c>
      <c r="BE275" s="198" t="s">
        <v>776</v>
      </c>
      <c r="BF275" s="197"/>
      <c r="BG275" s="290">
        <v>52.8</v>
      </c>
      <c r="BH275" s="137">
        <v>1.76</v>
      </c>
      <c r="BI275" s="199">
        <v>1.2</v>
      </c>
      <c r="BJ275" s="198" t="s">
        <v>776</v>
      </c>
      <c r="BK275" s="197"/>
      <c r="BL275" s="279">
        <v>95.08</v>
      </c>
      <c r="BM275" s="239">
        <v>3.17</v>
      </c>
      <c r="BN275" s="240">
        <v>3.47</v>
      </c>
      <c r="BO275" s="202" t="s">
        <v>776</v>
      </c>
      <c r="BP275" s="197"/>
      <c r="BQ275" s="296">
        <v>12.3</v>
      </c>
      <c r="BR275" s="201">
        <v>0.41</v>
      </c>
      <c r="BS275" s="199">
        <v>0.42</v>
      </c>
      <c r="BT275" s="198" t="s">
        <v>776</v>
      </c>
      <c r="BU275" s="197"/>
      <c r="BV275" s="296">
        <v>10.5</v>
      </c>
      <c r="BW275" s="201">
        <v>0.35</v>
      </c>
      <c r="BX275" s="199">
        <v>0.43</v>
      </c>
      <c r="BY275" s="198" t="s">
        <v>776</v>
      </c>
      <c r="BZ275" s="197"/>
      <c r="CA275" s="290">
        <v>12</v>
      </c>
      <c r="CB275" s="137">
        <v>0.4</v>
      </c>
      <c r="CC275" s="199">
        <v>0.43</v>
      </c>
      <c r="CD275" s="198" t="s">
        <v>776</v>
      </c>
      <c r="CE275" s="197"/>
      <c r="CF275" s="290">
        <v>44.22</v>
      </c>
      <c r="CG275" s="137">
        <v>1.47</v>
      </c>
      <c r="CH275" s="199">
        <v>1.47</v>
      </c>
      <c r="CI275" s="198" t="s">
        <v>776</v>
      </c>
      <c r="CJ275" s="197"/>
      <c r="CK275" s="290">
        <v>151.87</v>
      </c>
      <c r="CL275" s="137">
        <v>5.0599999999999996</v>
      </c>
      <c r="CM275" s="199">
        <v>4.7</v>
      </c>
      <c r="CN275" s="198">
        <v>7.75</v>
      </c>
      <c r="CO275" s="197"/>
      <c r="CP275" s="290">
        <v>222.51</v>
      </c>
      <c r="CQ275" s="137">
        <v>7.42</v>
      </c>
      <c r="CR275" s="199">
        <v>7</v>
      </c>
      <c r="CS275" s="198">
        <v>15.03</v>
      </c>
      <c r="CT275" s="197"/>
      <c r="CU275" s="290">
        <v>177.99</v>
      </c>
      <c r="CV275" s="137">
        <v>5.93</v>
      </c>
      <c r="CW275" s="199">
        <v>5.58</v>
      </c>
      <c r="CX275" s="198">
        <v>12.79</v>
      </c>
      <c r="CY275" s="198"/>
      <c r="CZ275" s="279">
        <v>28.56</v>
      </c>
      <c r="DA275" s="137">
        <v>0.95</v>
      </c>
      <c r="DB275" s="197"/>
      <c r="DC275" s="290">
        <v>29.25</v>
      </c>
      <c r="DD275" s="137">
        <v>0.98</v>
      </c>
      <c r="DE275" s="199">
        <v>0.92</v>
      </c>
      <c r="DF275" s="198" t="s">
        <v>776</v>
      </c>
      <c r="DG275" s="204"/>
      <c r="DH275" s="284">
        <f>DI275*30</f>
        <v>78.899999999999991</v>
      </c>
      <c r="DI275" s="1">
        <f t="shared" si="348"/>
        <v>2.63</v>
      </c>
      <c r="DJ275" s="1">
        <f t="shared" ref="DJ275" si="360">SUM(DI264:DI275)/12</f>
        <v>2.7416666666666667</v>
      </c>
      <c r="DM275" s="284">
        <f>DN275*30</f>
        <v>3215.3900000000003</v>
      </c>
      <c r="DN275" s="77">
        <f t="shared" si="351"/>
        <v>107.17966666666668</v>
      </c>
      <c r="DO275" s="77">
        <f t="shared" ref="DO275:DO276" si="361">SUM(DN264:DN275)/12</f>
        <v>96.729138888888883</v>
      </c>
      <c r="DR275" s="284">
        <f>DS275*30</f>
        <v>610.20000000000005</v>
      </c>
      <c r="DS275" s="77">
        <f t="shared" si="354"/>
        <v>20.34</v>
      </c>
      <c r="DT275" s="77" t="e">
        <f>SUM(CH275+CM275+CR275+CW275+#REF!)</f>
        <v>#REF!</v>
      </c>
      <c r="DU275" s="201"/>
      <c r="DV275" s="201"/>
      <c r="DW275" s="284">
        <f>DX275*30</f>
        <v>3825.5900000000006</v>
      </c>
      <c r="DX275" s="77">
        <f t="shared" ref="DX275:DX276" si="362">SUM(DN275+DS275)</f>
        <v>127.51966666666668</v>
      </c>
      <c r="DY275" s="77">
        <f t="shared" ref="DY275:DY276" si="363">SUM(DX264:DX275)/12</f>
        <v>115.70997222222223</v>
      </c>
      <c r="ED275" s="201"/>
      <c r="EE275" s="201"/>
      <c r="EL275">
        <v>2020</v>
      </c>
      <c r="EM275" t="s">
        <v>705</v>
      </c>
      <c r="EN275" t="s">
        <v>841</v>
      </c>
      <c r="EO275">
        <v>192.36</v>
      </c>
    </row>
    <row r="276" spans="1:145" x14ac:dyDescent="0.25">
      <c r="A276" s="265">
        <v>2020</v>
      </c>
      <c r="B276" s="247" t="s">
        <v>715</v>
      </c>
      <c r="C276" s="247"/>
      <c r="D276" s="284">
        <v>208.76</v>
      </c>
      <c r="E276" s="1">
        <v>6.73</v>
      </c>
      <c r="F276" s="1">
        <v>6.38</v>
      </c>
      <c r="G276" s="1">
        <v>19.52</v>
      </c>
      <c r="I276" s="284">
        <v>12.08</v>
      </c>
      <c r="J276" s="1">
        <v>0.39</v>
      </c>
      <c r="K276" s="1">
        <v>0.56000000000000005</v>
      </c>
      <c r="L276" s="1">
        <v>0.68</v>
      </c>
      <c r="N276" s="284">
        <v>96.17</v>
      </c>
      <c r="O276" s="1">
        <v>3.1</v>
      </c>
      <c r="P276" s="1">
        <v>3</v>
      </c>
      <c r="Q276" s="1">
        <v>4.74</v>
      </c>
      <c r="S276" s="284">
        <v>257.62</v>
      </c>
      <c r="T276" s="1">
        <v>8.31</v>
      </c>
      <c r="U276" s="1">
        <v>6.77</v>
      </c>
      <c r="V276" s="1">
        <v>12.25</v>
      </c>
      <c r="X276" s="278">
        <v>603.48</v>
      </c>
      <c r="Y276" s="117">
        <v>19.47</v>
      </c>
      <c r="Z276" s="181">
        <v>15.95</v>
      </c>
      <c r="AA276" s="180">
        <v>27.76</v>
      </c>
      <c r="AC276" s="284">
        <v>861.1</v>
      </c>
      <c r="AD276" s="1">
        <v>27.78</v>
      </c>
      <c r="AE276" s="1">
        <v>22.71</v>
      </c>
      <c r="AF276" s="1">
        <v>40.01</v>
      </c>
      <c r="AH276" s="299">
        <v>1842.76</v>
      </c>
      <c r="AI276">
        <v>59.44</v>
      </c>
      <c r="AJ276">
        <v>55.04</v>
      </c>
      <c r="AK276">
        <v>160.1</v>
      </c>
      <c r="AM276" s="299">
        <v>15.81</v>
      </c>
      <c r="AN276">
        <v>0.51</v>
      </c>
      <c r="AO276">
        <v>0.45</v>
      </c>
      <c r="AP276" t="s">
        <v>776</v>
      </c>
      <c r="AR276" s="284">
        <v>184.45</v>
      </c>
      <c r="AS276" s="1">
        <v>5.95</v>
      </c>
      <c r="AT276" s="1">
        <v>5.18</v>
      </c>
      <c r="AU276" s="1" t="s">
        <v>776</v>
      </c>
      <c r="AW276" s="284">
        <v>26.35</v>
      </c>
      <c r="AX276" s="1">
        <v>0.85</v>
      </c>
      <c r="AY276" s="1">
        <v>0.7</v>
      </c>
      <c r="AZ276" s="1" t="s">
        <v>776</v>
      </c>
      <c r="BB276" s="284">
        <v>21.08</v>
      </c>
      <c r="BC276" s="1">
        <v>0.68</v>
      </c>
      <c r="BD276" s="1">
        <v>0.56999999999999995</v>
      </c>
      <c r="BE276" s="1" t="s">
        <v>776</v>
      </c>
      <c r="BG276" s="284">
        <v>45.57</v>
      </c>
      <c r="BH276" s="1">
        <v>1.47</v>
      </c>
      <c r="BI276" s="1">
        <v>1.25</v>
      </c>
      <c r="BJ276" s="1" t="s">
        <v>776</v>
      </c>
      <c r="BL276" s="284">
        <v>98.25</v>
      </c>
      <c r="BM276" s="1">
        <v>3.17</v>
      </c>
      <c r="BN276" s="1">
        <v>3.41</v>
      </c>
      <c r="BO276" s="1" t="s">
        <v>776</v>
      </c>
      <c r="BQ276" s="284">
        <v>13.02</v>
      </c>
      <c r="BR276" s="1">
        <v>0.42</v>
      </c>
      <c r="BS276" s="1">
        <v>0.41</v>
      </c>
      <c r="BT276" s="1" t="s">
        <v>776</v>
      </c>
      <c r="BV276" s="284">
        <v>13.95</v>
      </c>
      <c r="BW276" s="1">
        <v>0.45</v>
      </c>
      <c r="BX276" s="1">
        <v>0.4</v>
      </c>
      <c r="BY276" s="1" t="s">
        <v>776</v>
      </c>
      <c r="CA276" s="284">
        <v>10.85</v>
      </c>
      <c r="CB276" s="1">
        <v>0.35</v>
      </c>
      <c r="CC276" s="1">
        <v>0.42</v>
      </c>
      <c r="CD276" s="1" t="s">
        <v>776</v>
      </c>
      <c r="CF276" s="284">
        <v>45.69</v>
      </c>
      <c r="CG276" s="1">
        <v>1.47</v>
      </c>
      <c r="CH276" s="1">
        <v>1.47</v>
      </c>
      <c r="CI276" s="1" t="s">
        <v>776</v>
      </c>
      <c r="CK276" s="284">
        <v>174.4</v>
      </c>
      <c r="CL276" s="1">
        <v>5.63</v>
      </c>
      <c r="CM276" s="1">
        <v>4.6500000000000004</v>
      </c>
      <c r="CN276" s="1">
        <v>7.24</v>
      </c>
      <c r="CP276" s="284">
        <v>221.42</v>
      </c>
      <c r="CQ276" s="1">
        <v>7.14</v>
      </c>
      <c r="CR276" s="1">
        <v>6.96</v>
      </c>
      <c r="CS276" s="1">
        <v>11.01</v>
      </c>
      <c r="CU276" s="284">
        <v>188.94</v>
      </c>
      <c r="CV276" s="1">
        <v>6.09</v>
      </c>
      <c r="CW276" s="1">
        <v>5.53</v>
      </c>
      <c r="CX276" s="1">
        <v>8.98</v>
      </c>
      <c r="CZ276" s="269">
        <v>30.4</v>
      </c>
      <c r="DA276" s="1">
        <v>0.98</v>
      </c>
      <c r="DC276" s="284">
        <v>30.22</v>
      </c>
      <c r="DD276" s="1">
        <v>0.97</v>
      </c>
      <c r="DE276" s="1">
        <v>0.93</v>
      </c>
      <c r="DF276" s="1" t="s">
        <v>776</v>
      </c>
      <c r="DH276" s="284">
        <f>DI276*31</f>
        <v>83.39</v>
      </c>
      <c r="DI276" s="1">
        <f t="shared" si="348"/>
        <v>2.69</v>
      </c>
      <c r="DJ276" s="1">
        <f t="shared" ref="DJ276:DJ290" si="364">SUM(DI265:DI276)/12</f>
        <v>2.7008333333333332</v>
      </c>
      <c r="DM276" s="284">
        <f>DN276*31</f>
        <v>3328.78</v>
      </c>
      <c r="DN276" s="77">
        <f t="shared" si="351"/>
        <v>107.38000000000001</v>
      </c>
      <c r="DO276" s="77">
        <f t="shared" si="361"/>
        <v>96.549138888888891</v>
      </c>
      <c r="DR276" s="284">
        <f>DS276*31</f>
        <v>645.11</v>
      </c>
      <c r="DS276" s="77">
        <f t="shared" si="354"/>
        <v>20.81</v>
      </c>
      <c r="DT276" s="77" t="e">
        <f>SUM(CH276+CM276+CR276+CW276+#REF!)</f>
        <v>#REF!</v>
      </c>
      <c r="DU276" s="201"/>
      <c r="DV276" s="201"/>
      <c r="DW276" s="284">
        <f>DX276*31</f>
        <v>3973.89</v>
      </c>
      <c r="DX276" s="77">
        <f t="shared" si="362"/>
        <v>128.19</v>
      </c>
      <c r="DY276" s="77">
        <f t="shared" si="363"/>
        <v>115.40330555555556</v>
      </c>
      <c r="ED276" s="201"/>
      <c r="EE276" s="201"/>
      <c r="EL276">
        <v>2020</v>
      </c>
      <c r="EM276" t="s">
        <v>715</v>
      </c>
      <c r="EN276" t="s">
        <v>841</v>
      </c>
      <c r="EO276">
        <v>208.76</v>
      </c>
    </row>
    <row r="277" spans="1:145" x14ac:dyDescent="0.25">
      <c r="A277" s="265">
        <v>2020</v>
      </c>
      <c r="B277" s="247" t="s">
        <v>718</v>
      </c>
      <c r="C277" s="247"/>
      <c r="D277" s="290">
        <v>190.13</v>
      </c>
      <c r="E277" s="199">
        <v>6.34</v>
      </c>
      <c r="F277" s="199">
        <v>6.42</v>
      </c>
      <c r="G277" s="198">
        <v>9.6999999999999993</v>
      </c>
      <c r="H277" s="197"/>
      <c r="I277" s="290">
        <v>17.149999999999999</v>
      </c>
      <c r="J277" s="137">
        <v>0.56999999999999995</v>
      </c>
      <c r="K277" s="199">
        <v>0.55000000000000004</v>
      </c>
      <c r="L277" s="198">
        <v>1.66</v>
      </c>
      <c r="M277" s="197"/>
      <c r="N277" s="290">
        <v>94.11</v>
      </c>
      <c r="O277" s="137">
        <v>3.14</v>
      </c>
      <c r="P277" s="199">
        <v>2.99</v>
      </c>
      <c r="Q277" s="198">
        <v>12.76</v>
      </c>
      <c r="R277" s="197"/>
      <c r="S277" s="290">
        <v>227.71</v>
      </c>
      <c r="T277" s="137">
        <v>7.59</v>
      </c>
      <c r="U277" s="199">
        <v>6.8</v>
      </c>
      <c r="V277" s="198">
        <v>17.41</v>
      </c>
      <c r="W277" s="197"/>
      <c r="X277" s="290">
        <v>533.54999999999995</v>
      </c>
      <c r="Y277" s="137">
        <v>17.79</v>
      </c>
      <c r="Z277" s="199">
        <v>15.93</v>
      </c>
      <c r="AA277" s="198">
        <v>31.36</v>
      </c>
      <c r="AB277" s="197"/>
      <c r="AC277" s="307">
        <v>761.26</v>
      </c>
      <c r="AD277" s="174">
        <v>25.38</v>
      </c>
      <c r="AE277" s="174">
        <v>22.73</v>
      </c>
      <c r="AF277" s="200">
        <v>48.77</v>
      </c>
      <c r="AG277" s="197"/>
      <c r="AH277" s="279">
        <v>1642.91</v>
      </c>
      <c r="AI277" s="239">
        <v>54.76</v>
      </c>
      <c r="AJ277" s="240">
        <v>55.17</v>
      </c>
      <c r="AK277" s="202">
        <v>141.1</v>
      </c>
      <c r="AL277" s="197"/>
      <c r="AM277" s="290">
        <v>15</v>
      </c>
      <c r="AN277" s="137">
        <v>0.5</v>
      </c>
      <c r="AO277" s="199">
        <v>0.45</v>
      </c>
      <c r="AP277" s="198" t="s">
        <v>776</v>
      </c>
      <c r="AQ277" s="197"/>
      <c r="AR277" s="290">
        <v>171.6</v>
      </c>
      <c r="AS277" s="137">
        <v>5.72</v>
      </c>
      <c r="AT277" s="199">
        <v>5.17</v>
      </c>
      <c r="AU277" s="198" t="s">
        <v>776</v>
      </c>
      <c r="AV277" s="197"/>
      <c r="AW277" s="290">
        <v>24.9</v>
      </c>
      <c r="AX277" s="137">
        <v>0.83</v>
      </c>
      <c r="AY277" s="199">
        <v>0.69</v>
      </c>
      <c r="AZ277" s="198" t="s">
        <v>776</v>
      </c>
      <c r="BA277" s="197"/>
      <c r="BB277" s="290">
        <v>21.3</v>
      </c>
      <c r="BC277" s="137">
        <v>0.71</v>
      </c>
      <c r="BD277" s="199">
        <v>0.56000000000000005</v>
      </c>
      <c r="BE277" s="198" t="s">
        <v>776</v>
      </c>
      <c r="BF277" s="197"/>
      <c r="BG277" s="290">
        <v>36</v>
      </c>
      <c r="BH277" s="137">
        <v>1.2</v>
      </c>
      <c r="BI277" s="199">
        <v>1.28</v>
      </c>
      <c r="BJ277" s="198" t="s">
        <v>776</v>
      </c>
      <c r="BK277" s="197"/>
      <c r="BL277" s="279">
        <v>95.08</v>
      </c>
      <c r="BM277" s="239">
        <v>3.17</v>
      </c>
      <c r="BN277" s="240">
        <v>3.35</v>
      </c>
      <c r="BO277" s="202" t="s">
        <v>776</v>
      </c>
      <c r="BP277" s="197"/>
      <c r="BQ277" s="296">
        <v>12.6</v>
      </c>
      <c r="BR277" s="201">
        <v>0.42</v>
      </c>
      <c r="BS277" s="199">
        <v>0.41</v>
      </c>
      <c r="BT277" s="198" t="s">
        <v>776</v>
      </c>
      <c r="BU277" s="197"/>
      <c r="BV277" s="296">
        <v>14.4</v>
      </c>
      <c r="BW277" s="201">
        <v>0.48</v>
      </c>
      <c r="BX277" s="199">
        <v>0.39</v>
      </c>
      <c r="BY277" s="198" t="s">
        <v>776</v>
      </c>
      <c r="BZ277" s="197"/>
      <c r="CA277" s="290">
        <v>10.8</v>
      </c>
      <c r="CB277" s="137">
        <v>0.36</v>
      </c>
      <c r="CC277" s="199">
        <v>0.42</v>
      </c>
      <c r="CD277" s="198" t="s">
        <v>776</v>
      </c>
      <c r="CE277" s="197"/>
      <c r="CF277" s="290">
        <v>44.22</v>
      </c>
      <c r="CG277" s="137">
        <v>1.47</v>
      </c>
      <c r="CH277" s="199">
        <v>1.47</v>
      </c>
      <c r="CI277" s="198" t="s">
        <v>776</v>
      </c>
      <c r="CJ277" s="197"/>
      <c r="CK277" s="290">
        <v>141.97</v>
      </c>
      <c r="CL277" s="137">
        <v>4.7300000000000004</v>
      </c>
      <c r="CM277" s="199">
        <v>4.58</v>
      </c>
      <c r="CN277" s="198">
        <v>7.91</v>
      </c>
      <c r="CO277" s="197"/>
      <c r="CP277" s="290">
        <v>303.39</v>
      </c>
      <c r="CQ277" s="137">
        <v>10.11</v>
      </c>
      <c r="CR277" s="199">
        <v>7.2</v>
      </c>
      <c r="CS277" s="198">
        <v>24.83</v>
      </c>
      <c r="CT277" s="197"/>
      <c r="CU277" s="290">
        <v>173.15</v>
      </c>
      <c r="CV277" s="137">
        <v>5.77</v>
      </c>
      <c r="CW277" s="199">
        <v>5.52</v>
      </c>
      <c r="CX277" s="198">
        <v>11.26</v>
      </c>
      <c r="CY277" s="198"/>
      <c r="CZ277" s="279">
        <v>24.8</v>
      </c>
      <c r="DA277" s="137">
        <v>0.83</v>
      </c>
      <c r="DB277" s="197"/>
      <c r="DC277" s="290">
        <v>29.25</v>
      </c>
      <c r="DD277" s="137">
        <v>0.98</v>
      </c>
      <c r="DE277" s="199">
        <v>0.94</v>
      </c>
      <c r="DF277" s="198" t="s">
        <v>776</v>
      </c>
      <c r="DH277" s="284">
        <f>DI277*30</f>
        <v>81.899999999999991</v>
      </c>
      <c r="DI277" s="1">
        <f t="shared" si="348"/>
        <v>2.7299999999999995</v>
      </c>
      <c r="DJ277" s="1">
        <f t="shared" si="364"/>
        <v>2.6874999999999996</v>
      </c>
      <c r="DM277" s="284">
        <f>DN277*30</f>
        <v>2987.7</v>
      </c>
      <c r="DN277" s="77">
        <f t="shared" si="351"/>
        <v>99.589999999999989</v>
      </c>
      <c r="DO277" s="77">
        <f t="shared" ref="DO277:DO295" si="365">SUM(DN266:DN277)/12</f>
        <v>96.694138888888872</v>
      </c>
      <c r="DR277" s="284">
        <f>DS277*30</f>
        <v>672.59999999999991</v>
      </c>
      <c r="DS277" s="77">
        <f t="shared" si="354"/>
        <v>22.419999999999998</v>
      </c>
      <c r="DT277" s="77" t="e">
        <f>SUM(CH277+CM277+CR277+CW277+#REF!)</f>
        <v>#REF!</v>
      </c>
      <c r="DU277" s="201"/>
      <c r="DV277" s="201"/>
      <c r="DW277" s="284">
        <f>DX277*30</f>
        <v>3660.2999999999997</v>
      </c>
      <c r="DX277" s="77">
        <f t="shared" ref="DX277:DX290" si="366">SUM(DN277+DS277)</f>
        <v>122.00999999999999</v>
      </c>
      <c r="DY277" s="77">
        <f t="shared" ref="DY277:DY290" si="367">SUM(DX266:DX277)/12</f>
        <v>115.71830555555556</v>
      </c>
      <c r="ED277" s="201"/>
      <c r="EE277" s="201"/>
      <c r="EL277">
        <v>2020</v>
      </c>
      <c r="EM277" t="s">
        <v>718</v>
      </c>
      <c r="EN277" t="s">
        <v>841</v>
      </c>
      <c r="EO277">
        <v>190.13</v>
      </c>
    </row>
    <row r="278" spans="1:145" x14ac:dyDescent="0.25">
      <c r="A278" s="8">
        <v>2020</v>
      </c>
      <c r="B278" t="s">
        <v>716</v>
      </c>
      <c r="D278" s="284">
        <v>186.19</v>
      </c>
      <c r="E278" s="1">
        <v>6.01</v>
      </c>
      <c r="F278" s="1">
        <v>6.39</v>
      </c>
      <c r="G278" s="1">
        <v>14.17</v>
      </c>
      <c r="I278" s="284">
        <v>17.88</v>
      </c>
      <c r="J278" s="1">
        <v>0.57999999999999996</v>
      </c>
      <c r="K278" s="1">
        <v>0.55000000000000004</v>
      </c>
      <c r="L278" s="1">
        <v>1.52</v>
      </c>
      <c r="N278" s="284">
        <v>90.5</v>
      </c>
      <c r="O278" s="1">
        <v>2.92</v>
      </c>
      <c r="P278" s="1">
        <v>2.97</v>
      </c>
      <c r="Q278" s="1">
        <v>7.62</v>
      </c>
      <c r="S278" s="284">
        <v>225.01</v>
      </c>
      <c r="T278" s="1">
        <v>7.26</v>
      </c>
      <c r="U278" s="1">
        <v>6.83</v>
      </c>
      <c r="V278" s="1">
        <v>13.72</v>
      </c>
      <c r="X278" s="278">
        <v>527.34</v>
      </c>
      <c r="Y278" s="117">
        <v>17.010000000000002</v>
      </c>
      <c r="Z278" s="181">
        <v>15.95</v>
      </c>
      <c r="AA278" s="180">
        <v>29.78</v>
      </c>
      <c r="AC278" s="284">
        <v>752.35</v>
      </c>
      <c r="AD278" s="1">
        <v>24.27</v>
      </c>
      <c r="AE278" s="1">
        <v>22.78</v>
      </c>
      <c r="AF278" s="1">
        <v>43.5</v>
      </c>
      <c r="AH278" s="299">
        <v>1658.57</v>
      </c>
      <c r="AI278">
        <v>53.5</v>
      </c>
      <c r="AJ278">
        <v>55.34</v>
      </c>
      <c r="AK278">
        <v>163.4</v>
      </c>
      <c r="AM278" s="299">
        <v>19.22</v>
      </c>
      <c r="AN278">
        <v>0.62</v>
      </c>
      <c r="AO278">
        <v>0.47</v>
      </c>
      <c r="AP278" t="s">
        <v>776</v>
      </c>
      <c r="AR278" s="284">
        <v>160.27000000000001</v>
      </c>
      <c r="AS278" s="1">
        <v>5.17</v>
      </c>
      <c r="AT278" s="1">
        <v>5.14</v>
      </c>
      <c r="AU278" s="1" t="s">
        <v>776</v>
      </c>
      <c r="AW278" s="284">
        <v>31.93</v>
      </c>
      <c r="AX278" s="1">
        <v>1.03</v>
      </c>
      <c r="AY278" s="1">
        <v>0.73</v>
      </c>
      <c r="AZ278" s="1" t="s">
        <v>776</v>
      </c>
      <c r="BB278" s="284">
        <v>23.25</v>
      </c>
      <c r="BC278" s="1">
        <v>0.75</v>
      </c>
      <c r="BD278" s="1">
        <v>0.57999999999999996</v>
      </c>
      <c r="BE278" s="1" t="s">
        <v>776</v>
      </c>
      <c r="BG278" s="284">
        <v>29.14</v>
      </c>
      <c r="BH278" s="1">
        <v>0.94</v>
      </c>
      <c r="BI278" s="1">
        <v>1.29</v>
      </c>
      <c r="BJ278" s="1" t="s">
        <v>776</v>
      </c>
      <c r="BL278" s="284">
        <v>98.25</v>
      </c>
      <c r="BM278" s="1">
        <v>3.17</v>
      </c>
      <c r="BN278" s="1">
        <v>3.29</v>
      </c>
      <c r="BO278" s="1" t="s">
        <v>776</v>
      </c>
      <c r="BQ278" s="284">
        <v>15.19</v>
      </c>
      <c r="BR278" s="1">
        <v>0.49</v>
      </c>
      <c r="BS278" s="1">
        <v>0.41</v>
      </c>
      <c r="BT278" s="1" t="s">
        <v>776</v>
      </c>
      <c r="BV278" s="284">
        <v>6.82</v>
      </c>
      <c r="BW278" s="1">
        <v>0.22</v>
      </c>
      <c r="BX278" s="1">
        <v>0.4</v>
      </c>
      <c r="BY278" s="1" t="s">
        <v>776</v>
      </c>
      <c r="CA278" s="284">
        <v>12.09</v>
      </c>
      <c r="CB278" s="1">
        <v>0.39</v>
      </c>
      <c r="CC278" s="1">
        <v>0.4</v>
      </c>
      <c r="CD278" s="1" t="s">
        <v>776</v>
      </c>
      <c r="CF278" s="284">
        <v>45.69</v>
      </c>
      <c r="CG278" s="1">
        <v>1.47</v>
      </c>
      <c r="CH278" s="1">
        <v>1.47</v>
      </c>
      <c r="CI278" s="1" t="s">
        <v>776</v>
      </c>
      <c r="CK278" s="284">
        <v>156.76</v>
      </c>
      <c r="CL278" s="1">
        <v>5.0599999999999996</v>
      </c>
      <c r="CM278" s="1">
        <v>4.55</v>
      </c>
      <c r="CN278" s="1">
        <v>12.33</v>
      </c>
      <c r="CP278" s="284">
        <v>181.65</v>
      </c>
      <c r="CQ278" s="1">
        <v>5.86</v>
      </c>
      <c r="CR278" s="1">
        <v>7.07</v>
      </c>
      <c r="CS278" s="1">
        <v>9.77</v>
      </c>
      <c r="CU278" s="284">
        <v>158.65</v>
      </c>
      <c r="CV278" s="1">
        <v>5.12</v>
      </c>
      <c r="CW278" s="1">
        <v>5.46</v>
      </c>
      <c r="CX278" s="1">
        <v>9.0399999999999991</v>
      </c>
      <c r="CZ278" s="269">
        <v>22.91</v>
      </c>
      <c r="DA278" s="1">
        <v>0.74</v>
      </c>
      <c r="DC278" s="284">
        <v>30.22</v>
      </c>
      <c r="DD278" s="1">
        <v>0.97</v>
      </c>
      <c r="DE278" s="1">
        <v>0.95</v>
      </c>
      <c r="DF278" s="1" t="s">
        <v>776</v>
      </c>
      <c r="DH278" s="284">
        <f>DI278*31</f>
        <v>79.670000000000016</v>
      </c>
      <c r="DI278" s="1">
        <f t="shared" si="348"/>
        <v>2.5700000000000003</v>
      </c>
      <c r="DJ278" s="1">
        <f t="shared" si="364"/>
        <v>2.6858333333333331</v>
      </c>
      <c r="DM278" s="284">
        <f>DN278*31</f>
        <v>2988.0900000000006</v>
      </c>
      <c r="DN278" s="77">
        <f t="shared" si="351"/>
        <v>96.390000000000015</v>
      </c>
      <c r="DO278" s="77">
        <f t="shared" si="365"/>
        <v>96.830805555555557</v>
      </c>
      <c r="DR278" s="284">
        <f>DS278*31</f>
        <v>550.24999999999989</v>
      </c>
      <c r="DS278" s="77">
        <f t="shared" si="354"/>
        <v>17.749999999999996</v>
      </c>
      <c r="DT278" s="77" t="e">
        <f>SUM(CH278+CM278+CR278+CW278+#REF!)</f>
        <v>#REF!</v>
      </c>
      <c r="DU278" s="201"/>
      <c r="DV278" s="201"/>
      <c r="DW278" s="284">
        <f>DX278*31</f>
        <v>3538.3400000000006</v>
      </c>
      <c r="DX278" s="77">
        <f t="shared" si="366"/>
        <v>114.14000000000001</v>
      </c>
      <c r="DY278" s="77">
        <f t="shared" si="367"/>
        <v>115.63747222222223</v>
      </c>
      <c r="ED278" s="201"/>
      <c r="EE278" s="201"/>
      <c r="EL278">
        <v>2020</v>
      </c>
      <c r="EM278" t="s">
        <v>716</v>
      </c>
      <c r="EN278" t="s">
        <v>841</v>
      </c>
      <c r="EO278">
        <v>186.19</v>
      </c>
    </row>
    <row r="279" spans="1:145" x14ac:dyDescent="0.25">
      <c r="A279" s="8">
        <v>2020</v>
      </c>
      <c r="B279" t="s">
        <v>708</v>
      </c>
      <c r="D279" s="284">
        <v>224.26</v>
      </c>
      <c r="E279" s="1">
        <v>7.23</v>
      </c>
      <c r="F279" s="1">
        <v>6.44</v>
      </c>
      <c r="G279" s="1">
        <v>13.38</v>
      </c>
      <c r="I279" s="284">
        <v>17.579999999999998</v>
      </c>
      <c r="J279" s="1">
        <v>0.56999999999999995</v>
      </c>
      <c r="K279" s="1">
        <v>0.54</v>
      </c>
      <c r="L279" s="1">
        <v>1.31</v>
      </c>
      <c r="N279" s="284">
        <v>93.52</v>
      </c>
      <c r="O279" s="1">
        <v>3.02</v>
      </c>
      <c r="P279" s="1">
        <v>2.98</v>
      </c>
      <c r="Q279" s="1">
        <v>9.94</v>
      </c>
      <c r="S279" s="284">
        <v>238.09</v>
      </c>
      <c r="T279" s="1">
        <v>7.68</v>
      </c>
      <c r="U279" s="1">
        <v>6.94</v>
      </c>
      <c r="V279" s="1">
        <v>24.75</v>
      </c>
      <c r="X279" s="278">
        <v>556.51</v>
      </c>
      <c r="Y279" s="117">
        <v>17.95</v>
      </c>
      <c r="Z279" s="181">
        <v>16.170000000000002</v>
      </c>
      <c r="AA279" s="180">
        <v>35.659999999999997</v>
      </c>
      <c r="AC279" s="284">
        <v>794.6</v>
      </c>
      <c r="AD279" s="1">
        <v>25.63</v>
      </c>
      <c r="AE279" s="1">
        <v>23.11</v>
      </c>
      <c r="AF279" s="1">
        <v>60.41</v>
      </c>
      <c r="AH279" s="299">
        <v>1860.52</v>
      </c>
      <c r="AI279">
        <v>60.02</v>
      </c>
      <c r="AJ279">
        <v>56.52</v>
      </c>
      <c r="AK279">
        <v>216</v>
      </c>
      <c r="AM279" s="299">
        <v>18.91</v>
      </c>
      <c r="AN279">
        <v>0.61</v>
      </c>
      <c r="AO279">
        <v>0.49</v>
      </c>
      <c r="AP279" t="s">
        <v>776</v>
      </c>
      <c r="AR279" s="284">
        <v>148.18</v>
      </c>
      <c r="AS279" s="1">
        <v>4.78</v>
      </c>
      <c r="AT279" s="1">
        <v>5.12</v>
      </c>
      <c r="AU279" s="1" t="s">
        <v>776</v>
      </c>
      <c r="AW279" s="284">
        <v>31.62</v>
      </c>
      <c r="AX279" s="1">
        <v>1.02</v>
      </c>
      <c r="AY279" s="1">
        <v>0.78</v>
      </c>
      <c r="AZ279" s="1" t="s">
        <v>776</v>
      </c>
      <c r="BB279" s="284">
        <v>23.87</v>
      </c>
      <c r="BC279" s="1">
        <v>0.77</v>
      </c>
      <c r="BD279" s="1">
        <v>0.59</v>
      </c>
      <c r="BE279" s="1" t="s">
        <v>776</v>
      </c>
      <c r="BG279" s="284">
        <v>26.97</v>
      </c>
      <c r="BH279" s="1">
        <v>0.87</v>
      </c>
      <c r="BI279" s="1">
        <v>1.23</v>
      </c>
      <c r="BJ279" s="1" t="s">
        <v>776</v>
      </c>
      <c r="BL279" s="284">
        <v>98.25</v>
      </c>
      <c r="BM279" s="1">
        <v>3.17</v>
      </c>
      <c r="BN279" s="1">
        <v>3.23</v>
      </c>
      <c r="BO279" s="1" t="s">
        <v>776</v>
      </c>
      <c r="BQ279" s="284">
        <v>14.26</v>
      </c>
      <c r="BR279" s="1">
        <v>0.46</v>
      </c>
      <c r="BS279" s="1">
        <v>0.42</v>
      </c>
      <c r="BT279" s="1" t="s">
        <v>776</v>
      </c>
      <c r="BV279" s="284">
        <v>7.13</v>
      </c>
      <c r="BW279" s="1">
        <v>0.23</v>
      </c>
      <c r="BX279" s="1">
        <v>0.41</v>
      </c>
      <c r="BY279" s="1" t="s">
        <v>776</v>
      </c>
      <c r="CA279" s="284">
        <v>10.85</v>
      </c>
      <c r="CB279" s="1">
        <v>0.35</v>
      </c>
      <c r="CC279" s="1">
        <v>0.36</v>
      </c>
      <c r="CD279" s="1" t="s">
        <v>776</v>
      </c>
      <c r="CF279" s="284">
        <v>45.69</v>
      </c>
      <c r="CG279" s="1">
        <v>1.47</v>
      </c>
      <c r="CH279" s="1">
        <v>1.47</v>
      </c>
      <c r="CI279" s="1" t="s">
        <v>776</v>
      </c>
      <c r="CK279" s="284">
        <v>134.31</v>
      </c>
      <c r="CL279" s="1">
        <v>4.33</v>
      </c>
      <c r="CM279" s="1">
        <v>4.5999999999999996</v>
      </c>
      <c r="CN279" s="1">
        <v>6.97</v>
      </c>
      <c r="CP279" s="284">
        <v>170.7</v>
      </c>
      <c r="CQ279" s="1">
        <v>5.51</v>
      </c>
      <c r="CR279" s="1">
        <v>6.92</v>
      </c>
      <c r="CS279" s="1">
        <v>11.93</v>
      </c>
      <c r="CU279" s="284">
        <v>168.61</v>
      </c>
      <c r="CV279" s="1">
        <v>5.44</v>
      </c>
      <c r="CW279" s="1">
        <v>5.46</v>
      </c>
      <c r="CX279" s="1">
        <v>13.52</v>
      </c>
      <c r="CZ279" s="269">
        <v>25.59</v>
      </c>
      <c r="DA279" s="1">
        <v>0.83</v>
      </c>
      <c r="DC279" s="284">
        <v>30.22</v>
      </c>
      <c r="DD279" s="1">
        <v>0.97</v>
      </c>
      <c r="DE279" s="1">
        <v>0.96</v>
      </c>
      <c r="DF279" s="1" t="s">
        <v>776</v>
      </c>
      <c r="DH279" s="284">
        <f>DI279*31</f>
        <v>77.809999999999988</v>
      </c>
      <c r="DI279" s="1">
        <f t="shared" si="348"/>
        <v>2.5099999999999998</v>
      </c>
      <c r="DJ279" s="1">
        <f t="shared" si="364"/>
        <v>2.6483333333333334</v>
      </c>
      <c r="DM279" s="284">
        <f>DN279*31</f>
        <v>3260.58</v>
      </c>
      <c r="DN279" s="77">
        <f t="shared" si="351"/>
        <v>105.17999999999999</v>
      </c>
      <c r="DO279" s="77">
        <f t="shared" si="365"/>
        <v>98.37497222222224</v>
      </c>
      <c r="DR279" s="284">
        <f>DS279*31</f>
        <v>529.4799999999999</v>
      </c>
      <c r="DS279" s="77">
        <f t="shared" si="354"/>
        <v>17.079999999999998</v>
      </c>
      <c r="DT279" s="77" t="e">
        <f>SUM(CH279+CM279+CR279+CW279+#REF!)</f>
        <v>#REF!</v>
      </c>
      <c r="DU279" s="201"/>
      <c r="DV279" s="201"/>
      <c r="DW279" s="284">
        <f>DX279*31</f>
        <v>3790.0599999999995</v>
      </c>
      <c r="DX279" s="77">
        <f t="shared" si="366"/>
        <v>122.25999999999999</v>
      </c>
      <c r="DY279" s="77">
        <f t="shared" si="367"/>
        <v>117.0891388888889</v>
      </c>
      <c r="ED279" s="201"/>
      <c r="EE279" s="201"/>
      <c r="EL279">
        <v>2020</v>
      </c>
      <c r="EM279" t="s">
        <v>708</v>
      </c>
      <c r="EN279" t="s">
        <v>841</v>
      </c>
      <c r="EO279">
        <v>224.26</v>
      </c>
    </row>
    <row r="280" spans="1:145" x14ac:dyDescent="0.25">
      <c r="A280" s="265">
        <v>2020</v>
      </c>
      <c r="B280" s="247" t="s">
        <v>709</v>
      </c>
      <c r="C280" s="247"/>
      <c r="D280" s="284">
        <v>204.89</v>
      </c>
      <c r="E280" s="1">
        <v>6.83</v>
      </c>
      <c r="F280" s="1">
        <v>6.47</v>
      </c>
      <c r="G280" s="1">
        <v>19.32</v>
      </c>
      <c r="I280" s="284">
        <v>12.19</v>
      </c>
      <c r="J280" s="1">
        <v>0.41</v>
      </c>
      <c r="K280" s="1">
        <v>0.53</v>
      </c>
      <c r="L280" s="1">
        <v>1.38</v>
      </c>
      <c r="N280" s="284">
        <v>86.33</v>
      </c>
      <c r="O280" s="1">
        <v>2.88</v>
      </c>
      <c r="P280" s="1">
        <v>2.98</v>
      </c>
      <c r="Q280" s="1">
        <v>14.04</v>
      </c>
      <c r="S280" s="284">
        <v>214.44</v>
      </c>
      <c r="T280" s="1">
        <v>7.15</v>
      </c>
      <c r="U280" s="1">
        <v>7.06</v>
      </c>
      <c r="V280" s="1">
        <v>25</v>
      </c>
      <c r="X280" s="278">
        <v>550.99</v>
      </c>
      <c r="Y280" s="117">
        <v>18.37</v>
      </c>
      <c r="Z280" s="181">
        <v>16.440000000000001</v>
      </c>
      <c r="AA280" s="180">
        <v>40.42</v>
      </c>
      <c r="AC280" s="284">
        <v>765.43</v>
      </c>
      <c r="AD280" s="1">
        <v>25.51</v>
      </c>
      <c r="AE280" s="1">
        <v>23.5</v>
      </c>
      <c r="AF280" s="1">
        <v>65.42</v>
      </c>
      <c r="AH280" s="299">
        <v>1833.67</v>
      </c>
      <c r="AI280">
        <v>61.12</v>
      </c>
      <c r="AJ280">
        <v>57</v>
      </c>
      <c r="AK280">
        <v>227.8</v>
      </c>
      <c r="AM280" s="299">
        <v>21</v>
      </c>
      <c r="AN280">
        <v>0.7</v>
      </c>
      <c r="AO280">
        <v>0.52</v>
      </c>
      <c r="AP280" t="s">
        <v>776</v>
      </c>
      <c r="AR280" s="284">
        <v>141.9</v>
      </c>
      <c r="AS280" s="1">
        <v>4.7300000000000004</v>
      </c>
      <c r="AT280" s="1">
        <v>5.16</v>
      </c>
      <c r="AU280" s="1" t="s">
        <v>776</v>
      </c>
      <c r="AW280" s="284">
        <v>29.7</v>
      </c>
      <c r="AX280" s="1">
        <v>0.99</v>
      </c>
      <c r="AY280" s="1">
        <v>0.82</v>
      </c>
      <c r="AZ280" s="1" t="s">
        <v>776</v>
      </c>
      <c r="BB280" s="284">
        <v>22.2</v>
      </c>
      <c r="BC280" s="1">
        <v>0.74</v>
      </c>
      <c r="BD280" s="1">
        <v>0.6</v>
      </c>
      <c r="BE280" s="1" t="s">
        <v>776</v>
      </c>
      <c r="BG280" s="284">
        <v>24.3</v>
      </c>
      <c r="BH280" s="1">
        <v>0.81</v>
      </c>
      <c r="BI280" s="1">
        <v>1.17</v>
      </c>
      <c r="BJ280" s="1" t="s">
        <v>776</v>
      </c>
      <c r="BL280" s="284">
        <v>95.08</v>
      </c>
      <c r="BM280" s="1">
        <v>3.17</v>
      </c>
      <c r="BN280" s="1">
        <v>3.17</v>
      </c>
      <c r="BO280" s="1" t="s">
        <v>776</v>
      </c>
      <c r="BQ280" s="284">
        <v>14.4</v>
      </c>
      <c r="BR280" s="1">
        <v>0.48</v>
      </c>
      <c r="BS280" s="1">
        <v>0.42</v>
      </c>
      <c r="BT280" s="1" t="s">
        <v>776</v>
      </c>
      <c r="BV280" s="284">
        <v>6</v>
      </c>
      <c r="BW280" s="1">
        <v>0.2</v>
      </c>
      <c r="BX280" s="1">
        <v>0.4</v>
      </c>
      <c r="BY280" s="1" t="s">
        <v>776</v>
      </c>
      <c r="CA280" s="284">
        <v>9.9</v>
      </c>
      <c r="CB280" s="1">
        <v>0.33</v>
      </c>
      <c r="CC280" s="1">
        <v>0.36</v>
      </c>
      <c r="CD280" s="1" t="s">
        <v>776</v>
      </c>
      <c r="CF280" s="284">
        <v>44.22</v>
      </c>
      <c r="CG280" s="1">
        <v>1.47</v>
      </c>
      <c r="CH280" s="1">
        <v>1.47</v>
      </c>
      <c r="CI280" s="1" t="s">
        <v>776</v>
      </c>
      <c r="CK280" s="284">
        <v>125.05</v>
      </c>
      <c r="CL280" s="1">
        <v>4.17</v>
      </c>
      <c r="CM280" s="1">
        <v>4.6900000000000004</v>
      </c>
      <c r="CN280" s="1">
        <v>9.93</v>
      </c>
      <c r="CP280" s="284">
        <v>160.13999999999999</v>
      </c>
      <c r="CQ280" s="1">
        <v>5.34</v>
      </c>
      <c r="CR280" s="1">
        <v>6.82</v>
      </c>
      <c r="CS280" s="1">
        <v>8.76</v>
      </c>
      <c r="CU280" s="284">
        <v>153.02000000000001</v>
      </c>
      <c r="CV280" s="1">
        <v>5.0999999999999996</v>
      </c>
      <c r="CW280" s="1">
        <v>5.48</v>
      </c>
      <c r="CX280" s="1">
        <v>13.51</v>
      </c>
      <c r="CZ280" s="269">
        <v>22.82</v>
      </c>
      <c r="DA280" s="1">
        <v>0.76</v>
      </c>
      <c r="DC280" s="284">
        <v>29.25</v>
      </c>
      <c r="DD280" s="1">
        <v>0.98</v>
      </c>
      <c r="DE280" s="1">
        <v>0.97</v>
      </c>
      <c r="DF280" s="1" t="s">
        <v>776</v>
      </c>
      <c r="DH280" s="284">
        <f>DI280*30</f>
        <v>74.400000000000006</v>
      </c>
      <c r="DI280" s="1">
        <f t="shared" si="348"/>
        <v>2.48</v>
      </c>
      <c r="DJ280" s="1">
        <f t="shared" si="364"/>
        <v>2.6549999999999998</v>
      </c>
      <c r="DM280" s="284">
        <f>DN280*30</f>
        <v>3162.2999999999997</v>
      </c>
      <c r="DN280" s="77">
        <f t="shared" si="351"/>
        <v>105.41</v>
      </c>
      <c r="DO280" s="77">
        <f t="shared" si="365"/>
        <v>99.268305555555571</v>
      </c>
      <c r="DR280" s="284">
        <f>DS280*30</f>
        <v>490.49999999999994</v>
      </c>
      <c r="DS280" s="77">
        <f t="shared" si="354"/>
        <v>16.349999999999998</v>
      </c>
      <c r="DT280" s="77" t="e">
        <f>SUM(CH280+CM280+CR280+CW280+#REF!)</f>
        <v>#REF!</v>
      </c>
      <c r="DU280" s="201"/>
      <c r="DV280" s="201"/>
      <c r="DW280" s="284">
        <f>DX280*30</f>
        <v>3652.7999999999997</v>
      </c>
      <c r="DX280" s="77">
        <f t="shared" si="366"/>
        <v>121.75999999999999</v>
      </c>
      <c r="DY280" s="77">
        <f t="shared" si="367"/>
        <v>118.0241388888889</v>
      </c>
      <c r="ED280" s="201"/>
      <c r="EE280" s="201"/>
      <c r="EL280">
        <v>2020</v>
      </c>
      <c r="EM280" t="s">
        <v>709</v>
      </c>
      <c r="EN280" t="s">
        <v>841</v>
      </c>
      <c r="EO280">
        <v>204.89</v>
      </c>
    </row>
    <row r="281" spans="1:145" x14ac:dyDescent="0.25">
      <c r="A281" s="265">
        <v>2020</v>
      </c>
      <c r="B281" s="247" t="s">
        <v>710</v>
      </c>
      <c r="C281" s="247"/>
      <c r="D281" s="284">
        <v>206.72</v>
      </c>
      <c r="E281" s="1">
        <v>6.67</v>
      </c>
      <c r="F281" s="1">
        <v>6.52</v>
      </c>
      <c r="G281" s="1">
        <v>22.3</v>
      </c>
      <c r="I281" s="284">
        <v>13.25</v>
      </c>
      <c r="J281" s="1">
        <v>0.43</v>
      </c>
      <c r="K281" s="1">
        <v>0.51</v>
      </c>
      <c r="L281" s="1">
        <v>0.79</v>
      </c>
      <c r="N281" s="284">
        <v>93.01</v>
      </c>
      <c r="O281" s="1">
        <v>3</v>
      </c>
      <c r="P281" s="1">
        <v>2.99</v>
      </c>
      <c r="Q281" s="1">
        <v>6.97</v>
      </c>
      <c r="S281" s="284">
        <v>197.19</v>
      </c>
      <c r="T281" s="1">
        <v>6.36</v>
      </c>
      <c r="U281" s="1">
        <v>7.12</v>
      </c>
      <c r="V281" s="1">
        <v>14.91</v>
      </c>
      <c r="X281" s="278">
        <v>523.66</v>
      </c>
      <c r="Y281" s="117">
        <v>16.89</v>
      </c>
      <c r="Z281" s="181">
        <v>16.7</v>
      </c>
      <c r="AA281" s="180">
        <v>30.82</v>
      </c>
      <c r="AC281" s="284">
        <v>720.85</v>
      </c>
      <c r="AD281" s="1">
        <v>23.25</v>
      </c>
      <c r="AE281" s="1">
        <v>23.82</v>
      </c>
      <c r="AF281" s="1">
        <v>45.73</v>
      </c>
      <c r="AH281" s="299">
        <v>1728.51</v>
      </c>
      <c r="AI281">
        <v>55.76</v>
      </c>
      <c r="AJ281">
        <v>57.34</v>
      </c>
      <c r="AK281">
        <v>162.80000000000001</v>
      </c>
      <c r="AM281" s="299">
        <v>20.46</v>
      </c>
      <c r="AN281">
        <v>0.66</v>
      </c>
      <c r="AO281">
        <v>0.54</v>
      </c>
      <c r="AP281" t="s">
        <v>776</v>
      </c>
      <c r="AR281" s="284">
        <v>154.07</v>
      </c>
      <c r="AS281" s="1">
        <v>4.97</v>
      </c>
      <c r="AT281" s="1">
        <v>5.2</v>
      </c>
      <c r="AU281" s="1" t="s">
        <v>776</v>
      </c>
      <c r="AW281" s="284">
        <v>30.69</v>
      </c>
      <c r="AX281" s="1">
        <v>0.99</v>
      </c>
      <c r="AY281" s="1">
        <v>0.85</v>
      </c>
      <c r="AZ281" s="1" t="s">
        <v>776</v>
      </c>
      <c r="BB281" s="284">
        <v>24.8</v>
      </c>
      <c r="BC281" s="1">
        <v>0.8</v>
      </c>
      <c r="BD281" s="1">
        <v>0.62</v>
      </c>
      <c r="BE281" s="1" t="s">
        <v>776</v>
      </c>
      <c r="BG281" s="284">
        <v>27.59</v>
      </c>
      <c r="BH281" s="1">
        <v>0.89</v>
      </c>
      <c r="BI281" s="1">
        <v>1.1499999999999999</v>
      </c>
      <c r="BJ281" s="1" t="s">
        <v>776</v>
      </c>
      <c r="BL281" s="284">
        <v>104.05</v>
      </c>
      <c r="BM281" s="1">
        <v>3.36</v>
      </c>
      <c r="BN281" s="1">
        <v>3.19</v>
      </c>
      <c r="BO281" s="1" t="s">
        <v>776</v>
      </c>
      <c r="BQ281" s="284">
        <v>13.02</v>
      </c>
      <c r="BR281" s="1">
        <v>0.42</v>
      </c>
      <c r="BS281" s="1">
        <v>0.42</v>
      </c>
      <c r="BT281" s="1" t="s">
        <v>776</v>
      </c>
      <c r="BV281" s="284">
        <v>6.2</v>
      </c>
      <c r="BW281" s="1">
        <v>0.2</v>
      </c>
      <c r="BX281" s="1">
        <v>0.38</v>
      </c>
      <c r="BY281" s="1" t="s">
        <v>776</v>
      </c>
      <c r="CA281" s="284">
        <v>6.2</v>
      </c>
      <c r="CB281" s="1">
        <v>0.2</v>
      </c>
      <c r="CC281" s="1">
        <v>0.35</v>
      </c>
      <c r="CD281" s="1" t="s">
        <v>776</v>
      </c>
      <c r="CF281" s="284">
        <v>45.56</v>
      </c>
      <c r="CG281" s="1">
        <v>1.47</v>
      </c>
      <c r="CH281" s="1">
        <v>1.47</v>
      </c>
      <c r="CI281" s="1" t="s">
        <v>776</v>
      </c>
      <c r="CK281" s="284">
        <v>113.09</v>
      </c>
      <c r="CL281" s="1">
        <v>3.65</v>
      </c>
      <c r="CM281" s="1">
        <v>4.7300000000000004</v>
      </c>
      <c r="CN281" s="1">
        <v>5.37</v>
      </c>
      <c r="CP281" s="284">
        <v>179.35</v>
      </c>
      <c r="CQ281" s="1">
        <v>5.79</v>
      </c>
      <c r="CR281" s="1">
        <v>6.75</v>
      </c>
      <c r="CS281" s="1">
        <v>9.9</v>
      </c>
      <c r="CU281" s="284">
        <v>152.02000000000001</v>
      </c>
      <c r="CV281" s="1">
        <v>4.9000000000000004</v>
      </c>
      <c r="CW281" s="1">
        <v>5.47</v>
      </c>
      <c r="CX281" s="1">
        <v>8.73</v>
      </c>
      <c r="CZ281" s="269">
        <v>21.44</v>
      </c>
      <c r="DA281" s="1">
        <v>0.69</v>
      </c>
      <c r="DC281" s="284">
        <v>29.1</v>
      </c>
      <c r="DD281" s="1">
        <v>0.94</v>
      </c>
      <c r="DE281" s="1">
        <v>0.97</v>
      </c>
      <c r="DF281" s="1" t="s">
        <v>776</v>
      </c>
      <c r="DH281" s="284">
        <f>DI281*31</f>
        <v>70.989999999999995</v>
      </c>
      <c r="DI281" s="1">
        <f t="shared" si="348"/>
        <v>2.29</v>
      </c>
      <c r="DJ281" s="1">
        <f t="shared" si="364"/>
        <v>2.6216666666666666</v>
      </c>
      <c r="DM281" s="284">
        <f>DN281*31</f>
        <v>3053.1899999999996</v>
      </c>
      <c r="DN281" s="77">
        <f t="shared" si="351"/>
        <v>98.489999999999981</v>
      </c>
      <c r="DO281" s="77">
        <f t="shared" si="365"/>
        <v>100.1066388888889</v>
      </c>
      <c r="DR281" s="284">
        <f>DS281*31</f>
        <v>495.06999999999994</v>
      </c>
      <c r="DS281" s="77">
        <f t="shared" si="354"/>
        <v>15.969999999999999</v>
      </c>
      <c r="DT281" s="77" t="e">
        <f>SUM(CH281+CM281+CR281+CW281+#REF!)</f>
        <v>#REF!</v>
      </c>
      <c r="DU281" s="201"/>
      <c r="DV281" s="201"/>
      <c r="DW281" s="284">
        <f>DX281*31</f>
        <v>3548.2599999999993</v>
      </c>
      <c r="DX281" s="77">
        <f t="shared" si="366"/>
        <v>114.45999999999998</v>
      </c>
      <c r="DY281" s="77">
        <f t="shared" si="367"/>
        <v>118.82663888888891</v>
      </c>
      <c r="ED281" s="201"/>
      <c r="EE281" s="201"/>
      <c r="EL281">
        <v>2020</v>
      </c>
      <c r="EM281" t="s">
        <v>710</v>
      </c>
      <c r="EN281" t="s">
        <v>841</v>
      </c>
      <c r="EO281">
        <v>206.72</v>
      </c>
    </row>
    <row r="282" spans="1:145" x14ac:dyDescent="0.25">
      <c r="A282" s="265">
        <v>2020</v>
      </c>
      <c r="B282" s="247" t="s">
        <v>711</v>
      </c>
      <c r="C282" s="247"/>
      <c r="D282" s="284">
        <v>231.94</v>
      </c>
      <c r="E282" s="1">
        <v>7.73</v>
      </c>
      <c r="F282" s="1">
        <v>6.63</v>
      </c>
      <c r="G282" s="1">
        <v>32.200000000000003</v>
      </c>
      <c r="I282" s="284">
        <v>12.3</v>
      </c>
      <c r="J282" s="1">
        <v>0.41</v>
      </c>
      <c r="K282" s="1">
        <v>0.49</v>
      </c>
      <c r="L282" s="1">
        <v>0.94</v>
      </c>
      <c r="N282" s="284">
        <v>85.37</v>
      </c>
      <c r="O282" s="1">
        <v>2.85</v>
      </c>
      <c r="P282" s="1">
        <v>2.99</v>
      </c>
      <c r="Q282" s="1">
        <v>8.6199999999999992</v>
      </c>
      <c r="S282" s="284">
        <v>205.52</v>
      </c>
      <c r="T282" s="1">
        <v>6.85</v>
      </c>
      <c r="U282" s="1">
        <v>7.2</v>
      </c>
      <c r="V282" s="1">
        <v>25</v>
      </c>
      <c r="X282" s="278">
        <v>558.64</v>
      </c>
      <c r="Y282" s="117">
        <v>18.62</v>
      </c>
      <c r="Z282" s="181">
        <v>17.18</v>
      </c>
      <c r="AA282" s="180">
        <v>30.49</v>
      </c>
      <c r="AC282" s="284">
        <v>764.16</v>
      </c>
      <c r="AD282" s="1">
        <v>25.47</v>
      </c>
      <c r="AE282" s="1">
        <v>24.37</v>
      </c>
      <c r="AF282" s="1">
        <v>55.49</v>
      </c>
      <c r="AH282" s="299">
        <v>1911.31</v>
      </c>
      <c r="AI282">
        <v>63.71</v>
      </c>
      <c r="AJ282">
        <v>57.45</v>
      </c>
      <c r="AK282">
        <v>186.7</v>
      </c>
      <c r="AM282" s="299">
        <v>21</v>
      </c>
      <c r="AN282">
        <v>0.7</v>
      </c>
      <c r="AO282">
        <v>0.56999999999999995</v>
      </c>
      <c r="AP282" t="s">
        <v>776</v>
      </c>
      <c r="AR282" s="284">
        <v>156.30000000000001</v>
      </c>
      <c r="AS282" s="1">
        <v>5.21</v>
      </c>
      <c r="AT282" s="1">
        <v>5.28</v>
      </c>
      <c r="AU282" s="1" t="s">
        <v>776</v>
      </c>
      <c r="AW282" s="284">
        <v>30.3</v>
      </c>
      <c r="AX282" s="1">
        <v>1.01</v>
      </c>
      <c r="AY282" s="1">
        <v>0.89</v>
      </c>
      <c r="AZ282" s="1" t="s">
        <v>776</v>
      </c>
      <c r="BB282" s="284">
        <v>25.2</v>
      </c>
      <c r="BC282" s="1">
        <v>0.84</v>
      </c>
      <c r="BD282" s="1">
        <v>0.66</v>
      </c>
      <c r="BE282" s="1" t="s">
        <v>776</v>
      </c>
      <c r="BG282" s="284">
        <v>26.7</v>
      </c>
      <c r="BH282" s="1">
        <v>0.89</v>
      </c>
      <c r="BI282" s="1">
        <v>1.1499999999999999</v>
      </c>
      <c r="BJ282" s="1" t="s">
        <v>776</v>
      </c>
      <c r="BL282" s="284">
        <v>100.69</v>
      </c>
      <c r="BM282" s="1">
        <v>3.36</v>
      </c>
      <c r="BN282" s="1">
        <v>3.2</v>
      </c>
      <c r="BO282" s="1" t="s">
        <v>776</v>
      </c>
      <c r="BQ282" s="284">
        <v>12</v>
      </c>
      <c r="BR282" s="1">
        <v>0.4</v>
      </c>
      <c r="BS282" s="1">
        <v>0.42</v>
      </c>
      <c r="BT282" s="1" t="s">
        <v>776</v>
      </c>
      <c r="BV282" s="284">
        <v>14.4</v>
      </c>
      <c r="BW282" s="1">
        <v>0.48</v>
      </c>
      <c r="BX282" s="1">
        <v>0.39</v>
      </c>
      <c r="BY282" s="1" t="s">
        <v>776</v>
      </c>
      <c r="CA282" s="284">
        <v>18.600000000000001</v>
      </c>
      <c r="CB282" s="1">
        <v>0.62</v>
      </c>
      <c r="CC282" s="1">
        <v>0.37</v>
      </c>
      <c r="CD282" s="1" t="s">
        <v>776</v>
      </c>
      <c r="CF282" s="284">
        <v>44.09</v>
      </c>
      <c r="CG282" s="1">
        <v>1.47</v>
      </c>
      <c r="CH282" s="1">
        <v>1.47</v>
      </c>
      <c r="CI282" s="1" t="s">
        <v>776</v>
      </c>
      <c r="CK282" s="284">
        <v>103.43</v>
      </c>
      <c r="CL282" s="1">
        <v>3.45</v>
      </c>
      <c r="CM282" s="1">
        <v>4.68</v>
      </c>
      <c r="CN282" s="1">
        <v>8.1</v>
      </c>
      <c r="CP282" s="284">
        <v>175.07</v>
      </c>
      <c r="CQ282" s="1">
        <v>5.84</v>
      </c>
      <c r="CR282" s="1">
        <v>6.7</v>
      </c>
      <c r="CS282" s="1">
        <v>10.4</v>
      </c>
      <c r="CU282" s="284">
        <v>158.56</v>
      </c>
      <c r="CV282" s="1">
        <v>5.29</v>
      </c>
      <c r="CW282" s="1">
        <v>5.47</v>
      </c>
      <c r="CX282" s="1">
        <v>8.69</v>
      </c>
      <c r="CZ282" s="269">
        <v>24.05</v>
      </c>
      <c r="DA282" s="1">
        <v>0.8</v>
      </c>
      <c r="DC282" s="284">
        <v>28.17</v>
      </c>
      <c r="DD282" s="1">
        <v>0.94</v>
      </c>
      <c r="DE282" s="1">
        <v>0.97</v>
      </c>
      <c r="DF282" s="1" t="s">
        <v>776</v>
      </c>
      <c r="DH282" s="284">
        <f>DI282*30</f>
        <v>89.1</v>
      </c>
      <c r="DI282" s="1">
        <f t="shared" si="348"/>
        <v>2.9699999999999998</v>
      </c>
      <c r="DJ282" s="1">
        <f t="shared" si="364"/>
        <v>2.65</v>
      </c>
      <c r="DM282" s="284">
        <f>DN282*30</f>
        <v>3276.3</v>
      </c>
      <c r="DN282" s="77">
        <f t="shared" si="351"/>
        <v>109.21000000000001</v>
      </c>
      <c r="DO282" s="77">
        <f t="shared" si="365"/>
        <v>101.03580555555556</v>
      </c>
      <c r="DR282" s="284">
        <f>DS282*30</f>
        <v>489.6</v>
      </c>
      <c r="DS282" s="77">
        <f t="shared" si="354"/>
        <v>16.32</v>
      </c>
      <c r="DT282" s="77" t="e">
        <f>SUM(CH282+CM282+CR282+CW282+#REF!)</f>
        <v>#REF!</v>
      </c>
      <c r="DU282" s="201"/>
      <c r="DV282" s="201"/>
      <c r="DW282" s="284">
        <f>DX282*30</f>
        <v>3765.9</v>
      </c>
      <c r="DX282" s="77">
        <f t="shared" si="366"/>
        <v>125.53</v>
      </c>
      <c r="DY282" s="77">
        <f t="shared" si="367"/>
        <v>119.66330555555555</v>
      </c>
      <c r="ED282" s="201"/>
      <c r="EE282" s="201"/>
      <c r="EL282">
        <v>2020</v>
      </c>
      <c r="EM282" t="s">
        <v>711</v>
      </c>
      <c r="EN282" t="s">
        <v>841</v>
      </c>
      <c r="EO282">
        <v>231.94</v>
      </c>
    </row>
    <row r="283" spans="1:145" x14ac:dyDescent="0.25">
      <c r="A283" s="265">
        <v>2020</v>
      </c>
      <c r="B283" s="247" t="s">
        <v>712</v>
      </c>
      <c r="C283" s="247"/>
      <c r="D283" s="284">
        <v>229.61</v>
      </c>
      <c r="E283" s="1">
        <v>7.41</v>
      </c>
      <c r="F283" s="1">
        <v>6.7</v>
      </c>
      <c r="G283" s="1">
        <v>21.37</v>
      </c>
      <c r="I283" s="284">
        <v>19.829999999999998</v>
      </c>
      <c r="J283" s="1">
        <v>0.64</v>
      </c>
      <c r="K283" s="1">
        <v>0.51</v>
      </c>
      <c r="L283" s="1">
        <v>1.95</v>
      </c>
      <c r="N283" s="284">
        <v>96.39</v>
      </c>
      <c r="O283" s="1">
        <v>3.11</v>
      </c>
      <c r="P283" s="1">
        <v>3.02</v>
      </c>
      <c r="Q283" s="1">
        <v>12.59</v>
      </c>
      <c r="S283" s="284">
        <v>246.08</v>
      </c>
      <c r="T283" s="1">
        <v>7.94</v>
      </c>
      <c r="U283" s="1">
        <v>7.34</v>
      </c>
      <c r="V283" s="1">
        <v>19.64</v>
      </c>
      <c r="X283" s="278">
        <v>649.34</v>
      </c>
      <c r="Y283" s="117">
        <v>20.95</v>
      </c>
      <c r="Z283" s="181">
        <v>17.88</v>
      </c>
      <c r="AA283" s="180">
        <v>34.479999999999997</v>
      </c>
      <c r="AC283" s="284">
        <v>895.42</v>
      </c>
      <c r="AD283" s="1">
        <v>28.88</v>
      </c>
      <c r="AE283" s="1">
        <v>25.22</v>
      </c>
      <c r="AF283" s="1">
        <v>54.12</v>
      </c>
      <c r="AH283" s="299">
        <v>2099.06</v>
      </c>
      <c r="AI283">
        <v>67.709999999999994</v>
      </c>
      <c r="AJ283">
        <v>58.61</v>
      </c>
      <c r="AK283">
        <v>182.3</v>
      </c>
      <c r="AM283" s="299">
        <v>23.56</v>
      </c>
      <c r="AN283">
        <v>0.76</v>
      </c>
      <c r="AO283">
        <v>0.59</v>
      </c>
      <c r="AP283" t="s">
        <v>776</v>
      </c>
      <c r="AR283" s="284">
        <v>169.26</v>
      </c>
      <c r="AS283" s="1">
        <v>5.46</v>
      </c>
      <c r="AT283" s="1">
        <v>5.34</v>
      </c>
      <c r="AU283" s="1" t="s">
        <v>776</v>
      </c>
      <c r="AW283" s="284">
        <v>32.549999999999997</v>
      </c>
      <c r="AX283" s="1">
        <v>1.05</v>
      </c>
      <c r="AY283" s="1">
        <v>0.92</v>
      </c>
      <c r="AZ283" s="1" t="s">
        <v>776</v>
      </c>
      <c r="BB283" s="284">
        <v>27.9</v>
      </c>
      <c r="BC283" s="1">
        <v>0.9</v>
      </c>
      <c r="BD283" s="1">
        <v>0.69</v>
      </c>
      <c r="BE283" s="1" t="s">
        <v>776</v>
      </c>
      <c r="BG283" s="284">
        <v>31</v>
      </c>
      <c r="BH283" s="1">
        <v>1</v>
      </c>
      <c r="BI283" s="1">
        <v>1.1599999999999999</v>
      </c>
      <c r="BJ283" s="1" t="s">
        <v>776</v>
      </c>
      <c r="BL283" s="284">
        <v>104.05</v>
      </c>
      <c r="BM283" s="1">
        <v>3.36</v>
      </c>
      <c r="BN283" s="1">
        <v>3.22</v>
      </c>
      <c r="BO283" s="1" t="s">
        <v>776</v>
      </c>
      <c r="BQ283" s="284">
        <v>12.4</v>
      </c>
      <c r="BR283" s="1">
        <v>0.4</v>
      </c>
      <c r="BS283" s="1">
        <v>0.42</v>
      </c>
      <c r="BT283" s="1" t="s">
        <v>776</v>
      </c>
      <c r="BV283" s="284">
        <v>6.2</v>
      </c>
      <c r="BW283" s="1">
        <v>0.2</v>
      </c>
      <c r="BX283" s="1">
        <v>0.36</v>
      </c>
      <c r="BY283" s="1" t="s">
        <v>776</v>
      </c>
      <c r="CA283" s="284">
        <v>12.71</v>
      </c>
      <c r="CB283" s="1">
        <v>0.41</v>
      </c>
      <c r="CC283" s="1">
        <v>0.38</v>
      </c>
      <c r="CD283" s="1" t="s">
        <v>776</v>
      </c>
      <c r="CF283" s="284">
        <v>45.56</v>
      </c>
      <c r="CG283" s="1">
        <v>1.47</v>
      </c>
      <c r="CH283" s="1">
        <v>1.47</v>
      </c>
      <c r="CI283" s="1" t="s">
        <v>776</v>
      </c>
      <c r="CK283" s="284">
        <v>162.08000000000001</v>
      </c>
      <c r="CL283" s="1">
        <v>5.23</v>
      </c>
      <c r="CM283" s="1">
        <v>4.76</v>
      </c>
      <c r="CN283" s="1">
        <v>12.67</v>
      </c>
      <c r="CP283" s="284">
        <v>206.65</v>
      </c>
      <c r="CQ283" s="1">
        <v>6.67</v>
      </c>
      <c r="CR283" s="1">
        <v>6.73</v>
      </c>
      <c r="CS283" s="1">
        <v>12.73</v>
      </c>
      <c r="CU283" s="284">
        <v>183.13</v>
      </c>
      <c r="CV283" s="1">
        <v>5.91</v>
      </c>
      <c r="CW283" s="1">
        <v>5.52</v>
      </c>
      <c r="CX283" s="1">
        <v>10.65</v>
      </c>
      <c r="CZ283" s="269">
        <v>29.01</v>
      </c>
      <c r="DA283" s="1">
        <v>0.94</v>
      </c>
      <c r="DC283" s="284">
        <v>29.1</v>
      </c>
      <c r="DD283" s="1">
        <v>0.94</v>
      </c>
      <c r="DE283" s="1">
        <v>0.97</v>
      </c>
      <c r="DF283" s="1" t="s">
        <v>776</v>
      </c>
      <c r="DH283" s="284">
        <f>DI283*31</f>
        <v>76.88</v>
      </c>
      <c r="DI283" s="1">
        <f t="shared" si="348"/>
        <v>2.48</v>
      </c>
      <c r="DJ283" s="1">
        <f t="shared" si="364"/>
        <v>2.6324999999999998</v>
      </c>
      <c r="DM283" s="284">
        <f>DN283*31</f>
        <v>3651.7999999999997</v>
      </c>
      <c r="DN283" s="77">
        <f t="shared" si="351"/>
        <v>117.8</v>
      </c>
      <c r="DO283" s="77">
        <f t="shared" si="365"/>
        <v>103.33580555555555</v>
      </c>
      <c r="DR283" s="284">
        <f>DS283*31</f>
        <v>610.3900000000001</v>
      </c>
      <c r="DS283" s="77">
        <f t="shared" si="354"/>
        <v>19.690000000000005</v>
      </c>
      <c r="DT283" s="77" t="e">
        <f>SUM(CH283+CM283+CR283+CW283+#REF!)</f>
        <v>#REF!</v>
      </c>
      <c r="DU283" s="201"/>
      <c r="DV283" s="201"/>
      <c r="DW283" s="284">
        <f>DX283*31</f>
        <v>4262.1900000000005</v>
      </c>
      <c r="DX283" s="77">
        <f t="shared" si="366"/>
        <v>137.49</v>
      </c>
      <c r="DY283" s="77">
        <f t="shared" si="367"/>
        <v>122.14330555555557</v>
      </c>
      <c r="ED283" s="201"/>
      <c r="EE283" s="201"/>
      <c r="EL283">
        <v>2020</v>
      </c>
      <c r="EM283" t="s">
        <v>712</v>
      </c>
      <c r="EN283" t="s">
        <v>841</v>
      </c>
      <c r="EO283">
        <v>229.61</v>
      </c>
    </row>
    <row r="284" spans="1:145" x14ac:dyDescent="0.25">
      <c r="A284" s="265">
        <v>2021</v>
      </c>
      <c r="B284" s="247" t="s">
        <v>719</v>
      </c>
      <c r="C284" s="247"/>
      <c r="D284" s="284">
        <v>206.89</v>
      </c>
      <c r="E284" s="1">
        <v>6.67</v>
      </c>
      <c r="F284" s="1">
        <v>6.73</v>
      </c>
      <c r="G284" s="1">
        <v>13.39</v>
      </c>
      <c r="I284" s="284">
        <v>20.059999999999999</v>
      </c>
      <c r="J284" s="1">
        <v>0.65</v>
      </c>
      <c r="K284" s="1">
        <v>0.51</v>
      </c>
      <c r="L284" s="1">
        <v>0.82</v>
      </c>
      <c r="N284" s="284">
        <v>94.2</v>
      </c>
      <c r="O284" s="1">
        <v>3.04</v>
      </c>
      <c r="P284" s="1">
        <v>3.02</v>
      </c>
      <c r="Q284" s="1">
        <v>4.97</v>
      </c>
      <c r="S284" s="284">
        <v>236.96</v>
      </c>
      <c r="T284" s="1">
        <v>7.64</v>
      </c>
      <c r="U284" s="1">
        <v>7.41</v>
      </c>
      <c r="V284" s="1">
        <v>11.98</v>
      </c>
      <c r="X284" s="278">
        <v>630.65</v>
      </c>
      <c r="Y284" s="117">
        <v>20.34</v>
      </c>
      <c r="Z284" s="181">
        <v>18.48</v>
      </c>
      <c r="AA284" s="180">
        <v>28.95</v>
      </c>
      <c r="AC284" s="284">
        <v>867.61</v>
      </c>
      <c r="AD284" s="1">
        <v>27.99</v>
      </c>
      <c r="AE284" s="1">
        <v>25.89</v>
      </c>
      <c r="AF284" s="1">
        <v>40.93</v>
      </c>
      <c r="AH284" s="299">
        <v>1883.59</v>
      </c>
      <c r="AI284">
        <v>60.76</v>
      </c>
      <c r="AJ284">
        <v>59.15</v>
      </c>
      <c r="AK284">
        <v>166.4</v>
      </c>
      <c r="AM284" s="299">
        <v>15.81</v>
      </c>
      <c r="AN284">
        <v>0.51</v>
      </c>
      <c r="AO284">
        <v>0.56999999999999995</v>
      </c>
      <c r="AP284" t="s">
        <v>776</v>
      </c>
      <c r="AR284" s="284">
        <v>137.33000000000001</v>
      </c>
      <c r="AS284" s="1">
        <v>4.43</v>
      </c>
      <c r="AT284" s="1">
        <v>5.2</v>
      </c>
      <c r="AU284" s="1" t="s">
        <v>776</v>
      </c>
      <c r="AW284" s="284">
        <v>25.42</v>
      </c>
      <c r="AX284" s="1">
        <v>0.82</v>
      </c>
      <c r="AY284" s="1">
        <v>0.93</v>
      </c>
      <c r="AZ284" s="1" t="s">
        <v>776</v>
      </c>
      <c r="BB284" s="284">
        <v>23.56</v>
      </c>
      <c r="BC284" s="1">
        <v>0.76</v>
      </c>
      <c r="BD284" s="1">
        <v>0.71</v>
      </c>
      <c r="BE284" s="1" t="s">
        <v>776</v>
      </c>
      <c r="BG284" s="284">
        <v>24.18</v>
      </c>
      <c r="BH284" s="1">
        <v>0.78</v>
      </c>
      <c r="BI284" s="1">
        <v>1.1399999999999999</v>
      </c>
      <c r="BJ284" s="1" t="s">
        <v>776</v>
      </c>
      <c r="BL284" s="284">
        <v>104.05</v>
      </c>
      <c r="BM284" s="1">
        <v>3.36</v>
      </c>
      <c r="BN284" s="1">
        <v>3.23</v>
      </c>
      <c r="BO284" s="1" t="s">
        <v>776</v>
      </c>
      <c r="BQ284" s="284">
        <v>10.54</v>
      </c>
      <c r="BR284" s="1">
        <v>0.34</v>
      </c>
      <c r="BS284" s="1">
        <v>0.42</v>
      </c>
      <c r="BT284" s="1" t="s">
        <v>776</v>
      </c>
      <c r="BV284" s="284">
        <v>6.2</v>
      </c>
      <c r="BW284" s="1">
        <v>0.2</v>
      </c>
      <c r="BX284" s="1">
        <v>0.33</v>
      </c>
      <c r="BY284" s="1" t="s">
        <v>776</v>
      </c>
      <c r="CA284" s="284">
        <v>9.3000000000000007</v>
      </c>
      <c r="CB284" s="1">
        <v>0.3</v>
      </c>
      <c r="CC284" s="1">
        <v>0.37</v>
      </c>
      <c r="CD284" s="1" t="s">
        <v>776</v>
      </c>
      <c r="CF284" s="284">
        <v>45.56</v>
      </c>
      <c r="CG284" s="1">
        <v>1.47</v>
      </c>
      <c r="CH284" s="1">
        <v>1.47</v>
      </c>
      <c r="CI284" s="1" t="s">
        <v>776</v>
      </c>
      <c r="CK284" s="284">
        <v>162.18</v>
      </c>
      <c r="CL284" s="1">
        <v>5.23</v>
      </c>
      <c r="CM284" s="1">
        <v>4.74</v>
      </c>
      <c r="CN284" s="1">
        <v>6.62</v>
      </c>
      <c r="CP284" s="284">
        <v>186.61</v>
      </c>
      <c r="CQ284" s="1">
        <v>6.02</v>
      </c>
      <c r="CR284" s="1">
        <v>6.66</v>
      </c>
      <c r="CS284" s="1">
        <v>9.66</v>
      </c>
      <c r="CU284" s="284">
        <v>177.86</v>
      </c>
      <c r="CV284" s="1">
        <v>5.74</v>
      </c>
      <c r="CW284" s="1">
        <v>5.54</v>
      </c>
      <c r="CX284" s="1">
        <v>8.7799999999999994</v>
      </c>
      <c r="CZ284" s="269">
        <v>27.5</v>
      </c>
      <c r="DA284" s="1">
        <v>0.89</v>
      </c>
      <c r="DC284" s="284">
        <v>29.1</v>
      </c>
      <c r="DD284" s="1">
        <v>0.94</v>
      </c>
      <c r="DE284" s="1">
        <v>0.96</v>
      </c>
      <c r="DF284" s="1" t="s">
        <v>776</v>
      </c>
      <c r="DH284" s="284">
        <f>DI284*31</f>
        <v>71.61</v>
      </c>
      <c r="DI284" s="1">
        <f t="shared" si="348"/>
        <v>2.31</v>
      </c>
      <c r="DJ284" s="1">
        <f t="shared" si="364"/>
        <v>2.5841666666666661</v>
      </c>
      <c r="DM284" s="284">
        <f>DN284*31</f>
        <v>3331.2599999999993</v>
      </c>
      <c r="DN284" s="77">
        <f t="shared" si="351"/>
        <v>107.45999999999998</v>
      </c>
      <c r="DO284" s="77">
        <f t="shared" si="365"/>
        <v>104.49497222222222</v>
      </c>
      <c r="DR284" s="284">
        <f>DS284*31</f>
        <v>583.42000000000007</v>
      </c>
      <c r="DS284" s="77">
        <f t="shared" si="354"/>
        <v>18.820000000000004</v>
      </c>
      <c r="DT284" s="77" t="e">
        <f>SUM(CH284+CM284+CR284+CW284+#REF!)</f>
        <v>#REF!</v>
      </c>
      <c r="DU284" s="201"/>
      <c r="DV284" s="201"/>
      <c r="DW284" s="284">
        <f>DX284*31</f>
        <v>3914.6799999999994</v>
      </c>
      <c r="DX284" s="77">
        <f t="shared" si="366"/>
        <v>126.27999999999999</v>
      </c>
      <c r="DY284" s="77">
        <f t="shared" si="367"/>
        <v>123.25163888888888</v>
      </c>
      <c r="ED284" s="201"/>
      <c r="EE284" s="201"/>
      <c r="EL284">
        <v>2021</v>
      </c>
      <c r="EM284" t="s">
        <v>719</v>
      </c>
      <c r="EN284" t="s">
        <v>841</v>
      </c>
      <c r="EO284">
        <v>206.89</v>
      </c>
    </row>
    <row r="285" spans="1:145" x14ac:dyDescent="0.25">
      <c r="A285" s="265">
        <v>2021</v>
      </c>
      <c r="B285" s="247" t="s">
        <v>713</v>
      </c>
      <c r="C285" s="247"/>
      <c r="D285" s="284">
        <v>194.45</v>
      </c>
      <c r="E285" s="1">
        <v>6.94</v>
      </c>
      <c r="F285" s="1">
        <v>6.76</v>
      </c>
      <c r="G285" s="1">
        <v>15.11</v>
      </c>
      <c r="I285" s="284">
        <v>19.36</v>
      </c>
      <c r="J285" s="1">
        <v>0.69</v>
      </c>
      <c r="K285" s="1">
        <v>0.53</v>
      </c>
      <c r="L285" s="1">
        <v>0.82</v>
      </c>
      <c r="N285" s="284">
        <v>92.86</v>
      </c>
      <c r="O285" s="1">
        <v>3.32</v>
      </c>
      <c r="P285" s="1">
        <v>3.04</v>
      </c>
      <c r="Q285" s="1">
        <v>5.86</v>
      </c>
      <c r="S285" s="284">
        <v>225.71</v>
      </c>
      <c r="T285" s="1">
        <v>8.06</v>
      </c>
      <c r="U285" s="1">
        <v>7.47</v>
      </c>
      <c r="V285" s="1">
        <v>25</v>
      </c>
      <c r="X285" s="278">
        <v>589.4</v>
      </c>
      <c r="Y285" s="117">
        <v>21.05</v>
      </c>
      <c r="Z285" s="181">
        <v>18.84</v>
      </c>
      <c r="AA285" s="180">
        <v>40.07</v>
      </c>
      <c r="AC285" s="284">
        <v>815.11</v>
      </c>
      <c r="AD285" s="1">
        <v>29.11</v>
      </c>
      <c r="AE285" s="1">
        <v>26.31</v>
      </c>
      <c r="AF285" s="1">
        <v>65.069999999999993</v>
      </c>
      <c r="AH285" s="299">
        <v>1837.66</v>
      </c>
      <c r="AI285">
        <v>65.63</v>
      </c>
      <c r="AJ285">
        <v>59.65</v>
      </c>
      <c r="AK285">
        <v>163</v>
      </c>
      <c r="AM285" s="299">
        <v>18.48</v>
      </c>
      <c r="AN285">
        <v>0.66</v>
      </c>
      <c r="AO285">
        <v>0.61</v>
      </c>
      <c r="AP285" t="s">
        <v>776</v>
      </c>
      <c r="AR285" s="284">
        <v>149.80000000000001</v>
      </c>
      <c r="AS285" s="1">
        <v>5.35</v>
      </c>
      <c r="AT285" s="1">
        <v>5.24</v>
      </c>
      <c r="AU285" s="1" t="s">
        <v>776</v>
      </c>
      <c r="AW285" s="284">
        <v>27.16</v>
      </c>
      <c r="AX285" s="1">
        <v>0.97</v>
      </c>
      <c r="AY285" s="1">
        <v>0.96</v>
      </c>
      <c r="AZ285" s="1" t="s">
        <v>776</v>
      </c>
      <c r="BB285" s="284">
        <v>23.52</v>
      </c>
      <c r="BC285" s="1">
        <v>0.84</v>
      </c>
      <c r="BD285" s="1">
        <v>0.74</v>
      </c>
      <c r="BE285" s="1" t="s">
        <v>776</v>
      </c>
      <c r="BG285" s="284">
        <v>27.72</v>
      </c>
      <c r="BH285" s="1">
        <v>0.99</v>
      </c>
      <c r="BI285" s="1">
        <v>1.1399999999999999</v>
      </c>
      <c r="BJ285" s="1" t="s">
        <v>776</v>
      </c>
      <c r="BL285" s="284">
        <v>93.98</v>
      </c>
      <c r="BM285" s="1">
        <v>3.36</v>
      </c>
      <c r="BN285" s="1">
        <v>3.25</v>
      </c>
      <c r="BO285" s="1" t="s">
        <v>776</v>
      </c>
      <c r="BQ285" s="284">
        <v>10.08</v>
      </c>
      <c r="BR285" s="1">
        <v>0.36</v>
      </c>
      <c r="BS285" s="1">
        <v>0.42</v>
      </c>
      <c r="BT285" s="1" t="s">
        <v>776</v>
      </c>
      <c r="BV285" s="284">
        <v>7.56</v>
      </c>
      <c r="BW285" s="1">
        <v>0.27</v>
      </c>
      <c r="BX285" s="1">
        <v>0.31</v>
      </c>
      <c r="BY285" s="1" t="s">
        <v>776</v>
      </c>
      <c r="CA285" s="284">
        <v>10.08</v>
      </c>
      <c r="CB285" s="1">
        <v>0.36</v>
      </c>
      <c r="CC285" s="1">
        <v>0.37</v>
      </c>
      <c r="CD285" s="1" t="s">
        <v>776</v>
      </c>
      <c r="CF285" s="284">
        <v>41.16</v>
      </c>
      <c r="CG285" s="1">
        <v>1.47</v>
      </c>
      <c r="CH285" s="1">
        <v>1.47</v>
      </c>
      <c r="CI285" s="1" t="s">
        <v>776</v>
      </c>
      <c r="CK285" s="284">
        <v>159.69</v>
      </c>
      <c r="CL285" s="1">
        <v>5.7</v>
      </c>
      <c r="CM285" s="1">
        <v>4.76</v>
      </c>
      <c r="CN285" s="1">
        <v>8.31</v>
      </c>
      <c r="CP285" s="284">
        <v>165.29</v>
      </c>
      <c r="CQ285" s="1">
        <v>5.9</v>
      </c>
      <c r="CR285" s="1">
        <v>6.55</v>
      </c>
      <c r="CS285" s="1">
        <v>8.77</v>
      </c>
      <c r="CU285" s="284">
        <v>165.57</v>
      </c>
      <c r="CV285" s="1">
        <v>5.91</v>
      </c>
      <c r="CW285" s="1">
        <v>5.57</v>
      </c>
      <c r="CX285" s="1">
        <v>10.26</v>
      </c>
      <c r="CZ285" s="269">
        <v>28.87</v>
      </c>
      <c r="DA285" s="1">
        <v>1.03</v>
      </c>
      <c r="DC285" s="284">
        <v>26.29</v>
      </c>
      <c r="DD285" s="1">
        <v>0.94</v>
      </c>
      <c r="DE285" s="1">
        <v>0.96</v>
      </c>
      <c r="DF285" s="1" t="s">
        <v>776</v>
      </c>
      <c r="DH285" s="284">
        <f>DI285*28</f>
        <v>68.88</v>
      </c>
      <c r="DI285" s="1">
        <f t="shared" si="348"/>
        <v>2.46</v>
      </c>
      <c r="DJ285" s="1">
        <f t="shared" si="364"/>
        <v>2.57</v>
      </c>
      <c r="DM285" s="284">
        <f>DN285*28</f>
        <v>3231.2</v>
      </c>
      <c r="DN285" s="77">
        <f t="shared" si="351"/>
        <v>115.39999999999999</v>
      </c>
      <c r="DO285" s="77">
        <f t="shared" si="365"/>
        <v>105.63997222222223</v>
      </c>
      <c r="DR285" s="284">
        <f>DS285*28</f>
        <v>545.44000000000005</v>
      </c>
      <c r="DS285" s="77">
        <f t="shared" si="354"/>
        <v>19.480000000000004</v>
      </c>
      <c r="DT285" s="77" t="e">
        <f>SUM(CH285+CM285+CR285+CW285+#REF!)</f>
        <v>#REF!</v>
      </c>
      <c r="DU285" s="201"/>
      <c r="DV285" s="201"/>
      <c r="DW285" s="284">
        <f>DX285*28</f>
        <v>3776.64</v>
      </c>
      <c r="DX285" s="77">
        <f t="shared" si="366"/>
        <v>134.88</v>
      </c>
      <c r="DY285" s="77">
        <f t="shared" si="367"/>
        <v>124.32830555555556</v>
      </c>
      <c r="ED285" s="201"/>
      <c r="EE285" s="201"/>
      <c r="EL285">
        <v>2021</v>
      </c>
      <c r="EM285" t="s">
        <v>713</v>
      </c>
      <c r="EN285" t="s">
        <v>841</v>
      </c>
      <c r="EO285">
        <v>194.45</v>
      </c>
    </row>
    <row r="286" spans="1:145" x14ac:dyDescent="0.25">
      <c r="A286" s="265">
        <v>2021</v>
      </c>
      <c r="B286" s="247" t="s">
        <v>714</v>
      </c>
      <c r="C286" s="247"/>
      <c r="D286" s="284">
        <v>244.21</v>
      </c>
      <c r="E286" s="1">
        <v>7.88</v>
      </c>
      <c r="F286" s="1">
        <v>6.9</v>
      </c>
      <c r="G286" s="1">
        <v>24.47</v>
      </c>
      <c r="I286" s="284">
        <v>18.239999999999998</v>
      </c>
      <c r="J286" s="1">
        <v>0.59</v>
      </c>
      <c r="K286" s="1">
        <v>0.54</v>
      </c>
      <c r="L286" s="1">
        <v>0.92</v>
      </c>
      <c r="N286" s="284">
        <v>102.11</v>
      </c>
      <c r="O286" s="1">
        <v>3.29</v>
      </c>
      <c r="P286" s="1">
        <v>3.06</v>
      </c>
      <c r="Q286" s="1">
        <v>5.59</v>
      </c>
      <c r="S286" s="284">
        <v>257.93</v>
      </c>
      <c r="T286" s="1">
        <v>8.32</v>
      </c>
      <c r="U286" s="1">
        <v>7.59</v>
      </c>
      <c r="V286" s="1">
        <v>13.77</v>
      </c>
      <c r="X286" s="278">
        <v>671.78</v>
      </c>
      <c r="Y286" s="117">
        <v>21.67</v>
      </c>
      <c r="Z286" s="181">
        <v>19.12</v>
      </c>
      <c r="AA286" s="180">
        <v>30.87</v>
      </c>
      <c r="AC286" s="284">
        <v>929.71</v>
      </c>
      <c r="AD286" s="1">
        <v>29.99</v>
      </c>
      <c r="AE286" s="1">
        <v>26.71</v>
      </c>
      <c r="AF286" s="1">
        <v>44.64</v>
      </c>
      <c r="AH286" s="299">
        <v>2043.11</v>
      </c>
      <c r="AI286">
        <v>65.91</v>
      </c>
      <c r="AJ286">
        <v>60.6</v>
      </c>
      <c r="AK286">
        <v>161.9</v>
      </c>
      <c r="AM286" s="299">
        <v>21.7</v>
      </c>
      <c r="AN286">
        <v>0.7</v>
      </c>
      <c r="AO286">
        <v>0.63</v>
      </c>
      <c r="AP286" t="s">
        <v>776</v>
      </c>
      <c r="AR286" s="284">
        <v>158.1</v>
      </c>
      <c r="AS286" s="1">
        <v>5.0999999999999996</v>
      </c>
      <c r="AT286" s="1">
        <v>5.27</v>
      </c>
      <c r="AU286" s="1" t="s">
        <v>776</v>
      </c>
      <c r="AW286" s="284">
        <v>31.62</v>
      </c>
      <c r="AX286" s="1">
        <v>1.02</v>
      </c>
      <c r="AY286" s="1">
        <v>0.97</v>
      </c>
      <c r="AZ286" s="1" t="s">
        <v>776</v>
      </c>
      <c r="BB286" s="284">
        <v>23.25</v>
      </c>
      <c r="BC286" s="1">
        <v>0.75</v>
      </c>
      <c r="BD286" s="1">
        <v>0.76</v>
      </c>
      <c r="BE286" s="1" t="s">
        <v>776</v>
      </c>
      <c r="BG286" s="284">
        <v>28.21</v>
      </c>
      <c r="BH286" s="1">
        <v>0.91</v>
      </c>
      <c r="BI286" s="1">
        <v>1.04</v>
      </c>
      <c r="BJ286" s="1" t="s">
        <v>776</v>
      </c>
      <c r="BL286" s="284">
        <v>104.05</v>
      </c>
      <c r="BM286" s="1">
        <v>3.36</v>
      </c>
      <c r="BN286" s="1">
        <v>3.27</v>
      </c>
      <c r="BO286" s="1" t="s">
        <v>776</v>
      </c>
      <c r="BQ286" s="284">
        <v>10.54</v>
      </c>
      <c r="BR286" s="1">
        <v>0.34</v>
      </c>
      <c r="BS286" s="1">
        <v>0.41</v>
      </c>
      <c r="BT286" s="1" t="s">
        <v>776</v>
      </c>
      <c r="BV286" s="284">
        <v>6.82</v>
      </c>
      <c r="BW286" s="1">
        <v>0.22</v>
      </c>
      <c r="BX286" s="1">
        <v>0.28999999999999998</v>
      </c>
      <c r="BY286" s="1" t="s">
        <v>776</v>
      </c>
      <c r="CA286" s="284">
        <v>10.54</v>
      </c>
      <c r="CB286" s="1">
        <v>0.34</v>
      </c>
      <c r="CC286" s="1">
        <v>0.37</v>
      </c>
      <c r="CD286" s="1" t="s">
        <v>776</v>
      </c>
      <c r="CF286" s="284">
        <v>45.56</v>
      </c>
      <c r="CG286" s="1">
        <v>1.47</v>
      </c>
      <c r="CH286" s="1">
        <v>1.47</v>
      </c>
      <c r="CI286" s="1" t="s">
        <v>776</v>
      </c>
      <c r="CK286" s="284">
        <v>151.02000000000001</v>
      </c>
      <c r="CL286" s="1">
        <v>4.87</v>
      </c>
      <c r="CM286" s="1">
        <v>4.76</v>
      </c>
      <c r="CN286" s="1">
        <v>8.9499999999999993</v>
      </c>
      <c r="CP286" s="284">
        <v>191.82</v>
      </c>
      <c r="CQ286" s="1">
        <v>6.19</v>
      </c>
      <c r="CR286" s="1">
        <v>6.48</v>
      </c>
      <c r="CS286" s="1">
        <v>9.34</v>
      </c>
      <c r="CU286" s="284">
        <v>177.48</v>
      </c>
      <c r="CV286" s="1">
        <v>5.73</v>
      </c>
      <c r="CW286" s="1">
        <v>5.58</v>
      </c>
      <c r="CX286" s="1">
        <v>9.2799999999999994</v>
      </c>
      <c r="CZ286" s="269">
        <v>31.39</v>
      </c>
      <c r="DA286" s="1">
        <v>1.01</v>
      </c>
      <c r="DC286" s="284">
        <v>29.1</v>
      </c>
      <c r="DD286" s="1">
        <v>0.94</v>
      </c>
      <c r="DE286" s="1">
        <v>0.96</v>
      </c>
      <c r="DF286" s="1" t="s">
        <v>776</v>
      </c>
      <c r="DH286" s="284">
        <f>DI286*31</f>
        <v>73.47</v>
      </c>
      <c r="DI286" s="1">
        <f t="shared" si="348"/>
        <v>2.37</v>
      </c>
      <c r="DJ286" s="1">
        <f t="shared" si="364"/>
        <v>2.5408333333333335</v>
      </c>
      <c r="DM286" s="284">
        <f>DN286*31</f>
        <v>3631.0299999999993</v>
      </c>
      <c r="DN286" s="77">
        <f t="shared" si="351"/>
        <v>117.12999999999998</v>
      </c>
      <c r="DO286" s="77">
        <f t="shared" si="365"/>
        <v>107.21830555555555</v>
      </c>
      <c r="DR286" s="284">
        <f>DS286*30</f>
        <v>562.20000000000005</v>
      </c>
      <c r="DS286" s="77">
        <f t="shared" si="354"/>
        <v>18.740000000000002</v>
      </c>
      <c r="DT286" s="77" t="e">
        <f>SUM(CH286+CM286+CR286+CW286+#REF!)</f>
        <v>#REF!</v>
      </c>
      <c r="DU286" s="201"/>
      <c r="DV286" s="201"/>
      <c r="DW286" s="284">
        <f>DX286*31</f>
        <v>4211.9699999999993</v>
      </c>
      <c r="DX286" s="77">
        <f t="shared" si="366"/>
        <v>135.86999999999998</v>
      </c>
      <c r="DY286" s="77">
        <f t="shared" si="367"/>
        <v>125.86580555555554</v>
      </c>
      <c r="ED286" s="201"/>
      <c r="EE286" s="201"/>
      <c r="EL286">
        <v>2021</v>
      </c>
      <c r="EM286" t="s">
        <v>714</v>
      </c>
      <c r="EN286" t="s">
        <v>841</v>
      </c>
      <c r="EO286">
        <v>244.21</v>
      </c>
    </row>
    <row r="287" spans="1:145" x14ac:dyDescent="0.25">
      <c r="A287" s="265">
        <v>2021</v>
      </c>
      <c r="B287" s="247" t="s">
        <v>705</v>
      </c>
      <c r="C287" s="247"/>
      <c r="D287" s="284">
        <v>240.95</v>
      </c>
      <c r="E287" s="1">
        <v>8.0299999999999994</v>
      </c>
      <c r="F287" s="1">
        <v>7.04</v>
      </c>
      <c r="G287" s="1">
        <v>28.7</v>
      </c>
      <c r="I287" s="284">
        <v>17</v>
      </c>
      <c r="J287" s="1">
        <v>0.56999999999999995</v>
      </c>
      <c r="K287" s="1">
        <v>0.54</v>
      </c>
      <c r="L287" s="1">
        <v>0.69</v>
      </c>
      <c r="N287" s="284">
        <v>98.02</v>
      </c>
      <c r="O287" s="1">
        <v>3.27</v>
      </c>
      <c r="P287" s="1">
        <v>3.08</v>
      </c>
      <c r="Q287" s="1">
        <v>5.01</v>
      </c>
      <c r="S287" s="284">
        <v>253.49</v>
      </c>
      <c r="T287" s="1">
        <v>8.4499999999999993</v>
      </c>
      <c r="U287" s="1">
        <v>7.63</v>
      </c>
      <c r="V287" s="1">
        <v>12.02</v>
      </c>
      <c r="X287" s="278">
        <v>661.51</v>
      </c>
      <c r="Y287" s="117">
        <v>22.05</v>
      </c>
      <c r="Z287" s="181">
        <v>19.350000000000001</v>
      </c>
      <c r="AA287" s="180">
        <v>46.8</v>
      </c>
      <c r="AC287" s="284">
        <v>915</v>
      </c>
      <c r="AD287" s="1">
        <v>30.5</v>
      </c>
      <c r="AE287" s="1">
        <v>26.98</v>
      </c>
      <c r="AF287" s="1">
        <v>58.82</v>
      </c>
      <c r="AH287" s="299">
        <v>1895.91</v>
      </c>
      <c r="AI287">
        <v>63.2</v>
      </c>
      <c r="AJ287">
        <v>60.96</v>
      </c>
      <c r="AK287">
        <v>174.2</v>
      </c>
      <c r="AM287" s="299">
        <v>15.9</v>
      </c>
      <c r="AN287">
        <v>0.53</v>
      </c>
      <c r="AO287">
        <v>0.62</v>
      </c>
      <c r="AP287" t="s">
        <v>776</v>
      </c>
      <c r="AR287" s="284">
        <v>134.4</v>
      </c>
      <c r="AS287" s="1">
        <v>4.4800000000000004</v>
      </c>
      <c r="AT287" s="1">
        <v>5.1100000000000003</v>
      </c>
      <c r="AU287" s="1" t="s">
        <v>776</v>
      </c>
      <c r="AW287" s="284">
        <v>29.4</v>
      </c>
      <c r="AX287" s="1">
        <v>0.98</v>
      </c>
      <c r="AY287" s="1">
        <v>0.96</v>
      </c>
      <c r="AZ287" s="1" t="s">
        <v>776</v>
      </c>
      <c r="BB287" s="284">
        <v>19.8</v>
      </c>
      <c r="BC287" s="1">
        <v>0.66</v>
      </c>
      <c r="BD287" s="1">
        <v>0.77</v>
      </c>
      <c r="BE287" s="1" t="s">
        <v>776</v>
      </c>
      <c r="BG287" s="284">
        <v>24.3</v>
      </c>
      <c r="BH287" s="1">
        <v>0.81</v>
      </c>
      <c r="BI287" s="1">
        <v>0.96</v>
      </c>
      <c r="BJ287" s="1" t="s">
        <v>776</v>
      </c>
      <c r="BL287" s="284">
        <v>100.69</v>
      </c>
      <c r="BM287" s="1">
        <v>3.36</v>
      </c>
      <c r="BN287" s="1">
        <v>3.28</v>
      </c>
      <c r="BO287" s="1" t="s">
        <v>776</v>
      </c>
      <c r="BQ287" s="284">
        <v>9.9</v>
      </c>
      <c r="BR287" s="1">
        <v>0.33</v>
      </c>
      <c r="BS287" s="1">
        <v>0.41</v>
      </c>
      <c r="BT287" s="1" t="s">
        <v>776</v>
      </c>
      <c r="BV287" s="284">
        <v>5.4</v>
      </c>
      <c r="BW287" s="1">
        <v>0.18</v>
      </c>
      <c r="BX287" s="1">
        <v>0.28000000000000003</v>
      </c>
      <c r="BY287" s="1" t="s">
        <v>776</v>
      </c>
      <c r="CA287" s="284">
        <v>9</v>
      </c>
      <c r="CB287" s="1">
        <v>0.3</v>
      </c>
      <c r="CC287" s="1">
        <v>0.36</v>
      </c>
      <c r="CD287" s="1" t="s">
        <v>776</v>
      </c>
      <c r="CF287" s="284">
        <v>44.09</v>
      </c>
      <c r="CG287" s="1">
        <v>1.47</v>
      </c>
      <c r="CH287" s="1">
        <v>1.47</v>
      </c>
      <c r="CI287" s="1" t="s">
        <v>776</v>
      </c>
      <c r="CK287" s="284">
        <v>145.01</v>
      </c>
      <c r="CL287" s="1">
        <v>4.83</v>
      </c>
      <c r="CM287" s="1">
        <v>4.74</v>
      </c>
      <c r="CN287" s="1">
        <v>6.92</v>
      </c>
      <c r="CP287" s="284">
        <v>185.39</v>
      </c>
      <c r="CQ287" s="1">
        <v>6.18</v>
      </c>
      <c r="CR287" s="1">
        <v>6.38</v>
      </c>
      <c r="CS287" s="1">
        <v>9.0500000000000007</v>
      </c>
      <c r="CU287" s="284">
        <v>168.77</v>
      </c>
      <c r="CV287" s="1">
        <v>5.63</v>
      </c>
      <c r="CW287" s="1">
        <v>5.55</v>
      </c>
      <c r="CX287" s="1">
        <v>8.25</v>
      </c>
      <c r="CZ287" s="269">
        <v>30.06</v>
      </c>
      <c r="DA287" s="1">
        <v>1</v>
      </c>
      <c r="DC287" s="284">
        <v>28.17</v>
      </c>
      <c r="DD287" s="1">
        <v>0.94</v>
      </c>
      <c r="DE287" s="1">
        <v>0.95</v>
      </c>
      <c r="DF287" s="1" t="s">
        <v>776</v>
      </c>
      <c r="DH287" s="284">
        <f>DI287*30</f>
        <v>68.400000000000006</v>
      </c>
      <c r="DI287" s="1">
        <f t="shared" si="348"/>
        <v>2.2800000000000002</v>
      </c>
      <c r="DJ287" s="1">
        <f t="shared" si="364"/>
        <v>2.5116666666666667</v>
      </c>
      <c r="DM287" s="284">
        <f>DN287*30</f>
        <v>3423.3</v>
      </c>
      <c r="DN287" s="77">
        <f t="shared" si="351"/>
        <v>114.11</v>
      </c>
      <c r="DO287" s="77">
        <f t="shared" si="365"/>
        <v>107.79583333333333</v>
      </c>
      <c r="DR287" s="284">
        <f>DS287*30</f>
        <v>557.40000000000009</v>
      </c>
      <c r="DS287" s="77">
        <f t="shared" si="354"/>
        <v>18.580000000000002</v>
      </c>
      <c r="DT287" s="77" t="e">
        <f>SUM(CH287+CM287+CR287+CW287+#REF!)</f>
        <v>#REF!</v>
      </c>
      <c r="DU287" s="201"/>
      <c r="DV287" s="201"/>
      <c r="DW287" s="284">
        <f>DX287*30</f>
        <v>3980.7</v>
      </c>
      <c r="DX287" s="77">
        <f t="shared" si="366"/>
        <v>132.69</v>
      </c>
      <c r="DY287" s="77">
        <f t="shared" si="367"/>
        <v>126.29666666666667</v>
      </c>
      <c r="ED287" s="201"/>
      <c r="EE287" s="201"/>
      <c r="EL287">
        <v>2021</v>
      </c>
      <c r="EM287" t="s">
        <v>705</v>
      </c>
      <c r="EN287" t="s">
        <v>841</v>
      </c>
      <c r="EO287">
        <v>240.95</v>
      </c>
    </row>
    <row r="288" spans="1:145" x14ac:dyDescent="0.25">
      <c r="A288" s="265">
        <v>2021</v>
      </c>
      <c r="B288" s="247" t="s">
        <v>715</v>
      </c>
      <c r="C288" s="247"/>
      <c r="D288" s="284">
        <v>215.2</v>
      </c>
      <c r="E288" s="1">
        <v>6.94</v>
      </c>
      <c r="F288" s="1">
        <v>7.06</v>
      </c>
      <c r="G288" s="1">
        <v>23.21</v>
      </c>
      <c r="I288" s="284">
        <v>20.190000000000001</v>
      </c>
      <c r="J288" s="1">
        <v>0.65</v>
      </c>
      <c r="K288" s="1">
        <v>0.56000000000000005</v>
      </c>
      <c r="L288" s="1">
        <v>1.28</v>
      </c>
      <c r="N288" s="284">
        <v>92.13</v>
      </c>
      <c r="O288" s="1">
        <v>2.97</v>
      </c>
      <c r="P288" s="1">
        <v>3.07</v>
      </c>
      <c r="Q288" s="1">
        <v>8.67</v>
      </c>
      <c r="S288" s="284">
        <v>217.5</v>
      </c>
      <c r="T288" s="1">
        <v>7.02</v>
      </c>
      <c r="U288" s="1">
        <v>7.53</v>
      </c>
      <c r="V288" s="1">
        <v>10.59</v>
      </c>
      <c r="X288" s="278">
        <v>569.88</v>
      </c>
      <c r="Y288" s="117">
        <v>18.38</v>
      </c>
      <c r="Z288" s="181">
        <v>19.260000000000002</v>
      </c>
      <c r="AA288" s="180">
        <v>25.19</v>
      </c>
      <c r="AC288" s="284">
        <v>787.38</v>
      </c>
      <c r="AD288" s="1">
        <v>25.4</v>
      </c>
      <c r="AE288" s="1">
        <v>26.78</v>
      </c>
      <c r="AF288" s="1">
        <v>35.78</v>
      </c>
      <c r="AH288" s="299">
        <v>1715.95</v>
      </c>
      <c r="AI288">
        <v>55.35</v>
      </c>
      <c r="AJ288">
        <v>60.62</v>
      </c>
      <c r="AK288">
        <v>184.4</v>
      </c>
      <c r="AM288" s="299">
        <v>14.88</v>
      </c>
      <c r="AN288">
        <v>0.48</v>
      </c>
      <c r="AO288">
        <v>0.62</v>
      </c>
      <c r="AP288" t="s">
        <v>776</v>
      </c>
      <c r="AR288" s="284">
        <v>125.24</v>
      </c>
      <c r="AS288" s="1">
        <v>4.04</v>
      </c>
      <c r="AT288" s="1">
        <v>4.95</v>
      </c>
      <c r="AU288" s="1" t="s">
        <v>776</v>
      </c>
      <c r="AW288" s="284">
        <v>24.8</v>
      </c>
      <c r="AX288" s="1">
        <v>0.8</v>
      </c>
      <c r="AY288" s="1">
        <v>0.96</v>
      </c>
      <c r="AZ288" s="1" t="s">
        <v>776</v>
      </c>
      <c r="BB288" s="284">
        <v>19.22</v>
      </c>
      <c r="BC288" s="1">
        <v>0.62</v>
      </c>
      <c r="BD288" s="1">
        <v>0.76</v>
      </c>
      <c r="BE288" s="1" t="s">
        <v>776</v>
      </c>
      <c r="BG288" s="284">
        <v>21.7</v>
      </c>
      <c r="BH288" s="1">
        <v>0.7</v>
      </c>
      <c r="BI288" s="1">
        <v>0.9</v>
      </c>
      <c r="BJ288" s="1" t="s">
        <v>776</v>
      </c>
      <c r="BL288" s="284">
        <v>104.05</v>
      </c>
      <c r="BM288" s="1">
        <v>3.36</v>
      </c>
      <c r="BN288" s="1">
        <v>3.3</v>
      </c>
      <c r="BO288" s="1" t="s">
        <v>776</v>
      </c>
      <c r="BQ288" s="284">
        <v>10.85</v>
      </c>
      <c r="BR288" s="1">
        <v>0.35</v>
      </c>
      <c r="BS288" s="1">
        <v>0.4</v>
      </c>
      <c r="BT288" s="1" t="s">
        <v>776</v>
      </c>
      <c r="BV288" s="284">
        <v>5.89</v>
      </c>
      <c r="BW288" s="1">
        <v>0.19</v>
      </c>
      <c r="BX288" s="1">
        <v>0.26</v>
      </c>
      <c r="BY288" s="1" t="s">
        <v>776</v>
      </c>
      <c r="CA288" s="284">
        <v>9.3000000000000007</v>
      </c>
      <c r="CB288" s="1">
        <v>0.3</v>
      </c>
      <c r="CC288" s="1">
        <v>0.36</v>
      </c>
      <c r="CD288" s="1" t="s">
        <v>776</v>
      </c>
      <c r="CF288" s="284">
        <v>45.56</v>
      </c>
      <c r="CG288" s="1">
        <v>1.47</v>
      </c>
      <c r="CH288" s="1">
        <v>1.47</v>
      </c>
      <c r="CI288" s="1" t="s">
        <v>776</v>
      </c>
      <c r="CK288" s="284">
        <v>138.44999999999999</v>
      </c>
      <c r="CL288" s="1">
        <v>4.47</v>
      </c>
      <c r="CM288" s="1">
        <v>4.6399999999999997</v>
      </c>
      <c r="CN288" s="1">
        <v>6.74</v>
      </c>
      <c r="CP288" s="284">
        <v>201.66</v>
      </c>
      <c r="CQ288" s="1">
        <v>6.51</v>
      </c>
      <c r="CR288" s="1">
        <v>6.33</v>
      </c>
      <c r="CS288" s="1">
        <v>9.0399999999999991</v>
      </c>
      <c r="CU288" s="284">
        <v>164.45</v>
      </c>
      <c r="CV288" s="1">
        <v>5.3</v>
      </c>
      <c r="CW288" s="1">
        <v>5.49</v>
      </c>
      <c r="CX288" s="1">
        <v>8.1</v>
      </c>
      <c r="CZ288" s="269">
        <v>26.47</v>
      </c>
      <c r="DA288" s="1">
        <v>0.85</v>
      </c>
      <c r="DC288" s="284">
        <v>29.1</v>
      </c>
      <c r="DD288" s="1">
        <v>0.94</v>
      </c>
      <c r="DE288" s="1">
        <v>0.95</v>
      </c>
      <c r="DF288" s="1" t="s">
        <v>776</v>
      </c>
      <c r="DH288" s="284">
        <f>DI288*31</f>
        <v>71.61</v>
      </c>
      <c r="DI288" s="1">
        <f t="shared" si="348"/>
        <v>2.31</v>
      </c>
      <c r="DJ288" s="1">
        <f t="shared" si="364"/>
        <v>2.48</v>
      </c>
      <c r="DM288" s="284">
        <f>DN288*31</f>
        <v>3069.0000000000005</v>
      </c>
      <c r="DN288" s="77">
        <f t="shared" si="351"/>
        <v>99.000000000000014</v>
      </c>
      <c r="DO288" s="77">
        <f t="shared" si="365"/>
        <v>107.09749999999998</v>
      </c>
      <c r="DR288" s="284">
        <f>DS288*31</f>
        <v>560.17000000000007</v>
      </c>
      <c r="DS288" s="77">
        <f t="shared" si="354"/>
        <v>18.070000000000004</v>
      </c>
      <c r="DT288" s="77" t="e">
        <f>SUM(CH288+CM288+CR288+CW288+#REF!)</f>
        <v>#REF!</v>
      </c>
      <c r="DU288" s="201"/>
      <c r="DV288" s="201"/>
      <c r="DW288" s="284">
        <f>DX288*31</f>
        <v>3629.1700000000005</v>
      </c>
      <c r="DX288" s="77">
        <f t="shared" si="366"/>
        <v>117.07000000000002</v>
      </c>
      <c r="DY288" s="77">
        <f t="shared" si="367"/>
        <v>125.36999999999999</v>
      </c>
      <c r="ED288" s="201"/>
      <c r="EE288" s="201"/>
      <c r="EL288">
        <v>2021</v>
      </c>
      <c r="EM288" t="s">
        <v>715</v>
      </c>
      <c r="EN288" t="s">
        <v>841</v>
      </c>
      <c r="EO288">
        <v>215.2</v>
      </c>
    </row>
    <row r="289" spans="1:145" x14ac:dyDescent="0.25">
      <c r="A289" s="265">
        <v>2021</v>
      </c>
      <c r="B289" s="247" t="s">
        <v>718</v>
      </c>
      <c r="C289" s="247"/>
      <c r="D289" s="284">
        <v>224.51</v>
      </c>
      <c r="E289" s="1">
        <v>7.48</v>
      </c>
      <c r="F289" s="1">
        <v>7.15</v>
      </c>
      <c r="G289" s="1">
        <v>36.5</v>
      </c>
      <c r="I289" s="284">
        <v>18.920000000000002</v>
      </c>
      <c r="J289" s="1">
        <v>0.63</v>
      </c>
      <c r="K289" s="1">
        <v>0.56999999999999995</v>
      </c>
      <c r="L289" s="1">
        <v>0.93</v>
      </c>
      <c r="N289" s="284">
        <v>104.72</v>
      </c>
      <c r="O289" s="1">
        <v>3.49</v>
      </c>
      <c r="P289" s="1">
        <v>3.1</v>
      </c>
      <c r="Q289" s="1">
        <v>7.54</v>
      </c>
      <c r="S289" s="284">
        <v>207.35</v>
      </c>
      <c r="T289" s="1">
        <v>6.91</v>
      </c>
      <c r="U289" s="1">
        <v>7.47</v>
      </c>
      <c r="V289" s="1">
        <v>12.75</v>
      </c>
      <c r="X289" s="278">
        <v>535.54</v>
      </c>
      <c r="Y289" s="117">
        <v>17.850000000000001</v>
      </c>
      <c r="Z289" s="181">
        <v>19.260000000000002</v>
      </c>
      <c r="AA289" s="180">
        <v>29.21</v>
      </c>
      <c r="AC289" s="284">
        <v>742.89</v>
      </c>
      <c r="AD289" s="1">
        <v>24.76</v>
      </c>
      <c r="AE289" s="1">
        <v>26.73</v>
      </c>
      <c r="AF289" s="1">
        <v>41.96</v>
      </c>
      <c r="AH289" s="299">
        <v>1668.03</v>
      </c>
      <c r="AI289">
        <v>55.6</v>
      </c>
      <c r="AJ289">
        <v>60.69</v>
      </c>
      <c r="AK289">
        <v>181.6</v>
      </c>
      <c r="AM289" s="299">
        <v>16.8</v>
      </c>
      <c r="AN289">
        <v>0.56000000000000005</v>
      </c>
      <c r="AO289">
        <v>0.62</v>
      </c>
      <c r="AP289" t="s">
        <v>776</v>
      </c>
      <c r="AR289" s="284">
        <v>130.5</v>
      </c>
      <c r="AS289" s="1">
        <v>4.3499999999999996</v>
      </c>
      <c r="AT289" s="1">
        <v>4.84</v>
      </c>
      <c r="AU289" s="1" t="s">
        <v>776</v>
      </c>
      <c r="AW289" s="284">
        <v>28.2</v>
      </c>
      <c r="AX289" s="1">
        <v>0.94</v>
      </c>
      <c r="AY289" s="1">
        <v>0.97</v>
      </c>
      <c r="AZ289" s="1" t="s">
        <v>776</v>
      </c>
      <c r="BB289" s="284">
        <v>20.399999999999999</v>
      </c>
      <c r="BC289" s="1">
        <v>0.68</v>
      </c>
      <c r="BD289" s="1">
        <v>0.76</v>
      </c>
      <c r="BE289" s="1" t="s">
        <v>776</v>
      </c>
      <c r="BG289" s="284">
        <v>22.8</v>
      </c>
      <c r="BH289" s="1">
        <v>0.76</v>
      </c>
      <c r="BI289" s="1">
        <v>0.86</v>
      </c>
      <c r="BJ289" s="1" t="s">
        <v>776</v>
      </c>
      <c r="BL289" s="284">
        <v>100.69</v>
      </c>
      <c r="BM289" s="1">
        <v>3.36</v>
      </c>
      <c r="BN289" s="1">
        <v>3.31</v>
      </c>
      <c r="BO289" s="1" t="s">
        <v>776</v>
      </c>
      <c r="BQ289" s="284">
        <v>10.5</v>
      </c>
      <c r="BR289" s="1">
        <v>0.35</v>
      </c>
      <c r="BS289" s="1">
        <v>0.39</v>
      </c>
      <c r="BT289" s="1" t="s">
        <v>776</v>
      </c>
      <c r="BV289" s="284">
        <v>5.4</v>
      </c>
      <c r="BW289" s="1">
        <v>0.18</v>
      </c>
      <c r="BX289" s="1">
        <v>0.23</v>
      </c>
      <c r="BY289" s="1" t="s">
        <v>776</v>
      </c>
      <c r="CA289" s="284">
        <v>9.9</v>
      </c>
      <c r="CB289" s="1">
        <v>0.33</v>
      </c>
      <c r="CC289" s="1">
        <v>0.35</v>
      </c>
      <c r="CD289" s="1" t="s">
        <v>776</v>
      </c>
      <c r="CF289" s="284">
        <v>44.09</v>
      </c>
      <c r="CG289" s="1">
        <v>1.47</v>
      </c>
      <c r="CH289" s="1">
        <v>1.47</v>
      </c>
      <c r="CI289" s="1" t="s">
        <v>776</v>
      </c>
      <c r="CK289" s="284">
        <v>115.33</v>
      </c>
      <c r="CL289" s="1">
        <v>3.84</v>
      </c>
      <c r="CM289" s="1">
        <v>4.57</v>
      </c>
      <c r="CN289" s="1">
        <v>7.82</v>
      </c>
      <c r="CP289" s="284">
        <v>198.43</v>
      </c>
      <c r="CQ289" s="1">
        <v>6.61</v>
      </c>
      <c r="CR289" s="1">
        <v>6.04</v>
      </c>
      <c r="CS289" s="1">
        <v>27.93</v>
      </c>
      <c r="CU289" s="284">
        <v>162.12</v>
      </c>
      <c r="CV289" s="1">
        <v>5.4</v>
      </c>
      <c r="CW289" s="1">
        <v>5.46</v>
      </c>
      <c r="CX289" s="1">
        <v>8.7100000000000009</v>
      </c>
      <c r="CZ289" s="269">
        <v>24.04</v>
      </c>
      <c r="DA289" s="1">
        <v>0.8</v>
      </c>
      <c r="DC289" s="284">
        <v>28.17</v>
      </c>
      <c r="DD289" s="1">
        <v>0.94</v>
      </c>
      <c r="DE289" s="1">
        <v>0.95</v>
      </c>
      <c r="DF289" s="1" t="s">
        <v>776</v>
      </c>
      <c r="DH289" s="284">
        <f>DI289*30</f>
        <v>69.900000000000006</v>
      </c>
      <c r="DI289" s="1">
        <f t="shared" si="348"/>
        <v>2.33</v>
      </c>
      <c r="DJ289" s="1">
        <f t="shared" si="364"/>
        <v>2.4466666666666668</v>
      </c>
      <c r="DM289" s="284">
        <f>DN289*30</f>
        <v>3008.4000000000005</v>
      </c>
      <c r="DN289" s="77">
        <f t="shared" si="351"/>
        <v>100.28000000000002</v>
      </c>
      <c r="DO289" s="77">
        <f t="shared" si="365"/>
        <v>107.15499999999999</v>
      </c>
      <c r="DR289" s="284">
        <f>DS289*30</f>
        <v>527.70000000000005</v>
      </c>
      <c r="DS289" s="77">
        <f t="shared" si="354"/>
        <v>17.59</v>
      </c>
      <c r="DT289" s="77" t="e">
        <f>SUM(CH289+CM289+CR289+CW289+#REF!)</f>
        <v>#REF!</v>
      </c>
      <c r="DU289" s="201"/>
      <c r="DV289" s="201"/>
      <c r="DW289" s="284">
        <f>DX289*30</f>
        <v>3536.1000000000004</v>
      </c>
      <c r="DX289" s="77">
        <f t="shared" si="366"/>
        <v>117.87000000000002</v>
      </c>
      <c r="DY289" s="77">
        <f t="shared" si="367"/>
        <v>125.02499999999999</v>
      </c>
      <c r="ED289" s="201"/>
      <c r="EE289" s="201"/>
      <c r="EL289">
        <v>2021</v>
      </c>
      <c r="EM289" t="s">
        <v>718</v>
      </c>
      <c r="EN289" t="s">
        <v>841</v>
      </c>
      <c r="EO289">
        <v>224.51</v>
      </c>
    </row>
    <row r="290" spans="1:145" x14ac:dyDescent="0.25">
      <c r="A290" s="265">
        <v>2021</v>
      </c>
      <c r="B290" s="247" t="s">
        <v>716</v>
      </c>
      <c r="C290" s="247"/>
      <c r="D290" s="284">
        <v>194.55</v>
      </c>
      <c r="E290" s="1">
        <v>6.28</v>
      </c>
      <c r="F290" s="1">
        <v>7.17</v>
      </c>
      <c r="G290" s="1">
        <v>20</v>
      </c>
      <c r="I290" s="284">
        <v>19.079999999999998</v>
      </c>
      <c r="J290" s="1">
        <v>0.62</v>
      </c>
      <c r="K290" s="1">
        <v>0.56999999999999995</v>
      </c>
      <c r="L290" s="1">
        <v>1.27</v>
      </c>
      <c r="N290" s="284">
        <v>92.8</v>
      </c>
      <c r="O290" s="1">
        <v>2.99</v>
      </c>
      <c r="P290" s="1">
        <v>3.1</v>
      </c>
      <c r="Q290" s="1">
        <v>6.42</v>
      </c>
      <c r="S290" s="284">
        <v>184.43</v>
      </c>
      <c r="T290" s="1">
        <v>5.95</v>
      </c>
      <c r="U290" s="1">
        <v>7.36</v>
      </c>
      <c r="V290" s="1">
        <v>9.91</v>
      </c>
      <c r="X290" s="278">
        <v>563.45000000000005</v>
      </c>
      <c r="Y290" s="117">
        <v>18.18</v>
      </c>
      <c r="Z290" s="181">
        <v>19.36</v>
      </c>
      <c r="AA290" s="180">
        <v>26.08</v>
      </c>
      <c r="AC290" s="284">
        <v>747.88</v>
      </c>
      <c r="AD290" s="1">
        <v>24.13</v>
      </c>
      <c r="AE290" s="1">
        <v>26.72</v>
      </c>
      <c r="AF290" s="1">
        <v>35.99</v>
      </c>
      <c r="AH290" s="299">
        <v>1635.85</v>
      </c>
      <c r="AI290">
        <v>52.77</v>
      </c>
      <c r="AJ290">
        <v>60.63</v>
      </c>
      <c r="AK290">
        <v>160.30000000000001</v>
      </c>
      <c r="AM290" s="299">
        <v>13.95</v>
      </c>
      <c r="AN290">
        <v>0.45</v>
      </c>
      <c r="AO290">
        <v>0.61</v>
      </c>
      <c r="AP290" t="s">
        <v>776</v>
      </c>
      <c r="AR290" s="284">
        <v>117.18</v>
      </c>
      <c r="AS290" s="1">
        <v>3.78</v>
      </c>
      <c r="AT290" s="1">
        <v>4.72</v>
      </c>
      <c r="AU290" s="1" t="s">
        <v>776</v>
      </c>
      <c r="AW290" s="284">
        <v>24.8</v>
      </c>
      <c r="AX290" s="1">
        <v>0.8</v>
      </c>
      <c r="AY290" s="1">
        <v>0.95</v>
      </c>
      <c r="AZ290" s="1" t="s">
        <v>776</v>
      </c>
      <c r="BB290" s="284">
        <v>20.46</v>
      </c>
      <c r="BC290" s="1">
        <v>0.66</v>
      </c>
      <c r="BD290" s="1">
        <v>0.75</v>
      </c>
      <c r="BE290" s="1" t="s">
        <v>776</v>
      </c>
      <c r="BG290" s="284">
        <v>19.84</v>
      </c>
      <c r="BH290" s="1">
        <v>0.64</v>
      </c>
      <c r="BI290" s="1">
        <v>0.84</v>
      </c>
      <c r="BJ290" s="1" t="s">
        <v>776</v>
      </c>
      <c r="BL290" s="284">
        <v>104.05</v>
      </c>
      <c r="BM290" s="1">
        <v>3.36</v>
      </c>
      <c r="BN290" s="1">
        <v>3.33</v>
      </c>
      <c r="BO290" s="1" t="s">
        <v>776</v>
      </c>
      <c r="BQ290" s="284">
        <v>10.23</v>
      </c>
      <c r="BR290" s="1">
        <v>0.33</v>
      </c>
      <c r="BS290" s="1">
        <v>0.38</v>
      </c>
      <c r="BT290" s="1" t="s">
        <v>776</v>
      </c>
      <c r="BV290" s="284">
        <v>4.6500000000000004</v>
      </c>
      <c r="BW290" s="1">
        <v>0.15</v>
      </c>
      <c r="BX290" s="1">
        <v>0.23</v>
      </c>
      <c r="BY290" s="1" t="s">
        <v>776</v>
      </c>
      <c r="CA290" s="284">
        <v>8.99</v>
      </c>
      <c r="CB290" s="1">
        <v>0.28999999999999998</v>
      </c>
      <c r="CC290" s="1">
        <v>0.34</v>
      </c>
      <c r="CD290" s="1" t="s">
        <v>776</v>
      </c>
      <c r="CF290" s="284">
        <v>45.56</v>
      </c>
      <c r="CG290" s="1">
        <v>1.47</v>
      </c>
      <c r="CH290" s="1">
        <v>1.47</v>
      </c>
      <c r="CI290" s="1" t="s">
        <v>776</v>
      </c>
      <c r="CK290" s="284">
        <v>118.59</v>
      </c>
      <c r="CL290" s="1">
        <v>3.83</v>
      </c>
      <c r="CM290" s="1">
        <v>4.47</v>
      </c>
      <c r="CN290" s="1">
        <v>7.41</v>
      </c>
      <c r="CP290" s="284">
        <v>204.39</v>
      </c>
      <c r="CQ290" s="1">
        <v>6.59</v>
      </c>
      <c r="CR290" s="1">
        <v>6.1</v>
      </c>
      <c r="CS290" s="1">
        <v>11.57</v>
      </c>
      <c r="CU290" s="284">
        <v>157.09</v>
      </c>
      <c r="CV290" s="1">
        <v>5.07</v>
      </c>
      <c r="CW290" s="1">
        <v>5.45</v>
      </c>
      <c r="CX290" s="1">
        <v>10.69</v>
      </c>
      <c r="CZ290" s="269">
        <v>22.12</v>
      </c>
      <c r="DA290" s="1">
        <v>0.71</v>
      </c>
      <c r="DC290" s="284">
        <v>29.1</v>
      </c>
      <c r="DD290" s="1">
        <v>0.94</v>
      </c>
      <c r="DE290" s="1">
        <v>0.95</v>
      </c>
      <c r="DF290" s="1" t="s">
        <v>776</v>
      </c>
      <c r="DH290" s="284">
        <f>DI290*31</f>
        <v>69.440000000000012</v>
      </c>
      <c r="DI290" s="1">
        <f t="shared" si="348"/>
        <v>2.2400000000000002</v>
      </c>
      <c r="DJ290" s="1">
        <f t="shared" si="364"/>
        <v>2.4191666666666669</v>
      </c>
      <c r="DM290" s="284">
        <f>DN290*31</f>
        <v>2921.44</v>
      </c>
      <c r="DN290" s="77">
        <f t="shared" si="351"/>
        <v>94.24</v>
      </c>
      <c r="DO290" s="77">
        <f t="shared" si="365"/>
        <v>106.97583333333334</v>
      </c>
      <c r="DR290" s="284">
        <f>DS290*31</f>
        <v>531.34</v>
      </c>
      <c r="DS290" s="77">
        <f t="shared" si="354"/>
        <v>17.14</v>
      </c>
      <c r="DT290" s="77" t="e">
        <f>SUM(CH290+CM290+CR290+CW290+#REF!)</f>
        <v>#REF!</v>
      </c>
      <c r="DU290" s="201"/>
      <c r="DV290" s="201"/>
      <c r="DW290" s="284">
        <f>DX290*31</f>
        <v>3452.7799999999997</v>
      </c>
      <c r="DX290" s="77">
        <f t="shared" si="366"/>
        <v>111.38</v>
      </c>
      <c r="DY290" s="77">
        <f t="shared" si="367"/>
        <v>124.795</v>
      </c>
      <c r="ED290" s="201"/>
      <c r="EE290" s="201"/>
      <c r="EL290">
        <v>2021</v>
      </c>
      <c r="EM290" t="s">
        <v>716</v>
      </c>
      <c r="EN290" t="s">
        <v>841</v>
      </c>
      <c r="EO290">
        <v>194.55</v>
      </c>
    </row>
    <row r="291" spans="1:145" x14ac:dyDescent="0.25">
      <c r="A291" s="265">
        <v>2021</v>
      </c>
      <c r="B291" s="247" t="s">
        <v>708</v>
      </c>
      <c r="C291" s="247"/>
      <c r="D291" s="284">
        <v>196.02</v>
      </c>
      <c r="E291" s="1">
        <v>6.32</v>
      </c>
      <c r="F291" s="1">
        <v>7.1</v>
      </c>
      <c r="G291" s="1">
        <v>16.68</v>
      </c>
      <c r="I291" s="284">
        <v>20.13</v>
      </c>
      <c r="J291" s="1">
        <v>0.65</v>
      </c>
      <c r="K291" s="1">
        <v>0.57999999999999996</v>
      </c>
      <c r="L291" s="1">
        <v>1.27</v>
      </c>
      <c r="N291" s="284">
        <v>86.96</v>
      </c>
      <c r="O291" s="1">
        <v>2.81</v>
      </c>
      <c r="P291" s="1">
        <v>3.09</v>
      </c>
      <c r="Q291" s="1">
        <v>9.77</v>
      </c>
      <c r="S291" s="284">
        <v>187.58</v>
      </c>
      <c r="T291" s="1">
        <v>6.05</v>
      </c>
      <c r="U291" s="1">
        <v>7.23</v>
      </c>
      <c r="V291" s="1">
        <v>22.12</v>
      </c>
      <c r="X291" s="278">
        <v>586.41</v>
      </c>
      <c r="Y291" s="117">
        <v>18.920000000000002</v>
      </c>
      <c r="Z291" s="181">
        <v>19.440000000000001</v>
      </c>
      <c r="AA291" s="180">
        <v>36.92</v>
      </c>
      <c r="AC291" s="284">
        <v>773.99</v>
      </c>
      <c r="AD291" s="1">
        <v>24.97</v>
      </c>
      <c r="AE291" s="1">
        <v>26.66</v>
      </c>
      <c r="AF291" s="1">
        <v>59.04</v>
      </c>
      <c r="AH291" s="299">
        <v>1703.83</v>
      </c>
      <c r="AI291">
        <v>54.96</v>
      </c>
      <c r="AJ291">
        <v>60.21</v>
      </c>
      <c r="AK291">
        <v>174.9</v>
      </c>
      <c r="AM291" s="299">
        <v>12.71</v>
      </c>
      <c r="AN291">
        <v>0.41</v>
      </c>
      <c r="AO291">
        <v>0.59</v>
      </c>
      <c r="AP291" t="s">
        <v>776</v>
      </c>
      <c r="AR291" s="284">
        <v>124.31</v>
      </c>
      <c r="AS291" s="1">
        <v>4.01</v>
      </c>
      <c r="AT291" s="1">
        <v>4.66</v>
      </c>
      <c r="AU291" s="1" t="s">
        <v>776</v>
      </c>
      <c r="AW291" s="284">
        <v>26.97</v>
      </c>
      <c r="AX291" s="1">
        <v>0.87</v>
      </c>
      <c r="AY291" s="1">
        <v>0.94</v>
      </c>
      <c r="AZ291" s="1" t="s">
        <v>776</v>
      </c>
      <c r="BB291" s="284">
        <v>23.25</v>
      </c>
      <c r="BC291" s="1">
        <v>0.75</v>
      </c>
      <c r="BD291" s="1">
        <v>0.75</v>
      </c>
      <c r="BE291" s="1" t="s">
        <v>776</v>
      </c>
      <c r="BG291" s="284">
        <v>24.18</v>
      </c>
      <c r="BH291" s="1">
        <v>0.78</v>
      </c>
      <c r="BI291" s="1">
        <v>0.83</v>
      </c>
      <c r="BJ291" s="1" t="s">
        <v>776</v>
      </c>
      <c r="BL291" s="284">
        <v>104.05</v>
      </c>
      <c r="BM291" s="1">
        <v>3.36</v>
      </c>
      <c r="BN291" s="1">
        <v>3.34</v>
      </c>
      <c r="BO291" s="1" t="s">
        <v>776</v>
      </c>
      <c r="BQ291" s="284">
        <v>12.09</v>
      </c>
      <c r="BR291" s="1">
        <v>0.39</v>
      </c>
      <c r="BS291" s="1">
        <v>0.37</v>
      </c>
      <c r="BT291" s="1" t="s">
        <v>776</v>
      </c>
      <c r="BV291" s="284">
        <v>5.89</v>
      </c>
      <c r="BW291" s="1">
        <v>0.19</v>
      </c>
      <c r="BX291" s="1">
        <v>0.22</v>
      </c>
      <c r="BY291" s="1" t="s">
        <v>776</v>
      </c>
      <c r="CA291" s="284">
        <v>11.16</v>
      </c>
      <c r="CB291" s="1">
        <v>0.36</v>
      </c>
      <c r="CC291" s="1">
        <v>0.35</v>
      </c>
      <c r="CD291" s="1" t="s">
        <v>776</v>
      </c>
      <c r="CF291" s="284">
        <v>45.56</v>
      </c>
      <c r="CG291" s="1">
        <v>1.47</v>
      </c>
      <c r="CH291" s="1">
        <v>1.47</v>
      </c>
      <c r="CI291" s="1" t="s">
        <v>776</v>
      </c>
      <c r="CK291" s="284">
        <v>108.26</v>
      </c>
      <c r="CL291" s="1">
        <v>3.49</v>
      </c>
      <c r="CM291" s="1">
        <v>4.4000000000000004</v>
      </c>
      <c r="CN291" s="1">
        <v>12.9</v>
      </c>
      <c r="CP291" s="284">
        <v>233.13</v>
      </c>
      <c r="CQ291" s="1">
        <v>7.52</v>
      </c>
      <c r="CR291" s="1">
        <v>6.26</v>
      </c>
      <c r="CS291" s="1">
        <v>12.37</v>
      </c>
      <c r="CU291" s="284">
        <v>158.75</v>
      </c>
      <c r="CV291" s="1">
        <v>5.12</v>
      </c>
      <c r="CW291" s="1">
        <v>5.43</v>
      </c>
      <c r="CX291" s="1">
        <v>9.39</v>
      </c>
      <c r="CZ291" s="269">
        <v>22.05</v>
      </c>
      <c r="DA291" s="1">
        <v>0.71</v>
      </c>
      <c r="DC291" s="284">
        <v>29.1</v>
      </c>
      <c r="DD291" s="1">
        <v>0.94</v>
      </c>
      <c r="DE291" s="1">
        <v>0.94</v>
      </c>
      <c r="DF291" s="1" t="s">
        <v>776</v>
      </c>
      <c r="DH291" s="284">
        <f>DI291*31</f>
        <v>74.710000000000008</v>
      </c>
      <c r="DI291" s="1">
        <f t="shared" si="348"/>
        <v>2.41</v>
      </c>
      <c r="DJ291" s="1">
        <f t="shared" ref="DJ291:DJ316" si="368">SUM(DI280:DI291)/12</f>
        <v>2.4108333333333336</v>
      </c>
      <c r="DM291" s="284">
        <f>DN291*31</f>
        <v>3021.8800000000006</v>
      </c>
      <c r="DN291" s="77">
        <f t="shared" si="351"/>
        <v>97.480000000000018</v>
      </c>
      <c r="DO291" s="77">
        <f t="shared" si="365"/>
        <v>106.33416666666666</v>
      </c>
      <c r="DR291" s="284">
        <f>DS291*31</f>
        <v>551.18000000000006</v>
      </c>
      <c r="DS291" s="77">
        <f t="shared" si="354"/>
        <v>17.78</v>
      </c>
      <c r="DT291" s="77" t="e">
        <f>SUM(CH291+CM291+CR291+CW291+#REF!)</f>
        <v>#REF!</v>
      </c>
      <c r="DU291" s="201"/>
      <c r="DV291" s="201"/>
      <c r="DW291" s="284">
        <f>DX291*31</f>
        <v>3573.0600000000004</v>
      </c>
      <c r="DX291" s="77">
        <f t="shared" ref="DX291:DX295" si="369">SUM(DN291+DS291)</f>
        <v>115.26000000000002</v>
      </c>
      <c r="DY291" s="77">
        <f t="shared" ref="DY291:DY295" si="370">SUM(DX280:DX291)/12</f>
        <v>124.21166666666669</v>
      </c>
      <c r="ED291" s="201"/>
      <c r="EE291" s="201"/>
      <c r="EL291">
        <v>2021</v>
      </c>
      <c r="EM291" t="s">
        <v>708</v>
      </c>
      <c r="EN291" t="s">
        <v>841</v>
      </c>
      <c r="EO291">
        <v>196.02</v>
      </c>
    </row>
    <row r="292" spans="1:145" x14ac:dyDescent="0.25">
      <c r="A292" s="265">
        <v>2021</v>
      </c>
      <c r="B292" s="247" t="s">
        <v>709</v>
      </c>
      <c r="C292" s="247"/>
      <c r="D292" s="284">
        <v>189.69</v>
      </c>
      <c r="E292" s="1">
        <v>6.32</v>
      </c>
      <c r="F292" s="1">
        <v>7.06</v>
      </c>
      <c r="G292" s="1">
        <v>23.25</v>
      </c>
      <c r="I292" s="284">
        <v>19.02</v>
      </c>
      <c r="J292" s="1">
        <v>0.63</v>
      </c>
      <c r="K292" s="1">
        <v>0.6</v>
      </c>
      <c r="L292" s="1">
        <v>1.35</v>
      </c>
      <c r="N292" s="284">
        <v>88.45</v>
      </c>
      <c r="O292" s="1">
        <v>2.95</v>
      </c>
      <c r="P292" s="1">
        <v>3.09</v>
      </c>
      <c r="Q292" s="1">
        <v>10.48</v>
      </c>
      <c r="S292" s="284">
        <v>197.4</v>
      </c>
      <c r="T292" s="1">
        <v>6.58</v>
      </c>
      <c r="U292" s="1">
        <v>7.18</v>
      </c>
      <c r="V292" s="1">
        <v>25</v>
      </c>
      <c r="X292" s="278">
        <v>592.76</v>
      </c>
      <c r="Y292" s="117">
        <v>19.760000000000002</v>
      </c>
      <c r="Z292" s="181">
        <v>19.559999999999999</v>
      </c>
      <c r="AA292" s="180">
        <v>39.54</v>
      </c>
      <c r="AC292" s="284">
        <v>790.16</v>
      </c>
      <c r="AD292" s="1">
        <v>26.34</v>
      </c>
      <c r="AE292" s="1">
        <v>26.73</v>
      </c>
      <c r="AF292" s="1">
        <v>64.540000000000006</v>
      </c>
      <c r="AH292" s="299">
        <v>1646.48</v>
      </c>
      <c r="AI292">
        <v>54.88</v>
      </c>
      <c r="AJ292">
        <v>59.69</v>
      </c>
      <c r="AK292">
        <v>156.4</v>
      </c>
      <c r="AM292" s="299">
        <v>11.4</v>
      </c>
      <c r="AN292">
        <v>0.38</v>
      </c>
      <c r="AO292">
        <v>0.56999999999999995</v>
      </c>
      <c r="AP292" t="s">
        <v>776</v>
      </c>
      <c r="AR292" s="284">
        <v>112.8</v>
      </c>
      <c r="AS292" s="1">
        <v>3.76</v>
      </c>
      <c r="AT292" s="1">
        <v>4.58</v>
      </c>
      <c r="AU292" s="1" t="s">
        <v>776</v>
      </c>
      <c r="AW292" s="284">
        <v>21.3</v>
      </c>
      <c r="AX292" s="1">
        <v>0.71</v>
      </c>
      <c r="AY292" s="1">
        <v>0.91</v>
      </c>
      <c r="AZ292" s="1" t="s">
        <v>776</v>
      </c>
      <c r="BB292" s="284">
        <v>20.399999999999999</v>
      </c>
      <c r="BC292" s="1">
        <v>0.68</v>
      </c>
      <c r="BD292" s="1">
        <v>0.75</v>
      </c>
      <c r="BE292" s="1" t="s">
        <v>776</v>
      </c>
      <c r="BG292" s="284">
        <v>27</v>
      </c>
      <c r="BH292" s="1">
        <v>0.9</v>
      </c>
      <c r="BI292" s="1">
        <v>0.84</v>
      </c>
      <c r="BJ292" s="1" t="s">
        <v>776</v>
      </c>
      <c r="BL292" s="284">
        <v>100.69</v>
      </c>
      <c r="BM292" s="1">
        <v>3.36</v>
      </c>
      <c r="BN292" s="1">
        <v>3.36</v>
      </c>
      <c r="BO292" s="1" t="s">
        <v>776</v>
      </c>
      <c r="BQ292" s="284">
        <v>12.6</v>
      </c>
      <c r="BR292" s="1">
        <v>0.42</v>
      </c>
      <c r="BS292" s="1">
        <v>0.37</v>
      </c>
      <c r="BT292" s="1" t="s">
        <v>776</v>
      </c>
      <c r="BV292" s="284">
        <v>4.8</v>
      </c>
      <c r="BW292" s="1">
        <v>0.16</v>
      </c>
      <c r="BX292" s="1">
        <v>0.22</v>
      </c>
      <c r="BY292" s="1" t="s">
        <v>776</v>
      </c>
      <c r="CA292" s="284">
        <v>11.7</v>
      </c>
      <c r="CB292" s="1">
        <v>0.39</v>
      </c>
      <c r="CC292" s="1">
        <v>0.35</v>
      </c>
      <c r="CD292" s="1" t="s">
        <v>776</v>
      </c>
      <c r="CF292" s="284">
        <v>44.09</v>
      </c>
      <c r="CG292" s="1">
        <v>1.47</v>
      </c>
      <c r="CH292" s="1">
        <v>1.47</v>
      </c>
      <c r="CI292" s="1" t="s">
        <v>776</v>
      </c>
      <c r="CK292" s="284">
        <v>129.11000000000001</v>
      </c>
      <c r="CL292" s="1">
        <v>4.3</v>
      </c>
      <c r="CM292" s="1">
        <v>4.41</v>
      </c>
      <c r="CN292" s="1">
        <v>13.27</v>
      </c>
      <c r="CP292" s="284">
        <v>227.96</v>
      </c>
      <c r="CQ292" s="1">
        <v>7.6</v>
      </c>
      <c r="CR292" s="1">
        <v>6.45</v>
      </c>
      <c r="CS292" s="1">
        <v>13.55</v>
      </c>
      <c r="CU292" s="284">
        <v>160.9</v>
      </c>
      <c r="CV292" s="1">
        <v>5.36</v>
      </c>
      <c r="CW292" s="1">
        <v>5.45</v>
      </c>
      <c r="CX292" s="1">
        <v>11.64</v>
      </c>
      <c r="CZ292" s="269">
        <v>21.44</v>
      </c>
      <c r="DA292" s="1">
        <v>0.71</v>
      </c>
      <c r="DC292" s="284">
        <v>28.17</v>
      </c>
      <c r="DD292" s="1">
        <v>0.94</v>
      </c>
      <c r="DE292" s="1">
        <v>0.94</v>
      </c>
      <c r="DF292" s="1" t="s">
        <v>776</v>
      </c>
      <c r="DH292" s="284">
        <f>DI292*30</f>
        <v>73.2</v>
      </c>
      <c r="DI292" s="1">
        <f t="shared" si="348"/>
        <v>2.44</v>
      </c>
      <c r="DJ292" s="1">
        <f t="shared" si="368"/>
        <v>2.4075000000000006</v>
      </c>
      <c r="DM292" s="284">
        <f>DN292*30</f>
        <v>2954.1000000000004</v>
      </c>
      <c r="DN292" s="77">
        <f t="shared" si="351"/>
        <v>98.470000000000013</v>
      </c>
      <c r="DO292" s="77">
        <f t="shared" si="365"/>
        <v>105.75583333333333</v>
      </c>
      <c r="DR292" s="284">
        <f>DS292*30</f>
        <v>567.29999999999995</v>
      </c>
      <c r="DS292" s="77">
        <f t="shared" si="354"/>
        <v>18.91</v>
      </c>
      <c r="DT292" s="77" t="e">
        <f>SUM(CH292+CM292+CR292+CW292+#REF!)</f>
        <v>#REF!</v>
      </c>
      <c r="DU292" s="201"/>
      <c r="DV292" s="201"/>
      <c r="DW292" s="284">
        <f>DX292*30</f>
        <v>3521.4</v>
      </c>
      <c r="DX292" s="77">
        <f t="shared" si="369"/>
        <v>117.38000000000001</v>
      </c>
      <c r="DY292" s="77">
        <f t="shared" si="370"/>
        <v>123.84666666666668</v>
      </c>
      <c r="ED292" s="201"/>
      <c r="EE292" s="201"/>
      <c r="EL292">
        <v>2021</v>
      </c>
      <c r="EM292" t="s">
        <v>709</v>
      </c>
      <c r="EN292" t="s">
        <v>841</v>
      </c>
      <c r="EO292">
        <v>189.69</v>
      </c>
    </row>
    <row r="293" spans="1:145" x14ac:dyDescent="0.25">
      <c r="A293" s="265">
        <v>2021</v>
      </c>
      <c r="B293" s="247" t="s">
        <v>710</v>
      </c>
      <c r="C293" s="247"/>
      <c r="D293" s="284">
        <v>186.14</v>
      </c>
      <c r="E293" s="1">
        <v>6</v>
      </c>
      <c r="F293" s="1">
        <v>7</v>
      </c>
      <c r="G293" s="1">
        <v>19.29</v>
      </c>
      <c r="I293" s="284">
        <v>19.28</v>
      </c>
      <c r="J293" s="1">
        <v>0.62</v>
      </c>
      <c r="K293" s="1">
        <v>0.61</v>
      </c>
      <c r="L293" s="1">
        <v>0.84</v>
      </c>
      <c r="N293" s="284">
        <v>90.04</v>
      </c>
      <c r="O293" s="1">
        <v>2.9</v>
      </c>
      <c r="P293" s="1">
        <v>3.08</v>
      </c>
      <c r="Q293" s="1">
        <v>6.13</v>
      </c>
      <c r="S293" s="284">
        <v>181.62</v>
      </c>
      <c r="T293" s="1">
        <v>5.86</v>
      </c>
      <c r="U293" s="1">
        <v>7.14</v>
      </c>
      <c r="V293" s="1">
        <v>13.41</v>
      </c>
      <c r="X293" s="278">
        <v>545.44000000000005</v>
      </c>
      <c r="Y293" s="117">
        <v>17.59</v>
      </c>
      <c r="Z293" s="181">
        <v>19.61</v>
      </c>
      <c r="AA293" s="180">
        <v>29.25</v>
      </c>
      <c r="AC293" s="284">
        <v>727.06</v>
      </c>
      <c r="AD293" s="1">
        <v>23.45</v>
      </c>
      <c r="AE293" s="1">
        <v>26.75</v>
      </c>
      <c r="AF293" s="1">
        <v>42.66</v>
      </c>
      <c r="AH293" s="299">
        <v>1618.99</v>
      </c>
      <c r="AI293">
        <v>52.23</v>
      </c>
      <c r="AJ293">
        <v>59.39</v>
      </c>
      <c r="AK293">
        <v>181.2</v>
      </c>
      <c r="AM293" s="299">
        <v>13.64</v>
      </c>
      <c r="AN293">
        <v>0.44</v>
      </c>
      <c r="AO293">
        <v>0.55000000000000004</v>
      </c>
      <c r="AP293" t="s">
        <v>776</v>
      </c>
      <c r="AR293" s="284">
        <v>116.25</v>
      </c>
      <c r="AS293" s="1">
        <v>3.75</v>
      </c>
      <c r="AT293" s="1">
        <v>4.4800000000000004</v>
      </c>
      <c r="AU293" s="1" t="s">
        <v>776</v>
      </c>
      <c r="AW293" s="284">
        <v>20.46</v>
      </c>
      <c r="AX293" s="1">
        <v>0.66</v>
      </c>
      <c r="AY293" s="1">
        <v>0.89</v>
      </c>
      <c r="AZ293" s="1" t="s">
        <v>776</v>
      </c>
      <c r="BB293" s="284">
        <v>20.46</v>
      </c>
      <c r="BC293" s="1">
        <v>0.66</v>
      </c>
      <c r="BD293" s="1">
        <v>0.73</v>
      </c>
      <c r="BE293" s="1" t="s">
        <v>776</v>
      </c>
      <c r="BG293" s="284">
        <v>30.38</v>
      </c>
      <c r="BH293" s="1">
        <v>0.98</v>
      </c>
      <c r="BI293" s="1">
        <v>0.85</v>
      </c>
      <c r="BJ293" s="1" t="s">
        <v>776</v>
      </c>
      <c r="BL293" s="284">
        <v>99.91</v>
      </c>
      <c r="BM293" s="1">
        <v>3.22</v>
      </c>
      <c r="BN293" s="1">
        <v>3.35</v>
      </c>
      <c r="BO293" s="1" t="s">
        <v>776</v>
      </c>
      <c r="BQ293" s="284">
        <v>11.78</v>
      </c>
      <c r="BR293" s="1">
        <v>0.38</v>
      </c>
      <c r="BS293" s="1">
        <v>0.37</v>
      </c>
      <c r="BT293" s="1" t="s">
        <v>776</v>
      </c>
      <c r="BV293" s="284">
        <v>4.6500000000000004</v>
      </c>
      <c r="BW293" s="1">
        <v>0.15</v>
      </c>
      <c r="BX293" s="1">
        <v>0.21</v>
      </c>
      <c r="BY293" s="1" t="s">
        <v>776</v>
      </c>
      <c r="CA293" s="284">
        <v>12.09</v>
      </c>
      <c r="CB293" s="1">
        <v>0.39</v>
      </c>
      <c r="CC293" s="1">
        <v>0.37</v>
      </c>
      <c r="CD293" s="1" t="s">
        <v>776</v>
      </c>
      <c r="CF293" s="284">
        <v>45.69</v>
      </c>
      <c r="CG293" s="1">
        <v>1.47</v>
      </c>
      <c r="CH293" s="1">
        <v>1.47</v>
      </c>
      <c r="CI293" s="1" t="s">
        <v>776</v>
      </c>
      <c r="CK293" s="284">
        <v>138.38</v>
      </c>
      <c r="CL293" s="1">
        <v>4.46</v>
      </c>
      <c r="CM293" s="1">
        <v>4.4800000000000004</v>
      </c>
      <c r="CN293" s="1">
        <v>9.7100000000000009</v>
      </c>
      <c r="CP293" s="284">
        <v>217.03</v>
      </c>
      <c r="CQ293" s="1">
        <v>7</v>
      </c>
      <c r="CR293" s="1">
        <v>6.55</v>
      </c>
      <c r="CS293" s="1">
        <v>12.34</v>
      </c>
      <c r="CU293" s="284">
        <v>155.79</v>
      </c>
      <c r="CV293" s="1">
        <v>5.03</v>
      </c>
      <c r="CW293" s="1">
        <v>5.46</v>
      </c>
      <c r="CX293" s="1">
        <v>9</v>
      </c>
      <c r="CZ293" s="269">
        <v>21.11</v>
      </c>
      <c r="DA293" s="1">
        <v>0.68</v>
      </c>
      <c r="DC293" s="284">
        <v>26.34</v>
      </c>
      <c r="DD293" s="1">
        <v>0.85</v>
      </c>
      <c r="DE293" s="1">
        <v>0.93</v>
      </c>
      <c r="DF293" s="1" t="s">
        <v>776</v>
      </c>
      <c r="DH293" s="284">
        <f>DI293*31</f>
        <v>74.09</v>
      </c>
      <c r="DI293" s="1">
        <f t="shared" si="348"/>
        <v>2.39</v>
      </c>
      <c r="DJ293" s="1">
        <f t="shared" si="368"/>
        <v>2.4158333333333335</v>
      </c>
      <c r="DM293" s="284">
        <f>DN293*31</f>
        <v>2868.1199999999994</v>
      </c>
      <c r="DN293" s="77">
        <f t="shared" si="351"/>
        <v>92.519999999999982</v>
      </c>
      <c r="DO293" s="77">
        <f t="shared" si="365"/>
        <v>105.25833333333333</v>
      </c>
      <c r="DR293" s="284">
        <f>DS293*31</f>
        <v>558.62000000000012</v>
      </c>
      <c r="DS293" s="77">
        <f t="shared" si="354"/>
        <v>18.020000000000003</v>
      </c>
      <c r="DT293" s="77" t="e">
        <f>SUM(CH293+CM293+CR293+CW293+#REF!)</f>
        <v>#REF!</v>
      </c>
      <c r="DU293" s="201"/>
      <c r="DV293" s="201"/>
      <c r="DW293" s="284">
        <f>DX293*31</f>
        <v>3426.74</v>
      </c>
      <c r="DX293" s="77">
        <f t="shared" si="369"/>
        <v>110.53999999999999</v>
      </c>
      <c r="DY293" s="77">
        <f t="shared" si="370"/>
        <v>123.52</v>
      </c>
      <c r="ED293" s="201"/>
      <c r="EE293" s="201"/>
      <c r="EL293">
        <v>2021</v>
      </c>
      <c r="EM293" t="s">
        <v>710</v>
      </c>
      <c r="EN293" t="s">
        <v>841</v>
      </c>
      <c r="EO293">
        <v>186.14</v>
      </c>
    </row>
    <row r="294" spans="1:145" x14ac:dyDescent="0.25">
      <c r="A294" s="265">
        <v>2021</v>
      </c>
      <c r="B294" s="247" t="s">
        <v>711</v>
      </c>
      <c r="C294" s="247"/>
      <c r="D294" s="284">
        <v>172.7</v>
      </c>
      <c r="E294" s="1">
        <v>5.76</v>
      </c>
      <c r="F294" s="1">
        <v>6.84</v>
      </c>
      <c r="G294" s="1">
        <v>7.29</v>
      </c>
      <c r="I294" s="284">
        <v>17.89</v>
      </c>
      <c r="J294" s="1">
        <v>0.6</v>
      </c>
      <c r="K294" s="1">
        <v>0.63</v>
      </c>
      <c r="L294" s="1">
        <v>0.78</v>
      </c>
      <c r="N294" s="284">
        <v>86.12</v>
      </c>
      <c r="O294" s="1">
        <v>2.87</v>
      </c>
      <c r="P294" s="1">
        <v>3.08</v>
      </c>
      <c r="Q294" s="1">
        <v>4.41</v>
      </c>
      <c r="S294" s="284">
        <v>176.26</v>
      </c>
      <c r="T294" s="1">
        <v>5.88</v>
      </c>
      <c r="U294" s="1">
        <v>7.06</v>
      </c>
      <c r="V294" s="1">
        <v>8.89</v>
      </c>
      <c r="X294" s="278">
        <v>520.76</v>
      </c>
      <c r="Y294" s="117">
        <v>17.36</v>
      </c>
      <c r="Z294" s="181">
        <v>19.510000000000002</v>
      </c>
      <c r="AA294" s="180">
        <v>24</v>
      </c>
      <c r="AC294" s="284">
        <v>697.02</v>
      </c>
      <c r="AD294" s="1">
        <v>23.23</v>
      </c>
      <c r="AE294" s="1">
        <v>26.56</v>
      </c>
      <c r="AF294" s="1">
        <v>32.89</v>
      </c>
      <c r="AH294" s="299">
        <v>1553.26</v>
      </c>
      <c r="AI294">
        <v>51.78</v>
      </c>
      <c r="AJ294">
        <v>58.4</v>
      </c>
      <c r="AK294">
        <v>159.80000000000001</v>
      </c>
      <c r="AM294" s="299">
        <v>12.3</v>
      </c>
      <c r="AN294">
        <v>0.41</v>
      </c>
      <c r="AO294">
        <v>0.52</v>
      </c>
      <c r="AP294" t="s">
        <v>776</v>
      </c>
      <c r="AR294" s="284">
        <v>110.4</v>
      </c>
      <c r="AS294" s="1">
        <v>3.68</v>
      </c>
      <c r="AT294" s="1">
        <v>4.3499999999999996</v>
      </c>
      <c r="AU294" s="1" t="s">
        <v>776</v>
      </c>
      <c r="AW294" s="284">
        <v>18.899999999999999</v>
      </c>
      <c r="AX294" s="1">
        <v>0.63</v>
      </c>
      <c r="AY294" s="1">
        <v>0.85</v>
      </c>
      <c r="AZ294" s="1" t="s">
        <v>776</v>
      </c>
      <c r="BB294" s="284">
        <v>20.399999999999999</v>
      </c>
      <c r="BC294" s="1">
        <v>0.68</v>
      </c>
      <c r="BD294" s="1">
        <v>0.72</v>
      </c>
      <c r="BE294" s="1" t="s">
        <v>776</v>
      </c>
      <c r="BG294" s="284">
        <v>29.7</v>
      </c>
      <c r="BH294" s="1">
        <v>0.99</v>
      </c>
      <c r="BI294" s="1">
        <v>0.85</v>
      </c>
      <c r="BJ294" s="1" t="s">
        <v>776</v>
      </c>
      <c r="BL294" s="284">
        <v>96.69</v>
      </c>
      <c r="BM294" s="1">
        <v>3.22</v>
      </c>
      <c r="BN294" s="1">
        <v>3.34</v>
      </c>
      <c r="BO294" s="1" t="s">
        <v>776</v>
      </c>
      <c r="BQ294" s="284">
        <v>12</v>
      </c>
      <c r="BR294" s="1">
        <v>0.4</v>
      </c>
      <c r="BS294" s="1">
        <v>0.37</v>
      </c>
      <c r="BT294" s="1" t="s">
        <v>776</v>
      </c>
      <c r="BV294" s="284">
        <v>4.2</v>
      </c>
      <c r="BW294" s="1">
        <v>0.14000000000000001</v>
      </c>
      <c r="BX294" s="1">
        <v>0.19</v>
      </c>
      <c r="BY294" s="1" t="s">
        <v>776</v>
      </c>
      <c r="CA294" s="284">
        <v>11.1</v>
      </c>
      <c r="CB294" s="1">
        <v>0.37</v>
      </c>
      <c r="CC294" s="1">
        <v>0.35</v>
      </c>
      <c r="CD294" s="1" t="s">
        <v>776</v>
      </c>
      <c r="CF294" s="284">
        <v>44.22</v>
      </c>
      <c r="CG294" s="1">
        <v>1.47</v>
      </c>
      <c r="CH294" s="1">
        <v>1.47</v>
      </c>
      <c r="CI294" s="1" t="s">
        <v>776</v>
      </c>
      <c r="CK294" s="284">
        <v>137.97</v>
      </c>
      <c r="CL294" s="1">
        <v>4.5999999999999996</v>
      </c>
      <c r="CM294" s="1">
        <v>4.57</v>
      </c>
      <c r="CN294" s="1">
        <v>7.76</v>
      </c>
      <c r="CP294" s="284">
        <v>192.65</v>
      </c>
      <c r="CQ294" s="1">
        <v>6.42</v>
      </c>
      <c r="CR294" s="1">
        <v>6.6</v>
      </c>
      <c r="CS294" s="1">
        <v>9.7100000000000009</v>
      </c>
      <c r="CU294" s="284">
        <v>153.91999999999999</v>
      </c>
      <c r="CV294" s="1">
        <v>5.13</v>
      </c>
      <c r="CW294" s="1">
        <v>5.44</v>
      </c>
      <c r="CX294" s="1">
        <v>7.19</v>
      </c>
      <c r="CZ294" s="269">
        <v>22.02</v>
      </c>
      <c r="DA294" s="1">
        <v>0.73</v>
      </c>
      <c r="DC294" s="284">
        <v>25.49</v>
      </c>
      <c r="DD294" s="1">
        <v>0.85</v>
      </c>
      <c r="DE294" s="1">
        <v>0.93</v>
      </c>
      <c r="DF294" s="1" t="s">
        <v>776</v>
      </c>
      <c r="DH294" s="284">
        <f>DI294*30</f>
        <v>71.399999999999991</v>
      </c>
      <c r="DI294" s="1">
        <f t="shared" si="348"/>
        <v>2.38</v>
      </c>
      <c r="DJ294" s="1">
        <f t="shared" si="368"/>
        <v>2.3666666666666667</v>
      </c>
      <c r="DM294" s="284">
        <f>DN294*30</f>
        <v>2744.1000000000004</v>
      </c>
      <c r="DN294" s="77">
        <f t="shared" si="351"/>
        <v>91.470000000000013</v>
      </c>
      <c r="DO294" s="77">
        <f t="shared" si="365"/>
        <v>103.77999999999999</v>
      </c>
      <c r="DR294" s="284">
        <f>DS294*30</f>
        <v>531.9</v>
      </c>
      <c r="DS294" s="77">
        <f t="shared" si="354"/>
        <v>17.73</v>
      </c>
      <c r="DT294" s="77" t="e">
        <f>SUM(CH294+CM294+CR294+CW294+#REF!)</f>
        <v>#REF!</v>
      </c>
      <c r="DU294" s="201"/>
      <c r="DV294" s="201"/>
      <c r="DW294" s="284">
        <f>DX294*30</f>
        <v>3276.0000000000005</v>
      </c>
      <c r="DX294" s="77">
        <f t="shared" si="369"/>
        <v>109.20000000000002</v>
      </c>
      <c r="DY294" s="77">
        <f t="shared" si="370"/>
        <v>122.15916666666669</v>
      </c>
      <c r="ED294" s="201"/>
      <c r="EE294" s="201"/>
      <c r="EL294">
        <v>2021</v>
      </c>
      <c r="EM294" t="s">
        <v>711</v>
      </c>
      <c r="EN294" t="s">
        <v>841</v>
      </c>
      <c r="EO294">
        <v>172.7</v>
      </c>
    </row>
    <row r="295" spans="1:145" x14ac:dyDescent="0.25">
      <c r="A295" s="265">
        <v>2021</v>
      </c>
      <c r="B295" s="247" t="s">
        <v>712</v>
      </c>
      <c r="C295" s="247"/>
      <c r="D295" s="284">
        <v>175.25</v>
      </c>
      <c r="E295" s="1">
        <v>5.65</v>
      </c>
      <c r="F295" s="1">
        <v>6.69</v>
      </c>
      <c r="G295" s="1">
        <v>7.54</v>
      </c>
      <c r="I295" s="284">
        <v>20.81</v>
      </c>
      <c r="J295" s="1">
        <v>0.67</v>
      </c>
      <c r="K295" s="1">
        <v>0.63</v>
      </c>
      <c r="L295" s="1">
        <v>0.84</v>
      </c>
      <c r="N295" s="284">
        <v>86.25</v>
      </c>
      <c r="O295" s="1">
        <v>2.78</v>
      </c>
      <c r="P295" s="1">
        <v>3.06</v>
      </c>
      <c r="Q295" s="1">
        <v>4.0999999999999996</v>
      </c>
      <c r="S295" s="284">
        <v>162.47</v>
      </c>
      <c r="T295" s="1">
        <v>5.24</v>
      </c>
      <c r="U295" s="1">
        <v>6.83</v>
      </c>
      <c r="V295" s="1">
        <v>25</v>
      </c>
      <c r="X295" s="278">
        <v>527.91</v>
      </c>
      <c r="Y295" s="117">
        <v>17.03</v>
      </c>
      <c r="Z295" s="181">
        <v>19.18</v>
      </c>
      <c r="AA295" s="180">
        <v>22.64</v>
      </c>
      <c r="AC295" s="284">
        <v>690.38</v>
      </c>
      <c r="AD295" s="1">
        <v>22.27</v>
      </c>
      <c r="AE295" s="1">
        <v>26.01</v>
      </c>
      <c r="AF295" s="1">
        <v>47.64</v>
      </c>
      <c r="AH295" s="299">
        <v>1498.75</v>
      </c>
      <c r="AI295">
        <v>48.35</v>
      </c>
      <c r="AJ295">
        <v>56.79</v>
      </c>
      <c r="AK295">
        <v>183.5</v>
      </c>
      <c r="AM295" s="299">
        <v>10.23</v>
      </c>
      <c r="AN295">
        <v>0.33</v>
      </c>
      <c r="AO295">
        <v>0.49</v>
      </c>
      <c r="AP295" t="s">
        <v>776</v>
      </c>
      <c r="AR295" s="284">
        <v>111.91</v>
      </c>
      <c r="AS295" s="1">
        <v>3.61</v>
      </c>
      <c r="AT295" s="1">
        <v>4.2</v>
      </c>
      <c r="AU295" s="1" t="s">
        <v>776</v>
      </c>
      <c r="AW295" s="284">
        <v>18.91</v>
      </c>
      <c r="AX295" s="1">
        <v>0.61</v>
      </c>
      <c r="AY295" s="1">
        <v>0.82</v>
      </c>
      <c r="AZ295" s="1" t="s">
        <v>776</v>
      </c>
      <c r="BB295" s="284">
        <v>19.84</v>
      </c>
      <c r="BC295" s="1">
        <v>0.64</v>
      </c>
      <c r="BD295" s="1">
        <v>0.7</v>
      </c>
      <c r="BE295" s="1" t="s">
        <v>776</v>
      </c>
      <c r="BG295" s="284">
        <v>29.14</v>
      </c>
      <c r="BH295" s="1">
        <v>0.94</v>
      </c>
      <c r="BI295" s="1">
        <v>0.85</v>
      </c>
      <c r="BJ295" s="1" t="s">
        <v>776</v>
      </c>
      <c r="BL295" s="284">
        <v>99.91</v>
      </c>
      <c r="BM295" s="1">
        <v>3.22</v>
      </c>
      <c r="BN295" s="1">
        <v>3.33</v>
      </c>
      <c r="BO295" s="1" t="s">
        <v>776</v>
      </c>
      <c r="BQ295" s="284">
        <v>11.16</v>
      </c>
      <c r="BR295" s="1">
        <v>0.36</v>
      </c>
      <c r="BS295" s="1">
        <v>0.36</v>
      </c>
      <c r="BT295" s="1" t="s">
        <v>776</v>
      </c>
      <c r="BV295" s="284">
        <v>4.03</v>
      </c>
      <c r="BW295" s="1">
        <v>0.13</v>
      </c>
      <c r="BX295" s="1">
        <v>0.18</v>
      </c>
      <c r="BY295" s="1" t="s">
        <v>776</v>
      </c>
      <c r="CA295" s="284">
        <v>11.47</v>
      </c>
      <c r="CB295" s="1">
        <v>0.37</v>
      </c>
      <c r="CC295" s="1">
        <v>0.34</v>
      </c>
      <c r="CD295" s="1" t="s">
        <v>776</v>
      </c>
      <c r="CF295" s="284">
        <v>45.69</v>
      </c>
      <c r="CG295" s="1">
        <v>1.47</v>
      </c>
      <c r="CH295" s="1">
        <v>1.47</v>
      </c>
      <c r="CI295" s="1" t="s">
        <v>776</v>
      </c>
      <c r="CK295" s="284">
        <v>142.94999999999999</v>
      </c>
      <c r="CL295" s="1">
        <v>4.6100000000000003</v>
      </c>
      <c r="CM295" s="1">
        <v>4.5199999999999996</v>
      </c>
      <c r="CN295" s="1">
        <v>6.77</v>
      </c>
      <c r="CP295" s="284">
        <v>167.15</v>
      </c>
      <c r="CQ295" s="1">
        <v>5.39</v>
      </c>
      <c r="CR295" s="1">
        <v>6.49</v>
      </c>
      <c r="CS295" s="1">
        <v>9.24</v>
      </c>
      <c r="CU295" s="284">
        <v>150.5</v>
      </c>
      <c r="CV295" s="1">
        <v>4.8499999999999996</v>
      </c>
      <c r="CW295" s="1">
        <v>5.36</v>
      </c>
      <c r="CX295" s="1">
        <v>7.04</v>
      </c>
      <c r="CZ295" s="269">
        <v>21.15</v>
      </c>
      <c r="DA295" s="1">
        <v>0.68</v>
      </c>
      <c r="DC295" s="284">
        <v>26.34</v>
      </c>
      <c r="DD295" s="1">
        <v>0.85</v>
      </c>
      <c r="DE295" s="1">
        <v>0.92</v>
      </c>
      <c r="DF295" s="1" t="s">
        <v>776</v>
      </c>
      <c r="DH295" s="284">
        <f>DI295*31</f>
        <v>72.23</v>
      </c>
      <c r="DI295" s="1">
        <f t="shared" si="348"/>
        <v>2.33</v>
      </c>
      <c r="DJ295" s="1">
        <f t="shared" si="368"/>
        <v>2.3541666666666665</v>
      </c>
      <c r="DM295" s="284">
        <f>DN295*31</f>
        <v>2688.94</v>
      </c>
      <c r="DN295" s="77">
        <f t="shared" si="351"/>
        <v>86.74</v>
      </c>
      <c r="DO295" s="77">
        <f t="shared" si="365"/>
        <v>101.19166666666668</v>
      </c>
      <c r="DR295" s="284">
        <f>DS295*31</f>
        <v>507.78</v>
      </c>
      <c r="DS295" s="77">
        <f t="shared" si="354"/>
        <v>16.38</v>
      </c>
      <c r="DT295" s="77" t="e">
        <f>SUM(CH295+CM295+CR295+CW295+#REF!)</f>
        <v>#REF!</v>
      </c>
      <c r="DU295" s="201"/>
      <c r="DV295" s="201"/>
      <c r="DW295" s="284">
        <f>DX295*31</f>
        <v>3196.72</v>
      </c>
      <c r="DX295" s="77">
        <f t="shared" si="369"/>
        <v>103.11999999999999</v>
      </c>
      <c r="DY295" s="77">
        <f t="shared" si="370"/>
        <v>119.295</v>
      </c>
      <c r="ED295" s="201"/>
      <c r="EE295" s="201"/>
      <c r="EL295">
        <v>2021</v>
      </c>
      <c r="EM295" t="s">
        <v>712</v>
      </c>
      <c r="EN295" t="s">
        <v>841</v>
      </c>
      <c r="EO295">
        <v>175.25</v>
      </c>
    </row>
    <row r="296" spans="1:145" x14ac:dyDescent="0.25">
      <c r="A296" s="265">
        <v>2022</v>
      </c>
      <c r="B296" s="247" t="s">
        <v>719</v>
      </c>
      <c r="C296" s="247"/>
      <c r="D296" s="284">
        <v>192.9</v>
      </c>
      <c r="E296" s="1">
        <v>6.22</v>
      </c>
      <c r="F296" s="1">
        <v>6.65</v>
      </c>
      <c r="G296" s="1">
        <v>8.41</v>
      </c>
      <c r="I296" s="284">
        <v>21.51</v>
      </c>
      <c r="J296" s="1">
        <v>0.69</v>
      </c>
      <c r="K296" s="1">
        <v>0.63</v>
      </c>
      <c r="L296" s="1">
        <v>0.88</v>
      </c>
      <c r="N296" s="284">
        <v>90.27</v>
      </c>
      <c r="O296" s="1">
        <v>2.91</v>
      </c>
      <c r="P296" s="1">
        <v>3.05</v>
      </c>
      <c r="Q296" s="1">
        <v>4.45</v>
      </c>
      <c r="S296" s="284">
        <v>188.71</v>
      </c>
      <c r="T296" s="1">
        <v>6.09</v>
      </c>
      <c r="U296" s="1">
        <v>6.7</v>
      </c>
      <c r="V296" s="1">
        <v>10.08</v>
      </c>
      <c r="X296" s="278">
        <v>602.77</v>
      </c>
      <c r="Y296" s="117">
        <v>19.440000000000001</v>
      </c>
      <c r="Z296" s="181">
        <v>19.11</v>
      </c>
      <c r="AA296" s="180">
        <v>26.98</v>
      </c>
      <c r="AC296" s="284">
        <v>791.48</v>
      </c>
      <c r="AD296" s="1">
        <v>25.53</v>
      </c>
      <c r="AE296" s="1">
        <v>25.81</v>
      </c>
      <c r="AF296" s="1">
        <v>37.06</v>
      </c>
      <c r="AH296" s="299">
        <v>1754.5</v>
      </c>
      <c r="AI296">
        <v>56.6</v>
      </c>
      <c r="AJ296">
        <v>56.44</v>
      </c>
      <c r="AK296">
        <v>163.4</v>
      </c>
      <c r="AM296" s="299">
        <v>14.88</v>
      </c>
      <c r="AN296">
        <v>0.48</v>
      </c>
      <c r="AO296">
        <v>0.49</v>
      </c>
      <c r="AP296" t="s">
        <v>776</v>
      </c>
      <c r="AR296" s="284">
        <v>137.33000000000001</v>
      </c>
      <c r="AS296" s="1">
        <v>4.43</v>
      </c>
      <c r="AT296" s="1">
        <v>4.2</v>
      </c>
      <c r="AU296" s="1" t="s">
        <v>776</v>
      </c>
      <c r="AW296" s="284">
        <v>23.25</v>
      </c>
      <c r="AX296" s="1">
        <v>0.75</v>
      </c>
      <c r="AY296" s="1">
        <v>0.81</v>
      </c>
      <c r="AZ296" s="1" t="s">
        <v>776</v>
      </c>
      <c r="BB296" s="284">
        <v>20.46</v>
      </c>
      <c r="BC296" s="1">
        <v>0.66</v>
      </c>
      <c r="BD296" s="1">
        <v>0.69</v>
      </c>
      <c r="BE296" s="1" t="s">
        <v>776</v>
      </c>
      <c r="BG296" s="284">
        <v>35.65</v>
      </c>
      <c r="BH296" s="1">
        <v>1.1499999999999999</v>
      </c>
      <c r="BI296" s="1">
        <v>0.88</v>
      </c>
      <c r="BJ296" s="1" t="s">
        <v>776</v>
      </c>
      <c r="BL296" s="284">
        <v>99.91</v>
      </c>
      <c r="BM296" s="1">
        <v>3.22</v>
      </c>
      <c r="BN296" s="1">
        <v>3.31</v>
      </c>
      <c r="BO296" s="1" t="s">
        <v>776</v>
      </c>
      <c r="BQ296" s="284">
        <v>11.47</v>
      </c>
      <c r="BR296" s="1">
        <v>0.37</v>
      </c>
      <c r="BS296" s="1">
        <v>0.37</v>
      </c>
      <c r="BT296" s="1" t="s">
        <v>776</v>
      </c>
      <c r="BV296" s="284">
        <v>5.58</v>
      </c>
      <c r="BW296" s="1">
        <v>0.18</v>
      </c>
      <c r="BX296" s="1">
        <v>0.18</v>
      </c>
      <c r="BY296" s="1" t="s">
        <v>776</v>
      </c>
      <c r="CA296" s="284">
        <v>13.33</v>
      </c>
      <c r="CB296" s="1">
        <v>0.43</v>
      </c>
      <c r="CC296" s="1">
        <v>0.35</v>
      </c>
      <c r="CD296" s="1" t="s">
        <v>776</v>
      </c>
      <c r="CF296" s="284">
        <v>45.69</v>
      </c>
      <c r="CG296" s="1">
        <v>1.47</v>
      </c>
      <c r="CH296" s="1">
        <v>1.47</v>
      </c>
      <c r="CI296" s="1" t="s">
        <v>776</v>
      </c>
      <c r="CK296" s="284">
        <v>158.47999999999999</v>
      </c>
      <c r="CL296" s="1">
        <v>5.1100000000000003</v>
      </c>
      <c r="CM296" s="1">
        <v>4.51</v>
      </c>
      <c r="CN296" s="1">
        <v>8.73</v>
      </c>
      <c r="CP296" s="284">
        <v>201.14</v>
      </c>
      <c r="CQ296" s="1">
        <v>6.49</v>
      </c>
      <c r="CR296" s="1">
        <v>6.53</v>
      </c>
      <c r="CS296" s="1">
        <v>15.23</v>
      </c>
      <c r="CU296" s="284">
        <v>167.89</v>
      </c>
      <c r="CV296" s="1">
        <v>5.42</v>
      </c>
      <c r="CW296" s="1">
        <v>5.33</v>
      </c>
      <c r="CX296" s="1">
        <v>7.78</v>
      </c>
      <c r="CZ296" s="269">
        <v>22.96</v>
      </c>
      <c r="DA296" s="1">
        <v>0.74</v>
      </c>
      <c r="DC296" s="284">
        <v>26.34</v>
      </c>
      <c r="DD296" s="1">
        <v>0.85</v>
      </c>
      <c r="DE296" s="1">
        <v>0.91</v>
      </c>
      <c r="DF296" s="1" t="s">
        <v>776</v>
      </c>
      <c r="DH296" s="284">
        <f t="shared" ref="DH296:DH305" si="371">DI296*31</f>
        <v>75.95</v>
      </c>
      <c r="DI296" s="1">
        <f t="shared" si="348"/>
        <v>2.4500000000000002</v>
      </c>
      <c r="DJ296" s="1">
        <f t="shared" si="368"/>
        <v>2.3658333333333332</v>
      </c>
      <c r="DM296" s="284">
        <f>DN296*31</f>
        <v>3105.8900000000003</v>
      </c>
      <c r="DN296" s="77">
        <f t="shared" si="351"/>
        <v>100.19000000000001</v>
      </c>
      <c r="DO296" s="77">
        <f t="shared" ref="DO296:DO297" si="372">SUM(DN285:DN296)/12</f>
        <v>100.58583333333333</v>
      </c>
      <c r="DR296" s="284">
        <f>DS296*31</f>
        <v>576.91000000000008</v>
      </c>
      <c r="DS296" s="77">
        <f t="shared" si="354"/>
        <v>18.610000000000003</v>
      </c>
      <c r="DT296" s="77" t="e">
        <f>SUM(CH296+CM296+CR296+CW296+#REF!)</f>
        <v>#REF!</v>
      </c>
      <c r="DU296" s="201"/>
      <c r="DV296" s="201"/>
      <c r="DW296" s="284">
        <f>DX296*31</f>
        <v>3682.8</v>
      </c>
      <c r="DX296" s="77">
        <f t="shared" ref="DX296:DX297" si="373">SUM(DN296+DS296)</f>
        <v>118.80000000000001</v>
      </c>
      <c r="DY296" s="77">
        <f t="shared" ref="DY296:DY316" si="374">SUM(DX285:DX296)/12</f>
        <v>118.67166666666667</v>
      </c>
      <c r="ED296" s="201"/>
      <c r="EE296" s="201"/>
      <c r="EL296">
        <v>2022</v>
      </c>
      <c r="EM296" t="s">
        <v>719</v>
      </c>
      <c r="EN296" t="s">
        <v>841</v>
      </c>
      <c r="EO296">
        <v>192.9</v>
      </c>
    </row>
    <row r="297" spans="1:145" x14ac:dyDescent="0.25">
      <c r="A297" s="265">
        <v>2022</v>
      </c>
      <c r="B297" s="247" t="s">
        <v>713</v>
      </c>
      <c r="C297" s="247"/>
      <c r="D297" s="284">
        <v>170.72</v>
      </c>
      <c r="E297" s="1">
        <v>6.1</v>
      </c>
      <c r="F297" s="1">
        <v>6.58</v>
      </c>
      <c r="G297" s="1">
        <v>8.66</v>
      </c>
      <c r="I297" s="284">
        <v>21.02</v>
      </c>
      <c r="J297" s="1">
        <v>0.75</v>
      </c>
      <c r="K297" s="1">
        <v>0.64</v>
      </c>
      <c r="L297" s="1">
        <v>1.04</v>
      </c>
      <c r="N297" s="284">
        <v>76.66</v>
      </c>
      <c r="O297" s="1">
        <v>2.74</v>
      </c>
      <c r="P297" s="1">
        <v>3</v>
      </c>
      <c r="Q297" s="1">
        <v>5.25</v>
      </c>
      <c r="S297" s="284">
        <v>168.16</v>
      </c>
      <c r="T297" s="1">
        <v>6.01</v>
      </c>
      <c r="U297" s="1">
        <v>6.53</v>
      </c>
      <c r="V297" s="1">
        <v>25</v>
      </c>
      <c r="X297" s="278">
        <v>544.26</v>
      </c>
      <c r="Y297" s="117">
        <v>19.440000000000001</v>
      </c>
      <c r="Z297" s="181">
        <v>18.97</v>
      </c>
      <c r="AA297" s="180">
        <v>28.13</v>
      </c>
      <c r="AC297" s="284">
        <v>712.42</v>
      </c>
      <c r="AD297" s="1">
        <v>25.44</v>
      </c>
      <c r="AE297" s="1">
        <v>25.5</v>
      </c>
      <c r="AF297" s="1">
        <v>53.13</v>
      </c>
      <c r="AH297" s="299">
        <v>1603.93</v>
      </c>
      <c r="AI297">
        <v>57.28</v>
      </c>
      <c r="AJ297">
        <v>55.74</v>
      </c>
      <c r="AK297">
        <v>147.5</v>
      </c>
      <c r="AM297" s="299">
        <v>8.4</v>
      </c>
      <c r="AN297">
        <v>0.3</v>
      </c>
      <c r="AO297">
        <v>0.46</v>
      </c>
      <c r="AP297" t="s">
        <v>776</v>
      </c>
      <c r="AR297" s="284">
        <v>107.8</v>
      </c>
      <c r="AS297" s="1">
        <v>3.85</v>
      </c>
      <c r="AT297" s="1">
        <v>4.07</v>
      </c>
      <c r="AU297" s="1" t="s">
        <v>776</v>
      </c>
      <c r="AW297" s="284">
        <v>16.8</v>
      </c>
      <c r="AX297" s="1">
        <v>0.6</v>
      </c>
      <c r="AY297" s="1">
        <v>0.78</v>
      </c>
      <c r="AZ297" s="1" t="s">
        <v>776</v>
      </c>
      <c r="BB297" s="284">
        <v>21</v>
      </c>
      <c r="BC297" s="1">
        <v>0.75</v>
      </c>
      <c r="BD297" s="1">
        <v>0.68</v>
      </c>
      <c r="BE297" s="1" t="s">
        <v>776</v>
      </c>
      <c r="BG297" s="284">
        <v>27.72</v>
      </c>
      <c r="BH297" s="1">
        <v>0.99</v>
      </c>
      <c r="BI297" s="1">
        <v>0.88</v>
      </c>
      <c r="BJ297" s="1" t="s">
        <v>776</v>
      </c>
      <c r="BL297" s="284">
        <v>90.24</v>
      </c>
      <c r="BM297" s="1">
        <v>3.22</v>
      </c>
      <c r="BN297" s="1">
        <v>3.3</v>
      </c>
      <c r="BO297" s="1" t="s">
        <v>776</v>
      </c>
      <c r="BQ297" s="284">
        <v>9.24</v>
      </c>
      <c r="BR297" s="1">
        <v>0.33</v>
      </c>
      <c r="BS297" s="1">
        <v>0.36</v>
      </c>
      <c r="BT297" s="1" t="s">
        <v>776</v>
      </c>
      <c r="BV297" s="284">
        <v>4.76</v>
      </c>
      <c r="BW297" s="1">
        <v>0.17</v>
      </c>
      <c r="BX297" s="1">
        <v>0.17</v>
      </c>
      <c r="BY297" s="1" t="s">
        <v>776</v>
      </c>
      <c r="CA297" s="284">
        <v>10.36</v>
      </c>
      <c r="CB297" s="1">
        <v>0.37</v>
      </c>
      <c r="CC297" s="1">
        <v>0.35</v>
      </c>
      <c r="CD297" s="1" t="s">
        <v>776</v>
      </c>
      <c r="CF297" s="284">
        <v>41.27</v>
      </c>
      <c r="CG297" s="1">
        <v>1.47</v>
      </c>
      <c r="CH297" s="1">
        <v>1.47</v>
      </c>
      <c r="CI297" s="1" t="s">
        <v>776</v>
      </c>
      <c r="CK297" s="284">
        <v>148.87</v>
      </c>
      <c r="CL297" s="1">
        <v>5.32</v>
      </c>
      <c r="CM297" s="1">
        <v>4.4800000000000004</v>
      </c>
      <c r="CN297" s="1">
        <v>6.94</v>
      </c>
      <c r="CP297" s="284">
        <v>194.27</v>
      </c>
      <c r="CQ297" s="1">
        <v>6.94</v>
      </c>
      <c r="CR297" s="1">
        <v>6.62</v>
      </c>
      <c r="CS297" s="1">
        <v>14.97</v>
      </c>
      <c r="CU297" s="284">
        <v>147.04</v>
      </c>
      <c r="CV297" s="1">
        <v>5.25</v>
      </c>
      <c r="CW297" s="1">
        <v>5.27</v>
      </c>
      <c r="CX297" s="1">
        <v>7.35</v>
      </c>
      <c r="CZ297" s="269">
        <v>23.47</v>
      </c>
      <c r="DA297" s="1">
        <v>0.84</v>
      </c>
      <c r="DC297" s="284">
        <v>23.79</v>
      </c>
      <c r="DD297" s="1">
        <v>0.85</v>
      </c>
      <c r="DE297" s="1">
        <v>0.9</v>
      </c>
      <c r="DF297" s="1" t="s">
        <v>776</v>
      </c>
      <c r="DH297" s="284">
        <f>DI297*28</f>
        <v>65.52</v>
      </c>
      <c r="DI297" s="1">
        <f t="shared" si="348"/>
        <v>2.34</v>
      </c>
      <c r="DJ297" s="1">
        <f t="shared" si="368"/>
        <v>2.3558333333333334</v>
      </c>
      <c r="DM297" s="284">
        <f>DN297*28</f>
        <v>2791.0399999999995</v>
      </c>
      <c r="DN297" s="77">
        <f t="shared" si="351"/>
        <v>99.679999999999978</v>
      </c>
      <c r="DO297" s="77">
        <f t="shared" si="372"/>
        <v>99.275833333333352</v>
      </c>
      <c r="DR297" s="284">
        <f>DS297*28</f>
        <v>537.60000000000014</v>
      </c>
      <c r="DS297" s="77">
        <f t="shared" si="354"/>
        <v>19.200000000000003</v>
      </c>
      <c r="DT297" s="77" t="e">
        <f>SUM(CH297+CM297+CR297+CW297+#REF!)</f>
        <v>#REF!</v>
      </c>
      <c r="DU297" s="201"/>
      <c r="DV297" s="201"/>
      <c r="DW297" s="284">
        <f>DX297*28</f>
        <v>3328.6399999999994</v>
      </c>
      <c r="DX297" s="77">
        <f t="shared" si="373"/>
        <v>118.87999999999998</v>
      </c>
      <c r="DY297" s="77">
        <f t="shared" si="374"/>
        <v>117.33833333333331</v>
      </c>
      <c r="ED297" s="201"/>
      <c r="EE297" s="201"/>
      <c r="EL297">
        <v>2022</v>
      </c>
      <c r="EM297" t="s">
        <v>713</v>
      </c>
      <c r="EN297" t="s">
        <v>841</v>
      </c>
      <c r="EO297">
        <v>170.72</v>
      </c>
    </row>
    <row r="298" spans="1:145" x14ac:dyDescent="0.25">
      <c r="A298" s="265">
        <v>2022</v>
      </c>
      <c r="B298" s="247" t="s">
        <v>714</v>
      </c>
      <c r="C298" s="247"/>
      <c r="D298" s="284">
        <v>182.53</v>
      </c>
      <c r="E298" s="1">
        <v>5.89</v>
      </c>
      <c r="F298" s="1">
        <v>6.42</v>
      </c>
      <c r="G298" s="1">
        <v>7.74</v>
      </c>
      <c r="I298" s="284">
        <v>21.94</v>
      </c>
      <c r="J298" s="1">
        <v>0.71</v>
      </c>
      <c r="K298" s="1">
        <v>0.65</v>
      </c>
      <c r="L298" s="1">
        <v>1.22</v>
      </c>
      <c r="N298" s="284">
        <v>80.290000000000006</v>
      </c>
      <c r="O298" s="1">
        <v>2.59</v>
      </c>
      <c r="P298" s="1">
        <v>2.94</v>
      </c>
      <c r="Q298" s="1">
        <v>4.18</v>
      </c>
      <c r="S298" s="284">
        <v>198.22</v>
      </c>
      <c r="T298" s="1">
        <v>6.39</v>
      </c>
      <c r="U298" s="1">
        <v>6.37</v>
      </c>
      <c r="V298" s="1">
        <v>10.32</v>
      </c>
      <c r="X298" s="278">
        <v>602.57000000000005</v>
      </c>
      <c r="Y298" s="117">
        <v>19.440000000000001</v>
      </c>
      <c r="Z298" s="181">
        <v>18.79</v>
      </c>
      <c r="AA298" s="180">
        <v>26.57</v>
      </c>
      <c r="AC298" s="284">
        <v>800.79</v>
      </c>
      <c r="AD298" s="1">
        <v>25.83</v>
      </c>
      <c r="AE298" s="1">
        <v>25.15</v>
      </c>
      <c r="AF298" s="1">
        <v>36.89</v>
      </c>
      <c r="AH298" s="299">
        <v>1737.72</v>
      </c>
      <c r="AI298">
        <v>56.06</v>
      </c>
      <c r="AJ298">
        <v>54.92</v>
      </c>
      <c r="AK298">
        <v>158.1</v>
      </c>
      <c r="AM298" s="299">
        <v>12.09</v>
      </c>
      <c r="AN298">
        <v>0.39</v>
      </c>
      <c r="AO298">
        <v>0.43</v>
      </c>
      <c r="AP298" t="s">
        <v>776</v>
      </c>
      <c r="AR298" s="284">
        <v>127.72</v>
      </c>
      <c r="AS298" s="1">
        <v>4.12</v>
      </c>
      <c r="AT298" s="1">
        <v>3.99</v>
      </c>
      <c r="AU298" s="1" t="s">
        <v>776</v>
      </c>
      <c r="AW298" s="284">
        <v>21.08</v>
      </c>
      <c r="AX298" s="1">
        <v>0.68</v>
      </c>
      <c r="AY298" s="1">
        <v>0.75</v>
      </c>
      <c r="AZ298" s="1" t="s">
        <v>776</v>
      </c>
      <c r="BB298" s="284">
        <v>23.25</v>
      </c>
      <c r="BC298" s="1">
        <v>0.75</v>
      </c>
      <c r="BD298" s="1">
        <v>0.68</v>
      </c>
      <c r="BE298" s="1" t="s">
        <v>776</v>
      </c>
      <c r="BG298" s="284">
        <v>38.44</v>
      </c>
      <c r="BH298" s="1">
        <v>1.24</v>
      </c>
      <c r="BI298" s="1">
        <v>0.91</v>
      </c>
      <c r="BJ298" s="1" t="s">
        <v>776</v>
      </c>
      <c r="BL298" s="284">
        <v>99.91</v>
      </c>
      <c r="BM298" s="1">
        <v>3.22</v>
      </c>
      <c r="BN298" s="1">
        <v>3.29</v>
      </c>
      <c r="BO298" s="1" t="s">
        <v>776</v>
      </c>
      <c r="BQ298" s="284">
        <v>10.85</v>
      </c>
      <c r="BR298" s="1">
        <v>0.35</v>
      </c>
      <c r="BS298" s="1">
        <v>0.36</v>
      </c>
      <c r="BT298" s="1" t="s">
        <v>776</v>
      </c>
      <c r="BV298" s="284">
        <v>5.58</v>
      </c>
      <c r="BW298" s="1">
        <v>0.18</v>
      </c>
      <c r="BX298" s="1">
        <v>0.17</v>
      </c>
      <c r="BY298" s="1" t="s">
        <v>776</v>
      </c>
      <c r="CA298" s="284">
        <v>11.78</v>
      </c>
      <c r="CB298" s="1">
        <v>0.38</v>
      </c>
      <c r="CC298" s="1">
        <v>0.36</v>
      </c>
      <c r="CD298" s="1" t="s">
        <v>776</v>
      </c>
      <c r="CF298" s="284">
        <v>45.69</v>
      </c>
      <c r="CG298" s="1">
        <v>1.47</v>
      </c>
      <c r="CH298" s="1">
        <v>1.47</v>
      </c>
      <c r="CI298" s="1" t="s">
        <v>776</v>
      </c>
      <c r="CK298" s="284">
        <v>180.78</v>
      </c>
      <c r="CL298" s="1">
        <v>5.83</v>
      </c>
      <c r="CM298" s="1">
        <v>4.5599999999999996</v>
      </c>
      <c r="CN298" s="1">
        <v>9.4700000000000006</v>
      </c>
      <c r="CP298" s="284">
        <v>194.83</v>
      </c>
      <c r="CQ298" s="1">
        <v>6.28</v>
      </c>
      <c r="CR298" s="1">
        <v>6.63</v>
      </c>
      <c r="CS298" s="1">
        <v>10.54</v>
      </c>
      <c r="CU298" s="284">
        <v>160.06</v>
      </c>
      <c r="CV298" s="1">
        <v>5.16</v>
      </c>
      <c r="CW298" s="1">
        <v>5.23</v>
      </c>
      <c r="CX298" s="1">
        <v>7.14</v>
      </c>
      <c r="CZ298" s="269">
        <v>25.97</v>
      </c>
      <c r="DA298" s="1">
        <v>0.84</v>
      </c>
      <c r="DC298" s="284">
        <v>26.34</v>
      </c>
      <c r="DD298" s="1">
        <v>0.85</v>
      </c>
      <c r="DE298" s="1">
        <v>0.9</v>
      </c>
      <c r="DF298" s="1" t="s">
        <v>776</v>
      </c>
      <c r="DH298" s="284">
        <f t="shared" si="371"/>
        <v>73.78</v>
      </c>
      <c r="DI298" s="1">
        <f t="shared" si="348"/>
        <v>2.38</v>
      </c>
      <c r="DJ298" s="1">
        <f t="shared" si="368"/>
        <v>2.3566666666666665</v>
      </c>
      <c r="DM298" s="284">
        <f>DN298*31</f>
        <v>3072.1000000000004</v>
      </c>
      <c r="DN298" s="77">
        <f t="shared" si="351"/>
        <v>99.100000000000009</v>
      </c>
      <c r="DO298" s="77">
        <f t="shared" ref="DO298:DO300" si="375">SUM(DN287:DN298)/12</f>
        <v>97.773333333333326</v>
      </c>
      <c r="DR298" s="284">
        <f>DS298*31</f>
        <v>587.76</v>
      </c>
      <c r="DS298" s="77">
        <f t="shared" si="354"/>
        <v>18.96</v>
      </c>
      <c r="DT298" s="77" t="e">
        <f>SUM(CH298+CM298+CR298+CW298+#REF!)</f>
        <v>#REF!</v>
      </c>
      <c r="DU298" s="201"/>
      <c r="DV298" s="201"/>
      <c r="DW298" s="284">
        <f>DX298*31</f>
        <v>3659.86</v>
      </c>
      <c r="DX298" s="77">
        <f t="shared" ref="DX298:DX316" si="376">SUM(DN298+DS298)</f>
        <v>118.06</v>
      </c>
      <c r="DY298" s="77">
        <f t="shared" si="374"/>
        <v>115.85416666666664</v>
      </c>
      <c r="ED298" s="201"/>
      <c r="EE298" s="201"/>
      <c r="EL298">
        <v>2022</v>
      </c>
      <c r="EM298" t="s">
        <v>714</v>
      </c>
      <c r="EN298" t="s">
        <v>841</v>
      </c>
      <c r="EO298">
        <v>182.53</v>
      </c>
    </row>
    <row r="299" spans="1:145" x14ac:dyDescent="0.25">
      <c r="A299" s="265">
        <v>2022</v>
      </c>
      <c r="B299" s="247" t="s">
        <v>705</v>
      </c>
      <c r="C299" s="247"/>
      <c r="D299" s="284">
        <v>191.39</v>
      </c>
      <c r="E299" s="1">
        <v>6.38</v>
      </c>
      <c r="F299" s="1">
        <v>6.28</v>
      </c>
      <c r="G299" s="1">
        <v>8.92</v>
      </c>
      <c r="I299" s="284">
        <v>20.99</v>
      </c>
      <c r="J299" s="1">
        <v>0.7</v>
      </c>
      <c r="K299" s="1">
        <v>0.66</v>
      </c>
      <c r="L299" s="1">
        <v>0.91</v>
      </c>
      <c r="N299" s="284">
        <v>90.62</v>
      </c>
      <c r="O299" s="1">
        <v>3.02</v>
      </c>
      <c r="P299" s="1">
        <v>2.92</v>
      </c>
      <c r="Q299" s="1">
        <v>4.8099999999999996</v>
      </c>
      <c r="S299" s="284">
        <v>194.76</v>
      </c>
      <c r="T299" s="1">
        <v>6.49</v>
      </c>
      <c r="U299" s="1">
        <v>6.21</v>
      </c>
      <c r="V299" s="1">
        <v>11.4</v>
      </c>
      <c r="X299" s="278">
        <v>610.47</v>
      </c>
      <c r="Y299" s="117">
        <v>20.350000000000001</v>
      </c>
      <c r="Z299" s="181">
        <v>18.649999999999999</v>
      </c>
      <c r="AA299" s="180">
        <v>28.57</v>
      </c>
      <c r="AC299" s="284">
        <v>805.23</v>
      </c>
      <c r="AD299" s="1">
        <v>26.84</v>
      </c>
      <c r="AE299" s="1">
        <v>24.85</v>
      </c>
      <c r="AF299" s="1">
        <v>39.97</v>
      </c>
      <c r="AH299" s="299">
        <v>1776.42</v>
      </c>
      <c r="AI299">
        <v>59.21</v>
      </c>
      <c r="AJ299">
        <v>54.59</v>
      </c>
      <c r="AK299">
        <v>159.80000000000001</v>
      </c>
      <c r="AM299" s="299">
        <v>14.7</v>
      </c>
      <c r="AN299">
        <v>0.49</v>
      </c>
      <c r="AO299">
        <v>0.43</v>
      </c>
      <c r="AP299" t="s">
        <v>776</v>
      </c>
      <c r="AR299" s="284">
        <v>133.19999999999999</v>
      </c>
      <c r="AS299" s="1">
        <v>4.4400000000000004</v>
      </c>
      <c r="AT299" s="1">
        <v>3.99</v>
      </c>
      <c r="AU299" s="1" t="s">
        <v>776</v>
      </c>
      <c r="AW299" s="284">
        <v>22.5</v>
      </c>
      <c r="AX299" s="1">
        <v>0.75</v>
      </c>
      <c r="AY299" s="1">
        <v>0.73</v>
      </c>
      <c r="AZ299" s="1" t="s">
        <v>776</v>
      </c>
      <c r="BB299" s="284">
        <v>22.5</v>
      </c>
      <c r="BC299" s="1">
        <v>0.75</v>
      </c>
      <c r="BD299" s="1">
        <v>0.69</v>
      </c>
      <c r="BE299" s="1" t="s">
        <v>776</v>
      </c>
      <c r="BG299" s="284">
        <v>45</v>
      </c>
      <c r="BH299" s="1">
        <v>1.5</v>
      </c>
      <c r="BI299" s="1">
        <v>0.96</v>
      </c>
      <c r="BJ299" s="1" t="s">
        <v>776</v>
      </c>
      <c r="BL299" s="284">
        <v>96.69</v>
      </c>
      <c r="BM299" s="1">
        <v>3.22</v>
      </c>
      <c r="BN299" s="1">
        <v>3.28</v>
      </c>
      <c r="BO299" s="1" t="s">
        <v>776</v>
      </c>
      <c r="BQ299" s="284">
        <v>11.7</v>
      </c>
      <c r="BR299" s="1">
        <v>0.39</v>
      </c>
      <c r="BS299" s="1">
        <v>0.37</v>
      </c>
      <c r="BT299" s="1" t="s">
        <v>776</v>
      </c>
      <c r="BV299" s="284">
        <v>6.6</v>
      </c>
      <c r="BW299" s="1">
        <v>0.22</v>
      </c>
      <c r="BX299" s="1">
        <v>0.17</v>
      </c>
      <c r="BY299" s="1" t="s">
        <v>776</v>
      </c>
      <c r="CA299" s="284">
        <v>12.3</v>
      </c>
      <c r="CB299" s="1">
        <v>0.41</v>
      </c>
      <c r="CC299" s="1">
        <v>0.37</v>
      </c>
      <c r="CD299" s="1" t="s">
        <v>776</v>
      </c>
      <c r="CF299" s="284">
        <v>44.22</v>
      </c>
      <c r="CG299" s="1">
        <v>1.47</v>
      </c>
      <c r="CH299" s="1">
        <v>1.47</v>
      </c>
      <c r="CI299" s="1" t="s">
        <v>776</v>
      </c>
      <c r="CK299" s="284">
        <v>173.58</v>
      </c>
      <c r="CL299" s="1">
        <v>5.79</v>
      </c>
      <c r="CM299" s="1">
        <v>4.6399999999999997</v>
      </c>
      <c r="CN299" s="1">
        <v>7.74</v>
      </c>
      <c r="CP299" s="284">
        <v>176.86</v>
      </c>
      <c r="CQ299" s="1">
        <v>5.9</v>
      </c>
      <c r="CR299" s="1">
        <v>6.6</v>
      </c>
      <c r="CS299" s="1">
        <v>11.38</v>
      </c>
      <c r="CU299" s="284">
        <v>166.75</v>
      </c>
      <c r="CV299" s="1">
        <v>5.56</v>
      </c>
      <c r="CW299" s="1">
        <v>5.22</v>
      </c>
      <c r="CX299" s="1">
        <v>8.61</v>
      </c>
      <c r="CZ299" s="269">
        <v>27.5</v>
      </c>
      <c r="DA299" s="1">
        <v>0.92</v>
      </c>
      <c r="DC299" s="284">
        <v>25.49</v>
      </c>
      <c r="DD299" s="1">
        <v>0.85</v>
      </c>
      <c r="DE299" s="1">
        <v>0.89</v>
      </c>
      <c r="DF299" s="1" t="s">
        <v>776</v>
      </c>
      <c r="DH299" s="284">
        <f>DI299*30</f>
        <v>74.7</v>
      </c>
      <c r="DI299" s="1">
        <f t="shared" si="348"/>
        <v>2.4900000000000002</v>
      </c>
      <c r="DJ299" s="1">
        <f t="shared" si="368"/>
        <v>2.3741666666666661</v>
      </c>
      <c r="DM299" s="284">
        <f>DN299*30</f>
        <v>3144.3</v>
      </c>
      <c r="DN299" s="77">
        <f t="shared" si="351"/>
        <v>104.81</v>
      </c>
      <c r="DO299" s="77">
        <f t="shared" si="375"/>
        <v>96.998333333333335</v>
      </c>
      <c r="DR299" s="284">
        <f>DS299*30</f>
        <v>570.60000000000014</v>
      </c>
      <c r="DS299" s="77">
        <f t="shared" si="354"/>
        <v>19.020000000000003</v>
      </c>
      <c r="DT299" s="77" t="e">
        <f>SUM(CH299+CM299+CR299+CW299+#REF!)</f>
        <v>#REF!</v>
      </c>
      <c r="DU299" s="201"/>
      <c r="DV299" s="201"/>
      <c r="DW299" s="284">
        <f>DX299*30</f>
        <v>3714.9000000000005</v>
      </c>
      <c r="DX299" s="77">
        <f t="shared" si="376"/>
        <v>123.83000000000001</v>
      </c>
      <c r="DY299" s="77">
        <f t="shared" si="374"/>
        <v>115.11583333333333</v>
      </c>
      <c r="ED299" s="201"/>
      <c r="EE299" s="201"/>
      <c r="EL299">
        <v>2022</v>
      </c>
      <c r="EM299" t="s">
        <v>705</v>
      </c>
      <c r="EN299" t="s">
        <v>841</v>
      </c>
      <c r="EO299">
        <v>191.39</v>
      </c>
    </row>
    <row r="300" spans="1:145" x14ac:dyDescent="0.25">
      <c r="A300" s="265">
        <v>2022</v>
      </c>
      <c r="B300" s="247" t="s">
        <v>715</v>
      </c>
      <c r="C300" s="247"/>
      <c r="D300" s="284">
        <v>203.22</v>
      </c>
      <c r="E300" s="1">
        <v>6.56</v>
      </c>
      <c r="F300" s="1">
        <v>6.25</v>
      </c>
      <c r="G300" s="1">
        <v>9.49</v>
      </c>
      <c r="I300" s="284">
        <v>23.28</v>
      </c>
      <c r="J300" s="1">
        <v>0.75</v>
      </c>
      <c r="K300" s="1">
        <v>0.67</v>
      </c>
      <c r="L300" s="1">
        <v>1.47</v>
      </c>
      <c r="N300" s="284">
        <v>108.59</v>
      </c>
      <c r="O300" s="1">
        <v>3.5</v>
      </c>
      <c r="P300" s="1">
        <v>2.96</v>
      </c>
      <c r="Q300" s="1">
        <v>9.6999999999999993</v>
      </c>
      <c r="S300" s="284">
        <v>217.93</v>
      </c>
      <c r="T300" s="1">
        <v>7.03</v>
      </c>
      <c r="U300" s="1">
        <v>6.21</v>
      </c>
      <c r="V300" s="1">
        <v>13.04</v>
      </c>
      <c r="X300" s="278">
        <v>639.65</v>
      </c>
      <c r="Y300" s="117">
        <v>20.63</v>
      </c>
      <c r="Z300" s="181">
        <v>18.829999999999998</v>
      </c>
      <c r="AA300" s="180">
        <v>30.48</v>
      </c>
      <c r="AC300" s="284">
        <v>857.58</v>
      </c>
      <c r="AD300" s="1">
        <v>27.66</v>
      </c>
      <c r="AE300" s="1">
        <v>25.04</v>
      </c>
      <c r="AF300" s="1">
        <v>43.52</v>
      </c>
      <c r="AH300" s="299">
        <v>1818.15</v>
      </c>
      <c r="AI300">
        <v>58.65</v>
      </c>
      <c r="AJ300">
        <v>54.86</v>
      </c>
      <c r="AK300">
        <v>174.9</v>
      </c>
      <c r="AM300" s="299">
        <v>14.26</v>
      </c>
      <c r="AN300">
        <v>0.46</v>
      </c>
      <c r="AO300">
        <v>0.43</v>
      </c>
      <c r="AP300" t="s">
        <v>776</v>
      </c>
      <c r="AR300" s="284">
        <v>132.68</v>
      </c>
      <c r="AS300" s="1">
        <v>4.28</v>
      </c>
      <c r="AT300" s="1">
        <v>4.01</v>
      </c>
      <c r="AU300" s="1" t="s">
        <v>776</v>
      </c>
      <c r="AW300" s="284">
        <v>23.25</v>
      </c>
      <c r="AX300" s="1">
        <v>0.75</v>
      </c>
      <c r="AY300" s="1">
        <v>0.73</v>
      </c>
      <c r="AZ300" s="1" t="s">
        <v>776</v>
      </c>
      <c r="BB300" s="284">
        <v>24.8</v>
      </c>
      <c r="BC300" s="1">
        <v>0.8</v>
      </c>
      <c r="BD300" s="1">
        <v>0.71</v>
      </c>
      <c r="BE300" s="1" t="s">
        <v>776</v>
      </c>
      <c r="BG300" s="284">
        <v>43.09</v>
      </c>
      <c r="BH300" s="1">
        <v>1.39</v>
      </c>
      <c r="BI300" s="1">
        <v>1.02</v>
      </c>
      <c r="BJ300" s="1" t="s">
        <v>776</v>
      </c>
      <c r="BL300" s="284">
        <v>99.91</v>
      </c>
      <c r="BM300" s="1">
        <v>3.22</v>
      </c>
      <c r="BN300" s="1">
        <v>3.27</v>
      </c>
      <c r="BO300" s="1" t="s">
        <v>776</v>
      </c>
      <c r="BQ300" s="284">
        <v>12.09</v>
      </c>
      <c r="BR300" s="1">
        <v>0.39</v>
      </c>
      <c r="BS300" s="1">
        <v>0.37</v>
      </c>
      <c r="BT300" s="1" t="s">
        <v>776</v>
      </c>
      <c r="BV300" s="284">
        <v>7.13</v>
      </c>
      <c r="BW300" s="1">
        <v>0.23</v>
      </c>
      <c r="BX300" s="1">
        <v>0.17</v>
      </c>
      <c r="BY300" s="1" t="s">
        <v>776</v>
      </c>
      <c r="CA300" s="284">
        <v>13.02</v>
      </c>
      <c r="CB300" s="1">
        <v>0.42</v>
      </c>
      <c r="CC300" s="1">
        <v>0.38</v>
      </c>
      <c r="CD300" s="1" t="s">
        <v>776</v>
      </c>
      <c r="CF300" s="284">
        <v>45.69</v>
      </c>
      <c r="CG300" s="1">
        <v>1.47</v>
      </c>
      <c r="CH300" s="1">
        <v>1.47</v>
      </c>
      <c r="CI300" s="1" t="s">
        <v>776</v>
      </c>
      <c r="CK300" s="284">
        <v>192.52</v>
      </c>
      <c r="CL300" s="1">
        <v>6.21</v>
      </c>
      <c r="CM300" s="1">
        <v>4.78</v>
      </c>
      <c r="CN300" s="1">
        <v>9.75</v>
      </c>
      <c r="CP300" s="284">
        <v>255.7</v>
      </c>
      <c r="CQ300" s="1">
        <v>8.25</v>
      </c>
      <c r="CR300" s="1">
        <v>6.75</v>
      </c>
      <c r="CS300" s="1">
        <v>13.15</v>
      </c>
      <c r="CU300" s="284">
        <v>172.31</v>
      </c>
      <c r="CV300" s="1">
        <v>5.56</v>
      </c>
      <c r="CW300" s="1">
        <v>5.24</v>
      </c>
      <c r="CX300" s="1">
        <v>8.58</v>
      </c>
      <c r="CZ300" s="269">
        <v>27.5</v>
      </c>
      <c r="DA300" s="1">
        <v>0.89</v>
      </c>
      <c r="DC300" s="284">
        <v>26.34</v>
      </c>
      <c r="DD300" s="1">
        <v>0.85</v>
      </c>
      <c r="DE300" s="1">
        <v>0.88</v>
      </c>
      <c r="DF300" s="1" t="s">
        <v>776</v>
      </c>
      <c r="DH300" s="284">
        <f t="shared" si="371"/>
        <v>77.809999999999988</v>
      </c>
      <c r="DI300" s="1">
        <f t="shared" si="348"/>
        <v>2.5099999999999998</v>
      </c>
      <c r="DJ300" s="1">
        <f t="shared" si="368"/>
        <v>2.3908333333333331</v>
      </c>
      <c r="DM300" s="284">
        <f>DN300*31</f>
        <v>3270.8099999999995</v>
      </c>
      <c r="DN300" s="77">
        <f t="shared" si="351"/>
        <v>105.50999999999999</v>
      </c>
      <c r="DO300" s="77">
        <f t="shared" si="375"/>
        <v>97.540833333333339</v>
      </c>
      <c r="DR300" s="284">
        <f>DS300*31</f>
        <v>674.56000000000006</v>
      </c>
      <c r="DS300" s="77">
        <f t="shared" si="354"/>
        <v>21.76</v>
      </c>
      <c r="DT300" s="77" t="e">
        <f>SUM(CH300+CM300+CR300+CW300+#REF!)</f>
        <v>#REF!</v>
      </c>
      <c r="DU300" s="201"/>
      <c r="DV300" s="201"/>
      <c r="DW300" s="284">
        <f>DX300*31</f>
        <v>3945.37</v>
      </c>
      <c r="DX300" s="77">
        <f t="shared" si="376"/>
        <v>127.27</v>
      </c>
      <c r="DY300" s="77">
        <f t="shared" si="374"/>
        <v>115.96583333333332</v>
      </c>
      <c r="ED300" s="201"/>
      <c r="EE300" s="201"/>
      <c r="EL300">
        <v>2022</v>
      </c>
      <c r="EM300" t="s">
        <v>715</v>
      </c>
      <c r="EN300" t="s">
        <v>841</v>
      </c>
      <c r="EO300">
        <v>203.22</v>
      </c>
    </row>
    <row r="301" spans="1:145" x14ac:dyDescent="0.25">
      <c r="A301" s="265">
        <v>2022</v>
      </c>
      <c r="B301" s="247" t="s">
        <v>718</v>
      </c>
      <c r="C301" s="247"/>
      <c r="D301" s="284">
        <v>237.98</v>
      </c>
      <c r="E301" s="1">
        <v>7.93</v>
      </c>
      <c r="F301" s="1">
        <v>6.28</v>
      </c>
      <c r="G301" s="1">
        <v>12.33</v>
      </c>
      <c r="I301" s="284">
        <v>22.73</v>
      </c>
      <c r="J301" s="1">
        <v>0.76</v>
      </c>
      <c r="K301" s="1">
        <v>0.68</v>
      </c>
      <c r="L301" s="1">
        <v>1.95</v>
      </c>
      <c r="N301" s="284">
        <v>88.58</v>
      </c>
      <c r="O301" s="1">
        <v>2.95</v>
      </c>
      <c r="P301" s="1">
        <v>2.92</v>
      </c>
      <c r="Q301" s="1">
        <v>11.28</v>
      </c>
      <c r="S301" s="284">
        <v>192.26</v>
      </c>
      <c r="T301" s="1">
        <v>6.41</v>
      </c>
      <c r="U301" s="1">
        <v>6.17</v>
      </c>
      <c r="V301" s="1">
        <v>14.86</v>
      </c>
      <c r="X301" s="278">
        <v>594.51</v>
      </c>
      <c r="Y301" s="117">
        <v>19.82</v>
      </c>
      <c r="Z301" s="181">
        <v>19</v>
      </c>
      <c r="AA301" s="180">
        <v>30.72</v>
      </c>
      <c r="AC301" s="284">
        <v>786.77</v>
      </c>
      <c r="AD301" s="1">
        <v>26.23</v>
      </c>
      <c r="AE301" s="1">
        <v>25.16</v>
      </c>
      <c r="AF301" s="1">
        <v>45.58</v>
      </c>
      <c r="AH301" s="299">
        <v>1632.65</v>
      </c>
      <c r="AI301">
        <v>54.42</v>
      </c>
      <c r="AJ301">
        <v>54.77</v>
      </c>
      <c r="AK301">
        <v>147.1</v>
      </c>
      <c r="AM301" s="299">
        <v>11.7</v>
      </c>
      <c r="AN301">
        <v>0.39</v>
      </c>
      <c r="AO301">
        <v>0.41</v>
      </c>
      <c r="AP301" t="s">
        <v>776</v>
      </c>
      <c r="AR301" s="284">
        <v>110.4</v>
      </c>
      <c r="AS301" s="1">
        <v>3.68</v>
      </c>
      <c r="AT301" s="1">
        <v>3.95</v>
      </c>
      <c r="AU301" s="1" t="s">
        <v>776</v>
      </c>
      <c r="AW301" s="284">
        <v>18.899999999999999</v>
      </c>
      <c r="AX301" s="1">
        <v>0.63</v>
      </c>
      <c r="AY301" s="1">
        <v>0.7</v>
      </c>
      <c r="AZ301" s="1" t="s">
        <v>776</v>
      </c>
      <c r="BB301" s="284">
        <v>21.3</v>
      </c>
      <c r="BC301" s="1">
        <v>0.71</v>
      </c>
      <c r="BD301" s="1">
        <v>0.71</v>
      </c>
      <c r="BE301" s="1" t="s">
        <v>776</v>
      </c>
      <c r="BG301" s="284">
        <v>36</v>
      </c>
      <c r="BH301" s="1">
        <v>1.2</v>
      </c>
      <c r="BI301" s="1">
        <v>1.06</v>
      </c>
      <c r="BJ301" s="1" t="s">
        <v>776</v>
      </c>
      <c r="BL301" s="284">
        <v>96.69</v>
      </c>
      <c r="BM301" s="1">
        <v>3.22</v>
      </c>
      <c r="BN301" s="1">
        <v>3.26</v>
      </c>
      <c r="BO301" s="1" t="s">
        <v>776</v>
      </c>
      <c r="BQ301" s="284">
        <v>11.4</v>
      </c>
      <c r="BR301" s="1">
        <v>0.38</v>
      </c>
      <c r="BS301" s="1">
        <v>0.37</v>
      </c>
      <c r="BT301" s="1" t="s">
        <v>776</v>
      </c>
      <c r="BV301" s="284">
        <v>5.4</v>
      </c>
      <c r="BW301" s="1">
        <v>0.18</v>
      </c>
      <c r="BX301" s="1">
        <v>0.17</v>
      </c>
      <c r="BY301" s="1" t="s">
        <v>776</v>
      </c>
      <c r="CA301" s="284">
        <v>11.1</v>
      </c>
      <c r="CB301" s="1">
        <v>0.37</v>
      </c>
      <c r="CC301" s="1">
        <v>0.38</v>
      </c>
      <c r="CD301" s="1" t="s">
        <v>776</v>
      </c>
      <c r="CF301" s="284">
        <v>44.22</v>
      </c>
      <c r="CG301" s="1">
        <v>1.47</v>
      </c>
      <c r="CH301" s="1">
        <v>1.47</v>
      </c>
      <c r="CI301" s="1" t="s">
        <v>776</v>
      </c>
      <c r="CK301" s="284">
        <v>119.22</v>
      </c>
      <c r="CL301" s="1">
        <v>3.97</v>
      </c>
      <c r="CM301" s="1">
        <v>4.79</v>
      </c>
      <c r="CN301" s="1">
        <v>10.75</v>
      </c>
      <c r="CP301" s="284">
        <v>153.08000000000001</v>
      </c>
      <c r="CQ301" s="1">
        <v>5.0999999999999996</v>
      </c>
      <c r="CR301" s="1">
        <v>6.62</v>
      </c>
      <c r="CS301" s="1">
        <v>13.12</v>
      </c>
      <c r="CU301" s="284">
        <v>159.36000000000001</v>
      </c>
      <c r="CV301" s="1">
        <v>5.31</v>
      </c>
      <c r="CW301" s="1">
        <v>5.24</v>
      </c>
      <c r="CX301" s="1">
        <v>8.7200000000000006</v>
      </c>
      <c r="CZ301" s="269">
        <v>25.15</v>
      </c>
      <c r="DA301" s="1">
        <v>0.84</v>
      </c>
      <c r="DC301" s="284">
        <v>25.49</v>
      </c>
      <c r="DD301" s="1">
        <v>0.85</v>
      </c>
      <c r="DE301" s="1">
        <v>0.87</v>
      </c>
      <c r="DF301" s="1" t="s">
        <v>776</v>
      </c>
      <c r="DH301" s="284">
        <f>DI301*30</f>
        <v>72</v>
      </c>
      <c r="DI301" s="1">
        <f t="shared" si="348"/>
        <v>2.4</v>
      </c>
      <c r="DJ301" s="1">
        <f t="shared" si="368"/>
        <v>2.3966666666666665</v>
      </c>
      <c r="DM301" s="284">
        <f>DN301*30</f>
        <v>2991.6</v>
      </c>
      <c r="DN301" s="77">
        <f t="shared" si="351"/>
        <v>99.72</v>
      </c>
      <c r="DO301" s="77">
        <f t="shared" ref="DO301:DO316" si="377">SUM(DN290:DN301)/12</f>
        <v>97.494166666666672</v>
      </c>
      <c r="DR301" s="284">
        <f>DS301*30</f>
        <v>482.1</v>
      </c>
      <c r="DS301" s="77">
        <f t="shared" si="354"/>
        <v>16.07</v>
      </c>
      <c r="DT301" s="77" t="e">
        <f>SUM(CH301+CM301+CR301+CW301+#REF!)</f>
        <v>#REF!</v>
      </c>
      <c r="DU301" s="201"/>
      <c r="DV301" s="201"/>
      <c r="DW301" s="284">
        <f>DX301*30</f>
        <v>3473.7</v>
      </c>
      <c r="DX301" s="77">
        <f t="shared" si="376"/>
        <v>115.78999999999999</v>
      </c>
      <c r="DY301" s="77">
        <f t="shared" si="374"/>
        <v>115.7925</v>
      </c>
      <c r="ED301" s="201"/>
      <c r="EE301" s="201"/>
      <c r="EL301">
        <v>2022</v>
      </c>
      <c r="EM301" t="s">
        <v>718</v>
      </c>
      <c r="EN301" t="s">
        <v>841</v>
      </c>
      <c r="EO301">
        <v>237.98</v>
      </c>
    </row>
    <row r="302" spans="1:145" x14ac:dyDescent="0.25">
      <c r="A302" s="265">
        <v>2022</v>
      </c>
      <c r="B302" s="247" t="s">
        <v>716</v>
      </c>
      <c r="C302" s="247"/>
      <c r="D302" s="284">
        <v>237.03</v>
      </c>
      <c r="E302" s="1">
        <v>7.65</v>
      </c>
      <c r="F302" s="1">
        <v>6.4</v>
      </c>
      <c r="G302" s="1">
        <v>15.29</v>
      </c>
      <c r="I302" s="284">
        <v>23.36</v>
      </c>
      <c r="J302" s="1">
        <v>0.75</v>
      </c>
      <c r="K302" s="1">
        <v>0.69</v>
      </c>
      <c r="L302" s="1">
        <v>2.2599999999999998</v>
      </c>
      <c r="N302" s="284">
        <v>101.91</v>
      </c>
      <c r="O302" s="1">
        <v>3.29</v>
      </c>
      <c r="P302" s="1">
        <v>2.94</v>
      </c>
      <c r="Q302" s="1">
        <v>10.08</v>
      </c>
      <c r="S302" s="284">
        <v>191.53</v>
      </c>
      <c r="T302" s="1">
        <v>6.18</v>
      </c>
      <c r="U302" s="1">
        <v>6.18</v>
      </c>
      <c r="V302" s="1">
        <v>24.19</v>
      </c>
      <c r="X302" s="278">
        <v>633.04999999999995</v>
      </c>
      <c r="Y302" s="117">
        <v>20.420000000000002</v>
      </c>
      <c r="Z302" s="181">
        <v>19.18</v>
      </c>
      <c r="AA302" s="180">
        <v>36.79</v>
      </c>
      <c r="AC302" s="284">
        <v>824.58</v>
      </c>
      <c r="AD302" s="1">
        <v>26.6</v>
      </c>
      <c r="AE302" s="1">
        <v>25.37</v>
      </c>
      <c r="AF302" s="1">
        <v>60.98</v>
      </c>
      <c r="AH302" s="299">
        <v>1842.39</v>
      </c>
      <c r="AI302">
        <v>59.43</v>
      </c>
      <c r="AJ302">
        <v>55.32</v>
      </c>
      <c r="AK302">
        <v>198.6</v>
      </c>
      <c r="AM302" s="299">
        <v>13.33</v>
      </c>
      <c r="AN302">
        <v>0.43</v>
      </c>
      <c r="AO302">
        <v>0.41</v>
      </c>
      <c r="AP302" t="s">
        <v>776</v>
      </c>
      <c r="AR302" s="284">
        <v>119.04</v>
      </c>
      <c r="AS302" s="1">
        <v>3.84</v>
      </c>
      <c r="AT302" s="1">
        <v>3.95</v>
      </c>
      <c r="AU302" s="1" t="s">
        <v>776</v>
      </c>
      <c r="AW302" s="284">
        <v>22.01</v>
      </c>
      <c r="AX302" s="1">
        <v>0.71</v>
      </c>
      <c r="AY302" s="1">
        <v>0.7</v>
      </c>
      <c r="AZ302" s="1" t="s">
        <v>776</v>
      </c>
      <c r="BB302" s="284">
        <v>24.8</v>
      </c>
      <c r="BC302" s="1">
        <v>0.8</v>
      </c>
      <c r="BD302" s="1">
        <v>0.72</v>
      </c>
      <c r="BE302" s="1" t="s">
        <v>776</v>
      </c>
      <c r="BG302" s="284">
        <v>37.200000000000003</v>
      </c>
      <c r="BH302" s="1">
        <v>1.2</v>
      </c>
      <c r="BI302" s="1">
        <v>1.1100000000000001</v>
      </c>
      <c r="BJ302" s="1" t="s">
        <v>776</v>
      </c>
      <c r="BL302" s="284">
        <v>99.91</v>
      </c>
      <c r="BM302" s="1">
        <v>3.22</v>
      </c>
      <c r="BN302" s="1">
        <v>3.24</v>
      </c>
      <c r="BO302" s="1" t="s">
        <v>776</v>
      </c>
      <c r="BQ302" s="284">
        <v>12.4</v>
      </c>
      <c r="BR302" s="1">
        <v>0.4</v>
      </c>
      <c r="BS302" s="1">
        <v>0.38</v>
      </c>
      <c r="BT302" s="1" t="s">
        <v>776</v>
      </c>
      <c r="BV302" s="284">
        <v>5.27</v>
      </c>
      <c r="BW302" s="1">
        <v>0.17</v>
      </c>
      <c r="BX302" s="1">
        <v>0.18</v>
      </c>
      <c r="BY302" s="1" t="s">
        <v>776</v>
      </c>
      <c r="CA302" s="284">
        <v>12.4</v>
      </c>
      <c r="CB302" s="1">
        <v>0.4</v>
      </c>
      <c r="CC302" s="1">
        <v>0.39</v>
      </c>
      <c r="CD302" s="1" t="s">
        <v>776</v>
      </c>
      <c r="CF302" s="284">
        <v>45.69</v>
      </c>
      <c r="CG302" s="1">
        <v>1.47</v>
      </c>
      <c r="CH302" s="1">
        <v>1.47</v>
      </c>
      <c r="CI302" s="1" t="s">
        <v>776</v>
      </c>
      <c r="CK302" s="284">
        <v>146.05000000000001</v>
      </c>
      <c r="CL302" s="1">
        <v>4.71</v>
      </c>
      <c r="CM302" s="1">
        <v>4.87</v>
      </c>
      <c r="CN302" s="1">
        <v>23.83</v>
      </c>
      <c r="CP302" s="284">
        <v>161.88999999999999</v>
      </c>
      <c r="CQ302" s="1">
        <v>5.22</v>
      </c>
      <c r="CR302" s="1">
        <v>6.51</v>
      </c>
      <c r="CS302" s="1">
        <v>11.63</v>
      </c>
      <c r="CU302" s="284">
        <v>167.94</v>
      </c>
      <c r="CV302" s="1">
        <v>5.42</v>
      </c>
      <c r="CW302" s="1">
        <v>5.26</v>
      </c>
      <c r="CX302" s="1">
        <v>11.62</v>
      </c>
      <c r="CZ302" s="269">
        <v>23.41</v>
      </c>
      <c r="DA302" s="1">
        <v>0.76</v>
      </c>
      <c r="DC302" s="284">
        <v>26.34</v>
      </c>
      <c r="DD302" s="1">
        <v>0.85</v>
      </c>
      <c r="DE302" s="1">
        <v>0.87</v>
      </c>
      <c r="DF302" s="1" t="s">
        <v>776</v>
      </c>
      <c r="DH302" s="284">
        <f t="shared" si="371"/>
        <v>75.64</v>
      </c>
      <c r="DI302" s="1">
        <f t="shared" si="348"/>
        <v>2.44</v>
      </c>
      <c r="DJ302" s="1">
        <f t="shared" si="368"/>
        <v>2.4133333333333331</v>
      </c>
      <c r="DM302" s="284">
        <f>DN302*31</f>
        <v>3269.88</v>
      </c>
      <c r="DN302" s="77">
        <f t="shared" si="351"/>
        <v>105.48</v>
      </c>
      <c r="DO302" s="77">
        <f t="shared" si="377"/>
        <v>98.430833333333339</v>
      </c>
      <c r="DR302" s="284">
        <f>DS302*31</f>
        <v>525.76</v>
      </c>
      <c r="DS302" s="77">
        <f t="shared" si="354"/>
        <v>16.96</v>
      </c>
      <c r="DT302" s="77" t="e">
        <f>SUM(CH302+CM302+CR302+CW302+#REF!)</f>
        <v>#REF!</v>
      </c>
      <c r="DU302" s="201"/>
      <c r="DV302" s="201"/>
      <c r="DW302" s="284">
        <f>DX302*31</f>
        <v>3795.64</v>
      </c>
      <c r="DX302" s="77">
        <f t="shared" si="376"/>
        <v>122.44</v>
      </c>
      <c r="DY302" s="77">
        <f t="shared" si="374"/>
        <v>116.71416666666669</v>
      </c>
      <c r="ED302" s="201"/>
      <c r="EE302" s="201"/>
      <c r="EL302">
        <v>2022</v>
      </c>
      <c r="EM302" t="s">
        <v>716</v>
      </c>
      <c r="EN302" t="s">
        <v>841</v>
      </c>
      <c r="EO302">
        <v>237.03</v>
      </c>
    </row>
    <row r="303" spans="1:145" x14ac:dyDescent="0.25">
      <c r="A303" s="265">
        <v>2022</v>
      </c>
      <c r="B303" s="247" t="s">
        <v>708</v>
      </c>
      <c r="C303" s="247"/>
      <c r="D303" s="284">
        <v>207.28</v>
      </c>
      <c r="E303" s="1">
        <v>6.69</v>
      </c>
      <c r="F303" s="1">
        <v>6.43</v>
      </c>
      <c r="G303" s="1">
        <v>8.58</v>
      </c>
      <c r="I303" s="284">
        <v>22.42</v>
      </c>
      <c r="J303" s="1">
        <v>0.72</v>
      </c>
      <c r="K303" s="1">
        <v>0.7</v>
      </c>
      <c r="L303" s="1">
        <v>1.87</v>
      </c>
      <c r="N303" s="284">
        <v>89.43</v>
      </c>
      <c r="O303" s="1">
        <v>2.88</v>
      </c>
      <c r="P303" s="1">
        <v>2.95</v>
      </c>
      <c r="Q303" s="1">
        <v>5.76</v>
      </c>
      <c r="S303" s="284">
        <v>153.86000000000001</v>
      </c>
      <c r="T303" s="1">
        <v>4.96</v>
      </c>
      <c r="U303" s="1">
        <v>6.09</v>
      </c>
      <c r="V303" s="1">
        <v>25</v>
      </c>
      <c r="X303" s="278">
        <v>579.39</v>
      </c>
      <c r="Y303" s="117">
        <v>18.690000000000001</v>
      </c>
      <c r="Z303" s="181">
        <v>19.16</v>
      </c>
      <c r="AA303" s="180">
        <v>45.35</v>
      </c>
      <c r="AC303" s="284">
        <v>733.25</v>
      </c>
      <c r="AD303" s="1">
        <v>23.65</v>
      </c>
      <c r="AE303" s="1">
        <v>25.26</v>
      </c>
      <c r="AF303" s="1">
        <v>70.349999999999994</v>
      </c>
      <c r="AH303" s="299">
        <v>1800.85</v>
      </c>
      <c r="AI303">
        <v>58.09</v>
      </c>
      <c r="AJ303">
        <v>55.58</v>
      </c>
      <c r="AK303">
        <v>163.30000000000001</v>
      </c>
      <c r="AM303" s="299">
        <v>14.26</v>
      </c>
      <c r="AN303">
        <v>0.46</v>
      </c>
      <c r="AO303">
        <v>0.41</v>
      </c>
      <c r="AP303" t="s">
        <v>776</v>
      </c>
      <c r="AR303" s="284">
        <v>116.25</v>
      </c>
      <c r="AS303" s="1">
        <v>3.75</v>
      </c>
      <c r="AT303" s="1">
        <v>3.93</v>
      </c>
      <c r="AU303" s="1" t="s">
        <v>776</v>
      </c>
      <c r="AW303" s="284">
        <v>22.32</v>
      </c>
      <c r="AX303" s="1">
        <v>0.72</v>
      </c>
      <c r="AY303" s="1">
        <v>0.68</v>
      </c>
      <c r="AZ303" s="1" t="s">
        <v>776</v>
      </c>
      <c r="BB303" s="284">
        <v>22.01</v>
      </c>
      <c r="BC303" s="1">
        <v>0.71</v>
      </c>
      <c r="BD303" s="1">
        <v>0.72</v>
      </c>
      <c r="BE303" s="1" t="s">
        <v>776</v>
      </c>
      <c r="BG303" s="284">
        <v>26.66</v>
      </c>
      <c r="BH303" s="1">
        <v>0.86</v>
      </c>
      <c r="BI303" s="1">
        <v>1.1100000000000001</v>
      </c>
      <c r="BJ303" s="1" t="s">
        <v>776</v>
      </c>
      <c r="BL303" s="284">
        <v>99.91</v>
      </c>
      <c r="BM303" s="1">
        <v>3.22</v>
      </c>
      <c r="BN303" s="1">
        <v>3.23</v>
      </c>
      <c r="BO303" s="1" t="s">
        <v>776</v>
      </c>
      <c r="BQ303" s="284">
        <v>11.78</v>
      </c>
      <c r="BR303" s="1">
        <v>0.38</v>
      </c>
      <c r="BS303" s="1">
        <v>0.38</v>
      </c>
      <c r="BT303" s="1" t="s">
        <v>776</v>
      </c>
      <c r="BV303" s="284">
        <v>5.58</v>
      </c>
      <c r="BW303" s="1">
        <v>0.18</v>
      </c>
      <c r="BX303" s="1">
        <v>0.17</v>
      </c>
      <c r="BY303" s="1" t="s">
        <v>776</v>
      </c>
      <c r="CA303" s="284">
        <v>12.09</v>
      </c>
      <c r="CB303" s="1">
        <v>0.39</v>
      </c>
      <c r="CC303" s="1">
        <v>0.39</v>
      </c>
      <c r="CD303" s="1" t="s">
        <v>776</v>
      </c>
      <c r="CF303" s="284">
        <v>45.69</v>
      </c>
      <c r="CG303" s="1">
        <v>1.47</v>
      </c>
      <c r="CH303" s="1">
        <v>1.47</v>
      </c>
      <c r="CI303" s="1" t="s">
        <v>776</v>
      </c>
      <c r="CK303" s="284">
        <v>112.17</v>
      </c>
      <c r="CL303" s="1">
        <v>3.62</v>
      </c>
      <c r="CM303" s="1">
        <v>4.88</v>
      </c>
      <c r="CN303" s="1">
        <v>5.46</v>
      </c>
      <c r="CP303" s="284">
        <v>187.01</v>
      </c>
      <c r="CQ303" s="1">
        <v>6.03</v>
      </c>
      <c r="CR303" s="1">
        <v>6.39</v>
      </c>
      <c r="CS303" s="1">
        <v>11.71</v>
      </c>
      <c r="CU303" s="284">
        <v>154.72</v>
      </c>
      <c r="CV303" s="1">
        <v>4.99</v>
      </c>
      <c r="CW303" s="1">
        <v>5.25</v>
      </c>
      <c r="CX303" s="1">
        <v>7.04</v>
      </c>
      <c r="CZ303" s="269">
        <v>17.5</v>
      </c>
      <c r="DA303" s="1">
        <v>0.56000000000000005</v>
      </c>
      <c r="DC303" s="284">
        <v>26.34</v>
      </c>
      <c r="DD303" s="1">
        <v>0.85</v>
      </c>
      <c r="DE303" s="1">
        <v>0.86</v>
      </c>
      <c r="DF303" s="1" t="s">
        <v>776</v>
      </c>
      <c r="DH303" s="284">
        <f t="shared" si="371"/>
        <v>75.02</v>
      </c>
      <c r="DI303" s="1">
        <f t="shared" si="348"/>
        <v>2.42</v>
      </c>
      <c r="DJ303" s="1">
        <f t="shared" si="368"/>
        <v>2.4141666666666661</v>
      </c>
      <c r="DM303" s="284">
        <f>DN303*31</f>
        <v>3079.2299999999996</v>
      </c>
      <c r="DN303" s="77">
        <f t="shared" si="351"/>
        <v>99.329999999999984</v>
      </c>
      <c r="DO303" s="77">
        <f t="shared" si="377"/>
        <v>98.584999999999994</v>
      </c>
      <c r="DR303" s="284">
        <f>DS303*31</f>
        <v>497.55</v>
      </c>
      <c r="DS303" s="77">
        <f t="shared" si="354"/>
        <v>16.05</v>
      </c>
      <c r="DT303" s="77" t="e">
        <f>SUM(CH303+CM303+CR303+CW303+#REF!)</f>
        <v>#REF!</v>
      </c>
      <c r="DU303" s="201"/>
      <c r="DV303" s="201"/>
      <c r="DW303" s="284">
        <f>DX303*31</f>
        <v>3576.7799999999993</v>
      </c>
      <c r="DX303" s="77">
        <f t="shared" si="376"/>
        <v>115.37999999999998</v>
      </c>
      <c r="DY303" s="77">
        <f t="shared" si="374"/>
        <v>116.72416666666668</v>
      </c>
      <c r="ED303" s="201"/>
      <c r="EE303" s="201"/>
      <c r="EL303">
        <v>2022</v>
      </c>
      <c r="EM303" t="s">
        <v>708</v>
      </c>
      <c r="EN303" t="s">
        <v>841</v>
      </c>
      <c r="EO303">
        <v>207.28</v>
      </c>
    </row>
    <row r="304" spans="1:145" x14ac:dyDescent="0.25">
      <c r="A304" s="265">
        <v>2022</v>
      </c>
      <c r="B304" s="247" t="s">
        <v>709</v>
      </c>
      <c r="C304" s="247"/>
      <c r="D304" s="284">
        <v>181.69</v>
      </c>
      <c r="E304" s="1">
        <v>6.06</v>
      </c>
      <c r="F304" s="1">
        <v>6.41</v>
      </c>
      <c r="G304" s="1">
        <v>11.18</v>
      </c>
      <c r="I304" s="284">
        <v>21.24</v>
      </c>
      <c r="J304" s="1">
        <v>0.71</v>
      </c>
      <c r="K304" s="1">
        <v>0.7</v>
      </c>
      <c r="L304" s="1">
        <v>1.18</v>
      </c>
      <c r="N304" s="284">
        <v>83.6</v>
      </c>
      <c r="O304" s="1">
        <v>2.79</v>
      </c>
      <c r="P304" s="1">
        <v>2.94</v>
      </c>
      <c r="Q304" s="1">
        <v>5.52</v>
      </c>
      <c r="S304" s="284">
        <v>141.94</v>
      </c>
      <c r="T304" s="1">
        <v>4.7300000000000004</v>
      </c>
      <c r="U304" s="1">
        <v>5.94</v>
      </c>
      <c r="V304" s="1">
        <v>10.029999999999999</v>
      </c>
      <c r="X304" s="278">
        <v>541.69000000000005</v>
      </c>
      <c r="Y304" s="117">
        <v>18.059999999999999</v>
      </c>
      <c r="Z304" s="181">
        <v>19.02</v>
      </c>
      <c r="AA304" s="180">
        <v>27.99</v>
      </c>
      <c r="AC304" s="284">
        <v>683.63</v>
      </c>
      <c r="AD304" s="1">
        <v>22.79</v>
      </c>
      <c r="AE304" s="1">
        <v>24.96</v>
      </c>
      <c r="AF304" s="1">
        <v>38.020000000000003</v>
      </c>
      <c r="AH304" s="299">
        <v>1596.1</v>
      </c>
      <c r="AI304">
        <v>53.2</v>
      </c>
      <c r="AJ304">
        <v>55.44</v>
      </c>
      <c r="AK304">
        <v>137.9</v>
      </c>
      <c r="AM304" s="299">
        <v>12.9</v>
      </c>
      <c r="AN304">
        <v>0.43</v>
      </c>
      <c r="AO304">
        <v>0.42</v>
      </c>
      <c r="AP304" t="s">
        <v>776</v>
      </c>
      <c r="AR304" s="284">
        <v>105.9</v>
      </c>
      <c r="AS304" s="1">
        <v>3.53</v>
      </c>
      <c r="AT304" s="1">
        <v>3.91</v>
      </c>
      <c r="AU304" s="1" t="s">
        <v>776</v>
      </c>
      <c r="AW304" s="284">
        <v>19.8</v>
      </c>
      <c r="AX304" s="1">
        <v>0.66</v>
      </c>
      <c r="AY304" s="1">
        <v>0.68</v>
      </c>
      <c r="AZ304" s="1" t="s">
        <v>776</v>
      </c>
      <c r="BB304" s="284">
        <v>19.8</v>
      </c>
      <c r="BC304" s="1">
        <v>0.66</v>
      </c>
      <c r="BD304" s="1">
        <v>0.71</v>
      </c>
      <c r="BE304" s="1" t="s">
        <v>776</v>
      </c>
      <c r="BG304" s="284">
        <v>24.9</v>
      </c>
      <c r="BH304" s="1">
        <v>0.83</v>
      </c>
      <c r="BI304" s="1">
        <v>1.1100000000000001</v>
      </c>
      <c r="BJ304" s="1" t="s">
        <v>776</v>
      </c>
      <c r="BL304" s="284">
        <v>96.69</v>
      </c>
      <c r="BM304" s="1">
        <v>3.22</v>
      </c>
      <c r="BN304" s="1">
        <v>3.22</v>
      </c>
      <c r="BO304" s="1" t="s">
        <v>776</v>
      </c>
      <c r="BQ304" s="284">
        <v>11.4</v>
      </c>
      <c r="BR304" s="1">
        <v>0.38</v>
      </c>
      <c r="BS304" s="1">
        <v>0.38</v>
      </c>
      <c r="BT304" s="1" t="s">
        <v>776</v>
      </c>
      <c r="BV304" s="284">
        <v>4.5</v>
      </c>
      <c r="BW304" s="1">
        <v>0.15</v>
      </c>
      <c r="BX304" s="1">
        <v>0.17</v>
      </c>
      <c r="BY304" s="1" t="s">
        <v>776</v>
      </c>
      <c r="CA304" s="284">
        <v>11.7</v>
      </c>
      <c r="CB304" s="1">
        <v>0.39</v>
      </c>
      <c r="CC304" s="1">
        <v>0.39</v>
      </c>
      <c r="CD304" s="1" t="s">
        <v>776</v>
      </c>
      <c r="CF304" s="284">
        <v>44.22</v>
      </c>
      <c r="CG304" s="1">
        <v>1.47</v>
      </c>
      <c r="CH304" s="1">
        <v>1.47</v>
      </c>
      <c r="CI304" s="1" t="s">
        <v>776</v>
      </c>
      <c r="CK304" s="284">
        <v>124.65</v>
      </c>
      <c r="CL304" s="1">
        <v>4.16</v>
      </c>
      <c r="CM304" s="1">
        <v>4.87</v>
      </c>
      <c r="CN304" s="1">
        <v>9.6300000000000008</v>
      </c>
      <c r="CP304" s="284">
        <v>155.94</v>
      </c>
      <c r="CQ304" s="1">
        <v>5.2</v>
      </c>
      <c r="CR304" s="1">
        <v>6.19</v>
      </c>
      <c r="CS304" s="1">
        <v>11.64</v>
      </c>
      <c r="CU304" s="284">
        <v>143.77000000000001</v>
      </c>
      <c r="CV304" s="1">
        <v>4.79</v>
      </c>
      <c r="CW304" s="1">
        <v>5.21</v>
      </c>
      <c r="CX304" s="1">
        <v>7.31</v>
      </c>
      <c r="CZ304" s="269">
        <v>16.23</v>
      </c>
      <c r="DA304" s="1">
        <v>0.54</v>
      </c>
      <c r="DC304" s="284">
        <v>25.49</v>
      </c>
      <c r="DD304" s="1">
        <v>0.85</v>
      </c>
      <c r="DE304" s="1">
        <v>0.85</v>
      </c>
      <c r="DF304" s="1" t="s">
        <v>776</v>
      </c>
      <c r="DH304" s="284">
        <f>DI304*30</f>
        <v>71.7</v>
      </c>
      <c r="DI304" s="1">
        <f t="shared" si="348"/>
        <v>2.39</v>
      </c>
      <c r="DJ304" s="1">
        <f t="shared" si="368"/>
        <v>2.4099999999999997</v>
      </c>
      <c r="DM304" s="284">
        <f t="shared" ref="DM304" si="378">DN304*30</f>
        <v>2774.7</v>
      </c>
      <c r="DN304" s="77">
        <f t="shared" si="351"/>
        <v>92.49</v>
      </c>
      <c r="DO304" s="77">
        <f t="shared" si="377"/>
        <v>98.086666666666659</v>
      </c>
      <c r="DR304" s="284">
        <f t="shared" ref="DR304" si="379">DS304*30</f>
        <v>466.19999999999993</v>
      </c>
      <c r="DS304" s="77">
        <f t="shared" si="354"/>
        <v>15.539999999999997</v>
      </c>
      <c r="DT304" s="77" t="e">
        <f>SUM(CH304+CM304+CR304+CW304+#REF!)</f>
        <v>#REF!</v>
      </c>
      <c r="DU304" s="201"/>
      <c r="DV304" s="201"/>
      <c r="DW304" s="284">
        <f t="shared" ref="DW304" si="380">DX304*30</f>
        <v>3240.8999999999996</v>
      </c>
      <c r="DX304" s="77">
        <f t="shared" si="376"/>
        <v>108.02999999999999</v>
      </c>
      <c r="DY304" s="77">
        <f t="shared" si="374"/>
        <v>115.94499999999999</v>
      </c>
      <c r="ED304" s="201"/>
      <c r="EE304" s="201"/>
      <c r="EL304">
        <v>2022</v>
      </c>
      <c r="EM304" t="s">
        <v>709</v>
      </c>
      <c r="EN304" t="s">
        <v>841</v>
      </c>
      <c r="EO304">
        <v>181.69</v>
      </c>
    </row>
    <row r="305" spans="1:145" x14ac:dyDescent="0.25">
      <c r="A305" s="265">
        <v>2022</v>
      </c>
      <c r="B305" s="247" t="s">
        <v>710</v>
      </c>
      <c r="C305" s="247"/>
      <c r="D305" s="284">
        <v>161.12</v>
      </c>
      <c r="E305" s="1">
        <v>5.2</v>
      </c>
      <c r="F305" s="1">
        <v>6.34</v>
      </c>
      <c r="G305" s="1">
        <v>7.38</v>
      </c>
      <c r="I305" s="284">
        <v>21.75</v>
      </c>
      <c r="J305" s="1">
        <v>0.7</v>
      </c>
      <c r="K305" s="1">
        <v>0.71</v>
      </c>
      <c r="L305" s="1">
        <v>1.28</v>
      </c>
      <c r="N305" s="284">
        <v>85.36</v>
      </c>
      <c r="O305" s="1">
        <v>2.75</v>
      </c>
      <c r="P305" s="1">
        <v>2.92</v>
      </c>
      <c r="Q305" s="1">
        <v>4.34</v>
      </c>
      <c r="S305" s="284">
        <v>144.25</v>
      </c>
      <c r="T305" s="1">
        <v>4.6500000000000004</v>
      </c>
      <c r="U305" s="1">
        <v>5.84</v>
      </c>
      <c r="V305" s="1">
        <v>8.3699999999999992</v>
      </c>
      <c r="X305" s="278">
        <v>546.48</v>
      </c>
      <c r="Y305" s="117">
        <v>17.63</v>
      </c>
      <c r="Z305" s="181">
        <v>19.03</v>
      </c>
      <c r="AA305" s="180">
        <v>23.35</v>
      </c>
      <c r="AC305" s="284">
        <v>690.73</v>
      </c>
      <c r="AD305" s="1">
        <v>22.28</v>
      </c>
      <c r="AE305" s="1">
        <v>24.86</v>
      </c>
      <c r="AF305" s="1">
        <v>31.72</v>
      </c>
      <c r="AH305" s="299">
        <v>1623.95</v>
      </c>
      <c r="AI305">
        <v>52.39</v>
      </c>
      <c r="AJ305">
        <v>55.46</v>
      </c>
      <c r="AK305">
        <v>147.19999999999999</v>
      </c>
      <c r="AM305" s="299">
        <v>11.78</v>
      </c>
      <c r="AN305">
        <v>0.38</v>
      </c>
      <c r="AO305">
        <v>0.41</v>
      </c>
      <c r="AP305" t="s">
        <v>776</v>
      </c>
      <c r="AR305" s="284">
        <v>101.68</v>
      </c>
      <c r="AS305" s="1">
        <v>3.28</v>
      </c>
      <c r="AT305" s="1">
        <v>3.87</v>
      </c>
      <c r="AU305" s="1" t="s">
        <v>776</v>
      </c>
      <c r="AW305" s="284">
        <v>20.46</v>
      </c>
      <c r="AX305" s="1">
        <v>0.66</v>
      </c>
      <c r="AY305" s="1">
        <v>0.68</v>
      </c>
      <c r="AZ305" s="1" t="s">
        <v>776</v>
      </c>
      <c r="BB305" s="284">
        <v>23.25</v>
      </c>
      <c r="BC305" s="1">
        <v>0.75</v>
      </c>
      <c r="BD305" s="1">
        <v>0.72</v>
      </c>
      <c r="BE305" s="1" t="s">
        <v>776</v>
      </c>
      <c r="BG305" s="284">
        <v>24.8</v>
      </c>
      <c r="BH305" s="1">
        <v>0.8</v>
      </c>
      <c r="BI305" s="1">
        <v>1.0900000000000001</v>
      </c>
      <c r="BJ305" s="1" t="s">
        <v>776</v>
      </c>
      <c r="BL305" s="284">
        <v>103.41</v>
      </c>
      <c r="BM305" s="1">
        <v>3.34</v>
      </c>
      <c r="BN305" s="1">
        <v>3.23</v>
      </c>
      <c r="BO305" s="1" t="s">
        <v>776</v>
      </c>
      <c r="BQ305" s="284">
        <v>11.16</v>
      </c>
      <c r="BR305" s="1">
        <v>0.36</v>
      </c>
      <c r="BS305" s="1">
        <v>0.37</v>
      </c>
      <c r="BT305" s="1" t="s">
        <v>776</v>
      </c>
      <c r="BV305" s="284">
        <v>4.6500000000000004</v>
      </c>
      <c r="BW305" s="1">
        <v>0.15</v>
      </c>
      <c r="BX305" s="1">
        <v>0.17</v>
      </c>
      <c r="BY305" s="1" t="s">
        <v>776</v>
      </c>
      <c r="CA305" s="284">
        <v>11.47</v>
      </c>
      <c r="CB305" s="1">
        <v>0.37</v>
      </c>
      <c r="CC305" s="1">
        <v>0.39</v>
      </c>
      <c r="CD305" s="1" t="s">
        <v>776</v>
      </c>
      <c r="CF305" s="284">
        <v>45.69</v>
      </c>
      <c r="CG305" s="1">
        <v>1.47</v>
      </c>
      <c r="CH305" s="1">
        <v>1.47</v>
      </c>
      <c r="CI305" s="1" t="s">
        <v>776</v>
      </c>
      <c r="CK305" s="284">
        <v>215.08</v>
      </c>
      <c r="CL305" s="1">
        <v>6.94</v>
      </c>
      <c r="CM305" s="1">
        <v>5.07</v>
      </c>
      <c r="CN305" s="1">
        <v>10.61</v>
      </c>
      <c r="CP305" s="284">
        <v>221.76</v>
      </c>
      <c r="CQ305" s="1">
        <v>7.15</v>
      </c>
      <c r="CR305" s="1">
        <v>6.2</v>
      </c>
      <c r="CS305" s="1">
        <v>10.53</v>
      </c>
      <c r="CU305" s="284">
        <v>142.78</v>
      </c>
      <c r="CV305" s="1">
        <v>4.6100000000000003</v>
      </c>
      <c r="CW305" s="1">
        <v>5.17</v>
      </c>
      <c r="CX305" s="1">
        <v>6.52</v>
      </c>
      <c r="CZ305" s="269">
        <v>17.04</v>
      </c>
      <c r="DA305" s="1">
        <v>0.55000000000000004</v>
      </c>
      <c r="DC305" s="284">
        <v>26.43</v>
      </c>
      <c r="DD305" s="1">
        <v>0.85</v>
      </c>
      <c r="DE305" s="1">
        <v>0.85</v>
      </c>
      <c r="DF305" s="1" t="s">
        <v>776</v>
      </c>
      <c r="DH305" s="284">
        <f t="shared" si="371"/>
        <v>72.850000000000009</v>
      </c>
      <c r="DI305" s="1">
        <f t="shared" si="348"/>
        <v>2.35</v>
      </c>
      <c r="DJ305" s="1">
        <f t="shared" si="368"/>
        <v>2.4066666666666667</v>
      </c>
      <c r="DM305" s="284">
        <f>DN305*31</f>
        <v>2795.58</v>
      </c>
      <c r="DN305" s="77">
        <f t="shared" si="351"/>
        <v>90.179999999999993</v>
      </c>
      <c r="DO305" s="77">
        <f t="shared" si="377"/>
        <v>97.891666666666666</v>
      </c>
      <c r="DR305" s="284">
        <f>DS305*31</f>
        <v>623.1</v>
      </c>
      <c r="DS305" s="77">
        <f t="shared" si="354"/>
        <v>20.100000000000001</v>
      </c>
      <c r="DT305" s="77" t="e">
        <f>SUM(CH305+CM305+CR305+CW305+#REF!)</f>
        <v>#REF!</v>
      </c>
      <c r="DU305" s="201"/>
      <c r="DV305" s="201"/>
      <c r="DW305" s="284">
        <f>DX305*31</f>
        <v>3418.68</v>
      </c>
      <c r="DX305" s="77">
        <f t="shared" si="376"/>
        <v>110.28</v>
      </c>
      <c r="DY305" s="77">
        <f t="shared" si="374"/>
        <v>115.9233333333333</v>
      </c>
      <c r="ED305" s="201"/>
      <c r="EE305" s="201"/>
      <c r="EL305">
        <v>2022</v>
      </c>
      <c r="EM305" t="s">
        <v>710</v>
      </c>
      <c r="EN305" t="s">
        <v>841</v>
      </c>
      <c r="EO305">
        <v>161.12</v>
      </c>
    </row>
    <row r="306" spans="1:145" x14ac:dyDescent="0.25">
      <c r="A306" s="265">
        <v>2022</v>
      </c>
      <c r="B306" s="247" t="s">
        <v>711</v>
      </c>
      <c r="C306" s="247"/>
      <c r="D306" s="284">
        <v>165.12</v>
      </c>
      <c r="E306" s="1">
        <v>5.5</v>
      </c>
      <c r="F306" s="1">
        <v>6.32</v>
      </c>
      <c r="G306" s="1">
        <v>8.83</v>
      </c>
      <c r="I306" s="284">
        <v>20.82</v>
      </c>
      <c r="J306" s="1">
        <v>0.69</v>
      </c>
      <c r="K306" s="1">
        <v>0.72</v>
      </c>
      <c r="L306" s="1">
        <v>0.98</v>
      </c>
      <c r="N306" s="284">
        <v>82.31</v>
      </c>
      <c r="O306" s="1">
        <v>2.74</v>
      </c>
      <c r="P306" s="1">
        <v>2.91</v>
      </c>
      <c r="Q306" s="1">
        <v>5.15</v>
      </c>
      <c r="S306" s="284">
        <v>148.47999999999999</v>
      </c>
      <c r="T306" s="1">
        <v>4.95</v>
      </c>
      <c r="U306" s="1">
        <v>5.76</v>
      </c>
      <c r="V306" s="1">
        <v>9.74</v>
      </c>
      <c r="X306" s="278">
        <v>520.49</v>
      </c>
      <c r="Y306" s="117">
        <v>17.350000000000001</v>
      </c>
      <c r="Z306" s="181">
        <v>19.03</v>
      </c>
      <c r="AA306" s="180">
        <v>26.04</v>
      </c>
      <c r="AC306" s="284">
        <v>668.97</v>
      </c>
      <c r="AD306" s="1">
        <v>22.3</v>
      </c>
      <c r="AE306" s="1">
        <v>24.79</v>
      </c>
      <c r="AF306" s="1">
        <v>35.78</v>
      </c>
      <c r="AH306" s="299">
        <v>1530.77</v>
      </c>
      <c r="AI306">
        <v>51.03</v>
      </c>
      <c r="AJ306">
        <v>55.39</v>
      </c>
      <c r="AK306">
        <v>131</v>
      </c>
      <c r="AM306" s="299">
        <v>10.8</v>
      </c>
      <c r="AN306">
        <v>0.36</v>
      </c>
      <c r="AO306">
        <v>0.41</v>
      </c>
      <c r="AP306" t="s">
        <v>776</v>
      </c>
      <c r="AR306" s="284">
        <v>103.2</v>
      </c>
      <c r="AS306" s="1">
        <v>3.44</v>
      </c>
      <c r="AT306" s="1">
        <v>3.85</v>
      </c>
      <c r="AU306" s="1" t="s">
        <v>776</v>
      </c>
      <c r="AW306" s="284">
        <v>19.2</v>
      </c>
      <c r="AX306" s="1">
        <v>0.64</v>
      </c>
      <c r="AY306" s="1">
        <v>0.68</v>
      </c>
      <c r="AZ306" s="1" t="s">
        <v>776</v>
      </c>
      <c r="BB306" s="284">
        <v>22.5</v>
      </c>
      <c r="BC306" s="1">
        <v>0.75</v>
      </c>
      <c r="BD306" s="1">
        <v>0.73</v>
      </c>
      <c r="BE306" s="1" t="s">
        <v>776</v>
      </c>
      <c r="BG306" s="284">
        <v>25.8</v>
      </c>
      <c r="BH306" s="1">
        <v>0.86</v>
      </c>
      <c r="BI306" s="1">
        <v>1.08</v>
      </c>
      <c r="BJ306" s="1" t="s">
        <v>776</v>
      </c>
      <c r="BL306" s="284">
        <v>100.07</v>
      </c>
      <c r="BM306" s="1">
        <v>3.34</v>
      </c>
      <c r="BN306" s="1">
        <v>3.24</v>
      </c>
      <c r="BO306" s="1" t="s">
        <v>776</v>
      </c>
      <c r="BQ306" s="284">
        <v>10.8</v>
      </c>
      <c r="BR306" s="1">
        <v>0.36</v>
      </c>
      <c r="BS306" s="1">
        <v>0.37</v>
      </c>
      <c r="BT306" s="1" t="s">
        <v>776</v>
      </c>
      <c r="BV306" s="284">
        <v>4.5</v>
      </c>
      <c r="BW306" s="1">
        <v>0.15</v>
      </c>
      <c r="BX306" s="1">
        <v>0.17</v>
      </c>
      <c r="BY306" s="1" t="s">
        <v>776</v>
      </c>
      <c r="CA306" s="284">
        <v>11.4</v>
      </c>
      <c r="CB306" s="1">
        <v>0.38</v>
      </c>
      <c r="CC306" s="1">
        <v>0.39</v>
      </c>
      <c r="CD306" s="1" t="s">
        <v>776</v>
      </c>
      <c r="CF306" s="284">
        <v>44.22</v>
      </c>
      <c r="CG306" s="1">
        <v>1.47</v>
      </c>
      <c r="CH306" s="1">
        <v>1.47</v>
      </c>
      <c r="CI306" s="1" t="s">
        <v>776</v>
      </c>
      <c r="CK306" s="284">
        <v>131.94999999999999</v>
      </c>
      <c r="CL306" s="1">
        <v>4.4000000000000004</v>
      </c>
      <c r="CM306" s="1">
        <v>5.0599999999999996</v>
      </c>
      <c r="CN306" s="1">
        <v>7.51</v>
      </c>
      <c r="CP306" s="284">
        <v>216.61</v>
      </c>
      <c r="CQ306" s="1">
        <v>7.22</v>
      </c>
      <c r="CR306" s="1">
        <v>6.26</v>
      </c>
      <c r="CU306" s="284">
        <v>144.35</v>
      </c>
      <c r="CV306" s="1">
        <v>4.8099999999999996</v>
      </c>
      <c r="CW306" s="1">
        <v>5.14</v>
      </c>
      <c r="CX306" s="1">
        <v>8.11</v>
      </c>
      <c r="CZ306" s="269">
        <v>17.47</v>
      </c>
      <c r="DA306" s="1">
        <v>0.57999999999999996</v>
      </c>
      <c r="DC306" s="284">
        <v>25.58</v>
      </c>
      <c r="DD306" s="1">
        <v>0.85</v>
      </c>
      <c r="DE306" s="1">
        <v>0.85</v>
      </c>
      <c r="DF306" s="1" t="s">
        <v>776</v>
      </c>
      <c r="DH306" s="284">
        <f>DI306*30</f>
        <v>70.8</v>
      </c>
      <c r="DI306" s="1">
        <f t="shared" si="348"/>
        <v>2.36</v>
      </c>
      <c r="DJ306" s="1">
        <f t="shared" si="368"/>
        <v>2.4049999999999998</v>
      </c>
      <c r="DM306" s="284">
        <f>DN306*30</f>
        <v>2678.7000000000003</v>
      </c>
      <c r="DN306" s="77">
        <f t="shared" si="351"/>
        <v>89.29</v>
      </c>
      <c r="DO306" s="77">
        <f t="shared" si="377"/>
        <v>97.71</v>
      </c>
      <c r="DR306" s="284">
        <f>DS306*30</f>
        <v>535.79999999999995</v>
      </c>
      <c r="DS306" s="77">
        <f t="shared" si="354"/>
        <v>17.86</v>
      </c>
      <c r="DT306" s="77" t="e">
        <f>SUM(CH306+CM306+CR306+CW306+#REF!)</f>
        <v>#REF!</v>
      </c>
      <c r="DU306" s="201"/>
      <c r="DV306" s="201"/>
      <c r="DW306" s="284">
        <f>DX306*30</f>
        <v>3214.5</v>
      </c>
      <c r="DX306" s="77">
        <f t="shared" si="376"/>
        <v>107.15</v>
      </c>
      <c r="DY306" s="77">
        <f t="shared" si="374"/>
        <v>115.7525</v>
      </c>
      <c r="ED306" s="201"/>
      <c r="EE306" s="201"/>
      <c r="EL306">
        <v>2022</v>
      </c>
      <c r="EM306" t="s">
        <v>711</v>
      </c>
      <c r="EN306" t="s">
        <v>841</v>
      </c>
      <c r="EO306">
        <v>165.12</v>
      </c>
    </row>
    <row r="307" spans="1:145" x14ac:dyDescent="0.25">
      <c r="A307" s="265">
        <v>2022</v>
      </c>
      <c r="B307" s="247" t="s">
        <v>712</v>
      </c>
      <c r="C307" s="247"/>
      <c r="D307" s="293">
        <v>245.69</v>
      </c>
      <c r="E307" s="254">
        <v>7.93</v>
      </c>
      <c r="F307" s="254">
        <v>6.51</v>
      </c>
      <c r="G307" s="255">
        <v>12.33</v>
      </c>
      <c r="H307" s="252"/>
      <c r="I307" s="293">
        <v>21.3</v>
      </c>
      <c r="J307" s="255">
        <v>0.69</v>
      </c>
      <c r="K307" s="254">
        <v>0.72</v>
      </c>
      <c r="L307" s="255">
        <v>1.06</v>
      </c>
      <c r="M307" s="252"/>
      <c r="N307" s="293">
        <v>102.22</v>
      </c>
      <c r="O307" s="255">
        <v>3.3</v>
      </c>
      <c r="P307" s="254">
        <v>2.96</v>
      </c>
      <c r="Q307" s="255">
        <v>7.25</v>
      </c>
      <c r="R307" s="252"/>
      <c r="S307" s="293">
        <v>181.52</v>
      </c>
      <c r="T307" s="255">
        <v>5.86</v>
      </c>
      <c r="U307" s="254">
        <v>5.81</v>
      </c>
      <c r="V307" s="255">
        <v>16.68</v>
      </c>
      <c r="W307" s="252"/>
      <c r="X307" s="293">
        <v>580.38</v>
      </c>
      <c r="Y307" s="255">
        <v>18.72</v>
      </c>
      <c r="Z307" s="254">
        <v>19.170000000000002</v>
      </c>
      <c r="AA307" s="255">
        <v>31.97</v>
      </c>
      <c r="AB307" s="252"/>
      <c r="AC307" s="310">
        <v>761.9</v>
      </c>
      <c r="AD307" s="256">
        <v>24.58</v>
      </c>
      <c r="AE307" s="256">
        <v>24.98</v>
      </c>
      <c r="AF307" s="257">
        <v>48.65</v>
      </c>
      <c r="AG307" s="252"/>
      <c r="AH307" s="293">
        <v>1756.62</v>
      </c>
      <c r="AI307" s="260">
        <v>56.67</v>
      </c>
      <c r="AJ307" s="261">
        <v>56.09</v>
      </c>
      <c r="AK307" s="255">
        <v>136.19999999999999</v>
      </c>
      <c r="AL307" s="252"/>
      <c r="AM307" s="293">
        <v>13.33</v>
      </c>
      <c r="AN307" s="255">
        <v>0.43</v>
      </c>
      <c r="AO307" s="254">
        <v>0.42</v>
      </c>
      <c r="AP307" s="255" t="s">
        <v>776</v>
      </c>
      <c r="AQ307" s="252"/>
      <c r="AR307" s="293">
        <v>122.45</v>
      </c>
      <c r="AS307" s="255">
        <v>3.95</v>
      </c>
      <c r="AT307" s="254">
        <v>3.88</v>
      </c>
      <c r="AU307" s="253" t="s">
        <v>776</v>
      </c>
      <c r="AV307" s="252"/>
      <c r="AW307" s="293">
        <v>22.32</v>
      </c>
      <c r="AX307" s="255">
        <v>0.72</v>
      </c>
      <c r="AY307" s="254">
        <v>0.69</v>
      </c>
      <c r="AZ307" s="253" t="s">
        <v>776</v>
      </c>
      <c r="BA307" s="252"/>
      <c r="BB307" s="293">
        <v>29.45</v>
      </c>
      <c r="BC307" s="255">
        <v>0.95</v>
      </c>
      <c r="BD307" s="254">
        <v>0.75</v>
      </c>
      <c r="BE307" s="253" t="s">
        <v>776</v>
      </c>
      <c r="BF307" s="252"/>
      <c r="BG307" s="293">
        <v>29.45</v>
      </c>
      <c r="BH307" s="255">
        <v>0.95</v>
      </c>
      <c r="BI307" s="254">
        <v>1.08</v>
      </c>
      <c r="BJ307" s="253" t="s">
        <v>776</v>
      </c>
      <c r="BK307" s="252"/>
      <c r="BL307" s="314">
        <v>103.41</v>
      </c>
      <c r="BM307" s="260">
        <v>3.34</v>
      </c>
      <c r="BN307" s="261">
        <v>3.25</v>
      </c>
      <c r="BO307" s="259" t="s">
        <v>776</v>
      </c>
      <c r="BP307" s="252"/>
      <c r="BQ307" s="326">
        <v>10.85</v>
      </c>
      <c r="BR307" s="258">
        <v>0.35</v>
      </c>
      <c r="BS307" s="254">
        <v>0.37</v>
      </c>
      <c r="BT307" s="253" t="s">
        <v>776</v>
      </c>
      <c r="BU307" s="252"/>
      <c r="BV307" s="326">
        <v>6.51</v>
      </c>
      <c r="BW307" s="258">
        <v>0.21</v>
      </c>
      <c r="BX307" s="254">
        <v>0.18</v>
      </c>
      <c r="BY307" s="253" t="s">
        <v>776</v>
      </c>
      <c r="BZ307" s="252"/>
      <c r="CA307" s="293">
        <v>13.02</v>
      </c>
      <c r="CB307" s="255">
        <v>0.42</v>
      </c>
      <c r="CC307" s="254">
        <v>0.39</v>
      </c>
      <c r="CD307" s="253" t="s">
        <v>776</v>
      </c>
      <c r="CE307" s="252"/>
      <c r="CF307" s="328">
        <v>45.69</v>
      </c>
      <c r="CG307" s="255">
        <v>1.47</v>
      </c>
      <c r="CH307" s="254">
        <v>1.47</v>
      </c>
      <c r="CI307" s="253" t="s">
        <v>776</v>
      </c>
      <c r="CJ307" s="252"/>
      <c r="CK307" s="293">
        <v>95</v>
      </c>
      <c r="CL307" s="255">
        <v>3.06</v>
      </c>
      <c r="CM307" s="254">
        <v>4.93</v>
      </c>
      <c r="CN307" s="255">
        <v>16.13</v>
      </c>
      <c r="CO307" s="252"/>
      <c r="CP307" s="293">
        <v>199.43</v>
      </c>
      <c r="CQ307" s="255">
        <v>6.43</v>
      </c>
      <c r="CR307" s="254">
        <v>6.35</v>
      </c>
      <c r="CS307" s="253">
        <v>12.91</v>
      </c>
      <c r="CT307" s="252"/>
      <c r="CU307" s="293">
        <v>159.26</v>
      </c>
      <c r="CV307" s="255">
        <v>5.14</v>
      </c>
      <c r="CW307" s="254">
        <v>5.17</v>
      </c>
      <c r="CX307" s="253">
        <v>9.9</v>
      </c>
      <c r="CY307" s="253"/>
      <c r="CZ307" s="282">
        <v>20.21</v>
      </c>
      <c r="DA307" s="255">
        <v>0.65</v>
      </c>
      <c r="DB307" s="252"/>
      <c r="DC307" s="328">
        <v>26.43</v>
      </c>
      <c r="DD307" s="255">
        <v>0.85</v>
      </c>
      <c r="DE307" s="254">
        <v>0.85</v>
      </c>
      <c r="DF307" s="253" t="s">
        <v>776</v>
      </c>
      <c r="DH307" s="284">
        <f>DI307*31</f>
        <v>75.95</v>
      </c>
      <c r="DI307" s="1">
        <f t="shared" si="348"/>
        <v>2.4500000000000002</v>
      </c>
      <c r="DJ307" s="1">
        <f t="shared" si="368"/>
        <v>2.415</v>
      </c>
      <c r="DM307" s="284">
        <f>DN307*31</f>
        <v>3132.8600000000006</v>
      </c>
      <c r="DN307" s="77">
        <f t="shared" si="351"/>
        <v>101.06000000000002</v>
      </c>
      <c r="DO307" s="77">
        <f t="shared" si="377"/>
        <v>98.903333333333322</v>
      </c>
      <c r="DR307" s="284">
        <f>DS307*31</f>
        <v>500.03</v>
      </c>
      <c r="DS307" s="77">
        <f t="shared" si="354"/>
        <v>16.13</v>
      </c>
      <c r="DT307" s="77" t="e">
        <f>SUM(CH307+CM307+CR307+CW307+#REF!)</f>
        <v>#REF!</v>
      </c>
      <c r="DU307" s="201"/>
      <c r="DV307" s="201"/>
      <c r="DW307" s="284">
        <f>DX307*31</f>
        <v>3632.8900000000003</v>
      </c>
      <c r="DX307" s="77">
        <f t="shared" si="376"/>
        <v>117.19000000000001</v>
      </c>
      <c r="DY307" s="77">
        <f t="shared" si="374"/>
        <v>116.92500000000001</v>
      </c>
      <c r="ED307" s="201"/>
      <c r="EE307" s="201"/>
      <c r="EL307">
        <v>2022</v>
      </c>
      <c r="EM307" t="s">
        <v>712</v>
      </c>
      <c r="EN307" t="s">
        <v>841</v>
      </c>
      <c r="EO307">
        <v>245.69</v>
      </c>
    </row>
    <row r="308" spans="1:145" x14ac:dyDescent="0.25">
      <c r="A308" s="265">
        <v>2023</v>
      </c>
      <c r="B308" s="247" t="s">
        <v>719</v>
      </c>
      <c r="C308" s="247"/>
      <c r="D308" s="293">
        <v>207.28</v>
      </c>
      <c r="E308" s="254">
        <v>6.69</v>
      </c>
      <c r="F308" s="254">
        <v>6.55</v>
      </c>
      <c r="G308" s="255">
        <v>8.58</v>
      </c>
      <c r="H308" s="252"/>
      <c r="I308" s="293">
        <v>21.21</v>
      </c>
      <c r="J308" s="255">
        <v>0.68</v>
      </c>
      <c r="K308" s="254">
        <v>0.72</v>
      </c>
      <c r="L308" s="255">
        <v>0.96</v>
      </c>
      <c r="M308" s="252"/>
      <c r="N308" s="293">
        <v>100.6</v>
      </c>
      <c r="O308" s="255">
        <v>3.25</v>
      </c>
      <c r="P308" s="254">
        <v>2.98</v>
      </c>
      <c r="Q308" s="255">
        <v>4.67</v>
      </c>
      <c r="R308" s="252"/>
      <c r="S308" s="293">
        <v>192.03</v>
      </c>
      <c r="T308" s="255">
        <v>6.19</v>
      </c>
      <c r="U308" s="254">
        <v>5.82</v>
      </c>
      <c r="V308" s="255">
        <v>11.73</v>
      </c>
      <c r="W308" s="252"/>
      <c r="X308" s="293">
        <v>581.83000000000004</v>
      </c>
      <c r="Y308" s="255">
        <v>18.77</v>
      </c>
      <c r="Z308" s="254">
        <v>19.11</v>
      </c>
      <c r="AA308" s="255">
        <v>23.9</v>
      </c>
      <c r="AB308" s="252"/>
      <c r="AC308" s="310">
        <v>773.86</v>
      </c>
      <c r="AD308" s="256">
        <v>24.96</v>
      </c>
      <c r="AE308" s="256">
        <v>24.93</v>
      </c>
      <c r="AF308" s="257">
        <v>35.630000000000003</v>
      </c>
      <c r="AG308" s="252"/>
      <c r="AH308" s="293">
        <v>1669.99</v>
      </c>
      <c r="AI308" s="260">
        <v>53.87</v>
      </c>
      <c r="AJ308" s="261">
        <v>55.86</v>
      </c>
      <c r="AK308" s="255">
        <v>142.5</v>
      </c>
      <c r="AL308" s="252"/>
      <c r="AM308" s="293">
        <v>11.78</v>
      </c>
      <c r="AN308" s="255">
        <v>0.38</v>
      </c>
      <c r="AO308" s="254">
        <v>0.41</v>
      </c>
      <c r="AP308" s="255" t="s">
        <v>776</v>
      </c>
      <c r="AQ308" s="252"/>
      <c r="AR308" s="293">
        <v>114.08</v>
      </c>
      <c r="AS308" s="255">
        <v>3.68</v>
      </c>
      <c r="AT308" s="254">
        <v>3.82</v>
      </c>
      <c r="AU308" s="253" t="s">
        <v>776</v>
      </c>
      <c r="AV308" s="252"/>
      <c r="AW308" s="293">
        <v>20.77</v>
      </c>
      <c r="AX308" s="255">
        <v>0.67</v>
      </c>
      <c r="AY308" s="254">
        <v>0.68</v>
      </c>
      <c r="AZ308" s="253" t="s">
        <v>776</v>
      </c>
      <c r="BA308" s="252"/>
      <c r="BB308" s="293">
        <v>22.01</v>
      </c>
      <c r="BC308" s="255">
        <v>0.71</v>
      </c>
      <c r="BD308" s="254">
        <v>0.76</v>
      </c>
      <c r="BE308" s="253" t="s">
        <v>776</v>
      </c>
      <c r="BF308" s="252"/>
      <c r="BG308" s="293">
        <v>25.11</v>
      </c>
      <c r="BH308" s="255">
        <v>0.81</v>
      </c>
      <c r="BI308" s="254">
        <v>1.05</v>
      </c>
      <c r="BJ308" s="253" t="s">
        <v>776</v>
      </c>
      <c r="BK308" s="252"/>
      <c r="BL308" s="314">
        <v>103.41</v>
      </c>
      <c r="BM308" s="260">
        <v>3.34</v>
      </c>
      <c r="BN308" s="261">
        <v>3.26</v>
      </c>
      <c r="BO308" s="259" t="s">
        <v>776</v>
      </c>
      <c r="BP308" s="252"/>
      <c r="BQ308" s="326">
        <v>11.78</v>
      </c>
      <c r="BR308" s="258">
        <v>0.38</v>
      </c>
      <c r="BS308" s="254">
        <v>0.37</v>
      </c>
      <c r="BT308" s="253" t="s">
        <v>776</v>
      </c>
      <c r="BU308" s="252"/>
      <c r="BV308" s="326">
        <v>6.2</v>
      </c>
      <c r="BW308" s="258">
        <v>0.2</v>
      </c>
      <c r="BX308" s="254">
        <v>0.18</v>
      </c>
      <c r="BY308" s="253" t="s">
        <v>776</v>
      </c>
      <c r="BZ308" s="252"/>
      <c r="CA308" s="293">
        <v>12.09</v>
      </c>
      <c r="CB308" s="255">
        <v>0.39</v>
      </c>
      <c r="CC308" s="254">
        <v>0.39</v>
      </c>
      <c r="CD308" s="253" t="s">
        <v>776</v>
      </c>
      <c r="CE308" s="252"/>
      <c r="CF308" s="328">
        <v>45.69</v>
      </c>
      <c r="CG308" s="255">
        <v>1.47</v>
      </c>
      <c r="CH308" s="254">
        <v>1.47</v>
      </c>
      <c r="CI308" s="253" t="s">
        <v>776</v>
      </c>
      <c r="CJ308" s="252"/>
      <c r="CK308" s="293">
        <v>153.15</v>
      </c>
      <c r="CL308" s="255">
        <v>4.9400000000000004</v>
      </c>
      <c r="CM308" s="254">
        <v>4.91</v>
      </c>
      <c r="CN308" s="255">
        <v>8.4600000000000009</v>
      </c>
      <c r="CO308" s="252"/>
      <c r="CP308" s="293">
        <v>170.9</v>
      </c>
      <c r="CQ308" s="255">
        <v>5.51</v>
      </c>
      <c r="CR308" s="254">
        <v>6.27</v>
      </c>
      <c r="CS308" s="253">
        <v>8.18</v>
      </c>
      <c r="CT308" s="252"/>
      <c r="CU308" s="293">
        <v>155.34</v>
      </c>
      <c r="CV308" s="255">
        <v>5.01</v>
      </c>
      <c r="CW308" s="254">
        <v>5.13</v>
      </c>
      <c r="CX308" s="253">
        <v>6.88</v>
      </c>
      <c r="CY308" s="253"/>
      <c r="CZ308" s="282">
        <v>20.99</v>
      </c>
      <c r="DA308" s="255">
        <v>0.68</v>
      </c>
      <c r="DB308" s="252"/>
      <c r="DC308" s="328">
        <v>26.43</v>
      </c>
      <c r="DD308" s="255">
        <v>0.85</v>
      </c>
      <c r="DE308" s="254">
        <v>0.85</v>
      </c>
      <c r="DF308" s="253" t="s">
        <v>776</v>
      </c>
      <c r="DH308" s="284">
        <f>DI308*31</f>
        <v>75.64</v>
      </c>
      <c r="DI308" s="1">
        <f t="shared" si="348"/>
        <v>2.44</v>
      </c>
      <c r="DJ308" s="1">
        <f t="shared" si="368"/>
        <v>2.4141666666666666</v>
      </c>
      <c r="DM308" s="284">
        <f>DN308*31</f>
        <v>2994.6</v>
      </c>
      <c r="DN308" s="77">
        <f t="shared" si="351"/>
        <v>96.6</v>
      </c>
      <c r="DO308" s="77">
        <f t="shared" si="377"/>
        <v>98.604166666666643</v>
      </c>
      <c r="DR308" s="284">
        <f>DS308*31</f>
        <v>526.69000000000005</v>
      </c>
      <c r="DS308" s="77">
        <f t="shared" si="354"/>
        <v>16.990000000000002</v>
      </c>
      <c r="DT308" s="77" t="e">
        <f>SUM(CH308+CM308+CR308+CW308+#REF!)</f>
        <v>#REF!</v>
      </c>
      <c r="DU308" s="201"/>
      <c r="DV308" s="201"/>
      <c r="DW308" s="284">
        <f>DX308*31</f>
        <v>3521.29</v>
      </c>
      <c r="DX308" s="77">
        <f t="shared" si="376"/>
        <v>113.59</v>
      </c>
      <c r="DY308" s="77">
        <f t="shared" si="374"/>
        <v>116.49083333333334</v>
      </c>
      <c r="ED308" s="201"/>
      <c r="EE308" s="201"/>
      <c r="EL308">
        <v>2023</v>
      </c>
      <c r="EM308" t="s">
        <v>719</v>
      </c>
      <c r="EN308" t="s">
        <v>841</v>
      </c>
      <c r="EO308">
        <v>207.28</v>
      </c>
    </row>
    <row r="309" spans="1:145" x14ac:dyDescent="0.25">
      <c r="A309" s="265">
        <v>2023</v>
      </c>
      <c r="B309" s="247" t="s">
        <v>713</v>
      </c>
      <c r="C309" s="247"/>
      <c r="D309" s="293">
        <v>187.75</v>
      </c>
      <c r="E309" s="254">
        <v>6.71</v>
      </c>
      <c r="F309" s="254">
        <v>6.6</v>
      </c>
      <c r="G309" s="255">
        <v>8.58</v>
      </c>
      <c r="H309" s="252"/>
      <c r="I309" s="293">
        <v>19.68</v>
      </c>
      <c r="J309" s="255">
        <v>0.7</v>
      </c>
      <c r="K309" s="254">
        <v>0.71</v>
      </c>
      <c r="L309" s="255">
        <v>1.03</v>
      </c>
      <c r="M309" s="252"/>
      <c r="N309" s="293">
        <v>91.57</v>
      </c>
      <c r="O309" s="255">
        <v>3.27</v>
      </c>
      <c r="P309" s="254">
        <v>3.03</v>
      </c>
      <c r="Q309" s="255">
        <v>6.05</v>
      </c>
      <c r="R309" s="252"/>
      <c r="S309" s="293">
        <v>187.16</v>
      </c>
      <c r="T309" s="255">
        <v>6.68</v>
      </c>
      <c r="U309" s="254">
        <v>5.88</v>
      </c>
      <c r="V309" s="255">
        <v>25</v>
      </c>
      <c r="W309" s="252"/>
      <c r="X309" s="293">
        <v>529.16999999999996</v>
      </c>
      <c r="Y309" s="255">
        <v>18.899999999999999</v>
      </c>
      <c r="Z309" s="254">
        <v>19.07</v>
      </c>
      <c r="AA309" s="255">
        <v>29.01</v>
      </c>
      <c r="AB309" s="252"/>
      <c r="AC309" s="310">
        <v>716.33</v>
      </c>
      <c r="AD309" s="256">
        <v>25.58</v>
      </c>
      <c r="AE309" s="256">
        <v>24.94</v>
      </c>
      <c r="AF309" s="257">
        <v>54.01</v>
      </c>
      <c r="AG309" s="252"/>
      <c r="AH309" s="293">
        <v>1540.22</v>
      </c>
      <c r="AI309" s="260">
        <v>55.01</v>
      </c>
      <c r="AJ309" s="261">
        <v>55.67</v>
      </c>
      <c r="AK309" s="255">
        <v>137.30000000000001</v>
      </c>
      <c r="AL309" s="252"/>
      <c r="AM309" s="293">
        <v>11.48</v>
      </c>
      <c r="AN309" s="255">
        <v>0.41</v>
      </c>
      <c r="AO309" s="254">
        <v>0.42</v>
      </c>
      <c r="AP309" s="255" t="s">
        <v>776</v>
      </c>
      <c r="AQ309" s="252"/>
      <c r="AR309" s="293">
        <v>107.52</v>
      </c>
      <c r="AS309" s="255">
        <v>3.84</v>
      </c>
      <c r="AT309" s="254">
        <v>3.82</v>
      </c>
      <c r="AU309" s="253" t="s">
        <v>776</v>
      </c>
      <c r="AV309" s="252"/>
      <c r="AW309" s="293">
        <v>20.16</v>
      </c>
      <c r="AX309" s="255">
        <v>0.72</v>
      </c>
      <c r="AY309" s="254">
        <v>0.69</v>
      </c>
      <c r="AZ309" s="253" t="s">
        <v>776</v>
      </c>
      <c r="BA309" s="252"/>
      <c r="BB309" s="293">
        <v>19.88</v>
      </c>
      <c r="BC309" s="255">
        <v>0.71</v>
      </c>
      <c r="BD309" s="254">
        <v>0.75</v>
      </c>
      <c r="BE309" s="253" t="s">
        <v>776</v>
      </c>
      <c r="BF309" s="252"/>
      <c r="BG309" s="293">
        <v>24.64</v>
      </c>
      <c r="BH309" s="255">
        <v>0.88</v>
      </c>
      <c r="BI309" s="254">
        <v>1.04</v>
      </c>
      <c r="BJ309" s="253" t="s">
        <v>776</v>
      </c>
      <c r="BK309" s="252"/>
      <c r="BL309" s="314">
        <v>93.4</v>
      </c>
      <c r="BM309" s="260">
        <v>3.34</v>
      </c>
      <c r="BN309" s="261">
        <v>3.27</v>
      </c>
      <c r="BO309" s="259" t="s">
        <v>776</v>
      </c>
      <c r="BP309" s="252"/>
      <c r="BQ309" s="326">
        <v>10.64</v>
      </c>
      <c r="BR309" s="258">
        <v>0.38</v>
      </c>
      <c r="BS309" s="254">
        <v>0.38</v>
      </c>
      <c r="BT309" s="253" t="s">
        <v>776</v>
      </c>
      <c r="BU309" s="252"/>
      <c r="BV309" s="326">
        <v>5.32</v>
      </c>
      <c r="BW309" s="258">
        <v>0.19</v>
      </c>
      <c r="BX309" s="254">
        <v>0.18</v>
      </c>
      <c r="BY309" s="253" t="s">
        <v>776</v>
      </c>
      <c r="BZ309" s="252"/>
      <c r="CA309" s="293">
        <v>10.64</v>
      </c>
      <c r="CB309" s="255">
        <v>0.38</v>
      </c>
      <c r="CC309" s="254">
        <v>0.39</v>
      </c>
      <c r="CD309" s="253" t="s">
        <v>776</v>
      </c>
      <c r="CE309" s="252"/>
      <c r="CF309" s="328">
        <v>41.27</v>
      </c>
      <c r="CG309" s="255">
        <v>1.47</v>
      </c>
      <c r="CH309" s="254">
        <v>1.47</v>
      </c>
      <c r="CI309" s="253" t="s">
        <v>776</v>
      </c>
      <c r="CJ309" s="252"/>
      <c r="CK309" s="293">
        <v>184.55</v>
      </c>
      <c r="CL309" s="255">
        <v>6.59</v>
      </c>
      <c r="CM309" s="254">
        <v>5.0199999999999996</v>
      </c>
      <c r="CN309" s="255">
        <v>13.09</v>
      </c>
      <c r="CO309" s="252"/>
      <c r="CP309" s="293">
        <v>172.21</v>
      </c>
      <c r="CQ309" s="255">
        <v>6.15</v>
      </c>
      <c r="CR309" s="254">
        <v>6.2</v>
      </c>
      <c r="CS309" s="253">
        <v>14.99</v>
      </c>
      <c r="CT309" s="252"/>
      <c r="CU309" s="293">
        <v>144.56</v>
      </c>
      <c r="CV309" s="255">
        <v>5.16</v>
      </c>
      <c r="CW309" s="254">
        <v>5.13</v>
      </c>
      <c r="CX309" s="253">
        <v>8.8699999999999992</v>
      </c>
      <c r="CY309" s="253"/>
      <c r="CZ309" s="282">
        <v>19.920000000000002</v>
      </c>
      <c r="DA309" s="255">
        <v>0.71</v>
      </c>
      <c r="DB309" s="252"/>
      <c r="DC309" s="328">
        <v>23.87</v>
      </c>
      <c r="DD309" s="255">
        <v>0.85</v>
      </c>
      <c r="DE309" s="254">
        <v>0.85</v>
      </c>
      <c r="DF309" s="253" t="s">
        <v>776</v>
      </c>
      <c r="DH309" s="284">
        <f>DI309*28</f>
        <v>67.759999999999991</v>
      </c>
      <c r="DI309" s="1">
        <f t="shared" si="348"/>
        <v>2.42</v>
      </c>
      <c r="DJ309" s="1">
        <f t="shared" si="368"/>
        <v>2.4208333333333329</v>
      </c>
      <c r="DM309" s="284">
        <f>DN309*28</f>
        <v>2764.9999999999995</v>
      </c>
      <c r="DN309" s="77">
        <f t="shared" si="351"/>
        <v>98.749999999999986</v>
      </c>
      <c r="DO309" s="77">
        <f t="shared" si="377"/>
        <v>98.526666666666657</v>
      </c>
      <c r="DR309" s="284">
        <f>DS309*28</f>
        <v>544.88</v>
      </c>
      <c r="DS309" s="77">
        <f t="shared" si="354"/>
        <v>19.46</v>
      </c>
      <c r="DT309" s="77" t="e">
        <f>SUM(CH309+CM309+CR309+CW309+#REF!)</f>
        <v>#REF!</v>
      </c>
      <c r="DU309" s="201"/>
      <c r="DV309" s="201"/>
      <c r="DW309" s="284">
        <f>DX309*28</f>
        <v>3309.8799999999992</v>
      </c>
      <c r="DX309" s="77">
        <f t="shared" si="376"/>
        <v>118.20999999999998</v>
      </c>
      <c r="DY309" s="77">
        <f t="shared" si="374"/>
        <v>116.435</v>
      </c>
      <c r="ED309" s="201"/>
      <c r="EE309" s="201"/>
      <c r="EL309">
        <v>2023</v>
      </c>
      <c r="EM309" t="s">
        <v>713</v>
      </c>
      <c r="EN309" t="s">
        <v>841</v>
      </c>
      <c r="EO309">
        <v>187.75</v>
      </c>
    </row>
    <row r="310" spans="1:145" x14ac:dyDescent="0.25">
      <c r="A310" s="265">
        <v>2023</v>
      </c>
      <c r="B310" s="247" t="s">
        <v>714</v>
      </c>
      <c r="C310" s="247"/>
      <c r="D310" s="293">
        <v>170.9</v>
      </c>
      <c r="E310" s="254">
        <v>5.51</v>
      </c>
      <c r="F310" s="254">
        <v>6.57</v>
      </c>
      <c r="G310" s="255">
        <v>8.83</v>
      </c>
      <c r="H310" s="252"/>
      <c r="I310" s="293">
        <v>21.19</v>
      </c>
      <c r="J310" s="255">
        <v>0.68</v>
      </c>
      <c r="K310" s="254">
        <v>0.71</v>
      </c>
      <c r="L310" s="255">
        <v>0.82</v>
      </c>
      <c r="M310" s="252"/>
      <c r="N310" s="293">
        <v>99.66</v>
      </c>
      <c r="O310" s="255">
        <v>3.21</v>
      </c>
      <c r="P310" s="254">
        <v>3.08</v>
      </c>
      <c r="Q310" s="255">
        <v>5.1100000000000003</v>
      </c>
      <c r="R310" s="252"/>
      <c r="S310" s="293">
        <v>195.11</v>
      </c>
      <c r="T310" s="255">
        <v>6.29</v>
      </c>
      <c r="U310" s="254">
        <v>5.87</v>
      </c>
      <c r="V310" s="255">
        <v>11.42</v>
      </c>
      <c r="W310" s="252"/>
      <c r="X310" s="293">
        <v>578.71</v>
      </c>
      <c r="Y310" s="255">
        <v>18.670000000000002</v>
      </c>
      <c r="Z310" s="254">
        <v>19</v>
      </c>
      <c r="AA310" s="255">
        <v>37.909999999999997</v>
      </c>
      <c r="AB310" s="252"/>
      <c r="AC310" s="310">
        <v>773.82</v>
      </c>
      <c r="AD310" s="256">
        <v>24.96</v>
      </c>
      <c r="AE310" s="256">
        <v>24.87</v>
      </c>
      <c r="AF310" s="257">
        <v>49.33</v>
      </c>
      <c r="AG310" s="252"/>
      <c r="AH310" s="293">
        <v>1638.52</v>
      </c>
      <c r="AI310" s="260">
        <v>52.86</v>
      </c>
      <c r="AJ310" s="261">
        <v>55.4</v>
      </c>
      <c r="AK310" s="255">
        <v>145.1</v>
      </c>
      <c r="AL310" s="252"/>
      <c r="AM310" s="293">
        <v>12.09</v>
      </c>
      <c r="AN310" s="255">
        <v>0.39</v>
      </c>
      <c r="AO310" s="254">
        <v>0.42</v>
      </c>
      <c r="AP310" s="255" t="s">
        <v>776</v>
      </c>
      <c r="AQ310" s="252"/>
      <c r="AR310" s="293">
        <v>110.98</v>
      </c>
      <c r="AS310" s="255">
        <v>3.58</v>
      </c>
      <c r="AT310" s="254">
        <v>3.77</v>
      </c>
      <c r="AU310" s="253" t="s">
        <v>776</v>
      </c>
      <c r="AV310" s="252"/>
      <c r="AW310" s="293">
        <v>25.11</v>
      </c>
      <c r="AX310" s="255">
        <v>0.81</v>
      </c>
      <c r="AY310" s="254">
        <v>0.7</v>
      </c>
      <c r="AZ310" s="253" t="s">
        <v>776</v>
      </c>
      <c r="BA310" s="252"/>
      <c r="BB310" s="293">
        <v>18.91</v>
      </c>
      <c r="BC310" s="255">
        <v>0.61</v>
      </c>
      <c r="BD310" s="254">
        <v>0.74</v>
      </c>
      <c r="BE310" s="253" t="s">
        <v>776</v>
      </c>
      <c r="BF310" s="252"/>
      <c r="BG310" s="293">
        <v>25.73</v>
      </c>
      <c r="BH310" s="255">
        <v>0.83</v>
      </c>
      <c r="BI310" s="254">
        <v>1.01</v>
      </c>
      <c r="BJ310" s="253" t="s">
        <v>776</v>
      </c>
      <c r="BK310" s="252"/>
      <c r="BL310" s="314">
        <v>103.41</v>
      </c>
      <c r="BM310" s="260">
        <v>3.34</v>
      </c>
      <c r="BN310" s="261">
        <v>3.28</v>
      </c>
      <c r="BO310" s="259" t="s">
        <v>776</v>
      </c>
      <c r="BP310" s="252"/>
      <c r="BQ310" s="326">
        <v>10.85</v>
      </c>
      <c r="BR310" s="258">
        <v>0.35</v>
      </c>
      <c r="BS310" s="254">
        <v>0.38</v>
      </c>
      <c r="BT310" s="253" t="s">
        <v>776</v>
      </c>
      <c r="BU310" s="252"/>
      <c r="BV310" s="326">
        <v>5.27</v>
      </c>
      <c r="BW310" s="258">
        <v>0.17</v>
      </c>
      <c r="BX310" s="254">
        <v>0.18</v>
      </c>
      <c r="BY310" s="253" t="s">
        <v>776</v>
      </c>
      <c r="BZ310" s="252"/>
      <c r="CA310" s="293">
        <v>11.47</v>
      </c>
      <c r="CB310" s="255">
        <v>0.37</v>
      </c>
      <c r="CC310" s="254">
        <v>0.39</v>
      </c>
      <c r="CD310" s="253" t="s">
        <v>776</v>
      </c>
      <c r="CE310" s="252"/>
      <c r="CF310" s="328">
        <v>45.69</v>
      </c>
      <c r="CG310" s="255">
        <v>1.47</v>
      </c>
      <c r="CH310" s="254">
        <v>1.47</v>
      </c>
      <c r="CI310" s="253" t="s">
        <v>776</v>
      </c>
      <c r="CJ310" s="252"/>
      <c r="CK310" s="293">
        <v>258.95</v>
      </c>
      <c r="CL310" s="255">
        <v>8.35</v>
      </c>
      <c r="CM310" s="254">
        <v>5.23</v>
      </c>
      <c r="CN310" s="255">
        <v>13.74</v>
      </c>
      <c r="CO310" s="252"/>
      <c r="CP310" s="293">
        <v>201.54</v>
      </c>
      <c r="CQ310" s="255">
        <v>6.5</v>
      </c>
      <c r="CR310" s="254">
        <v>6.22</v>
      </c>
      <c r="CS310" s="253">
        <v>9.93</v>
      </c>
      <c r="CT310" s="252"/>
      <c r="CU310" s="293">
        <v>156.77000000000001</v>
      </c>
      <c r="CV310" s="255">
        <v>5.0599999999999996</v>
      </c>
      <c r="CW310" s="254">
        <v>5.12</v>
      </c>
      <c r="CX310" s="253">
        <v>7.01</v>
      </c>
      <c r="CY310" s="253"/>
      <c r="CZ310" s="282">
        <v>20.13</v>
      </c>
      <c r="DA310" s="255">
        <v>0.65</v>
      </c>
      <c r="DB310" s="252"/>
      <c r="DC310" s="328">
        <v>26.43</v>
      </c>
      <c r="DD310" s="255">
        <v>0.85</v>
      </c>
      <c r="DE310" s="254">
        <v>0.85</v>
      </c>
      <c r="DF310" s="253" t="s">
        <v>776</v>
      </c>
      <c r="DH310" s="284">
        <f>DI310*31</f>
        <v>73.16</v>
      </c>
      <c r="DI310" s="1">
        <f t="shared" si="348"/>
        <v>2.36</v>
      </c>
      <c r="DJ310" s="1">
        <f t="shared" si="368"/>
        <v>2.4191666666666669</v>
      </c>
      <c r="DM310" s="284">
        <f>DN310*31</f>
        <v>2927.02</v>
      </c>
      <c r="DN310" s="77">
        <f t="shared" si="351"/>
        <v>94.42</v>
      </c>
      <c r="DO310" s="77">
        <f t="shared" si="377"/>
        <v>98.136666666666656</v>
      </c>
      <c r="DR310" s="284">
        <f>DS310*31</f>
        <v>663.71</v>
      </c>
      <c r="DS310" s="77">
        <f t="shared" si="354"/>
        <v>21.41</v>
      </c>
      <c r="DT310" s="77" t="e">
        <f>SUM(CH310+CM310+CR310+CW310+#REF!)</f>
        <v>#REF!</v>
      </c>
      <c r="DU310" s="201"/>
      <c r="DV310" s="201"/>
      <c r="DW310" s="284">
        <f>DX310*31</f>
        <v>3590.73</v>
      </c>
      <c r="DX310" s="77">
        <f t="shared" si="376"/>
        <v>115.83</v>
      </c>
      <c r="DY310" s="77">
        <f t="shared" si="374"/>
        <v>116.24916666666665</v>
      </c>
      <c r="ED310" s="201"/>
      <c r="EE310" s="201"/>
      <c r="EL310">
        <v>2023</v>
      </c>
      <c r="EM310" t="s">
        <v>714</v>
      </c>
      <c r="EN310" t="s">
        <v>841</v>
      </c>
      <c r="EO310">
        <v>170.9</v>
      </c>
    </row>
    <row r="311" spans="1:145" x14ac:dyDescent="0.25">
      <c r="A311" s="265">
        <v>2023</v>
      </c>
      <c r="B311" s="247" t="s">
        <v>705</v>
      </c>
      <c r="C311" s="247"/>
      <c r="D311" s="293">
        <v>181.69</v>
      </c>
      <c r="E311" s="254">
        <v>6.06</v>
      </c>
      <c r="F311" s="254">
        <v>6.54</v>
      </c>
      <c r="G311" s="255">
        <v>11.18</v>
      </c>
      <c r="H311" s="252"/>
      <c r="I311" s="293">
        <v>20.85</v>
      </c>
      <c r="J311" s="255">
        <v>0.7</v>
      </c>
      <c r="K311" s="254">
        <v>0.71</v>
      </c>
      <c r="L311" s="255">
        <v>1.22</v>
      </c>
      <c r="M311" s="252"/>
      <c r="N311" s="293">
        <v>95.43</v>
      </c>
      <c r="O311" s="255">
        <v>3.18</v>
      </c>
      <c r="P311" s="254">
        <v>3.09</v>
      </c>
      <c r="Q311" s="255">
        <v>5.45</v>
      </c>
      <c r="R311" s="252"/>
      <c r="S311" s="293">
        <v>171.73</v>
      </c>
      <c r="T311" s="255">
        <v>5.72</v>
      </c>
      <c r="U311" s="254">
        <v>5.8</v>
      </c>
      <c r="V311" s="255">
        <v>10.83</v>
      </c>
      <c r="W311" s="252"/>
      <c r="X311" s="293">
        <v>553.49</v>
      </c>
      <c r="Y311" s="255">
        <v>18.45</v>
      </c>
      <c r="Z311" s="254">
        <v>18.84</v>
      </c>
      <c r="AA311" s="255">
        <v>27.41</v>
      </c>
      <c r="AB311" s="252"/>
      <c r="AC311" s="310">
        <v>725.22</v>
      </c>
      <c r="AD311" s="256">
        <v>24.17</v>
      </c>
      <c r="AE311" s="256">
        <v>24.65</v>
      </c>
      <c r="AF311" s="257">
        <v>38.24</v>
      </c>
      <c r="AG311" s="252"/>
      <c r="AH311" s="293">
        <v>1579.59</v>
      </c>
      <c r="AI311" s="260">
        <v>52.65</v>
      </c>
      <c r="AJ311" s="261">
        <v>54.86</v>
      </c>
      <c r="AK311" s="255">
        <v>132.9</v>
      </c>
      <c r="AL311" s="252"/>
      <c r="AM311" s="293">
        <v>12.9</v>
      </c>
      <c r="AN311" s="255">
        <v>0.43</v>
      </c>
      <c r="AO311" s="254">
        <v>0.41</v>
      </c>
      <c r="AP311" s="255" t="s">
        <v>776</v>
      </c>
      <c r="AQ311" s="252"/>
      <c r="AR311" s="293">
        <v>106.8</v>
      </c>
      <c r="AS311" s="255">
        <v>3.56</v>
      </c>
      <c r="AT311" s="254">
        <v>3.7</v>
      </c>
      <c r="AU311" s="253" t="s">
        <v>776</v>
      </c>
      <c r="AV311" s="252"/>
      <c r="AW311" s="293">
        <v>27</v>
      </c>
      <c r="AX311" s="255">
        <v>0.9</v>
      </c>
      <c r="AY311" s="254">
        <v>0.72</v>
      </c>
      <c r="AZ311" s="253" t="s">
        <v>776</v>
      </c>
      <c r="BA311" s="252"/>
      <c r="BB311" s="293">
        <v>18</v>
      </c>
      <c r="BC311" s="255">
        <v>0.6</v>
      </c>
      <c r="BD311" s="254">
        <v>0.73</v>
      </c>
      <c r="BE311" s="253" t="s">
        <v>776</v>
      </c>
      <c r="BF311" s="252"/>
      <c r="BG311" s="293">
        <v>23.4</v>
      </c>
      <c r="BH311" s="255">
        <v>0.78</v>
      </c>
      <c r="BI311" s="254">
        <v>0.95</v>
      </c>
      <c r="BJ311" s="253" t="s">
        <v>776</v>
      </c>
      <c r="BK311" s="252"/>
      <c r="BL311" s="314">
        <v>100.07</v>
      </c>
      <c r="BM311" s="260">
        <v>3.34</v>
      </c>
      <c r="BN311" s="261">
        <v>3.29</v>
      </c>
      <c r="BO311" s="259" t="s">
        <v>776</v>
      </c>
      <c r="BP311" s="252"/>
      <c r="BQ311" s="326">
        <v>10.8</v>
      </c>
      <c r="BR311" s="258">
        <v>0.36</v>
      </c>
      <c r="BS311" s="254">
        <v>0.37</v>
      </c>
      <c r="BT311" s="253" t="s">
        <v>776</v>
      </c>
      <c r="BU311" s="252"/>
      <c r="BV311" s="326">
        <v>5.0999999999999996</v>
      </c>
      <c r="BW311" s="258">
        <v>0.17</v>
      </c>
      <c r="BX311" s="254">
        <v>0.18</v>
      </c>
      <c r="BY311" s="253" t="s">
        <v>776</v>
      </c>
      <c r="BZ311" s="252"/>
      <c r="CA311" s="293">
        <v>10.8</v>
      </c>
      <c r="CB311" s="255">
        <v>0.36</v>
      </c>
      <c r="CC311" s="254">
        <v>0.39</v>
      </c>
      <c r="CD311" s="253" t="s">
        <v>776</v>
      </c>
      <c r="CE311" s="252"/>
      <c r="CF311" s="328">
        <v>44.22</v>
      </c>
      <c r="CG311" s="255">
        <v>1.47</v>
      </c>
      <c r="CH311" s="254">
        <v>1.47</v>
      </c>
      <c r="CI311" s="253" t="s">
        <v>776</v>
      </c>
      <c r="CJ311" s="252"/>
      <c r="CK311" s="293">
        <v>212.72</v>
      </c>
      <c r="CL311" s="255">
        <v>7.09</v>
      </c>
      <c r="CM311" s="254">
        <v>5.34</v>
      </c>
      <c r="CN311" s="255">
        <v>14.9</v>
      </c>
      <c r="CO311" s="252"/>
      <c r="CP311" s="293">
        <v>201.88</v>
      </c>
      <c r="CQ311" s="255">
        <v>6.73</v>
      </c>
      <c r="CR311" s="254">
        <v>6.29</v>
      </c>
      <c r="CS311" s="253">
        <v>10.26</v>
      </c>
      <c r="CT311" s="252"/>
      <c r="CU311" s="293">
        <v>147.9</v>
      </c>
      <c r="CV311" s="255">
        <v>4.93</v>
      </c>
      <c r="CW311" s="254">
        <v>5.07</v>
      </c>
      <c r="CX311" s="253">
        <v>7.83</v>
      </c>
      <c r="CY311" s="253"/>
      <c r="CZ311" s="282">
        <v>20.91</v>
      </c>
      <c r="DA311" s="255">
        <v>0.7</v>
      </c>
      <c r="DB311" s="252"/>
      <c r="DC311" s="328">
        <v>25.58</v>
      </c>
      <c r="DD311" s="255">
        <v>0.85</v>
      </c>
      <c r="DE311" s="254">
        <v>0.85</v>
      </c>
      <c r="DF311" s="253" t="s">
        <v>776</v>
      </c>
      <c r="DH311" s="284">
        <f>DI311*30</f>
        <v>70.8</v>
      </c>
      <c r="DI311" s="1">
        <f t="shared" si="348"/>
        <v>2.36</v>
      </c>
      <c r="DJ311" s="1">
        <f t="shared" si="368"/>
        <v>2.4083333333333332</v>
      </c>
      <c r="DM311" s="284">
        <f>DN311*30</f>
        <v>2820.3</v>
      </c>
      <c r="DN311" s="77">
        <f t="shared" si="351"/>
        <v>94.01</v>
      </c>
      <c r="DO311" s="77">
        <f t="shared" si="377"/>
        <v>97.236666666666665</v>
      </c>
      <c r="DR311" s="284">
        <f>DS311*30</f>
        <v>609</v>
      </c>
      <c r="DS311" s="77">
        <f t="shared" si="354"/>
        <v>20.3</v>
      </c>
      <c r="DT311" s="77" t="e">
        <f>SUM(CH311+CM311+CR311+CW311+#REF!)</f>
        <v>#REF!</v>
      </c>
      <c r="DU311" s="201"/>
      <c r="DV311" s="201"/>
      <c r="DW311" s="284">
        <f>DX311*30</f>
        <v>3429.3</v>
      </c>
      <c r="DX311" s="77">
        <f t="shared" si="376"/>
        <v>114.31</v>
      </c>
      <c r="DY311" s="77">
        <f t="shared" si="374"/>
        <v>115.45583333333332</v>
      </c>
      <c r="ED311" s="201"/>
      <c r="EE311" s="201"/>
      <c r="EL311">
        <v>2023</v>
      </c>
      <c r="EM311" t="s">
        <v>705</v>
      </c>
      <c r="EN311" t="s">
        <v>841</v>
      </c>
      <c r="EO311">
        <v>181.69</v>
      </c>
    </row>
    <row r="312" spans="1:145" x14ac:dyDescent="0.25">
      <c r="A312" s="265">
        <v>2023</v>
      </c>
      <c r="B312" s="247" t="s">
        <v>715</v>
      </c>
      <c r="C312" s="247"/>
      <c r="D312" s="293">
        <v>161.12</v>
      </c>
      <c r="E312" s="254">
        <v>5.2</v>
      </c>
      <c r="F312" s="254">
        <v>6.43</v>
      </c>
      <c r="G312" s="255">
        <v>7.38</v>
      </c>
      <c r="H312" s="252"/>
      <c r="I312" s="293">
        <v>21.48</v>
      </c>
      <c r="J312" s="255">
        <v>0.69</v>
      </c>
      <c r="K312" s="254">
        <v>0.71</v>
      </c>
      <c r="L312" s="255">
        <v>0.92</v>
      </c>
      <c r="M312" s="252"/>
      <c r="N312" s="293">
        <v>97.29</v>
      </c>
      <c r="O312" s="255">
        <v>3.14</v>
      </c>
      <c r="P312" s="254">
        <v>3.06</v>
      </c>
      <c r="Q312" s="255">
        <v>4.6900000000000004</v>
      </c>
      <c r="R312" s="252"/>
      <c r="S312" s="293">
        <v>184.61</v>
      </c>
      <c r="T312" s="255">
        <v>5.96</v>
      </c>
      <c r="U312" s="254">
        <v>5.72</v>
      </c>
      <c r="V312" s="255">
        <v>9.31</v>
      </c>
      <c r="W312" s="252"/>
      <c r="X312" s="293">
        <v>575.5</v>
      </c>
      <c r="Y312" s="255">
        <v>18.559999999999999</v>
      </c>
      <c r="Z312" s="254">
        <v>18.670000000000002</v>
      </c>
      <c r="AA312" s="255">
        <v>27.74</v>
      </c>
      <c r="AB312" s="252"/>
      <c r="AC312" s="310">
        <v>760.11</v>
      </c>
      <c r="AD312" s="256">
        <v>24.52</v>
      </c>
      <c r="AE312" s="256">
        <v>24.39</v>
      </c>
      <c r="AF312" s="257">
        <v>37.049999999999997</v>
      </c>
      <c r="AG312" s="252"/>
      <c r="AH312" s="293">
        <v>1561.39</v>
      </c>
      <c r="AI312" s="260">
        <v>50.37</v>
      </c>
      <c r="AJ312" s="261">
        <v>54.17</v>
      </c>
      <c r="AK312" s="255">
        <v>149</v>
      </c>
      <c r="AL312" s="252"/>
      <c r="AM312" s="293">
        <v>12.09</v>
      </c>
      <c r="AN312" s="255">
        <v>0.39</v>
      </c>
      <c r="AO312" s="254">
        <v>0.41</v>
      </c>
      <c r="AP312" s="255" t="s">
        <v>776</v>
      </c>
      <c r="AQ312" s="252"/>
      <c r="AR312" s="293">
        <v>101.06</v>
      </c>
      <c r="AS312" s="255">
        <v>3.26</v>
      </c>
      <c r="AT312" s="254">
        <v>3.62</v>
      </c>
      <c r="AU312" s="253" t="s">
        <v>776</v>
      </c>
      <c r="AV312" s="252"/>
      <c r="AW312" s="293">
        <v>26.35</v>
      </c>
      <c r="AX312" s="255">
        <v>0.85</v>
      </c>
      <c r="AY312" s="254">
        <v>0.72</v>
      </c>
      <c r="AZ312" s="253" t="s">
        <v>776</v>
      </c>
      <c r="BA312" s="252"/>
      <c r="BB312" s="293">
        <v>16.43</v>
      </c>
      <c r="BC312" s="255">
        <v>0.53</v>
      </c>
      <c r="BD312" s="254">
        <v>0.71</v>
      </c>
      <c r="BE312" s="253" t="s">
        <v>776</v>
      </c>
      <c r="BF312" s="252"/>
      <c r="BG312" s="293">
        <v>21.39</v>
      </c>
      <c r="BH312" s="255">
        <v>0.69</v>
      </c>
      <c r="BI312" s="254">
        <v>0.89</v>
      </c>
      <c r="BJ312" s="253" t="s">
        <v>776</v>
      </c>
      <c r="BK312" s="252"/>
      <c r="BL312" s="314">
        <v>103.41</v>
      </c>
      <c r="BM312" s="260">
        <v>3.34</v>
      </c>
      <c r="BN312" s="261">
        <v>3.3</v>
      </c>
      <c r="BO312" s="259" t="s">
        <v>776</v>
      </c>
      <c r="BP312" s="252"/>
      <c r="BQ312" s="326">
        <v>14.88</v>
      </c>
      <c r="BR312" s="258">
        <v>0.48</v>
      </c>
      <c r="BS312" s="254">
        <v>0.38</v>
      </c>
      <c r="BT312" s="253" t="s">
        <v>776</v>
      </c>
      <c r="BU312" s="252"/>
      <c r="BV312" s="326">
        <v>4.6500000000000004</v>
      </c>
      <c r="BW312" s="258">
        <v>0.15</v>
      </c>
      <c r="BX312" s="254">
        <v>0.17</v>
      </c>
      <c r="BY312" s="253" t="s">
        <v>776</v>
      </c>
      <c r="BZ312" s="252"/>
      <c r="CA312" s="293">
        <v>10.85</v>
      </c>
      <c r="CB312" s="255">
        <v>0.35</v>
      </c>
      <c r="CC312" s="254">
        <v>0.38</v>
      </c>
      <c r="CD312" s="253" t="s">
        <v>776</v>
      </c>
      <c r="CE312" s="252"/>
      <c r="CF312" s="328">
        <v>45.69</v>
      </c>
      <c r="CG312" s="255">
        <v>1.47</v>
      </c>
      <c r="CH312" s="254">
        <v>1.47</v>
      </c>
      <c r="CI312" s="253" t="s">
        <v>776</v>
      </c>
      <c r="CJ312" s="252"/>
      <c r="CK312" s="293">
        <v>184.79</v>
      </c>
      <c r="CL312" s="255">
        <v>5.96</v>
      </c>
      <c r="CM312" s="254">
        <v>5.32</v>
      </c>
      <c r="CN312" s="255">
        <v>9.01</v>
      </c>
      <c r="CO312" s="252"/>
      <c r="CP312" s="293">
        <v>199.35</v>
      </c>
      <c r="CQ312" s="255">
        <v>6.43</v>
      </c>
      <c r="CR312" s="254">
        <v>6.14</v>
      </c>
      <c r="CS312" s="253">
        <v>9.3800000000000008</v>
      </c>
      <c r="CT312" s="252"/>
      <c r="CU312" s="293">
        <v>154.24</v>
      </c>
      <c r="CV312" s="255">
        <v>4.9800000000000004</v>
      </c>
      <c r="CW312" s="254">
        <v>5.0199999999999996</v>
      </c>
      <c r="CX312" s="253">
        <v>7.1</v>
      </c>
      <c r="CY312" s="253"/>
      <c r="CZ312" s="282">
        <v>21.16</v>
      </c>
      <c r="DA312" s="255">
        <v>0.68</v>
      </c>
      <c r="DB312" s="252"/>
      <c r="DC312" s="328">
        <v>26.43</v>
      </c>
      <c r="DD312" s="255">
        <v>0.85</v>
      </c>
      <c r="DE312" s="254">
        <v>0.85</v>
      </c>
      <c r="DF312" s="253" t="s">
        <v>776</v>
      </c>
      <c r="DH312" s="284">
        <f>DI312*31</f>
        <v>75.95</v>
      </c>
      <c r="DI312" s="1">
        <f t="shared" si="348"/>
        <v>2.4500000000000002</v>
      </c>
      <c r="DJ312" s="1">
        <f t="shared" si="368"/>
        <v>2.4033333333333333</v>
      </c>
      <c r="DM312" s="284">
        <f>DN312*31</f>
        <v>2806.4299999999994</v>
      </c>
      <c r="DN312" s="77">
        <f t="shared" si="351"/>
        <v>90.529999999999987</v>
      </c>
      <c r="DO312" s="77">
        <f t="shared" si="377"/>
        <v>95.988333333333344</v>
      </c>
      <c r="DR312" s="284">
        <f>DS312*31</f>
        <v>585.90000000000009</v>
      </c>
      <c r="DS312" s="77">
        <f t="shared" si="354"/>
        <v>18.900000000000002</v>
      </c>
      <c r="DT312" s="77" t="e">
        <f>SUM(CH312+CM312+CR312+CW312+#REF!)</f>
        <v>#REF!</v>
      </c>
      <c r="DU312" s="201"/>
      <c r="DV312" s="201"/>
      <c r="DW312" s="284">
        <f>DX312*31</f>
        <v>3392.33</v>
      </c>
      <c r="DX312" s="77">
        <f t="shared" si="376"/>
        <v>109.42999999999999</v>
      </c>
      <c r="DY312" s="77">
        <f t="shared" si="374"/>
        <v>113.96916666666665</v>
      </c>
      <c r="ED312" s="201"/>
      <c r="EE312" s="201"/>
      <c r="EL312">
        <v>2023</v>
      </c>
      <c r="EM312" t="s">
        <v>715</v>
      </c>
      <c r="EN312" t="s">
        <v>841</v>
      </c>
      <c r="EO312">
        <v>161.12</v>
      </c>
    </row>
    <row r="313" spans="1:145" x14ac:dyDescent="0.25">
      <c r="A313" s="265">
        <v>2023</v>
      </c>
      <c r="B313" s="247" t="s">
        <v>718</v>
      </c>
      <c r="C313" s="247"/>
      <c r="D313" s="293">
        <v>200.65</v>
      </c>
      <c r="E313" s="254">
        <v>6.69</v>
      </c>
      <c r="F313" s="254">
        <v>6.32</v>
      </c>
      <c r="G313" s="255">
        <v>10.64</v>
      </c>
      <c r="H313" s="252"/>
      <c r="I313" s="293">
        <v>21.53</v>
      </c>
      <c r="J313" s="255">
        <v>0.72</v>
      </c>
      <c r="K313" s="254">
        <v>0.7</v>
      </c>
      <c r="L313" s="255">
        <v>1.1499999999999999</v>
      </c>
      <c r="M313" s="252"/>
      <c r="N313" s="293">
        <v>82.98</v>
      </c>
      <c r="O313" s="255">
        <v>2.77</v>
      </c>
      <c r="P313" s="254">
        <v>3.05</v>
      </c>
      <c r="Q313" s="255">
        <v>4.46</v>
      </c>
      <c r="R313" s="252"/>
      <c r="S313" s="293">
        <v>169.93</v>
      </c>
      <c r="T313" s="255">
        <v>5.66</v>
      </c>
      <c r="U313" s="254">
        <v>5.65</v>
      </c>
      <c r="V313" s="255">
        <v>19.13</v>
      </c>
      <c r="W313" s="252"/>
      <c r="X313" s="293">
        <v>549.37</v>
      </c>
      <c r="Y313" s="255">
        <v>18.309999999999999</v>
      </c>
      <c r="Z313" s="254">
        <v>18.54</v>
      </c>
      <c r="AA313" s="255">
        <v>34.49</v>
      </c>
      <c r="AB313" s="252"/>
      <c r="AC313" s="310">
        <v>719.3</v>
      </c>
      <c r="AD313" s="256">
        <v>23.98</v>
      </c>
      <c r="AE313" s="256">
        <v>24.2</v>
      </c>
      <c r="AF313" s="257">
        <v>53.62</v>
      </c>
      <c r="AG313" s="252"/>
      <c r="AH313" s="293">
        <v>1442.67</v>
      </c>
      <c r="AI313" s="260">
        <v>48.09</v>
      </c>
      <c r="AJ313" s="261">
        <v>53.64</v>
      </c>
      <c r="AK313" s="255">
        <v>129.19999999999999</v>
      </c>
      <c r="AL313" s="252"/>
      <c r="AM313" s="293">
        <v>15</v>
      </c>
      <c r="AN313" s="255">
        <v>0.5</v>
      </c>
      <c r="AO313" s="254">
        <v>0.42</v>
      </c>
      <c r="AP313" s="255" t="s">
        <v>776</v>
      </c>
      <c r="AQ313" s="252"/>
      <c r="AR313" s="293">
        <v>103.5</v>
      </c>
      <c r="AS313" s="255">
        <v>3.45</v>
      </c>
      <c r="AT313" s="254">
        <v>3.6</v>
      </c>
      <c r="AU313" s="253" t="s">
        <v>776</v>
      </c>
      <c r="AV313" s="252"/>
      <c r="AW313" s="293">
        <v>26.7</v>
      </c>
      <c r="AX313" s="255">
        <v>0.89</v>
      </c>
      <c r="AY313" s="254">
        <v>0.75</v>
      </c>
      <c r="AZ313" s="253" t="s">
        <v>776</v>
      </c>
      <c r="BA313" s="252"/>
      <c r="BB313" s="293">
        <v>15.9</v>
      </c>
      <c r="BC313" s="255">
        <v>0.53</v>
      </c>
      <c r="BD313" s="254">
        <v>0.69</v>
      </c>
      <c r="BE313" s="253" t="s">
        <v>776</v>
      </c>
      <c r="BF313" s="252"/>
      <c r="BG313" s="293">
        <v>21.9</v>
      </c>
      <c r="BH313" s="255">
        <v>0.73</v>
      </c>
      <c r="BI313" s="254">
        <v>0.85</v>
      </c>
      <c r="BJ313" s="253" t="s">
        <v>776</v>
      </c>
      <c r="BK313" s="252"/>
      <c r="BL313" s="314">
        <v>100.07</v>
      </c>
      <c r="BM313" s="260">
        <v>3.34</v>
      </c>
      <c r="BN313" s="261">
        <v>3.31</v>
      </c>
      <c r="BO313" s="259" t="s">
        <v>776</v>
      </c>
      <c r="BP313" s="252"/>
      <c r="BQ313" s="326">
        <v>14.4</v>
      </c>
      <c r="BR313" s="258">
        <v>0.48</v>
      </c>
      <c r="BS313" s="254">
        <v>0.39</v>
      </c>
      <c r="BT313" s="253" t="s">
        <v>776</v>
      </c>
      <c r="BU313" s="252"/>
      <c r="BV313" s="326">
        <v>3.9</v>
      </c>
      <c r="BW313" s="258">
        <v>0.13</v>
      </c>
      <c r="BX313" s="254">
        <v>0.17</v>
      </c>
      <c r="BY313" s="253" t="s">
        <v>776</v>
      </c>
      <c r="BZ313" s="252"/>
      <c r="CA313" s="293">
        <v>10.8</v>
      </c>
      <c r="CB313" s="255">
        <v>0.36</v>
      </c>
      <c r="CC313" s="254">
        <v>0.38</v>
      </c>
      <c r="CD313" s="253" t="s">
        <v>776</v>
      </c>
      <c r="CE313" s="252"/>
      <c r="CF313" s="328">
        <v>44.22</v>
      </c>
      <c r="CG313" s="255">
        <v>1.47</v>
      </c>
      <c r="CH313" s="254">
        <v>1.47</v>
      </c>
      <c r="CI313" s="253" t="s">
        <v>776</v>
      </c>
      <c r="CJ313" s="252"/>
      <c r="CK313" s="293">
        <v>120.59</v>
      </c>
      <c r="CL313" s="255">
        <v>4.0199999999999996</v>
      </c>
      <c r="CM313" s="254">
        <v>5.32</v>
      </c>
      <c r="CN313" s="255">
        <v>14.58</v>
      </c>
      <c r="CO313" s="252"/>
      <c r="CP313" s="293">
        <v>192.44</v>
      </c>
      <c r="CQ313" s="255">
        <v>6.41</v>
      </c>
      <c r="CR313" s="254">
        <v>6.25</v>
      </c>
      <c r="CS313" s="253">
        <v>9.1199999999999992</v>
      </c>
      <c r="CT313" s="252"/>
      <c r="CU313" s="293">
        <v>140.35</v>
      </c>
      <c r="CV313" s="255">
        <v>4.68</v>
      </c>
      <c r="CW313" s="254">
        <v>4.97</v>
      </c>
      <c r="CX313" s="253">
        <v>7.21</v>
      </c>
      <c r="CY313" s="253"/>
      <c r="CZ313" s="282">
        <v>18.53</v>
      </c>
      <c r="DA313" s="255">
        <v>0.62</v>
      </c>
      <c r="DB313" s="252"/>
      <c r="DC313" s="328">
        <v>25.58</v>
      </c>
      <c r="DD313" s="255">
        <v>0.85</v>
      </c>
      <c r="DE313" s="254">
        <v>0.85</v>
      </c>
      <c r="DF313" s="253" t="s">
        <v>776</v>
      </c>
      <c r="DH313" s="284">
        <f>DI313*30</f>
        <v>73.2</v>
      </c>
      <c r="DI313" s="1">
        <f t="shared" si="348"/>
        <v>2.44</v>
      </c>
      <c r="DJ313" s="1">
        <f t="shared" si="368"/>
        <v>2.4066666666666667</v>
      </c>
      <c r="DM313" s="284">
        <f>DN313*30</f>
        <v>2677.5000000000005</v>
      </c>
      <c r="DN313" s="77">
        <f t="shared" si="351"/>
        <v>89.250000000000014</v>
      </c>
      <c r="DO313" s="77">
        <f t="shared" si="377"/>
        <v>95.115833333333342</v>
      </c>
      <c r="DR313" s="284">
        <f>DS313*30</f>
        <v>497.4</v>
      </c>
      <c r="DS313" s="77">
        <f t="shared" si="354"/>
        <v>16.579999999999998</v>
      </c>
      <c r="DT313" s="77" t="e">
        <f>SUM(CH313+CM313+CR313+CW313+#REF!)</f>
        <v>#REF!</v>
      </c>
      <c r="DU313" s="201"/>
      <c r="DV313" s="201"/>
      <c r="DW313" s="284">
        <f>DX313*30</f>
        <v>3174.9000000000005</v>
      </c>
      <c r="DX313" s="77">
        <f t="shared" si="376"/>
        <v>105.83000000000001</v>
      </c>
      <c r="DY313" s="77">
        <f t="shared" si="374"/>
        <v>113.13916666666665</v>
      </c>
      <c r="ED313" s="201"/>
      <c r="EE313" s="201"/>
      <c r="EL313">
        <v>2023</v>
      </c>
      <c r="EM313" t="s">
        <v>718</v>
      </c>
      <c r="EN313" t="s">
        <v>841</v>
      </c>
      <c r="EO313">
        <v>200.65</v>
      </c>
    </row>
    <row r="314" spans="1:145" x14ac:dyDescent="0.25">
      <c r="A314" s="265">
        <v>2023</v>
      </c>
      <c r="B314" s="247" t="s">
        <v>716</v>
      </c>
      <c r="C314" s="247"/>
      <c r="D314" s="293">
        <v>187.91</v>
      </c>
      <c r="E314" s="254">
        <v>6.06</v>
      </c>
      <c r="F314" s="254">
        <v>6.19</v>
      </c>
      <c r="G314" s="255">
        <v>7.89</v>
      </c>
      <c r="H314" s="252"/>
      <c r="I314" s="293">
        <v>22.43</v>
      </c>
      <c r="J314" s="255">
        <v>0.72</v>
      </c>
      <c r="K314" s="254">
        <v>0.7</v>
      </c>
      <c r="L314" s="255">
        <v>1.82</v>
      </c>
      <c r="M314" s="252"/>
      <c r="N314" s="293">
        <v>89.69</v>
      </c>
      <c r="O314" s="255">
        <v>2.89</v>
      </c>
      <c r="P314" s="254">
        <v>3.01</v>
      </c>
      <c r="Q314" s="255">
        <v>6.51</v>
      </c>
      <c r="R314" s="252"/>
      <c r="S314" s="293">
        <v>173.22</v>
      </c>
      <c r="T314" s="255">
        <v>5.59</v>
      </c>
      <c r="U314" s="254">
        <v>5.6</v>
      </c>
      <c r="V314" s="255">
        <v>10.73</v>
      </c>
      <c r="W314" s="252"/>
      <c r="X314" s="293">
        <v>582.27</v>
      </c>
      <c r="Y314" s="255">
        <v>18.78</v>
      </c>
      <c r="Z314" s="254">
        <v>18.41</v>
      </c>
      <c r="AA314" s="255">
        <v>26.89</v>
      </c>
      <c r="AB314" s="252"/>
      <c r="AC314" s="310">
        <v>755.49</v>
      </c>
      <c r="AD314" s="256">
        <v>24.37</v>
      </c>
      <c r="AE314" s="256">
        <v>24.01</v>
      </c>
      <c r="AF314" s="257">
        <v>37.619999999999997</v>
      </c>
      <c r="AG314" s="252"/>
      <c r="AH314" s="293">
        <v>1518.35</v>
      </c>
      <c r="AI314" s="260">
        <v>48.98</v>
      </c>
      <c r="AJ314" s="261">
        <v>52.77</v>
      </c>
      <c r="AK314" s="255">
        <v>105</v>
      </c>
      <c r="AL314" s="252"/>
      <c r="AM314" s="293">
        <v>16.12</v>
      </c>
      <c r="AN314" s="255">
        <v>0.52</v>
      </c>
      <c r="AO314" s="254">
        <v>0.42</v>
      </c>
      <c r="AP314" s="255" t="s">
        <v>776</v>
      </c>
      <c r="AQ314" s="252"/>
      <c r="AR314" s="293">
        <v>123.69</v>
      </c>
      <c r="AS314" s="255">
        <v>3.99</v>
      </c>
      <c r="AT314" s="254">
        <v>3.61</v>
      </c>
      <c r="AU314" s="253" t="s">
        <v>776</v>
      </c>
      <c r="AV314" s="252"/>
      <c r="AW314" s="293">
        <v>26.66</v>
      </c>
      <c r="AX314" s="255">
        <v>0.86</v>
      </c>
      <c r="AY314" s="254">
        <v>0.76</v>
      </c>
      <c r="AZ314" s="253" t="s">
        <v>776</v>
      </c>
      <c r="BA314" s="252"/>
      <c r="BB314" s="293">
        <v>16.43</v>
      </c>
      <c r="BC314" s="255">
        <v>0.53</v>
      </c>
      <c r="BD314" s="254">
        <v>0.67</v>
      </c>
      <c r="BE314" s="253" t="s">
        <v>776</v>
      </c>
      <c r="BF314" s="252"/>
      <c r="BG314" s="293">
        <v>22.94</v>
      </c>
      <c r="BH314" s="255">
        <v>0.74</v>
      </c>
      <c r="BI314" s="254">
        <v>0.81</v>
      </c>
      <c r="BJ314" s="253" t="s">
        <v>776</v>
      </c>
      <c r="BK314" s="252"/>
      <c r="BL314" s="314">
        <v>103.41</v>
      </c>
      <c r="BM314" s="260">
        <v>3.34</v>
      </c>
      <c r="BN314" s="261">
        <v>3.32</v>
      </c>
      <c r="BO314" s="259" t="s">
        <v>776</v>
      </c>
      <c r="BP314" s="252"/>
      <c r="BQ314" s="326">
        <v>15.81</v>
      </c>
      <c r="BR314" s="258">
        <v>0.51</v>
      </c>
      <c r="BS314" s="254">
        <v>0.4</v>
      </c>
      <c r="BT314" s="253" t="s">
        <v>776</v>
      </c>
      <c r="BU314" s="252"/>
      <c r="BV314" s="326">
        <v>4.03</v>
      </c>
      <c r="BW314" s="258">
        <v>0.13</v>
      </c>
      <c r="BX314" s="254">
        <v>0.17</v>
      </c>
      <c r="BY314" s="253" t="s">
        <v>776</v>
      </c>
      <c r="BZ314" s="252"/>
      <c r="CA314" s="293">
        <v>12.09</v>
      </c>
      <c r="CB314" s="255">
        <v>0.39</v>
      </c>
      <c r="CC314" s="254">
        <v>0.38</v>
      </c>
      <c r="CD314" s="253" t="s">
        <v>776</v>
      </c>
      <c r="CE314" s="252"/>
      <c r="CF314" s="328">
        <v>45.69</v>
      </c>
      <c r="CG314" s="255">
        <v>1.47</v>
      </c>
      <c r="CH314" s="254">
        <v>1.47</v>
      </c>
      <c r="CI314" s="253" t="s">
        <v>776</v>
      </c>
      <c r="CJ314" s="252"/>
      <c r="CK314" s="293">
        <v>169</v>
      </c>
      <c r="CL314" s="255">
        <v>5.45</v>
      </c>
      <c r="CM314" s="254">
        <v>5.38</v>
      </c>
      <c r="CN314" s="255">
        <v>12.02</v>
      </c>
      <c r="CO314" s="252"/>
      <c r="CP314" s="293">
        <v>166.13</v>
      </c>
      <c r="CQ314" s="255">
        <v>5.36</v>
      </c>
      <c r="CR314" s="254">
        <v>6.26</v>
      </c>
      <c r="CS314" s="253">
        <v>8.68</v>
      </c>
      <c r="CT314" s="252"/>
      <c r="CU314" s="293">
        <v>155.1</v>
      </c>
      <c r="CV314" s="255">
        <v>5</v>
      </c>
      <c r="CW314" s="254">
        <v>4.93</v>
      </c>
      <c r="CX314" s="253">
        <v>8.11</v>
      </c>
      <c r="CY314" s="253"/>
      <c r="CZ314" s="282">
        <v>17.88</v>
      </c>
      <c r="DA314" s="255">
        <v>0.57999999999999996</v>
      </c>
      <c r="DB314" s="252"/>
      <c r="DC314" s="328">
        <v>26.43</v>
      </c>
      <c r="DD314" s="255">
        <v>0.85</v>
      </c>
      <c r="DE314" s="254">
        <v>0.85</v>
      </c>
      <c r="DF314" s="253" t="s">
        <v>776</v>
      </c>
      <c r="DH314" s="284">
        <f>DI314*31</f>
        <v>77.5</v>
      </c>
      <c r="DI314" s="1">
        <f t="shared" si="348"/>
        <v>2.5</v>
      </c>
      <c r="DJ314" s="1">
        <f t="shared" si="368"/>
        <v>2.4116666666666666</v>
      </c>
      <c r="DM314" s="284">
        <f>DN314*31</f>
        <v>2805.4999999999995</v>
      </c>
      <c r="DN314" s="77">
        <f t="shared" si="351"/>
        <v>90.499999999999986</v>
      </c>
      <c r="DO314" s="77">
        <f t="shared" si="377"/>
        <v>93.867500000000007</v>
      </c>
      <c r="DR314" s="284">
        <f>DS314*31</f>
        <v>534.44000000000005</v>
      </c>
      <c r="DS314" s="77">
        <f t="shared" si="354"/>
        <v>17.240000000000002</v>
      </c>
      <c r="DT314" s="77" t="e">
        <f>SUM(CH314+CM314+CR314+CW314+#REF!)</f>
        <v>#REF!</v>
      </c>
      <c r="DU314" s="201"/>
      <c r="DV314" s="201"/>
      <c r="DW314" s="284">
        <f>DX314*31</f>
        <v>3339.9399999999996</v>
      </c>
      <c r="DX314" s="77">
        <f t="shared" si="376"/>
        <v>107.73999999999998</v>
      </c>
      <c r="DY314" s="77">
        <f t="shared" si="374"/>
        <v>111.91416666666667</v>
      </c>
      <c r="ED314" s="201"/>
      <c r="EE314" s="201"/>
      <c r="EL314">
        <v>2023</v>
      </c>
      <c r="EM314" t="s">
        <v>716</v>
      </c>
      <c r="EN314" t="s">
        <v>841</v>
      </c>
      <c r="EO314">
        <v>187.91</v>
      </c>
    </row>
    <row r="315" spans="1:145" x14ac:dyDescent="0.25">
      <c r="A315" s="265">
        <v>2023</v>
      </c>
      <c r="B315" s="247" t="s">
        <v>708</v>
      </c>
      <c r="C315" s="247"/>
      <c r="D315" s="293">
        <v>186.29</v>
      </c>
      <c r="E315" s="254">
        <v>6.01</v>
      </c>
      <c r="F315" s="254">
        <v>6.14</v>
      </c>
      <c r="G315" s="255">
        <v>8.9499999999999993</v>
      </c>
      <c r="H315" s="252"/>
      <c r="I315" s="293">
        <v>22.48</v>
      </c>
      <c r="J315" s="255">
        <v>0.73</v>
      </c>
      <c r="K315" s="254">
        <v>0.7</v>
      </c>
      <c r="L315" s="255">
        <v>1.24</v>
      </c>
      <c r="M315" s="252"/>
      <c r="N315" s="293">
        <v>85.71</v>
      </c>
      <c r="O315" s="255">
        <v>2.76</v>
      </c>
      <c r="P315" s="254">
        <v>3</v>
      </c>
      <c r="Q315" s="255">
        <v>4.46</v>
      </c>
      <c r="R315" s="252"/>
      <c r="S315" s="293">
        <v>159.88</v>
      </c>
      <c r="T315" s="255">
        <v>5.16</v>
      </c>
      <c r="U315" s="254">
        <v>5.62</v>
      </c>
      <c r="V315" s="255">
        <v>14.22</v>
      </c>
      <c r="W315" s="252"/>
      <c r="X315" s="293">
        <v>544.59</v>
      </c>
      <c r="Y315" s="255">
        <v>17.57</v>
      </c>
      <c r="Z315" s="254">
        <v>18.309999999999999</v>
      </c>
      <c r="AA315" s="255">
        <v>30.1</v>
      </c>
      <c r="AB315" s="252"/>
      <c r="AC315" s="310">
        <v>704.47</v>
      </c>
      <c r="AD315" s="256">
        <v>22.72</v>
      </c>
      <c r="AE315" s="256">
        <v>23.93</v>
      </c>
      <c r="AF315" s="257">
        <v>44.32</v>
      </c>
      <c r="AG315" s="252"/>
      <c r="AH315" s="293">
        <v>1588.14</v>
      </c>
      <c r="AI315" s="260">
        <v>51.23</v>
      </c>
      <c r="AJ315" s="261">
        <v>52.2</v>
      </c>
      <c r="AK315" s="255">
        <v>138.30000000000001</v>
      </c>
      <c r="AL315" s="252"/>
      <c r="AM315" s="293">
        <v>15.5</v>
      </c>
      <c r="AN315" s="255">
        <v>0.5</v>
      </c>
      <c r="AO315" s="254">
        <v>0.43</v>
      </c>
      <c r="AP315" s="255" t="s">
        <v>776</v>
      </c>
      <c r="AQ315" s="252"/>
      <c r="AR315" s="293">
        <v>114.7</v>
      </c>
      <c r="AS315" s="255">
        <v>3.7</v>
      </c>
      <c r="AT315" s="254">
        <v>3.61</v>
      </c>
      <c r="AU315" s="253" t="s">
        <v>776</v>
      </c>
      <c r="AV315" s="252"/>
      <c r="AW315" s="293">
        <v>24.18</v>
      </c>
      <c r="AX315" s="255">
        <v>0.78</v>
      </c>
      <c r="AY315" s="254">
        <v>0.76</v>
      </c>
      <c r="AZ315" s="253" t="s">
        <v>776</v>
      </c>
      <c r="BA315" s="252"/>
      <c r="BB315" s="293">
        <v>16.739999999999998</v>
      </c>
      <c r="BC315" s="255">
        <v>0.54</v>
      </c>
      <c r="BD315" s="254">
        <v>0.66</v>
      </c>
      <c r="BE315" s="253" t="s">
        <v>776</v>
      </c>
      <c r="BF315" s="252"/>
      <c r="BG315" s="293">
        <v>21.39</v>
      </c>
      <c r="BH315" s="255">
        <v>0.69</v>
      </c>
      <c r="BI315" s="254">
        <v>0.8</v>
      </c>
      <c r="BJ315" s="253" t="s">
        <v>776</v>
      </c>
      <c r="BK315" s="252"/>
      <c r="BL315" s="314">
        <v>103.41</v>
      </c>
      <c r="BM315" s="260">
        <v>3.34</v>
      </c>
      <c r="BN315" s="261">
        <v>3.33</v>
      </c>
      <c r="BO315" s="259" t="s">
        <v>776</v>
      </c>
      <c r="BP315" s="252"/>
      <c r="BQ315" s="326">
        <v>15.19</v>
      </c>
      <c r="BR315" s="258">
        <v>0.49</v>
      </c>
      <c r="BS315" s="254">
        <v>0.41</v>
      </c>
      <c r="BT315" s="253" t="s">
        <v>776</v>
      </c>
      <c r="BU315" s="252"/>
      <c r="BV315" s="326">
        <v>4.03</v>
      </c>
      <c r="BW315" s="258">
        <v>0.13</v>
      </c>
      <c r="BX315" s="254">
        <v>0.16</v>
      </c>
      <c r="BY315" s="253" t="s">
        <v>776</v>
      </c>
      <c r="BZ315" s="252"/>
      <c r="CA315" s="293">
        <v>12.09</v>
      </c>
      <c r="CB315" s="255">
        <v>0.39</v>
      </c>
      <c r="CC315" s="254">
        <v>0.38</v>
      </c>
      <c r="CD315" s="253" t="s">
        <v>776</v>
      </c>
      <c r="CE315" s="252"/>
      <c r="CF315" s="328">
        <v>45.69</v>
      </c>
      <c r="CG315" s="255">
        <v>1.47</v>
      </c>
      <c r="CH315" s="254">
        <v>1.47</v>
      </c>
      <c r="CI315" s="253" t="s">
        <v>776</v>
      </c>
      <c r="CJ315" s="252"/>
      <c r="CK315" s="293">
        <v>155.47999999999999</v>
      </c>
      <c r="CL315" s="255">
        <v>5.0199999999999996</v>
      </c>
      <c r="CM315" s="254">
        <v>5.5</v>
      </c>
      <c r="CN315" s="255">
        <v>8.1199999999999992</v>
      </c>
      <c r="CO315" s="252"/>
      <c r="CP315" s="293">
        <v>195.6</v>
      </c>
      <c r="CQ315" s="255">
        <v>6.31</v>
      </c>
      <c r="CR315" s="254">
        <v>6.28</v>
      </c>
      <c r="CS315" s="253">
        <v>11.78</v>
      </c>
      <c r="CT315" s="252"/>
      <c r="CU315" s="293">
        <v>150.02000000000001</v>
      </c>
      <c r="CV315" s="255">
        <v>4.84</v>
      </c>
      <c r="CW315" s="254">
        <v>4.92</v>
      </c>
      <c r="CX315" s="253">
        <v>10.51</v>
      </c>
      <c r="CY315" s="253"/>
      <c r="CZ315" s="282">
        <v>19.78</v>
      </c>
      <c r="DA315" s="255">
        <v>0.64</v>
      </c>
      <c r="DB315" s="252"/>
      <c r="DC315" s="328">
        <v>26.43</v>
      </c>
      <c r="DD315" s="255">
        <v>0.85</v>
      </c>
      <c r="DE315" s="254">
        <v>0.85</v>
      </c>
      <c r="DF315" s="253" t="s">
        <v>776</v>
      </c>
      <c r="DH315" s="284">
        <f>DI315*31</f>
        <v>76.88</v>
      </c>
      <c r="DI315" s="1">
        <f t="shared" si="348"/>
        <v>2.48</v>
      </c>
      <c r="DJ315" s="1">
        <f t="shared" si="368"/>
        <v>2.4166666666666665</v>
      </c>
      <c r="DM315" s="284">
        <f>DN315*31</f>
        <v>2806.12</v>
      </c>
      <c r="DN315" s="77">
        <f t="shared" si="351"/>
        <v>90.52</v>
      </c>
      <c r="DO315" s="77">
        <f t="shared" si="377"/>
        <v>93.133333333333326</v>
      </c>
      <c r="DR315" s="284">
        <f>DS315*31</f>
        <v>547.46</v>
      </c>
      <c r="DS315" s="77">
        <f t="shared" si="354"/>
        <v>17.66</v>
      </c>
      <c r="DT315" s="77" t="e">
        <f>SUM(CH315+CM315+CR315+CW315+#REF!)</f>
        <v>#REF!</v>
      </c>
      <c r="DU315" s="201"/>
      <c r="DV315" s="201"/>
      <c r="DW315" s="284">
        <f>DX315*31</f>
        <v>3353.58</v>
      </c>
      <c r="DX315" s="77">
        <f t="shared" si="376"/>
        <v>108.17999999999999</v>
      </c>
      <c r="DY315" s="77">
        <f t="shared" si="374"/>
        <v>111.31416666666668</v>
      </c>
      <c r="ED315" s="201"/>
      <c r="EE315" s="201"/>
      <c r="EL315">
        <v>2023</v>
      </c>
      <c r="EM315" t="s">
        <v>708</v>
      </c>
      <c r="EN315" t="s">
        <v>841</v>
      </c>
      <c r="EO315">
        <v>186.29</v>
      </c>
    </row>
    <row r="316" spans="1:145" x14ac:dyDescent="0.25">
      <c r="A316" s="265">
        <v>2023</v>
      </c>
      <c r="B316" s="247" t="s">
        <v>709</v>
      </c>
      <c r="C316" s="247"/>
      <c r="D316" s="293">
        <v>182.07</v>
      </c>
      <c r="E316" s="254">
        <v>6.07</v>
      </c>
      <c r="F316" s="254">
        <v>6.14</v>
      </c>
      <c r="G316" s="255">
        <v>9.61</v>
      </c>
      <c r="H316" s="252"/>
      <c r="I316" s="293">
        <v>21.49</v>
      </c>
      <c r="J316" s="255">
        <v>0.72</v>
      </c>
      <c r="K316" s="254">
        <v>0.7</v>
      </c>
      <c r="L316" s="255">
        <v>1.75</v>
      </c>
      <c r="M316" s="252"/>
      <c r="N316" s="293">
        <v>82.98</v>
      </c>
      <c r="O316" s="255">
        <v>2.77</v>
      </c>
      <c r="P316" s="254">
        <v>3</v>
      </c>
      <c r="Q316" s="255">
        <v>4.46</v>
      </c>
      <c r="R316" s="252"/>
      <c r="S316" s="293">
        <v>168.93</v>
      </c>
      <c r="T316" s="255">
        <v>5.63</v>
      </c>
      <c r="U316" s="254">
        <v>5.7</v>
      </c>
      <c r="V316" s="255">
        <v>12.53</v>
      </c>
      <c r="W316" s="252"/>
      <c r="X316" s="293">
        <v>553.97</v>
      </c>
      <c r="Y316" s="255">
        <v>18.47</v>
      </c>
      <c r="Z316" s="254">
        <v>18.350000000000001</v>
      </c>
      <c r="AA316" s="255">
        <v>29.61</v>
      </c>
      <c r="AB316" s="252"/>
      <c r="AC316" s="310">
        <v>722.9</v>
      </c>
      <c r="AD316" s="256">
        <v>24.1</v>
      </c>
      <c r="AE316" s="256">
        <v>24.04</v>
      </c>
      <c r="AF316" s="257">
        <v>42.14</v>
      </c>
      <c r="AG316" s="252"/>
      <c r="AH316" s="293">
        <v>1586.97</v>
      </c>
      <c r="AI316" s="260">
        <v>52.9</v>
      </c>
      <c r="AJ316" s="261">
        <v>52.17</v>
      </c>
      <c r="AK316" s="255">
        <v>151.1</v>
      </c>
      <c r="AL316" s="252"/>
      <c r="AM316" s="293">
        <v>15.3</v>
      </c>
      <c r="AN316" s="255">
        <v>0.51</v>
      </c>
      <c r="AO316" s="254">
        <v>0.43</v>
      </c>
      <c r="AP316" s="255" t="s">
        <v>776</v>
      </c>
      <c r="AQ316" s="252"/>
      <c r="AR316" s="293">
        <v>110.7</v>
      </c>
      <c r="AS316" s="255">
        <v>3.69</v>
      </c>
      <c r="AT316" s="254">
        <v>3.62</v>
      </c>
      <c r="AU316" s="253" t="s">
        <v>776</v>
      </c>
      <c r="AV316" s="252"/>
      <c r="AW316" s="293">
        <v>19.5</v>
      </c>
      <c r="AX316" s="255">
        <v>0.65</v>
      </c>
      <c r="AY316" s="254">
        <v>0.76</v>
      </c>
      <c r="AZ316" s="253" t="s">
        <v>776</v>
      </c>
      <c r="BA316" s="252"/>
      <c r="BB316" s="293">
        <v>17.100000000000001</v>
      </c>
      <c r="BC316" s="255">
        <v>0.56999999999999995</v>
      </c>
      <c r="BD316" s="254">
        <v>0.65</v>
      </c>
      <c r="BE316" s="253" t="s">
        <v>776</v>
      </c>
      <c r="BF316" s="252"/>
      <c r="BG316" s="293">
        <v>21.3</v>
      </c>
      <c r="BH316" s="255">
        <v>0.71</v>
      </c>
      <c r="BI316" s="254">
        <v>0.79</v>
      </c>
      <c r="BJ316" s="253" t="s">
        <v>776</v>
      </c>
      <c r="BK316" s="252"/>
      <c r="BL316" s="314">
        <v>100.07</v>
      </c>
      <c r="BM316" s="260">
        <v>3.34</v>
      </c>
      <c r="BN316" s="261">
        <v>3.34</v>
      </c>
      <c r="BO316" s="259" t="s">
        <v>776</v>
      </c>
      <c r="BP316" s="252"/>
      <c r="BQ316" s="326">
        <v>14.7</v>
      </c>
      <c r="BR316" s="258">
        <v>0.49</v>
      </c>
      <c r="BS316" s="254">
        <v>0.42</v>
      </c>
      <c r="BT316" s="253" t="s">
        <v>776</v>
      </c>
      <c r="BU316" s="252"/>
      <c r="BV316" s="326">
        <v>5.7</v>
      </c>
      <c r="BW316" s="258">
        <v>0.19</v>
      </c>
      <c r="BX316" s="254">
        <v>0.16</v>
      </c>
      <c r="BY316" s="253" t="s">
        <v>776</v>
      </c>
      <c r="BZ316" s="252"/>
      <c r="CA316" s="293">
        <v>11.4</v>
      </c>
      <c r="CB316" s="255">
        <v>0.38</v>
      </c>
      <c r="CC316" s="254">
        <v>0.38</v>
      </c>
      <c r="CD316" s="253" t="s">
        <v>776</v>
      </c>
      <c r="CE316" s="252"/>
      <c r="CF316" s="328">
        <v>44.22</v>
      </c>
      <c r="CG316" s="255">
        <v>1.47</v>
      </c>
      <c r="CH316" s="254">
        <v>1.47</v>
      </c>
      <c r="CI316" s="253" t="s">
        <v>776</v>
      </c>
      <c r="CJ316" s="252"/>
      <c r="CK316" s="293">
        <v>194.66</v>
      </c>
      <c r="CL316" s="255">
        <v>6.49</v>
      </c>
      <c r="CM316" s="254">
        <v>5.69</v>
      </c>
      <c r="CN316" s="255">
        <v>13.37</v>
      </c>
      <c r="CO316" s="252"/>
      <c r="CP316" s="293">
        <v>187.09</v>
      </c>
      <c r="CQ316" s="255">
        <v>6.24</v>
      </c>
      <c r="CR316" s="254">
        <v>6.37</v>
      </c>
      <c r="CS316" s="253">
        <v>12.62</v>
      </c>
      <c r="CT316" s="252"/>
      <c r="CU316" s="293">
        <v>145.66999999999999</v>
      </c>
      <c r="CV316" s="255">
        <v>4.8600000000000003</v>
      </c>
      <c r="CW316" s="254">
        <v>4.92</v>
      </c>
      <c r="CX316" s="253">
        <v>7.99</v>
      </c>
      <c r="CY316" s="253"/>
      <c r="CZ316" s="282">
        <v>19.149999999999999</v>
      </c>
      <c r="DA316" s="255">
        <v>0.64</v>
      </c>
      <c r="DB316" s="252"/>
      <c r="DC316" s="328">
        <v>25.58</v>
      </c>
      <c r="DD316" s="255">
        <v>0.85</v>
      </c>
      <c r="DE316" s="254">
        <v>0.85</v>
      </c>
      <c r="DF316" s="253" t="s">
        <v>776</v>
      </c>
      <c r="DH316" s="284">
        <f>DI316*30</f>
        <v>75.900000000000006</v>
      </c>
      <c r="DI316" s="1">
        <f t="shared" si="348"/>
        <v>2.5300000000000002</v>
      </c>
      <c r="DJ316" s="1">
        <f t="shared" si="368"/>
        <v>2.4283333333333332</v>
      </c>
      <c r="DM316" s="284">
        <f>DN316*30</f>
        <v>2805</v>
      </c>
      <c r="DN316" s="77">
        <f t="shared" si="351"/>
        <v>93.5</v>
      </c>
      <c r="DO316" s="77">
        <f t="shared" si="377"/>
        <v>93.217499999999987</v>
      </c>
      <c r="DR316" s="284">
        <f>DS316*30</f>
        <v>572.40000000000009</v>
      </c>
      <c r="DS316" s="77">
        <f t="shared" si="354"/>
        <v>19.080000000000002</v>
      </c>
      <c r="DT316" s="77" t="e">
        <f>SUM(CH316+CM316+CR316+CW316+#REF!)</f>
        <v>#REF!</v>
      </c>
      <c r="DU316" s="201"/>
      <c r="DV316" s="201"/>
      <c r="DW316" s="284">
        <f>DX316*30</f>
        <v>3377.4</v>
      </c>
      <c r="DX316" s="77">
        <f t="shared" si="376"/>
        <v>112.58</v>
      </c>
      <c r="DY316" s="77">
        <f t="shared" si="374"/>
        <v>111.69333333333334</v>
      </c>
      <c r="ED316" s="201"/>
      <c r="EE316" s="201"/>
      <c r="EL316">
        <v>2023</v>
      </c>
      <c r="EM316" t="s">
        <v>709</v>
      </c>
      <c r="EN316" t="s">
        <v>841</v>
      </c>
      <c r="EO316">
        <v>182.07</v>
      </c>
    </row>
    <row r="317" spans="1:145" x14ac:dyDescent="0.25">
      <c r="A317" s="265"/>
      <c r="B317" s="247"/>
      <c r="C317" s="247"/>
      <c r="D317" s="293"/>
      <c r="E317" s="254"/>
      <c r="F317" s="254"/>
      <c r="G317" s="255"/>
      <c r="H317" s="252"/>
      <c r="I317" s="293"/>
      <c r="J317" s="255"/>
      <c r="K317" s="254"/>
      <c r="L317" s="255"/>
      <c r="M317" s="252"/>
      <c r="N317" s="293"/>
      <c r="O317" s="255"/>
      <c r="P317" s="254"/>
      <c r="Q317" s="255"/>
      <c r="R317" s="252"/>
      <c r="S317" s="293"/>
      <c r="T317" s="255"/>
      <c r="U317" s="254"/>
      <c r="V317" s="255"/>
      <c r="W317" s="252"/>
      <c r="X317" s="293"/>
      <c r="Y317" s="255"/>
      <c r="Z317" s="254"/>
      <c r="AA317" s="255"/>
      <c r="AB317" s="252"/>
      <c r="AC317" s="310"/>
      <c r="AD317" s="256"/>
      <c r="AE317" s="256"/>
      <c r="AF317" s="257"/>
      <c r="AG317" s="252"/>
      <c r="AH317" s="293"/>
      <c r="AI317" s="260"/>
      <c r="AJ317" s="261"/>
      <c r="AK317" s="255"/>
      <c r="AL317" s="252"/>
      <c r="AM317" s="293"/>
      <c r="AN317" s="255"/>
      <c r="AO317" s="254"/>
      <c r="AP317" s="255"/>
      <c r="AQ317" s="252"/>
      <c r="AR317" s="293"/>
      <c r="AS317" s="255"/>
      <c r="AT317" s="254"/>
      <c r="AU317" s="253"/>
      <c r="AV317" s="252"/>
      <c r="AW317" s="293"/>
      <c r="AX317" s="255"/>
      <c r="AY317" s="254"/>
      <c r="AZ317" s="253"/>
      <c r="BA317" s="252"/>
      <c r="BB317" s="293"/>
      <c r="BC317" s="255"/>
      <c r="BD317" s="254"/>
      <c r="BE317" s="253"/>
      <c r="BF317" s="252"/>
      <c r="BG317" s="293"/>
      <c r="BH317" s="255"/>
      <c r="BI317" s="254"/>
      <c r="BJ317" s="253"/>
      <c r="BK317" s="252"/>
      <c r="BL317" s="314"/>
      <c r="BM317" s="260"/>
      <c r="BN317" s="261"/>
      <c r="BO317" s="259"/>
      <c r="BP317" s="252"/>
      <c r="BQ317" s="326"/>
      <c r="BR317" s="258"/>
      <c r="BS317" s="254"/>
      <c r="BT317" s="253"/>
      <c r="BU317" s="252"/>
      <c r="BV317" s="326"/>
      <c r="BW317" s="258"/>
      <c r="BX317" s="254"/>
      <c r="BY317" s="253"/>
      <c r="BZ317" s="252"/>
      <c r="CA317" s="293"/>
      <c r="CB317" s="255"/>
      <c r="CC317" s="254"/>
      <c r="CD317" s="253"/>
      <c r="CE317" s="252"/>
      <c r="CF317" s="328"/>
      <c r="CG317" s="255"/>
      <c r="CH317" s="254"/>
      <c r="CI317" s="253"/>
      <c r="CJ317" s="252"/>
      <c r="CK317" s="293"/>
      <c r="CL317" s="255"/>
      <c r="CM317" s="254"/>
      <c r="CN317" s="255"/>
      <c r="CO317" s="252"/>
      <c r="CP317" s="293"/>
      <c r="CQ317" s="255"/>
      <c r="CR317" s="254"/>
      <c r="CS317" s="253"/>
      <c r="CT317" s="252"/>
      <c r="CU317" s="293"/>
      <c r="CV317" s="255"/>
      <c r="CW317" s="254"/>
      <c r="CX317" s="253"/>
      <c r="CY317" s="253"/>
      <c r="CZ317" s="282"/>
      <c r="DA317" s="255"/>
      <c r="DB317" s="252"/>
      <c r="DC317" s="328"/>
      <c r="DD317" s="255"/>
      <c r="DE317" s="254"/>
      <c r="DF317" s="253"/>
      <c r="DH317" s="284"/>
      <c r="DI317" s="1"/>
      <c r="DJ317" s="1"/>
      <c r="DM317" s="284"/>
      <c r="DN317" s="77"/>
      <c r="DO317" s="77"/>
      <c r="DR317" s="284"/>
      <c r="DS317" s="77"/>
      <c r="DT317" s="77"/>
      <c r="DU317" s="201"/>
      <c r="DV317" s="201"/>
      <c r="DW317" s="284"/>
      <c r="DX317" s="77"/>
      <c r="DY317" s="77"/>
      <c r="ED317" s="201"/>
      <c r="EE317" s="201"/>
      <c r="EL317">
        <v>1997</v>
      </c>
      <c r="EM317" t="s">
        <v>760</v>
      </c>
      <c r="EN317" t="s">
        <v>842</v>
      </c>
    </row>
    <row r="318" spans="1:145" x14ac:dyDescent="0.25">
      <c r="A318" s="265"/>
      <c r="B318" s="247"/>
      <c r="C318" s="247"/>
      <c r="D318" s="293"/>
      <c r="E318" s="254"/>
      <c r="F318" s="254"/>
      <c r="G318" s="255"/>
      <c r="H318" s="252"/>
      <c r="I318" s="293"/>
      <c r="J318" s="255"/>
      <c r="K318" s="254"/>
      <c r="L318" s="255"/>
      <c r="M318" s="252"/>
      <c r="N318" s="293"/>
      <c r="O318" s="255"/>
      <c r="P318" s="254"/>
      <c r="Q318" s="255"/>
      <c r="R318" s="252"/>
      <c r="S318" s="293"/>
      <c r="T318" s="255"/>
      <c r="U318" s="254"/>
      <c r="V318" s="255"/>
      <c r="W318" s="252"/>
      <c r="X318" s="293"/>
      <c r="Y318" s="255"/>
      <c r="Z318" s="254"/>
      <c r="AA318" s="255"/>
      <c r="AB318" s="252"/>
      <c r="AC318" s="310"/>
      <c r="AD318" s="256"/>
      <c r="AE318" s="256"/>
      <c r="AF318" s="257"/>
      <c r="AG318" s="252"/>
      <c r="AH318" s="293"/>
      <c r="AI318" s="260"/>
      <c r="AJ318" s="261"/>
      <c r="AK318" s="255"/>
      <c r="AL318" s="252"/>
      <c r="AM318" s="293"/>
      <c r="AN318" s="255"/>
      <c r="AO318" s="254"/>
      <c r="AP318" s="255"/>
      <c r="AQ318" s="252"/>
      <c r="AR318" s="293"/>
      <c r="AS318" s="255"/>
      <c r="AT318" s="254"/>
      <c r="AU318" s="253"/>
      <c r="AV318" s="252"/>
      <c r="AW318" s="293"/>
      <c r="AX318" s="255"/>
      <c r="AY318" s="254"/>
      <c r="AZ318" s="253"/>
      <c r="BA318" s="252"/>
      <c r="BB318" s="293"/>
      <c r="BC318" s="255"/>
      <c r="BD318" s="254"/>
      <c r="BE318" s="253"/>
      <c r="BF318" s="252"/>
      <c r="BG318" s="293"/>
      <c r="BH318" s="255"/>
      <c r="BI318" s="254"/>
      <c r="BJ318" s="253"/>
      <c r="BK318" s="252"/>
      <c r="BL318" s="314"/>
      <c r="BM318" s="260"/>
      <c r="BN318" s="261"/>
      <c r="BO318" s="259"/>
      <c r="BP318" s="252"/>
      <c r="BQ318" s="326"/>
      <c r="BR318" s="258"/>
      <c r="BS318" s="254"/>
      <c r="BT318" s="253"/>
      <c r="BU318" s="252"/>
      <c r="BV318" s="326"/>
      <c r="BW318" s="258"/>
      <c r="BX318" s="254"/>
      <c r="BY318" s="253"/>
      <c r="BZ318" s="252"/>
      <c r="CA318" s="293"/>
      <c r="CB318" s="255"/>
      <c r="CC318" s="254"/>
      <c r="CD318" s="253"/>
      <c r="CE318" s="252"/>
      <c r="CF318" s="328"/>
      <c r="CG318" s="255"/>
      <c r="CH318" s="254"/>
      <c r="CI318" s="253"/>
      <c r="CJ318" s="252"/>
      <c r="CK318" s="293"/>
      <c r="CL318" s="255"/>
      <c r="CM318" s="254"/>
      <c r="CN318" s="255"/>
      <c r="CO318" s="252"/>
      <c r="CP318" s="293"/>
      <c r="CQ318" s="255"/>
      <c r="CR318" s="254"/>
      <c r="CS318" s="253"/>
      <c r="CT318" s="252"/>
      <c r="CU318" s="293"/>
      <c r="CV318" s="255"/>
      <c r="CW318" s="254"/>
      <c r="CX318" s="253"/>
      <c r="CY318" s="253"/>
      <c r="CZ318" s="282"/>
      <c r="DA318" s="255"/>
      <c r="DB318" s="252"/>
      <c r="DC318" s="328"/>
      <c r="DD318" s="255"/>
      <c r="DE318" s="254"/>
      <c r="DF318" s="253"/>
      <c r="DH318" s="284"/>
      <c r="DI318" s="1"/>
      <c r="DJ318" s="1"/>
      <c r="DM318" s="284"/>
      <c r="DN318" s="77"/>
      <c r="DO318" s="77"/>
      <c r="DR318" s="284"/>
      <c r="DS318" s="77"/>
      <c r="DT318" s="77"/>
      <c r="DU318" s="201"/>
      <c r="DV318" s="201"/>
      <c r="DW318" s="284"/>
      <c r="DX318" s="77"/>
      <c r="DY318" s="77"/>
      <c r="ED318" s="201"/>
      <c r="EE318" s="201"/>
      <c r="EL318">
        <v>1997</v>
      </c>
      <c r="EM318" t="s">
        <v>761</v>
      </c>
      <c r="EN318" t="s">
        <v>842</v>
      </c>
    </row>
    <row r="319" spans="1:145" x14ac:dyDescent="0.25">
      <c r="A319" s="265"/>
      <c r="B319" s="247"/>
      <c r="C319" s="247"/>
      <c r="X319" s="278"/>
      <c r="Y319" s="117"/>
      <c r="Z319" s="181"/>
      <c r="AA319" s="180"/>
      <c r="DH319" s="284"/>
      <c r="DI319" s="1"/>
      <c r="DJ319" s="1"/>
      <c r="DM319" s="284"/>
      <c r="DN319" s="77"/>
      <c r="DO319" s="77"/>
      <c r="DR319" s="284"/>
      <c r="DS319" s="77"/>
      <c r="DT319" s="77"/>
      <c r="DU319" s="201"/>
      <c r="DV319" s="201"/>
      <c r="DW319" s="284"/>
      <c r="DX319" s="77"/>
      <c r="DY319" s="77"/>
      <c r="ED319" s="201"/>
      <c r="EE319" s="201"/>
      <c r="EL319">
        <v>1997</v>
      </c>
      <c r="EM319" t="s">
        <v>762</v>
      </c>
      <c r="EN319" t="s">
        <v>842</v>
      </c>
    </row>
    <row r="320" spans="1:145" x14ac:dyDescent="0.25">
      <c r="A320" s="265"/>
      <c r="B320" s="247"/>
      <c r="C320" s="247"/>
      <c r="X320" s="278"/>
      <c r="Y320" s="117"/>
      <c r="Z320" s="181"/>
      <c r="AA320" s="180"/>
      <c r="DH320" s="284"/>
      <c r="DI320" s="1"/>
      <c r="DJ320" s="1"/>
      <c r="DM320" s="284"/>
      <c r="DN320" s="77"/>
      <c r="DO320" s="77"/>
      <c r="DR320" s="284"/>
      <c r="DS320" s="77"/>
      <c r="DT320" s="77"/>
      <c r="DU320" s="201"/>
      <c r="DV320" s="201"/>
      <c r="DW320" s="284"/>
      <c r="DX320" s="77"/>
      <c r="DY320" s="77"/>
      <c r="ED320" s="201"/>
      <c r="EE320" s="201"/>
      <c r="EL320">
        <v>1998</v>
      </c>
      <c r="EM320" t="s">
        <v>763</v>
      </c>
      <c r="EN320" t="s">
        <v>842</v>
      </c>
    </row>
    <row r="321" spans="17:144" x14ac:dyDescent="0.25">
      <c r="Q321" s="12">
        <v>2016</v>
      </c>
      <c r="R321" s="1" t="s">
        <v>791</v>
      </c>
      <c r="S321" s="284">
        <v>198.93</v>
      </c>
      <c r="T321" s="1">
        <v>6.42</v>
      </c>
      <c r="U321">
        <v>5.64</v>
      </c>
      <c r="V321" s="180">
        <v>23.28</v>
      </c>
      <c r="X321" s="297">
        <v>619.23</v>
      </c>
      <c r="Y321" s="181">
        <v>19.98</v>
      </c>
      <c r="Z321" s="180">
        <v>19.37</v>
      </c>
      <c r="AA321">
        <v>28.04</v>
      </c>
      <c r="AB321" s="1">
        <v>818.16</v>
      </c>
      <c r="AC321" s="284">
        <v>26.39</v>
      </c>
      <c r="AD321" s="1">
        <v>25</v>
      </c>
      <c r="AE321" s="1">
        <v>51.32</v>
      </c>
      <c r="AG321">
        <v>2016</v>
      </c>
      <c r="AH321" s="299" t="s">
        <v>791</v>
      </c>
      <c r="AI321">
        <v>619.23</v>
      </c>
      <c r="AJ321">
        <v>19.98</v>
      </c>
      <c r="AK321">
        <v>19.37</v>
      </c>
      <c r="AL321">
        <v>28.04</v>
      </c>
      <c r="AN321">
        <v>818.16</v>
      </c>
      <c r="AO321">
        <v>26.39</v>
      </c>
      <c r="AP321">
        <v>25</v>
      </c>
      <c r="AQ321">
        <v>51.32</v>
      </c>
      <c r="AR321" s="299"/>
      <c r="DH321" s="299" t="s">
        <v>792</v>
      </c>
      <c r="DI321">
        <v>31</v>
      </c>
      <c r="ED321" s="201"/>
      <c r="EE321" s="201"/>
      <c r="EL321">
        <v>1998</v>
      </c>
      <c r="EM321" t="s">
        <v>764</v>
      </c>
      <c r="EN321" t="s">
        <v>842</v>
      </c>
    </row>
    <row r="322" spans="17:144" x14ac:dyDescent="0.25">
      <c r="Q322" s="12">
        <v>2016</v>
      </c>
      <c r="R322" s="1" t="s">
        <v>793</v>
      </c>
      <c r="S322" s="284">
        <v>168.36</v>
      </c>
      <c r="T322" s="1">
        <v>5.61</v>
      </c>
      <c r="U322">
        <v>5.54</v>
      </c>
      <c r="V322" s="180">
        <v>8.84</v>
      </c>
      <c r="X322" s="297">
        <v>591.85</v>
      </c>
      <c r="Y322" s="181">
        <v>19.73</v>
      </c>
      <c r="Z322" s="180">
        <v>19.41</v>
      </c>
      <c r="AA322">
        <v>26.88</v>
      </c>
      <c r="AB322" s="1">
        <v>760.21</v>
      </c>
      <c r="AC322" s="284">
        <v>25.34</v>
      </c>
      <c r="AD322" s="1">
        <v>24.95</v>
      </c>
      <c r="AE322" s="1">
        <v>35.72</v>
      </c>
      <c r="AG322">
        <v>2016</v>
      </c>
      <c r="AH322" s="299" t="s">
        <v>793</v>
      </c>
      <c r="AI322">
        <v>591.85</v>
      </c>
      <c r="AJ322">
        <v>19.73</v>
      </c>
      <c r="AK322">
        <v>19.41</v>
      </c>
      <c r="AL322">
        <v>26.88</v>
      </c>
      <c r="AN322">
        <v>760.21</v>
      </c>
      <c r="AO322">
        <v>25.34</v>
      </c>
      <c r="AP322">
        <v>24.95</v>
      </c>
      <c r="AQ322">
        <v>35.72</v>
      </c>
      <c r="AR322" s="299"/>
      <c r="DH322" s="299" t="s">
        <v>794</v>
      </c>
      <c r="DI322">
        <v>30</v>
      </c>
      <c r="EL322">
        <v>1998</v>
      </c>
      <c r="EM322" t="s">
        <v>765</v>
      </c>
      <c r="EN322" t="s">
        <v>842</v>
      </c>
    </row>
    <row r="323" spans="17:144" x14ac:dyDescent="0.25">
      <c r="Q323" s="12">
        <v>2016</v>
      </c>
      <c r="R323" s="1" t="s">
        <v>795</v>
      </c>
      <c r="S323" s="284">
        <v>161.08000000000001</v>
      </c>
      <c r="T323" s="1">
        <v>5.2</v>
      </c>
      <c r="U323">
        <v>5.42</v>
      </c>
      <c r="V323" s="180">
        <v>10.119999999999999</v>
      </c>
      <c r="X323" s="297">
        <v>558.83000000000004</v>
      </c>
      <c r="Y323" s="181">
        <v>18.03</v>
      </c>
      <c r="Z323" s="180">
        <v>18.989999999999998</v>
      </c>
      <c r="AA323">
        <v>39.159999999999997</v>
      </c>
      <c r="AB323" s="1">
        <v>719.91</v>
      </c>
      <c r="AC323" s="284">
        <v>23.22</v>
      </c>
      <c r="AD323" s="1">
        <v>24.4</v>
      </c>
      <c r="AE323" s="1">
        <v>49.28</v>
      </c>
      <c r="AG323">
        <v>2016</v>
      </c>
      <c r="AH323" s="299" t="s">
        <v>795</v>
      </c>
      <c r="AI323">
        <v>558.83000000000004</v>
      </c>
      <c r="AJ323">
        <v>18.03</v>
      </c>
      <c r="AK323">
        <v>18.989999999999998</v>
      </c>
      <c r="AL323">
        <v>39.159999999999997</v>
      </c>
      <c r="AN323">
        <v>719.91</v>
      </c>
      <c r="AO323">
        <v>23.22</v>
      </c>
      <c r="AP323">
        <v>24.4</v>
      </c>
      <c r="AQ323">
        <v>49.28</v>
      </c>
      <c r="AR323" s="299"/>
      <c r="DH323" s="299" t="s">
        <v>796</v>
      </c>
      <c r="DI323">
        <v>31</v>
      </c>
      <c r="EL323">
        <v>1998</v>
      </c>
      <c r="EM323" t="s">
        <v>767</v>
      </c>
      <c r="EN323" t="s">
        <v>842</v>
      </c>
    </row>
    <row r="324" spans="17:144" x14ac:dyDescent="0.25">
      <c r="Q324" s="12">
        <v>2016</v>
      </c>
      <c r="R324" s="1" t="s">
        <v>797</v>
      </c>
      <c r="S324" s="284">
        <v>144.47999999999999</v>
      </c>
      <c r="T324" s="1">
        <v>4.66</v>
      </c>
      <c r="U324">
        <v>5.38</v>
      </c>
      <c r="V324" s="180">
        <v>8.58</v>
      </c>
      <c r="X324" s="297">
        <v>576.72</v>
      </c>
      <c r="Y324" s="181">
        <v>18.600000000000001</v>
      </c>
      <c r="Z324" s="180">
        <v>19.010000000000002</v>
      </c>
      <c r="AA324">
        <v>24.35</v>
      </c>
      <c r="AB324" s="1">
        <v>721.2</v>
      </c>
      <c r="AC324" s="284">
        <v>23.26</v>
      </c>
      <c r="AD324" s="1">
        <v>24.39</v>
      </c>
      <c r="AE324" s="1">
        <v>32.93</v>
      </c>
      <c r="AG324">
        <v>2016</v>
      </c>
      <c r="AH324" s="299" t="s">
        <v>797</v>
      </c>
      <c r="AI324">
        <v>576.72</v>
      </c>
      <c r="AJ324">
        <v>18.600000000000001</v>
      </c>
      <c r="AK324">
        <v>19.010000000000002</v>
      </c>
      <c r="AL324">
        <v>24.35</v>
      </c>
      <c r="AN324">
        <v>721.2</v>
      </c>
      <c r="AO324">
        <v>23.26</v>
      </c>
      <c r="AP324">
        <v>24.39</v>
      </c>
      <c r="AQ324">
        <v>32.93</v>
      </c>
      <c r="AR324" s="299"/>
      <c r="DH324" s="299" t="s">
        <v>798</v>
      </c>
      <c r="DI324">
        <v>30</v>
      </c>
      <c r="EL324">
        <v>1998</v>
      </c>
      <c r="EM324" t="s">
        <v>715</v>
      </c>
      <c r="EN324" t="s">
        <v>842</v>
      </c>
    </row>
    <row r="325" spans="17:144" x14ac:dyDescent="0.25">
      <c r="Q325" s="12">
        <v>2016</v>
      </c>
      <c r="R325" s="1" t="s">
        <v>799</v>
      </c>
      <c r="S325" s="284">
        <v>135.33000000000001</v>
      </c>
      <c r="T325" s="1">
        <v>4.51</v>
      </c>
      <c r="U325">
        <v>5.4</v>
      </c>
      <c r="V325" s="180">
        <v>8.26</v>
      </c>
      <c r="X325" s="297">
        <v>535.25</v>
      </c>
      <c r="Y325" s="181">
        <v>17.84</v>
      </c>
      <c r="Z325" s="180">
        <v>19.079999999999998</v>
      </c>
      <c r="AA325">
        <v>33.08</v>
      </c>
      <c r="AB325" s="1">
        <v>670.59</v>
      </c>
      <c r="AC325" s="284">
        <v>22.35</v>
      </c>
      <c r="AD325" s="1">
        <v>24.47</v>
      </c>
      <c r="AE325" s="1">
        <v>41.34</v>
      </c>
      <c r="AG325">
        <v>2016</v>
      </c>
      <c r="AH325" s="299" t="s">
        <v>799</v>
      </c>
      <c r="AI325">
        <v>535.25</v>
      </c>
      <c r="AJ325">
        <v>17.84</v>
      </c>
      <c r="AK325">
        <v>19.079999999999998</v>
      </c>
      <c r="AL325">
        <v>33.08</v>
      </c>
      <c r="AN325">
        <v>670.58</v>
      </c>
      <c r="AO325">
        <v>22.35</v>
      </c>
      <c r="AP325">
        <v>24.47</v>
      </c>
      <c r="AQ325">
        <v>41.34</v>
      </c>
      <c r="AR325" s="299"/>
      <c r="DH325" s="299" t="s">
        <v>800</v>
      </c>
      <c r="DI325">
        <v>31</v>
      </c>
      <c r="EL325">
        <v>1998</v>
      </c>
      <c r="EM325" t="s">
        <v>718</v>
      </c>
      <c r="EN325" t="s">
        <v>842</v>
      </c>
    </row>
    <row r="326" spans="17:144" x14ac:dyDescent="0.25">
      <c r="Q326" s="12">
        <v>2016</v>
      </c>
      <c r="R326" s="1" t="s">
        <v>801</v>
      </c>
      <c r="S326" s="284">
        <v>135.54</v>
      </c>
      <c r="T326" s="1">
        <v>4.37</v>
      </c>
      <c r="U326">
        <v>5.39</v>
      </c>
      <c r="V326" s="180">
        <v>6.78</v>
      </c>
      <c r="X326" s="297">
        <v>553.9</v>
      </c>
      <c r="Y326" s="181">
        <v>17.87</v>
      </c>
      <c r="Z326" s="180">
        <v>21.76</v>
      </c>
      <c r="AA326">
        <v>24.74</v>
      </c>
      <c r="AB326" s="1">
        <v>855.84</v>
      </c>
      <c r="AC326" s="284">
        <v>27.61</v>
      </c>
      <c r="AD326" s="1">
        <v>27.15</v>
      </c>
      <c r="AE326" s="1">
        <v>34.69</v>
      </c>
      <c r="AG326">
        <v>2016</v>
      </c>
      <c r="AH326" s="299" t="s">
        <v>801</v>
      </c>
      <c r="AI326">
        <v>553.9</v>
      </c>
      <c r="AJ326">
        <v>17.87</v>
      </c>
      <c r="AK326">
        <v>21.76</v>
      </c>
      <c r="AL326">
        <v>24.74</v>
      </c>
      <c r="AN326" s="76">
        <v>855.84</v>
      </c>
      <c r="AO326" s="76">
        <v>27.61</v>
      </c>
      <c r="AP326" s="76">
        <v>27.15</v>
      </c>
      <c r="AQ326" s="76">
        <v>34.69</v>
      </c>
      <c r="AR326" s="299"/>
      <c r="DH326" s="299" t="s">
        <v>802</v>
      </c>
      <c r="DI326">
        <v>31</v>
      </c>
      <c r="EL326">
        <v>1998</v>
      </c>
      <c r="EM326" t="s">
        <v>716</v>
      </c>
      <c r="EN326" t="s">
        <v>842</v>
      </c>
    </row>
    <row r="327" spans="17:144" x14ac:dyDescent="0.25">
      <c r="Q327" s="12">
        <v>2016</v>
      </c>
      <c r="R327" s="1" t="s">
        <v>803</v>
      </c>
      <c r="S327" s="284">
        <v>125.71</v>
      </c>
      <c r="T327" s="1">
        <v>4.1900000000000004</v>
      </c>
      <c r="U327">
        <v>5.36</v>
      </c>
      <c r="V327" s="180">
        <v>7.07</v>
      </c>
      <c r="X327" s="297">
        <v>503.52</v>
      </c>
      <c r="Y327" s="181">
        <v>16.78</v>
      </c>
      <c r="Z327" s="180">
        <v>19.22</v>
      </c>
      <c r="AA327">
        <v>24.72</v>
      </c>
      <c r="AB327" s="1">
        <v>629.23</v>
      </c>
      <c r="AC327" s="284">
        <v>20.97</v>
      </c>
      <c r="AD327" s="1">
        <v>25.03</v>
      </c>
      <c r="AE327" s="1">
        <v>31.79</v>
      </c>
      <c r="AG327">
        <v>2016</v>
      </c>
      <c r="AH327" s="299" t="s">
        <v>803</v>
      </c>
      <c r="AI327">
        <v>503.52</v>
      </c>
      <c r="AJ327">
        <v>16.78</v>
      </c>
      <c r="AK327">
        <v>19.22</v>
      </c>
      <c r="AL327">
        <v>24.72</v>
      </c>
      <c r="AN327">
        <v>629.23</v>
      </c>
      <c r="AO327">
        <v>20.97</v>
      </c>
      <c r="AP327">
        <v>25.03</v>
      </c>
      <c r="AQ327">
        <v>31.79</v>
      </c>
      <c r="AR327" s="299"/>
      <c r="DH327" s="299" t="s">
        <v>804</v>
      </c>
      <c r="DI327">
        <v>30</v>
      </c>
      <c r="EL327">
        <v>1998</v>
      </c>
      <c r="EM327" t="s">
        <v>768</v>
      </c>
      <c r="EN327" t="s">
        <v>842</v>
      </c>
    </row>
    <row r="328" spans="17:144" x14ac:dyDescent="0.25">
      <c r="Q328" s="12">
        <v>2016</v>
      </c>
      <c r="R328" s="1" t="s">
        <v>805</v>
      </c>
      <c r="S328" s="284">
        <v>120.04</v>
      </c>
      <c r="T328" s="1">
        <v>3.87</v>
      </c>
      <c r="U328">
        <v>5.27</v>
      </c>
      <c r="V328" s="180">
        <v>7.13</v>
      </c>
      <c r="X328" s="297">
        <v>520.65</v>
      </c>
      <c r="Y328" s="181">
        <v>16.8</v>
      </c>
      <c r="Z328" s="180">
        <v>19.05</v>
      </c>
      <c r="AA328">
        <v>23.92</v>
      </c>
      <c r="AB328" s="1">
        <v>640.69000000000005</v>
      </c>
      <c r="AC328" s="284">
        <v>20.67</v>
      </c>
      <c r="AD328" s="1">
        <v>24.77</v>
      </c>
      <c r="AE328" s="1">
        <v>31.05</v>
      </c>
      <c r="AG328">
        <v>2016</v>
      </c>
      <c r="AH328" s="299" t="s">
        <v>805</v>
      </c>
      <c r="AI328">
        <v>520.65</v>
      </c>
      <c r="AJ328">
        <v>16.8</v>
      </c>
      <c r="AK328">
        <v>19.05</v>
      </c>
      <c r="AL328">
        <v>23.92</v>
      </c>
      <c r="AN328">
        <v>640.69000000000005</v>
      </c>
      <c r="AO328">
        <v>20.67</v>
      </c>
      <c r="AP328">
        <v>24.77</v>
      </c>
      <c r="AQ328">
        <v>31.05</v>
      </c>
      <c r="AR328" s="299"/>
      <c r="EL328">
        <v>1998</v>
      </c>
      <c r="EM328" t="s">
        <v>769</v>
      </c>
      <c r="EN328" t="s">
        <v>842</v>
      </c>
    </row>
    <row r="329" spans="17:144" x14ac:dyDescent="0.25">
      <c r="Q329" s="12">
        <v>2017</v>
      </c>
      <c r="R329" s="1" t="s">
        <v>806</v>
      </c>
      <c r="S329" s="284">
        <v>158.59</v>
      </c>
      <c r="T329" s="1">
        <v>5.12</v>
      </c>
      <c r="U329">
        <v>5.23</v>
      </c>
      <c r="V329" s="1">
        <v>8.3000000000000007</v>
      </c>
      <c r="X329" s="284">
        <v>559.29</v>
      </c>
      <c r="Y329" s="1">
        <v>18.04</v>
      </c>
      <c r="Z329" s="1">
        <v>18.79</v>
      </c>
      <c r="AA329">
        <v>23.92</v>
      </c>
      <c r="AB329" s="1">
        <v>717.88</v>
      </c>
      <c r="AC329" s="284">
        <v>23.16</v>
      </c>
      <c r="AD329" s="1">
        <v>24.47</v>
      </c>
      <c r="AE329" s="1">
        <v>32.22</v>
      </c>
      <c r="AG329">
        <v>2017</v>
      </c>
      <c r="AH329" s="299" t="s">
        <v>806</v>
      </c>
      <c r="AI329">
        <v>559.29</v>
      </c>
      <c r="AJ329">
        <v>18.04</v>
      </c>
      <c r="AK329">
        <v>18.79</v>
      </c>
      <c r="AL329">
        <v>23.92</v>
      </c>
      <c r="AN329">
        <v>717.88</v>
      </c>
      <c r="AO329">
        <v>23.16</v>
      </c>
      <c r="AP329">
        <v>24.47</v>
      </c>
      <c r="AQ329">
        <v>32.22</v>
      </c>
      <c r="AR329" s="299"/>
      <c r="EL329">
        <v>1998</v>
      </c>
      <c r="EM329" t="s">
        <v>760</v>
      </c>
      <c r="EN329" t="s">
        <v>842</v>
      </c>
    </row>
    <row r="330" spans="17:144" x14ac:dyDescent="0.25">
      <c r="Q330" s="12">
        <v>2017</v>
      </c>
      <c r="R330" s="1" t="s">
        <v>807</v>
      </c>
      <c r="S330" s="284">
        <v>138.74</v>
      </c>
      <c r="T330" s="1">
        <v>4.96</v>
      </c>
      <c r="U330">
        <v>5.04</v>
      </c>
      <c r="V330" s="1">
        <v>7.47</v>
      </c>
      <c r="X330" s="284">
        <v>520.65</v>
      </c>
      <c r="Y330" s="1">
        <v>18.59</v>
      </c>
      <c r="Z330" s="1">
        <v>18.37</v>
      </c>
      <c r="AA330">
        <v>23.92</v>
      </c>
      <c r="AB330" s="1">
        <v>659.39</v>
      </c>
      <c r="AC330" s="284">
        <v>23.55</v>
      </c>
      <c r="AD330" s="1">
        <v>23.85</v>
      </c>
      <c r="AE330" s="1">
        <v>31.39</v>
      </c>
      <c r="AG330">
        <v>2017</v>
      </c>
      <c r="AH330" s="299" t="s">
        <v>807</v>
      </c>
      <c r="AI330">
        <v>520.65</v>
      </c>
      <c r="AJ330">
        <v>18.59</v>
      </c>
      <c r="AK330">
        <v>18.37</v>
      </c>
      <c r="AL330">
        <v>23.92</v>
      </c>
      <c r="AN330">
        <v>659.39</v>
      </c>
      <c r="AO330">
        <v>23.55</v>
      </c>
      <c r="AP330">
        <v>23.85</v>
      </c>
      <c r="AQ330">
        <v>31.39</v>
      </c>
      <c r="AR330" s="299"/>
      <c r="EL330">
        <v>1998</v>
      </c>
      <c r="EM330" t="s">
        <v>771</v>
      </c>
      <c r="EN330" t="s">
        <v>842</v>
      </c>
    </row>
    <row r="331" spans="17:144" x14ac:dyDescent="0.25">
      <c r="Q331" s="12">
        <v>2017</v>
      </c>
      <c r="R331" s="1" t="s">
        <v>808</v>
      </c>
      <c r="S331" s="284">
        <v>160.78</v>
      </c>
      <c r="T331" s="1">
        <v>5.19</v>
      </c>
      <c r="U331">
        <v>4.9800000000000004</v>
      </c>
      <c r="V331" s="1">
        <v>9.4700000000000006</v>
      </c>
      <c r="X331" s="284">
        <v>559.29</v>
      </c>
      <c r="Y331" s="1">
        <v>18.04</v>
      </c>
      <c r="Z331" s="1">
        <v>18.2</v>
      </c>
      <c r="AA331">
        <v>23.92</v>
      </c>
      <c r="AB331" s="1">
        <v>720.07</v>
      </c>
      <c r="AC331" s="284">
        <v>23.23</v>
      </c>
      <c r="AD331" s="1">
        <v>23.62</v>
      </c>
      <c r="AE331" s="1">
        <v>33.39</v>
      </c>
      <c r="AG331">
        <v>2017</v>
      </c>
      <c r="AH331" s="299" t="s">
        <v>808</v>
      </c>
      <c r="AI331">
        <v>559.29</v>
      </c>
      <c r="AJ331">
        <v>18.04</v>
      </c>
      <c r="AK331">
        <v>18.2</v>
      </c>
      <c r="AL331">
        <v>23.92</v>
      </c>
      <c r="AN331">
        <v>720.07</v>
      </c>
      <c r="AO331">
        <v>23.23</v>
      </c>
      <c r="AP331">
        <v>23.62</v>
      </c>
      <c r="AQ331">
        <v>33.39</v>
      </c>
      <c r="AR331" s="299"/>
      <c r="EL331">
        <v>1998</v>
      </c>
      <c r="EM331" t="s">
        <v>762</v>
      </c>
      <c r="EN331" t="s">
        <v>842</v>
      </c>
    </row>
    <row r="332" spans="17:144" x14ac:dyDescent="0.25">
      <c r="Q332" s="12">
        <v>2017</v>
      </c>
      <c r="R332" s="1" t="s">
        <v>809</v>
      </c>
      <c r="S332" s="284">
        <v>170.47</v>
      </c>
      <c r="T332" s="1">
        <v>5.68</v>
      </c>
      <c r="U332">
        <v>4.9800000000000004</v>
      </c>
      <c r="V332" s="1">
        <v>10.35</v>
      </c>
      <c r="X332" s="284">
        <v>559.29</v>
      </c>
      <c r="Y332" s="1">
        <v>18.64</v>
      </c>
      <c r="Z332" s="1">
        <v>18.25</v>
      </c>
      <c r="AA332">
        <v>23.92</v>
      </c>
      <c r="AB332" s="1">
        <v>729.76</v>
      </c>
      <c r="AC332" s="284">
        <v>24.33</v>
      </c>
      <c r="AD332" s="1">
        <v>23.67</v>
      </c>
      <c r="AE332" s="1">
        <v>34.270000000000003</v>
      </c>
      <c r="AG332">
        <v>2017</v>
      </c>
      <c r="AH332" s="299" t="s">
        <v>809</v>
      </c>
      <c r="AI332">
        <v>559.29</v>
      </c>
      <c r="AJ332">
        <v>18.64</v>
      </c>
      <c r="AK332">
        <v>18.25</v>
      </c>
      <c r="AL332">
        <v>23.92</v>
      </c>
      <c r="AN332">
        <v>729.76</v>
      </c>
      <c r="AO332">
        <v>24.33</v>
      </c>
      <c r="AP332">
        <v>23.67</v>
      </c>
      <c r="AQ332">
        <v>34.270000000000003</v>
      </c>
      <c r="AR332" s="299"/>
      <c r="EL332">
        <v>1999</v>
      </c>
      <c r="EM332" t="s">
        <v>763</v>
      </c>
      <c r="EN332" t="s">
        <v>842</v>
      </c>
    </row>
    <row r="333" spans="17:144" x14ac:dyDescent="0.25">
      <c r="Q333" s="12">
        <v>2017</v>
      </c>
      <c r="R333" s="1" t="s">
        <v>791</v>
      </c>
      <c r="S333" s="284">
        <v>192.61</v>
      </c>
      <c r="T333" s="1">
        <v>6.21</v>
      </c>
      <c r="U333">
        <v>4.96</v>
      </c>
      <c r="V333" s="1">
        <v>13.98</v>
      </c>
      <c r="X333" s="284">
        <v>563.86</v>
      </c>
      <c r="Y333" s="1">
        <v>18.190000000000001</v>
      </c>
      <c r="Z333" s="1">
        <v>18.100000000000001</v>
      </c>
      <c r="AA333">
        <v>25.9</v>
      </c>
      <c r="AB333" s="1">
        <v>756.47</v>
      </c>
      <c r="AC333" s="284">
        <v>24.4</v>
      </c>
      <c r="AD333" s="1">
        <v>23.51</v>
      </c>
      <c r="AE333" s="1">
        <v>39.880000000000003</v>
      </c>
      <c r="AG333">
        <v>2017</v>
      </c>
      <c r="AH333" s="299" t="s">
        <v>791</v>
      </c>
      <c r="AI333">
        <v>563.86</v>
      </c>
      <c r="AJ333">
        <v>18.190000000000001</v>
      </c>
      <c r="AK333">
        <v>18.100000000000001</v>
      </c>
      <c r="AL333">
        <v>25.9</v>
      </c>
      <c r="AN333">
        <v>756.47</v>
      </c>
      <c r="AO333">
        <v>24.4</v>
      </c>
      <c r="AP333">
        <v>23.51</v>
      </c>
      <c r="AQ333">
        <v>39.880000000000003</v>
      </c>
      <c r="AR333" s="299"/>
      <c r="EL333">
        <v>1999</v>
      </c>
      <c r="EM333" t="s">
        <v>772</v>
      </c>
      <c r="EN333" t="s">
        <v>842</v>
      </c>
    </row>
    <row r="334" spans="17:144" x14ac:dyDescent="0.25">
      <c r="Q334" s="12">
        <v>2017</v>
      </c>
      <c r="R334" s="1" t="s">
        <v>793</v>
      </c>
      <c r="S334" s="284">
        <v>173.26</v>
      </c>
      <c r="T334" s="1">
        <v>5.78</v>
      </c>
      <c r="U334">
        <v>4.9800000000000004</v>
      </c>
      <c r="V334" s="1">
        <v>8.3000000000000007</v>
      </c>
      <c r="X334" s="284">
        <v>520.65</v>
      </c>
      <c r="Y334" s="1">
        <v>17.36</v>
      </c>
      <c r="Z334" s="1">
        <v>17.899999999999999</v>
      </c>
      <c r="AA334">
        <v>23.92</v>
      </c>
      <c r="AB334" s="1">
        <v>693.91</v>
      </c>
      <c r="AC334" s="284">
        <v>23.13</v>
      </c>
      <c r="AD334" s="1">
        <v>23.32</v>
      </c>
      <c r="AE334" s="1">
        <v>32.22</v>
      </c>
      <c r="AG334">
        <v>2017</v>
      </c>
      <c r="AH334" s="299" t="s">
        <v>793</v>
      </c>
      <c r="AI334">
        <v>520.65</v>
      </c>
      <c r="AJ334">
        <v>17.36</v>
      </c>
      <c r="AK334">
        <v>17.899999999999999</v>
      </c>
      <c r="AL334">
        <v>23.92</v>
      </c>
      <c r="AN334">
        <v>693.91</v>
      </c>
      <c r="AO334">
        <v>23.13</v>
      </c>
      <c r="AP334">
        <v>23.32</v>
      </c>
      <c r="AQ334">
        <v>32.22</v>
      </c>
      <c r="AR334" s="299"/>
      <c r="EL334">
        <v>1999</v>
      </c>
      <c r="EM334" t="s">
        <v>773</v>
      </c>
      <c r="EN334" t="s">
        <v>842</v>
      </c>
    </row>
    <row r="335" spans="17:144" x14ac:dyDescent="0.25">
      <c r="Q335" s="12">
        <v>2017</v>
      </c>
      <c r="R335" s="1" t="s">
        <v>795</v>
      </c>
      <c r="S335" s="284">
        <v>189.27</v>
      </c>
      <c r="T335" s="1">
        <v>6.11</v>
      </c>
      <c r="U335">
        <v>5.05</v>
      </c>
      <c r="V335" s="1">
        <v>20.25</v>
      </c>
      <c r="X335" s="284">
        <v>555.17999999999995</v>
      </c>
      <c r="Y335" s="1">
        <v>17.91</v>
      </c>
      <c r="Z335" s="1">
        <v>17.89</v>
      </c>
      <c r="AA335">
        <v>28.06</v>
      </c>
      <c r="AB335" s="1">
        <v>744.45</v>
      </c>
      <c r="AC335" s="284">
        <v>24.01</v>
      </c>
      <c r="AD335" s="1">
        <v>23.39</v>
      </c>
      <c r="AE335" s="1">
        <v>48.31</v>
      </c>
      <c r="AG335">
        <v>2017</v>
      </c>
      <c r="AH335" s="299" t="s">
        <v>795</v>
      </c>
      <c r="AI335">
        <v>555.17999999999995</v>
      </c>
      <c r="AJ335">
        <v>17.91</v>
      </c>
      <c r="AK335">
        <v>17.89</v>
      </c>
      <c r="AL335">
        <v>28.06</v>
      </c>
      <c r="AN335">
        <v>744.45</v>
      </c>
      <c r="AO335">
        <v>24.01</v>
      </c>
      <c r="AP335">
        <v>23.39</v>
      </c>
      <c r="AQ335">
        <v>48.31</v>
      </c>
      <c r="AR335" s="299"/>
      <c r="EL335">
        <v>1999</v>
      </c>
      <c r="EM335" t="s">
        <v>774</v>
      </c>
      <c r="EN335" t="s">
        <v>842</v>
      </c>
    </row>
    <row r="336" spans="17:144" x14ac:dyDescent="0.25">
      <c r="Q336" s="12">
        <v>2017</v>
      </c>
      <c r="R336" s="1" t="s">
        <v>797</v>
      </c>
      <c r="S336" s="284">
        <v>182.96</v>
      </c>
      <c r="T336" s="1">
        <v>5.9</v>
      </c>
      <c r="U336">
        <v>5.16</v>
      </c>
      <c r="V336" s="1">
        <v>9.84</v>
      </c>
      <c r="X336" s="284">
        <v>571.48</v>
      </c>
      <c r="Y336" s="1">
        <v>18.43</v>
      </c>
      <c r="Z336" s="1">
        <v>17.87</v>
      </c>
      <c r="AA336">
        <v>23.15</v>
      </c>
      <c r="AB336" s="1">
        <v>754.44</v>
      </c>
      <c r="AC336" s="284">
        <v>24.34</v>
      </c>
      <c r="AD336" s="1">
        <v>23.48</v>
      </c>
      <c r="AE336" s="1">
        <v>32.99</v>
      </c>
      <c r="AG336">
        <v>2017</v>
      </c>
      <c r="AH336" s="299" t="s">
        <v>797</v>
      </c>
      <c r="AI336">
        <v>571.48</v>
      </c>
      <c r="AJ336">
        <v>18.43</v>
      </c>
      <c r="AK336">
        <v>17.87</v>
      </c>
      <c r="AL336">
        <v>23.15</v>
      </c>
      <c r="AN336">
        <v>754.44</v>
      </c>
      <c r="AO336">
        <v>24.34</v>
      </c>
      <c r="AP336">
        <v>23.48</v>
      </c>
      <c r="AQ336">
        <v>32.99</v>
      </c>
      <c r="AR336" s="299"/>
      <c r="EL336">
        <v>1999</v>
      </c>
      <c r="EM336" t="s">
        <v>715</v>
      </c>
      <c r="EN336" t="s">
        <v>842</v>
      </c>
    </row>
    <row r="337" spans="16:144" x14ac:dyDescent="0.25">
      <c r="Q337" s="12">
        <v>2017</v>
      </c>
      <c r="R337" s="1" t="s">
        <v>799</v>
      </c>
      <c r="S337" s="284">
        <v>170.9</v>
      </c>
      <c r="T337" s="1">
        <v>5.7</v>
      </c>
      <c r="U337">
        <v>5.26</v>
      </c>
      <c r="V337" s="1">
        <v>8.9499999999999993</v>
      </c>
      <c r="X337" s="284">
        <v>532.83000000000004</v>
      </c>
      <c r="Y337" s="1">
        <v>17.760000000000002</v>
      </c>
      <c r="Z337" s="1">
        <v>17.87</v>
      </c>
      <c r="AA337">
        <v>25.8</v>
      </c>
      <c r="AB337" s="1">
        <v>703.73</v>
      </c>
      <c r="AC337" s="284">
        <v>23.46</v>
      </c>
      <c r="AD337" s="1">
        <v>23.57</v>
      </c>
      <c r="AE337" s="1">
        <v>34.75</v>
      </c>
      <c r="AG337">
        <v>2017</v>
      </c>
      <c r="AH337" s="299" t="s">
        <v>799</v>
      </c>
      <c r="AI337">
        <v>532.83000000000004</v>
      </c>
      <c r="AJ337">
        <v>17.760000000000002</v>
      </c>
      <c r="AK337">
        <v>17.87</v>
      </c>
      <c r="AL337">
        <v>25.8</v>
      </c>
      <c r="AN337">
        <v>703.73</v>
      </c>
      <c r="AO337">
        <v>23.46</v>
      </c>
      <c r="AP337">
        <v>23.57</v>
      </c>
      <c r="AQ337">
        <v>34.75</v>
      </c>
      <c r="AR337" s="299"/>
      <c r="EL337">
        <v>1999</v>
      </c>
      <c r="EM337" t="s">
        <v>718</v>
      </c>
      <c r="EN337" t="s">
        <v>842</v>
      </c>
    </row>
    <row r="338" spans="16:144" x14ac:dyDescent="0.25">
      <c r="Q338" s="12">
        <v>2017</v>
      </c>
      <c r="R338" s="1" t="s">
        <v>801</v>
      </c>
      <c r="S338" s="284">
        <v>165.32</v>
      </c>
      <c r="T338" s="1">
        <v>5.33</v>
      </c>
      <c r="U338">
        <v>5.34</v>
      </c>
      <c r="V338" s="1">
        <v>9.1</v>
      </c>
      <c r="X338" s="284">
        <v>532.83000000000004</v>
      </c>
      <c r="Y338" s="1">
        <v>17.190000000000001</v>
      </c>
      <c r="Z338" s="1">
        <v>17.809999999999999</v>
      </c>
      <c r="AA338">
        <v>25.8</v>
      </c>
      <c r="AB338" s="1">
        <v>698.15</v>
      </c>
      <c r="AC338" s="284">
        <v>22.52</v>
      </c>
      <c r="AD338" s="1">
        <v>23.15</v>
      </c>
      <c r="AE338" s="1">
        <v>34.9</v>
      </c>
      <c r="AG338">
        <v>2017</v>
      </c>
      <c r="AH338" s="299" t="s">
        <v>801</v>
      </c>
      <c r="AI338">
        <v>532.83000000000004</v>
      </c>
      <c r="AJ338">
        <v>17.190000000000001</v>
      </c>
      <c r="AK338">
        <v>17.809999999999999</v>
      </c>
      <c r="AL338">
        <v>25.8</v>
      </c>
      <c r="AN338">
        <v>698.15</v>
      </c>
      <c r="AO338">
        <v>22.52</v>
      </c>
      <c r="AP338">
        <v>23.15</v>
      </c>
      <c r="AQ338">
        <v>34.9</v>
      </c>
      <c r="AR338" s="299"/>
      <c r="EL338">
        <v>1999</v>
      </c>
      <c r="EM338" t="s">
        <v>716</v>
      </c>
      <c r="EN338" t="s">
        <v>842</v>
      </c>
    </row>
    <row r="339" spans="16:144" x14ac:dyDescent="0.25">
      <c r="EL339">
        <v>1999</v>
      </c>
      <c r="EM339" t="s">
        <v>708</v>
      </c>
      <c r="EN339" t="s">
        <v>842</v>
      </c>
    </row>
    <row r="340" spans="16:144" x14ac:dyDescent="0.25">
      <c r="EL340">
        <v>1999</v>
      </c>
      <c r="EM340" t="s">
        <v>709</v>
      </c>
      <c r="EN340" t="s">
        <v>842</v>
      </c>
    </row>
    <row r="341" spans="16:144" x14ac:dyDescent="0.25">
      <c r="P341" s="76">
        <v>2016</v>
      </c>
      <c r="Q341" s="76" t="s">
        <v>715</v>
      </c>
      <c r="S341" s="284">
        <v>198.93</v>
      </c>
      <c r="T341" s="1">
        <v>6.42</v>
      </c>
      <c r="U341" s="1">
        <v>5.64</v>
      </c>
      <c r="V341" s="1">
        <v>23.28</v>
      </c>
      <c r="W341" s="20" t="s">
        <v>779</v>
      </c>
      <c r="X341" s="284">
        <v>619.23</v>
      </c>
      <c r="Y341" s="1">
        <v>19.975161290322582</v>
      </c>
      <c r="Z341" s="1">
        <v>20.190000000000001</v>
      </c>
      <c r="AC341" s="284">
        <v>818.16000000000008</v>
      </c>
      <c r="AD341" s="1">
        <v>26.392258064516131</v>
      </c>
      <c r="AE341" s="1">
        <v>25.004354838709673</v>
      </c>
      <c r="AH341" s="313">
        <v>818.16</v>
      </c>
      <c r="AI341" s="224">
        <v>26.39</v>
      </c>
      <c r="AJ341" s="224">
        <v>25</v>
      </c>
      <c r="AK341" s="224">
        <v>51.32</v>
      </c>
      <c r="EL341">
        <v>1999</v>
      </c>
      <c r="EM341" t="s">
        <v>710</v>
      </c>
      <c r="EN341" t="s">
        <v>842</v>
      </c>
    </row>
    <row r="342" spans="16:144" x14ac:dyDescent="0.25">
      <c r="P342">
        <v>2016</v>
      </c>
      <c r="Q342" t="s">
        <v>718</v>
      </c>
      <c r="S342" s="284">
        <v>168.36</v>
      </c>
      <c r="T342" s="1">
        <v>5.61</v>
      </c>
      <c r="U342" s="1">
        <v>5.54</v>
      </c>
      <c r="V342" s="1">
        <v>8.84</v>
      </c>
      <c r="W342" s="20" t="s">
        <v>779</v>
      </c>
      <c r="X342" s="284">
        <v>591.84699999999998</v>
      </c>
      <c r="Y342" s="1">
        <v>19.728233333333332</v>
      </c>
      <c r="Z342" s="1">
        <v>20.864226644905273</v>
      </c>
      <c r="AC342" s="284">
        <v>760.20699999999999</v>
      </c>
      <c r="AD342" s="1">
        <v>25.340233333333334</v>
      </c>
      <c r="AE342" s="1">
        <v>24.953540949820791</v>
      </c>
      <c r="AH342" s="313">
        <v>760.21</v>
      </c>
      <c r="AI342" s="224">
        <v>25.34</v>
      </c>
      <c r="AJ342" s="224">
        <v>24.95</v>
      </c>
      <c r="AK342" s="224">
        <v>35.72</v>
      </c>
      <c r="EL342">
        <v>1999</v>
      </c>
      <c r="EM342" t="s">
        <v>711</v>
      </c>
      <c r="EN342" t="s">
        <v>842</v>
      </c>
    </row>
    <row r="343" spans="16:144" x14ac:dyDescent="0.25">
      <c r="P343">
        <v>2016</v>
      </c>
      <c r="Q343" t="s">
        <v>716</v>
      </c>
      <c r="S343" s="284">
        <v>161.08000000000001</v>
      </c>
      <c r="T343" s="1">
        <v>5.2</v>
      </c>
      <c r="U343" s="1">
        <v>5.42</v>
      </c>
      <c r="V343" s="1">
        <v>10.119999999999999</v>
      </c>
      <c r="W343" s="20" t="s">
        <v>779</v>
      </c>
      <c r="X343" s="284">
        <v>558.83399999999995</v>
      </c>
      <c r="Y343" s="1">
        <v>18.02690322580645</v>
      </c>
      <c r="Z343" s="1">
        <v>18.885000000000002</v>
      </c>
      <c r="AC343" s="284">
        <v>719.91399999999999</v>
      </c>
      <c r="AD343" s="1">
        <v>23.223032258064517</v>
      </c>
      <c r="AE343" s="1">
        <v>24.403793637992834</v>
      </c>
      <c r="AH343" s="313">
        <v>719.91</v>
      </c>
      <c r="AI343" s="224">
        <v>23.22</v>
      </c>
      <c r="AJ343" s="224">
        <v>24.4</v>
      </c>
      <c r="AK343" s="224">
        <v>49.28</v>
      </c>
      <c r="EL343">
        <v>1999</v>
      </c>
      <c r="EM343" t="s">
        <v>712</v>
      </c>
      <c r="EN343" t="s">
        <v>842</v>
      </c>
    </row>
    <row r="344" spans="16:144" x14ac:dyDescent="0.25">
      <c r="P344">
        <v>2016</v>
      </c>
      <c r="Q344" t="s">
        <v>708</v>
      </c>
      <c r="S344" s="284">
        <v>144.47999999999999</v>
      </c>
      <c r="T344" s="1">
        <v>4.66</v>
      </c>
      <c r="U344" s="1">
        <v>5.38</v>
      </c>
      <c r="V344" s="1">
        <v>8.58</v>
      </c>
      <c r="W344" s="20" t="s">
        <v>779</v>
      </c>
      <c r="X344" s="284">
        <v>576.71799999999996</v>
      </c>
      <c r="Y344" s="1">
        <v>18.6038064516129</v>
      </c>
      <c r="Z344" s="1">
        <v>20.268474711981565</v>
      </c>
      <c r="AC344" s="284">
        <v>721.19799999999998</v>
      </c>
      <c r="AD344" s="1">
        <v>23.264451612903226</v>
      </c>
      <c r="AE344" s="1">
        <v>24.389164605734766</v>
      </c>
      <c r="AH344" s="313">
        <v>721.2</v>
      </c>
      <c r="AI344" s="224">
        <v>23.26</v>
      </c>
      <c r="AJ344" s="224">
        <v>24.39</v>
      </c>
      <c r="AK344" s="224">
        <v>32.93</v>
      </c>
      <c r="EL344">
        <v>2000</v>
      </c>
      <c r="EM344" t="s">
        <v>719</v>
      </c>
      <c r="EN344" t="s">
        <v>842</v>
      </c>
    </row>
    <row r="345" spans="16:144" x14ac:dyDescent="0.25">
      <c r="P345">
        <v>2016</v>
      </c>
      <c r="Q345" t="s">
        <v>709</v>
      </c>
      <c r="S345" s="284">
        <v>135.33000000000001</v>
      </c>
      <c r="T345" s="1">
        <v>4.51</v>
      </c>
      <c r="U345" s="1">
        <v>5.4</v>
      </c>
      <c r="V345" s="1">
        <v>8.26</v>
      </c>
      <c r="W345" s="20" t="s">
        <v>779</v>
      </c>
      <c r="X345" s="284">
        <v>535.24800000000005</v>
      </c>
      <c r="Y345" s="1">
        <v>17.841600000000003</v>
      </c>
      <c r="Z345" s="1">
        <v>19.068000000000001</v>
      </c>
      <c r="AC345" s="284">
        <v>670.57800000000009</v>
      </c>
      <c r="AD345" s="1">
        <v>22.352600000000002</v>
      </c>
      <c r="AE345" s="1">
        <v>24.470214605734768</v>
      </c>
      <c r="AH345" s="313">
        <v>670.58</v>
      </c>
      <c r="AI345" s="224">
        <v>22.35</v>
      </c>
      <c r="AJ345" s="224">
        <v>24.47</v>
      </c>
      <c r="AK345" s="224">
        <v>41.34</v>
      </c>
      <c r="EL345">
        <v>2000</v>
      </c>
      <c r="EM345" t="s">
        <v>713</v>
      </c>
      <c r="EN345" t="s">
        <v>842</v>
      </c>
    </row>
    <row r="346" spans="16:144" x14ac:dyDescent="0.25">
      <c r="P346">
        <v>2016</v>
      </c>
      <c r="Q346" t="s">
        <v>710</v>
      </c>
      <c r="S346" s="284">
        <v>135.54</v>
      </c>
      <c r="T346" s="1">
        <v>4.37</v>
      </c>
      <c r="U346" s="1">
        <v>5.39</v>
      </c>
      <c r="V346" s="1">
        <v>6.78</v>
      </c>
      <c r="W346" s="20" t="s">
        <v>779</v>
      </c>
      <c r="X346" s="284">
        <v>553.89800000000002</v>
      </c>
      <c r="Y346" s="1">
        <v>17.867677419354841</v>
      </c>
      <c r="Z346" s="1">
        <v>5.3421924731182804</v>
      </c>
      <c r="AC346" s="284">
        <v>689.43799999999999</v>
      </c>
      <c r="AD346" s="1">
        <v>22.239935483870969</v>
      </c>
      <c r="AE346" s="1">
        <v>24.541042562724016</v>
      </c>
      <c r="AH346" s="313">
        <v>855.84</v>
      </c>
      <c r="AI346" s="224">
        <v>27.61</v>
      </c>
      <c r="AJ346" s="224">
        <v>27.15</v>
      </c>
      <c r="AK346" s="224">
        <v>34.69</v>
      </c>
      <c r="EL346">
        <v>2000</v>
      </c>
      <c r="EM346" t="s">
        <v>714</v>
      </c>
      <c r="EN346" t="s">
        <v>842</v>
      </c>
    </row>
    <row r="347" spans="16:144" x14ac:dyDescent="0.25">
      <c r="P347">
        <v>2016</v>
      </c>
      <c r="Q347" t="s">
        <v>711</v>
      </c>
      <c r="S347" s="284">
        <v>125.71</v>
      </c>
      <c r="T347" s="1">
        <v>4.1900000000000004</v>
      </c>
      <c r="U347" s="1">
        <v>5.36</v>
      </c>
      <c r="V347" s="1">
        <v>7.07</v>
      </c>
      <c r="W347" s="20" t="s">
        <v>779</v>
      </c>
      <c r="X347" s="284">
        <v>503.52199999999999</v>
      </c>
      <c r="Y347" s="1">
        <v>16.784066666666668</v>
      </c>
      <c r="Z347" s="1">
        <v>18.966999999999999</v>
      </c>
      <c r="AC347" s="284">
        <v>629.23199999999997</v>
      </c>
      <c r="AD347" s="1">
        <v>20.974399999999999</v>
      </c>
      <c r="AE347" s="1">
        <v>24.583909229390684</v>
      </c>
      <c r="AH347" s="313">
        <v>629.23</v>
      </c>
      <c r="AI347" s="224">
        <v>20.97</v>
      </c>
      <c r="AJ347" s="224">
        <v>25.03</v>
      </c>
      <c r="AK347" s="224">
        <v>31.79</v>
      </c>
      <c r="EL347">
        <v>2000</v>
      </c>
      <c r="EM347" t="s">
        <v>705</v>
      </c>
      <c r="EN347" t="s">
        <v>842</v>
      </c>
    </row>
    <row r="348" spans="16:144" x14ac:dyDescent="0.25">
      <c r="P348">
        <v>2016</v>
      </c>
      <c r="Q348" t="s">
        <v>712</v>
      </c>
      <c r="S348" s="284">
        <v>120.04</v>
      </c>
      <c r="T348" s="1">
        <v>3.87</v>
      </c>
      <c r="U348" s="1">
        <v>5.27</v>
      </c>
      <c r="V348" s="1">
        <v>7.13</v>
      </c>
      <c r="W348" s="20" t="s">
        <v>779</v>
      </c>
      <c r="X348" s="284">
        <v>520.64700000000005</v>
      </c>
      <c r="Y348" s="1">
        <v>16.795064516129035</v>
      </c>
      <c r="Z348" s="1">
        <v>19.432749884792624</v>
      </c>
      <c r="AC348" s="284">
        <v>640.68700000000001</v>
      </c>
      <c r="AD348" s="1">
        <v>20.667322580645163</v>
      </c>
      <c r="AE348" s="1">
        <v>24.318686111111116</v>
      </c>
      <c r="AH348" s="313">
        <v>640.69000000000005</v>
      </c>
      <c r="AI348" s="224">
        <v>20.67</v>
      </c>
      <c r="AJ348" s="224">
        <v>24.77</v>
      </c>
      <c r="AK348" s="224">
        <v>31.05</v>
      </c>
      <c r="EL348">
        <v>2000</v>
      </c>
      <c r="EM348" t="s">
        <v>715</v>
      </c>
      <c r="EN348" t="s">
        <v>842</v>
      </c>
    </row>
    <row r="349" spans="16:144" x14ac:dyDescent="0.25">
      <c r="P349">
        <v>2017</v>
      </c>
      <c r="Q349" t="s">
        <v>719</v>
      </c>
      <c r="S349" s="284">
        <v>158.59</v>
      </c>
      <c r="T349" s="1">
        <v>5.12</v>
      </c>
      <c r="U349" s="1">
        <v>5.23</v>
      </c>
      <c r="V349" s="1">
        <v>8.3000000000000007</v>
      </c>
      <c r="W349" s="20" t="s">
        <v>779</v>
      </c>
      <c r="X349" s="284">
        <v>559.29</v>
      </c>
      <c r="Y349" s="1">
        <v>18.041612903225804</v>
      </c>
      <c r="Z349" s="1">
        <v>19.432749884792624</v>
      </c>
      <c r="AC349" s="284">
        <v>717.88</v>
      </c>
      <c r="AD349" s="1">
        <v>23.157419354838709</v>
      </c>
      <c r="AE349" s="1">
        <v>24.02763772401433</v>
      </c>
      <c r="AH349" s="313">
        <v>717.88</v>
      </c>
      <c r="AI349" s="224">
        <v>23.16</v>
      </c>
      <c r="AJ349" s="224">
        <v>24.47</v>
      </c>
      <c r="AK349" s="224">
        <v>32.22</v>
      </c>
      <c r="EL349">
        <v>2000</v>
      </c>
      <c r="EM349" t="s">
        <v>718</v>
      </c>
      <c r="EN349" t="s">
        <v>842</v>
      </c>
    </row>
    <row r="350" spans="16:144" x14ac:dyDescent="0.25">
      <c r="P350">
        <v>2017</v>
      </c>
      <c r="Q350" t="s">
        <v>713</v>
      </c>
      <c r="S350" s="284">
        <v>138.74</v>
      </c>
      <c r="T350" s="1">
        <v>4.96</v>
      </c>
      <c r="U350" s="1">
        <v>5.04</v>
      </c>
      <c r="V350" s="1">
        <v>7.47</v>
      </c>
      <c r="W350" s="20" t="s">
        <v>779</v>
      </c>
      <c r="X350" s="284">
        <v>520.64700000000005</v>
      </c>
      <c r="Y350" s="1">
        <v>18.594535714285715</v>
      </c>
      <c r="Z350" s="1">
        <v>19.881110099846392</v>
      </c>
      <c r="AC350" s="284">
        <v>659.38700000000006</v>
      </c>
      <c r="AD350" s="1">
        <v>23.549535714285717</v>
      </c>
      <c r="AE350" s="1">
        <v>23.404265700204807</v>
      </c>
      <c r="AH350" s="313">
        <v>659.39</v>
      </c>
      <c r="AI350" s="224">
        <v>23.55</v>
      </c>
      <c r="AJ350" s="224">
        <v>23.85</v>
      </c>
      <c r="AK350" s="224">
        <v>31.39</v>
      </c>
      <c r="EL350">
        <v>2000</v>
      </c>
      <c r="EM350" t="s">
        <v>716</v>
      </c>
      <c r="EN350" t="s">
        <v>842</v>
      </c>
    </row>
    <row r="351" spans="16:144" x14ac:dyDescent="0.25">
      <c r="P351">
        <v>2017</v>
      </c>
      <c r="Q351" t="s">
        <v>714</v>
      </c>
      <c r="S351" s="284">
        <v>160.78</v>
      </c>
      <c r="T351" s="1">
        <v>5.19</v>
      </c>
      <c r="U351" s="1">
        <v>4.9800000000000004</v>
      </c>
      <c r="V351" s="1">
        <v>9.4700000000000006</v>
      </c>
      <c r="W351" s="20" t="s">
        <v>779</v>
      </c>
      <c r="X351" s="284">
        <v>559.29</v>
      </c>
      <c r="Y351" s="1">
        <v>18.041612903225804</v>
      </c>
      <c r="Z351" s="1">
        <v>19.881110099846392</v>
      </c>
      <c r="AC351" s="284">
        <v>720.06999999999994</v>
      </c>
      <c r="AD351" s="1">
        <v>23.228064516129031</v>
      </c>
      <c r="AE351" s="1">
        <v>23.174937743215569</v>
      </c>
      <c r="AH351" s="313">
        <v>720.07</v>
      </c>
      <c r="AI351" s="224">
        <v>23.23</v>
      </c>
      <c r="AJ351" s="224">
        <v>23.62</v>
      </c>
      <c r="AK351" s="224">
        <v>33.39</v>
      </c>
      <c r="EL351">
        <v>2000</v>
      </c>
      <c r="EM351" t="s">
        <v>708</v>
      </c>
      <c r="EN351" t="s">
        <v>842</v>
      </c>
    </row>
    <row r="352" spans="16:144" x14ac:dyDescent="0.25">
      <c r="P352">
        <v>2017</v>
      </c>
      <c r="Q352" s="95" t="s">
        <v>705</v>
      </c>
      <c r="S352" s="284">
        <v>170.47</v>
      </c>
      <c r="T352" s="1">
        <v>5.68</v>
      </c>
      <c r="U352" s="1">
        <v>4.9800000000000004</v>
      </c>
      <c r="V352" s="1">
        <v>10.35</v>
      </c>
      <c r="W352" s="20" t="s">
        <v>779</v>
      </c>
      <c r="X352" s="284">
        <v>559.29</v>
      </c>
      <c r="Y352" s="1">
        <v>18.642999999999997</v>
      </c>
      <c r="Z352" s="1">
        <v>19.432749884792624</v>
      </c>
      <c r="AC352" s="284">
        <v>729.76</v>
      </c>
      <c r="AD352" s="1">
        <v>24.325333333333333</v>
      </c>
      <c r="AE352" s="1">
        <v>23.226215520993346</v>
      </c>
      <c r="AH352" s="313">
        <v>729.76</v>
      </c>
      <c r="AI352" s="224">
        <v>24.33</v>
      </c>
      <c r="AJ352" s="224">
        <v>23.67</v>
      </c>
      <c r="AK352" s="224">
        <v>34.270000000000003</v>
      </c>
      <c r="EL352">
        <v>2000</v>
      </c>
      <c r="EM352" t="s">
        <v>709</v>
      </c>
      <c r="EN352" t="s">
        <v>842</v>
      </c>
    </row>
    <row r="353" spans="16:144" x14ac:dyDescent="0.25">
      <c r="P353">
        <v>2017</v>
      </c>
      <c r="Q353" t="s">
        <v>715</v>
      </c>
      <c r="S353" s="284">
        <v>192.61</v>
      </c>
      <c r="T353" s="1">
        <v>6.21</v>
      </c>
      <c r="U353" s="1">
        <v>4.96</v>
      </c>
      <c r="V353" s="1">
        <v>13.98</v>
      </c>
      <c r="W353" s="20" t="s">
        <v>779</v>
      </c>
      <c r="X353" s="284">
        <v>563.86099999999999</v>
      </c>
      <c r="Y353" s="1">
        <v>18.189064516129033</v>
      </c>
      <c r="Z353" s="1">
        <v>18.614999999999998</v>
      </c>
      <c r="AC353" s="284">
        <v>756.471</v>
      </c>
      <c r="AD353" s="1">
        <v>24.402290322580644</v>
      </c>
      <c r="AE353" s="1">
        <v>23.060384875832053</v>
      </c>
      <c r="AH353" s="313">
        <v>756.47</v>
      </c>
      <c r="AI353" s="224">
        <v>24.4</v>
      </c>
      <c r="AJ353" s="224">
        <v>23.51</v>
      </c>
      <c r="AK353" s="224">
        <v>39.880000000000003</v>
      </c>
      <c r="EL353">
        <v>2000</v>
      </c>
      <c r="EM353" t="s">
        <v>710</v>
      </c>
      <c r="EN353" t="s">
        <v>842</v>
      </c>
    </row>
    <row r="354" spans="16:144" x14ac:dyDescent="0.25">
      <c r="P354">
        <v>2017</v>
      </c>
      <c r="Q354" t="s">
        <v>718</v>
      </c>
      <c r="S354" s="284">
        <v>173.26</v>
      </c>
      <c r="T354" s="1">
        <v>5.78</v>
      </c>
      <c r="U354" s="1">
        <v>4.9800000000000004</v>
      </c>
      <c r="V354" s="1">
        <v>8.3000000000000007</v>
      </c>
      <c r="W354" s="20" t="s">
        <v>779</v>
      </c>
      <c r="X354" s="284">
        <v>520.64700000000005</v>
      </c>
      <c r="Y354" s="1">
        <v>17.354900000000001</v>
      </c>
      <c r="Z354" s="1">
        <v>19.881110099846392</v>
      </c>
      <c r="AC354" s="284">
        <v>693.90700000000004</v>
      </c>
      <c r="AD354" s="1">
        <v>23.130233333333333</v>
      </c>
      <c r="AE354" s="1">
        <v>22.876218209165387</v>
      </c>
      <c r="AH354" s="313">
        <v>693.91</v>
      </c>
      <c r="AI354" s="224">
        <v>23.13</v>
      </c>
      <c r="AJ354" s="224">
        <v>23.32</v>
      </c>
      <c r="AK354" s="224">
        <v>32.22</v>
      </c>
      <c r="EL354">
        <v>2000</v>
      </c>
      <c r="EM354" t="s">
        <v>711</v>
      </c>
      <c r="EN354" t="s">
        <v>842</v>
      </c>
    </row>
    <row r="355" spans="16:144" x14ac:dyDescent="0.25">
      <c r="P355">
        <v>2017</v>
      </c>
      <c r="Q355" t="s">
        <v>716</v>
      </c>
      <c r="S355" s="284">
        <v>189.27</v>
      </c>
      <c r="T355" s="1">
        <v>6.11</v>
      </c>
      <c r="U355" s="1">
        <v>5.05</v>
      </c>
      <c r="V355" s="1">
        <v>20.25</v>
      </c>
      <c r="W355" s="20" t="s">
        <v>779</v>
      </c>
      <c r="X355" s="284">
        <v>555.17700000000002</v>
      </c>
      <c r="Y355" s="1">
        <v>17.90893548387097</v>
      </c>
      <c r="Z355" s="1">
        <v>20.259869873271889</v>
      </c>
      <c r="AC355" s="284">
        <v>744.447</v>
      </c>
      <c r="AD355" s="1">
        <v>24.014419354838711</v>
      </c>
      <c r="AE355" s="1">
        <v>22.942167133896572</v>
      </c>
      <c r="AH355" s="313">
        <v>744.45</v>
      </c>
      <c r="AI355" s="224">
        <v>24.01</v>
      </c>
      <c r="AJ355" s="224">
        <v>23.39</v>
      </c>
      <c r="AK355" s="224">
        <v>48.31</v>
      </c>
      <c r="EL355">
        <v>2000</v>
      </c>
      <c r="EM355" t="s">
        <v>712</v>
      </c>
      <c r="EN355" t="s">
        <v>842</v>
      </c>
    </row>
    <row r="356" spans="16:144" x14ac:dyDescent="0.25">
      <c r="P356">
        <v>2017</v>
      </c>
      <c r="Q356" s="101" t="s">
        <v>708</v>
      </c>
      <c r="S356" s="284">
        <v>182.96</v>
      </c>
      <c r="T356" s="1">
        <v>5.9</v>
      </c>
      <c r="U356" s="1">
        <v>5.16</v>
      </c>
      <c r="V356" s="1">
        <v>9.84</v>
      </c>
      <c r="W356" s="20" t="s">
        <v>779</v>
      </c>
      <c r="X356" s="284">
        <v>571.48299999999995</v>
      </c>
      <c r="Y356" s="1">
        <v>18.434935483870966</v>
      </c>
      <c r="Z356" s="1">
        <v>21.142235279057861</v>
      </c>
      <c r="AC356" s="284">
        <v>754.44299999999998</v>
      </c>
      <c r="AD356" s="1">
        <v>24.336870967741934</v>
      </c>
      <c r="AE356" s="1">
        <v>23.031535413466461</v>
      </c>
      <c r="AH356" s="313">
        <v>754.44</v>
      </c>
      <c r="AI356" s="224">
        <v>24.34</v>
      </c>
      <c r="AJ356" s="224">
        <v>23.48</v>
      </c>
      <c r="AK356" s="224">
        <v>32.99</v>
      </c>
      <c r="EL356">
        <v>2001</v>
      </c>
      <c r="EM356" t="s">
        <v>719</v>
      </c>
      <c r="EN356" t="s">
        <v>842</v>
      </c>
    </row>
    <row r="357" spans="16:144" x14ac:dyDescent="0.25">
      <c r="P357">
        <v>2017</v>
      </c>
      <c r="Q357" t="s">
        <v>709</v>
      </c>
      <c r="S357" s="284">
        <v>170.9</v>
      </c>
      <c r="T357" s="1">
        <v>5.7</v>
      </c>
      <c r="U357" s="1">
        <v>5.26</v>
      </c>
      <c r="V357" s="1">
        <v>8.9499999999999993</v>
      </c>
      <c r="W357" s="20" t="s">
        <v>779</v>
      </c>
      <c r="X357" s="284">
        <v>532.83299999999997</v>
      </c>
      <c r="Y357" s="1">
        <v>17.761099999999999</v>
      </c>
      <c r="Z357" s="1">
        <v>20.165240655401945</v>
      </c>
      <c r="AC357" s="284">
        <v>703.73299999999995</v>
      </c>
      <c r="AD357" s="1">
        <v>23.457766666666664</v>
      </c>
      <c r="AE357" s="1">
        <v>23.123632635688683</v>
      </c>
      <c r="AH357" s="313">
        <v>703.73</v>
      </c>
      <c r="AI357" s="224">
        <v>23.46</v>
      </c>
      <c r="AJ357" s="224">
        <v>23.57</v>
      </c>
      <c r="AK357" s="224">
        <v>34.75</v>
      </c>
      <c r="EL357">
        <v>2001</v>
      </c>
      <c r="EM357" t="s">
        <v>713</v>
      </c>
      <c r="EN357" t="s">
        <v>842</v>
      </c>
    </row>
    <row r="358" spans="16:144" x14ac:dyDescent="0.25">
      <c r="P358" s="76">
        <v>2017</v>
      </c>
      <c r="Q358" s="76" t="s">
        <v>710</v>
      </c>
      <c r="S358" s="284">
        <v>165.32</v>
      </c>
      <c r="T358" s="1">
        <v>5.33</v>
      </c>
      <c r="U358" s="1">
        <v>5.34</v>
      </c>
      <c r="V358" s="1">
        <v>9.1</v>
      </c>
      <c r="W358" s="20" t="s">
        <v>779</v>
      </c>
      <c r="X358" s="284">
        <v>532.83299999999997</v>
      </c>
      <c r="Y358" s="1">
        <v>17.188161290322579</v>
      </c>
      <c r="Z358" s="1">
        <v>20.165240655401945</v>
      </c>
      <c r="AC358" s="284">
        <v>698.15300000000002</v>
      </c>
      <c r="AD358" s="1">
        <v>22.521064516129034</v>
      </c>
      <c r="AE358" s="1">
        <v>23.147060055043525</v>
      </c>
      <c r="AH358" s="313">
        <v>698.15</v>
      </c>
      <c r="AI358" s="224">
        <v>22.52</v>
      </c>
      <c r="AJ358" s="224">
        <v>23.15</v>
      </c>
      <c r="AK358" s="224">
        <v>34.9</v>
      </c>
      <c r="EL358">
        <v>2001</v>
      </c>
      <c r="EM358" t="s">
        <v>714</v>
      </c>
      <c r="EN358" t="s">
        <v>842</v>
      </c>
    </row>
    <row r="359" spans="16:144" x14ac:dyDescent="0.25">
      <c r="EL359">
        <v>2001</v>
      </c>
      <c r="EM359" t="s">
        <v>705</v>
      </c>
      <c r="EN359" t="s">
        <v>842</v>
      </c>
    </row>
    <row r="360" spans="16:144" x14ac:dyDescent="0.25">
      <c r="EL360">
        <v>2001</v>
      </c>
      <c r="EM360" t="s">
        <v>715</v>
      </c>
      <c r="EN360" t="s">
        <v>842</v>
      </c>
    </row>
    <row r="361" spans="16:144" x14ac:dyDescent="0.25">
      <c r="EL361">
        <v>2001</v>
      </c>
      <c r="EM361" t="s">
        <v>718</v>
      </c>
      <c r="EN361" t="s">
        <v>842</v>
      </c>
    </row>
    <row r="362" spans="16:144" x14ac:dyDescent="0.25">
      <c r="EL362">
        <v>2001</v>
      </c>
      <c r="EM362" t="s">
        <v>716</v>
      </c>
      <c r="EN362" t="s">
        <v>842</v>
      </c>
    </row>
    <row r="363" spans="16:144" x14ac:dyDescent="0.25">
      <c r="EL363">
        <v>2001</v>
      </c>
      <c r="EM363" t="s">
        <v>708</v>
      </c>
      <c r="EN363" t="s">
        <v>842</v>
      </c>
    </row>
    <row r="364" spans="16:144" x14ac:dyDescent="0.25">
      <c r="EL364">
        <v>2001</v>
      </c>
      <c r="EM364" t="s">
        <v>709</v>
      </c>
      <c r="EN364" t="s">
        <v>842</v>
      </c>
    </row>
    <row r="365" spans="16:144" x14ac:dyDescent="0.25">
      <c r="EL365">
        <v>2001</v>
      </c>
      <c r="EM365" t="s">
        <v>710</v>
      </c>
      <c r="EN365" t="s">
        <v>842</v>
      </c>
    </row>
    <row r="366" spans="16:144" x14ac:dyDescent="0.25">
      <c r="EL366">
        <v>2001</v>
      </c>
      <c r="EM366" t="s">
        <v>711</v>
      </c>
      <c r="EN366" t="s">
        <v>842</v>
      </c>
    </row>
    <row r="367" spans="16:144" x14ac:dyDescent="0.25">
      <c r="EL367">
        <v>2001</v>
      </c>
      <c r="EM367" t="s">
        <v>712</v>
      </c>
      <c r="EN367" t="s">
        <v>842</v>
      </c>
    </row>
    <row r="368" spans="16:144" x14ac:dyDescent="0.25">
      <c r="EL368">
        <v>2002</v>
      </c>
      <c r="EM368" t="s">
        <v>719</v>
      </c>
      <c r="EN368" t="s">
        <v>842</v>
      </c>
    </row>
    <row r="369" spans="142:144" x14ac:dyDescent="0.25">
      <c r="EL369">
        <v>2002</v>
      </c>
      <c r="EM369" t="s">
        <v>713</v>
      </c>
      <c r="EN369" t="s">
        <v>842</v>
      </c>
    </row>
    <row r="370" spans="142:144" x14ac:dyDescent="0.25">
      <c r="EL370">
        <v>2002</v>
      </c>
      <c r="EM370" t="s">
        <v>714</v>
      </c>
      <c r="EN370" t="s">
        <v>842</v>
      </c>
    </row>
    <row r="371" spans="142:144" x14ac:dyDescent="0.25">
      <c r="EL371">
        <v>2002</v>
      </c>
      <c r="EM371" t="s">
        <v>705</v>
      </c>
      <c r="EN371" t="s">
        <v>842</v>
      </c>
    </row>
    <row r="372" spans="142:144" x14ac:dyDescent="0.25">
      <c r="EL372">
        <v>2002</v>
      </c>
      <c r="EM372" t="s">
        <v>715</v>
      </c>
      <c r="EN372" t="s">
        <v>842</v>
      </c>
    </row>
    <row r="373" spans="142:144" x14ac:dyDescent="0.25">
      <c r="EL373">
        <v>2002</v>
      </c>
      <c r="EM373" t="s">
        <v>718</v>
      </c>
      <c r="EN373" t="s">
        <v>842</v>
      </c>
    </row>
    <row r="374" spans="142:144" x14ac:dyDescent="0.25">
      <c r="EL374">
        <v>2002</v>
      </c>
      <c r="EM374" t="s">
        <v>716</v>
      </c>
      <c r="EN374" t="s">
        <v>842</v>
      </c>
    </row>
    <row r="375" spans="142:144" x14ac:dyDescent="0.25">
      <c r="EL375">
        <v>2002</v>
      </c>
      <c r="EM375" t="s">
        <v>708</v>
      </c>
      <c r="EN375" t="s">
        <v>842</v>
      </c>
    </row>
    <row r="376" spans="142:144" x14ac:dyDescent="0.25">
      <c r="EL376">
        <v>2002</v>
      </c>
      <c r="EM376" t="s">
        <v>709</v>
      </c>
      <c r="EN376" t="s">
        <v>842</v>
      </c>
    </row>
    <row r="377" spans="142:144" x14ac:dyDescent="0.25">
      <c r="EL377">
        <v>2002</v>
      </c>
      <c r="EM377" t="s">
        <v>710</v>
      </c>
      <c r="EN377" t="s">
        <v>842</v>
      </c>
    </row>
    <row r="378" spans="142:144" x14ac:dyDescent="0.25">
      <c r="EL378">
        <v>2002</v>
      </c>
      <c r="EM378" t="s">
        <v>711</v>
      </c>
      <c r="EN378" t="s">
        <v>842</v>
      </c>
    </row>
    <row r="379" spans="142:144" x14ac:dyDescent="0.25">
      <c r="EL379">
        <v>2002</v>
      </c>
      <c r="EM379" t="s">
        <v>712</v>
      </c>
      <c r="EN379" t="s">
        <v>842</v>
      </c>
    </row>
    <row r="380" spans="142:144" x14ac:dyDescent="0.25">
      <c r="EL380">
        <v>2003</v>
      </c>
      <c r="EM380" t="s">
        <v>719</v>
      </c>
      <c r="EN380" t="s">
        <v>842</v>
      </c>
    </row>
    <row r="381" spans="142:144" x14ac:dyDescent="0.25">
      <c r="EL381">
        <v>2003</v>
      </c>
      <c r="EM381" t="s">
        <v>713</v>
      </c>
      <c r="EN381" t="s">
        <v>842</v>
      </c>
    </row>
    <row r="382" spans="142:144" x14ac:dyDescent="0.25">
      <c r="EL382">
        <v>2003</v>
      </c>
      <c r="EM382" t="s">
        <v>714</v>
      </c>
      <c r="EN382" t="s">
        <v>842</v>
      </c>
    </row>
    <row r="383" spans="142:144" x14ac:dyDescent="0.25">
      <c r="EL383">
        <v>2003</v>
      </c>
      <c r="EM383" t="s">
        <v>705</v>
      </c>
      <c r="EN383" t="s">
        <v>842</v>
      </c>
    </row>
    <row r="384" spans="142:144" x14ac:dyDescent="0.25">
      <c r="EL384">
        <v>2003</v>
      </c>
      <c r="EM384" t="s">
        <v>715</v>
      </c>
      <c r="EN384" t="s">
        <v>842</v>
      </c>
    </row>
    <row r="385" spans="142:144" x14ac:dyDescent="0.25">
      <c r="EL385">
        <v>2003</v>
      </c>
      <c r="EM385" t="s">
        <v>718</v>
      </c>
      <c r="EN385" t="s">
        <v>842</v>
      </c>
    </row>
    <row r="386" spans="142:144" x14ac:dyDescent="0.25">
      <c r="EL386">
        <v>2003</v>
      </c>
      <c r="EM386" t="s">
        <v>716</v>
      </c>
      <c r="EN386" t="s">
        <v>842</v>
      </c>
    </row>
    <row r="387" spans="142:144" x14ac:dyDescent="0.25">
      <c r="EL387">
        <v>2003</v>
      </c>
      <c r="EM387" t="s">
        <v>708</v>
      </c>
      <c r="EN387" t="s">
        <v>842</v>
      </c>
    </row>
    <row r="388" spans="142:144" x14ac:dyDescent="0.25">
      <c r="EL388">
        <v>2003</v>
      </c>
      <c r="EM388" t="s">
        <v>709</v>
      </c>
      <c r="EN388" t="s">
        <v>842</v>
      </c>
    </row>
    <row r="389" spans="142:144" x14ac:dyDescent="0.25">
      <c r="EL389">
        <v>2003</v>
      </c>
      <c r="EM389" t="s">
        <v>710</v>
      </c>
      <c r="EN389" t="s">
        <v>842</v>
      </c>
    </row>
    <row r="390" spans="142:144" x14ac:dyDescent="0.25">
      <c r="EL390">
        <v>2003</v>
      </c>
      <c r="EM390" t="s">
        <v>711</v>
      </c>
      <c r="EN390" t="s">
        <v>842</v>
      </c>
    </row>
    <row r="391" spans="142:144" x14ac:dyDescent="0.25">
      <c r="EL391">
        <v>2003</v>
      </c>
      <c r="EM391" t="s">
        <v>712</v>
      </c>
      <c r="EN391" t="s">
        <v>842</v>
      </c>
    </row>
    <row r="392" spans="142:144" x14ac:dyDescent="0.25">
      <c r="EL392">
        <v>2004</v>
      </c>
      <c r="EM392" t="s">
        <v>719</v>
      </c>
      <c r="EN392" t="s">
        <v>842</v>
      </c>
    </row>
    <row r="393" spans="142:144" x14ac:dyDescent="0.25">
      <c r="EL393">
        <v>2004</v>
      </c>
      <c r="EM393" t="s">
        <v>713</v>
      </c>
      <c r="EN393" t="s">
        <v>842</v>
      </c>
    </row>
    <row r="394" spans="142:144" x14ac:dyDescent="0.25">
      <c r="EL394">
        <v>2004</v>
      </c>
      <c r="EM394" t="s">
        <v>714</v>
      </c>
      <c r="EN394" t="s">
        <v>842</v>
      </c>
    </row>
    <row r="395" spans="142:144" x14ac:dyDescent="0.25">
      <c r="EL395">
        <v>2004</v>
      </c>
      <c r="EM395" t="s">
        <v>705</v>
      </c>
      <c r="EN395" t="s">
        <v>842</v>
      </c>
    </row>
    <row r="396" spans="142:144" x14ac:dyDescent="0.25">
      <c r="EL396">
        <v>2004</v>
      </c>
      <c r="EM396" t="s">
        <v>715</v>
      </c>
      <c r="EN396" t="s">
        <v>842</v>
      </c>
    </row>
    <row r="397" spans="142:144" x14ac:dyDescent="0.25">
      <c r="EL397">
        <v>2004</v>
      </c>
      <c r="EM397" t="s">
        <v>718</v>
      </c>
      <c r="EN397" t="s">
        <v>842</v>
      </c>
    </row>
    <row r="398" spans="142:144" x14ac:dyDescent="0.25">
      <c r="EL398">
        <v>2004</v>
      </c>
      <c r="EM398" t="s">
        <v>716</v>
      </c>
      <c r="EN398" t="s">
        <v>842</v>
      </c>
    </row>
    <row r="399" spans="142:144" x14ac:dyDescent="0.25">
      <c r="EL399">
        <v>2004</v>
      </c>
      <c r="EM399" t="s">
        <v>708</v>
      </c>
      <c r="EN399" t="s">
        <v>842</v>
      </c>
    </row>
    <row r="400" spans="142:144" x14ac:dyDescent="0.25">
      <c r="EL400">
        <v>2004</v>
      </c>
      <c r="EM400" t="s">
        <v>709</v>
      </c>
      <c r="EN400" t="s">
        <v>842</v>
      </c>
    </row>
    <row r="401" spans="142:144" x14ac:dyDescent="0.25">
      <c r="EL401">
        <v>2004</v>
      </c>
      <c r="EM401" t="s">
        <v>710</v>
      </c>
      <c r="EN401" t="s">
        <v>842</v>
      </c>
    </row>
    <row r="402" spans="142:144" x14ac:dyDescent="0.25">
      <c r="EL402">
        <v>2004</v>
      </c>
      <c r="EM402" t="s">
        <v>711</v>
      </c>
      <c r="EN402" t="s">
        <v>842</v>
      </c>
    </row>
    <row r="403" spans="142:144" x14ac:dyDescent="0.25">
      <c r="EL403">
        <v>2004</v>
      </c>
      <c r="EM403" t="s">
        <v>712</v>
      </c>
      <c r="EN403" t="s">
        <v>842</v>
      </c>
    </row>
    <row r="404" spans="142:144" x14ac:dyDescent="0.25">
      <c r="EL404">
        <v>2005</v>
      </c>
      <c r="EM404" t="s">
        <v>719</v>
      </c>
      <c r="EN404" t="s">
        <v>842</v>
      </c>
    </row>
    <row r="405" spans="142:144" x14ac:dyDescent="0.25">
      <c r="EL405">
        <v>2005</v>
      </c>
      <c r="EM405" t="s">
        <v>713</v>
      </c>
      <c r="EN405" t="s">
        <v>842</v>
      </c>
    </row>
    <row r="406" spans="142:144" x14ac:dyDescent="0.25">
      <c r="EL406">
        <v>2005</v>
      </c>
      <c r="EM406" t="s">
        <v>714</v>
      </c>
      <c r="EN406" t="s">
        <v>842</v>
      </c>
    </row>
    <row r="407" spans="142:144" x14ac:dyDescent="0.25">
      <c r="EL407">
        <v>2005</v>
      </c>
      <c r="EM407" t="s">
        <v>705</v>
      </c>
      <c r="EN407" t="s">
        <v>842</v>
      </c>
    </row>
    <row r="408" spans="142:144" x14ac:dyDescent="0.25">
      <c r="EL408">
        <v>2005</v>
      </c>
      <c r="EM408" t="s">
        <v>715</v>
      </c>
      <c r="EN408" t="s">
        <v>842</v>
      </c>
    </row>
    <row r="409" spans="142:144" x14ac:dyDescent="0.25">
      <c r="EL409">
        <v>2005</v>
      </c>
      <c r="EM409" t="s">
        <v>718</v>
      </c>
      <c r="EN409" t="s">
        <v>842</v>
      </c>
    </row>
    <row r="410" spans="142:144" x14ac:dyDescent="0.25">
      <c r="EL410">
        <v>2005</v>
      </c>
      <c r="EM410" t="s">
        <v>716</v>
      </c>
      <c r="EN410" t="s">
        <v>842</v>
      </c>
    </row>
    <row r="411" spans="142:144" x14ac:dyDescent="0.25">
      <c r="EL411">
        <v>2005</v>
      </c>
      <c r="EM411" t="s">
        <v>708</v>
      </c>
      <c r="EN411" t="s">
        <v>842</v>
      </c>
    </row>
    <row r="412" spans="142:144" x14ac:dyDescent="0.25">
      <c r="EL412">
        <v>2005</v>
      </c>
      <c r="EM412" t="s">
        <v>709</v>
      </c>
      <c r="EN412" t="s">
        <v>842</v>
      </c>
    </row>
    <row r="413" spans="142:144" x14ac:dyDescent="0.25">
      <c r="EL413">
        <v>2005</v>
      </c>
      <c r="EM413" t="s">
        <v>710</v>
      </c>
      <c r="EN413" t="s">
        <v>842</v>
      </c>
    </row>
    <row r="414" spans="142:144" x14ac:dyDescent="0.25">
      <c r="EL414">
        <v>2005</v>
      </c>
      <c r="EM414" t="s">
        <v>711</v>
      </c>
      <c r="EN414" t="s">
        <v>842</v>
      </c>
    </row>
    <row r="415" spans="142:144" x14ac:dyDescent="0.25">
      <c r="EL415">
        <v>2005</v>
      </c>
      <c r="EM415" t="s">
        <v>712</v>
      </c>
      <c r="EN415" t="s">
        <v>842</v>
      </c>
    </row>
    <row r="416" spans="142:144" x14ac:dyDescent="0.25">
      <c r="EL416">
        <v>2006</v>
      </c>
      <c r="EM416" t="s">
        <v>719</v>
      </c>
      <c r="EN416" t="s">
        <v>842</v>
      </c>
    </row>
    <row r="417" spans="142:144" x14ac:dyDescent="0.25">
      <c r="EL417">
        <v>2006</v>
      </c>
      <c r="EM417" t="s">
        <v>713</v>
      </c>
      <c r="EN417" t="s">
        <v>842</v>
      </c>
    </row>
    <row r="418" spans="142:144" x14ac:dyDescent="0.25">
      <c r="EL418">
        <v>2006</v>
      </c>
      <c r="EM418" t="s">
        <v>714</v>
      </c>
      <c r="EN418" t="s">
        <v>842</v>
      </c>
    </row>
    <row r="419" spans="142:144" x14ac:dyDescent="0.25">
      <c r="EL419">
        <v>2006</v>
      </c>
      <c r="EM419" t="s">
        <v>705</v>
      </c>
      <c r="EN419" t="s">
        <v>842</v>
      </c>
    </row>
    <row r="420" spans="142:144" x14ac:dyDescent="0.25">
      <c r="EL420">
        <v>2006</v>
      </c>
      <c r="EM420" t="s">
        <v>715</v>
      </c>
      <c r="EN420" t="s">
        <v>842</v>
      </c>
    </row>
    <row r="421" spans="142:144" x14ac:dyDescent="0.25">
      <c r="EL421">
        <v>2006</v>
      </c>
      <c r="EM421" t="s">
        <v>718</v>
      </c>
      <c r="EN421" t="s">
        <v>842</v>
      </c>
    </row>
    <row r="422" spans="142:144" x14ac:dyDescent="0.25">
      <c r="EL422">
        <v>2006</v>
      </c>
      <c r="EM422" t="s">
        <v>716</v>
      </c>
      <c r="EN422" t="s">
        <v>842</v>
      </c>
    </row>
    <row r="423" spans="142:144" x14ac:dyDescent="0.25">
      <c r="EL423">
        <v>2006</v>
      </c>
      <c r="EM423" t="s">
        <v>708</v>
      </c>
      <c r="EN423" t="s">
        <v>842</v>
      </c>
    </row>
    <row r="424" spans="142:144" x14ac:dyDescent="0.25">
      <c r="EL424">
        <v>2006</v>
      </c>
      <c r="EM424" t="s">
        <v>709</v>
      </c>
      <c r="EN424" t="s">
        <v>842</v>
      </c>
    </row>
    <row r="425" spans="142:144" x14ac:dyDescent="0.25">
      <c r="EL425">
        <v>2006</v>
      </c>
      <c r="EM425" t="s">
        <v>710</v>
      </c>
      <c r="EN425" t="s">
        <v>842</v>
      </c>
    </row>
    <row r="426" spans="142:144" x14ac:dyDescent="0.25">
      <c r="EL426">
        <v>2006</v>
      </c>
      <c r="EM426" t="s">
        <v>711</v>
      </c>
      <c r="EN426" t="s">
        <v>842</v>
      </c>
    </row>
    <row r="427" spans="142:144" x14ac:dyDescent="0.25">
      <c r="EL427">
        <v>2006</v>
      </c>
      <c r="EM427" t="s">
        <v>712</v>
      </c>
      <c r="EN427" t="s">
        <v>842</v>
      </c>
    </row>
    <row r="428" spans="142:144" x14ac:dyDescent="0.25">
      <c r="EL428">
        <v>2007</v>
      </c>
      <c r="EM428" t="s">
        <v>719</v>
      </c>
      <c r="EN428" t="s">
        <v>842</v>
      </c>
    </row>
    <row r="429" spans="142:144" x14ac:dyDescent="0.25">
      <c r="EL429">
        <v>2007</v>
      </c>
      <c r="EM429" t="s">
        <v>713</v>
      </c>
      <c r="EN429" t="s">
        <v>842</v>
      </c>
    </row>
    <row r="430" spans="142:144" x14ac:dyDescent="0.25">
      <c r="EL430">
        <v>2007</v>
      </c>
      <c r="EM430" t="s">
        <v>714</v>
      </c>
      <c r="EN430" t="s">
        <v>842</v>
      </c>
    </row>
    <row r="431" spans="142:144" x14ac:dyDescent="0.25">
      <c r="EL431">
        <v>2007</v>
      </c>
      <c r="EM431" t="s">
        <v>705</v>
      </c>
      <c r="EN431" t="s">
        <v>842</v>
      </c>
    </row>
    <row r="432" spans="142:144" x14ac:dyDescent="0.25">
      <c r="EL432">
        <v>2007</v>
      </c>
      <c r="EM432" t="s">
        <v>715</v>
      </c>
      <c r="EN432" t="s">
        <v>842</v>
      </c>
    </row>
    <row r="433" spans="142:144" x14ac:dyDescent="0.25">
      <c r="EL433">
        <v>2007</v>
      </c>
      <c r="EM433" t="s">
        <v>718</v>
      </c>
      <c r="EN433" t="s">
        <v>842</v>
      </c>
    </row>
    <row r="434" spans="142:144" x14ac:dyDescent="0.25">
      <c r="EL434">
        <v>2007</v>
      </c>
      <c r="EM434" t="s">
        <v>716</v>
      </c>
      <c r="EN434" t="s">
        <v>842</v>
      </c>
    </row>
    <row r="435" spans="142:144" x14ac:dyDescent="0.25">
      <c r="EL435">
        <v>2007</v>
      </c>
      <c r="EM435" t="s">
        <v>708</v>
      </c>
      <c r="EN435" t="s">
        <v>842</v>
      </c>
    </row>
    <row r="436" spans="142:144" x14ac:dyDescent="0.25">
      <c r="EL436">
        <v>2007</v>
      </c>
      <c r="EM436" t="s">
        <v>709</v>
      </c>
      <c r="EN436" t="s">
        <v>842</v>
      </c>
    </row>
    <row r="437" spans="142:144" x14ac:dyDescent="0.25">
      <c r="EL437">
        <v>2007</v>
      </c>
      <c r="EM437" t="s">
        <v>710</v>
      </c>
      <c r="EN437" t="s">
        <v>842</v>
      </c>
    </row>
    <row r="438" spans="142:144" x14ac:dyDescent="0.25">
      <c r="EL438">
        <v>2007</v>
      </c>
      <c r="EM438" t="s">
        <v>711</v>
      </c>
      <c r="EN438" t="s">
        <v>842</v>
      </c>
    </row>
    <row r="439" spans="142:144" x14ac:dyDescent="0.25">
      <c r="EL439">
        <v>2007</v>
      </c>
      <c r="EM439" t="s">
        <v>712</v>
      </c>
      <c r="EN439" t="s">
        <v>842</v>
      </c>
    </row>
    <row r="440" spans="142:144" x14ac:dyDescent="0.25">
      <c r="EL440">
        <v>2008</v>
      </c>
      <c r="EM440" t="s">
        <v>719</v>
      </c>
      <c r="EN440" t="s">
        <v>842</v>
      </c>
    </row>
    <row r="441" spans="142:144" x14ac:dyDescent="0.25">
      <c r="EL441">
        <v>2008</v>
      </c>
      <c r="EM441" t="s">
        <v>713</v>
      </c>
      <c r="EN441" t="s">
        <v>842</v>
      </c>
    </row>
    <row r="442" spans="142:144" x14ac:dyDescent="0.25">
      <c r="EL442">
        <v>2008</v>
      </c>
      <c r="EM442" t="s">
        <v>714</v>
      </c>
      <c r="EN442" t="s">
        <v>842</v>
      </c>
    </row>
    <row r="443" spans="142:144" x14ac:dyDescent="0.25">
      <c r="EL443">
        <v>2008</v>
      </c>
      <c r="EM443" t="s">
        <v>705</v>
      </c>
      <c r="EN443" t="s">
        <v>842</v>
      </c>
    </row>
    <row r="444" spans="142:144" x14ac:dyDescent="0.25">
      <c r="EL444">
        <v>2008</v>
      </c>
      <c r="EM444" t="s">
        <v>715</v>
      </c>
      <c r="EN444" t="s">
        <v>842</v>
      </c>
    </row>
    <row r="445" spans="142:144" x14ac:dyDescent="0.25">
      <c r="EL445">
        <v>2008</v>
      </c>
      <c r="EM445" t="s">
        <v>718</v>
      </c>
      <c r="EN445" t="s">
        <v>842</v>
      </c>
    </row>
    <row r="446" spans="142:144" x14ac:dyDescent="0.25">
      <c r="EL446">
        <v>2008</v>
      </c>
      <c r="EM446" t="s">
        <v>716</v>
      </c>
      <c r="EN446" t="s">
        <v>842</v>
      </c>
    </row>
    <row r="447" spans="142:144" x14ac:dyDescent="0.25">
      <c r="EL447">
        <v>2008</v>
      </c>
      <c r="EM447" t="s">
        <v>708</v>
      </c>
      <c r="EN447" t="s">
        <v>842</v>
      </c>
    </row>
    <row r="448" spans="142:144" x14ac:dyDescent="0.25">
      <c r="EL448">
        <v>2008</v>
      </c>
      <c r="EM448" t="s">
        <v>709</v>
      </c>
      <c r="EN448" t="s">
        <v>842</v>
      </c>
    </row>
    <row r="449" spans="142:144" x14ac:dyDescent="0.25">
      <c r="EL449">
        <v>2008</v>
      </c>
      <c r="EM449" t="s">
        <v>710</v>
      </c>
      <c r="EN449" t="s">
        <v>842</v>
      </c>
    </row>
    <row r="450" spans="142:144" x14ac:dyDescent="0.25">
      <c r="EL450">
        <v>2008</v>
      </c>
      <c r="EM450" t="s">
        <v>711</v>
      </c>
      <c r="EN450" t="s">
        <v>842</v>
      </c>
    </row>
    <row r="451" spans="142:144" x14ac:dyDescent="0.25">
      <c r="EL451">
        <v>2008</v>
      </c>
      <c r="EM451" t="s">
        <v>712</v>
      </c>
      <c r="EN451" t="s">
        <v>842</v>
      </c>
    </row>
    <row r="452" spans="142:144" x14ac:dyDescent="0.25">
      <c r="EL452">
        <v>2009</v>
      </c>
      <c r="EM452" t="s">
        <v>719</v>
      </c>
      <c r="EN452" t="s">
        <v>842</v>
      </c>
    </row>
    <row r="453" spans="142:144" x14ac:dyDescent="0.25">
      <c r="EL453">
        <v>2009</v>
      </c>
      <c r="EM453" t="s">
        <v>713</v>
      </c>
      <c r="EN453" t="s">
        <v>842</v>
      </c>
    </row>
    <row r="454" spans="142:144" x14ac:dyDescent="0.25">
      <c r="EL454">
        <v>2009</v>
      </c>
      <c r="EM454" t="s">
        <v>714</v>
      </c>
      <c r="EN454" t="s">
        <v>842</v>
      </c>
    </row>
    <row r="455" spans="142:144" x14ac:dyDescent="0.25">
      <c r="EL455">
        <v>2009</v>
      </c>
      <c r="EM455" t="s">
        <v>705</v>
      </c>
      <c r="EN455" t="s">
        <v>842</v>
      </c>
    </row>
    <row r="456" spans="142:144" x14ac:dyDescent="0.25">
      <c r="EL456">
        <v>2009</v>
      </c>
      <c r="EM456" t="s">
        <v>715</v>
      </c>
      <c r="EN456" t="s">
        <v>842</v>
      </c>
    </row>
    <row r="457" spans="142:144" x14ac:dyDescent="0.25">
      <c r="EL457">
        <v>2009</v>
      </c>
      <c r="EM457" t="s">
        <v>718</v>
      </c>
      <c r="EN457" t="s">
        <v>842</v>
      </c>
    </row>
    <row r="458" spans="142:144" x14ac:dyDescent="0.25">
      <c r="EL458">
        <v>2009</v>
      </c>
      <c r="EM458" t="s">
        <v>716</v>
      </c>
      <c r="EN458" t="s">
        <v>842</v>
      </c>
    </row>
    <row r="459" spans="142:144" x14ac:dyDescent="0.25">
      <c r="EL459">
        <v>2009</v>
      </c>
      <c r="EM459" t="s">
        <v>708</v>
      </c>
      <c r="EN459" t="s">
        <v>842</v>
      </c>
    </row>
    <row r="460" spans="142:144" x14ac:dyDescent="0.25">
      <c r="EL460">
        <v>2009</v>
      </c>
      <c r="EM460" t="s">
        <v>709</v>
      </c>
      <c r="EN460" t="s">
        <v>842</v>
      </c>
    </row>
    <row r="461" spans="142:144" x14ac:dyDescent="0.25">
      <c r="EL461">
        <v>2009</v>
      </c>
      <c r="EM461" t="s">
        <v>710</v>
      </c>
      <c r="EN461" t="s">
        <v>842</v>
      </c>
    </row>
    <row r="462" spans="142:144" x14ac:dyDescent="0.25">
      <c r="EL462">
        <v>2009</v>
      </c>
      <c r="EM462" t="s">
        <v>711</v>
      </c>
      <c r="EN462" t="s">
        <v>842</v>
      </c>
    </row>
    <row r="463" spans="142:144" x14ac:dyDescent="0.25">
      <c r="EL463">
        <v>2009</v>
      </c>
      <c r="EM463" t="s">
        <v>712</v>
      </c>
      <c r="EN463" t="s">
        <v>842</v>
      </c>
    </row>
    <row r="464" spans="142:144" x14ac:dyDescent="0.25">
      <c r="EL464">
        <v>2010</v>
      </c>
      <c r="EM464" t="s">
        <v>719</v>
      </c>
      <c r="EN464" t="s">
        <v>842</v>
      </c>
    </row>
    <row r="465" spans="142:144" x14ac:dyDescent="0.25">
      <c r="EL465">
        <v>2010</v>
      </c>
      <c r="EM465" t="s">
        <v>713</v>
      </c>
      <c r="EN465" t="s">
        <v>842</v>
      </c>
    </row>
    <row r="466" spans="142:144" x14ac:dyDescent="0.25">
      <c r="EL466">
        <v>2010</v>
      </c>
      <c r="EM466" t="s">
        <v>714</v>
      </c>
      <c r="EN466" t="s">
        <v>842</v>
      </c>
    </row>
    <row r="467" spans="142:144" x14ac:dyDescent="0.25">
      <c r="EL467">
        <v>2010</v>
      </c>
      <c r="EM467" t="s">
        <v>705</v>
      </c>
      <c r="EN467" t="s">
        <v>842</v>
      </c>
    </row>
    <row r="468" spans="142:144" x14ac:dyDescent="0.25">
      <c r="EL468">
        <v>2010</v>
      </c>
      <c r="EM468" t="s">
        <v>715</v>
      </c>
      <c r="EN468" t="s">
        <v>842</v>
      </c>
    </row>
    <row r="469" spans="142:144" x14ac:dyDescent="0.25">
      <c r="EL469">
        <v>2010</v>
      </c>
      <c r="EM469" t="s">
        <v>718</v>
      </c>
      <c r="EN469" t="s">
        <v>842</v>
      </c>
    </row>
    <row r="470" spans="142:144" x14ac:dyDescent="0.25">
      <c r="EL470">
        <v>2010</v>
      </c>
      <c r="EM470" t="s">
        <v>716</v>
      </c>
      <c r="EN470" t="s">
        <v>842</v>
      </c>
    </row>
    <row r="471" spans="142:144" x14ac:dyDescent="0.25">
      <c r="EL471">
        <v>2010</v>
      </c>
      <c r="EM471" t="s">
        <v>708</v>
      </c>
      <c r="EN471" t="s">
        <v>842</v>
      </c>
    </row>
    <row r="472" spans="142:144" x14ac:dyDescent="0.25">
      <c r="EL472">
        <v>2010</v>
      </c>
      <c r="EM472" t="s">
        <v>709</v>
      </c>
      <c r="EN472" t="s">
        <v>842</v>
      </c>
    </row>
    <row r="473" spans="142:144" x14ac:dyDescent="0.25">
      <c r="EL473">
        <v>2010</v>
      </c>
      <c r="EM473" t="s">
        <v>710</v>
      </c>
      <c r="EN473" t="s">
        <v>842</v>
      </c>
    </row>
    <row r="474" spans="142:144" x14ac:dyDescent="0.25">
      <c r="EL474">
        <v>2010</v>
      </c>
      <c r="EM474" t="s">
        <v>711</v>
      </c>
      <c r="EN474" t="s">
        <v>842</v>
      </c>
    </row>
    <row r="475" spans="142:144" x14ac:dyDescent="0.25">
      <c r="EL475">
        <v>2010</v>
      </c>
      <c r="EM475" t="s">
        <v>712</v>
      </c>
      <c r="EN475" t="s">
        <v>842</v>
      </c>
    </row>
    <row r="476" spans="142:144" x14ac:dyDescent="0.25">
      <c r="EL476">
        <v>2011</v>
      </c>
      <c r="EM476" t="s">
        <v>719</v>
      </c>
      <c r="EN476" t="s">
        <v>842</v>
      </c>
    </row>
    <row r="477" spans="142:144" x14ac:dyDescent="0.25">
      <c r="EL477">
        <v>2011</v>
      </c>
      <c r="EM477" t="s">
        <v>713</v>
      </c>
      <c r="EN477" t="s">
        <v>842</v>
      </c>
    </row>
    <row r="478" spans="142:144" x14ac:dyDescent="0.25">
      <c r="EL478">
        <v>2011</v>
      </c>
      <c r="EM478" t="s">
        <v>714</v>
      </c>
      <c r="EN478" t="s">
        <v>842</v>
      </c>
    </row>
    <row r="479" spans="142:144" x14ac:dyDescent="0.25">
      <c r="EL479">
        <v>2011</v>
      </c>
      <c r="EM479" t="s">
        <v>705</v>
      </c>
      <c r="EN479" t="s">
        <v>842</v>
      </c>
    </row>
    <row r="480" spans="142:144" x14ac:dyDescent="0.25">
      <c r="EL480">
        <v>2011</v>
      </c>
      <c r="EM480" t="s">
        <v>715</v>
      </c>
      <c r="EN480" t="s">
        <v>842</v>
      </c>
    </row>
    <row r="481" spans="142:144" x14ac:dyDescent="0.25">
      <c r="EL481">
        <v>2011</v>
      </c>
      <c r="EM481" t="s">
        <v>718</v>
      </c>
      <c r="EN481" t="s">
        <v>842</v>
      </c>
    </row>
    <row r="482" spans="142:144" x14ac:dyDescent="0.25">
      <c r="EL482">
        <v>2011</v>
      </c>
      <c r="EM482" t="s">
        <v>716</v>
      </c>
      <c r="EN482" t="s">
        <v>842</v>
      </c>
    </row>
    <row r="483" spans="142:144" x14ac:dyDescent="0.25">
      <c r="EL483">
        <v>2011</v>
      </c>
      <c r="EM483" t="s">
        <v>708</v>
      </c>
      <c r="EN483" t="s">
        <v>842</v>
      </c>
    </row>
    <row r="484" spans="142:144" x14ac:dyDescent="0.25">
      <c r="EL484">
        <v>2011</v>
      </c>
      <c r="EM484" t="s">
        <v>709</v>
      </c>
      <c r="EN484" t="s">
        <v>842</v>
      </c>
    </row>
    <row r="485" spans="142:144" x14ac:dyDescent="0.25">
      <c r="EL485">
        <v>2011</v>
      </c>
      <c r="EM485" t="s">
        <v>710</v>
      </c>
      <c r="EN485" t="s">
        <v>842</v>
      </c>
    </row>
    <row r="486" spans="142:144" x14ac:dyDescent="0.25">
      <c r="EL486">
        <v>2011</v>
      </c>
      <c r="EM486" t="s">
        <v>711</v>
      </c>
      <c r="EN486" t="s">
        <v>842</v>
      </c>
    </row>
    <row r="487" spans="142:144" x14ac:dyDescent="0.25">
      <c r="EL487">
        <v>2011</v>
      </c>
      <c r="EM487" t="s">
        <v>712</v>
      </c>
      <c r="EN487" t="s">
        <v>842</v>
      </c>
    </row>
    <row r="488" spans="142:144" x14ac:dyDescent="0.25">
      <c r="EL488">
        <v>2012</v>
      </c>
      <c r="EM488" t="s">
        <v>719</v>
      </c>
      <c r="EN488" t="s">
        <v>842</v>
      </c>
    </row>
    <row r="489" spans="142:144" x14ac:dyDescent="0.25">
      <c r="EL489">
        <v>2012</v>
      </c>
      <c r="EM489" t="s">
        <v>713</v>
      </c>
      <c r="EN489" t="s">
        <v>842</v>
      </c>
    </row>
    <row r="490" spans="142:144" x14ac:dyDescent="0.25">
      <c r="EL490">
        <v>2012</v>
      </c>
      <c r="EM490" t="s">
        <v>714</v>
      </c>
      <c r="EN490" t="s">
        <v>842</v>
      </c>
    </row>
    <row r="491" spans="142:144" x14ac:dyDescent="0.25">
      <c r="EL491">
        <v>2012</v>
      </c>
      <c r="EM491" t="s">
        <v>705</v>
      </c>
      <c r="EN491" t="s">
        <v>842</v>
      </c>
    </row>
    <row r="492" spans="142:144" x14ac:dyDescent="0.25">
      <c r="EL492">
        <v>2012</v>
      </c>
      <c r="EM492" t="s">
        <v>715</v>
      </c>
      <c r="EN492" t="s">
        <v>842</v>
      </c>
    </row>
    <row r="493" spans="142:144" x14ac:dyDescent="0.25">
      <c r="EL493">
        <v>2012</v>
      </c>
      <c r="EM493" t="s">
        <v>718</v>
      </c>
      <c r="EN493" t="s">
        <v>842</v>
      </c>
    </row>
    <row r="494" spans="142:144" x14ac:dyDescent="0.25">
      <c r="EL494">
        <v>2012</v>
      </c>
      <c r="EM494" t="s">
        <v>716</v>
      </c>
      <c r="EN494" t="s">
        <v>842</v>
      </c>
    </row>
    <row r="495" spans="142:144" x14ac:dyDescent="0.25">
      <c r="EL495">
        <v>2012</v>
      </c>
      <c r="EM495" t="s">
        <v>708</v>
      </c>
      <c r="EN495" t="s">
        <v>842</v>
      </c>
    </row>
    <row r="496" spans="142:144" x14ac:dyDescent="0.25">
      <c r="EL496">
        <v>2012</v>
      </c>
      <c r="EM496" t="s">
        <v>709</v>
      </c>
      <c r="EN496" t="s">
        <v>842</v>
      </c>
    </row>
    <row r="497" spans="142:145" x14ac:dyDescent="0.25">
      <c r="EL497">
        <v>2012</v>
      </c>
      <c r="EM497" t="s">
        <v>710</v>
      </c>
      <c r="EN497" t="s">
        <v>842</v>
      </c>
    </row>
    <row r="498" spans="142:145" x14ac:dyDescent="0.25">
      <c r="EL498">
        <v>2012</v>
      </c>
      <c r="EM498" t="s">
        <v>711</v>
      </c>
      <c r="EN498" t="s">
        <v>842</v>
      </c>
    </row>
    <row r="499" spans="142:145" x14ac:dyDescent="0.25">
      <c r="EL499">
        <v>2012</v>
      </c>
      <c r="EM499" t="s">
        <v>712</v>
      </c>
      <c r="EN499" t="s">
        <v>842</v>
      </c>
    </row>
    <row r="500" spans="142:145" x14ac:dyDescent="0.25">
      <c r="EL500">
        <v>2013</v>
      </c>
      <c r="EM500" t="s">
        <v>719</v>
      </c>
      <c r="EN500" t="s">
        <v>842</v>
      </c>
    </row>
    <row r="501" spans="142:145" x14ac:dyDescent="0.25">
      <c r="EL501">
        <v>2013</v>
      </c>
      <c r="EM501" t="s">
        <v>713</v>
      </c>
      <c r="EN501" t="s">
        <v>842</v>
      </c>
    </row>
    <row r="502" spans="142:145" x14ac:dyDescent="0.25">
      <c r="EL502">
        <v>2013</v>
      </c>
      <c r="EM502" t="s">
        <v>714</v>
      </c>
      <c r="EN502" t="s">
        <v>842</v>
      </c>
    </row>
    <row r="503" spans="142:145" x14ac:dyDescent="0.25">
      <c r="EL503">
        <v>2013</v>
      </c>
      <c r="EM503" t="s">
        <v>705</v>
      </c>
      <c r="EN503" t="s">
        <v>842</v>
      </c>
    </row>
    <row r="504" spans="142:145" x14ac:dyDescent="0.25">
      <c r="EL504">
        <v>2013</v>
      </c>
      <c r="EM504" t="s">
        <v>715</v>
      </c>
      <c r="EN504" t="s">
        <v>842</v>
      </c>
    </row>
    <row r="505" spans="142:145" x14ac:dyDescent="0.25">
      <c r="EL505">
        <v>2013</v>
      </c>
      <c r="EM505" t="s">
        <v>718</v>
      </c>
      <c r="EN505" t="s">
        <v>842</v>
      </c>
    </row>
    <row r="506" spans="142:145" x14ac:dyDescent="0.25">
      <c r="EL506">
        <v>2013</v>
      </c>
      <c r="EM506" t="s">
        <v>716</v>
      </c>
      <c r="EN506" t="s">
        <v>842</v>
      </c>
    </row>
    <row r="507" spans="142:145" x14ac:dyDescent="0.25">
      <c r="EL507">
        <v>2013</v>
      </c>
      <c r="EM507" t="s">
        <v>708</v>
      </c>
      <c r="EN507" t="s">
        <v>842</v>
      </c>
    </row>
    <row r="508" spans="142:145" x14ac:dyDescent="0.25">
      <c r="EL508">
        <v>2013</v>
      </c>
      <c r="EM508" t="s">
        <v>709</v>
      </c>
      <c r="EN508" t="s">
        <v>842</v>
      </c>
    </row>
    <row r="509" spans="142:145" x14ac:dyDescent="0.25">
      <c r="EL509">
        <v>2013</v>
      </c>
      <c r="EM509" t="s">
        <v>710</v>
      </c>
      <c r="EN509" t="s">
        <v>842</v>
      </c>
      <c r="EO509">
        <v>12.016</v>
      </c>
    </row>
    <row r="510" spans="142:145" x14ac:dyDescent="0.25">
      <c r="EL510">
        <v>2013</v>
      </c>
      <c r="EM510" t="s">
        <v>711</v>
      </c>
      <c r="EN510" t="s">
        <v>842</v>
      </c>
      <c r="EO510">
        <v>11.5</v>
      </c>
    </row>
    <row r="511" spans="142:145" x14ac:dyDescent="0.25">
      <c r="EL511">
        <v>2013</v>
      </c>
      <c r="EM511" t="s">
        <v>712</v>
      </c>
      <c r="EN511" t="s">
        <v>842</v>
      </c>
      <c r="EO511">
        <v>11.49</v>
      </c>
    </row>
    <row r="512" spans="142:145" x14ac:dyDescent="0.25">
      <c r="EL512">
        <v>2014</v>
      </c>
      <c r="EM512" t="s">
        <v>719</v>
      </c>
      <c r="EN512" t="s">
        <v>842</v>
      </c>
      <c r="EO512">
        <v>11.98</v>
      </c>
    </row>
    <row r="513" spans="142:145" x14ac:dyDescent="0.25">
      <c r="EL513">
        <v>2014</v>
      </c>
      <c r="EM513" t="s">
        <v>713</v>
      </c>
      <c r="EN513" t="s">
        <v>842</v>
      </c>
      <c r="EO513">
        <v>10.696999999999999</v>
      </c>
    </row>
    <row r="514" spans="142:145" x14ac:dyDescent="0.25">
      <c r="EL514">
        <v>2014</v>
      </c>
      <c r="EM514" t="s">
        <v>714</v>
      </c>
      <c r="EN514" t="s">
        <v>842</v>
      </c>
      <c r="EO514">
        <v>11.803000000000001</v>
      </c>
    </row>
    <row r="515" spans="142:145" x14ac:dyDescent="0.25">
      <c r="EL515">
        <v>2014</v>
      </c>
      <c r="EM515" t="s">
        <v>705</v>
      </c>
      <c r="EN515" t="s">
        <v>842</v>
      </c>
      <c r="EO515">
        <v>11.728999999999999</v>
      </c>
    </row>
    <row r="516" spans="142:145" x14ac:dyDescent="0.25">
      <c r="EL516">
        <v>2014</v>
      </c>
      <c r="EM516" t="s">
        <v>715</v>
      </c>
      <c r="EN516" t="s">
        <v>842</v>
      </c>
      <c r="EO516">
        <v>12.486000000000001</v>
      </c>
    </row>
    <row r="517" spans="142:145" x14ac:dyDescent="0.25">
      <c r="EL517">
        <v>2014</v>
      </c>
      <c r="EM517" t="s">
        <v>718</v>
      </c>
      <c r="EN517" t="s">
        <v>842</v>
      </c>
      <c r="EO517">
        <v>17.824000000000002</v>
      </c>
    </row>
    <row r="518" spans="142:145" x14ac:dyDescent="0.25">
      <c r="EL518">
        <v>2014</v>
      </c>
      <c r="EM518" t="s">
        <v>716</v>
      </c>
      <c r="EN518" t="s">
        <v>842</v>
      </c>
      <c r="EO518">
        <v>18.262</v>
      </c>
    </row>
    <row r="519" spans="142:145" x14ac:dyDescent="0.25">
      <c r="EL519">
        <v>2014</v>
      </c>
      <c r="EM519" t="s">
        <v>708</v>
      </c>
      <c r="EN519" t="s">
        <v>842</v>
      </c>
      <c r="EO519">
        <v>18.617000000000001</v>
      </c>
    </row>
    <row r="520" spans="142:145" x14ac:dyDescent="0.25">
      <c r="EL520">
        <v>2014</v>
      </c>
      <c r="EM520" t="s">
        <v>709</v>
      </c>
      <c r="EN520" t="s">
        <v>842</v>
      </c>
      <c r="EO520">
        <v>17.126999999999999</v>
      </c>
    </row>
    <row r="521" spans="142:145" x14ac:dyDescent="0.25">
      <c r="EL521">
        <v>2014</v>
      </c>
      <c r="EM521" t="s">
        <v>710</v>
      </c>
      <c r="EN521" t="s">
        <v>842</v>
      </c>
      <c r="EO521">
        <v>17.760000000000002</v>
      </c>
    </row>
    <row r="522" spans="142:145" x14ac:dyDescent="0.25">
      <c r="EL522">
        <v>2014</v>
      </c>
      <c r="EM522" t="s">
        <v>711</v>
      </c>
      <c r="EN522" t="s">
        <v>842</v>
      </c>
      <c r="EO522">
        <v>17.489999999999998</v>
      </c>
    </row>
    <row r="523" spans="142:145" x14ac:dyDescent="0.25">
      <c r="EL523">
        <v>2014</v>
      </c>
      <c r="EM523" t="s">
        <v>712</v>
      </c>
      <c r="EN523" t="s">
        <v>842</v>
      </c>
      <c r="EO523">
        <v>16.79</v>
      </c>
    </row>
    <row r="524" spans="142:145" x14ac:dyDescent="0.25">
      <c r="EL524">
        <v>2015</v>
      </c>
      <c r="EM524" t="s">
        <v>719</v>
      </c>
      <c r="EN524" t="s">
        <v>842</v>
      </c>
      <c r="EO524">
        <v>17.600000000000001</v>
      </c>
    </row>
    <row r="525" spans="142:145" x14ac:dyDescent="0.25">
      <c r="EL525">
        <v>2015</v>
      </c>
      <c r="EM525" t="s">
        <v>713</v>
      </c>
      <c r="EN525" t="s">
        <v>842</v>
      </c>
      <c r="EO525">
        <v>15.88</v>
      </c>
    </row>
    <row r="526" spans="142:145" x14ac:dyDescent="0.25">
      <c r="EL526">
        <v>2015</v>
      </c>
      <c r="EM526" t="s">
        <v>714</v>
      </c>
      <c r="EN526" t="s">
        <v>842</v>
      </c>
      <c r="EO526">
        <v>18.28</v>
      </c>
    </row>
    <row r="527" spans="142:145" x14ac:dyDescent="0.25">
      <c r="EL527">
        <v>2015</v>
      </c>
      <c r="EM527" t="s">
        <v>705</v>
      </c>
      <c r="EN527" t="s">
        <v>842</v>
      </c>
      <c r="EO527">
        <v>17.670000000000002</v>
      </c>
    </row>
    <row r="528" spans="142:145" x14ac:dyDescent="0.25">
      <c r="EL528">
        <v>2015</v>
      </c>
      <c r="EM528" t="s">
        <v>715</v>
      </c>
      <c r="EN528" t="s">
        <v>842</v>
      </c>
      <c r="EO528">
        <v>18.3</v>
      </c>
    </row>
    <row r="529" spans="142:145" x14ac:dyDescent="0.25">
      <c r="EL529">
        <v>2015</v>
      </c>
      <c r="EM529" t="s">
        <v>718</v>
      </c>
      <c r="EN529" t="s">
        <v>842</v>
      </c>
      <c r="EO529">
        <v>19.37</v>
      </c>
    </row>
    <row r="530" spans="142:145" x14ac:dyDescent="0.25">
      <c r="EL530">
        <v>2015</v>
      </c>
      <c r="EM530" t="s">
        <v>716</v>
      </c>
      <c r="EN530" t="s">
        <v>842</v>
      </c>
      <c r="EO530">
        <v>17.850000000000001</v>
      </c>
    </row>
    <row r="531" spans="142:145" x14ac:dyDescent="0.25">
      <c r="EL531">
        <v>2015</v>
      </c>
      <c r="EM531" t="s">
        <v>708</v>
      </c>
      <c r="EN531" t="s">
        <v>842</v>
      </c>
      <c r="EO531">
        <v>16.43</v>
      </c>
    </row>
    <row r="532" spans="142:145" x14ac:dyDescent="0.25">
      <c r="EL532">
        <v>2015</v>
      </c>
      <c r="EM532" t="s">
        <v>709</v>
      </c>
      <c r="EN532" t="s">
        <v>842</v>
      </c>
      <c r="EO532">
        <v>13.77</v>
      </c>
    </row>
    <row r="533" spans="142:145" x14ac:dyDescent="0.25">
      <c r="EL533">
        <v>2015</v>
      </c>
      <c r="EM533" t="s">
        <v>710</v>
      </c>
      <c r="EN533" t="s">
        <v>842</v>
      </c>
      <c r="EO533">
        <v>14.35</v>
      </c>
    </row>
    <row r="534" spans="142:145" x14ac:dyDescent="0.25">
      <c r="EL534">
        <v>2015</v>
      </c>
      <c r="EM534" t="s">
        <v>711</v>
      </c>
      <c r="EN534" t="s">
        <v>842</v>
      </c>
      <c r="EO534">
        <v>14.72</v>
      </c>
    </row>
    <row r="535" spans="142:145" x14ac:dyDescent="0.25">
      <c r="EL535">
        <v>2015</v>
      </c>
      <c r="EM535" t="s">
        <v>712</v>
      </c>
      <c r="EN535" t="s">
        <v>842</v>
      </c>
      <c r="EO535">
        <v>16.59</v>
      </c>
    </row>
    <row r="536" spans="142:145" x14ac:dyDescent="0.25">
      <c r="EL536">
        <v>2016</v>
      </c>
      <c r="EM536" t="s">
        <v>719</v>
      </c>
      <c r="EN536" t="s">
        <v>842</v>
      </c>
      <c r="EO536">
        <v>16.100000000000001</v>
      </c>
    </row>
    <row r="537" spans="142:145" x14ac:dyDescent="0.25">
      <c r="EL537">
        <v>2016</v>
      </c>
      <c r="EM537" t="s">
        <v>713</v>
      </c>
      <c r="EN537" t="s">
        <v>842</v>
      </c>
      <c r="EO537">
        <v>16.5</v>
      </c>
    </row>
    <row r="538" spans="142:145" x14ac:dyDescent="0.25">
      <c r="EL538">
        <v>2016</v>
      </c>
      <c r="EM538" t="s">
        <v>714</v>
      </c>
      <c r="EN538" t="s">
        <v>842</v>
      </c>
      <c r="EO538">
        <v>16.5</v>
      </c>
    </row>
    <row r="539" spans="142:145" x14ac:dyDescent="0.25">
      <c r="EL539">
        <v>2016</v>
      </c>
      <c r="EM539" t="s">
        <v>705</v>
      </c>
      <c r="EN539" t="s">
        <v>842</v>
      </c>
      <c r="EO539">
        <v>16.149999999999999</v>
      </c>
    </row>
    <row r="540" spans="142:145" x14ac:dyDescent="0.25">
      <c r="EL540">
        <v>2016</v>
      </c>
      <c r="EM540" t="s">
        <v>715</v>
      </c>
      <c r="EN540" t="s">
        <v>842</v>
      </c>
      <c r="EO540">
        <v>16.93</v>
      </c>
    </row>
    <row r="541" spans="142:145" x14ac:dyDescent="0.25">
      <c r="EL541">
        <v>2016</v>
      </c>
      <c r="EM541" t="s">
        <v>718</v>
      </c>
      <c r="EN541" t="s">
        <v>842</v>
      </c>
      <c r="EO541">
        <v>10.83</v>
      </c>
    </row>
    <row r="542" spans="142:145" x14ac:dyDescent="0.25">
      <c r="EL542">
        <v>2016</v>
      </c>
      <c r="EM542" t="s">
        <v>716</v>
      </c>
      <c r="EN542" t="s">
        <v>842</v>
      </c>
      <c r="EO542">
        <v>15.06</v>
      </c>
    </row>
    <row r="543" spans="142:145" x14ac:dyDescent="0.25">
      <c r="EL543">
        <v>2016</v>
      </c>
      <c r="EM543" t="s">
        <v>708</v>
      </c>
      <c r="EN543" t="s">
        <v>842</v>
      </c>
      <c r="EO543">
        <v>17.04</v>
      </c>
    </row>
    <row r="544" spans="142:145" x14ac:dyDescent="0.25">
      <c r="EL544">
        <v>2016</v>
      </c>
      <c r="EM544" t="s">
        <v>709</v>
      </c>
      <c r="EN544" t="s">
        <v>842</v>
      </c>
      <c r="EO544">
        <v>16.239999999999998</v>
      </c>
    </row>
    <row r="545" spans="142:145" x14ac:dyDescent="0.25">
      <c r="EL545">
        <v>2016</v>
      </c>
      <c r="EM545" t="s">
        <v>710</v>
      </c>
      <c r="EN545" t="s">
        <v>842</v>
      </c>
      <c r="EO545">
        <v>16.309999999999999</v>
      </c>
    </row>
    <row r="546" spans="142:145" x14ac:dyDescent="0.25">
      <c r="EL546">
        <v>2016</v>
      </c>
      <c r="EM546" t="s">
        <v>711</v>
      </c>
      <c r="EN546" t="s">
        <v>842</v>
      </c>
      <c r="EO546">
        <v>17.22</v>
      </c>
    </row>
    <row r="547" spans="142:145" x14ac:dyDescent="0.25">
      <c r="EL547">
        <v>2016</v>
      </c>
      <c r="EM547" t="s">
        <v>712</v>
      </c>
      <c r="EN547" t="s">
        <v>842</v>
      </c>
      <c r="EO547">
        <v>17.11</v>
      </c>
    </row>
    <row r="548" spans="142:145" x14ac:dyDescent="0.25">
      <c r="EL548">
        <v>2017</v>
      </c>
      <c r="EM548" t="s">
        <v>719</v>
      </c>
      <c r="EN548" t="s">
        <v>842</v>
      </c>
      <c r="EO548">
        <v>16.57</v>
      </c>
    </row>
    <row r="549" spans="142:145" x14ac:dyDescent="0.25">
      <c r="EL549">
        <v>2017</v>
      </c>
      <c r="EM549" t="s">
        <v>713</v>
      </c>
      <c r="EN549" t="s">
        <v>842</v>
      </c>
      <c r="EO549">
        <v>14.76</v>
      </c>
    </row>
    <row r="550" spans="142:145" x14ac:dyDescent="0.25">
      <c r="EL550">
        <v>2017</v>
      </c>
      <c r="EM550" t="s">
        <v>714</v>
      </c>
      <c r="EN550" t="s">
        <v>842</v>
      </c>
      <c r="EO550">
        <v>16.39</v>
      </c>
    </row>
    <row r="551" spans="142:145" x14ac:dyDescent="0.25">
      <c r="EL551">
        <v>2017</v>
      </c>
      <c r="EM551" t="s">
        <v>705</v>
      </c>
      <c r="EN551" t="s">
        <v>842</v>
      </c>
      <c r="EO551">
        <v>16.09</v>
      </c>
    </row>
    <row r="552" spans="142:145" x14ac:dyDescent="0.25">
      <c r="EL552">
        <v>2017</v>
      </c>
      <c r="EM552" t="s">
        <v>715</v>
      </c>
      <c r="EN552" t="s">
        <v>842</v>
      </c>
      <c r="EO552">
        <v>17.73</v>
      </c>
    </row>
    <row r="553" spans="142:145" x14ac:dyDescent="0.25">
      <c r="EL553">
        <v>2017</v>
      </c>
      <c r="EM553" t="s">
        <v>718</v>
      </c>
      <c r="EN553" t="s">
        <v>842</v>
      </c>
      <c r="EO553">
        <v>16.7</v>
      </c>
    </row>
    <row r="554" spans="142:145" x14ac:dyDescent="0.25">
      <c r="EL554">
        <v>2017</v>
      </c>
      <c r="EM554" t="s">
        <v>716</v>
      </c>
      <c r="EN554" t="s">
        <v>842</v>
      </c>
      <c r="EO554">
        <v>18.39</v>
      </c>
    </row>
    <row r="555" spans="142:145" x14ac:dyDescent="0.25">
      <c r="EL555">
        <v>2017</v>
      </c>
      <c r="EM555" t="s">
        <v>708</v>
      </c>
      <c r="EN555" t="s">
        <v>842</v>
      </c>
      <c r="EO555">
        <v>19.54</v>
      </c>
    </row>
    <row r="556" spans="142:145" x14ac:dyDescent="0.25">
      <c r="EL556">
        <v>2017</v>
      </c>
      <c r="EM556" t="s">
        <v>709</v>
      </c>
      <c r="EN556" t="s">
        <v>842</v>
      </c>
      <c r="EO556">
        <v>19.18</v>
      </c>
    </row>
    <row r="557" spans="142:145" x14ac:dyDescent="0.25">
      <c r="EL557">
        <v>2017</v>
      </c>
      <c r="EM557" t="s">
        <v>710</v>
      </c>
      <c r="EN557" t="s">
        <v>842</v>
      </c>
      <c r="EO557">
        <v>19.579999999999998</v>
      </c>
    </row>
    <row r="558" spans="142:145" x14ac:dyDescent="0.25">
      <c r="EL558">
        <v>2017</v>
      </c>
      <c r="EM558" t="s">
        <v>711</v>
      </c>
      <c r="EN558" t="s">
        <v>842</v>
      </c>
      <c r="EO558">
        <v>18.579999999999998</v>
      </c>
    </row>
    <row r="559" spans="142:145" x14ac:dyDescent="0.25">
      <c r="EL559">
        <v>2017</v>
      </c>
      <c r="EM559" t="s">
        <v>712</v>
      </c>
      <c r="EN559" t="s">
        <v>842</v>
      </c>
      <c r="EO559">
        <v>18.62</v>
      </c>
    </row>
    <row r="560" spans="142:145" x14ac:dyDescent="0.25">
      <c r="EL560">
        <v>2018</v>
      </c>
      <c r="EM560" t="s">
        <v>719</v>
      </c>
      <c r="EN560" t="s">
        <v>842</v>
      </c>
      <c r="EO560">
        <v>17.87</v>
      </c>
    </row>
    <row r="561" spans="142:145" x14ac:dyDescent="0.25">
      <c r="EL561">
        <v>2018</v>
      </c>
      <c r="EM561" t="s">
        <v>713</v>
      </c>
      <c r="EN561" t="s">
        <v>842</v>
      </c>
      <c r="EO561">
        <v>18.2</v>
      </c>
    </row>
    <row r="562" spans="142:145" x14ac:dyDescent="0.25">
      <c r="EL562">
        <v>2018</v>
      </c>
      <c r="EM562" t="s">
        <v>714</v>
      </c>
      <c r="EN562" t="s">
        <v>842</v>
      </c>
      <c r="EO562">
        <v>18.920000000000002</v>
      </c>
    </row>
    <row r="563" spans="142:145" x14ac:dyDescent="0.25">
      <c r="EL563">
        <v>2018</v>
      </c>
      <c r="EM563" t="s">
        <v>705</v>
      </c>
      <c r="EN563" t="s">
        <v>842</v>
      </c>
      <c r="EO563">
        <v>19.55</v>
      </c>
    </row>
    <row r="564" spans="142:145" x14ac:dyDescent="0.25">
      <c r="EL564">
        <v>2018</v>
      </c>
      <c r="EM564" t="s">
        <v>715</v>
      </c>
      <c r="EN564" t="s">
        <v>842</v>
      </c>
      <c r="EO564">
        <v>20.99</v>
      </c>
    </row>
    <row r="565" spans="142:145" x14ac:dyDescent="0.25">
      <c r="EL565">
        <v>2018</v>
      </c>
      <c r="EM565" t="s">
        <v>718</v>
      </c>
      <c r="EN565" t="s">
        <v>842</v>
      </c>
      <c r="EO565">
        <v>18.77</v>
      </c>
    </row>
    <row r="566" spans="142:145" x14ac:dyDescent="0.25">
      <c r="EL566">
        <v>2018</v>
      </c>
      <c r="EM566" t="s">
        <v>716</v>
      </c>
      <c r="EN566" t="s">
        <v>842</v>
      </c>
      <c r="EO566">
        <v>19.78</v>
      </c>
    </row>
    <row r="567" spans="142:145" x14ac:dyDescent="0.25">
      <c r="EL567">
        <v>2018</v>
      </c>
      <c r="EM567" t="s">
        <v>708</v>
      </c>
      <c r="EN567" t="s">
        <v>842</v>
      </c>
      <c r="EO567">
        <v>19.57</v>
      </c>
    </row>
    <row r="568" spans="142:145" x14ac:dyDescent="0.25">
      <c r="EL568">
        <v>2018</v>
      </c>
      <c r="EM568" t="s">
        <v>709</v>
      </c>
      <c r="EN568" t="s">
        <v>842</v>
      </c>
      <c r="EO568">
        <v>20.8</v>
      </c>
    </row>
    <row r="569" spans="142:145" x14ac:dyDescent="0.25">
      <c r="EL569">
        <v>2018</v>
      </c>
      <c r="EM569" t="s">
        <v>710</v>
      </c>
      <c r="EN569" t="s">
        <v>842</v>
      </c>
      <c r="EO569">
        <v>21.75</v>
      </c>
    </row>
    <row r="570" spans="142:145" x14ac:dyDescent="0.25">
      <c r="EL570">
        <v>2018</v>
      </c>
      <c r="EM570" t="s">
        <v>711</v>
      </c>
      <c r="EN570" t="s">
        <v>842</v>
      </c>
      <c r="EO570">
        <v>21.9</v>
      </c>
    </row>
    <row r="571" spans="142:145" x14ac:dyDescent="0.25">
      <c r="EL571">
        <v>2018</v>
      </c>
      <c r="EM571" t="s">
        <v>712</v>
      </c>
      <c r="EN571" t="s">
        <v>842</v>
      </c>
      <c r="EO571">
        <v>23.42</v>
      </c>
    </row>
    <row r="572" spans="142:145" x14ac:dyDescent="0.25">
      <c r="EL572">
        <v>2019</v>
      </c>
      <c r="EM572" t="s">
        <v>719</v>
      </c>
      <c r="EN572" t="s">
        <v>842</v>
      </c>
      <c r="EO572">
        <v>24.24</v>
      </c>
    </row>
    <row r="573" spans="142:145" x14ac:dyDescent="0.25">
      <c r="EL573">
        <v>2019</v>
      </c>
      <c r="EM573" t="s">
        <v>713</v>
      </c>
      <c r="EN573" t="s">
        <v>842</v>
      </c>
      <c r="EO573">
        <v>22.82</v>
      </c>
    </row>
    <row r="574" spans="142:145" x14ac:dyDescent="0.25">
      <c r="EL574">
        <v>2019</v>
      </c>
      <c r="EM574" t="s">
        <v>714</v>
      </c>
      <c r="EN574" t="s">
        <v>842</v>
      </c>
      <c r="EO574">
        <v>23.79</v>
      </c>
    </row>
    <row r="575" spans="142:145" x14ac:dyDescent="0.25">
      <c r="EL575">
        <v>2019</v>
      </c>
      <c r="EM575" t="s">
        <v>705</v>
      </c>
      <c r="EN575" t="s">
        <v>842</v>
      </c>
      <c r="EO575">
        <v>20.76</v>
      </c>
    </row>
    <row r="576" spans="142:145" x14ac:dyDescent="0.25">
      <c r="EL576">
        <v>2019</v>
      </c>
      <c r="EM576" t="s">
        <v>715</v>
      </c>
      <c r="EN576" t="s">
        <v>842</v>
      </c>
      <c r="EO576">
        <v>20.82</v>
      </c>
    </row>
    <row r="577" spans="142:145" x14ac:dyDescent="0.25">
      <c r="EL577">
        <v>2019</v>
      </c>
      <c r="EM577" t="s">
        <v>718</v>
      </c>
      <c r="EN577" t="s">
        <v>842</v>
      </c>
      <c r="EO577">
        <v>18.809999999999999</v>
      </c>
    </row>
    <row r="578" spans="142:145" x14ac:dyDescent="0.25">
      <c r="EL578">
        <v>2019</v>
      </c>
      <c r="EM578" t="s">
        <v>716</v>
      </c>
      <c r="EN578" t="s">
        <v>842</v>
      </c>
      <c r="EO578">
        <v>19.46</v>
      </c>
    </row>
    <row r="579" spans="142:145" x14ac:dyDescent="0.25">
      <c r="EL579">
        <v>2019</v>
      </c>
      <c r="EM579" t="s">
        <v>708</v>
      </c>
      <c r="EN579" t="s">
        <v>842</v>
      </c>
      <c r="EO579">
        <v>19.239999999999998</v>
      </c>
    </row>
    <row r="580" spans="142:145" x14ac:dyDescent="0.25">
      <c r="EL580">
        <v>2019</v>
      </c>
      <c r="EM580" t="s">
        <v>709</v>
      </c>
      <c r="EN580" t="s">
        <v>842</v>
      </c>
      <c r="EO580">
        <v>18.350000000000001</v>
      </c>
    </row>
    <row r="581" spans="142:145" x14ac:dyDescent="0.25">
      <c r="EL581">
        <v>2019</v>
      </c>
      <c r="EM581" t="s">
        <v>710</v>
      </c>
      <c r="EN581" t="s">
        <v>842</v>
      </c>
      <c r="EO581">
        <v>19.28</v>
      </c>
    </row>
    <row r="582" spans="142:145" x14ac:dyDescent="0.25">
      <c r="EL582">
        <v>2019</v>
      </c>
      <c r="EM582" t="s">
        <v>711</v>
      </c>
      <c r="EN582" t="s">
        <v>842</v>
      </c>
      <c r="EO582">
        <v>18.52</v>
      </c>
    </row>
    <row r="583" spans="142:145" x14ac:dyDescent="0.25">
      <c r="EL583">
        <v>2019</v>
      </c>
      <c r="EM583" t="s">
        <v>712</v>
      </c>
      <c r="EN583" t="s">
        <v>842</v>
      </c>
      <c r="EO583">
        <v>13.7</v>
      </c>
    </row>
    <row r="584" spans="142:145" x14ac:dyDescent="0.25">
      <c r="EL584">
        <v>2020</v>
      </c>
      <c r="EM584" t="s">
        <v>719</v>
      </c>
      <c r="EN584" t="s">
        <v>842</v>
      </c>
      <c r="EO584">
        <v>19.989999999999998</v>
      </c>
    </row>
    <row r="585" spans="142:145" x14ac:dyDescent="0.25">
      <c r="EL585">
        <v>2020</v>
      </c>
      <c r="EM585" t="s">
        <v>713</v>
      </c>
      <c r="EN585" t="s">
        <v>842</v>
      </c>
      <c r="EO585">
        <v>13.55</v>
      </c>
    </row>
    <row r="586" spans="142:145" x14ac:dyDescent="0.25">
      <c r="EL586">
        <v>2020</v>
      </c>
      <c r="EM586" t="s">
        <v>714</v>
      </c>
      <c r="EN586" t="s">
        <v>842</v>
      </c>
      <c r="EO586">
        <v>13.47</v>
      </c>
    </row>
    <row r="587" spans="142:145" x14ac:dyDescent="0.25">
      <c r="EL587">
        <v>2020</v>
      </c>
      <c r="EM587" t="s">
        <v>705</v>
      </c>
      <c r="EN587" t="s">
        <v>842</v>
      </c>
      <c r="EO587">
        <v>17.809999999999999</v>
      </c>
    </row>
    <row r="588" spans="142:145" x14ac:dyDescent="0.25">
      <c r="EL588">
        <v>2020</v>
      </c>
      <c r="EM588" t="s">
        <v>715</v>
      </c>
      <c r="EN588" t="s">
        <v>842</v>
      </c>
      <c r="EO588">
        <v>12.08</v>
      </c>
    </row>
    <row r="589" spans="142:145" x14ac:dyDescent="0.25">
      <c r="EL589">
        <v>2020</v>
      </c>
      <c r="EM589" t="s">
        <v>718</v>
      </c>
      <c r="EN589" t="s">
        <v>842</v>
      </c>
      <c r="EO589">
        <v>17.149999999999999</v>
      </c>
    </row>
    <row r="590" spans="142:145" x14ac:dyDescent="0.25">
      <c r="EL590">
        <v>2020</v>
      </c>
      <c r="EM590" t="s">
        <v>716</v>
      </c>
      <c r="EN590" t="s">
        <v>842</v>
      </c>
      <c r="EO590">
        <v>17.88</v>
      </c>
    </row>
    <row r="591" spans="142:145" x14ac:dyDescent="0.25">
      <c r="EL591">
        <v>2020</v>
      </c>
      <c r="EM591" t="s">
        <v>708</v>
      </c>
      <c r="EN591" t="s">
        <v>842</v>
      </c>
      <c r="EO591">
        <v>17.579999999999998</v>
      </c>
    </row>
    <row r="592" spans="142:145" x14ac:dyDescent="0.25">
      <c r="EL592">
        <v>2020</v>
      </c>
      <c r="EM592" t="s">
        <v>709</v>
      </c>
      <c r="EN592" t="s">
        <v>842</v>
      </c>
      <c r="EO592">
        <v>12.19</v>
      </c>
    </row>
    <row r="593" spans="142:145" x14ac:dyDescent="0.25">
      <c r="EL593">
        <v>2020</v>
      </c>
      <c r="EM593" t="s">
        <v>710</v>
      </c>
      <c r="EN593" t="s">
        <v>842</v>
      </c>
      <c r="EO593">
        <v>13.25</v>
      </c>
    </row>
    <row r="594" spans="142:145" x14ac:dyDescent="0.25">
      <c r="EL594">
        <v>2020</v>
      </c>
      <c r="EM594" t="s">
        <v>711</v>
      </c>
      <c r="EN594" t="s">
        <v>842</v>
      </c>
      <c r="EO594">
        <v>12.3</v>
      </c>
    </row>
    <row r="595" spans="142:145" x14ac:dyDescent="0.25">
      <c r="EL595">
        <v>2020</v>
      </c>
      <c r="EM595" t="s">
        <v>712</v>
      </c>
      <c r="EN595" t="s">
        <v>842</v>
      </c>
      <c r="EO595">
        <v>19.829999999999998</v>
      </c>
    </row>
    <row r="596" spans="142:145" x14ac:dyDescent="0.25">
      <c r="EL596">
        <v>2021</v>
      </c>
      <c r="EM596" t="s">
        <v>719</v>
      </c>
      <c r="EN596" t="s">
        <v>842</v>
      </c>
      <c r="EO596">
        <v>20.059999999999999</v>
      </c>
    </row>
    <row r="597" spans="142:145" x14ac:dyDescent="0.25">
      <c r="EL597">
        <v>2021</v>
      </c>
      <c r="EM597" t="s">
        <v>713</v>
      </c>
      <c r="EN597" t="s">
        <v>842</v>
      </c>
      <c r="EO597">
        <v>19.36</v>
      </c>
    </row>
    <row r="598" spans="142:145" x14ac:dyDescent="0.25">
      <c r="EL598">
        <v>2021</v>
      </c>
      <c r="EM598" t="s">
        <v>714</v>
      </c>
      <c r="EN598" t="s">
        <v>842</v>
      </c>
      <c r="EO598">
        <v>18.239999999999998</v>
      </c>
    </row>
    <row r="599" spans="142:145" x14ac:dyDescent="0.25">
      <c r="EL599">
        <v>2021</v>
      </c>
      <c r="EM599" t="s">
        <v>705</v>
      </c>
      <c r="EN599" t="s">
        <v>842</v>
      </c>
      <c r="EO599">
        <v>17</v>
      </c>
    </row>
    <row r="600" spans="142:145" x14ac:dyDescent="0.25">
      <c r="EL600">
        <v>2021</v>
      </c>
      <c r="EM600" t="s">
        <v>715</v>
      </c>
      <c r="EN600" t="s">
        <v>842</v>
      </c>
      <c r="EO600">
        <v>20.190000000000001</v>
      </c>
    </row>
    <row r="601" spans="142:145" x14ac:dyDescent="0.25">
      <c r="EL601">
        <v>2021</v>
      </c>
      <c r="EM601" t="s">
        <v>718</v>
      </c>
      <c r="EN601" t="s">
        <v>842</v>
      </c>
      <c r="EO601">
        <v>18.920000000000002</v>
      </c>
    </row>
    <row r="602" spans="142:145" x14ac:dyDescent="0.25">
      <c r="EL602">
        <v>2021</v>
      </c>
      <c r="EM602" t="s">
        <v>716</v>
      </c>
      <c r="EN602" t="s">
        <v>842</v>
      </c>
      <c r="EO602">
        <v>19.079999999999998</v>
      </c>
    </row>
    <row r="603" spans="142:145" x14ac:dyDescent="0.25">
      <c r="EL603">
        <v>2021</v>
      </c>
      <c r="EM603" t="s">
        <v>708</v>
      </c>
      <c r="EN603" t="s">
        <v>842</v>
      </c>
      <c r="EO603">
        <v>20.13</v>
      </c>
    </row>
    <row r="604" spans="142:145" x14ac:dyDescent="0.25">
      <c r="EL604">
        <v>2021</v>
      </c>
      <c r="EM604" t="s">
        <v>709</v>
      </c>
      <c r="EN604" t="s">
        <v>842</v>
      </c>
      <c r="EO604">
        <v>19.02</v>
      </c>
    </row>
    <row r="605" spans="142:145" x14ac:dyDescent="0.25">
      <c r="EL605">
        <v>2021</v>
      </c>
      <c r="EM605" t="s">
        <v>710</v>
      </c>
      <c r="EN605" t="s">
        <v>842</v>
      </c>
      <c r="EO605">
        <v>19.28</v>
      </c>
    </row>
    <row r="606" spans="142:145" x14ac:dyDescent="0.25">
      <c r="EL606">
        <v>2021</v>
      </c>
      <c r="EM606" t="s">
        <v>711</v>
      </c>
      <c r="EN606" t="s">
        <v>842</v>
      </c>
      <c r="EO606">
        <v>17.89</v>
      </c>
    </row>
    <row r="607" spans="142:145" x14ac:dyDescent="0.25">
      <c r="EL607">
        <v>2021</v>
      </c>
      <c r="EM607" t="s">
        <v>712</v>
      </c>
      <c r="EN607" t="s">
        <v>842</v>
      </c>
      <c r="EO607">
        <v>20.81</v>
      </c>
    </row>
    <row r="608" spans="142:145" x14ac:dyDescent="0.25">
      <c r="EL608">
        <v>2022</v>
      </c>
      <c r="EM608" t="s">
        <v>719</v>
      </c>
      <c r="EN608" t="s">
        <v>842</v>
      </c>
      <c r="EO608">
        <v>21.51</v>
      </c>
    </row>
    <row r="609" spans="142:145" x14ac:dyDescent="0.25">
      <c r="EL609">
        <v>2022</v>
      </c>
      <c r="EM609" t="s">
        <v>713</v>
      </c>
      <c r="EN609" t="s">
        <v>842</v>
      </c>
      <c r="EO609">
        <v>21.02</v>
      </c>
    </row>
    <row r="610" spans="142:145" x14ac:dyDescent="0.25">
      <c r="EL610">
        <v>2022</v>
      </c>
      <c r="EM610" t="s">
        <v>714</v>
      </c>
      <c r="EN610" t="s">
        <v>842</v>
      </c>
      <c r="EO610">
        <v>21.94</v>
      </c>
    </row>
    <row r="611" spans="142:145" x14ac:dyDescent="0.25">
      <c r="EL611">
        <v>2022</v>
      </c>
      <c r="EM611" t="s">
        <v>705</v>
      </c>
      <c r="EN611" t="s">
        <v>842</v>
      </c>
      <c r="EO611">
        <v>20.99</v>
      </c>
    </row>
    <row r="612" spans="142:145" x14ac:dyDescent="0.25">
      <c r="EL612">
        <v>2022</v>
      </c>
      <c r="EM612" t="s">
        <v>715</v>
      </c>
      <c r="EN612" t="s">
        <v>842</v>
      </c>
      <c r="EO612">
        <v>23.28</v>
      </c>
    </row>
    <row r="613" spans="142:145" x14ac:dyDescent="0.25">
      <c r="EL613">
        <v>2022</v>
      </c>
      <c r="EM613" t="s">
        <v>718</v>
      </c>
      <c r="EN613" t="s">
        <v>842</v>
      </c>
      <c r="EO613">
        <v>22.73</v>
      </c>
    </row>
    <row r="614" spans="142:145" x14ac:dyDescent="0.25">
      <c r="EL614">
        <v>2022</v>
      </c>
      <c r="EM614" t="s">
        <v>716</v>
      </c>
      <c r="EN614" t="s">
        <v>842</v>
      </c>
      <c r="EO614">
        <v>23.36</v>
      </c>
    </row>
    <row r="615" spans="142:145" x14ac:dyDescent="0.25">
      <c r="EL615">
        <v>2022</v>
      </c>
      <c r="EM615" t="s">
        <v>708</v>
      </c>
      <c r="EN615" t="s">
        <v>842</v>
      </c>
      <c r="EO615">
        <v>22.42</v>
      </c>
    </row>
    <row r="616" spans="142:145" x14ac:dyDescent="0.25">
      <c r="EL616">
        <v>2022</v>
      </c>
      <c r="EM616" t="s">
        <v>709</v>
      </c>
      <c r="EN616" t="s">
        <v>842</v>
      </c>
      <c r="EO616">
        <v>21.24</v>
      </c>
    </row>
    <row r="617" spans="142:145" x14ac:dyDescent="0.25">
      <c r="EL617">
        <v>2022</v>
      </c>
      <c r="EM617" t="s">
        <v>710</v>
      </c>
      <c r="EN617" t="s">
        <v>842</v>
      </c>
      <c r="EO617">
        <v>21.75</v>
      </c>
    </row>
    <row r="618" spans="142:145" x14ac:dyDescent="0.25">
      <c r="EL618">
        <v>2022</v>
      </c>
      <c r="EM618" t="s">
        <v>711</v>
      </c>
      <c r="EN618" t="s">
        <v>842</v>
      </c>
      <c r="EO618">
        <v>20.82</v>
      </c>
    </row>
    <row r="619" spans="142:145" x14ac:dyDescent="0.25">
      <c r="EL619">
        <v>2022</v>
      </c>
      <c r="EM619" t="s">
        <v>712</v>
      </c>
      <c r="EN619" t="s">
        <v>842</v>
      </c>
      <c r="EO619">
        <v>21.3</v>
      </c>
    </row>
    <row r="620" spans="142:145" x14ac:dyDescent="0.25">
      <c r="EL620">
        <v>2023</v>
      </c>
      <c r="EM620" t="s">
        <v>719</v>
      </c>
      <c r="EN620" t="s">
        <v>842</v>
      </c>
      <c r="EO620">
        <v>21.21</v>
      </c>
    </row>
    <row r="621" spans="142:145" x14ac:dyDescent="0.25">
      <c r="EL621">
        <v>2023</v>
      </c>
      <c r="EM621" t="s">
        <v>713</v>
      </c>
      <c r="EN621" t="s">
        <v>842</v>
      </c>
      <c r="EO621">
        <v>19.68</v>
      </c>
    </row>
    <row r="622" spans="142:145" x14ac:dyDescent="0.25">
      <c r="EL622">
        <v>2023</v>
      </c>
      <c r="EM622" t="s">
        <v>714</v>
      </c>
      <c r="EN622" t="s">
        <v>842</v>
      </c>
      <c r="EO622">
        <v>21.19</v>
      </c>
    </row>
    <row r="623" spans="142:145" x14ac:dyDescent="0.25">
      <c r="EL623">
        <v>2023</v>
      </c>
      <c r="EM623" t="s">
        <v>705</v>
      </c>
      <c r="EN623" t="s">
        <v>842</v>
      </c>
      <c r="EO623">
        <v>20.85</v>
      </c>
    </row>
    <row r="624" spans="142:145" x14ac:dyDescent="0.25">
      <c r="EL624">
        <v>2023</v>
      </c>
      <c r="EM624" t="s">
        <v>715</v>
      </c>
      <c r="EN624" t="s">
        <v>842</v>
      </c>
      <c r="EO624">
        <v>21.48</v>
      </c>
    </row>
    <row r="625" spans="142:145" x14ac:dyDescent="0.25">
      <c r="EL625">
        <v>2023</v>
      </c>
      <c r="EM625" t="s">
        <v>718</v>
      </c>
      <c r="EN625" t="s">
        <v>842</v>
      </c>
      <c r="EO625">
        <v>21.53</v>
      </c>
    </row>
    <row r="626" spans="142:145" x14ac:dyDescent="0.25">
      <c r="EL626">
        <v>2023</v>
      </c>
      <c r="EM626" t="s">
        <v>716</v>
      </c>
      <c r="EN626" t="s">
        <v>842</v>
      </c>
      <c r="EO626">
        <v>22.43</v>
      </c>
    </row>
    <row r="627" spans="142:145" x14ac:dyDescent="0.25">
      <c r="EL627">
        <v>2023</v>
      </c>
      <c r="EM627" t="s">
        <v>708</v>
      </c>
      <c r="EN627" t="s">
        <v>842</v>
      </c>
      <c r="EO627">
        <v>22.48</v>
      </c>
    </row>
    <row r="628" spans="142:145" x14ac:dyDescent="0.25">
      <c r="EL628">
        <v>2023</v>
      </c>
      <c r="EM628" t="s">
        <v>709</v>
      </c>
      <c r="EN628" t="s">
        <v>842</v>
      </c>
      <c r="EO628">
        <v>21.49</v>
      </c>
    </row>
    <row r="629" spans="142:145" x14ac:dyDescent="0.25">
      <c r="EL629">
        <v>1997</v>
      </c>
      <c r="EM629" t="s">
        <v>760</v>
      </c>
      <c r="EN629" t="s">
        <v>843</v>
      </c>
      <c r="EO629">
        <v>111.197</v>
      </c>
    </row>
    <row r="630" spans="142:145" x14ac:dyDescent="0.25">
      <c r="EL630">
        <v>1997</v>
      </c>
      <c r="EM630" t="s">
        <v>761</v>
      </c>
      <c r="EN630" t="s">
        <v>843</v>
      </c>
      <c r="EO630">
        <v>107.88</v>
      </c>
    </row>
    <row r="631" spans="142:145" x14ac:dyDescent="0.25">
      <c r="EL631">
        <v>1997</v>
      </c>
      <c r="EM631" t="s">
        <v>762</v>
      </c>
      <c r="EN631" t="s">
        <v>843</v>
      </c>
      <c r="EO631">
        <v>103.509</v>
      </c>
    </row>
    <row r="632" spans="142:145" x14ac:dyDescent="0.25">
      <c r="EL632">
        <v>1998</v>
      </c>
      <c r="EM632" t="s">
        <v>763</v>
      </c>
      <c r="EN632" t="s">
        <v>843</v>
      </c>
      <c r="EO632">
        <v>111.197</v>
      </c>
    </row>
    <row r="633" spans="142:145" x14ac:dyDescent="0.25">
      <c r="EL633">
        <v>1998</v>
      </c>
      <c r="EM633" t="s">
        <v>764</v>
      </c>
      <c r="EN633" t="s">
        <v>843</v>
      </c>
      <c r="EO633">
        <v>121.04400000000001</v>
      </c>
    </row>
    <row r="634" spans="142:145" x14ac:dyDescent="0.25">
      <c r="EL634">
        <v>1998</v>
      </c>
      <c r="EM634" t="s">
        <v>765</v>
      </c>
      <c r="EN634" t="s">
        <v>843</v>
      </c>
      <c r="EO634">
        <v>145.607</v>
      </c>
    </row>
    <row r="635" spans="142:145" x14ac:dyDescent="0.25">
      <c r="EL635">
        <v>1998</v>
      </c>
      <c r="EM635" t="s">
        <v>767</v>
      </c>
      <c r="EN635" t="s">
        <v>843</v>
      </c>
      <c r="EO635">
        <v>135.44999999999999</v>
      </c>
    </row>
    <row r="636" spans="142:145" x14ac:dyDescent="0.25">
      <c r="EL636">
        <v>1998</v>
      </c>
      <c r="EM636" t="s">
        <v>715</v>
      </c>
      <c r="EN636" t="s">
        <v>843</v>
      </c>
      <c r="EO636">
        <v>147.095</v>
      </c>
    </row>
    <row r="637" spans="142:145" x14ac:dyDescent="0.25">
      <c r="EL637">
        <v>1998</v>
      </c>
      <c r="EM637" t="s">
        <v>718</v>
      </c>
      <c r="EN637" t="s">
        <v>843</v>
      </c>
      <c r="EO637">
        <v>132.81</v>
      </c>
    </row>
    <row r="638" spans="142:145" x14ac:dyDescent="0.25">
      <c r="EL638">
        <v>1998</v>
      </c>
      <c r="EM638" t="s">
        <v>716</v>
      </c>
      <c r="EN638" t="s">
        <v>843</v>
      </c>
      <c r="EO638">
        <v>128.40200000000002</v>
      </c>
    </row>
    <row r="639" spans="142:145" x14ac:dyDescent="0.25">
      <c r="EL639">
        <v>1998</v>
      </c>
      <c r="EM639" t="s">
        <v>768</v>
      </c>
      <c r="EN639" t="s">
        <v>843</v>
      </c>
      <c r="EO639">
        <v>119.691</v>
      </c>
    </row>
    <row r="640" spans="142:145" x14ac:dyDescent="0.25">
      <c r="EL640">
        <v>1998</v>
      </c>
      <c r="EM640" t="s">
        <v>769</v>
      </c>
      <c r="EN640" t="s">
        <v>843</v>
      </c>
      <c r="EO640">
        <v>113.88</v>
      </c>
    </row>
    <row r="641" spans="142:145" x14ac:dyDescent="0.25">
      <c r="EL641">
        <v>1998</v>
      </c>
      <c r="EM641" t="s">
        <v>760</v>
      </c>
      <c r="EN641" t="s">
        <v>843</v>
      </c>
      <c r="EO641">
        <v>108.221</v>
      </c>
    </row>
    <row r="642" spans="142:145" x14ac:dyDescent="0.25">
      <c r="EL642">
        <v>1998</v>
      </c>
      <c r="EM642" t="s">
        <v>771</v>
      </c>
      <c r="EN642" t="s">
        <v>843</v>
      </c>
      <c r="EO642">
        <v>96.81</v>
      </c>
    </row>
    <row r="643" spans="142:145" x14ac:dyDescent="0.25">
      <c r="EL643">
        <v>1998</v>
      </c>
      <c r="EM643" t="s">
        <v>762</v>
      </c>
      <c r="EN643" t="s">
        <v>843</v>
      </c>
      <c r="EO643">
        <v>96.379000000000005</v>
      </c>
    </row>
    <row r="644" spans="142:145" x14ac:dyDescent="0.25">
      <c r="EL644">
        <v>1999</v>
      </c>
      <c r="EM644" t="s">
        <v>763</v>
      </c>
      <c r="EN644" t="s">
        <v>843</v>
      </c>
      <c r="EO644">
        <v>101.587</v>
      </c>
    </row>
    <row r="645" spans="142:145" x14ac:dyDescent="0.25">
      <c r="EL645">
        <v>1999</v>
      </c>
      <c r="EM645" t="s">
        <v>772</v>
      </c>
      <c r="EN645" t="s">
        <v>843</v>
      </c>
      <c r="EO645">
        <v>91.195999999999998</v>
      </c>
    </row>
    <row r="646" spans="142:145" x14ac:dyDescent="0.25">
      <c r="EL646">
        <v>1999</v>
      </c>
      <c r="EM646" t="s">
        <v>773</v>
      </c>
      <c r="EN646" t="s">
        <v>843</v>
      </c>
      <c r="EO646">
        <v>109.36799999999999</v>
      </c>
    </row>
    <row r="647" spans="142:145" x14ac:dyDescent="0.25">
      <c r="EL647">
        <v>1999</v>
      </c>
      <c r="EM647" t="s">
        <v>774</v>
      </c>
      <c r="EN647" t="s">
        <v>843</v>
      </c>
      <c r="EO647">
        <v>109.74</v>
      </c>
    </row>
    <row r="648" spans="142:145" x14ac:dyDescent="0.25">
      <c r="EL648">
        <v>1999</v>
      </c>
      <c r="EM648" t="s">
        <v>715</v>
      </c>
      <c r="EN648" t="s">
        <v>843</v>
      </c>
      <c r="EO648">
        <v>114.297</v>
      </c>
    </row>
    <row r="649" spans="142:145" x14ac:dyDescent="0.25">
      <c r="EL649">
        <v>1999</v>
      </c>
      <c r="EM649" t="s">
        <v>718</v>
      </c>
      <c r="EN649" t="s">
        <v>843</v>
      </c>
      <c r="EO649">
        <v>111.42</v>
      </c>
    </row>
    <row r="650" spans="142:145" x14ac:dyDescent="0.25">
      <c r="EL650">
        <v>1999</v>
      </c>
      <c r="EM650" t="s">
        <v>716</v>
      </c>
      <c r="EN650" t="s">
        <v>843</v>
      </c>
      <c r="EO650">
        <v>116.467</v>
      </c>
    </row>
    <row r="651" spans="142:145" x14ac:dyDescent="0.25">
      <c r="EL651">
        <v>1999</v>
      </c>
      <c r="EM651" t="s">
        <v>708</v>
      </c>
      <c r="EN651" t="s">
        <v>843</v>
      </c>
      <c r="EO651">
        <v>107.07400000000001</v>
      </c>
    </row>
    <row r="652" spans="142:145" x14ac:dyDescent="0.25">
      <c r="EL652">
        <v>1999</v>
      </c>
      <c r="EM652" t="s">
        <v>709</v>
      </c>
      <c r="EN652" t="s">
        <v>843</v>
      </c>
      <c r="EO652">
        <v>111.27</v>
      </c>
    </row>
    <row r="653" spans="142:145" x14ac:dyDescent="0.25">
      <c r="EL653">
        <v>1999</v>
      </c>
      <c r="EM653" t="s">
        <v>710</v>
      </c>
      <c r="EN653" t="s">
        <v>843</v>
      </c>
      <c r="EO653">
        <v>105.39999999999999</v>
      </c>
    </row>
    <row r="654" spans="142:145" x14ac:dyDescent="0.25">
      <c r="EL654">
        <v>1999</v>
      </c>
      <c r="EM654" t="s">
        <v>711</v>
      </c>
      <c r="EN654" t="s">
        <v>843</v>
      </c>
      <c r="EO654">
        <v>97.559999999999988</v>
      </c>
    </row>
    <row r="655" spans="142:145" x14ac:dyDescent="0.25">
      <c r="EL655">
        <v>1999</v>
      </c>
      <c r="EM655" t="s">
        <v>712</v>
      </c>
      <c r="EN655" t="s">
        <v>843</v>
      </c>
      <c r="EO655">
        <v>98.300999999999988</v>
      </c>
    </row>
    <row r="656" spans="142:145" x14ac:dyDescent="0.25">
      <c r="EL656">
        <v>2000</v>
      </c>
      <c r="EM656" t="s">
        <v>719</v>
      </c>
      <c r="EN656" t="s">
        <v>843</v>
      </c>
      <c r="EO656">
        <v>97.277999999999992</v>
      </c>
    </row>
    <row r="657" spans="142:145" x14ac:dyDescent="0.25">
      <c r="EL657">
        <v>2000</v>
      </c>
      <c r="EM657" t="s">
        <v>713</v>
      </c>
      <c r="EN657" t="s">
        <v>843</v>
      </c>
      <c r="EO657">
        <v>95.960999999999999</v>
      </c>
    </row>
    <row r="658" spans="142:145" x14ac:dyDescent="0.25">
      <c r="EL658">
        <v>2000</v>
      </c>
      <c r="EM658" t="s">
        <v>714</v>
      </c>
      <c r="EN658" t="s">
        <v>843</v>
      </c>
      <c r="EO658">
        <v>112.995</v>
      </c>
    </row>
    <row r="659" spans="142:145" x14ac:dyDescent="0.25">
      <c r="EL659">
        <v>2000</v>
      </c>
      <c r="EM659" t="s">
        <v>705</v>
      </c>
      <c r="EN659" t="s">
        <v>843</v>
      </c>
      <c r="EO659">
        <v>115.5</v>
      </c>
    </row>
    <row r="660" spans="142:145" x14ac:dyDescent="0.25">
      <c r="EL660">
        <v>2000</v>
      </c>
      <c r="EM660" t="s">
        <v>715</v>
      </c>
      <c r="EN660" t="s">
        <v>843</v>
      </c>
      <c r="EO660">
        <v>117.86199999999999</v>
      </c>
    </row>
    <row r="661" spans="142:145" x14ac:dyDescent="0.25">
      <c r="EL661">
        <v>2000</v>
      </c>
      <c r="EM661" t="s">
        <v>718</v>
      </c>
      <c r="EN661" t="s">
        <v>843</v>
      </c>
      <c r="EO661">
        <v>110.82</v>
      </c>
    </row>
    <row r="662" spans="142:145" x14ac:dyDescent="0.25">
      <c r="EL662">
        <v>2000</v>
      </c>
      <c r="EM662" t="s">
        <v>716</v>
      </c>
      <c r="EN662" t="s">
        <v>843</v>
      </c>
      <c r="EO662">
        <v>116.622</v>
      </c>
    </row>
    <row r="663" spans="142:145" x14ac:dyDescent="0.25">
      <c r="EL663">
        <v>2000</v>
      </c>
      <c r="EM663" t="s">
        <v>708</v>
      </c>
      <c r="EN663" t="s">
        <v>843</v>
      </c>
      <c r="EO663">
        <v>112.22</v>
      </c>
    </row>
    <row r="664" spans="142:145" x14ac:dyDescent="0.25">
      <c r="EL664">
        <v>2000</v>
      </c>
      <c r="EM664" t="s">
        <v>709</v>
      </c>
      <c r="EN664" t="s">
        <v>843</v>
      </c>
      <c r="EO664">
        <v>106.8</v>
      </c>
    </row>
    <row r="665" spans="142:145" x14ac:dyDescent="0.25">
      <c r="EL665">
        <v>2000</v>
      </c>
      <c r="EM665" t="s">
        <v>710</v>
      </c>
      <c r="EN665" t="s">
        <v>843</v>
      </c>
      <c r="EO665">
        <v>106.175</v>
      </c>
    </row>
    <row r="666" spans="142:145" x14ac:dyDescent="0.25">
      <c r="EL666">
        <v>2000</v>
      </c>
      <c r="EM666" t="s">
        <v>711</v>
      </c>
      <c r="EN666" t="s">
        <v>843</v>
      </c>
      <c r="EO666">
        <v>93.600000000000009</v>
      </c>
    </row>
    <row r="667" spans="142:145" x14ac:dyDescent="0.25">
      <c r="EL667">
        <v>2000</v>
      </c>
      <c r="EM667" t="s">
        <v>712</v>
      </c>
      <c r="EN667" t="s">
        <v>843</v>
      </c>
      <c r="EO667">
        <v>93.774999999999991</v>
      </c>
    </row>
    <row r="668" spans="142:145" x14ac:dyDescent="0.25">
      <c r="EL668">
        <v>2001</v>
      </c>
      <c r="EM668" t="s">
        <v>719</v>
      </c>
      <c r="EN668" t="s">
        <v>843</v>
      </c>
      <c r="EO668">
        <v>88.876999999999995</v>
      </c>
    </row>
    <row r="669" spans="142:145" x14ac:dyDescent="0.25">
      <c r="EL669">
        <v>2001</v>
      </c>
      <c r="EM669" t="s">
        <v>713</v>
      </c>
      <c r="EN669" t="s">
        <v>843</v>
      </c>
      <c r="EO669">
        <v>89.712000000000003</v>
      </c>
    </row>
    <row r="670" spans="142:145" x14ac:dyDescent="0.25">
      <c r="EL670">
        <v>2001</v>
      </c>
      <c r="EM670" t="s">
        <v>714</v>
      </c>
      <c r="EN670" t="s">
        <v>843</v>
      </c>
      <c r="EO670">
        <v>105.245</v>
      </c>
    </row>
    <row r="671" spans="142:145" x14ac:dyDescent="0.25">
      <c r="EL671">
        <v>2001</v>
      </c>
      <c r="EM671" t="s">
        <v>705</v>
      </c>
      <c r="EN671" t="s">
        <v>843</v>
      </c>
      <c r="EO671">
        <v>107.73</v>
      </c>
    </row>
    <row r="672" spans="142:145" x14ac:dyDescent="0.25">
      <c r="EL672">
        <v>2001</v>
      </c>
      <c r="EM672" t="s">
        <v>715</v>
      </c>
      <c r="EN672" t="s">
        <v>843</v>
      </c>
      <c r="EO672">
        <v>113.646</v>
      </c>
    </row>
    <row r="673" spans="142:145" x14ac:dyDescent="0.25">
      <c r="EL673">
        <v>2001</v>
      </c>
      <c r="EM673" t="s">
        <v>718</v>
      </c>
      <c r="EN673" t="s">
        <v>843</v>
      </c>
      <c r="EO673">
        <v>114.66</v>
      </c>
    </row>
    <row r="674" spans="142:145" x14ac:dyDescent="0.25">
      <c r="EL674">
        <v>2001</v>
      </c>
      <c r="EM674" t="s">
        <v>716</v>
      </c>
      <c r="EN674" t="s">
        <v>843</v>
      </c>
      <c r="EO674">
        <v>118.51300000000001</v>
      </c>
    </row>
    <row r="675" spans="142:145" x14ac:dyDescent="0.25">
      <c r="EL675">
        <v>2001</v>
      </c>
      <c r="EM675" t="s">
        <v>708</v>
      </c>
      <c r="EN675" t="s">
        <v>843</v>
      </c>
      <c r="EO675">
        <v>117.428</v>
      </c>
    </row>
    <row r="676" spans="142:145" x14ac:dyDescent="0.25">
      <c r="EL676">
        <v>2001</v>
      </c>
      <c r="EM676" t="s">
        <v>709</v>
      </c>
      <c r="EN676" t="s">
        <v>843</v>
      </c>
      <c r="EO676">
        <v>111.3</v>
      </c>
    </row>
    <row r="677" spans="142:145" x14ac:dyDescent="0.25">
      <c r="EL677">
        <v>2001</v>
      </c>
      <c r="EM677" t="s">
        <v>710</v>
      </c>
      <c r="EN677" t="s">
        <v>843</v>
      </c>
      <c r="EO677">
        <v>109.523</v>
      </c>
    </row>
    <row r="678" spans="142:145" x14ac:dyDescent="0.25">
      <c r="EL678">
        <v>2001</v>
      </c>
      <c r="EM678" t="s">
        <v>711</v>
      </c>
      <c r="EN678" t="s">
        <v>843</v>
      </c>
      <c r="EO678">
        <v>96.42</v>
      </c>
    </row>
    <row r="679" spans="142:145" x14ac:dyDescent="0.25">
      <c r="EL679">
        <v>2001</v>
      </c>
      <c r="EM679" t="s">
        <v>712</v>
      </c>
      <c r="EN679" t="s">
        <v>843</v>
      </c>
      <c r="EO679">
        <v>99.882000000000005</v>
      </c>
    </row>
    <row r="680" spans="142:145" x14ac:dyDescent="0.25">
      <c r="EL680">
        <v>2002</v>
      </c>
      <c r="EM680" t="s">
        <v>719</v>
      </c>
      <c r="EN680" t="s">
        <v>843</v>
      </c>
      <c r="EO680">
        <v>93.248000000000005</v>
      </c>
    </row>
    <row r="681" spans="142:145" x14ac:dyDescent="0.25">
      <c r="EL681">
        <v>2002</v>
      </c>
      <c r="EM681" t="s">
        <v>713</v>
      </c>
      <c r="EN681" t="s">
        <v>843</v>
      </c>
      <c r="EO681">
        <v>81.368000000000009</v>
      </c>
    </row>
    <row r="682" spans="142:145" x14ac:dyDescent="0.25">
      <c r="EL682">
        <v>2002</v>
      </c>
      <c r="EM682" t="s">
        <v>714</v>
      </c>
      <c r="EN682" t="s">
        <v>843</v>
      </c>
      <c r="EO682">
        <v>93.713000000000008</v>
      </c>
    </row>
    <row r="683" spans="142:145" x14ac:dyDescent="0.25">
      <c r="EL683">
        <v>2002</v>
      </c>
      <c r="EM683" t="s">
        <v>705</v>
      </c>
      <c r="EN683" t="s">
        <v>843</v>
      </c>
      <c r="EO683">
        <v>96.78</v>
      </c>
    </row>
    <row r="684" spans="142:145" x14ac:dyDescent="0.25">
      <c r="EL684">
        <v>2002</v>
      </c>
      <c r="EM684" t="s">
        <v>715</v>
      </c>
      <c r="EN684" t="s">
        <v>843</v>
      </c>
      <c r="EO684">
        <v>106.485</v>
      </c>
    </row>
    <row r="685" spans="142:145" x14ac:dyDescent="0.25">
      <c r="EL685">
        <v>2002</v>
      </c>
      <c r="EM685" t="s">
        <v>718</v>
      </c>
      <c r="EN685" t="s">
        <v>843</v>
      </c>
      <c r="EO685">
        <v>106.61999999999999</v>
      </c>
    </row>
    <row r="686" spans="142:145" x14ac:dyDescent="0.25">
      <c r="EL686">
        <v>2002</v>
      </c>
      <c r="EM686" t="s">
        <v>716</v>
      </c>
      <c r="EN686" t="s">
        <v>843</v>
      </c>
      <c r="EO686">
        <v>112.747</v>
      </c>
    </row>
    <row r="687" spans="142:145" x14ac:dyDescent="0.25">
      <c r="EL687">
        <v>2002</v>
      </c>
      <c r="EM687" t="s">
        <v>708</v>
      </c>
      <c r="EN687" t="s">
        <v>843</v>
      </c>
      <c r="EO687">
        <v>107.41499999999999</v>
      </c>
    </row>
    <row r="688" spans="142:145" x14ac:dyDescent="0.25">
      <c r="EL688">
        <v>2002</v>
      </c>
      <c r="EM688" t="s">
        <v>709</v>
      </c>
      <c r="EN688" t="s">
        <v>843</v>
      </c>
      <c r="EO688">
        <v>105.6</v>
      </c>
    </row>
    <row r="689" spans="142:145" x14ac:dyDescent="0.25">
      <c r="EL689">
        <v>2002</v>
      </c>
      <c r="EM689" t="s">
        <v>710</v>
      </c>
      <c r="EN689" t="s">
        <v>843</v>
      </c>
      <c r="EO689">
        <v>106.82600000000001</v>
      </c>
    </row>
    <row r="690" spans="142:145" x14ac:dyDescent="0.25">
      <c r="EL690">
        <v>2002</v>
      </c>
      <c r="EM690" t="s">
        <v>711</v>
      </c>
      <c r="EN690" t="s">
        <v>843</v>
      </c>
      <c r="EO690">
        <v>99.78</v>
      </c>
    </row>
    <row r="691" spans="142:145" x14ac:dyDescent="0.25">
      <c r="EL691">
        <v>2002</v>
      </c>
      <c r="EM691" t="s">
        <v>712</v>
      </c>
      <c r="EN691" t="s">
        <v>843</v>
      </c>
      <c r="EO691">
        <v>104.625</v>
      </c>
    </row>
    <row r="692" spans="142:145" x14ac:dyDescent="0.25">
      <c r="EL692">
        <v>2003</v>
      </c>
      <c r="EM692" t="s">
        <v>719</v>
      </c>
      <c r="EN692" t="s">
        <v>843</v>
      </c>
      <c r="EO692">
        <v>98.611000000000004</v>
      </c>
    </row>
    <row r="693" spans="142:145" x14ac:dyDescent="0.25">
      <c r="EL693">
        <v>2003</v>
      </c>
      <c r="EM693" t="s">
        <v>713</v>
      </c>
      <c r="EN693" t="s">
        <v>843</v>
      </c>
      <c r="EO693">
        <v>101.248</v>
      </c>
    </row>
    <row r="694" spans="142:145" x14ac:dyDescent="0.25">
      <c r="EL694">
        <v>2003</v>
      </c>
      <c r="EM694" t="s">
        <v>714</v>
      </c>
      <c r="EN694" t="s">
        <v>843</v>
      </c>
      <c r="EO694">
        <v>126.78999999999999</v>
      </c>
    </row>
    <row r="695" spans="142:145" x14ac:dyDescent="0.25">
      <c r="EL695">
        <v>2003</v>
      </c>
      <c r="EM695" t="s">
        <v>705</v>
      </c>
      <c r="EN695" t="s">
        <v>843</v>
      </c>
      <c r="EO695">
        <v>120.83999999999999</v>
      </c>
    </row>
    <row r="696" spans="142:145" x14ac:dyDescent="0.25">
      <c r="EL696">
        <v>2003</v>
      </c>
      <c r="EM696" t="s">
        <v>715</v>
      </c>
      <c r="EN696" t="s">
        <v>843</v>
      </c>
      <c r="EO696">
        <v>128.40200000000002</v>
      </c>
    </row>
    <row r="697" spans="142:145" x14ac:dyDescent="0.25">
      <c r="EL697">
        <v>2003</v>
      </c>
      <c r="EM697" t="s">
        <v>718</v>
      </c>
      <c r="EN697" t="s">
        <v>843</v>
      </c>
      <c r="EO697">
        <v>139.47</v>
      </c>
    </row>
    <row r="698" spans="142:145" x14ac:dyDescent="0.25">
      <c r="EL698">
        <v>2003</v>
      </c>
      <c r="EM698" t="s">
        <v>716</v>
      </c>
      <c r="EN698" t="s">
        <v>843</v>
      </c>
      <c r="EO698">
        <v>146.53700000000001</v>
      </c>
    </row>
    <row r="699" spans="142:145" x14ac:dyDescent="0.25">
      <c r="EL699">
        <v>2003</v>
      </c>
      <c r="EM699" t="s">
        <v>708</v>
      </c>
      <c r="EN699" t="s">
        <v>843</v>
      </c>
      <c r="EO699">
        <v>125.581</v>
      </c>
    </row>
    <row r="700" spans="142:145" x14ac:dyDescent="0.25">
      <c r="EL700">
        <v>2003</v>
      </c>
      <c r="EM700" t="s">
        <v>709</v>
      </c>
      <c r="EN700" t="s">
        <v>843</v>
      </c>
      <c r="EO700">
        <v>138.57</v>
      </c>
    </row>
    <row r="701" spans="142:145" x14ac:dyDescent="0.25">
      <c r="EL701">
        <v>2003</v>
      </c>
      <c r="EM701" t="s">
        <v>710</v>
      </c>
      <c r="EN701" t="s">
        <v>843</v>
      </c>
      <c r="EO701">
        <v>107.81100000000001</v>
      </c>
    </row>
    <row r="702" spans="142:145" x14ac:dyDescent="0.25">
      <c r="EL702">
        <v>2003</v>
      </c>
      <c r="EM702" t="s">
        <v>711</v>
      </c>
      <c r="EN702" t="s">
        <v>843</v>
      </c>
      <c r="EO702">
        <v>128.96299999999999</v>
      </c>
    </row>
    <row r="703" spans="142:145" x14ac:dyDescent="0.25">
      <c r="EL703">
        <v>2003</v>
      </c>
      <c r="EM703" t="s">
        <v>712</v>
      </c>
      <c r="EN703" t="s">
        <v>843</v>
      </c>
      <c r="EO703">
        <v>127.967</v>
      </c>
    </row>
    <row r="704" spans="142:145" x14ac:dyDescent="0.25">
      <c r="EL704">
        <v>2004</v>
      </c>
      <c r="EM704" t="s">
        <v>719</v>
      </c>
      <c r="EN704" t="s">
        <v>843</v>
      </c>
      <c r="EO704">
        <v>106.877</v>
      </c>
    </row>
    <row r="705" spans="142:145" x14ac:dyDescent="0.25">
      <c r="EL705">
        <v>2004</v>
      </c>
      <c r="EM705" t="s">
        <v>713</v>
      </c>
      <c r="EN705" t="s">
        <v>843</v>
      </c>
      <c r="EO705">
        <v>109.029</v>
      </c>
    </row>
    <row r="706" spans="142:145" x14ac:dyDescent="0.25">
      <c r="EL706">
        <v>2004</v>
      </c>
      <c r="EM706" t="s">
        <v>714</v>
      </c>
      <c r="EN706" t="s">
        <v>843</v>
      </c>
      <c r="EO706">
        <v>94.593000000000004</v>
      </c>
    </row>
    <row r="707" spans="142:145" x14ac:dyDescent="0.25">
      <c r="EL707">
        <v>2004</v>
      </c>
      <c r="EM707" t="s">
        <v>705</v>
      </c>
      <c r="EN707" t="s">
        <v>843</v>
      </c>
      <c r="EO707">
        <v>106.754</v>
      </c>
    </row>
    <row r="708" spans="142:145" x14ac:dyDescent="0.25">
      <c r="EL708">
        <v>2004</v>
      </c>
      <c r="EM708" t="s">
        <v>715</v>
      </c>
      <c r="EN708" t="s">
        <v>843</v>
      </c>
      <c r="EO708">
        <v>123.56100000000001</v>
      </c>
    </row>
    <row r="709" spans="142:145" x14ac:dyDescent="0.25">
      <c r="EL709">
        <v>2004</v>
      </c>
      <c r="EM709" t="s">
        <v>718</v>
      </c>
      <c r="EN709" t="s">
        <v>843</v>
      </c>
      <c r="EO709">
        <v>116.82</v>
      </c>
    </row>
    <row r="710" spans="142:145" x14ac:dyDescent="0.25">
      <c r="EL710">
        <v>2004</v>
      </c>
      <c r="EM710" t="s">
        <v>716</v>
      </c>
      <c r="EN710" t="s">
        <v>843</v>
      </c>
      <c r="EO710">
        <v>121.41500000000001</v>
      </c>
    </row>
    <row r="711" spans="142:145" x14ac:dyDescent="0.25">
      <c r="EL711">
        <v>2004</v>
      </c>
      <c r="EM711" t="s">
        <v>708</v>
      </c>
      <c r="EN711" t="s">
        <v>843</v>
      </c>
      <c r="EO711">
        <v>115.47190000000001</v>
      </c>
    </row>
    <row r="712" spans="142:145" x14ac:dyDescent="0.25">
      <c r="EL712">
        <v>2004</v>
      </c>
      <c r="EM712" t="s">
        <v>709</v>
      </c>
      <c r="EN712" t="s">
        <v>843</v>
      </c>
      <c r="EO712">
        <v>113.15300000000001</v>
      </c>
    </row>
    <row r="713" spans="142:145" x14ac:dyDescent="0.25">
      <c r="EL713">
        <v>2004</v>
      </c>
      <c r="EM713" t="s">
        <v>710</v>
      </c>
      <c r="EN713" t="s">
        <v>843</v>
      </c>
      <c r="EO713">
        <v>100.21599999999999</v>
      </c>
    </row>
    <row r="714" spans="142:145" x14ac:dyDescent="0.25">
      <c r="EL714">
        <v>2004</v>
      </c>
      <c r="EM714" t="s">
        <v>711</v>
      </c>
      <c r="EN714" t="s">
        <v>843</v>
      </c>
      <c r="EO714">
        <v>100.447</v>
      </c>
    </row>
    <row r="715" spans="142:145" x14ac:dyDescent="0.25">
      <c r="EL715">
        <v>2004</v>
      </c>
      <c r="EM715" t="s">
        <v>712</v>
      </c>
      <c r="EN715" t="s">
        <v>843</v>
      </c>
      <c r="EO715">
        <v>99.003</v>
      </c>
    </row>
    <row r="716" spans="142:145" x14ac:dyDescent="0.25">
      <c r="EL716">
        <v>2005</v>
      </c>
      <c r="EM716" t="s">
        <v>719</v>
      </c>
      <c r="EN716" t="s">
        <v>843</v>
      </c>
      <c r="EO716">
        <v>101.748</v>
      </c>
    </row>
    <row r="717" spans="142:145" x14ac:dyDescent="0.25">
      <c r="EL717">
        <v>2005</v>
      </c>
      <c r="EM717" t="s">
        <v>713</v>
      </c>
      <c r="EN717" t="s">
        <v>843</v>
      </c>
      <c r="EO717">
        <v>89.867000000000004</v>
      </c>
    </row>
    <row r="718" spans="142:145" x14ac:dyDescent="0.25">
      <c r="EL718">
        <v>2005</v>
      </c>
      <c r="EM718" t="s">
        <v>714</v>
      </c>
      <c r="EN718" t="s">
        <v>843</v>
      </c>
      <c r="EO718">
        <v>99.703000000000003</v>
      </c>
    </row>
    <row r="719" spans="142:145" x14ac:dyDescent="0.25">
      <c r="EL719">
        <v>2005</v>
      </c>
      <c r="EM719" t="s">
        <v>705</v>
      </c>
      <c r="EN719" t="s">
        <v>843</v>
      </c>
      <c r="EO719">
        <v>116.99299999999999</v>
      </c>
    </row>
    <row r="720" spans="142:145" x14ac:dyDescent="0.25">
      <c r="EL720">
        <v>2005</v>
      </c>
      <c r="EM720" t="s">
        <v>715</v>
      </c>
      <c r="EN720" t="s">
        <v>843</v>
      </c>
      <c r="EO720">
        <v>121.667</v>
      </c>
    </row>
    <row r="721" spans="142:145" x14ac:dyDescent="0.25">
      <c r="EL721">
        <v>2005</v>
      </c>
      <c r="EM721" t="s">
        <v>718</v>
      </c>
      <c r="EN721" t="s">
        <v>843</v>
      </c>
      <c r="EO721">
        <v>116.399</v>
      </c>
    </row>
    <row r="722" spans="142:145" x14ac:dyDescent="0.25">
      <c r="EL722">
        <v>2005</v>
      </c>
      <c r="EM722" t="s">
        <v>716</v>
      </c>
      <c r="EN722" t="s">
        <v>843</v>
      </c>
      <c r="EO722">
        <v>124.518</v>
      </c>
    </row>
    <row r="723" spans="142:145" x14ac:dyDescent="0.25">
      <c r="EL723">
        <v>2005</v>
      </c>
      <c r="EM723" t="s">
        <v>708</v>
      </c>
      <c r="EN723" t="s">
        <v>843</v>
      </c>
      <c r="EO723">
        <v>115.07</v>
      </c>
    </row>
    <row r="724" spans="142:145" x14ac:dyDescent="0.25">
      <c r="EL724">
        <v>2005</v>
      </c>
      <c r="EM724" t="s">
        <v>709</v>
      </c>
      <c r="EN724" t="s">
        <v>843</v>
      </c>
      <c r="EO724">
        <v>108.313</v>
      </c>
    </row>
    <row r="725" spans="142:145" x14ac:dyDescent="0.25">
      <c r="EL725">
        <v>2005</v>
      </c>
      <c r="EM725" t="s">
        <v>710</v>
      </c>
      <c r="EN725" t="s">
        <v>843</v>
      </c>
      <c r="EO725">
        <v>126.68300000000001</v>
      </c>
    </row>
    <row r="726" spans="142:145" x14ac:dyDescent="0.25">
      <c r="EL726">
        <v>2005</v>
      </c>
      <c r="EM726" t="s">
        <v>711</v>
      </c>
      <c r="EN726" t="s">
        <v>843</v>
      </c>
      <c r="EO726">
        <v>120.033</v>
      </c>
    </row>
    <row r="727" spans="142:145" x14ac:dyDescent="0.25">
      <c r="EL727">
        <v>2005</v>
      </c>
      <c r="EM727" t="s">
        <v>712</v>
      </c>
      <c r="EN727" t="s">
        <v>843</v>
      </c>
      <c r="EO727">
        <v>124.453</v>
      </c>
    </row>
    <row r="728" spans="142:145" x14ac:dyDescent="0.25">
      <c r="EL728">
        <v>2006</v>
      </c>
      <c r="EM728" t="s">
        <v>719</v>
      </c>
      <c r="EN728" t="s">
        <v>843</v>
      </c>
      <c r="EO728">
        <v>126.26900000000001</v>
      </c>
    </row>
    <row r="729" spans="142:145" x14ac:dyDescent="0.25">
      <c r="EL729">
        <v>2006</v>
      </c>
      <c r="EM729" t="s">
        <v>713</v>
      </c>
      <c r="EN729" t="s">
        <v>843</v>
      </c>
      <c r="EO729">
        <v>119.328</v>
      </c>
    </row>
    <row r="730" spans="142:145" x14ac:dyDescent="0.25">
      <c r="EL730">
        <v>2006</v>
      </c>
      <c r="EM730" t="s">
        <v>714</v>
      </c>
      <c r="EN730" t="s">
        <v>843</v>
      </c>
      <c r="EO730">
        <v>126.236</v>
      </c>
    </row>
    <row r="731" spans="142:145" x14ac:dyDescent="0.25">
      <c r="EL731">
        <v>2006</v>
      </c>
      <c r="EM731" t="s">
        <v>705</v>
      </c>
      <c r="EN731" t="s">
        <v>843</v>
      </c>
      <c r="EO731">
        <v>136.74600000000001</v>
      </c>
    </row>
    <row r="732" spans="142:145" x14ac:dyDescent="0.25">
      <c r="EL732">
        <v>2006</v>
      </c>
      <c r="EM732" t="s">
        <v>715</v>
      </c>
      <c r="EN732" t="s">
        <v>843</v>
      </c>
      <c r="EO732">
        <v>125.98099999999999</v>
      </c>
    </row>
    <row r="733" spans="142:145" x14ac:dyDescent="0.25">
      <c r="EL733">
        <v>2006</v>
      </c>
      <c r="EM733" t="s">
        <v>718</v>
      </c>
      <c r="EN733" t="s">
        <v>843</v>
      </c>
      <c r="EO733">
        <v>124.70399999999999</v>
      </c>
    </row>
    <row r="734" spans="142:145" x14ac:dyDescent="0.25">
      <c r="EL734">
        <v>2006</v>
      </c>
      <c r="EM734" t="s">
        <v>716</v>
      </c>
      <c r="EN734" t="s">
        <v>843</v>
      </c>
      <c r="EO734">
        <v>131.26900000000001</v>
      </c>
    </row>
    <row r="735" spans="142:145" x14ac:dyDescent="0.25">
      <c r="EL735">
        <v>2006</v>
      </c>
      <c r="EM735" t="s">
        <v>708</v>
      </c>
      <c r="EN735" t="s">
        <v>843</v>
      </c>
      <c r="EO735">
        <v>114.72799999999999</v>
      </c>
    </row>
    <row r="736" spans="142:145" x14ac:dyDescent="0.25">
      <c r="EL736">
        <v>2006</v>
      </c>
      <c r="EM736" t="s">
        <v>709</v>
      </c>
      <c r="EN736" t="s">
        <v>843</v>
      </c>
      <c r="EO736">
        <v>116.57599999999999</v>
      </c>
    </row>
    <row r="737" spans="142:145" x14ac:dyDescent="0.25">
      <c r="EL737">
        <v>2006</v>
      </c>
      <c r="EM737" t="s">
        <v>710</v>
      </c>
      <c r="EN737" t="s">
        <v>843</v>
      </c>
      <c r="EO737">
        <v>120.53400000000001</v>
      </c>
    </row>
    <row r="738" spans="142:145" x14ac:dyDescent="0.25">
      <c r="EL738">
        <v>2006</v>
      </c>
      <c r="EM738" t="s">
        <v>711</v>
      </c>
      <c r="EN738" t="s">
        <v>843</v>
      </c>
      <c r="EO738">
        <v>105.295</v>
      </c>
    </row>
    <row r="739" spans="142:145" x14ac:dyDescent="0.25">
      <c r="EL739">
        <v>2006</v>
      </c>
      <c r="EM739" t="s">
        <v>712</v>
      </c>
      <c r="EN739" t="s">
        <v>843</v>
      </c>
      <c r="EO739">
        <v>102.542</v>
      </c>
    </row>
    <row r="740" spans="142:145" x14ac:dyDescent="0.25">
      <c r="EL740">
        <v>2007</v>
      </c>
      <c r="EM740" t="s">
        <v>719</v>
      </c>
      <c r="EN740" t="s">
        <v>843</v>
      </c>
      <c r="EO740">
        <v>106.249</v>
      </c>
    </row>
    <row r="741" spans="142:145" x14ac:dyDescent="0.25">
      <c r="EL741">
        <v>2007</v>
      </c>
      <c r="EM741" t="s">
        <v>713</v>
      </c>
      <c r="EN741" t="s">
        <v>843</v>
      </c>
      <c r="EO741">
        <v>94.706000000000003</v>
      </c>
    </row>
    <row r="742" spans="142:145" x14ac:dyDescent="0.25">
      <c r="EL742">
        <v>2007</v>
      </c>
      <c r="EM742" t="s">
        <v>714</v>
      </c>
      <c r="EN742" t="s">
        <v>843</v>
      </c>
      <c r="EO742">
        <v>116.16500000000001</v>
      </c>
    </row>
    <row r="743" spans="142:145" x14ac:dyDescent="0.25">
      <c r="EL743">
        <v>2007</v>
      </c>
      <c r="EM743" t="s">
        <v>705</v>
      </c>
      <c r="EN743" t="s">
        <v>843</v>
      </c>
      <c r="EO743">
        <v>112.892</v>
      </c>
    </row>
    <row r="744" spans="142:145" x14ac:dyDescent="0.25">
      <c r="EL744">
        <v>2007</v>
      </c>
      <c r="EM744" t="s">
        <v>715</v>
      </c>
      <c r="EN744" t="s">
        <v>843</v>
      </c>
      <c r="EO744">
        <v>110.268</v>
      </c>
    </row>
    <row r="745" spans="142:145" x14ac:dyDescent="0.25">
      <c r="EL745">
        <v>2007</v>
      </c>
      <c r="EM745" t="s">
        <v>718</v>
      </c>
      <c r="EN745" t="s">
        <v>843</v>
      </c>
      <c r="EO745">
        <v>101.398</v>
      </c>
    </row>
    <row r="746" spans="142:145" x14ac:dyDescent="0.25">
      <c r="EL746">
        <v>2007</v>
      </c>
      <c r="EM746" t="s">
        <v>716</v>
      </c>
      <c r="EN746" t="s">
        <v>843</v>
      </c>
      <c r="EO746">
        <v>96.518000000000001</v>
      </c>
    </row>
    <row r="747" spans="142:145" x14ac:dyDescent="0.25">
      <c r="EL747">
        <v>2007</v>
      </c>
      <c r="EM747" t="s">
        <v>708</v>
      </c>
      <c r="EN747" t="s">
        <v>843</v>
      </c>
      <c r="EO747">
        <v>92.804000000000002</v>
      </c>
    </row>
    <row r="748" spans="142:145" x14ac:dyDescent="0.25">
      <c r="EL748">
        <v>2007</v>
      </c>
      <c r="EM748" t="s">
        <v>709</v>
      </c>
      <c r="EN748" t="s">
        <v>843</v>
      </c>
      <c r="EO748">
        <v>88.375</v>
      </c>
    </row>
    <row r="749" spans="142:145" x14ac:dyDescent="0.25">
      <c r="EL749">
        <v>2007</v>
      </c>
      <c r="EM749" t="s">
        <v>710</v>
      </c>
      <c r="EN749" t="s">
        <v>843</v>
      </c>
      <c r="EO749">
        <v>91.756</v>
      </c>
    </row>
    <row r="750" spans="142:145" x14ac:dyDescent="0.25">
      <c r="EL750">
        <v>2007</v>
      </c>
      <c r="EM750" t="s">
        <v>711</v>
      </c>
      <c r="EN750" t="s">
        <v>843</v>
      </c>
      <c r="EO750">
        <v>86.581999999999994</v>
      </c>
    </row>
    <row r="751" spans="142:145" x14ac:dyDescent="0.25">
      <c r="EL751">
        <v>2007</v>
      </c>
      <c r="EM751" t="s">
        <v>712</v>
      </c>
      <c r="EN751" t="s">
        <v>843</v>
      </c>
      <c r="EO751">
        <v>89.837000000000003</v>
      </c>
    </row>
    <row r="752" spans="142:145" x14ac:dyDescent="0.25">
      <c r="EL752">
        <v>2008</v>
      </c>
      <c r="EM752" t="s">
        <v>719</v>
      </c>
      <c r="EN752" t="s">
        <v>843</v>
      </c>
      <c r="EO752">
        <v>92.85</v>
      </c>
    </row>
    <row r="753" spans="142:145" x14ac:dyDescent="0.25">
      <c r="EL753">
        <v>2008</v>
      </c>
      <c r="EM753" t="s">
        <v>713</v>
      </c>
      <c r="EN753" t="s">
        <v>843</v>
      </c>
      <c r="EO753">
        <v>92.634657234000002</v>
      </c>
    </row>
    <row r="754" spans="142:145" x14ac:dyDescent="0.25">
      <c r="EL754">
        <v>2008</v>
      </c>
      <c r="EM754" t="s">
        <v>714</v>
      </c>
      <c r="EN754" t="s">
        <v>843</v>
      </c>
      <c r="EO754">
        <v>102.643</v>
      </c>
    </row>
    <row r="755" spans="142:145" x14ac:dyDescent="0.25">
      <c r="EL755">
        <v>2008</v>
      </c>
      <c r="EM755" t="s">
        <v>705</v>
      </c>
      <c r="EN755" t="s">
        <v>843</v>
      </c>
      <c r="EO755">
        <v>105.089</v>
      </c>
    </row>
    <row r="756" spans="142:145" x14ac:dyDescent="0.25">
      <c r="EL756">
        <v>2008</v>
      </c>
      <c r="EM756" t="s">
        <v>715</v>
      </c>
      <c r="EN756" t="s">
        <v>843</v>
      </c>
      <c r="EO756">
        <v>125.801</v>
      </c>
    </row>
    <row r="757" spans="142:145" x14ac:dyDescent="0.25">
      <c r="EL757">
        <v>2008</v>
      </c>
      <c r="EM757" t="s">
        <v>718</v>
      </c>
      <c r="EN757" t="s">
        <v>843</v>
      </c>
      <c r="EO757">
        <v>111.57899999999999</v>
      </c>
    </row>
    <row r="758" spans="142:145" x14ac:dyDescent="0.25">
      <c r="EL758">
        <v>2008</v>
      </c>
      <c r="EM758" t="s">
        <v>716</v>
      </c>
      <c r="EN758" t="s">
        <v>843</v>
      </c>
      <c r="EO758">
        <v>106.49299999999999</v>
      </c>
    </row>
    <row r="759" spans="142:145" x14ac:dyDescent="0.25">
      <c r="EL759">
        <v>2008</v>
      </c>
      <c r="EM759" t="s">
        <v>708</v>
      </c>
      <c r="EN759" t="s">
        <v>843</v>
      </c>
      <c r="EO759">
        <v>96.274000000000001</v>
      </c>
    </row>
    <row r="760" spans="142:145" x14ac:dyDescent="0.25">
      <c r="EL760">
        <v>2008</v>
      </c>
      <c r="EM760" t="s">
        <v>709</v>
      </c>
      <c r="EN760" t="s">
        <v>843</v>
      </c>
      <c r="EO760">
        <v>101.22</v>
      </c>
    </row>
    <row r="761" spans="142:145" x14ac:dyDescent="0.25">
      <c r="EL761">
        <v>2008</v>
      </c>
      <c r="EM761" t="s">
        <v>710</v>
      </c>
      <c r="EN761" t="s">
        <v>843</v>
      </c>
      <c r="EO761">
        <v>98.792000000000002</v>
      </c>
    </row>
    <row r="762" spans="142:145" x14ac:dyDescent="0.25">
      <c r="EL762">
        <v>2008</v>
      </c>
      <c r="EM762" t="s">
        <v>711</v>
      </c>
      <c r="EN762" t="s">
        <v>843</v>
      </c>
      <c r="EO762">
        <v>93.373999999999995</v>
      </c>
    </row>
    <row r="763" spans="142:145" x14ac:dyDescent="0.25">
      <c r="EL763">
        <v>2008</v>
      </c>
      <c r="EM763" t="s">
        <v>712</v>
      </c>
      <c r="EN763" t="s">
        <v>843</v>
      </c>
      <c r="EO763">
        <v>101.384</v>
      </c>
    </row>
    <row r="764" spans="142:145" x14ac:dyDescent="0.25">
      <c r="EL764">
        <v>2009</v>
      </c>
      <c r="EM764" t="s">
        <v>719</v>
      </c>
      <c r="EN764" t="s">
        <v>843</v>
      </c>
      <c r="EO764">
        <v>105.83499999999999</v>
      </c>
    </row>
    <row r="765" spans="142:145" x14ac:dyDescent="0.25">
      <c r="EL765">
        <v>2009</v>
      </c>
      <c r="EM765" t="s">
        <v>713</v>
      </c>
      <c r="EN765" t="s">
        <v>843</v>
      </c>
      <c r="EO765">
        <v>94.584000000000003</v>
      </c>
    </row>
    <row r="766" spans="142:145" x14ac:dyDescent="0.25">
      <c r="EL766">
        <v>2009</v>
      </c>
      <c r="EM766" t="s">
        <v>714</v>
      </c>
      <c r="EN766" t="s">
        <v>843</v>
      </c>
      <c r="EO766">
        <v>101.744</v>
      </c>
    </row>
    <row r="767" spans="142:145" x14ac:dyDescent="0.25">
      <c r="EL767">
        <v>2009</v>
      </c>
      <c r="EM767" t="s">
        <v>705</v>
      </c>
      <c r="EN767" t="s">
        <v>843</v>
      </c>
      <c r="EO767">
        <v>103.608</v>
      </c>
    </row>
    <row r="768" spans="142:145" x14ac:dyDescent="0.25">
      <c r="EL768">
        <v>2009</v>
      </c>
      <c r="EM768" t="s">
        <v>715</v>
      </c>
      <c r="EN768" t="s">
        <v>843</v>
      </c>
      <c r="EO768">
        <v>116.63800000000001</v>
      </c>
    </row>
    <row r="769" spans="142:145" x14ac:dyDescent="0.25">
      <c r="EL769">
        <v>2009</v>
      </c>
      <c r="EM769" t="s">
        <v>718</v>
      </c>
      <c r="EN769" t="s">
        <v>843</v>
      </c>
      <c r="EO769">
        <v>115.12</v>
      </c>
    </row>
    <row r="770" spans="142:145" x14ac:dyDescent="0.25">
      <c r="EL770">
        <v>2009</v>
      </c>
      <c r="EM770" t="s">
        <v>716</v>
      </c>
      <c r="EN770" t="s">
        <v>843</v>
      </c>
      <c r="EO770">
        <v>112.989</v>
      </c>
    </row>
    <row r="771" spans="142:145" x14ac:dyDescent="0.25">
      <c r="EL771">
        <v>2009</v>
      </c>
      <c r="EM771" t="s">
        <v>708</v>
      </c>
      <c r="EN771" t="s">
        <v>843</v>
      </c>
      <c r="EO771">
        <v>100.494</v>
      </c>
    </row>
    <row r="772" spans="142:145" x14ac:dyDescent="0.25">
      <c r="EL772">
        <v>2009</v>
      </c>
      <c r="EM772" t="s">
        <v>709</v>
      </c>
      <c r="EN772" t="s">
        <v>843</v>
      </c>
      <c r="EO772">
        <v>97.352999999999994</v>
      </c>
    </row>
    <row r="773" spans="142:145" x14ac:dyDescent="0.25">
      <c r="EL773">
        <v>2009</v>
      </c>
      <c r="EM773" t="s">
        <v>710</v>
      </c>
      <c r="EN773" t="s">
        <v>843</v>
      </c>
      <c r="EO773">
        <v>98.013000000000005</v>
      </c>
    </row>
    <row r="774" spans="142:145" x14ac:dyDescent="0.25">
      <c r="EL774">
        <v>2009</v>
      </c>
      <c r="EM774" t="s">
        <v>711</v>
      </c>
      <c r="EN774" t="s">
        <v>843</v>
      </c>
      <c r="EO774">
        <v>99.504999999999995</v>
      </c>
    </row>
    <row r="775" spans="142:145" x14ac:dyDescent="0.25">
      <c r="EL775">
        <v>2009</v>
      </c>
      <c r="EM775" t="s">
        <v>712</v>
      </c>
      <c r="EN775" t="s">
        <v>843</v>
      </c>
      <c r="EO775">
        <v>119.044</v>
      </c>
    </row>
    <row r="776" spans="142:145" x14ac:dyDescent="0.25">
      <c r="EL776">
        <v>2010</v>
      </c>
      <c r="EM776" t="s">
        <v>719</v>
      </c>
      <c r="EN776" t="s">
        <v>843</v>
      </c>
      <c r="EO776">
        <v>114.782</v>
      </c>
    </row>
    <row r="777" spans="142:145" x14ac:dyDescent="0.25">
      <c r="EL777">
        <v>2010</v>
      </c>
      <c r="EM777" t="s">
        <v>713</v>
      </c>
      <c r="EN777" t="s">
        <v>843</v>
      </c>
      <c r="EO777">
        <v>111.634</v>
      </c>
    </row>
    <row r="778" spans="142:145" x14ac:dyDescent="0.25">
      <c r="EL778">
        <v>2010</v>
      </c>
      <c r="EM778" t="s">
        <v>714</v>
      </c>
      <c r="EN778" t="s">
        <v>843</v>
      </c>
      <c r="EO778">
        <v>134.48099999999999</v>
      </c>
    </row>
    <row r="779" spans="142:145" x14ac:dyDescent="0.25">
      <c r="EL779">
        <v>2010</v>
      </c>
      <c r="EM779" t="s">
        <v>705</v>
      </c>
      <c r="EN779" t="s">
        <v>843</v>
      </c>
      <c r="EO779">
        <v>118.636</v>
      </c>
    </row>
    <row r="780" spans="142:145" x14ac:dyDescent="0.25">
      <c r="EL780">
        <v>2010</v>
      </c>
      <c r="EM780" t="s">
        <v>715</v>
      </c>
      <c r="EN780" t="s">
        <v>843</v>
      </c>
      <c r="EO780">
        <v>114.071</v>
      </c>
    </row>
    <row r="781" spans="142:145" x14ac:dyDescent="0.25">
      <c r="EL781">
        <v>2010</v>
      </c>
      <c r="EM781" t="s">
        <v>718</v>
      </c>
      <c r="EN781" t="s">
        <v>843</v>
      </c>
      <c r="EO781">
        <v>106.84699999999999</v>
      </c>
    </row>
    <row r="782" spans="142:145" x14ac:dyDescent="0.25">
      <c r="EL782">
        <v>2010</v>
      </c>
      <c r="EM782" t="s">
        <v>716</v>
      </c>
      <c r="EN782" t="s">
        <v>843</v>
      </c>
      <c r="EO782">
        <v>105.718</v>
      </c>
    </row>
    <row r="783" spans="142:145" x14ac:dyDescent="0.25">
      <c r="EL783">
        <v>2010</v>
      </c>
      <c r="EM783" t="s">
        <v>708</v>
      </c>
      <c r="EN783" t="s">
        <v>843</v>
      </c>
      <c r="EO783">
        <v>105.376</v>
      </c>
    </row>
    <row r="784" spans="142:145" x14ac:dyDescent="0.25">
      <c r="EL784">
        <v>2010</v>
      </c>
      <c r="EM784" t="s">
        <v>709</v>
      </c>
      <c r="EN784" t="s">
        <v>843</v>
      </c>
      <c r="EO784">
        <v>103.893</v>
      </c>
    </row>
    <row r="785" spans="142:145" x14ac:dyDescent="0.25">
      <c r="EL785">
        <v>2010</v>
      </c>
      <c r="EM785" t="s">
        <v>710</v>
      </c>
      <c r="EN785" t="s">
        <v>843</v>
      </c>
      <c r="EO785">
        <v>106.04</v>
      </c>
    </row>
    <row r="786" spans="142:145" x14ac:dyDescent="0.25">
      <c r="EL786">
        <v>2010</v>
      </c>
      <c r="EM786" t="s">
        <v>711</v>
      </c>
      <c r="EN786" t="s">
        <v>843</v>
      </c>
      <c r="EO786">
        <v>99.733999999999995</v>
      </c>
    </row>
    <row r="787" spans="142:145" x14ac:dyDescent="0.25">
      <c r="EL787">
        <v>2010</v>
      </c>
      <c r="EM787" t="s">
        <v>712</v>
      </c>
      <c r="EN787" t="s">
        <v>843</v>
      </c>
      <c r="EO787">
        <v>101.08199999999999</v>
      </c>
    </row>
    <row r="788" spans="142:145" x14ac:dyDescent="0.25">
      <c r="EL788">
        <v>2011</v>
      </c>
      <c r="EM788" t="s">
        <v>719</v>
      </c>
      <c r="EN788" t="s">
        <v>843</v>
      </c>
      <c r="EO788">
        <v>98.632999999999996</v>
      </c>
    </row>
    <row r="789" spans="142:145" x14ac:dyDescent="0.25">
      <c r="EL789">
        <v>2011</v>
      </c>
      <c r="EM789" t="s">
        <v>713</v>
      </c>
      <c r="EN789" t="s">
        <v>843</v>
      </c>
      <c r="EO789">
        <v>97.358000000000004</v>
      </c>
    </row>
    <row r="790" spans="142:145" x14ac:dyDescent="0.25">
      <c r="EL790">
        <v>2011</v>
      </c>
      <c r="EM790" t="s">
        <v>714</v>
      </c>
      <c r="EN790" t="s">
        <v>843</v>
      </c>
      <c r="EO790">
        <v>123.045</v>
      </c>
    </row>
    <row r="791" spans="142:145" x14ac:dyDescent="0.25">
      <c r="EL791">
        <v>2011</v>
      </c>
      <c r="EM791" t="s">
        <v>705</v>
      </c>
      <c r="EN791" t="s">
        <v>843</v>
      </c>
      <c r="EO791">
        <v>114.711</v>
      </c>
    </row>
    <row r="792" spans="142:145" x14ac:dyDescent="0.25">
      <c r="EL792">
        <v>2011</v>
      </c>
      <c r="EM792" t="s">
        <v>715</v>
      </c>
      <c r="EN792" t="s">
        <v>843</v>
      </c>
      <c r="EO792">
        <v>114.78400000000001</v>
      </c>
    </row>
    <row r="793" spans="142:145" x14ac:dyDescent="0.25">
      <c r="EL793">
        <v>2011</v>
      </c>
      <c r="EM793" t="s">
        <v>718</v>
      </c>
      <c r="EN793" t="s">
        <v>843</v>
      </c>
      <c r="EO793">
        <v>105.292</v>
      </c>
    </row>
    <row r="794" spans="142:145" x14ac:dyDescent="0.25">
      <c r="EL794">
        <v>2011</v>
      </c>
      <c r="EM794" t="s">
        <v>716</v>
      </c>
      <c r="EN794" t="s">
        <v>843</v>
      </c>
      <c r="EO794">
        <v>103.535</v>
      </c>
    </row>
    <row r="795" spans="142:145" x14ac:dyDescent="0.25">
      <c r="EL795">
        <v>2011</v>
      </c>
      <c r="EM795" t="s">
        <v>708</v>
      </c>
      <c r="EN795" t="s">
        <v>843</v>
      </c>
      <c r="EO795">
        <v>102.14100000000001</v>
      </c>
    </row>
    <row r="796" spans="142:145" x14ac:dyDescent="0.25">
      <c r="EL796">
        <v>2011</v>
      </c>
      <c r="EM796" t="s">
        <v>709</v>
      </c>
      <c r="EN796" t="s">
        <v>843</v>
      </c>
      <c r="EO796">
        <v>111.699</v>
      </c>
    </row>
    <row r="797" spans="142:145" x14ac:dyDescent="0.25">
      <c r="EL797">
        <v>2011</v>
      </c>
      <c r="EM797" t="s">
        <v>710</v>
      </c>
      <c r="EN797" t="s">
        <v>843</v>
      </c>
      <c r="EO797">
        <v>106.96599999999999</v>
      </c>
    </row>
    <row r="798" spans="142:145" x14ac:dyDescent="0.25">
      <c r="EL798">
        <v>2011</v>
      </c>
      <c r="EM798" t="s">
        <v>711</v>
      </c>
      <c r="EN798" t="s">
        <v>843</v>
      </c>
      <c r="EO798">
        <v>100.702</v>
      </c>
    </row>
    <row r="799" spans="142:145" x14ac:dyDescent="0.25">
      <c r="EL799">
        <v>2011</v>
      </c>
      <c r="EM799" t="s">
        <v>712</v>
      </c>
      <c r="EN799" t="s">
        <v>843</v>
      </c>
      <c r="EO799">
        <v>111.76</v>
      </c>
    </row>
    <row r="800" spans="142:145" x14ac:dyDescent="0.25">
      <c r="EL800">
        <v>2012</v>
      </c>
      <c r="EM800" t="s">
        <v>719</v>
      </c>
      <c r="EN800" t="s">
        <v>843</v>
      </c>
      <c r="EO800">
        <v>108.405</v>
      </c>
    </row>
    <row r="801" spans="142:145" x14ac:dyDescent="0.25">
      <c r="EL801">
        <v>2012</v>
      </c>
      <c r="EM801" t="s">
        <v>713</v>
      </c>
      <c r="EN801" t="s">
        <v>843</v>
      </c>
      <c r="EO801">
        <v>98.650999999999996</v>
      </c>
    </row>
    <row r="802" spans="142:145" x14ac:dyDescent="0.25">
      <c r="EL802">
        <v>2012</v>
      </c>
      <c r="EM802" t="s">
        <v>714</v>
      </c>
      <c r="EN802" t="s">
        <v>843</v>
      </c>
      <c r="EO802">
        <v>107.54900000000001</v>
      </c>
    </row>
    <row r="803" spans="142:145" x14ac:dyDescent="0.25">
      <c r="EL803">
        <v>2012</v>
      </c>
      <c r="EM803" t="s">
        <v>705</v>
      </c>
      <c r="EN803" t="s">
        <v>843</v>
      </c>
      <c r="EO803">
        <v>98.74</v>
      </c>
    </row>
    <row r="804" spans="142:145" x14ac:dyDescent="0.25">
      <c r="EL804">
        <v>2012</v>
      </c>
      <c r="EM804" t="s">
        <v>715</v>
      </c>
      <c r="EN804" t="s">
        <v>843</v>
      </c>
      <c r="EO804">
        <v>103.02</v>
      </c>
    </row>
    <row r="805" spans="142:145" x14ac:dyDescent="0.25">
      <c r="EL805">
        <v>2012</v>
      </c>
      <c r="EM805" t="s">
        <v>718</v>
      </c>
      <c r="EN805" t="s">
        <v>843</v>
      </c>
      <c r="EO805">
        <v>102.149</v>
      </c>
    </row>
    <row r="806" spans="142:145" x14ac:dyDescent="0.25">
      <c r="EL806">
        <v>2012</v>
      </c>
      <c r="EM806" t="s">
        <v>716</v>
      </c>
      <c r="EN806" t="s">
        <v>843</v>
      </c>
      <c r="EO806">
        <v>99.762</v>
      </c>
    </row>
    <row r="807" spans="142:145" x14ac:dyDescent="0.25">
      <c r="EL807">
        <v>2012</v>
      </c>
      <c r="EM807" t="s">
        <v>708</v>
      </c>
      <c r="EN807" t="s">
        <v>843</v>
      </c>
      <c r="EO807">
        <v>96.334999999999994</v>
      </c>
    </row>
    <row r="808" spans="142:145" x14ac:dyDescent="0.25">
      <c r="EL808">
        <v>2012</v>
      </c>
      <c r="EM808" t="s">
        <v>709</v>
      </c>
      <c r="EN808" t="s">
        <v>843</v>
      </c>
      <c r="EO808">
        <v>91.736000000000004</v>
      </c>
    </row>
    <row r="809" spans="142:145" x14ac:dyDescent="0.25">
      <c r="EL809">
        <v>2012</v>
      </c>
      <c r="EM809" t="s">
        <v>710</v>
      </c>
      <c r="EN809" t="s">
        <v>843</v>
      </c>
      <c r="EO809">
        <v>98.399000000000001</v>
      </c>
    </row>
    <row r="810" spans="142:145" x14ac:dyDescent="0.25">
      <c r="EL810">
        <v>2012</v>
      </c>
      <c r="EM810" t="s">
        <v>711</v>
      </c>
      <c r="EN810" t="s">
        <v>843</v>
      </c>
      <c r="EO810">
        <v>93.680999999999997</v>
      </c>
    </row>
    <row r="811" spans="142:145" x14ac:dyDescent="0.25">
      <c r="EL811">
        <v>2012</v>
      </c>
      <c r="EM811" t="s">
        <v>712</v>
      </c>
      <c r="EN811" t="s">
        <v>843</v>
      </c>
      <c r="EO811">
        <v>96.713999999999999</v>
      </c>
    </row>
    <row r="812" spans="142:145" x14ac:dyDescent="0.25">
      <c r="EL812">
        <v>2013</v>
      </c>
      <c r="EM812" t="s">
        <v>719</v>
      </c>
      <c r="EN812" t="s">
        <v>843</v>
      </c>
      <c r="EO812">
        <v>99.346000000000004</v>
      </c>
    </row>
    <row r="813" spans="142:145" x14ac:dyDescent="0.25">
      <c r="EL813">
        <v>2013</v>
      </c>
      <c r="EM813" t="s">
        <v>713</v>
      </c>
      <c r="EN813" t="s">
        <v>843</v>
      </c>
      <c r="EO813">
        <v>90.537000000000006</v>
      </c>
    </row>
    <row r="814" spans="142:145" x14ac:dyDescent="0.25">
      <c r="EL814">
        <v>2013</v>
      </c>
      <c r="EM814" t="s">
        <v>714</v>
      </c>
      <c r="EN814" t="s">
        <v>843</v>
      </c>
      <c r="EO814">
        <v>105.646</v>
      </c>
    </row>
    <row r="815" spans="142:145" x14ac:dyDescent="0.25">
      <c r="EL815">
        <v>2013</v>
      </c>
      <c r="EM815" t="s">
        <v>705</v>
      </c>
      <c r="EN815" t="s">
        <v>843</v>
      </c>
      <c r="EO815">
        <v>101.68600000000001</v>
      </c>
    </row>
    <row r="816" spans="142:145" x14ac:dyDescent="0.25">
      <c r="EL816">
        <v>2013</v>
      </c>
      <c r="EM816" t="s">
        <v>715</v>
      </c>
      <c r="EN816" t="s">
        <v>843</v>
      </c>
      <c r="EO816">
        <v>104.286</v>
      </c>
    </row>
    <row r="817" spans="142:145" x14ac:dyDescent="0.25">
      <c r="EL817">
        <v>2013</v>
      </c>
      <c r="EM817" t="s">
        <v>718</v>
      </c>
      <c r="EN817" t="s">
        <v>843</v>
      </c>
      <c r="EO817">
        <v>108.056</v>
      </c>
    </row>
    <row r="818" spans="142:145" x14ac:dyDescent="0.25">
      <c r="EL818">
        <v>2013</v>
      </c>
      <c r="EM818" t="s">
        <v>716</v>
      </c>
      <c r="EN818" t="s">
        <v>843</v>
      </c>
      <c r="EO818">
        <v>110.254</v>
      </c>
    </row>
    <row r="819" spans="142:145" x14ac:dyDescent="0.25">
      <c r="EL819">
        <v>2013</v>
      </c>
      <c r="EM819" t="s">
        <v>708</v>
      </c>
      <c r="EN819" t="s">
        <v>843</v>
      </c>
      <c r="EO819">
        <v>105.358</v>
      </c>
    </row>
    <row r="820" spans="142:145" x14ac:dyDescent="0.25">
      <c r="EL820">
        <v>2013</v>
      </c>
      <c r="EM820" t="s">
        <v>709</v>
      </c>
      <c r="EN820" t="s">
        <v>843</v>
      </c>
      <c r="EO820">
        <v>111.10899999999999</v>
      </c>
    </row>
    <row r="821" spans="142:145" x14ac:dyDescent="0.25">
      <c r="EL821">
        <v>2013</v>
      </c>
      <c r="EM821" t="s">
        <v>710</v>
      </c>
      <c r="EN821" t="s">
        <v>843</v>
      </c>
      <c r="EO821">
        <v>99.483999999999995</v>
      </c>
    </row>
    <row r="822" spans="142:145" x14ac:dyDescent="0.25">
      <c r="EL822">
        <v>2013</v>
      </c>
      <c r="EM822" t="s">
        <v>711</v>
      </c>
      <c r="EN822" t="s">
        <v>843</v>
      </c>
      <c r="EO822">
        <v>116.661</v>
      </c>
    </row>
    <row r="823" spans="142:145" x14ac:dyDescent="0.25">
      <c r="EL823">
        <v>2013</v>
      </c>
      <c r="EM823" t="s">
        <v>712</v>
      </c>
      <c r="EN823" t="s">
        <v>843</v>
      </c>
      <c r="EO823">
        <v>129.452</v>
      </c>
    </row>
    <row r="824" spans="142:145" x14ac:dyDescent="0.25">
      <c r="EL824">
        <v>2014</v>
      </c>
      <c r="EM824" t="s">
        <v>719</v>
      </c>
      <c r="EN824" t="s">
        <v>843</v>
      </c>
      <c r="EO824">
        <v>139.16900000000001</v>
      </c>
    </row>
    <row r="825" spans="142:145" x14ac:dyDescent="0.25">
      <c r="EL825">
        <v>2014</v>
      </c>
      <c r="EM825" t="s">
        <v>713</v>
      </c>
      <c r="EN825" t="s">
        <v>843</v>
      </c>
      <c r="EO825">
        <v>135.45699999999999</v>
      </c>
    </row>
    <row r="826" spans="142:145" x14ac:dyDescent="0.25">
      <c r="EL826">
        <v>2014</v>
      </c>
      <c r="EM826" t="s">
        <v>714</v>
      </c>
      <c r="EN826" t="s">
        <v>843</v>
      </c>
      <c r="EO826">
        <v>147.08099999999999</v>
      </c>
    </row>
    <row r="827" spans="142:145" x14ac:dyDescent="0.25">
      <c r="EL827">
        <v>2014</v>
      </c>
      <c r="EM827" t="s">
        <v>705</v>
      </c>
      <c r="EN827" t="s">
        <v>843</v>
      </c>
      <c r="EO827">
        <v>150.559</v>
      </c>
    </row>
    <row r="828" spans="142:145" x14ac:dyDescent="0.25">
      <c r="EL828">
        <v>2014</v>
      </c>
      <c r="EM828" t="s">
        <v>715</v>
      </c>
      <c r="EN828" t="s">
        <v>843</v>
      </c>
      <c r="EO828">
        <v>151.57300000000001</v>
      </c>
    </row>
    <row r="829" spans="142:145" x14ac:dyDescent="0.25">
      <c r="EL829">
        <v>2014</v>
      </c>
      <c r="EM829" t="s">
        <v>718</v>
      </c>
      <c r="EN829" t="s">
        <v>843</v>
      </c>
      <c r="EO829">
        <v>129.97499999999999</v>
      </c>
    </row>
    <row r="830" spans="142:145" x14ac:dyDescent="0.25">
      <c r="EL830">
        <v>2014</v>
      </c>
      <c r="EM830" t="s">
        <v>716</v>
      </c>
      <c r="EN830" t="s">
        <v>843</v>
      </c>
      <c r="EO830">
        <v>124.343</v>
      </c>
    </row>
    <row r="831" spans="142:145" x14ac:dyDescent="0.25">
      <c r="EL831">
        <v>2014</v>
      </c>
      <c r="EM831" t="s">
        <v>708</v>
      </c>
      <c r="EN831" t="s">
        <v>843</v>
      </c>
      <c r="EO831">
        <v>121.251</v>
      </c>
    </row>
    <row r="832" spans="142:145" x14ac:dyDescent="0.25">
      <c r="EL832">
        <v>2014</v>
      </c>
      <c r="EM832" t="s">
        <v>709</v>
      </c>
      <c r="EN832" t="s">
        <v>843</v>
      </c>
      <c r="EO832">
        <v>117.69</v>
      </c>
    </row>
    <row r="833" spans="142:145" x14ac:dyDescent="0.25">
      <c r="EL833">
        <v>2014</v>
      </c>
      <c r="EM833" t="s">
        <v>710</v>
      </c>
      <c r="EN833" t="s">
        <v>843</v>
      </c>
      <c r="EO833">
        <v>121.41</v>
      </c>
    </row>
    <row r="834" spans="142:145" x14ac:dyDescent="0.25">
      <c r="EL834">
        <v>2014</v>
      </c>
      <c r="EM834" t="s">
        <v>711</v>
      </c>
      <c r="EN834" t="s">
        <v>843</v>
      </c>
      <c r="EO834">
        <v>114.63</v>
      </c>
    </row>
    <row r="835" spans="142:145" x14ac:dyDescent="0.25">
      <c r="EL835">
        <v>2014</v>
      </c>
      <c r="EM835" t="s">
        <v>712</v>
      </c>
      <c r="EN835" t="s">
        <v>843</v>
      </c>
      <c r="EO835">
        <v>124.07</v>
      </c>
    </row>
    <row r="836" spans="142:145" x14ac:dyDescent="0.25">
      <c r="EL836">
        <v>2015</v>
      </c>
      <c r="EM836" t="s">
        <v>719</v>
      </c>
      <c r="EN836" t="s">
        <v>843</v>
      </c>
      <c r="EO836">
        <v>129.66</v>
      </c>
    </row>
    <row r="837" spans="142:145" x14ac:dyDescent="0.25">
      <c r="EL837">
        <v>2015</v>
      </c>
      <c r="EM837" t="s">
        <v>713</v>
      </c>
      <c r="EN837" t="s">
        <v>843</v>
      </c>
      <c r="EO837">
        <v>100.3</v>
      </c>
    </row>
    <row r="838" spans="142:145" x14ac:dyDescent="0.25">
      <c r="EL838">
        <v>2015</v>
      </c>
      <c r="EM838" t="s">
        <v>714</v>
      </c>
      <c r="EN838" t="s">
        <v>843</v>
      </c>
      <c r="EO838">
        <v>144.41</v>
      </c>
    </row>
    <row r="839" spans="142:145" x14ac:dyDescent="0.25">
      <c r="EL839">
        <v>2015</v>
      </c>
      <c r="EM839" t="s">
        <v>705</v>
      </c>
      <c r="EN839" t="s">
        <v>843</v>
      </c>
      <c r="EO839">
        <v>133.81</v>
      </c>
    </row>
    <row r="840" spans="142:145" x14ac:dyDescent="0.25">
      <c r="EL840">
        <v>2015</v>
      </c>
      <c r="EM840" t="s">
        <v>715</v>
      </c>
      <c r="EN840" t="s">
        <v>843</v>
      </c>
      <c r="EO840">
        <v>130.06</v>
      </c>
    </row>
    <row r="841" spans="142:145" x14ac:dyDescent="0.25">
      <c r="EL841">
        <v>2015</v>
      </c>
      <c r="EM841" t="s">
        <v>718</v>
      </c>
      <c r="EN841" t="s">
        <v>843</v>
      </c>
      <c r="EO841">
        <v>130.32</v>
      </c>
    </row>
    <row r="842" spans="142:145" x14ac:dyDescent="0.25">
      <c r="EL842">
        <v>2015</v>
      </c>
      <c r="EM842" t="s">
        <v>716</v>
      </c>
      <c r="EN842" t="s">
        <v>843</v>
      </c>
      <c r="EO842">
        <v>127.36</v>
      </c>
    </row>
    <row r="843" spans="142:145" x14ac:dyDescent="0.25">
      <c r="EL843">
        <v>2015</v>
      </c>
      <c r="EM843" t="s">
        <v>708</v>
      </c>
      <c r="EN843" t="s">
        <v>843</v>
      </c>
      <c r="EO843">
        <v>115.6</v>
      </c>
    </row>
    <row r="844" spans="142:145" x14ac:dyDescent="0.25">
      <c r="EL844">
        <v>2015</v>
      </c>
      <c r="EM844" t="s">
        <v>709</v>
      </c>
      <c r="EN844" t="s">
        <v>843</v>
      </c>
      <c r="EO844">
        <v>100.39</v>
      </c>
    </row>
    <row r="845" spans="142:145" x14ac:dyDescent="0.25">
      <c r="EL845">
        <v>2015</v>
      </c>
      <c r="EM845" t="s">
        <v>710</v>
      </c>
      <c r="EN845" t="s">
        <v>843</v>
      </c>
      <c r="EO845">
        <v>104.61</v>
      </c>
    </row>
    <row r="846" spans="142:145" x14ac:dyDescent="0.25">
      <c r="EL846">
        <v>2015</v>
      </c>
      <c r="EM846" t="s">
        <v>711</v>
      </c>
      <c r="EN846" t="s">
        <v>843</v>
      </c>
      <c r="EO846">
        <v>96.89</v>
      </c>
    </row>
    <row r="847" spans="142:145" x14ac:dyDescent="0.25">
      <c r="EL847">
        <v>2015</v>
      </c>
      <c r="EM847" t="s">
        <v>712</v>
      </c>
      <c r="EN847" t="s">
        <v>843</v>
      </c>
      <c r="EO847">
        <v>102.11</v>
      </c>
    </row>
    <row r="848" spans="142:145" x14ac:dyDescent="0.25">
      <c r="EL848">
        <v>2016</v>
      </c>
      <c r="EM848" t="s">
        <v>719</v>
      </c>
      <c r="EN848" t="s">
        <v>843</v>
      </c>
      <c r="EO848">
        <v>104.95</v>
      </c>
    </row>
    <row r="849" spans="142:145" x14ac:dyDescent="0.25">
      <c r="EL849">
        <v>2016</v>
      </c>
      <c r="EM849" t="s">
        <v>713</v>
      </c>
      <c r="EN849" t="s">
        <v>843</v>
      </c>
      <c r="EO849">
        <v>117.99</v>
      </c>
    </row>
    <row r="850" spans="142:145" x14ac:dyDescent="0.25">
      <c r="EL850">
        <v>2016</v>
      </c>
      <c r="EM850" t="s">
        <v>714</v>
      </c>
      <c r="EN850" t="s">
        <v>843</v>
      </c>
      <c r="EO850">
        <v>107.09</v>
      </c>
    </row>
    <row r="851" spans="142:145" x14ac:dyDescent="0.25">
      <c r="EL851">
        <v>2016</v>
      </c>
      <c r="EM851" t="s">
        <v>705</v>
      </c>
      <c r="EN851" t="s">
        <v>843</v>
      </c>
      <c r="EO851">
        <v>99.99</v>
      </c>
    </row>
    <row r="852" spans="142:145" x14ac:dyDescent="0.25">
      <c r="EL852">
        <v>2016</v>
      </c>
      <c r="EM852" t="s">
        <v>715</v>
      </c>
      <c r="EN852" t="s">
        <v>843</v>
      </c>
      <c r="EO852">
        <v>110.86</v>
      </c>
    </row>
    <row r="853" spans="142:145" x14ac:dyDescent="0.25">
      <c r="EL853">
        <v>2016</v>
      </c>
      <c r="EM853" t="s">
        <v>718</v>
      </c>
      <c r="EN853" t="s">
        <v>843</v>
      </c>
      <c r="EO853">
        <v>88.83</v>
      </c>
    </row>
    <row r="854" spans="142:145" x14ac:dyDescent="0.25">
      <c r="EL854">
        <v>2016</v>
      </c>
      <c r="EM854" t="s">
        <v>716</v>
      </c>
      <c r="EN854" t="s">
        <v>843</v>
      </c>
      <c r="EO854">
        <v>111.04</v>
      </c>
    </row>
    <row r="855" spans="142:145" x14ac:dyDescent="0.25">
      <c r="EL855">
        <v>2016</v>
      </c>
      <c r="EM855" t="s">
        <v>708</v>
      </c>
      <c r="EN855" t="s">
        <v>843</v>
      </c>
      <c r="EO855">
        <v>84.99</v>
      </c>
    </row>
    <row r="856" spans="142:145" x14ac:dyDescent="0.25">
      <c r="EL856">
        <v>2016</v>
      </c>
      <c r="EM856" t="s">
        <v>709</v>
      </c>
      <c r="EN856" t="s">
        <v>843</v>
      </c>
      <c r="EO856">
        <v>83.93</v>
      </c>
    </row>
    <row r="857" spans="142:145" x14ac:dyDescent="0.25">
      <c r="EL857">
        <v>2016</v>
      </c>
      <c r="EM857" t="s">
        <v>710</v>
      </c>
      <c r="EN857" t="s">
        <v>843</v>
      </c>
      <c r="EO857">
        <v>83.8</v>
      </c>
    </row>
    <row r="858" spans="142:145" x14ac:dyDescent="0.25">
      <c r="EL858">
        <v>2016</v>
      </c>
      <c r="EM858" t="s">
        <v>711</v>
      </c>
      <c r="EN858" t="s">
        <v>843</v>
      </c>
      <c r="EO858">
        <v>77.56</v>
      </c>
    </row>
    <row r="859" spans="142:145" x14ac:dyDescent="0.25">
      <c r="EL859">
        <v>2016</v>
      </c>
      <c r="EM859" t="s">
        <v>712</v>
      </c>
      <c r="EN859" t="s">
        <v>843</v>
      </c>
      <c r="EO859">
        <v>81.66</v>
      </c>
    </row>
    <row r="860" spans="142:145" x14ac:dyDescent="0.25">
      <c r="EL860">
        <v>2017</v>
      </c>
      <c r="EM860" t="s">
        <v>719</v>
      </c>
      <c r="EN860" t="s">
        <v>843</v>
      </c>
      <c r="EO860">
        <v>94.3</v>
      </c>
    </row>
    <row r="861" spans="142:145" x14ac:dyDescent="0.25">
      <c r="EL861">
        <v>2017</v>
      </c>
      <c r="EM861" t="s">
        <v>713</v>
      </c>
      <c r="EN861" t="s">
        <v>843</v>
      </c>
      <c r="EO861">
        <v>87.04</v>
      </c>
    </row>
    <row r="862" spans="142:145" x14ac:dyDescent="0.25">
      <c r="EL862">
        <v>2017</v>
      </c>
      <c r="EM862" t="s">
        <v>714</v>
      </c>
      <c r="EN862" t="s">
        <v>843</v>
      </c>
      <c r="EO862">
        <v>98.85</v>
      </c>
    </row>
    <row r="863" spans="142:145" x14ac:dyDescent="0.25">
      <c r="EL863">
        <v>2017</v>
      </c>
      <c r="EM863" t="s">
        <v>705</v>
      </c>
      <c r="EN863" t="s">
        <v>843</v>
      </c>
      <c r="EO863">
        <v>98.56</v>
      </c>
    </row>
    <row r="864" spans="142:145" x14ac:dyDescent="0.25">
      <c r="EL864">
        <v>2017</v>
      </c>
      <c r="EM864" t="s">
        <v>715</v>
      </c>
      <c r="EN864" t="s">
        <v>843</v>
      </c>
      <c r="EO864">
        <v>108.35</v>
      </c>
    </row>
    <row r="865" spans="142:145" x14ac:dyDescent="0.25">
      <c r="EL865">
        <v>2017</v>
      </c>
      <c r="EM865" t="s">
        <v>718</v>
      </c>
      <c r="EN865" t="s">
        <v>843</v>
      </c>
      <c r="EO865">
        <v>100.94</v>
      </c>
    </row>
    <row r="866" spans="142:145" x14ac:dyDescent="0.25">
      <c r="EL866">
        <v>2017</v>
      </c>
      <c r="EM866" t="s">
        <v>716</v>
      </c>
      <c r="EN866" t="s">
        <v>843</v>
      </c>
      <c r="EO866">
        <v>102.94</v>
      </c>
    </row>
    <row r="867" spans="142:145" x14ac:dyDescent="0.25">
      <c r="EL867">
        <v>2017</v>
      </c>
      <c r="EM867" t="s">
        <v>708</v>
      </c>
      <c r="EN867" t="s">
        <v>843</v>
      </c>
      <c r="EO867">
        <v>101.48</v>
      </c>
    </row>
    <row r="868" spans="142:145" x14ac:dyDescent="0.25">
      <c r="EL868">
        <v>2017</v>
      </c>
      <c r="EM868" t="s">
        <v>709</v>
      </c>
      <c r="EN868" t="s">
        <v>843</v>
      </c>
      <c r="EO868">
        <v>97.58</v>
      </c>
    </row>
    <row r="869" spans="142:145" x14ac:dyDescent="0.25">
      <c r="EL869">
        <v>2017</v>
      </c>
      <c r="EM869" t="s">
        <v>710</v>
      </c>
      <c r="EN869" t="s">
        <v>843</v>
      </c>
      <c r="EO869">
        <v>94.2</v>
      </c>
    </row>
    <row r="870" spans="142:145" x14ac:dyDescent="0.25">
      <c r="EL870">
        <v>2017</v>
      </c>
      <c r="EM870" t="s">
        <v>711</v>
      </c>
      <c r="EN870" t="s">
        <v>843</v>
      </c>
      <c r="EO870">
        <v>93.66</v>
      </c>
    </row>
    <row r="871" spans="142:145" x14ac:dyDescent="0.25">
      <c r="EL871">
        <v>2017</v>
      </c>
      <c r="EM871" t="s">
        <v>712</v>
      </c>
      <c r="EN871" t="s">
        <v>843</v>
      </c>
      <c r="EO871">
        <v>94.91</v>
      </c>
    </row>
    <row r="872" spans="142:145" x14ac:dyDescent="0.25">
      <c r="EL872">
        <v>2018</v>
      </c>
      <c r="EM872" t="s">
        <v>719</v>
      </c>
      <c r="EN872" t="s">
        <v>843</v>
      </c>
      <c r="EO872">
        <v>99.79</v>
      </c>
    </row>
    <row r="873" spans="142:145" x14ac:dyDescent="0.25">
      <c r="EL873">
        <v>2018</v>
      </c>
      <c r="EM873" t="s">
        <v>713</v>
      </c>
      <c r="EN873" t="s">
        <v>843</v>
      </c>
      <c r="EO873">
        <v>87.97</v>
      </c>
    </row>
    <row r="874" spans="142:145" x14ac:dyDescent="0.25">
      <c r="EL874">
        <v>2018</v>
      </c>
      <c r="EM874" t="s">
        <v>714</v>
      </c>
      <c r="EN874" t="s">
        <v>843</v>
      </c>
      <c r="EO874">
        <v>99.01</v>
      </c>
    </row>
    <row r="875" spans="142:145" x14ac:dyDescent="0.25">
      <c r="EL875">
        <v>2018</v>
      </c>
      <c r="EM875" t="s">
        <v>705</v>
      </c>
      <c r="EN875" t="s">
        <v>843</v>
      </c>
      <c r="EO875">
        <v>99.13</v>
      </c>
    </row>
    <row r="876" spans="142:145" x14ac:dyDescent="0.25">
      <c r="EL876">
        <v>2018</v>
      </c>
      <c r="EM876" t="s">
        <v>715</v>
      </c>
      <c r="EN876" t="s">
        <v>843</v>
      </c>
      <c r="EO876">
        <v>113.47</v>
      </c>
    </row>
    <row r="877" spans="142:145" x14ac:dyDescent="0.25">
      <c r="EL877">
        <v>2018</v>
      </c>
      <c r="EM877" t="s">
        <v>718</v>
      </c>
      <c r="EN877" t="s">
        <v>843</v>
      </c>
      <c r="EO877">
        <v>110.58</v>
      </c>
    </row>
    <row r="878" spans="142:145" x14ac:dyDescent="0.25">
      <c r="EL878">
        <v>2018</v>
      </c>
      <c r="EM878" t="s">
        <v>716</v>
      </c>
      <c r="EN878" t="s">
        <v>843</v>
      </c>
      <c r="EO878">
        <v>111.13</v>
      </c>
    </row>
    <row r="879" spans="142:145" x14ac:dyDescent="0.25">
      <c r="EL879">
        <v>2018</v>
      </c>
      <c r="EM879" t="s">
        <v>708</v>
      </c>
      <c r="EN879" t="s">
        <v>843</v>
      </c>
      <c r="EO879">
        <v>102.83</v>
      </c>
    </row>
    <row r="880" spans="142:145" x14ac:dyDescent="0.25">
      <c r="EL880">
        <v>2018</v>
      </c>
      <c r="EM880" t="s">
        <v>709</v>
      </c>
      <c r="EN880" t="s">
        <v>843</v>
      </c>
      <c r="EO880">
        <v>114.93</v>
      </c>
    </row>
    <row r="881" spans="142:145" x14ac:dyDescent="0.25">
      <c r="EL881">
        <v>2018</v>
      </c>
      <c r="EM881" t="s">
        <v>710</v>
      </c>
      <c r="EN881" t="s">
        <v>843</v>
      </c>
      <c r="EO881">
        <v>109.01</v>
      </c>
    </row>
    <row r="882" spans="142:145" x14ac:dyDescent="0.25">
      <c r="EL882">
        <v>2018</v>
      </c>
      <c r="EM882" t="s">
        <v>711</v>
      </c>
      <c r="EN882" t="s">
        <v>843</v>
      </c>
      <c r="EO882">
        <v>106.77</v>
      </c>
    </row>
    <row r="883" spans="142:145" x14ac:dyDescent="0.25">
      <c r="EL883">
        <v>2018</v>
      </c>
      <c r="EM883" t="s">
        <v>712</v>
      </c>
      <c r="EN883" t="s">
        <v>843</v>
      </c>
      <c r="EO883">
        <v>118.06</v>
      </c>
    </row>
    <row r="884" spans="142:145" x14ac:dyDescent="0.25">
      <c r="EL884">
        <v>2019</v>
      </c>
      <c r="EM884" t="s">
        <v>719</v>
      </c>
      <c r="EN884" t="s">
        <v>843</v>
      </c>
      <c r="EO884">
        <v>118.75</v>
      </c>
    </row>
    <row r="885" spans="142:145" x14ac:dyDescent="0.25">
      <c r="EL885">
        <v>2019</v>
      </c>
      <c r="EM885" t="s">
        <v>713</v>
      </c>
      <c r="EN885" t="s">
        <v>843</v>
      </c>
      <c r="EO885">
        <v>106.64</v>
      </c>
    </row>
    <row r="886" spans="142:145" x14ac:dyDescent="0.25">
      <c r="EL886">
        <v>2019</v>
      </c>
      <c r="EM886" t="s">
        <v>714</v>
      </c>
      <c r="EN886" t="s">
        <v>843</v>
      </c>
      <c r="EO886">
        <v>120.88</v>
      </c>
    </row>
    <row r="887" spans="142:145" x14ac:dyDescent="0.25">
      <c r="EL887">
        <v>2019</v>
      </c>
      <c r="EM887" t="s">
        <v>705</v>
      </c>
      <c r="EN887" t="s">
        <v>843</v>
      </c>
      <c r="EO887">
        <v>106.16</v>
      </c>
    </row>
    <row r="888" spans="142:145" x14ac:dyDescent="0.25">
      <c r="EL888">
        <v>2019</v>
      </c>
      <c r="EM888" t="s">
        <v>715</v>
      </c>
      <c r="EN888" t="s">
        <v>843</v>
      </c>
      <c r="EO888">
        <v>107.75</v>
      </c>
    </row>
    <row r="889" spans="142:145" x14ac:dyDescent="0.25">
      <c r="EL889">
        <v>2019</v>
      </c>
      <c r="EM889" t="s">
        <v>718</v>
      </c>
      <c r="EN889" t="s">
        <v>843</v>
      </c>
      <c r="EO889">
        <v>97.76</v>
      </c>
    </row>
    <row r="890" spans="142:145" x14ac:dyDescent="0.25">
      <c r="EL890">
        <v>2019</v>
      </c>
      <c r="EM890" t="s">
        <v>716</v>
      </c>
      <c r="EN890" t="s">
        <v>843</v>
      </c>
      <c r="EO890">
        <v>99.39</v>
      </c>
    </row>
    <row r="891" spans="142:145" x14ac:dyDescent="0.25">
      <c r="EL891">
        <v>2019</v>
      </c>
      <c r="EM891" t="s">
        <v>708</v>
      </c>
      <c r="EN891" t="s">
        <v>843</v>
      </c>
      <c r="EO891">
        <v>89.16</v>
      </c>
    </row>
    <row r="892" spans="142:145" x14ac:dyDescent="0.25">
      <c r="EL892">
        <v>2019</v>
      </c>
      <c r="EM892" t="s">
        <v>709</v>
      </c>
      <c r="EN892" t="s">
        <v>843</v>
      </c>
      <c r="EO892">
        <v>85.36</v>
      </c>
    </row>
    <row r="893" spans="142:145" x14ac:dyDescent="0.25">
      <c r="EL893">
        <v>2019</v>
      </c>
      <c r="EM893" t="s">
        <v>710</v>
      </c>
      <c r="EN893" t="s">
        <v>843</v>
      </c>
      <c r="EO893">
        <v>90.24</v>
      </c>
    </row>
    <row r="894" spans="142:145" x14ac:dyDescent="0.25">
      <c r="EL894">
        <v>2019</v>
      </c>
      <c r="EM894" t="s">
        <v>711</v>
      </c>
      <c r="EN894" t="s">
        <v>843</v>
      </c>
      <c r="EO894">
        <v>84.15</v>
      </c>
    </row>
    <row r="895" spans="142:145" x14ac:dyDescent="0.25">
      <c r="EL895">
        <v>2019</v>
      </c>
      <c r="EM895" t="s">
        <v>712</v>
      </c>
      <c r="EN895" t="s">
        <v>843</v>
      </c>
      <c r="EO895">
        <v>87.51</v>
      </c>
    </row>
    <row r="896" spans="142:145" x14ac:dyDescent="0.25">
      <c r="EL896">
        <v>2020</v>
      </c>
      <c r="EM896" t="s">
        <v>719</v>
      </c>
      <c r="EN896" t="s">
        <v>843</v>
      </c>
      <c r="EO896">
        <v>91.94</v>
      </c>
    </row>
    <row r="897" spans="142:145" x14ac:dyDescent="0.25">
      <c r="EL897">
        <v>2020</v>
      </c>
      <c r="EM897" t="s">
        <v>713</v>
      </c>
      <c r="EN897" t="s">
        <v>843</v>
      </c>
      <c r="EO897">
        <v>91.72</v>
      </c>
    </row>
    <row r="898" spans="142:145" x14ac:dyDescent="0.25">
      <c r="EL898">
        <v>2020</v>
      </c>
      <c r="EM898" t="s">
        <v>714</v>
      </c>
      <c r="EN898" t="s">
        <v>843</v>
      </c>
      <c r="EO898">
        <v>91.5</v>
      </c>
    </row>
    <row r="899" spans="142:145" x14ac:dyDescent="0.25">
      <c r="EL899">
        <v>2020</v>
      </c>
      <c r="EM899" t="s">
        <v>705</v>
      </c>
      <c r="EN899" t="s">
        <v>843</v>
      </c>
      <c r="EO899">
        <v>92.61</v>
      </c>
    </row>
    <row r="900" spans="142:145" x14ac:dyDescent="0.25">
      <c r="EL900">
        <v>2020</v>
      </c>
      <c r="EM900" t="s">
        <v>715</v>
      </c>
      <c r="EN900" t="s">
        <v>843</v>
      </c>
      <c r="EO900">
        <v>96.17</v>
      </c>
    </row>
    <row r="901" spans="142:145" x14ac:dyDescent="0.25">
      <c r="EL901">
        <v>2020</v>
      </c>
      <c r="EM901" t="s">
        <v>718</v>
      </c>
      <c r="EN901" t="s">
        <v>843</v>
      </c>
      <c r="EO901">
        <v>94.11</v>
      </c>
    </row>
    <row r="902" spans="142:145" x14ac:dyDescent="0.25">
      <c r="EL902">
        <v>2020</v>
      </c>
      <c r="EM902" t="s">
        <v>716</v>
      </c>
      <c r="EN902" t="s">
        <v>843</v>
      </c>
      <c r="EO902">
        <v>90.5</v>
      </c>
    </row>
    <row r="903" spans="142:145" x14ac:dyDescent="0.25">
      <c r="EL903">
        <v>2020</v>
      </c>
      <c r="EM903" t="s">
        <v>708</v>
      </c>
      <c r="EN903" t="s">
        <v>843</v>
      </c>
      <c r="EO903">
        <v>93.52</v>
      </c>
    </row>
    <row r="904" spans="142:145" x14ac:dyDescent="0.25">
      <c r="EL904">
        <v>2020</v>
      </c>
      <c r="EM904" t="s">
        <v>709</v>
      </c>
      <c r="EN904" t="s">
        <v>843</v>
      </c>
      <c r="EO904">
        <v>86.33</v>
      </c>
    </row>
    <row r="905" spans="142:145" x14ac:dyDescent="0.25">
      <c r="EL905">
        <v>2020</v>
      </c>
      <c r="EM905" t="s">
        <v>710</v>
      </c>
      <c r="EN905" t="s">
        <v>843</v>
      </c>
      <c r="EO905">
        <v>93.01</v>
      </c>
    </row>
    <row r="906" spans="142:145" x14ac:dyDescent="0.25">
      <c r="EL906">
        <v>2020</v>
      </c>
      <c r="EM906" t="s">
        <v>711</v>
      </c>
      <c r="EN906" t="s">
        <v>843</v>
      </c>
      <c r="EO906">
        <v>85.37</v>
      </c>
    </row>
    <row r="907" spans="142:145" x14ac:dyDescent="0.25">
      <c r="EL907">
        <v>2020</v>
      </c>
      <c r="EM907" t="s">
        <v>712</v>
      </c>
      <c r="EN907" t="s">
        <v>843</v>
      </c>
      <c r="EO907">
        <v>96.39</v>
      </c>
    </row>
    <row r="908" spans="142:145" x14ac:dyDescent="0.25">
      <c r="EL908">
        <v>2021</v>
      </c>
      <c r="EM908" t="s">
        <v>719</v>
      </c>
      <c r="EN908" t="s">
        <v>843</v>
      </c>
      <c r="EO908">
        <v>94.2</v>
      </c>
    </row>
    <row r="909" spans="142:145" x14ac:dyDescent="0.25">
      <c r="EL909">
        <v>2021</v>
      </c>
      <c r="EM909" t="s">
        <v>713</v>
      </c>
      <c r="EN909" t="s">
        <v>843</v>
      </c>
      <c r="EO909">
        <v>92.86</v>
      </c>
    </row>
    <row r="910" spans="142:145" x14ac:dyDescent="0.25">
      <c r="EL910">
        <v>2021</v>
      </c>
      <c r="EM910" t="s">
        <v>714</v>
      </c>
      <c r="EN910" t="s">
        <v>843</v>
      </c>
      <c r="EO910">
        <v>102.11</v>
      </c>
    </row>
    <row r="911" spans="142:145" x14ac:dyDescent="0.25">
      <c r="EL911">
        <v>2021</v>
      </c>
      <c r="EM911" t="s">
        <v>705</v>
      </c>
      <c r="EN911" t="s">
        <v>843</v>
      </c>
      <c r="EO911">
        <v>98.02</v>
      </c>
    </row>
    <row r="912" spans="142:145" x14ac:dyDescent="0.25">
      <c r="EL912">
        <v>2021</v>
      </c>
      <c r="EM912" t="s">
        <v>715</v>
      </c>
      <c r="EN912" t="s">
        <v>843</v>
      </c>
      <c r="EO912">
        <v>92.13</v>
      </c>
    </row>
    <row r="913" spans="142:145" x14ac:dyDescent="0.25">
      <c r="EL913">
        <v>2021</v>
      </c>
      <c r="EM913" t="s">
        <v>718</v>
      </c>
      <c r="EN913" t="s">
        <v>843</v>
      </c>
      <c r="EO913">
        <v>104.72</v>
      </c>
    </row>
    <row r="914" spans="142:145" x14ac:dyDescent="0.25">
      <c r="EL914">
        <v>2021</v>
      </c>
      <c r="EM914" t="s">
        <v>716</v>
      </c>
      <c r="EN914" t="s">
        <v>843</v>
      </c>
      <c r="EO914">
        <v>92.8</v>
      </c>
    </row>
    <row r="915" spans="142:145" x14ac:dyDescent="0.25">
      <c r="EL915">
        <v>2021</v>
      </c>
      <c r="EM915" t="s">
        <v>708</v>
      </c>
      <c r="EN915" t="s">
        <v>843</v>
      </c>
      <c r="EO915">
        <v>86.96</v>
      </c>
    </row>
    <row r="916" spans="142:145" x14ac:dyDescent="0.25">
      <c r="EL916">
        <v>2021</v>
      </c>
      <c r="EM916" t="s">
        <v>709</v>
      </c>
      <c r="EN916" t="s">
        <v>843</v>
      </c>
      <c r="EO916">
        <v>88.45</v>
      </c>
    </row>
    <row r="917" spans="142:145" x14ac:dyDescent="0.25">
      <c r="EL917">
        <v>2021</v>
      </c>
      <c r="EM917" t="s">
        <v>710</v>
      </c>
      <c r="EN917" t="s">
        <v>843</v>
      </c>
      <c r="EO917">
        <v>90.04</v>
      </c>
    </row>
    <row r="918" spans="142:145" x14ac:dyDescent="0.25">
      <c r="EL918">
        <v>2021</v>
      </c>
      <c r="EM918" t="s">
        <v>711</v>
      </c>
      <c r="EN918" t="s">
        <v>843</v>
      </c>
      <c r="EO918">
        <v>86.12</v>
      </c>
    </row>
    <row r="919" spans="142:145" x14ac:dyDescent="0.25">
      <c r="EL919">
        <v>2021</v>
      </c>
      <c r="EM919" t="s">
        <v>712</v>
      </c>
      <c r="EN919" t="s">
        <v>843</v>
      </c>
      <c r="EO919">
        <v>86.25</v>
      </c>
    </row>
    <row r="920" spans="142:145" x14ac:dyDescent="0.25">
      <c r="EL920">
        <v>2022</v>
      </c>
      <c r="EM920" t="s">
        <v>719</v>
      </c>
      <c r="EN920" t="s">
        <v>843</v>
      </c>
      <c r="EO920">
        <v>90.27</v>
      </c>
    </row>
    <row r="921" spans="142:145" x14ac:dyDescent="0.25">
      <c r="EL921">
        <v>2022</v>
      </c>
      <c r="EM921" t="s">
        <v>713</v>
      </c>
      <c r="EN921" t="s">
        <v>843</v>
      </c>
      <c r="EO921">
        <v>76.66</v>
      </c>
    </row>
    <row r="922" spans="142:145" x14ac:dyDescent="0.25">
      <c r="EL922">
        <v>2022</v>
      </c>
      <c r="EM922" t="s">
        <v>714</v>
      </c>
      <c r="EN922" t="s">
        <v>843</v>
      </c>
      <c r="EO922">
        <v>80.290000000000006</v>
      </c>
    </row>
    <row r="923" spans="142:145" x14ac:dyDescent="0.25">
      <c r="EL923">
        <v>2022</v>
      </c>
      <c r="EM923" t="s">
        <v>705</v>
      </c>
      <c r="EN923" t="s">
        <v>843</v>
      </c>
      <c r="EO923">
        <v>90.62</v>
      </c>
    </row>
    <row r="924" spans="142:145" x14ac:dyDescent="0.25">
      <c r="EL924">
        <v>2022</v>
      </c>
      <c r="EM924" t="s">
        <v>715</v>
      </c>
      <c r="EN924" t="s">
        <v>843</v>
      </c>
      <c r="EO924">
        <v>108.59</v>
      </c>
    </row>
    <row r="925" spans="142:145" x14ac:dyDescent="0.25">
      <c r="EL925">
        <v>2022</v>
      </c>
      <c r="EM925" t="s">
        <v>718</v>
      </c>
      <c r="EN925" t="s">
        <v>843</v>
      </c>
      <c r="EO925">
        <v>88.58</v>
      </c>
    </row>
    <row r="926" spans="142:145" x14ac:dyDescent="0.25">
      <c r="EL926">
        <v>2022</v>
      </c>
      <c r="EM926" t="s">
        <v>716</v>
      </c>
      <c r="EN926" t="s">
        <v>843</v>
      </c>
      <c r="EO926">
        <v>101.91</v>
      </c>
    </row>
    <row r="927" spans="142:145" x14ac:dyDescent="0.25">
      <c r="EL927">
        <v>2022</v>
      </c>
      <c r="EM927" t="s">
        <v>708</v>
      </c>
      <c r="EN927" t="s">
        <v>843</v>
      </c>
      <c r="EO927">
        <v>89.43</v>
      </c>
    </row>
    <row r="928" spans="142:145" x14ac:dyDescent="0.25">
      <c r="EL928">
        <v>2022</v>
      </c>
      <c r="EM928" t="s">
        <v>709</v>
      </c>
      <c r="EN928" t="s">
        <v>843</v>
      </c>
      <c r="EO928">
        <v>83.6</v>
      </c>
    </row>
    <row r="929" spans="142:145" x14ac:dyDescent="0.25">
      <c r="EL929">
        <v>2022</v>
      </c>
      <c r="EM929" t="s">
        <v>710</v>
      </c>
      <c r="EN929" t="s">
        <v>843</v>
      </c>
      <c r="EO929">
        <v>85.36</v>
      </c>
    </row>
    <row r="930" spans="142:145" x14ac:dyDescent="0.25">
      <c r="EL930">
        <v>2022</v>
      </c>
      <c r="EM930" t="s">
        <v>711</v>
      </c>
      <c r="EN930" t="s">
        <v>843</v>
      </c>
      <c r="EO930">
        <v>82.31</v>
      </c>
    </row>
    <row r="931" spans="142:145" x14ac:dyDescent="0.25">
      <c r="EL931">
        <v>2022</v>
      </c>
      <c r="EM931" t="s">
        <v>712</v>
      </c>
      <c r="EN931" t="s">
        <v>843</v>
      </c>
      <c r="EO931">
        <v>102.22</v>
      </c>
    </row>
    <row r="932" spans="142:145" x14ac:dyDescent="0.25">
      <c r="EL932">
        <v>2023</v>
      </c>
      <c r="EM932" t="s">
        <v>719</v>
      </c>
      <c r="EN932" t="s">
        <v>843</v>
      </c>
      <c r="EO932">
        <v>100.6</v>
      </c>
    </row>
    <row r="933" spans="142:145" x14ac:dyDescent="0.25">
      <c r="EL933">
        <v>2023</v>
      </c>
      <c r="EM933" t="s">
        <v>713</v>
      </c>
      <c r="EN933" t="s">
        <v>843</v>
      </c>
      <c r="EO933">
        <v>91.57</v>
      </c>
    </row>
    <row r="934" spans="142:145" x14ac:dyDescent="0.25">
      <c r="EL934">
        <v>2023</v>
      </c>
      <c r="EM934" t="s">
        <v>714</v>
      </c>
      <c r="EN934" t="s">
        <v>843</v>
      </c>
      <c r="EO934">
        <v>99.66</v>
      </c>
    </row>
    <row r="935" spans="142:145" x14ac:dyDescent="0.25">
      <c r="EL935">
        <v>2023</v>
      </c>
      <c r="EM935" t="s">
        <v>705</v>
      </c>
      <c r="EN935" t="s">
        <v>843</v>
      </c>
      <c r="EO935">
        <v>95.43</v>
      </c>
    </row>
    <row r="936" spans="142:145" x14ac:dyDescent="0.25">
      <c r="EL936">
        <v>2023</v>
      </c>
      <c r="EM936" t="s">
        <v>715</v>
      </c>
      <c r="EN936" t="s">
        <v>843</v>
      </c>
      <c r="EO936">
        <v>97.29</v>
      </c>
    </row>
    <row r="937" spans="142:145" x14ac:dyDescent="0.25">
      <c r="EL937">
        <v>2023</v>
      </c>
      <c r="EM937" t="s">
        <v>718</v>
      </c>
      <c r="EN937" t="s">
        <v>843</v>
      </c>
      <c r="EO937">
        <v>82.98</v>
      </c>
    </row>
    <row r="938" spans="142:145" x14ac:dyDescent="0.25">
      <c r="EL938">
        <v>2023</v>
      </c>
      <c r="EM938" t="s">
        <v>716</v>
      </c>
      <c r="EN938" t="s">
        <v>843</v>
      </c>
      <c r="EO938">
        <v>89.69</v>
      </c>
    </row>
    <row r="939" spans="142:145" x14ac:dyDescent="0.25">
      <c r="EL939">
        <v>2023</v>
      </c>
      <c r="EM939" t="s">
        <v>708</v>
      </c>
      <c r="EN939" t="s">
        <v>843</v>
      </c>
      <c r="EO939">
        <v>85.71</v>
      </c>
    </row>
    <row r="940" spans="142:145" x14ac:dyDescent="0.25">
      <c r="EL940">
        <v>2023</v>
      </c>
      <c r="EM940" t="s">
        <v>709</v>
      </c>
      <c r="EN940" t="s">
        <v>843</v>
      </c>
      <c r="EO940">
        <v>82.98</v>
      </c>
    </row>
    <row r="941" spans="142:145" x14ac:dyDescent="0.25">
      <c r="EL941">
        <v>1997</v>
      </c>
      <c r="EM941" t="s">
        <v>760</v>
      </c>
      <c r="EN941" t="s">
        <v>844</v>
      </c>
      <c r="EO941">
        <v>98.704000000000008</v>
      </c>
    </row>
    <row r="942" spans="142:145" x14ac:dyDescent="0.25">
      <c r="EL942">
        <v>1997</v>
      </c>
      <c r="EM942" t="s">
        <v>761</v>
      </c>
      <c r="EN942" t="s">
        <v>844</v>
      </c>
      <c r="EO942">
        <v>112.32000000000001</v>
      </c>
    </row>
    <row r="943" spans="142:145" x14ac:dyDescent="0.25">
      <c r="EL943">
        <v>1997</v>
      </c>
      <c r="EM943" t="s">
        <v>762</v>
      </c>
      <c r="EN943" t="s">
        <v>844</v>
      </c>
      <c r="EO943">
        <v>101.339</v>
      </c>
    </row>
    <row r="944" spans="142:145" x14ac:dyDescent="0.25">
      <c r="EL944">
        <v>1998</v>
      </c>
      <c r="EM944" t="s">
        <v>763</v>
      </c>
      <c r="EN944" t="s">
        <v>844</v>
      </c>
      <c r="EO944">
        <v>127.193</v>
      </c>
    </row>
    <row r="945" spans="142:145" x14ac:dyDescent="0.25">
      <c r="EL945">
        <v>1998</v>
      </c>
      <c r="EM945" t="s">
        <v>764</v>
      </c>
      <c r="EN945" t="s">
        <v>844</v>
      </c>
      <c r="EO945">
        <v>157.33199999999999</v>
      </c>
    </row>
    <row r="946" spans="142:145" x14ac:dyDescent="0.25">
      <c r="EL946">
        <v>1998</v>
      </c>
      <c r="EM946" t="s">
        <v>765</v>
      </c>
      <c r="EN946" t="s">
        <v>844</v>
      </c>
      <c r="EO946">
        <v>196.881</v>
      </c>
    </row>
    <row r="947" spans="142:145" x14ac:dyDescent="0.25">
      <c r="EL947">
        <v>1998</v>
      </c>
      <c r="EM947" t="s">
        <v>767</v>
      </c>
      <c r="EN947" t="s">
        <v>844</v>
      </c>
      <c r="EO947">
        <v>162.57</v>
      </c>
    </row>
    <row r="948" spans="142:145" x14ac:dyDescent="0.25">
      <c r="EL948">
        <v>1998</v>
      </c>
      <c r="EM948" t="s">
        <v>715</v>
      </c>
      <c r="EN948" t="s">
        <v>844</v>
      </c>
      <c r="EO948">
        <v>186.155</v>
      </c>
    </row>
    <row r="949" spans="142:145" x14ac:dyDescent="0.25">
      <c r="EL949">
        <v>1998</v>
      </c>
      <c r="EM949" t="s">
        <v>718</v>
      </c>
      <c r="EN949" t="s">
        <v>844</v>
      </c>
      <c r="EO949">
        <v>159.9</v>
      </c>
    </row>
    <row r="950" spans="142:145" x14ac:dyDescent="0.25">
      <c r="EL950">
        <v>1998</v>
      </c>
      <c r="EM950" t="s">
        <v>716</v>
      </c>
      <c r="EN950" t="s">
        <v>844</v>
      </c>
      <c r="EO950">
        <v>180.82300000000001</v>
      </c>
    </row>
    <row r="951" spans="142:145" x14ac:dyDescent="0.25">
      <c r="EL951">
        <v>1998</v>
      </c>
      <c r="EM951" t="s">
        <v>768</v>
      </c>
      <c r="EN951" t="s">
        <v>844</v>
      </c>
      <c r="EO951">
        <v>162.34700000000001</v>
      </c>
    </row>
    <row r="952" spans="142:145" x14ac:dyDescent="0.25">
      <c r="EL952">
        <v>1998</v>
      </c>
      <c r="EM952" t="s">
        <v>769</v>
      </c>
      <c r="EN952" t="s">
        <v>844</v>
      </c>
      <c r="EO952">
        <v>144.75</v>
      </c>
    </row>
    <row r="953" spans="142:145" x14ac:dyDescent="0.25">
      <c r="EL953">
        <v>1998</v>
      </c>
      <c r="EM953" t="s">
        <v>760</v>
      </c>
      <c r="EN953" t="s">
        <v>844</v>
      </c>
      <c r="EO953">
        <v>138.66299999999998</v>
      </c>
    </row>
    <row r="954" spans="142:145" x14ac:dyDescent="0.25">
      <c r="EL954">
        <v>1998</v>
      </c>
      <c r="EM954" t="s">
        <v>771</v>
      </c>
      <c r="EN954" t="s">
        <v>844</v>
      </c>
      <c r="EO954">
        <v>126.66000000000001</v>
      </c>
    </row>
    <row r="955" spans="142:145" x14ac:dyDescent="0.25">
      <c r="EL955">
        <v>1998</v>
      </c>
      <c r="EM955" t="s">
        <v>762</v>
      </c>
      <c r="EN955" t="s">
        <v>844</v>
      </c>
      <c r="EO955">
        <v>132.339</v>
      </c>
    </row>
    <row r="956" spans="142:145" x14ac:dyDescent="0.25">
      <c r="EL956">
        <v>1999</v>
      </c>
      <c r="EM956" t="s">
        <v>763</v>
      </c>
      <c r="EN956" t="s">
        <v>844</v>
      </c>
      <c r="EO956">
        <v>145.66899999999998</v>
      </c>
    </row>
    <row r="957" spans="142:145" x14ac:dyDescent="0.25">
      <c r="EL957">
        <v>1999</v>
      </c>
      <c r="EM957" t="s">
        <v>772</v>
      </c>
      <c r="EN957" t="s">
        <v>844</v>
      </c>
      <c r="EO957">
        <v>131.79599999999999</v>
      </c>
    </row>
    <row r="958" spans="142:145" x14ac:dyDescent="0.25">
      <c r="EL958">
        <v>1999</v>
      </c>
      <c r="EM958" t="s">
        <v>773</v>
      </c>
      <c r="EN958" t="s">
        <v>844</v>
      </c>
      <c r="EO958">
        <v>176.04900000000001</v>
      </c>
    </row>
    <row r="959" spans="142:145" x14ac:dyDescent="0.25">
      <c r="EL959">
        <v>1999</v>
      </c>
      <c r="EM959" t="s">
        <v>774</v>
      </c>
      <c r="EN959" t="s">
        <v>844</v>
      </c>
      <c r="EO959">
        <v>161.36999999999998</v>
      </c>
    </row>
    <row r="960" spans="142:145" x14ac:dyDescent="0.25">
      <c r="EL960">
        <v>1999</v>
      </c>
      <c r="EM960" t="s">
        <v>715</v>
      </c>
      <c r="EN960" t="s">
        <v>844</v>
      </c>
      <c r="EO960">
        <v>163.494</v>
      </c>
    </row>
    <row r="961" spans="142:145" x14ac:dyDescent="0.25">
      <c r="EL961">
        <v>1999</v>
      </c>
      <c r="EM961" t="s">
        <v>718</v>
      </c>
      <c r="EN961" t="s">
        <v>844</v>
      </c>
      <c r="EO961">
        <v>151.95000000000002</v>
      </c>
    </row>
    <row r="962" spans="142:145" x14ac:dyDescent="0.25">
      <c r="EL962">
        <v>1999</v>
      </c>
      <c r="EM962" t="s">
        <v>716</v>
      </c>
      <c r="EN962" t="s">
        <v>844</v>
      </c>
      <c r="EO962">
        <v>146.53700000000001</v>
      </c>
    </row>
    <row r="963" spans="142:145" x14ac:dyDescent="0.25">
      <c r="EL963">
        <v>1999</v>
      </c>
      <c r="EM963" t="s">
        <v>708</v>
      </c>
      <c r="EN963" t="s">
        <v>844</v>
      </c>
      <c r="EO963">
        <v>129.02199999999999</v>
      </c>
    </row>
    <row r="964" spans="142:145" x14ac:dyDescent="0.25">
      <c r="EL964">
        <v>1999</v>
      </c>
      <c r="EM964" t="s">
        <v>709</v>
      </c>
      <c r="EN964" t="s">
        <v>844</v>
      </c>
      <c r="EO964">
        <v>161.25</v>
      </c>
    </row>
    <row r="965" spans="142:145" x14ac:dyDescent="0.25">
      <c r="EL965">
        <v>1999</v>
      </c>
      <c r="EM965" t="s">
        <v>710</v>
      </c>
      <c r="EN965" t="s">
        <v>844</v>
      </c>
      <c r="EO965">
        <v>162.71899999999999</v>
      </c>
    </row>
    <row r="966" spans="142:145" x14ac:dyDescent="0.25">
      <c r="EL966">
        <v>1999</v>
      </c>
      <c r="EM966" t="s">
        <v>711</v>
      </c>
      <c r="EN966" t="s">
        <v>844</v>
      </c>
      <c r="EO966">
        <v>146.63999999999999</v>
      </c>
    </row>
    <row r="967" spans="142:145" x14ac:dyDescent="0.25">
      <c r="EL967">
        <v>1999</v>
      </c>
      <c r="EM967" t="s">
        <v>712</v>
      </c>
      <c r="EN967" t="s">
        <v>844</v>
      </c>
      <c r="EO967">
        <v>161.78900000000002</v>
      </c>
    </row>
    <row r="968" spans="142:145" x14ac:dyDescent="0.25">
      <c r="EL968">
        <v>2000</v>
      </c>
      <c r="EM968" t="s">
        <v>719</v>
      </c>
      <c r="EN968" t="s">
        <v>844</v>
      </c>
      <c r="EO968">
        <v>160.48699999999999</v>
      </c>
    </row>
    <row r="969" spans="142:145" x14ac:dyDescent="0.25">
      <c r="EL969">
        <v>2000</v>
      </c>
      <c r="EM969" t="s">
        <v>713</v>
      </c>
      <c r="EN969" t="s">
        <v>844</v>
      </c>
      <c r="EO969">
        <v>164.14000000000001</v>
      </c>
    </row>
    <row r="970" spans="142:145" x14ac:dyDescent="0.25">
      <c r="EL970">
        <v>2000</v>
      </c>
      <c r="EM970" t="s">
        <v>714</v>
      </c>
      <c r="EN970" t="s">
        <v>844</v>
      </c>
      <c r="EO970">
        <v>192.60300000000001</v>
      </c>
    </row>
    <row r="971" spans="142:145" x14ac:dyDescent="0.25">
      <c r="EL971">
        <v>2000</v>
      </c>
      <c r="EM971" t="s">
        <v>705</v>
      </c>
      <c r="EN971" t="s">
        <v>844</v>
      </c>
      <c r="EO971">
        <v>202.56</v>
      </c>
    </row>
    <row r="972" spans="142:145" x14ac:dyDescent="0.25">
      <c r="EL972">
        <v>2000</v>
      </c>
      <c r="EM972" t="s">
        <v>715</v>
      </c>
      <c r="EN972" t="s">
        <v>844</v>
      </c>
      <c r="EO972">
        <v>192.91299999999998</v>
      </c>
    </row>
    <row r="973" spans="142:145" x14ac:dyDescent="0.25">
      <c r="EL973">
        <v>2000</v>
      </c>
      <c r="EM973" t="s">
        <v>718</v>
      </c>
      <c r="EN973" t="s">
        <v>844</v>
      </c>
      <c r="EO973">
        <v>185.25</v>
      </c>
    </row>
    <row r="974" spans="142:145" x14ac:dyDescent="0.25">
      <c r="EL974">
        <v>2000</v>
      </c>
      <c r="EM974" t="s">
        <v>716</v>
      </c>
      <c r="EN974" t="s">
        <v>844</v>
      </c>
      <c r="EO974">
        <v>176.63800000000001</v>
      </c>
    </row>
    <row r="975" spans="142:145" x14ac:dyDescent="0.25">
      <c r="EL975">
        <v>2000</v>
      </c>
      <c r="EM975" t="s">
        <v>708</v>
      </c>
      <c r="EN975" t="s">
        <v>844</v>
      </c>
      <c r="EO975">
        <v>173.75500000000002</v>
      </c>
    </row>
    <row r="976" spans="142:145" x14ac:dyDescent="0.25">
      <c r="EL976">
        <v>2000</v>
      </c>
      <c r="EM976" t="s">
        <v>709</v>
      </c>
      <c r="EN976" t="s">
        <v>844</v>
      </c>
      <c r="EO976">
        <v>160.38</v>
      </c>
    </row>
    <row r="977" spans="142:145" x14ac:dyDescent="0.25">
      <c r="EL977">
        <v>2000</v>
      </c>
      <c r="EM977" t="s">
        <v>710</v>
      </c>
      <c r="EN977" t="s">
        <v>844</v>
      </c>
      <c r="EO977">
        <v>153.512</v>
      </c>
    </row>
    <row r="978" spans="142:145" x14ac:dyDescent="0.25">
      <c r="EL978">
        <v>2000</v>
      </c>
      <c r="EM978" t="s">
        <v>711</v>
      </c>
      <c r="EN978" t="s">
        <v>844</v>
      </c>
      <c r="EO978">
        <v>139.91999999999999</v>
      </c>
    </row>
    <row r="979" spans="142:145" x14ac:dyDescent="0.25">
      <c r="EL979">
        <v>2000</v>
      </c>
      <c r="EM979" t="s">
        <v>712</v>
      </c>
      <c r="EN979" t="s">
        <v>844</v>
      </c>
      <c r="EO979">
        <v>146.01</v>
      </c>
    </row>
    <row r="980" spans="142:145" x14ac:dyDescent="0.25">
      <c r="EL980">
        <v>2001</v>
      </c>
      <c r="EM980" t="s">
        <v>719</v>
      </c>
      <c r="EN980" t="s">
        <v>844</v>
      </c>
      <c r="EO980">
        <v>152.334</v>
      </c>
    </row>
    <row r="981" spans="142:145" x14ac:dyDescent="0.25">
      <c r="EL981">
        <v>2001</v>
      </c>
      <c r="EM981" t="s">
        <v>713</v>
      </c>
      <c r="EN981" t="s">
        <v>844</v>
      </c>
      <c r="EO981">
        <v>150.66800000000001</v>
      </c>
    </row>
    <row r="982" spans="142:145" x14ac:dyDescent="0.25">
      <c r="EL982">
        <v>2001</v>
      </c>
      <c r="EM982" t="s">
        <v>714</v>
      </c>
      <c r="EN982" t="s">
        <v>844</v>
      </c>
      <c r="EO982">
        <v>178.96299999999999</v>
      </c>
    </row>
    <row r="983" spans="142:145" x14ac:dyDescent="0.25">
      <c r="EL983">
        <v>2001</v>
      </c>
      <c r="EM983" t="s">
        <v>705</v>
      </c>
      <c r="EN983" t="s">
        <v>844</v>
      </c>
      <c r="EO983">
        <v>178.20000000000002</v>
      </c>
    </row>
    <row r="984" spans="142:145" x14ac:dyDescent="0.25">
      <c r="EL984">
        <v>2001</v>
      </c>
      <c r="EM984" t="s">
        <v>715</v>
      </c>
      <c r="EN984" t="s">
        <v>844</v>
      </c>
      <c r="EO984">
        <v>176.39000000000001</v>
      </c>
    </row>
    <row r="985" spans="142:145" x14ac:dyDescent="0.25">
      <c r="EL985">
        <v>2001</v>
      </c>
      <c r="EM985" t="s">
        <v>718</v>
      </c>
      <c r="EN985" t="s">
        <v>844</v>
      </c>
      <c r="EO985">
        <v>191.45999999999998</v>
      </c>
    </row>
    <row r="986" spans="142:145" x14ac:dyDescent="0.25">
      <c r="EL986">
        <v>2001</v>
      </c>
      <c r="EM986" t="s">
        <v>716</v>
      </c>
      <c r="EN986" t="s">
        <v>844</v>
      </c>
      <c r="EO986">
        <v>184.45000000000002</v>
      </c>
    </row>
    <row r="987" spans="142:145" x14ac:dyDescent="0.25">
      <c r="EL987">
        <v>2001</v>
      </c>
      <c r="EM987" t="s">
        <v>708</v>
      </c>
      <c r="EN987" t="s">
        <v>844</v>
      </c>
      <c r="EO987">
        <v>165.81900000000002</v>
      </c>
    </row>
    <row r="988" spans="142:145" x14ac:dyDescent="0.25">
      <c r="EL988">
        <v>2001</v>
      </c>
      <c r="EM988" t="s">
        <v>709</v>
      </c>
      <c r="EN988" t="s">
        <v>844</v>
      </c>
      <c r="EO988">
        <v>149.52000000000001</v>
      </c>
    </row>
    <row r="989" spans="142:145" x14ac:dyDescent="0.25">
      <c r="EL989">
        <v>2001</v>
      </c>
      <c r="EM989" t="s">
        <v>710</v>
      </c>
      <c r="EN989" t="s">
        <v>844</v>
      </c>
      <c r="EO989">
        <v>143.43699999999998</v>
      </c>
    </row>
    <row r="990" spans="142:145" x14ac:dyDescent="0.25">
      <c r="EL990">
        <v>2001</v>
      </c>
      <c r="EM990" t="s">
        <v>711</v>
      </c>
      <c r="EN990" t="s">
        <v>844</v>
      </c>
      <c r="EO990">
        <v>136.01999999999998</v>
      </c>
    </row>
    <row r="991" spans="142:145" x14ac:dyDescent="0.25">
      <c r="EL991">
        <v>2001</v>
      </c>
      <c r="EM991" t="s">
        <v>712</v>
      </c>
      <c r="EN991" t="s">
        <v>844</v>
      </c>
      <c r="EO991">
        <v>141.67000000000002</v>
      </c>
    </row>
    <row r="992" spans="142:145" x14ac:dyDescent="0.25">
      <c r="EL992">
        <v>2002</v>
      </c>
      <c r="EM992" t="s">
        <v>719</v>
      </c>
      <c r="EN992" t="s">
        <v>844</v>
      </c>
      <c r="EO992">
        <v>141.60799999999998</v>
      </c>
    </row>
    <row r="993" spans="142:145" x14ac:dyDescent="0.25">
      <c r="EL993">
        <v>2002</v>
      </c>
      <c r="EM993" t="s">
        <v>713</v>
      </c>
      <c r="EN993" t="s">
        <v>844</v>
      </c>
      <c r="EO993">
        <v>124.62799999999999</v>
      </c>
    </row>
    <row r="994" spans="142:145" x14ac:dyDescent="0.25">
      <c r="EL994">
        <v>2002</v>
      </c>
      <c r="EM994" t="s">
        <v>714</v>
      </c>
      <c r="EN994" t="s">
        <v>844</v>
      </c>
      <c r="EO994">
        <v>144.863</v>
      </c>
    </row>
    <row r="995" spans="142:145" x14ac:dyDescent="0.25">
      <c r="EL995">
        <v>2002</v>
      </c>
      <c r="EM995" t="s">
        <v>705</v>
      </c>
      <c r="EN995" t="s">
        <v>844</v>
      </c>
      <c r="EO995">
        <v>141.63</v>
      </c>
    </row>
    <row r="996" spans="142:145" x14ac:dyDescent="0.25">
      <c r="EL996">
        <v>2002</v>
      </c>
      <c r="EM996" t="s">
        <v>715</v>
      </c>
      <c r="EN996" t="s">
        <v>844</v>
      </c>
      <c r="EO996">
        <v>171.64699999999999</v>
      </c>
    </row>
    <row r="997" spans="142:145" x14ac:dyDescent="0.25">
      <c r="EL997">
        <v>2002</v>
      </c>
      <c r="EM997" t="s">
        <v>718</v>
      </c>
      <c r="EN997" t="s">
        <v>844</v>
      </c>
      <c r="EO997">
        <v>141.35999999999999</v>
      </c>
    </row>
    <row r="998" spans="142:145" x14ac:dyDescent="0.25">
      <c r="EL998">
        <v>2002</v>
      </c>
      <c r="EM998" t="s">
        <v>716</v>
      </c>
      <c r="EN998" t="s">
        <v>844</v>
      </c>
      <c r="EO998">
        <v>136.24499999999998</v>
      </c>
    </row>
    <row r="999" spans="142:145" x14ac:dyDescent="0.25">
      <c r="EL999">
        <v>2002</v>
      </c>
      <c r="EM999" t="s">
        <v>708</v>
      </c>
      <c r="EN999" t="s">
        <v>844</v>
      </c>
      <c r="EO999">
        <v>126.294</v>
      </c>
    </row>
    <row r="1000" spans="142:145" x14ac:dyDescent="0.25">
      <c r="EL1000">
        <v>2002</v>
      </c>
      <c r="EM1000" t="s">
        <v>709</v>
      </c>
      <c r="EN1000" t="s">
        <v>844</v>
      </c>
      <c r="EO1000">
        <v>126.9</v>
      </c>
    </row>
    <row r="1001" spans="142:145" x14ac:dyDescent="0.25">
      <c r="EL1001">
        <v>2002</v>
      </c>
      <c r="EM1001" t="s">
        <v>710</v>
      </c>
      <c r="EN1001" t="s">
        <v>844</v>
      </c>
      <c r="EO1001">
        <v>132.68</v>
      </c>
    </row>
    <row r="1002" spans="142:145" x14ac:dyDescent="0.25">
      <c r="EL1002">
        <v>2002</v>
      </c>
      <c r="EM1002" t="s">
        <v>711</v>
      </c>
      <c r="EN1002" t="s">
        <v>844</v>
      </c>
      <c r="EO1002">
        <v>150.18</v>
      </c>
    </row>
    <row r="1003" spans="142:145" x14ac:dyDescent="0.25">
      <c r="EL1003">
        <v>2002</v>
      </c>
      <c r="EM1003" t="s">
        <v>712</v>
      </c>
      <c r="EN1003" t="s">
        <v>844</v>
      </c>
      <c r="EO1003">
        <v>173.01100000000002</v>
      </c>
    </row>
    <row r="1004" spans="142:145" x14ac:dyDescent="0.25">
      <c r="EL1004">
        <v>2003</v>
      </c>
      <c r="EM1004" t="s">
        <v>719</v>
      </c>
      <c r="EN1004" t="s">
        <v>844</v>
      </c>
      <c r="EO1004">
        <v>181.93899999999999</v>
      </c>
    </row>
    <row r="1005" spans="142:145" x14ac:dyDescent="0.25">
      <c r="EL1005">
        <v>2003</v>
      </c>
      <c r="EM1005" t="s">
        <v>713</v>
      </c>
      <c r="EN1005" t="s">
        <v>844</v>
      </c>
      <c r="EO1005">
        <v>192.92</v>
      </c>
    </row>
    <row r="1006" spans="142:145" x14ac:dyDescent="0.25">
      <c r="EL1006">
        <v>2003</v>
      </c>
      <c r="EM1006" t="s">
        <v>714</v>
      </c>
      <c r="EN1006" t="s">
        <v>844</v>
      </c>
      <c r="EO1006">
        <v>251.19299999999998</v>
      </c>
    </row>
    <row r="1007" spans="142:145" x14ac:dyDescent="0.25">
      <c r="EL1007">
        <v>2003</v>
      </c>
      <c r="EM1007" t="s">
        <v>705</v>
      </c>
      <c r="EN1007" t="s">
        <v>844</v>
      </c>
      <c r="EO1007">
        <v>216.69</v>
      </c>
    </row>
    <row r="1008" spans="142:145" x14ac:dyDescent="0.25">
      <c r="EL1008">
        <v>2003</v>
      </c>
      <c r="EM1008" t="s">
        <v>715</v>
      </c>
      <c r="EN1008" t="s">
        <v>844</v>
      </c>
      <c r="EO1008">
        <v>231.41499999999999</v>
      </c>
    </row>
    <row r="1009" spans="142:145" x14ac:dyDescent="0.25">
      <c r="EL1009">
        <v>2003</v>
      </c>
      <c r="EM1009" t="s">
        <v>718</v>
      </c>
      <c r="EN1009" t="s">
        <v>844</v>
      </c>
      <c r="EO1009">
        <v>278.73</v>
      </c>
    </row>
    <row r="1010" spans="142:145" x14ac:dyDescent="0.25">
      <c r="EL1010">
        <v>2003</v>
      </c>
      <c r="EM1010" t="s">
        <v>716</v>
      </c>
      <c r="EN1010" t="s">
        <v>844</v>
      </c>
      <c r="EO1010">
        <v>230.98099999999999</v>
      </c>
    </row>
    <row r="1011" spans="142:145" x14ac:dyDescent="0.25">
      <c r="EL1011">
        <v>2003</v>
      </c>
      <c r="EM1011" t="s">
        <v>708</v>
      </c>
      <c r="EN1011" t="s">
        <v>844</v>
      </c>
      <c r="EO1011">
        <v>201.779</v>
      </c>
    </row>
    <row r="1012" spans="142:145" x14ac:dyDescent="0.25">
      <c r="EL1012">
        <v>2003</v>
      </c>
      <c r="EM1012" t="s">
        <v>709</v>
      </c>
      <c r="EN1012" t="s">
        <v>844</v>
      </c>
      <c r="EO1012">
        <v>197.79</v>
      </c>
    </row>
    <row r="1013" spans="142:145" x14ac:dyDescent="0.25">
      <c r="EL1013">
        <v>2003</v>
      </c>
      <c r="EM1013" t="s">
        <v>710</v>
      </c>
      <c r="EN1013" t="s">
        <v>844</v>
      </c>
      <c r="EO1013">
        <v>201.12</v>
      </c>
    </row>
    <row r="1014" spans="142:145" x14ac:dyDescent="0.25">
      <c r="EL1014">
        <v>2003</v>
      </c>
      <c r="EM1014" t="s">
        <v>711</v>
      </c>
      <c r="EN1014" t="s">
        <v>844</v>
      </c>
      <c r="EO1014">
        <v>225.47</v>
      </c>
    </row>
    <row r="1015" spans="142:145" x14ac:dyDescent="0.25">
      <c r="EL1015">
        <v>2003</v>
      </c>
      <c r="EM1015" t="s">
        <v>712</v>
      </c>
      <c r="EN1015" t="s">
        <v>844</v>
      </c>
      <c r="EO1015">
        <v>275.55</v>
      </c>
    </row>
    <row r="1016" spans="142:145" x14ac:dyDescent="0.25">
      <c r="EL1016">
        <v>2004</v>
      </c>
      <c r="EM1016" t="s">
        <v>719</v>
      </c>
      <c r="EN1016" t="s">
        <v>844</v>
      </c>
      <c r="EO1016">
        <v>228.75</v>
      </c>
    </row>
    <row r="1017" spans="142:145" x14ac:dyDescent="0.25">
      <c r="EL1017">
        <v>2004</v>
      </c>
      <c r="EM1017" t="s">
        <v>713</v>
      </c>
      <c r="EN1017" t="s">
        <v>844</v>
      </c>
      <c r="EO1017">
        <v>227.32</v>
      </c>
    </row>
    <row r="1018" spans="142:145" x14ac:dyDescent="0.25">
      <c r="EL1018">
        <v>2004</v>
      </c>
      <c r="EM1018" t="s">
        <v>714</v>
      </c>
      <c r="EN1018" t="s">
        <v>844</v>
      </c>
      <c r="EO1018">
        <v>216.79</v>
      </c>
    </row>
    <row r="1019" spans="142:145" x14ac:dyDescent="0.25">
      <c r="EL1019">
        <v>2004</v>
      </c>
      <c r="EM1019" t="s">
        <v>705</v>
      </c>
      <c r="EN1019" t="s">
        <v>844</v>
      </c>
      <c r="EO1019">
        <v>234.31</v>
      </c>
    </row>
    <row r="1020" spans="142:145" x14ac:dyDescent="0.25">
      <c r="EL1020">
        <v>2004</v>
      </c>
      <c r="EM1020" t="s">
        <v>715</v>
      </c>
      <c r="EN1020" t="s">
        <v>844</v>
      </c>
      <c r="EO1020">
        <v>219.18</v>
      </c>
    </row>
    <row r="1021" spans="142:145" x14ac:dyDescent="0.25">
      <c r="EL1021">
        <v>2004</v>
      </c>
      <c r="EM1021" t="s">
        <v>718</v>
      </c>
      <c r="EN1021" t="s">
        <v>844</v>
      </c>
      <c r="EO1021">
        <v>196.24</v>
      </c>
    </row>
    <row r="1022" spans="142:145" x14ac:dyDescent="0.25">
      <c r="EL1022">
        <v>2004</v>
      </c>
      <c r="EM1022" t="s">
        <v>716</v>
      </c>
      <c r="EN1022" t="s">
        <v>844</v>
      </c>
      <c r="EO1022">
        <v>193.8</v>
      </c>
    </row>
    <row r="1023" spans="142:145" x14ac:dyDescent="0.25">
      <c r="EL1023">
        <v>2004</v>
      </c>
      <c r="EM1023" t="s">
        <v>708</v>
      </c>
      <c r="EN1023" t="s">
        <v>844</v>
      </c>
      <c r="EO1023">
        <v>189.7</v>
      </c>
    </row>
    <row r="1024" spans="142:145" x14ac:dyDescent="0.25">
      <c r="EL1024">
        <v>2004</v>
      </c>
      <c r="EM1024" t="s">
        <v>709</v>
      </c>
      <c r="EN1024" t="s">
        <v>844</v>
      </c>
      <c r="EO1024">
        <v>167.51</v>
      </c>
    </row>
    <row r="1025" spans="142:145" x14ac:dyDescent="0.25">
      <c r="EL1025">
        <v>2004</v>
      </c>
      <c r="EM1025" t="s">
        <v>710</v>
      </c>
      <c r="EN1025" t="s">
        <v>844</v>
      </c>
      <c r="EO1025">
        <v>161.05699999999999</v>
      </c>
    </row>
    <row r="1026" spans="142:145" x14ac:dyDescent="0.25">
      <c r="EL1026">
        <v>2004</v>
      </c>
      <c r="EM1026" t="s">
        <v>711</v>
      </c>
      <c r="EN1026" t="s">
        <v>844</v>
      </c>
      <c r="EO1026">
        <v>167.09</v>
      </c>
    </row>
    <row r="1027" spans="142:145" x14ac:dyDescent="0.25">
      <c r="EL1027">
        <v>2004</v>
      </c>
      <c r="EM1027" t="s">
        <v>712</v>
      </c>
      <c r="EN1027" t="s">
        <v>844</v>
      </c>
      <c r="EO1027">
        <v>185.96</v>
      </c>
    </row>
    <row r="1028" spans="142:145" x14ac:dyDescent="0.25">
      <c r="EL1028">
        <v>2005</v>
      </c>
      <c r="EM1028" t="s">
        <v>719</v>
      </c>
      <c r="EN1028" t="s">
        <v>844</v>
      </c>
      <c r="EO1028">
        <v>199.53</v>
      </c>
    </row>
    <row r="1029" spans="142:145" x14ac:dyDescent="0.25">
      <c r="EL1029">
        <v>2005</v>
      </c>
      <c r="EM1029" t="s">
        <v>713</v>
      </c>
      <c r="EN1029" t="s">
        <v>844</v>
      </c>
      <c r="EO1029">
        <v>176.47</v>
      </c>
    </row>
    <row r="1030" spans="142:145" x14ac:dyDescent="0.25">
      <c r="EL1030">
        <v>2005</v>
      </c>
      <c r="EM1030" t="s">
        <v>714</v>
      </c>
      <c r="EN1030" t="s">
        <v>844</v>
      </c>
      <c r="EO1030">
        <v>212.27</v>
      </c>
    </row>
    <row r="1031" spans="142:145" x14ac:dyDescent="0.25">
      <c r="EL1031">
        <v>2005</v>
      </c>
      <c r="EM1031" t="s">
        <v>705</v>
      </c>
      <c r="EN1031" t="s">
        <v>844</v>
      </c>
      <c r="EO1031">
        <v>231.68</v>
      </c>
    </row>
    <row r="1032" spans="142:145" x14ac:dyDescent="0.25">
      <c r="EL1032">
        <v>2005</v>
      </c>
      <c r="EM1032" t="s">
        <v>715</v>
      </c>
      <c r="EN1032" t="s">
        <v>844</v>
      </c>
      <c r="EO1032">
        <v>208.239</v>
      </c>
    </row>
    <row r="1033" spans="142:145" x14ac:dyDescent="0.25">
      <c r="EL1033">
        <v>2005</v>
      </c>
      <c r="EM1033" t="s">
        <v>718</v>
      </c>
      <c r="EN1033" t="s">
        <v>844</v>
      </c>
      <c r="EO1033">
        <v>195.2</v>
      </c>
    </row>
    <row r="1034" spans="142:145" x14ac:dyDescent="0.25">
      <c r="EL1034">
        <v>2005</v>
      </c>
      <c r="EM1034" t="s">
        <v>716</v>
      </c>
      <c r="EN1034" t="s">
        <v>844</v>
      </c>
      <c r="EO1034">
        <v>196.94900000000001</v>
      </c>
    </row>
    <row r="1035" spans="142:145" x14ac:dyDescent="0.25">
      <c r="EL1035">
        <v>2005</v>
      </c>
      <c r="EM1035" t="s">
        <v>708</v>
      </c>
      <c r="EN1035" t="s">
        <v>844</v>
      </c>
      <c r="EO1035">
        <v>177.852</v>
      </c>
    </row>
    <row r="1036" spans="142:145" x14ac:dyDescent="0.25">
      <c r="EL1036">
        <v>2005</v>
      </c>
      <c r="EM1036" t="s">
        <v>709</v>
      </c>
      <c r="EN1036" t="s">
        <v>844</v>
      </c>
      <c r="EO1036">
        <v>150.25</v>
      </c>
    </row>
    <row r="1037" spans="142:145" x14ac:dyDescent="0.25">
      <c r="EL1037">
        <v>2005</v>
      </c>
      <c r="EM1037" t="s">
        <v>710</v>
      </c>
      <c r="EN1037" t="s">
        <v>844</v>
      </c>
      <c r="EO1037">
        <v>185.47</v>
      </c>
    </row>
    <row r="1038" spans="142:145" x14ac:dyDescent="0.25">
      <c r="EL1038">
        <v>2005</v>
      </c>
      <c r="EM1038" t="s">
        <v>711</v>
      </c>
      <c r="EN1038" t="s">
        <v>844</v>
      </c>
      <c r="EO1038">
        <v>169.66499999999999</v>
      </c>
    </row>
    <row r="1039" spans="142:145" x14ac:dyDescent="0.25">
      <c r="EL1039">
        <v>2005</v>
      </c>
      <c r="EM1039" t="s">
        <v>712</v>
      </c>
      <c r="EN1039" t="s">
        <v>844</v>
      </c>
      <c r="EO1039">
        <v>191.69</v>
      </c>
    </row>
    <row r="1040" spans="142:145" x14ac:dyDescent="0.25">
      <c r="EL1040">
        <v>2006</v>
      </c>
      <c r="EM1040" t="s">
        <v>719</v>
      </c>
      <c r="EN1040" t="s">
        <v>844</v>
      </c>
      <c r="EO1040">
        <v>201.19</v>
      </c>
    </row>
    <row r="1041" spans="142:145" x14ac:dyDescent="0.25">
      <c r="EL1041">
        <v>2006</v>
      </c>
      <c r="EM1041" t="s">
        <v>713</v>
      </c>
      <c r="EN1041" t="s">
        <v>844</v>
      </c>
      <c r="EO1041">
        <v>194.67</v>
      </c>
    </row>
    <row r="1042" spans="142:145" x14ac:dyDescent="0.25">
      <c r="EL1042">
        <v>2006</v>
      </c>
      <c r="EM1042" t="s">
        <v>714</v>
      </c>
      <c r="EN1042" t="s">
        <v>844</v>
      </c>
      <c r="EO1042">
        <v>192.09</v>
      </c>
    </row>
    <row r="1043" spans="142:145" x14ac:dyDescent="0.25">
      <c r="EL1043">
        <v>2006</v>
      </c>
      <c r="EM1043" t="s">
        <v>705</v>
      </c>
      <c r="EN1043" t="s">
        <v>844</v>
      </c>
      <c r="EO1043">
        <v>181.041</v>
      </c>
    </row>
    <row r="1044" spans="142:145" x14ac:dyDescent="0.25">
      <c r="EL1044">
        <v>2006</v>
      </c>
      <c r="EM1044" t="s">
        <v>715</v>
      </c>
      <c r="EN1044" t="s">
        <v>844</v>
      </c>
      <c r="EO1044">
        <v>180.096</v>
      </c>
    </row>
    <row r="1045" spans="142:145" x14ac:dyDescent="0.25">
      <c r="EL1045">
        <v>2006</v>
      </c>
      <c r="EM1045" t="s">
        <v>718</v>
      </c>
      <c r="EN1045" t="s">
        <v>844</v>
      </c>
      <c r="EO1045">
        <v>208.6</v>
      </c>
    </row>
    <row r="1046" spans="142:145" x14ac:dyDescent="0.25">
      <c r="EL1046">
        <v>2006</v>
      </c>
      <c r="EM1046" t="s">
        <v>716</v>
      </c>
      <c r="EN1046" t="s">
        <v>844</v>
      </c>
      <c r="EO1046">
        <v>197.54</v>
      </c>
    </row>
    <row r="1047" spans="142:145" x14ac:dyDescent="0.25">
      <c r="EL1047">
        <v>2006</v>
      </c>
      <c r="EM1047" t="s">
        <v>708</v>
      </c>
      <c r="EN1047" t="s">
        <v>844</v>
      </c>
      <c r="EO1047">
        <v>159.78</v>
      </c>
    </row>
    <row r="1048" spans="142:145" x14ac:dyDescent="0.25">
      <c r="EL1048">
        <v>2006</v>
      </c>
      <c r="EM1048" t="s">
        <v>709</v>
      </c>
      <c r="EN1048" t="s">
        <v>844</v>
      </c>
      <c r="EO1048">
        <v>163.79</v>
      </c>
    </row>
    <row r="1049" spans="142:145" x14ac:dyDescent="0.25">
      <c r="EL1049">
        <v>2006</v>
      </c>
      <c r="EM1049" t="s">
        <v>710</v>
      </c>
      <c r="EN1049" t="s">
        <v>844</v>
      </c>
      <c r="EO1049">
        <v>180.57300000000001</v>
      </c>
    </row>
    <row r="1050" spans="142:145" x14ac:dyDescent="0.25">
      <c r="EL1050">
        <v>2006</v>
      </c>
      <c r="EM1050" t="s">
        <v>711</v>
      </c>
      <c r="EN1050" t="s">
        <v>844</v>
      </c>
      <c r="EO1050">
        <v>188.23400000000001</v>
      </c>
    </row>
    <row r="1051" spans="142:145" x14ac:dyDescent="0.25">
      <c r="EL1051">
        <v>2006</v>
      </c>
      <c r="EM1051" t="s">
        <v>712</v>
      </c>
      <c r="EN1051" t="s">
        <v>844</v>
      </c>
      <c r="EO1051">
        <v>187.06</v>
      </c>
    </row>
    <row r="1052" spans="142:145" x14ac:dyDescent="0.25">
      <c r="EL1052">
        <v>2007</v>
      </c>
      <c r="EM1052" t="s">
        <v>719</v>
      </c>
      <c r="EN1052" t="s">
        <v>844</v>
      </c>
      <c r="EO1052">
        <v>201.91300000000001</v>
      </c>
    </row>
    <row r="1053" spans="142:145" x14ac:dyDescent="0.25">
      <c r="EL1053">
        <v>2007</v>
      </c>
      <c r="EM1053" t="s">
        <v>713</v>
      </c>
      <c r="EN1053" t="s">
        <v>844</v>
      </c>
      <c r="EO1053">
        <v>178.125</v>
      </c>
    </row>
    <row r="1054" spans="142:145" x14ac:dyDescent="0.25">
      <c r="EL1054">
        <v>2007</v>
      </c>
      <c r="EM1054" t="s">
        <v>714</v>
      </c>
      <c r="EN1054" t="s">
        <v>844</v>
      </c>
      <c r="EO1054">
        <v>224.31800000000001</v>
      </c>
    </row>
    <row r="1055" spans="142:145" x14ac:dyDescent="0.25">
      <c r="EL1055">
        <v>2007</v>
      </c>
      <c r="EM1055" t="s">
        <v>705</v>
      </c>
      <c r="EN1055" t="s">
        <v>844</v>
      </c>
      <c r="EO1055">
        <v>211.565</v>
      </c>
    </row>
    <row r="1056" spans="142:145" x14ac:dyDescent="0.25">
      <c r="EL1056">
        <v>2007</v>
      </c>
      <c r="EM1056" t="s">
        <v>715</v>
      </c>
      <c r="EN1056" t="s">
        <v>844</v>
      </c>
      <c r="EO1056">
        <v>194.03</v>
      </c>
    </row>
    <row r="1057" spans="142:145" x14ac:dyDescent="0.25">
      <c r="EL1057">
        <v>2007</v>
      </c>
      <c r="EM1057" t="s">
        <v>718</v>
      </c>
      <c r="EN1057" t="s">
        <v>844</v>
      </c>
      <c r="EO1057">
        <v>175.64</v>
      </c>
    </row>
    <row r="1058" spans="142:145" x14ac:dyDescent="0.25">
      <c r="EL1058">
        <v>2007</v>
      </c>
      <c r="EM1058" t="s">
        <v>716</v>
      </c>
      <c r="EN1058" t="s">
        <v>844</v>
      </c>
      <c r="EO1058">
        <v>159.196</v>
      </c>
    </row>
    <row r="1059" spans="142:145" x14ac:dyDescent="0.25">
      <c r="EL1059">
        <v>2007</v>
      </c>
      <c r="EM1059" t="s">
        <v>708</v>
      </c>
      <c r="EN1059" t="s">
        <v>844</v>
      </c>
      <c r="EO1059">
        <v>147.09</v>
      </c>
    </row>
    <row r="1060" spans="142:145" x14ac:dyDescent="0.25">
      <c r="EL1060">
        <v>2007</v>
      </c>
      <c r="EM1060" t="s">
        <v>709</v>
      </c>
      <c r="EN1060" t="s">
        <v>844</v>
      </c>
      <c r="EO1060">
        <v>134.54</v>
      </c>
    </row>
    <row r="1061" spans="142:145" x14ac:dyDescent="0.25">
      <c r="EL1061">
        <v>2007</v>
      </c>
      <c r="EM1061" t="s">
        <v>710</v>
      </c>
      <c r="EN1061" t="s">
        <v>844</v>
      </c>
      <c r="EO1061">
        <v>136.50200000000001</v>
      </c>
    </row>
    <row r="1062" spans="142:145" x14ac:dyDescent="0.25">
      <c r="EL1062">
        <v>2007</v>
      </c>
      <c r="EM1062" t="s">
        <v>711</v>
      </c>
      <c r="EN1062" t="s">
        <v>844</v>
      </c>
      <c r="EO1062">
        <v>133.29</v>
      </c>
    </row>
    <row r="1063" spans="142:145" x14ac:dyDescent="0.25">
      <c r="EL1063">
        <v>2007</v>
      </c>
      <c r="EM1063" t="s">
        <v>712</v>
      </c>
      <c r="EN1063" t="s">
        <v>844</v>
      </c>
      <c r="EO1063">
        <v>146.68</v>
      </c>
    </row>
    <row r="1064" spans="142:145" x14ac:dyDescent="0.25">
      <c r="EL1064">
        <v>2008</v>
      </c>
      <c r="EM1064" t="s">
        <v>719</v>
      </c>
      <c r="EN1064" t="s">
        <v>844</v>
      </c>
      <c r="EO1064">
        <v>149.459</v>
      </c>
    </row>
    <row r="1065" spans="142:145" x14ac:dyDescent="0.25">
      <c r="EL1065">
        <v>2008</v>
      </c>
      <c r="EM1065" t="s">
        <v>713</v>
      </c>
      <c r="EN1065" t="s">
        <v>844</v>
      </c>
      <c r="EO1065">
        <v>156.34</v>
      </c>
    </row>
    <row r="1066" spans="142:145" x14ac:dyDescent="0.25">
      <c r="EL1066">
        <v>2008</v>
      </c>
      <c r="EM1066" t="s">
        <v>714</v>
      </c>
      <c r="EN1066" t="s">
        <v>844</v>
      </c>
      <c r="EO1066">
        <v>160.15100000000001</v>
      </c>
    </row>
    <row r="1067" spans="142:145" x14ac:dyDescent="0.25">
      <c r="EL1067">
        <v>2008</v>
      </c>
      <c r="EM1067" t="s">
        <v>705</v>
      </c>
      <c r="EN1067" t="s">
        <v>844</v>
      </c>
      <c r="EO1067">
        <v>168.44499999999999</v>
      </c>
    </row>
    <row r="1068" spans="142:145" x14ac:dyDescent="0.25">
      <c r="EL1068">
        <v>2008</v>
      </c>
      <c r="EM1068" t="s">
        <v>715</v>
      </c>
      <c r="EN1068" t="s">
        <v>844</v>
      </c>
      <c r="EO1068">
        <v>213.62</v>
      </c>
    </row>
    <row r="1069" spans="142:145" x14ac:dyDescent="0.25">
      <c r="EL1069">
        <v>2008</v>
      </c>
      <c r="EM1069" t="s">
        <v>718</v>
      </c>
      <c r="EN1069" t="s">
        <v>844</v>
      </c>
      <c r="EO1069">
        <v>173.851</v>
      </c>
    </row>
    <row r="1070" spans="142:145" x14ac:dyDescent="0.25">
      <c r="EL1070">
        <v>2008</v>
      </c>
      <c r="EM1070" t="s">
        <v>716</v>
      </c>
      <c r="EN1070" t="s">
        <v>844</v>
      </c>
      <c r="EO1070">
        <v>152.732</v>
      </c>
    </row>
    <row r="1071" spans="142:145" x14ac:dyDescent="0.25">
      <c r="EL1071">
        <v>2008</v>
      </c>
      <c r="EM1071" t="s">
        <v>708</v>
      </c>
      <c r="EN1071" t="s">
        <v>844</v>
      </c>
      <c r="EO1071">
        <v>136.12700000000001</v>
      </c>
    </row>
    <row r="1072" spans="142:145" x14ac:dyDescent="0.25">
      <c r="EL1072">
        <v>2008</v>
      </c>
      <c r="EM1072" t="s">
        <v>709</v>
      </c>
      <c r="EN1072" t="s">
        <v>844</v>
      </c>
      <c r="EO1072">
        <v>138.86099999999999</v>
      </c>
    </row>
    <row r="1073" spans="142:145" x14ac:dyDescent="0.25">
      <c r="EL1073">
        <v>2008</v>
      </c>
      <c r="EM1073" t="s">
        <v>710</v>
      </c>
      <c r="EN1073" t="s">
        <v>844</v>
      </c>
      <c r="EO1073">
        <v>129.94900000000001</v>
      </c>
    </row>
    <row r="1074" spans="142:145" x14ac:dyDescent="0.25">
      <c r="EL1074">
        <v>2008</v>
      </c>
      <c r="EM1074" t="s">
        <v>711</v>
      </c>
      <c r="EN1074" t="s">
        <v>844</v>
      </c>
      <c r="EO1074">
        <v>137.16</v>
      </c>
    </row>
    <row r="1075" spans="142:145" x14ac:dyDescent="0.25">
      <c r="EL1075">
        <v>2008</v>
      </c>
      <c r="EM1075" t="s">
        <v>712</v>
      </c>
      <c r="EN1075" t="s">
        <v>844</v>
      </c>
      <c r="EO1075">
        <v>160.01</v>
      </c>
    </row>
    <row r="1076" spans="142:145" x14ac:dyDescent="0.25">
      <c r="EL1076">
        <v>2009</v>
      </c>
      <c r="EM1076" t="s">
        <v>719</v>
      </c>
      <c r="EN1076" t="s">
        <v>844</v>
      </c>
      <c r="EO1076">
        <v>156.76599999999999</v>
      </c>
    </row>
    <row r="1077" spans="142:145" x14ac:dyDescent="0.25">
      <c r="EL1077">
        <v>2009</v>
      </c>
      <c r="EM1077" t="s">
        <v>713</v>
      </c>
      <c r="EN1077" t="s">
        <v>844</v>
      </c>
      <c r="EO1077">
        <v>130.874</v>
      </c>
    </row>
    <row r="1078" spans="142:145" x14ac:dyDescent="0.25">
      <c r="EL1078">
        <v>2009</v>
      </c>
      <c r="EM1078" t="s">
        <v>714</v>
      </c>
      <c r="EN1078" t="s">
        <v>844</v>
      </c>
      <c r="EO1078">
        <v>146.113</v>
      </c>
    </row>
    <row r="1079" spans="142:145" x14ac:dyDescent="0.25">
      <c r="EL1079">
        <v>2009</v>
      </c>
      <c r="EM1079" t="s">
        <v>705</v>
      </c>
      <c r="EN1079" t="s">
        <v>844</v>
      </c>
      <c r="EO1079">
        <v>156.40100000000001</v>
      </c>
    </row>
    <row r="1080" spans="142:145" x14ac:dyDescent="0.25">
      <c r="EL1080">
        <v>2009</v>
      </c>
      <c r="EM1080" t="s">
        <v>715</v>
      </c>
      <c r="EN1080" t="s">
        <v>844</v>
      </c>
      <c r="EO1080">
        <v>179.989</v>
      </c>
    </row>
    <row r="1081" spans="142:145" x14ac:dyDescent="0.25">
      <c r="EL1081">
        <v>2009</v>
      </c>
      <c r="EM1081" t="s">
        <v>718</v>
      </c>
      <c r="EN1081" t="s">
        <v>844</v>
      </c>
      <c r="EO1081">
        <v>218.41200000000001</v>
      </c>
    </row>
    <row r="1082" spans="142:145" x14ac:dyDescent="0.25">
      <c r="EL1082">
        <v>2009</v>
      </c>
      <c r="EM1082" t="s">
        <v>716</v>
      </c>
      <c r="EN1082" t="s">
        <v>844</v>
      </c>
      <c r="EO1082">
        <v>179.619</v>
      </c>
    </row>
    <row r="1083" spans="142:145" x14ac:dyDescent="0.25">
      <c r="EL1083">
        <v>2009</v>
      </c>
      <c r="EM1083" t="s">
        <v>708</v>
      </c>
      <c r="EN1083" t="s">
        <v>844</v>
      </c>
      <c r="EO1083">
        <v>153.256</v>
      </c>
    </row>
    <row r="1084" spans="142:145" x14ac:dyDescent="0.25">
      <c r="EL1084">
        <v>2009</v>
      </c>
      <c r="EM1084" t="s">
        <v>709</v>
      </c>
      <c r="EN1084" t="s">
        <v>844</v>
      </c>
      <c r="EO1084">
        <v>137.79599999999999</v>
      </c>
    </row>
    <row r="1085" spans="142:145" x14ac:dyDescent="0.25">
      <c r="EL1085">
        <v>2009</v>
      </c>
      <c r="EM1085" t="s">
        <v>710</v>
      </c>
      <c r="EN1085" t="s">
        <v>844</v>
      </c>
      <c r="EO1085">
        <v>146.24799999999999</v>
      </c>
    </row>
    <row r="1086" spans="142:145" x14ac:dyDescent="0.25">
      <c r="EL1086">
        <v>2009</v>
      </c>
      <c r="EM1086" t="s">
        <v>711</v>
      </c>
      <c r="EN1086" t="s">
        <v>844</v>
      </c>
      <c r="EO1086">
        <v>171.86199999999999</v>
      </c>
    </row>
    <row r="1087" spans="142:145" x14ac:dyDescent="0.25">
      <c r="EL1087">
        <v>2009</v>
      </c>
      <c r="EM1087" t="s">
        <v>712</v>
      </c>
      <c r="EN1087" t="s">
        <v>844</v>
      </c>
      <c r="EO1087">
        <v>224.08699999999999</v>
      </c>
    </row>
    <row r="1088" spans="142:145" x14ac:dyDescent="0.25">
      <c r="EL1088">
        <v>2010</v>
      </c>
      <c r="EM1088" t="s">
        <v>719</v>
      </c>
      <c r="EN1088" t="s">
        <v>844</v>
      </c>
      <c r="EO1088">
        <v>207.35</v>
      </c>
    </row>
    <row r="1089" spans="142:145" x14ac:dyDescent="0.25">
      <c r="EL1089">
        <v>2010</v>
      </c>
      <c r="EM1089" t="s">
        <v>713</v>
      </c>
      <c r="EN1089" t="s">
        <v>844</v>
      </c>
      <c r="EO1089">
        <v>198.631</v>
      </c>
    </row>
    <row r="1090" spans="142:145" x14ac:dyDescent="0.25">
      <c r="EL1090">
        <v>2010</v>
      </c>
      <c r="EM1090" t="s">
        <v>714</v>
      </c>
      <c r="EN1090" t="s">
        <v>844</v>
      </c>
      <c r="EO1090">
        <v>251.59700000000001</v>
      </c>
    </row>
    <row r="1091" spans="142:145" x14ac:dyDescent="0.25">
      <c r="EL1091">
        <v>2010</v>
      </c>
      <c r="EM1091" t="s">
        <v>705</v>
      </c>
      <c r="EN1091" t="s">
        <v>844</v>
      </c>
      <c r="EO1091">
        <v>204.56100000000001</v>
      </c>
    </row>
    <row r="1092" spans="142:145" x14ac:dyDescent="0.25">
      <c r="EL1092">
        <v>2010</v>
      </c>
      <c r="EM1092" t="s">
        <v>715</v>
      </c>
      <c r="EN1092" t="s">
        <v>844</v>
      </c>
      <c r="EO1092">
        <v>191.28899999999999</v>
      </c>
    </row>
    <row r="1093" spans="142:145" x14ac:dyDescent="0.25">
      <c r="EL1093">
        <v>2010</v>
      </c>
      <c r="EM1093" t="s">
        <v>718</v>
      </c>
      <c r="EN1093" t="s">
        <v>844</v>
      </c>
      <c r="EO1093">
        <v>166.64</v>
      </c>
    </row>
    <row r="1094" spans="142:145" x14ac:dyDescent="0.25">
      <c r="EL1094">
        <v>2010</v>
      </c>
      <c r="EM1094" t="s">
        <v>716</v>
      </c>
      <c r="EN1094" t="s">
        <v>844</v>
      </c>
      <c r="EO1094">
        <v>149.102</v>
      </c>
    </row>
    <row r="1095" spans="142:145" x14ac:dyDescent="0.25">
      <c r="EL1095">
        <v>2010</v>
      </c>
      <c r="EM1095" t="s">
        <v>708</v>
      </c>
      <c r="EN1095" t="s">
        <v>844</v>
      </c>
      <c r="EO1095">
        <v>155.227</v>
      </c>
    </row>
    <row r="1096" spans="142:145" x14ac:dyDescent="0.25">
      <c r="EL1096">
        <v>2010</v>
      </c>
      <c r="EM1096" t="s">
        <v>709</v>
      </c>
      <c r="EN1096" t="s">
        <v>844</v>
      </c>
      <c r="EO1096">
        <v>137.37899999999999</v>
      </c>
    </row>
    <row r="1097" spans="142:145" x14ac:dyDescent="0.25">
      <c r="EL1097">
        <v>2010</v>
      </c>
      <c r="EM1097" t="s">
        <v>710</v>
      </c>
      <c r="EN1097" t="s">
        <v>844</v>
      </c>
      <c r="EO1097">
        <v>157.63300000000001</v>
      </c>
    </row>
    <row r="1098" spans="142:145" x14ac:dyDescent="0.25">
      <c r="EL1098">
        <v>2010</v>
      </c>
      <c r="EM1098" t="s">
        <v>711</v>
      </c>
      <c r="EN1098" t="s">
        <v>844</v>
      </c>
      <c r="EO1098">
        <v>153.88300000000001</v>
      </c>
    </row>
    <row r="1099" spans="142:145" x14ac:dyDescent="0.25">
      <c r="EL1099">
        <v>2010</v>
      </c>
      <c r="EM1099" t="s">
        <v>712</v>
      </c>
      <c r="EN1099" t="s">
        <v>844</v>
      </c>
      <c r="EO1099">
        <v>156.464</v>
      </c>
    </row>
    <row r="1100" spans="142:145" x14ac:dyDescent="0.25">
      <c r="EL1100">
        <v>2011</v>
      </c>
      <c r="EM1100" t="s">
        <v>719</v>
      </c>
      <c r="EN1100" t="s">
        <v>844</v>
      </c>
      <c r="EO1100">
        <v>156.38499999999999</v>
      </c>
    </row>
    <row r="1101" spans="142:145" x14ac:dyDescent="0.25">
      <c r="EL1101">
        <v>2011</v>
      </c>
      <c r="EM1101" t="s">
        <v>713</v>
      </c>
      <c r="EN1101" t="s">
        <v>844</v>
      </c>
      <c r="EO1101">
        <v>156.226</v>
      </c>
    </row>
    <row r="1102" spans="142:145" x14ac:dyDescent="0.25">
      <c r="EL1102">
        <v>2011</v>
      </c>
      <c r="EM1102" t="s">
        <v>714</v>
      </c>
      <c r="EN1102" t="s">
        <v>844</v>
      </c>
      <c r="EO1102">
        <v>214.83699999999999</v>
      </c>
    </row>
    <row r="1103" spans="142:145" x14ac:dyDescent="0.25">
      <c r="EL1103">
        <v>2011</v>
      </c>
      <c r="EM1103" t="s">
        <v>705</v>
      </c>
      <c r="EN1103" t="s">
        <v>844</v>
      </c>
      <c r="EO1103">
        <v>191.16900000000001</v>
      </c>
    </row>
    <row r="1104" spans="142:145" x14ac:dyDescent="0.25">
      <c r="EL1104">
        <v>2011</v>
      </c>
      <c r="EM1104" t="s">
        <v>715</v>
      </c>
      <c r="EN1104" t="s">
        <v>844</v>
      </c>
      <c r="EO1104">
        <v>176.958</v>
      </c>
    </row>
    <row r="1105" spans="142:145" x14ac:dyDescent="0.25">
      <c r="EL1105">
        <v>2011</v>
      </c>
      <c r="EM1105" t="s">
        <v>718</v>
      </c>
      <c r="EN1105" t="s">
        <v>844</v>
      </c>
      <c r="EO1105">
        <v>152.672</v>
      </c>
    </row>
    <row r="1106" spans="142:145" x14ac:dyDescent="0.25">
      <c r="EL1106">
        <v>2011</v>
      </c>
      <c r="EM1106" t="s">
        <v>716</v>
      </c>
      <c r="EN1106" t="s">
        <v>844</v>
      </c>
      <c r="EO1106">
        <v>140.554</v>
      </c>
    </row>
    <row r="1107" spans="142:145" x14ac:dyDescent="0.25">
      <c r="EL1107">
        <v>2011</v>
      </c>
      <c r="EM1107" t="s">
        <v>708</v>
      </c>
      <c r="EN1107" t="s">
        <v>844</v>
      </c>
      <c r="EO1107">
        <v>134.67500000000001</v>
      </c>
    </row>
    <row r="1108" spans="142:145" x14ac:dyDescent="0.25">
      <c r="EL1108">
        <v>2011</v>
      </c>
      <c r="EM1108" t="s">
        <v>709</v>
      </c>
      <c r="EN1108" t="s">
        <v>844</v>
      </c>
      <c r="EO1108">
        <v>166.602</v>
      </c>
    </row>
    <row r="1109" spans="142:145" x14ac:dyDescent="0.25">
      <c r="EL1109">
        <v>2011</v>
      </c>
      <c r="EM1109" t="s">
        <v>710</v>
      </c>
      <c r="EN1109" t="s">
        <v>844</v>
      </c>
      <c r="EO1109">
        <v>165.648</v>
      </c>
    </row>
    <row r="1110" spans="142:145" x14ac:dyDescent="0.25">
      <c r="EL1110">
        <v>2011</v>
      </c>
      <c r="EM1110" t="s">
        <v>711</v>
      </c>
      <c r="EN1110" t="s">
        <v>844</v>
      </c>
      <c r="EO1110">
        <v>160.785</v>
      </c>
    </row>
    <row r="1111" spans="142:145" x14ac:dyDescent="0.25">
      <c r="EL1111">
        <v>2011</v>
      </c>
      <c r="EM1111" t="s">
        <v>712</v>
      </c>
      <c r="EN1111" t="s">
        <v>844</v>
      </c>
      <c r="EO1111">
        <v>188.30600000000001</v>
      </c>
    </row>
    <row r="1112" spans="142:145" x14ac:dyDescent="0.25">
      <c r="EL1112">
        <v>2012</v>
      </c>
      <c r="EM1112" t="s">
        <v>719</v>
      </c>
      <c r="EN1112" t="s">
        <v>844</v>
      </c>
      <c r="EO1112">
        <v>184.92</v>
      </c>
    </row>
    <row r="1113" spans="142:145" x14ac:dyDescent="0.25">
      <c r="EL1113">
        <v>2012</v>
      </c>
      <c r="EM1113" t="s">
        <v>713</v>
      </c>
      <c r="EN1113" t="s">
        <v>844</v>
      </c>
      <c r="EO1113">
        <v>163.24700000000001</v>
      </c>
    </row>
    <row r="1114" spans="142:145" x14ac:dyDescent="0.25">
      <c r="EL1114">
        <v>2012</v>
      </c>
      <c r="EM1114" t="s">
        <v>714</v>
      </c>
      <c r="EN1114" t="s">
        <v>844</v>
      </c>
      <c r="EO1114">
        <v>186.124</v>
      </c>
    </row>
    <row r="1115" spans="142:145" x14ac:dyDescent="0.25">
      <c r="EL1115">
        <v>2012</v>
      </c>
      <c r="EM1115" t="s">
        <v>705</v>
      </c>
      <c r="EN1115" t="s">
        <v>844</v>
      </c>
      <c r="EO1115">
        <v>159.279</v>
      </c>
    </row>
    <row r="1116" spans="142:145" x14ac:dyDescent="0.25">
      <c r="EL1116">
        <v>2012</v>
      </c>
      <c r="EM1116" t="s">
        <v>715</v>
      </c>
      <c r="EN1116" t="s">
        <v>844</v>
      </c>
      <c r="EO1116">
        <v>159.374</v>
      </c>
    </row>
    <row r="1117" spans="142:145" x14ac:dyDescent="0.25">
      <c r="EL1117">
        <v>2012</v>
      </c>
      <c r="EM1117" t="s">
        <v>718</v>
      </c>
      <c r="EN1117" t="s">
        <v>844</v>
      </c>
      <c r="EO1117">
        <v>148.43799999999999</v>
      </c>
    </row>
    <row r="1118" spans="142:145" x14ac:dyDescent="0.25">
      <c r="EL1118">
        <v>2012</v>
      </c>
      <c r="EM1118" t="s">
        <v>716</v>
      </c>
      <c r="EN1118" t="s">
        <v>844</v>
      </c>
      <c r="EO1118">
        <v>137.29300000000001</v>
      </c>
    </row>
    <row r="1119" spans="142:145" x14ac:dyDescent="0.25">
      <c r="EL1119">
        <v>2012</v>
      </c>
      <c r="EM1119" t="s">
        <v>708</v>
      </c>
      <c r="EN1119" t="s">
        <v>844</v>
      </c>
      <c r="EO1119">
        <v>129.10400000000001</v>
      </c>
    </row>
    <row r="1120" spans="142:145" x14ac:dyDescent="0.25">
      <c r="EL1120">
        <v>2012</v>
      </c>
      <c r="EM1120" t="s">
        <v>709</v>
      </c>
      <c r="EN1120" t="s">
        <v>844</v>
      </c>
      <c r="EO1120">
        <v>121.255</v>
      </c>
    </row>
    <row r="1121" spans="142:145" x14ac:dyDescent="0.25">
      <c r="EL1121">
        <v>2012</v>
      </c>
      <c r="EM1121" t="s">
        <v>710</v>
      </c>
      <c r="EN1121" t="s">
        <v>844</v>
      </c>
      <c r="EO1121">
        <v>149.90100000000001</v>
      </c>
    </row>
    <row r="1122" spans="142:145" x14ac:dyDescent="0.25">
      <c r="EL1122">
        <v>2012</v>
      </c>
      <c r="EM1122" t="s">
        <v>711</v>
      </c>
      <c r="EN1122" t="s">
        <v>844</v>
      </c>
      <c r="EO1122">
        <v>139.15700000000001</v>
      </c>
    </row>
    <row r="1123" spans="142:145" x14ac:dyDescent="0.25">
      <c r="EL1123">
        <v>2012</v>
      </c>
      <c r="EM1123" t="s">
        <v>712</v>
      </c>
      <c r="EN1123" t="s">
        <v>844</v>
      </c>
      <c r="EO1123">
        <v>143.614</v>
      </c>
    </row>
    <row r="1124" spans="142:145" x14ac:dyDescent="0.25">
      <c r="EL1124">
        <v>2013</v>
      </c>
      <c r="EM1124" t="s">
        <v>719</v>
      </c>
      <c r="EN1124" t="s">
        <v>844</v>
      </c>
      <c r="EO1124">
        <v>157.458</v>
      </c>
    </row>
    <row r="1125" spans="142:145" x14ac:dyDescent="0.25">
      <c r="EL1125">
        <v>2013</v>
      </c>
      <c r="EM1125" t="s">
        <v>713</v>
      </c>
      <c r="EN1125" t="s">
        <v>844</v>
      </c>
      <c r="EO1125">
        <v>153.596</v>
      </c>
    </row>
    <row r="1126" spans="142:145" x14ac:dyDescent="0.25">
      <c r="EL1126">
        <v>2013</v>
      </c>
      <c r="EM1126" t="s">
        <v>714</v>
      </c>
      <c r="EN1126" t="s">
        <v>844</v>
      </c>
      <c r="EO1126">
        <v>177.13499999999999</v>
      </c>
    </row>
    <row r="1127" spans="142:145" x14ac:dyDescent="0.25">
      <c r="EL1127">
        <v>2013</v>
      </c>
      <c r="EM1127" t="s">
        <v>705</v>
      </c>
      <c r="EN1127" t="s">
        <v>844</v>
      </c>
      <c r="EO1127">
        <v>167.06299999999999</v>
      </c>
    </row>
    <row r="1128" spans="142:145" x14ac:dyDescent="0.25">
      <c r="EL1128">
        <v>2013</v>
      </c>
      <c r="EM1128" t="s">
        <v>715</v>
      </c>
      <c r="EN1128" t="s">
        <v>844</v>
      </c>
      <c r="EO1128">
        <v>165.86600000000001</v>
      </c>
    </row>
    <row r="1129" spans="142:145" x14ac:dyDescent="0.25">
      <c r="EL1129">
        <v>2013</v>
      </c>
      <c r="EM1129" t="s">
        <v>718</v>
      </c>
      <c r="EN1129" t="s">
        <v>844</v>
      </c>
      <c r="EO1129">
        <v>196.08600000000001</v>
      </c>
    </row>
    <row r="1130" spans="142:145" x14ac:dyDescent="0.25">
      <c r="EL1130">
        <v>2013</v>
      </c>
      <c r="EM1130" t="s">
        <v>716</v>
      </c>
      <c r="EN1130" t="s">
        <v>844</v>
      </c>
      <c r="EO1130">
        <v>168.364</v>
      </c>
    </row>
    <row r="1131" spans="142:145" x14ac:dyDescent="0.25">
      <c r="EL1131">
        <v>2013</v>
      </c>
      <c r="EM1131" t="s">
        <v>708</v>
      </c>
      <c r="EN1131" t="s">
        <v>844</v>
      </c>
      <c r="EO1131">
        <v>139.44</v>
      </c>
    </row>
    <row r="1132" spans="142:145" x14ac:dyDescent="0.25">
      <c r="EL1132">
        <v>2013</v>
      </c>
      <c r="EM1132" t="s">
        <v>709</v>
      </c>
      <c r="EN1132" t="s">
        <v>844</v>
      </c>
      <c r="EO1132">
        <v>124.173</v>
      </c>
    </row>
    <row r="1133" spans="142:145" x14ac:dyDescent="0.25">
      <c r="EL1133">
        <v>2013</v>
      </c>
      <c r="EM1133" t="s">
        <v>710</v>
      </c>
      <c r="EN1133" t="s">
        <v>844</v>
      </c>
      <c r="EO1133">
        <v>141.01400000000001</v>
      </c>
    </row>
    <row r="1134" spans="142:145" x14ac:dyDescent="0.25">
      <c r="EL1134">
        <v>2013</v>
      </c>
      <c r="EM1134" t="s">
        <v>711</v>
      </c>
      <c r="EN1134" t="s">
        <v>844</v>
      </c>
      <c r="EO1134">
        <v>128.73599999999999</v>
      </c>
    </row>
    <row r="1135" spans="142:145" x14ac:dyDescent="0.25">
      <c r="EL1135">
        <v>2013</v>
      </c>
      <c r="EM1135" t="s">
        <v>712</v>
      </c>
      <c r="EN1135" t="s">
        <v>844</v>
      </c>
      <c r="EO1135">
        <v>165.477</v>
      </c>
    </row>
    <row r="1136" spans="142:145" x14ac:dyDescent="0.25">
      <c r="EL1136">
        <v>2014</v>
      </c>
      <c r="EM1136" t="s">
        <v>719</v>
      </c>
      <c r="EN1136" t="s">
        <v>844</v>
      </c>
      <c r="EO1136">
        <v>186.91399999999999</v>
      </c>
    </row>
    <row r="1137" spans="142:145" x14ac:dyDescent="0.25">
      <c r="EL1137">
        <v>2014</v>
      </c>
      <c r="EM1137" t="s">
        <v>713</v>
      </c>
      <c r="EN1137" t="s">
        <v>844</v>
      </c>
      <c r="EO1137">
        <v>190.06399999999999</v>
      </c>
    </row>
    <row r="1138" spans="142:145" x14ac:dyDescent="0.25">
      <c r="EL1138">
        <v>2014</v>
      </c>
      <c r="EM1138" t="s">
        <v>714</v>
      </c>
      <c r="EN1138" t="s">
        <v>844</v>
      </c>
      <c r="EO1138">
        <v>214.328</v>
      </c>
    </row>
    <row r="1139" spans="142:145" x14ac:dyDescent="0.25">
      <c r="EL1139">
        <v>2014</v>
      </c>
      <c r="EM1139" t="s">
        <v>705</v>
      </c>
      <c r="EN1139" t="s">
        <v>844</v>
      </c>
      <c r="EO1139">
        <v>225.99600000000001</v>
      </c>
    </row>
    <row r="1140" spans="142:145" x14ac:dyDescent="0.25">
      <c r="EL1140">
        <v>2014</v>
      </c>
      <c r="EM1140" t="s">
        <v>715</v>
      </c>
      <c r="EN1140" t="s">
        <v>844</v>
      </c>
      <c r="EO1140">
        <v>270.27999999999997</v>
      </c>
    </row>
    <row r="1141" spans="142:145" x14ac:dyDescent="0.25">
      <c r="EL1141">
        <v>2014</v>
      </c>
      <c r="EM1141" t="s">
        <v>718</v>
      </c>
      <c r="EN1141" t="s">
        <v>844</v>
      </c>
      <c r="EO1141">
        <v>205.66300000000001</v>
      </c>
    </row>
    <row r="1142" spans="142:145" x14ac:dyDescent="0.25">
      <c r="EL1142">
        <v>2014</v>
      </c>
      <c r="EM1142" t="s">
        <v>716</v>
      </c>
      <c r="EN1142" t="s">
        <v>844</v>
      </c>
      <c r="EO1142">
        <v>179.82900000000001</v>
      </c>
    </row>
    <row r="1143" spans="142:145" x14ac:dyDescent="0.25">
      <c r="EL1143">
        <v>2014</v>
      </c>
      <c r="EM1143" t="s">
        <v>708</v>
      </c>
      <c r="EN1143" t="s">
        <v>844</v>
      </c>
      <c r="EO1143">
        <v>167.22399999999999</v>
      </c>
    </row>
    <row r="1144" spans="142:145" x14ac:dyDescent="0.25">
      <c r="EL1144">
        <v>2014</v>
      </c>
      <c r="EM1144" t="s">
        <v>709</v>
      </c>
      <c r="EN1144" t="s">
        <v>844</v>
      </c>
      <c r="EO1144">
        <v>169.45</v>
      </c>
    </row>
    <row r="1145" spans="142:145" x14ac:dyDescent="0.25">
      <c r="EL1145">
        <v>2014</v>
      </c>
      <c r="EM1145" t="s">
        <v>710</v>
      </c>
      <c r="EN1145" t="s">
        <v>844</v>
      </c>
      <c r="EO1145">
        <v>161.81</v>
      </c>
    </row>
    <row r="1146" spans="142:145" x14ac:dyDescent="0.25">
      <c r="EL1146">
        <v>2014</v>
      </c>
      <c r="EM1146" t="s">
        <v>711</v>
      </c>
      <c r="EN1146" t="s">
        <v>844</v>
      </c>
      <c r="EO1146">
        <v>161.02000000000001</v>
      </c>
    </row>
    <row r="1147" spans="142:145" x14ac:dyDescent="0.25">
      <c r="EL1147">
        <v>2014</v>
      </c>
      <c r="EM1147" t="s">
        <v>712</v>
      </c>
      <c r="EN1147" t="s">
        <v>844</v>
      </c>
      <c r="EO1147">
        <v>189.19</v>
      </c>
    </row>
    <row r="1148" spans="142:145" x14ac:dyDescent="0.25">
      <c r="EL1148">
        <v>2015</v>
      </c>
      <c r="EM1148" t="s">
        <v>719</v>
      </c>
      <c r="EN1148" t="s">
        <v>844</v>
      </c>
      <c r="EO1148">
        <v>204.95</v>
      </c>
    </row>
    <row r="1149" spans="142:145" x14ac:dyDescent="0.25">
      <c r="EL1149">
        <v>2015</v>
      </c>
      <c r="EM1149" t="s">
        <v>713</v>
      </c>
      <c r="EN1149" t="s">
        <v>844</v>
      </c>
      <c r="EO1149">
        <v>178.06</v>
      </c>
    </row>
    <row r="1150" spans="142:145" x14ac:dyDescent="0.25">
      <c r="EL1150">
        <v>2015</v>
      </c>
      <c r="EM1150" t="s">
        <v>714</v>
      </c>
      <c r="EN1150" t="s">
        <v>844</v>
      </c>
      <c r="EO1150">
        <v>245.23</v>
      </c>
    </row>
    <row r="1151" spans="142:145" x14ac:dyDescent="0.25">
      <c r="EL1151">
        <v>2015</v>
      </c>
      <c r="EM1151" t="s">
        <v>705</v>
      </c>
      <c r="EN1151" t="s">
        <v>844</v>
      </c>
      <c r="EO1151">
        <v>232.88</v>
      </c>
    </row>
    <row r="1152" spans="142:145" x14ac:dyDescent="0.25">
      <c r="EL1152">
        <v>2015</v>
      </c>
      <c r="EM1152" t="s">
        <v>715</v>
      </c>
      <c r="EN1152" t="s">
        <v>844</v>
      </c>
      <c r="EO1152">
        <v>211.06</v>
      </c>
    </row>
    <row r="1153" spans="142:145" x14ac:dyDescent="0.25">
      <c r="EL1153">
        <v>2015</v>
      </c>
      <c r="EM1153" t="s">
        <v>718</v>
      </c>
      <c r="EN1153" t="s">
        <v>844</v>
      </c>
      <c r="EO1153">
        <v>203.62</v>
      </c>
    </row>
    <row r="1154" spans="142:145" x14ac:dyDescent="0.25">
      <c r="EL1154">
        <v>2015</v>
      </c>
      <c r="EM1154" t="s">
        <v>716</v>
      </c>
      <c r="EN1154" t="s">
        <v>844</v>
      </c>
      <c r="EO1154">
        <v>206.11</v>
      </c>
    </row>
    <row r="1155" spans="142:145" x14ac:dyDescent="0.25">
      <c r="EL1155">
        <v>2015</v>
      </c>
      <c r="EM1155" t="s">
        <v>708</v>
      </c>
      <c r="EN1155" t="s">
        <v>844</v>
      </c>
      <c r="EO1155">
        <v>157.75</v>
      </c>
    </row>
    <row r="1156" spans="142:145" x14ac:dyDescent="0.25">
      <c r="EL1156">
        <v>2015</v>
      </c>
      <c r="EM1156" t="s">
        <v>709</v>
      </c>
      <c r="EN1156" t="s">
        <v>844</v>
      </c>
      <c r="EO1156">
        <v>131.15</v>
      </c>
    </row>
    <row r="1157" spans="142:145" x14ac:dyDescent="0.25">
      <c r="EL1157">
        <v>2015</v>
      </c>
      <c r="EM1157" t="s">
        <v>710</v>
      </c>
      <c r="EN1157" t="s">
        <v>844</v>
      </c>
      <c r="EO1157">
        <v>136.59</v>
      </c>
    </row>
    <row r="1158" spans="142:145" x14ac:dyDescent="0.25">
      <c r="EL1158">
        <v>2015</v>
      </c>
      <c r="EM1158" t="s">
        <v>711</v>
      </c>
      <c r="EN1158" t="s">
        <v>844</v>
      </c>
      <c r="EO1158">
        <v>136.19</v>
      </c>
    </row>
    <row r="1159" spans="142:145" x14ac:dyDescent="0.25">
      <c r="EL1159">
        <v>2015</v>
      </c>
      <c r="EM1159" t="s">
        <v>712</v>
      </c>
      <c r="EN1159" t="s">
        <v>844</v>
      </c>
      <c r="EO1159">
        <v>155.12</v>
      </c>
    </row>
    <row r="1160" spans="142:145" x14ac:dyDescent="0.25">
      <c r="EL1160">
        <v>2016</v>
      </c>
      <c r="EM1160" t="s">
        <v>719</v>
      </c>
      <c r="EN1160" t="s">
        <v>844</v>
      </c>
      <c r="EO1160">
        <v>171.89</v>
      </c>
    </row>
    <row r="1161" spans="142:145" x14ac:dyDescent="0.25">
      <c r="EL1161">
        <v>2016</v>
      </c>
      <c r="EM1161" t="s">
        <v>713</v>
      </c>
      <c r="EN1161" t="s">
        <v>844</v>
      </c>
      <c r="EO1161">
        <v>212.92</v>
      </c>
    </row>
    <row r="1162" spans="142:145" x14ac:dyDescent="0.25">
      <c r="EL1162">
        <v>2016</v>
      </c>
      <c r="EM1162" t="s">
        <v>714</v>
      </c>
      <c r="EN1162" t="s">
        <v>844</v>
      </c>
      <c r="EO1162">
        <v>183.43</v>
      </c>
    </row>
    <row r="1163" spans="142:145" x14ac:dyDescent="0.25">
      <c r="EL1163">
        <v>2016</v>
      </c>
      <c r="EM1163" t="s">
        <v>705</v>
      </c>
      <c r="EN1163" t="s">
        <v>844</v>
      </c>
      <c r="EO1163">
        <v>168.03</v>
      </c>
    </row>
    <row r="1164" spans="142:145" x14ac:dyDescent="0.25">
      <c r="EL1164">
        <v>2016</v>
      </c>
      <c r="EM1164" t="s">
        <v>715</v>
      </c>
      <c r="EN1164" t="s">
        <v>844</v>
      </c>
      <c r="EO1164">
        <v>198.93</v>
      </c>
    </row>
    <row r="1165" spans="142:145" x14ac:dyDescent="0.25">
      <c r="EL1165">
        <v>2016</v>
      </c>
      <c r="EM1165" t="s">
        <v>718</v>
      </c>
      <c r="EN1165" t="s">
        <v>844</v>
      </c>
      <c r="EO1165">
        <v>168.36</v>
      </c>
    </row>
    <row r="1166" spans="142:145" x14ac:dyDescent="0.25">
      <c r="EL1166">
        <v>2016</v>
      </c>
      <c r="EM1166" t="s">
        <v>716</v>
      </c>
      <c r="EN1166" t="s">
        <v>844</v>
      </c>
      <c r="EO1166">
        <v>161.08000000000001</v>
      </c>
    </row>
    <row r="1167" spans="142:145" x14ac:dyDescent="0.25">
      <c r="EL1167">
        <v>2016</v>
      </c>
      <c r="EM1167" t="s">
        <v>708</v>
      </c>
      <c r="EN1167" t="s">
        <v>844</v>
      </c>
      <c r="EO1167">
        <v>144.47999999999999</v>
      </c>
    </row>
    <row r="1168" spans="142:145" x14ac:dyDescent="0.25">
      <c r="EL1168">
        <v>2016</v>
      </c>
      <c r="EM1168" t="s">
        <v>709</v>
      </c>
      <c r="EN1168" t="s">
        <v>844</v>
      </c>
      <c r="EO1168">
        <v>135.33000000000001</v>
      </c>
    </row>
    <row r="1169" spans="142:145" x14ac:dyDescent="0.25">
      <c r="EL1169">
        <v>2016</v>
      </c>
      <c r="EM1169" t="s">
        <v>710</v>
      </c>
      <c r="EN1169" t="s">
        <v>844</v>
      </c>
      <c r="EO1169">
        <v>135.54</v>
      </c>
    </row>
    <row r="1170" spans="142:145" x14ac:dyDescent="0.25">
      <c r="EL1170">
        <v>2016</v>
      </c>
      <c r="EM1170" t="s">
        <v>711</v>
      </c>
      <c r="EN1170" t="s">
        <v>844</v>
      </c>
      <c r="EO1170">
        <v>125.71</v>
      </c>
    </row>
    <row r="1171" spans="142:145" x14ac:dyDescent="0.25">
      <c r="EL1171">
        <v>2016</v>
      </c>
      <c r="EM1171" t="s">
        <v>712</v>
      </c>
      <c r="EN1171" t="s">
        <v>844</v>
      </c>
      <c r="EO1171">
        <v>120.04</v>
      </c>
    </row>
    <row r="1172" spans="142:145" x14ac:dyDescent="0.25">
      <c r="EL1172">
        <v>2017</v>
      </c>
      <c r="EM1172" t="s">
        <v>719</v>
      </c>
      <c r="EN1172" t="s">
        <v>844</v>
      </c>
      <c r="EO1172">
        <v>158.59</v>
      </c>
    </row>
    <row r="1173" spans="142:145" x14ac:dyDescent="0.25">
      <c r="EL1173">
        <v>2017</v>
      </c>
      <c r="EM1173" t="s">
        <v>713</v>
      </c>
      <c r="EN1173" t="s">
        <v>844</v>
      </c>
      <c r="EO1173">
        <v>138.74</v>
      </c>
    </row>
    <row r="1174" spans="142:145" x14ac:dyDescent="0.25">
      <c r="EL1174">
        <v>2017</v>
      </c>
      <c r="EM1174" t="s">
        <v>714</v>
      </c>
      <c r="EN1174" t="s">
        <v>844</v>
      </c>
      <c r="EO1174">
        <v>160.78</v>
      </c>
    </row>
    <row r="1175" spans="142:145" x14ac:dyDescent="0.25">
      <c r="EL1175">
        <v>2017</v>
      </c>
      <c r="EM1175" t="s">
        <v>705</v>
      </c>
      <c r="EN1175" t="s">
        <v>844</v>
      </c>
      <c r="EO1175">
        <v>170.47</v>
      </c>
    </row>
    <row r="1176" spans="142:145" x14ac:dyDescent="0.25">
      <c r="EL1176">
        <v>2017</v>
      </c>
      <c r="EM1176" t="s">
        <v>715</v>
      </c>
      <c r="EN1176" t="s">
        <v>844</v>
      </c>
      <c r="EO1176">
        <v>192.61</v>
      </c>
    </row>
    <row r="1177" spans="142:145" x14ac:dyDescent="0.25">
      <c r="EL1177">
        <v>2017</v>
      </c>
      <c r="EM1177" t="s">
        <v>718</v>
      </c>
      <c r="EN1177" t="s">
        <v>844</v>
      </c>
      <c r="EO1177">
        <v>173.26</v>
      </c>
    </row>
    <row r="1178" spans="142:145" x14ac:dyDescent="0.25">
      <c r="EL1178">
        <v>2017</v>
      </c>
      <c r="EM1178" t="s">
        <v>716</v>
      </c>
      <c r="EN1178" t="s">
        <v>844</v>
      </c>
      <c r="EO1178">
        <v>189.27</v>
      </c>
    </row>
    <row r="1179" spans="142:145" x14ac:dyDescent="0.25">
      <c r="EL1179">
        <v>2017</v>
      </c>
      <c r="EM1179" t="s">
        <v>708</v>
      </c>
      <c r="EN1179" t="s">
        <v>844</v>
      </c>
      <c r="EO1179">
        <v>182.96</v>
      </c>
    </row>
    <row r="1180" spans="142:145" x14ac:dyDescent="0.25">
      <c r="EL1180">
        <v>2017</v>
      </c>
      <c r="EM1180" t="s">
        <v>709</v>
      </c>
      <c r="EN1180" t="s">
        <v>844</v>
      </c>
      <c r="EO1180">
        <v>170.9</v>
      </c>
    </row>
    <row r="1181" spans="142:145" x14ac:dyDescent="0.25">
      <c r="EL1181">
        <v>2017</v>
      </c>
      <c r="EM1181" t="s">
        <v>710</v>
      </c>
      <c r="EN1181" t="s">
        <v>844</v>
      </c>
      <c r="EO1181">
        <v>165.32</v>
      </c>
    </row>
    <row r="1182" spans="142:145" x14ac:dyDescent="0.25">
      <c r="EL1182">
        <v>2017</v>
      </c>
      <c r="EM1182" t="s">
        <v>711</v>
      </c>
      <c r="EN1182" t="s">
        <v>844</v>
      </c>
      <c r="EO1182">
        <v>165.88</v>
      </c>
    </row>
    <row r="1183" spans="142:145" x14ac:dyDescent="0.25">
      <c r="EL1183">
        <v>2017</v>
      </c>
      <c r="EM1183" t="s">
        <v>712</v>
      </c>
      <c r="EN1183" t="s">
        <v>844</v>
      </c>
      <c r="EO1183">
        <v>165.36</v>
      </c>
    </row>
    <row r="1184" spans="142:145" x14ac:dyDescent="0.25">
      <c r="EL1184">
        <v>2018</v>
      </c>
      <c r="EM1184" t="s">
        <v>719</v>
      </c>
      <c r="EN1184" t="s">
        <v>844</v>
      </c>
      <c r="EO1184">
        <v>170.2</v>
      </c>
    </row>
    <row r="1185" spans="142:145" x14ac:dyDescent="0.25">
      <c r="EL1185">
        <v>2018</v>
      </c>
      <c r="EM1185" t="s">
        <v>713</v>
      </c>
      <c r="EN1185" t="s">
        <v>844</v>
      </c>
      <c r="EO1185">
        <v>172.28</v>
      </c>
    </row>
    <row r="1186" spans="142:145" x14ac:dyDescent="0.25">
      <c r="EL1186">
        <v>2018</v>
      </c>
      <c r="EM1186" t="s">
        <v>714</v>
      </c>
      <c r="EN1186" t="s">
        <v>844</v>
      </c>
      <c r="EO1186">
        <v>185.54</v>
      </c>
    </row>
    <row r="1187" spans="142:145" x14ac:dyDescent="0.25">
      <c r="EL1187">
        <v>2018</v>
      </c>
      <c r="EM1187" t="s">
        <v>705</v>
      </c>
      <c r="EN1187" t="s">
        <v>844</v>
      </c>
      <c r="EO1187">
        <v>189.2</v>
      </c>
    </row>
    <row r="1188" spans="142:145" x14ac:dyDescent="0.25">
      <c r="EL1188">
        <v>2018</v>
      </c>
      <c r="EM1188" t="s">
        <v>715</v>
      </c>
      <c r="EN1188" t="s">
        <v>844</v>
      </c>
      <c r="EO1188">
        <v>212.11</v>
      </c>
    </row>
    <row r="1189" spans="142:145" x14ac:dyDescent="0.25">
      <c r="EL1189">
        <v>2018</v>
      </c>
      <c r="EM1189" t="s">
        <v>718</v>
      </c>
      <c r="EN1189" t="s">
        <v>844</v>
      </c>
      <c r="EO1189">
        <v>214.01</v>
      </c>
    </row>
    <row r="1190" spans="142:145" x14ac:dyDescent="0.25">
      <c r="EL1190">
        <v>2018</v>
      </c>
      <c r="EM1190" t="s">
        <v>716</v>
      </c>
      <c r="EN1190" t="s">
        <v>844</v>
      </c>
      <c r="EO1190">
        <v>206.92</v>
      </c>
    </row>
    <row r="1191" spans="142:145" x14ac:dyDescent="0.25">
      <c r="EL1191">
        <v>2018</v>
      </c>
      <c r="EM1191" t="s">
        <v>708</v>
      </c>
      <c r="EN1191" t="s">
        <v>844</v>
      </c>
      <c r="EO1191">
        <v>220.47</v>
      </c>
    </row>
    <row r="1192" spans="142:145" x14ac:dyDescent="0.25">
      <c r="EL1192">
        <v>2018</v>
      </c>
      <c r="EM1192" t="s">
        <v>709</v>
      </c>
      <c r="EN1192" t="s">
        <v>844</v>
      </c>
      <c r="EO1192">
        <v>241.49</v>
      </c>
    </row>
    <row r="1193" spans="142:145" x14ac:dyDescent="0.25">
      <c r="EL1193">
        <v>2018</v>
      </c>
      <c r="EM1193" t="s">
        <v>710</v>
      </c>
      <c r="EN1193" t="s">
        <v>844</v>
      </c>
      <c r="EO1193">
        <v>233.55</v>
      </c>
    </row>
    <row r="1194" spans="142:145" x14ac:dyDescent="0.25">
      <c r="EL1194">
        <v>2018</v>
      </c>
      <c r="EM1194" t="s">
        <v>711</v>
      </c>
      <c r="EN1194" t="s">
        <v>844</v>
      </c>
      <c r="EO1194">
        <v>280.27999999999997</v>
      </c>
    </row>
    <row r="1195" spans="142:145" x14ac:dyDescent="0.25">
      <c r="EL1195">
        <v>2018</v>
      </c>
      <c r="EM1195" t="s">
        <v>712</v>
      </c>
      <c r="EN1195" t="s">
        <v>844</v>
      </c>
      <c r="EO1195">
        <v>298.25</v>
      </c>
    </row>
    <row r="1196" spans="142:145" x14ac:dyDescent="0.25">
      <c r="EL1196">
        <v>2019</v>
      </c>
      <c r="EM1196" t="s">
        <v>719</v>
      </c>
      <c r="EN1196" t="s">
        <v>844</v>
      </c>
      <c r="EO1196">
        <v>303.04000000000002</v>
      </c>
    </row>
    <row r="1197" spans="142:145" x14ac:dyDescent="0.25">
      <c r="EL1197">
        <v>2019</v>
      </c>
      <c r="EM1197" t="s">
        <v>713</v>
      </c>
      <c r="EN1197" t="s">
        <v>844</v>
      </c>
      <c r="EO1197">
        <v>277.8</v>
      </c>
    </row>
    <row r="1198" spans="142:145" x14ac:dyDescent="0.25">
      <c r="EL1198">
        <v>2019</v>
      </c>
      <c r="EM1198" t="s">
        <v>714</v>
      </c>
      <c r="EN1198" t="s">
        <v>844</v>
      </c>
      <c r="EO1198">
        <v>328.15</v>
      </c>
    </row>
    <row r="1199" spans="142:145" x14ac:dyDescent="0.25">
      <c r="EL1199">
        <v>2019</v>
      </c>
      <c r="EM1199" t="s">
        <v>705</v>
      </c>
      <c r="EN1199" t="s">
        <v>844</v>
      </c>
      <c r="EO1199">
        <v>249.59</v>
      </c>
    </row>
    <row r="1200" spans="142:145" x14ac:dyDescent="0.25">
      <c r="EL1200">
        <v>2019</v>
      </c>
      <c r="EM1200" t="s">
        <v>715</v>
      </c>
      <c r="EN1200" t="s">
        <v>844</v>
      </c>
      <c r="EO1200">
        <v>259.2</v>
      </c>
    </row>
    <row r="1201" spans="142:145" x14ac:dyDescent="0.25">
      <c r="EL1201">
        <v>2019</v>
      </c>
      <c r="EM1201" t="s">
        <v>718</v>
      </c>
      <c r="EN1201" t="s">
        <v>844</v>
      </c>
      <c r="EO1201">
        <v>215.45</v>
      </c>
    </row>
    <row r="1202" spans="142:145" x14ac:dyDescent="0.25">
      <c r="EL1202">
        <v>2019</v>
      </c>
      <c r="EM1202" t="s">
        <v>716</v>
      </c>
      <c r="EN1202" t="s">
        <v>844</v>
      </c>
      <c r="EO1202">
        <v>213.36</v>
      </c>
    </row>
    <row r="1203" spans="142:145" x14ac:dyDescent="0.25">
      <c r="EL1203">
        <v>2019</v>
      </c>
      <c r="EM1203" t="s">
        <v>708</v>
      </c>
      <c r="EN1203" t="s">
        <v>844</v>
      </c>
      <c r="EO1203">
        <v>198.96</v>
      </c>
    </row>
    <row r="1204" spans="142:145" x14ac:dyDescent="0.25">
      <c r="EL1204">
        <v>2019</v>
      </c>
      <c r="EM1204" t="s">
        <v>709</v>
      </c>
      <c r="EN1204" t="s">
        <v>844</v>
      </c>
      <c r="EO1204">
        <v>170.76</v>
      </c>
    </row>
    <row r="1205" spans="142:145" x14ac:dyDescent="0.25">
      <c r="EL1205">
        <v>2019</v>
      </c>
      <c r="EM1205" t="s">
        <v>710</v>
      </c>
      <c r="EN1205" t="s">
        <v>844</v>
      </c>
      <c r="EO1205">
        <v>174.44</v>
      </c>
    </row>
    <row r="1206" spans="142:145" x14ac:dyDescent="0.25">
      <c r="EL1206">
        <v>2019</v>
      </c>
      <c r="EM1206" t="s">
        <v>711</v>
      </c>
      <c r="EN1206" t="s">
        <v>844</v>
      </c>
      <c r="EO1206">
        <v>178.46</v>
      </c>
    </row>
    <row r="1207" spans="142:145" x14ac:dyDescent="0.25">
      <c r="EL1207">
        <v>2019</v>
      </c>
      <c r="EM1207" t="s">
        <v>712</v>
      </c>
      <c r="EN1207" t="s">
        <v>844</v>
      </c>
      <c r="EO1207">
        <v>193.62</v>
      </c>
    </row>
    <row r="1208" spans="142:145" x14ac:dyDescent="0.25">
      <c r="EL1208">
        <v>2020</v>
      </c>
      <c r="EM1208" t="s">
        <v>719</v>
      </c>
      <c r="EN1208" t="s">
        <v>844</v>
      </c>
      <c r="EO1208">
        <v>210.44</v>
      </c>
    </row>
    <row r="1209" spans="142:145" x14ac:dyDescent="0.25">
      <c r="EL1209">
        <v>2020</v>
      </c>
      <c r="EM1209" t="s">
        <v>713</v>
      </c>
      <c r="EN1209" t="s">
        <v>844</v>
      </c>
      <c r="EO1209">
        <v>211.47</v>
      </c>
    </row>
    <row r="1210" spans="142:145" x14ac:dyDescent="0.25">
      <c r="EL1210">
        <v>2020</v>
      </c>
      <c r="EM1210" t="s">
        <v>714</v>
      </c>
      <c r="EN1210" t="s">
        <v>844</v>
      </c>
      <c r="EO1210">
        <v>215.48</v>
      </c>
    </row>
    <row r="1211" spans="142:145" x14ac:dyDescent="0.25">
      <c r="EL1211">
        <v>2020</v>
      </c>
      <c r="EM1211" t="s">
        <v>705</v>
      </c>
      <c r="EN1211" t="s">
        <v>844</v>
      </c>
      <c r="EO1211">
        <v>235.93</v>
      </c>
    </row>
    <row r="1212" spans="142:145" x14ac:dyDescent="0.25">
      <c r="EL1212">
        <v>2020</v>
      </c>
      <c r="EM1212" t="s">
        <v>715</v>
      </c>
      <c r="EN1212" t="s">
        <v>844</v>
      </c>
      <c r="EO1212">
        <v>257.62</v>
      </c>
    </row>
    <row r="1213" spans="142:145" x14ac:dyDescent="0.25">
      <c r="EL1213">
        <v>2020</v>
      </c>
      <c r="EM1213" t="s">
        <v>718</v>
      </c>
      <c r="EN1213" t="s">
        <v>844</v>
      </c>
      <c r="EO1213">
        <v>227.71</v>
      </c>
    </row>
    <row r="1214" spans="142:145" x14ac:dyDescent="0.25">
      <c r="EL1214">
        <v>2020</v>
      </c>
      <c r="EM1214" t="s">
        <v>716</v>
      </c>
      <c r="EN1214" t="s">
        <v>844</v>
      </c>
      <c r="EO1214">
        <v>225.01</v>
      </c>
    </row>
    <row r="1215" spans="142:145" x14ac:dyDescent="0.25">
      <c r="EL1215">
        <v>2020</v>
      </c>
      <c r="EM1215" t="s">
        <v>708</v>
      </c>
      <c r="EN1215" t="s">
        <v>844</v>
      </c>
      <c r="EO1215">
        <v>238.09</v>
      </c>
    </row>
    <row r="1216" spans="142:145" x14ac:dyDescent="0.25">
      <c r="EL1216">
        <v>2020</v>
      </c>
      <c r="EM1216" t="s">
        <v>709</v>
      </c>
      <c r="EN1216" t="s">
        <v>844</v>
      </c>
      <c r="EO1216">
        <v>214.44</v>
      </c>
    </row>
    <row r="1217" spans="142:145" x14ac:dyDescent="0.25">
      <c r="EL1217">
        <v>2020</v>
      </c>
      <c r="EM1217" t="s">
        <v>710</v>
      </c>
      <c r="EN1217" t="s">
        <v>844</v>
      </c>
      <c r="EO1217">
        <v>197.19</v>
      </c>
    </row>
    <row r="1218" spans="142:145" x14ac:dyDescent="0.25">
      <c r="EL1218">
        <v>2020</v>
      </c>
      <c r="EM1218" t="s">
        <v>711</v>
      </c>
      <c r="EN1218" t="s">
        <v>844</v>
      </c>
      <c r="EO1218">
        <v>205.52</v>
      </c>
    </row>
    <row r="1219" spans="142:145" x14ac:dyDescent="0.25">
      <c r="EL1219">
        <v>2020</v>
      </c>
      <c r="EM1219" t="s">
        <v>712</v>
      </c>
      <c r="EN1219" t="s">
        <v>844</v>
      </c>
      <c r="EO1219">
        <v>246.08</v>
      </c>
    </row>
    <row r="1220" spans="142:145" x14ac:dyDescent="0.25">
      <c r="EL1220">
        <v>2021</v>
      </c>
      <c r="EM1220" t="s">
        <v>719</v>
      </c>
      <c r="EN1220" t="s">
        <v>844</v>
      </c>
      <c r="EO1220">
        <v>236.96</v>
      </c>
    </row>
    <row r="1221" spans="142:145" x14ac:dyDescent="0.25">
      <c r="EL1221">
        <v>2021</v>
      </c>
      <c r="EM1221" t="s">
        <v>713</v>
      </c>
      <c r="EN1221" t="s">
        <v>844</v>
      </c>
      <c r="EO1221">
        <v>225.71</v>
      </c>
    </row>
    <row r="1222" spans="142:145" x14ac:dyDescent="0.25">
      <c r="EL1222">
        <v>2021</v>
      </c>
      <c r="EM1222" t="s">
        <v>714</v>
      </c>
      <c r="EN1222" t="s">
        <v>844</v>
      </c>
      <c r="EO1222">
        <v>257.93</v>
      </c>
    </row>
    <row r="1223" spans="142:145" x14ac:dyDescent="0.25">
      <c r="EL1223">
        <v>2021</v>
      </c>
      <c r="EM1223" t="s">
        <v>705</v>
      </c>
      <c r="EN1223" t="s">
        <v>844</v>
      </c>
      <c r="EO1223">
        <v>253.49</v>
      </c>
    </row>
    <row r="1224" spans="142:145" x14ac:dyDescent="0.25">
      <c r="EL1224">
        <v>2021</v>
      </c>
      <c r="EM1224" t="s">
        <v>715</v>
      </c>
      <c r="EN1224" t="s">
        <v>844</v>
      </c>
      <c r="EO1224">
        <v>217.5</v>
      </c>
    </row>
    <row r="1225" spans="142:145" x14ac:dyDescent="0.25">
      <c r="EL1225">
        <v>2021</v>
      </c>
      <c r="EM1225" t="s">
        <v>718</v>
      </c>
      <c r="EN1225" t="s">
        <v>844</v>
      </c>
      <c r="EO1225">
        <v>207.35</v>
      </c>
    </row>
    <row r="1226" spans="142:145" x14ac:dyDescent="0.25">
      <c r="EL1226">
        <v>2021</v>
      </c>
      <c r="EM1226" t="s">
        <v>716</v>
      </c>
      <c r="EN1226" t="s">
        <v>844</v>
      </c>
      <c r="EO1226">
        <v>184.43</v>
      </c>
    </row>
    <row r="1227" spans="142:145" x14ac:dyDescent="0.25">
      <c r="EL1227">
        <v>2021</v>
      </c>
      <c r="EM1227" t="s">
        <v>708</v>
      </c>
      <c r="EN1227" t="s">
        <v>844</v>
      </c>
      <c r="EO1227">
        <v>187.58</v>
      </c>
    </row>
    <row r="1228" spans="142:145" x14ac:dyDescent="0.25">
      <c r="EL1228">
        <v>2021</v>
      </c>
      <c r="EM1228" t="s">
        <v>709</v>
      </c>
      <c r="EN1228" t="s">
        <v>844</v>
      </c>
      <c r="EO1228">
        <v>197.4</v>
      </c>
    </row>
    <row r="1229" spans="142:145" x14ac:dyDescent="0.25">
      <c r="EL1229">
        <v>2021</v>
      </c>
      <c r="EM1229" t="s">
        <v>710</v>
      </c>
      <c r="EN1229" t="s">
        <v>844</v>
      </c>
      <c r="EO1229">
        <v>181.62</v>
      </c>
    </row>
    <row r="1230" spans="142:145" x14ac:dyDescent="0.25">
      <c r="EL1230">
        <v>2021</v>
      </c>
      <c r="EM1230" t="s">
        <v>711</v>
      </c>
      <c r="EN1230" t="s">
        <v>844</v>
      </c>
      <c r="EO1230">
        <v>176.26</v>
      </c>
    </row>
    <row r="1231" spans="142:145" x14ac:dyDescent="0.25">
      <c r="EL1231">
        <v>2021</v>
      </c>
      <c r="EM1231" t="s">
        <v>712</v>
      </c>
      <c r="EN1231" t="s">
        <v>844</v>
      </c>
      <c r="EO1231">
        <v>162.47</v>
      </c>
    </row>
    <row r="1232" spans="142:145" x14ac:dyDescent="0.25">
      <c r="EL1232">
        <v>2022</v>
      </c>
      <c r="EM1232" t="s">
        <v>719</v>
      </c>
      <c r="EN1232" t="s">
        <v>844</v>
      </c>
      <c r="EO1232">
        <v>188.71</v>
      </c>
    </row>
    <row r="1233" spans="142:145" x14ac:dyDescent="0.25">
      <c r="EL1233">
        <v>2022</v>
      </c>
      <c r="EM1233" t="s">
        <v>713</v>
      </c>
      <c r="EN1233" t="s">
        <v>844</v>
      </c>
      <c r="EO1233">
        <v>168.16</v>
      </c>
    </row>
    <row r="1234" spans="142:145" x14ac:dyDescent="0.25">
      <c r="EL1234">
        <v>2022</v>
      </c>
      <c r="EM1234" t="s">
        <v>714</v>
      </c>
      <c r="EN1234" t="s">
        <v>844</v>
      </c>
      <c r="EO1234">
        <v>198.22</v>
      </c>
    </row>
    <row r="1235" spans="142:145" x14ac:dyDescent="0.25">
      <c r="EL1235">
        <v>2022</v>
      </c>
      <c r="EM1235" t="s">
        <v>705</v>
      </c>
      <c r="EN1235" t="s">
        <v>844</v>
      </c>
      <c r="EO1235">
        <v>194.76</v>
      </c>
    </row>
    <row r="1236" spans="142:145" x14ac:dyDescent="0.25">
      <c r="EL1236">
        <v>2022</v>
      </c>
      <c r="EM1236" t="s">
        <v>715</v>
      </c>
      <c r="EN1236" t="s">
        <v>844</v>
      </c>
      <c r="EO1236">
        <v>217.93</v>
      </c>
    </row>
    <row r="1237" spans="142:145" x14ac:dyDescent="0.25">
      <c r="EL1237">
        <v>2022</v>
      </c>
      <c r="EM1237" t="s">
        <v>718</v>
      </c>
      <c r="EN1237" t="s">
        <v>844</v>
      </c>
      <c r="EO1237">
        <v>192.26</v>
      </c>
    </row>
    <row r="1238" spans="142:145" x14ac:dyDescent="0.25">
      <c r="EL1238">
        <v>2022</v>
      </c>
      <c r="EM1238" t="s">
        <v>716</v>
      </c>
      <c r="EN1238" t="s">
        <v>844</v>
      </c>
      <c r="EO1238">
        <v>191.53</v>
      </c>
    </row>
    <row r="1239" spans="142:145" x14ac:dyDescent="0.25">
      <c r="EL1239">
        <v>2022</v>
      </c>
      <c r="EM1239" t="s">
        <v>708</v>
      </c>
      <c r="EN1239" t="s">
        <v>844</v>
      </c>
      <c r="EO1239">
        <v>153.86000000000001</v>
      </c>
    </row>
    <row r="1240" spans="142:145" x14ac:dyDescent="0.25">
      <c r="EL1240">
        <v>2022</v>
      </c>
      <c r="EM1240" t="s">
        <v>709</v>
      </c>
      <c r="EN1240" t="s">
        <v>844</v>
      </c>
      <c r="EO1240">
        <v>141.94</v>
      </c>
    </row>
    <row r="1241" spans="142:145" x14ac:dyDescent="0.25">
      <c r="EL1241">
        <v>2022</v>
      </c>
      <c r="EM1241" t="s">
        <v>710</v>
      </c>
      <c r="EN1241" t="s">
        <v>844</v>
      </c>
      <c r="EO1241">
        <v>144.25</v>
      </c>
    </row>
    <row r="1242" spans="142:145" x14ac:dyDescent="0.25">
      <c r="EL1242">
        <v>2022</v>
      </c>
      <c r="EM1242" t="s">
        <v>711</v>
      </c>
      <c r="EN1242" t="s">
        <v>844</v>
      </c>
      <c r="EO1242">
        <v>148.47999999999999</v>
      </c>
    </row>
    <row r="1243" spans="142:145" x14ac:dyDescent="0.25">
      <c r="EL1243">
        <v>2022</v>
      </c>
      <c r="EM1243" t="s">
        <v>712</v>
      </c>
      <c r="EN1243" t="s">
        <v>844</v>
      </c>
      <c r="EO1243">
        <v>181.52</v>
      </c>
    </row>
    <row r="1244" spans="142:145" x14ac:dyDescent="0.25">
      <c r="EL1244">
        <v>2023</v>
      </c>
      <c r="EM1244" t="s">
        <v>719</v>
      </c>
      <c r="EN1244" t="s">
        <v>844</v>
      </c>
      <c r="EO1244">
        <v>192.03</v>
      </c>
    </row>
    <row r="1245" spans="142:145" x14ac:dyDescent="0.25">
      <c r="EL1245">
        <v>2023</v>
      </c>
      <c r="EM1245" t="s">
        <v>713</v>
      </c>
      <c r="EN1245" t="s">
        <v>844</v>
      </c>
      <c r="EO1245">
        <v>187.16</v>
      </c>
    </row>
    <row r="1246" spans="142:145" x14ac:dyDescent="0.25">
      <c r="EL1246">
        <v>2023</v>
      </c>
      <c r="EM1246" t="s">
        <v>714</v>
      </c>
      <c r="EN1246" t="s">
        <v>844</v>
      </c>
      <c r="EO1246">
        <v>195.11</v>
      </c>
    </row>
    <row r="1247" spans="142:145" x14ac:dyDescent="0.25">
      <c r="EL1247">
        <v>2023</v>
      </c>
      <c r="EM1247" t="s">
        <v>705</v>
      </c>
      <c r="EN1247" t="s">
        <v>844</v>
      </c>
      <c r="EO1247">
        <v>171.73</v>
      </c>
    </row>
    <row r="1248" spans="142:145" x14ac:dyDescent="0.25">
      <c r="EL1248">
        <v>2023</v>
      </c>
      <c r="EM1248" t="s">
        <v>715</v>
      </c>
      <c r="EN1248" t="s">
        <v>844</v>
      </c>
      <c r="EO1248">
        <v>184.61</v>
      </c>
    </row>
    <row r="1249" spans="142:145" x14ac:dyDescent="0.25">
      <c r="EL1249">
        <v>2023</v>
      </c>
      <c r="EM1249" t="s">
        <v>718</v>
      </c>
      <c r="EN1249" t="s">
        <v>844</v>
      </c>
      <c r="EO1249">
        <v>169.93</v>
      </c>
    </row>
    <row r="1250" spans="142:145" x14ac:dyDescent="0.25">
      <c r="EL1250">
        <v>2023</v>
      </c>
      <c r="EM1250" t="s">
        <v>716</v>
      </c>
      <c r="EN1250" t="s">
        <v>844</v>
      </c>
      <c r="EO1250">
        <v>173.22</v>
      </c>
    </row>
    <row r="1251" spans="142:145" x14ac:dyDescent="0.25">
      <c r="EL1251">
        <v>2023</v>
      </c>
      <c r="EM1251" t="s">
        <v>708</v>
      </c>
      <c r="EN1251" t="s">
        <v>844</v>
      </c>
      <c r="EO1251">
        <v>159.88</v>
      </c>
    </row>
    <row r="1252" spans="142:145" x14ac:dyDescent="0.25">
      <c r="EL1252">
        <v>2023</v>
      </c>
      <c r="EM1252" t="s">
        <v>709</v>
      </c>
      <c r="EN1252" t="s">
        <v>844</v>
      </c>
      <c r="EO1252">
        <v>168.93</v>
      </c>
    </row>
    <row r="1253" spans="142:145" x14ac:dyDescent="0.25">
      <c r="EN1253" t="s">
        <v>845</v>
      </c>
    </row>
    <row r="1254" spans="142:145" x14ac:dyDescent="0.25">
      <c r="EN1254" t="s">
        <v>845</v>
      </c>
    </row>
    <row r="1255" spans="142:145" x14ac:dyDescent="0.25">
      <c r="EN1255" t="s">
        <v>845</v>
      </c>
    </row>
    <row r="1256" spans="142:145" x14ac:dyDescent="0.25">
      <c r="EN1256" t="s">
        <v>845</v>
      </c>
    </row>
    <row r="1257" spans="142:145" x14ac:dyDescent="0.25">
      <c r="EN1257" t="s">
        <v>845</v>
      </c>
    </row>
    <row r="1258" spans="142:145" x14ac:dyDescent="0.25">
      <c r="EN1258" t="s">
        <v>845</v>
      </c>
    </row>
    <row r="1259" spans="142:145" x14ac:dyDescent="0.25">
      <c r="EN1259" t="s">
        <v>845</v>
      </c>
    </row>
    <row r="1260" spans="142:145" x14ac:dyDescent="0.25">
      <c r="EN1260" t="s">
        <v>845</v>
      </c>
    </row>
    <row r="1261" spans="142:145" x14ac:dyDescent="0.25">
      <c r="EN1261" t="s">
        <v>845</v>
      </c>
    </row>
    <row r="1262" spans="142:145" x14ac:dyDescent="0.25">
      <c r="EN1262" t="s">
        <v>845</v>
      </c>
    </row>
    <row r="1263" spans="142:145" x14ac:dyDescent="0.25">
      <c r="EN1263" t="s">
        <v>845</v>
      </c>
    </row>
    <row r="1264" spans="142:145" x14ac:dyDescent="0.25">
      <c r="EN1264" t="s">
        <v>845</v>
      </c>
    </row>
    <row r="1265" spans="144:144" x14ac:dyDescent="0.25">
      <c r="EN1265" t="s">
        <v>845</v>
      </c>
    </row>
    <row r="1266" spans="144:144" x14ac:dyDescent="0.25">
      <c r="EN1266" t="s">
        <v>845</v>
      </c>
    </row>
    <row r="1267" spans="144:144" x14ac:dyDescent="0.25">
      <c r="EN1267" t="s">
        <v>845</v>
      </c>
    </row>
    <row r="1268" spans="144:144" x14ac:dyDescent="0.25">
      <c r="EN1268" t="s">
        <v>845</v>
      </c>
    </row>
    <row r="1269" spans="144:144" x14ac:dyDescent="0.25">
      <c r="EN1269" t="s">
        <v>845</v>
      </c>
    </row>
    <row r="1270" spans="144:144" x14ac:dyDescent="0.25">
      <c r="EN1270" t="s">
        <v>845</v>
      </c>
    </row>
    <row r="1271" spans="144:144" x14ac:dyDescent="0.25">
      <c r="EN1271" t="s">
        <v>845</v>
      </c>
    </row>
    <row r="1272" spans="144:144" x14ac:dyDescent="0.25">
      <c r="EN1272" t="s">
        <v>845</v>
      </c>
    </row>
    <row r="1273" spans="144:144" x14ac:dyDescent="0.25">
      <c r="EN1273" t="s">
        <v>845</v>
      </c>
    </row>
    <row r="1274" spans="144:144" x14ac:dyDescent="0.25">
      <c r="EN1274" t="s">
        <v>845</v>
      </c>
    </row>
    <row r="1275" spans="144:144" x14ac:dyDescent="0.25">
      <c r="EN1275" t="s">
        <v>845</v>
      </c>
    </row>
    <row r="1276" spans="144:144" x14ac:dyDescent="0.25">
      <c r="EN1276" t="s">
        <v>845</v>
      </c>
    </row>
    <row r="1277" spans="144:144" x14ac:dyDescent="0.25">
      <c r="EN1277" t="s">
        <v>845</v>
      </c>
    </row>
    <row r="1278" spans="144:144" x14ac:dyDescent="0.25">
      <c r="EN1278" t="s">
        <v>845</v>
      </c>
    </row>
    <row r="1279" spans="144:144" x14ac:dyDescent="0.25">
      <c r="EN1279" t="s">
        <v>845</v>
      </c>
    </row>
    <row r="1280" spans="144:144" x14ac:dyDescent="0.25">
      <c r="EN1280" t="s">
        <v>845</v>
      </c>
    </row>
    <row r="1281" spans="144:144" x14ac:dyDescent="0.25">
      <c r="EN1281" t="s">
        <v>845</v>
      </c>
    </row>
    <row r="1282" spans="144:144" x14ac:dyDescent="0.25">
      <c r="EN1282" t="s">
        <v>845</v>
      </c>
    </row>
    <row r="1283" spans="144:144" x14ac:dyDescent="0.25">
      <c r="EN1283" t="s">
        <v>845</v>
      </c>
    </row>
    <row r="1284" spans="144:144" x14ac:dyDescent="0.25">
      <c r="EN1284" t="s">
        <v>845</v>
      </c>
    </row>
    <row r="1285" spans="144:144" x14ac:dyDescent="0.25">
      <c r="EN1285" t="s">
        <v>845</v>
      </c>
    </row>
    <row r="1286" spans="144:144" x14ac:dyDescent="0.25">
      <c r="EN1286" t="s">
        <v>845</v>
      </c>
    </row>
    <row r="1287" spans="144:144" x14ac:dyDescent="0.25">
      <c r="EN1287" t="s">
        <v>845</v>
      </c>
    </row>
    <row r="1288" spans="144:144" x14ac:dyDescent="0.25">
      <c r="EN1288" t="s">
        <v>845</v>
      </c>
    </row>
    <row r="1289" spans="144:144" x14ac:dyDescent="0.25">
      <c r="EN1289" t="s">
        <v>845</v>
      </c>
    </row>
    <row r="1290" spans="144:144" x14ac:dyDescent="0.25">
      <c r="EN1290" t="s">
        <v>845</v>
      </c>
    </row>
    <row r="1291" spans="144:144" x14ac:dyDescent="0.25">
      <c r="EN1291" t="s">
        <v>845</v>
      </c>
    </row>
    <row r="1292" spans="144:144" x14ac:dyDescent="0.25">
      <c r="EN1292" t="s">
        <v>845</v>
      </c>
    </row>
    <row r="1293" spans="144:144" x14ac:dyDescent="0.25">
      <c r="EN1293" t="s">
        <v>845</v>
      </c>
    </row>
    <row r="1294" spans="144:144" x14ac:dyDescent="0.25">
      <c r="EN1294" t="s">
        <v>845</v>
      </c>
    </row>
    <row r="1295" spans="144:144" x14ac:dyDescent="0.25">
      <c r="EN1295" t="s">
        <v>845</v>
      </c>
    </row>
    <row r="1296" spans="144:144" x14ac:dyDescent="0.25">
      <c r="EN1296" t="s">
        <v>845</v>
      </c>
    </row>
    <row r="1297" spans="144:144" x14ac:dyDescent="0.25">
      <c r="EN1297" t="s">
        <v>845</v>
      </c>
    </row>
    <row r="1298" spans="144:144" x14ac:dyDescent="0.25">
      <c r="EN1298" t="s">
        <v>845</v>
      </c>
    </row>
    <row r="1299" spans="144:144" x14ac:dyDescent="0.25">
      <c r="EN1299" t="s">
        <v>845</v>
      </c>
    </row>
    <row r="1300" spans="144:144" x14ac:dyDescent="0.25">
      <c r="EN1300" t="s">
        <v>845</v>
      </c>
    </row>
    <row r="1301" spans="144:144" x14ac:dyDescent="0.25">
      <c r="EN1301" t="s">
        <v>845</v>
      </c>
    </row>
    <row r="1302" spans="144:144" x14ac:dyDescent="0.25">
      <c r="EN1302" t="s">
        <v>845</v>
      </c>
    </row>
    <row r="1303" spans="144:144" x14ac:dyDescent="0.25">
      <c r="EN1303" t="s">
        <v>845</v>
      </c>
    </row>
    <row r="1304" spans="144:144" x14ac:dyDescent="0.25">
      <c r="EN1304" t="s">
        <v>845</v>
      </c>
    </row>
    <row r="1305" spans="144:144" x14ac:dyDescent="0.25">
      <c r="EN1305" t="s">
        <v>845</v>
      </c>
    </row>
    <row r="1306" spans="144:144" x14ac:dyDescent="0.25">
      <c r="EN1306" t="s">
        <v>845</v>
      </c>
    </row>
    <row r="1307" spans="144:144" x14ac:dyDescent="0.25">
      <c r="EN1307" t="s">
        <v>845</v>
      </c>
    </row>
    <row r="1308" spans="144:144" x14ac:dyDescent="0.25">
      <c r="EN1308" t="s">
        <v>845</v>
      </c>
    </row>
    <row r="1309" spans="144:144" x14ac:dyDescent="0.25">
      <c r="EN1309" t="s">
        <v>845</v>
      </c>
    </row>
    <row r="1310" spans="144:144" x14ac:dyDescent="0.25">
      <c r="EN1310" t="s">
        <v>845</v>
      </c>
    </row>
    <row r="1311" spans="144:144" x14ac:dyDescent="0.25">
      <c r="EN1311" t="s">
        <v>845</v>
      </c>
    </row>
    <row r="1312" spans="144:144" x14ac:dyDescent="0.25">
      <c r="EN1312" t="s">
        <v>845</v>
      </c>
    </row>
    <row r="1313" spans="144:144" x14ac:dyDescent="0.25">
      <c r="EN1313" t="s">
        <v>845</v>
      </c>
    </row>
    <row r="1314" spans="144:144" x14ac:dyDescent="0.25">
      <c r="EN1314" t="s">
        <v>845</v>
      </c>
    </row>
    <row r="1315" spans="144:144" x14ac:dyDescent="0.25">
      <c r="EN1315" t="s">
        <v>845</v>
      </c>
    </row>
    <row r="1316" spans="144:144" x14ac:dyDescent="0.25">
      <c r="EN1316" t="s">
        <v>845</v>
      </c>
    </row>
    <row r="1317" spans="144:144" x14ac:dyDescent="0.25">
      <c r="EN1317" t="s">
        <v>845</v>
      </c>
    </row>
    <row r="1318" spans="144:144" x14ac:dyDescent="0.25">
      <c r="EN1318" t="s">
        <v>845</v>
      </c>
    </row>
    <row r="1319" spans="144:144" x14ac:dyDescent="0.25">
      <c r="EN1319" t="s">
        <v>845</v>
      </c>
    </row>
    <row r="1320" spans="144:144" x14ac:dyDescent="0.25">
      <c r="EN1320" t="s">
        <v>845</v>
      </c>
    </row>
    <row r="1321" spans="144:144" x14ac:dyDescent="0.25">
      <c r="EN1321" t="s">
        <v>845</v>
      </c>
    </row>
    <row r="1322" spans="144:144" x14ac:dyDescent="0.25">
      <c r="EN1322" t="s">
        <v>845</v>
      </c>
    </row>
    <row r="1323" spans="144:144" x14ac:dyDescent="0.25">
      <c r="EN1323" t="s">
        <v>845</v>
      </c>
    </row>
    <row r="1324" spans="144:144" x14ac:dyDescent="0.25">
      <c r="EN1324" t="s">
        <v>845</v>
      </c>
    </row>
    <row r="1325" spans="144:144" x14ac:dyDescent="0.25">
      <c r="EN1325" t="s">
        <v>845</v>
      </c>
    </row>
    <row r="1326" spans="144:144" x14ac:dyDescent="0.25">
      <c r="EN1326" t="s">
        <v>845</v>
      </c>
    </row>
    <row r="1327" spans="144:144" x14ac:dyDescent="0.25">
      <c r="EN1327" t="s">
        <v>845</v>
      </c>
    </row>
    <row r="1328" spans="144:144" x14ac:dyDescent="0.25">
      <c r="EN1328" t="s">
        <v>845</v>
      </c>
    </row>
    <row r="1329" spans="144:144" x14ac:dyDescent="0.25">
      <c r="EN1329" t="s">
        <v>845</v>
      </c>
    </row>
    <row r="1330" spans="144:144" x14ac:dyDescent="0.25">
      <c r="EN1330" t="s">
        <v>845</v>
      </c>
    </row>
    <row r="1331" spans="144:144" x14ac:dyDescent="0.25">
      <c r="EN1331" t="s">
        <v>845</v>
      </c>
    </row>
    <row r="1332" spans="144:144" x14ac:dyDescent="0.25">
      <c r="EN1332" t="s">
        <v>845</v>
      </c>
    </row>
    <row r="1333" spans="144:144" x14ac:dyDescent="0.25">
      <c r="EN1333" t="s">
        <v>845</v>
      </c>
    </row>
    <row r="1334" spans="144:144" x14ac:dyDescent="0.25">
      <c r="EN1334" t="s">
        <v>845</v>
      </c>
    </row>
    <row r="1335" spans="144:144" x14ac:dyDescent="0.25">
      <c r="EN1335" t="s">
        <v>845</v>
      </c>
    </row>
    <row r="1336" spans="144:144" x14ac:dyDescent="0.25">
      <c r="EN1336" t="s">
        <v>845</v>
      </c>
    </row>
    <row r="1337" spans="144:144" x14ac:dyDescent="0.25">
      <c r="EN1337" t="s">
        <v>845</v>
      </c>
    </row>
    <row r="1338" spans="144:144" x14ac:dyDescent="0.25">
      <c r="EN1338" t="s">
        <v>845</v>
      </c>
    </row>
    <row r="1339" spans="144:144" x14ac:dyDescent="0.25">
      <c r="EN1339" t="s">
        <v>845</v>
      </c>
    </row>
    <row r="1340" spans="144:144" x14ac:dyDescent="0.25">
      <c r="EN1340" t="s">
        <v>845</v>
      </c>
    </row>
    <row r="1341" spans="144:144" x14ac:dyDescent="0.25">
      <c r="EN1341" t="s">
        <v>845</v>
      </c>
    </row>
    <row r="1342" spans="144:144" x14ac:dyDescent="0.25">
      <c r="EN1342" t="s">
        <v>845</v>
      </c>
    </row>
    <row r="1343" spans="144:144" x14ac:dyDescent="0.25">
      <c r="EN1343" t="s">
        <v>845</v>
      </c>
    </row>
    <row r="1344" spans="144:144" x14ac:dyDescent="0.25">
      <c r="EN1344" t="s">
        <v>845</v>
      </c>
    </row>
    <row r="1345" spans="144:144" x14ac:dyDescent="0.25">
      <c r="EN1345" t="s">
        <v>845</v>
      </c>
    </row>
    <row r="1346" spans="144:144" x14ac:dyDescent="0.25">
      <c r="EN1346" t="s">
        <v>845</v>
      </c>
    </row>
    <row r="1347" spans="144:144" x14ac:dyDescent="0.25">
      <c r="EN1347" t="s">
        <v>845</v>
      </c>
    </row>
    <row r="1348" spans="144:144" x14ac:dyDescent="0.25">
      <c r="EN1348" t="s">
        <v>845</v>
      </c>
    </row>
    <row r="1349" spans="144:144" x14ac:dyDescent="0.25">
      <c r="EN1349" t="s">
        <v>845</v>
      </c>
    </row>
    <row r="1350" spans="144:144" x14ac:dyDescent="0.25">
      <c r="EN1350" t="s">
        <v>845</v>
      </c>
    </row>
    <row r="1351" spans="144:144" x14ac:dyDescent="0.25">
      <c r="EN1351" t="s">
        <v>845</v>
      </c>
    </row>
    <row r="1352" spans="144:144" x14ac:dyDescent="0.25">
      <c r="EN1352" t="s">
        <v>845</v>
      </c>
    </row>
    <row r="1353" spans="144:144" x14ac:dyDescent="0.25">
      <c r="EN1353" t="s">
        <v>845</v>
      </c>
    </row>
    <row r="1354" spans="144:144" x14ac:dyDescent="0.25">
      <c r="EN1354" t="s">
        <v>845</v>
      </c>
    </row>
    <row r="1355" spans="144:144" x14ac:dyDescent="0.25">
      <c r="EN1355" t="s">
        <v>845</v>
      </c>
    </row>
    <row r="1356" spans="144:144" x14ac:dyDescent="0.25">
      <c r="EN1356" t="s">
        <v>845</v>
      </c>
    </row>
    <row r="1357" spans="144:144" x14ac:dyDescent="0.25">
      <c r="EN1357" t="s">
        <v>845</v>
      </c>
    </row>
    <row r="1358" spans="144:144" x14ac:dyDescent="0.25">
      <c r="EN1358" t="s">
        <v>845</v>
      </c>
    </row>
    <row r="1359" spans="144:144" x14ac:dyDescent="0.25">
      <c r="EN1359" t="s">
        <v>845</v>
      </c>
    </row>
    <row r="1360" spans="144:144" x14ac:dyDescent="0.25">
      <c r="EN1360" t="s">
        <v>845</v>
      </c>
    </row>
    <row r="1361" spans="144:144" x14ac:dyDescent="0.25">
      <c r="EN1361" t="s">
        <v>845</v>
      </c>
    </row>
    <row r="1362" spans="144:144" x14ac:dyDescent="0.25">
      <c r="EN1362" t="s">
        <v>845</v>
      </c>
    </row>
    <row r="1363" spans="144:144" x14ac:dyDescent="0.25">
      <c r="EN1363" t="s">
        <v>845</v>
      </c>
    </row>
    <row r="1364" spans="144:144" x14ac:dyDescent="0.25">
      <c r="EN1364" t="s">
        <v>845</v>
      </c>
    </row>
    <row r="1365" spans="144:144" x14ac:dyDescent="0.25">
      <c r="EN1365" t="s">
        <v>845</v>
      </c>
    </row>
    <row r="1366" spans="144:144" x14ac:dyDescent="0.25">
      <c r="EN1366" t="s">
        <v>845</v>
      </c>
    </row>
    <row r="1367" spans="144:144" x14ac:dyDescent="0.25">
      <c r="EN1367" t="s">
        <v>845</v>
      </c>
    </row>
    <row r="1368" spans="144:144" x14ac:dyDescent="0.25">
      <c r="EN1368" t="s">
        <v>845</v>
      </c>
    </row>
    <row r="1369" spans="144:144" x14ac:dyDescent="0.25">
      <c r="EN1369" t="s">
        <v>845</v>
      </c>
    </row>
    <row r="1370" spans="144:144" x14ac:dyDescent="0.25">
      <c r="EN1370" t="s">
        <v>845</v>
      </c>
    </row>
    <row r="1371" spans="144:144" x14ac:dyDescent="0.25">
      <c r="EN1371" t="s">
        <v>845</v>
      </c>
    </row>
    <row r="1372" spans="144:144" x14ac:dyDescent="0.25">
      <c r="EN1372" t="s">
        <v>845</v>
      </c>
    </row>
    <row r="1373" spans="144:144" x14ac:dyDescent="0.25">
      <c r="EN1373" t="s">
        <v>845</v>
      </c>
    </row>
    <row r="1374" spans="144:144" x14ac:dyDescent="0.25">
      <c r="EN1374" t="s">
        <v>845</v>
      </c>
    </row>
    <row r="1375" spans="144:144" x14ac:dyDescent="0.25">
      <c r="EN1375" t="s">
        <v>845</v>
      </c>
    </row>
    <row r="1376" spans="144:144" x14ac:dyDescent="0.25">
      <c r="EN1376" t="s">
        <v>845</v>
      </c>
    </row>
    <row r="1377" spans="144:144" x14ac:dyDescent="0.25">
      <c r="EN1377" t="s">
        <v>845</v>
      </c>
    </row>
    <row r="1378" spans="144:144" x14ac:dyDescent="0.25">
      <c r="EN1378" t="s">
        <v>845</v>
      </c>
    </row>
    <row r="1379" spans="144:144" x14ac:dyDescent="0.25">
      <c r="EN1379" t="s">
        <v>845</v>
      </c>
    </row>
    <row r="1380" spans="144:144" x14ac:dyDescent="0.25">
      <c r="EN1380" t="s">
        <v>845</v>
      </c>
    </row>
    <row r="1381" spans="144:144" x14ac:dyDescent="0.25">
      <c r="EN1381" t="s">
        <v>845</v>
      </c>
    </row>
    <row r="1382" spans="144:144" x14ac:dyDescent="0.25">
      <c r="EN1382" t="s">
        <v>845</v>
      </c>
    </row>
    <row r="1383" spans="144:144" x14ac:dyDescent="0.25">
      <c r="EN1383" t="s">
        <v>845</v>
      </c>
    </row>
    <row r="1384" spans="144:144" x14ac:dyDescent="0.25">
      <c r="EN1384" t="s">
        <v>845</v>
      </c>
    </row>
    <row r="1385" spans="144:144" x14ac:dyDescent="0.25">
      <c r="EN1385" t="s">
        <v>845</v>
      </c>
    </row>
    <row r="1386" spans="144:144" x14ac:dyDescent="0.25">
      <c r="EN1386" t="s">
        <v>845</v>
      </c>
    </row>
    <row r="1387" spans="144:144" x14ac:dyDescent="0.25">
      <c r="EN1387" t="s">
        <v>845</v>
      </c>
    </row>
    <row r="1388" spans="144:144" x14ac:dyDescent="0.25">
      <c r="EN1388" t="s">
        <v>845</v>
      </c>
    </row>
    <row r="1389" spans="144:144" x14ac:dyDescent="0.25">
      <c r="EN1389" t="s">
        <v>845</v>
      </c>
    </row>
    <row r="1390" spans="144:144" x14ac:dyDescent="0.25">
      <c r="EN1390" t="s">
        <v>845</v>
      </c>
    </row>
    <row r="1391" spans="144:144" x14ac:dyDescent="0.25">
      <c r="EN1391" t="s">
        <v>845</v>
      </c>
    </row>
    <row r="1392" spans="144:144" x14ac:dyDescent="0.25">
      <c r="EN1392" t="s">
        <v>845</v>
      </c>
    </row>
    <row r="1393" spans="144:144" x14ac:dyDescent="0.25">
      <c r="EN1393" t="s">
        <v>845</v>
      </c>
    </row>
    <row r="1394" spans="144:144" x14ac:dyDescent="0.25">
      <c r="EN1394" t="s">
        <v>845</v>
      </c>
    </row>
    <row r="1395" spans="144:144" x14ac:dyDescent="0.25">
      <c r="EN1395" t="s">
        <v>845</v>
      </c>
    </row>
    <row r="1396" spans="144:144" x14ac:dyDescent="0.25">
      <c r="EN1396" t="s">
        <v>845</v>
      </c>
    </row>
    <row r="1397" spans="144:144" x14ac:dyDescent="0.25">
      <c r="EN1397" t="s">
        <v>845</v>
      </c>
    </row>
    <row r="1398" spans="144:144" x14ac:dyDescent="0.25">
      <c r="EN1398" t="s">
        <v>845</v>
      </c>
    </row>
    <row r="1399" spans="144:144" x14ac:dyDescent="0.25">
      <c r="EN1399" t="s">
        <v>845</v>
      </c>
    </row>
    <row r="1400" spans="144:144" x14ac:dyDescent="0.25">
      <c r="EN1400" t="s">
        <v>845</v>
      </c>
    </row>
    <row r="1401" spans="144:144" x14ac:dyDescent="0.25">
      <c r="EN1401" t="s">
        <v>845</v>
      </c>
    </row>
    <row r="1402" spans="144:144" x14ac:dyDescent="0.25">
      <c r="EN1402" t="s">
        <v>845</v>
      </c>
    </row>
    <row r="1403" spans="144:144" x14ac:dyDescent="0.25">
      <c r="EN1403" t="s">
        <v>845</v>
      </c>
    </row>
    <row r="1404" spans="144:144" x14ac:dyDescent="0.25">
      <c r="EN1404" t="s">
        <v>845</v>
      </c>
    </row>
    <row r="1405" spans="144:144" x14ac:dyDescent="0.25">
      <c r="EN1405" t="s">
        <v>845</v>
      </c>
    </row>
    <row r="1406" spans="144:144" x14ac:dyDescent="0.25">
      <c r="EN1406" t="s">
        <v>845</v>
      </c>
    </row>
    <row r="1407" spans="144:144" x14ac:dyDescent="0.25">
      <c r="EN1407" t="s">
        <v>845</v>
      </c>
    </row>
    <row r="1408" spans="144:144" x14ac:dyDescent="0.25">
      <c r="EN1408" t="s">
        <v>845</v>
      </c>
    </row>
    <row r="1409" spans="144:144" x14ac:dyDescent="0.25">
      <c r="EN1409" t="s">
        <v>845</v>
      </c>
    </row>
    <row r="1410" spans="144:144" x14ac:dyDescent="0.25">
      <c r="EN1410" t="s">
        <v>845</v>
      </c>
    </row>
    <row r="1411" spans="144:144" x14ac:dyDescent="0.25">
      <c r="EN1411" t="s">
        <v>845</v>
      </c>
    </row>
    <row r="1412" spans="144:144" x14ac:dyDescent="0.25">
      <c r="EN1412" t="s">
        <v>845</v>
      </c>
    </row>
    <row r="1413" spans="144:144" x14ac:dyDescent="0.25">
      <c r="EN1413" t="s">
        <v>845</v>
      </c>
    </row>
    <row r="1414" spans="144:144" x14ac:dyDescent="0.25">
      <c r="EN1414" t="s">
        <v>845</v>
      </c>
    </row>
    <row r="1415" spans="144:144" x14ac:dyDescent="0.25">
      <c r="EN1415" t="s">
        <v>845</v>
      </c>
    </row>
    <row r="1416" spans="144:144" x14ac:dyDescent="0.25">
      <c r="EN1416" t="s">
        <v>845</v>
      </c>
    </row>
    <row r="1417" spans="144:144" x14ac:dyDescent="0.25">
      <c r="EN1417" t="s">
        <v>845</v>
      </c>
    </row>
    <row r="1418" spans="144:144" x14ac:dyDescent="0.25">
      <c r="EN1418" t="s">
        <v>845</v>
      </c>
    </row>
    <row r="1419" spans="144:144" x14ac:dyDescent="0.25">
      <c r="EN1419" t="s">
        <v>845</v>
      </c>
    </row>
    <row r="1420" spans="144:144" x14ac:dyDescent="0.25">
      <c r="EN1420" t="s">
        <v>845</v>
      </c>
    </row>
    <row r="1421" spans="144:144" x14ac:dyDescent="0.25">
      <c r="EN1421" t="s">
        <v>845</v>
      </c>
    </row>
    <row r="1422" spans="144:144" x14ac:dyDescent="0.25">
      <c r="EN1422" t="s">
        <v>845</v>
      </c>
    </row>
    <row r="1423" spans="144:144" x14ac:dyDescent="0.25">
      <c r="EN1423" t="s">
        <v>845</v>
      </c>
    </row>
    <row r="1424" spans="144:144" x14ac:dyDescent="0.25">
      <c r="EN1424" t="s">
        <v>845</v>
      </c>
    </row>
    <row r="1425" spans="144:144" x14ac:dyDescent="0.25">
      <c r="EN1425" t="s">
        <v>845</v>
      </c>
    </row>
    <row r="1426" spans="144:144" x14ac:dyDescent="0.25">
      <c r="EN1426" t="s">
        <v>845</v>
      </c>
    </row>
    <row r="1427" spans="144:144" x14ac:dyDescent="0.25">
      <c r="EN1427" t="s">
        <v>845</v>
      </c>
    </row>
    <row r="1428" spans="144:144" x14ac:dyDescent="0.25">
      <c r="EN1428" t="s">
        <v>845</v>
      </c>
    </row>
    <row r="1429" spans="144:144" x14ac:dyDescent="0.25">
      <c r="EN1429" t="s">
        <v>845</v>
      </c>
    </row>
    <row r="1430" spans="144:144" x14ac:dyDescent="0.25">
      <c r="EN1430" t="s">
        <v>845</v>
      </c>
    </row>
    <row r="1431" spans="144:144" x14ac:dyDescent="0.25">
      <c r="EN1431" t="s">
        <v>845</v>
      </c>
    </row>
    <row r="1432" spans="144:144" x14ac:dyDescent="0.25">
      <c r="EN1432" t="s">
        <v>845</v>
      </c>
    </row>
    <row r="1433" spans="144:144" x14ac:dyDescent="0.25">
      <c r="EN1433" t="s">
        <v>845</v>
      </c>
    </row>
    <row r="1434" spans="144:144" x14ac:dyDescent="0.25">
      <c r="EN1434" t="s">
        <v>845</v>
      </c>
    </row>
    <row r="1435" spans="144:144" x14ac:dyDescent="0.25">
      <c r="EN1435" t="s">
        <v>845</v>
      </c>
    </row>
    <row r="1436" spans="144:144" x14ac:dyDescent="0.25">
      <c r="EN1436" t="s">
        <v>845</v>
      </c>
    </row>
    <row r="1437" spans="144:144" x14ac:dyDescent="0.25">
      <c r="EN1437" t="s">
        <v>845</v>
      </c>
    </row>
    <row r="1438" spans="144:144" x14ac:dyDescent="0.25">
      <c r="EN1438" t="s">
        <v>845</v>
      </c>
    </row>
    <row r="1439" spans="144:144" x14ac:dyDescent="0.25">
      <c r="EN1439" t="s">
        <v>845</v>
      </c>
    </row>
    <row r="1440" spans="144:144" x14ac:dyDescent="0.25">
      <c r="EN1440" t="s">
        <v>845</v>
      </c>
    </row>
    <row r="1441" spans="144:144" x14ac:dyDescent="0.25">
      <c r="EN1441" t="s">
        <v>845</v>
      </c>
    </row>
    <row r="1442" spans="144:144" x14ac:dyDescent="0.25">
      <c r="EN1442" t="s">
        <v>845</v>
      </c>
    </row>
    <row r="1443" spans="144:144" x14ac:dyDescent="0.25">
      <c r="EN1443" t="s">
        <v>845</v>
      </c>
    </row>
    <row r="1444" spans="144:144" x14ac:dyDescent="0.25">
      <c r="EN1444" t="s">
        <v>845</v>
      </c>
    </row>
    <row r="1445" spans="144:144" x14ac:dyDescent="0.25">
      <c r="EN1445" t="s">
        <v>845</v>
      </c>
    </row>
    <row r="1446" spans="144:144" x14ac:dyDescent="0.25">
      <c r="EN1446" t="s">
        <v>845</v>
      </c>
    </row>
    <row r="1447" spans="144:144" x14ac:dyDescent="0.25">
      <c r="EN1447" t="s">
        <v>845</v>
      </c>
    </row>
    <row r="1448" spans="144:144" x14ac:dyDescent="0.25">
      <c r="EN1448" t="s">
        <v>845</v>
      </c>
    </row>
    <row r="1449" spans="144:144" x14ac:dyDescent="0.25">
      <c r="EN1449" t="s">
        <v>845</v>
      </c>
    </row>
    <row r="1450" spans="144:144" x14ac:dyDescent="0.25">
      <c r="EN1450" t="s">
        <v>845</v>
      </c>
    </row>
    <row r="1451" spans="144:144" x14ac:dyDescent="0.25">
      <c r="EN1451" t="s">
        <v>845</v>
      </c>
    </row>
    <row r="1452" spans="144:144" x14ac:dyDescent="0.25">
      <c r="EN1452" t="s">
        <v>845</v>
      </c>
    </row>
    <row r="1453" spans="144:144" x14ac:dyDescent="0.25">
      <c r="EN1453" t="s">
        <v>845</v>
      </c>
    </row>
    <row r="1454" spans="144:144" x14ac:dyDescent="0.25">
      <c r="EN1454" t="s">
        <v>845</v>
      </c>
    </row>
    <row r="1455" spans="144:144" x14ac:dyDescent="0.25">
      <c r="EN1455" t="s">
        <v>845</v>
      </c>
    </row>
    <row r="1456" spans="144:144" x14ac:dyDescent="0.25">
      <c r="EN1456" t="s">
        <v>845</v>
      </c>
    </row>
    <row r="1457" spans="144:144" x14ac:dyDescent="0.25">
      <c r="EN1457" t="s">
        <v>845</v>
      </c>
    </row>
    <row r="1458" spans="144:144" x14ac:dyDescent="0.25">
      <c r="EN1458" t="s">
        <v>845</v>
      </c>
    </row>
    <row r="1459" spans="144:144" x14ac:dyDescent="0.25">
      <c r="EN1459" t="s">
        <v>845</v>
      </c>
    </row>
    <row r="1460" spans="144:144" x14ac:dyDescent="0.25">
      <c r="EN1460" t="s">
        <v>845</v>
      </c>
    </row>
    <row r="1461" spans="144:144" x14ac:dyDescent="0.25">
      <c r="EN1461" t="s">
        <v>845</v>
      </c>
    </row>
    <row r="1462" spans="144:144" x14ac:dyDescent="0.25">
      <c r="EN1462" t="s">
        <v>845</v>
      </c>
    </row>
    <row r="1463" spans="144:144" x14ac:dyDescent="0.25">
      <c r="EN1463" t="s">
        <v>845</v>
      </c>
    </row>
    <row r="1464" spans="144:144" x14ac:dyDescent="0.25">
      <c r="EN1464" t="s">
        <v>845</v>
      </c>
    </row>
    <row r="1465" spans="144:144" x14ac:dyDescent="0.25">
      <c r="EN1465" t="s">
        <v>845</v>
      </c>
    </row>
    <row r="1466" spans="144:144" x14ac:dyDescent="0.25">
      <c r="EN1466" t="s">
        <v>845</v>
      </c>
    </row>
    <row r="1467" spans="144:144" x14ac:dyDescent="0.25">
      <c r="EN1467" t="s">
        <v>845</v>
      </c>
    </row>
    <row r="1468" spans="144:144" x14ac:dyDescent="0.25">
      <c r="EN1468" t="s">
        <v>845</v>
      </c>
    </row>
    <row r="1469" spans="144:144" x14ac:dyDescent="0.25">
      <c r="EN1469" t="s">
        <v>845</v>
      </c>
    </row>
    <row r="1470" spans="144:144" x14ac:dyDescent="0.25">
      <c r="EN1470" t="s">
        <v>845</v>
      </c>
    </row>
    <row r="1471" spans="144:144" x14ac:dyDescent="0.25">
      <c r="EN1471" t="s">
        <v>845</v>
      </c>
    </row>
    <row r="1472" spans="144:144" x14ac:dyDescent="0.25">
      <c r="EN1472" t="s">
        <v>845</v>
      </c>
    </row>
    <row r="1473" spans="144:144" x14ac:dyDescent="0.25">
      <c r="EN1473" t="s">
        <v>845</v>
      </c>
    </row>
    <row r="1474" spans="144:144" x14ac:dyDescent="0.25">
      <c r="EN1474" t="s">
        <v>845</v>
      </c>
    </row>
    <row r="1475" spans="144:144" x14ac:dyDescent="0.25">
      <c r="EN1475" t="s">
        <v>845</v>
      </c>
    </row>
    <row r="1476" spans="144:144" x14ac:dyDescent="0.25">
      <c r="EN1476" t="s">
        <v>845</v>
      </c>
    </row>
    <row r="1477" spans="144:144" x14ac:dyDescent="0.25">
      <c r="EN1477" t="s">
        <v>845</v>
      </c>
    </row>
    <row r="1478" spans="144:144" x14ac:dyDescent="0.25">
      <c r="EN1478" t="s">
        <v>845</v>
      </c>
    </row>
    <row r="1479" spans="144:144" x14ac:dyDescent="0.25">
      <c r="EN1479" t="s">
        <v>845</v>
      </c>
    </row>
    <row r="1480" spans="144:144" x14ac:dyDescent="0.25">
      <c r="EN1480" t="s">
        <v>845</v>
      </c>
    </row>
    <row r="1481" spans="144:144" x14ac:dyDescent="0.25">
      <c r="EN1481" t="s">
        <v>845</v>
      </c>
    </row>
    <row r="1482" spans="144:144" x14ac:dyDescent="0.25">
      <c r="EN1482" t="s">
        <v>845</v>
      </c>
    </row>
    <row r="1483" spans="144:144" x14ac:dyDescent="0.25">
      <c r="EN1483" t="s">
        <v>845</v>
      </c>
    </row>
    <row r="1484" spans="144:144" x14ac:dyDescent="0.25">
      <c r="EN1484" t="s">
        <v>845</v>
      </c>
    </row>
    <row r="1485" spans="144:144" x14ac:dyDescent="0.25">
      <c r="EN1485" t="s">
        <v>845</v>
      </c>
    </row>
    <row r="1486" spans="144:144" x14ac:dyDescent="0.25">
      <c r="EN1486" t="s">
        <v>845</v>
      </c>
    </row>
    <row r="1487" spans="144:144" x14ac:dyDescent="0.25">
      <c r="EN1487" t="s">
        <v>845</v>
      </c>
    </row>
    <row r="1488" spans="144:144" x14ac:dyDescent="0.25">
      <c r="EN1488" t="s">
        <v>845</v>
      </c>
    </row>
    <row r="1489" spans="144:144" x14ac:dyDescent="0.25">
      <c r="EN1489" t="s">
        <v>845</v>
      </c>
    </row>
    <row r="1490" spans="144:144" x14ac:dyDescent="0.25">
      <c r="EN1490" t="s">
        <v>845</v>
      </c>
    </row>
    <row r="1491" spans="144:144" x14ac:dyDescent="0.25">
      <c r="EN1491" t="s">
        <v>845</v>
      </c>
    </row>
    <row r="1492" spans="144:144" x14ac:dyDescent="0.25">
      <c r="EN1492" t="s">
        <v>845</v>
      </c>
    </row>
    <row r="1493" spans="144:144" x14ac:dyDescent="0.25">
      <c r="EN1493" t="s">
        <v>845</v>
      </c>
    </row>
    <row r="1494" spans="144:144" x14ac:dyDescent="0.25">
      <c r="EN1494" t="s">
        <v>845</v>
      </c>
    </row>
    <row r="1495" spans="144:144" x14ac:dyDescent="0.25">
      <c r="EN1495" t="s">
        <v>845</v>
      </c>
    </row>
    <row r="1496" spans="144:144" x14ac:dyDescent="0.25">
      <c r="EN1496" t="s">
        <v>845</v>
      </c>
    </row>
    <row r="1497" spans="144:144" x14ac:dyDescent="0.25">
      <c r="EN1497" t="s">
        <v>845</v>
      </c>
    </row>
    <row r="1498" spans="144:144" x14ac:dyDescent="0.25">
      <c r="EN1498" t="s">
        <v>845</v>
      </c>
    </row>
    <row r="1499" spans="144:144" x14ac:dyDescent="0.25">
      <c r="EN1499" t="s">
        <v>845</v>
      </c>
    </row>
    <row r="1500" spans="144:144" x14ac:dyDescent="0.25">
      <c r="EN1500" t="s">
        <v>845</v>
      </c>
    </row>
    <row r="1501" spans="144:144" x14ac:dyDescent="0.25">
      <c r="EN1501" t="s">
        <v>845</v>
      </c>
    </row>
    <row r="1502" spans="144:144" x14ac:dyDescent="0.25">
      <c r="EN1502" t="s">
        <v>845</v>
      </c>
    </row>
    <row r="1503" spans="144:144" x14ac:dyDescent="0.25">
      <c r="EN1503" t="s">
        <v>845</v>
      </c>
    </row>
    <row r="1504" spans="144:144" x14ac:dyDescent="0.25">
      <c r="EN1504" t="s">
        <v>845</v>
      </c>
    </row>
    <row r="1505" spans="144:144" x14ac:dyDescent="0.25">
      <c r="EN1505" t="s">
        <v>845</v>
      </c>
    </row>
    <row r="1506" spans="144:144" x14ac:dyDescent="0.25">
      <c r="EN1506" t="s">
        <v>845</v>
      </c>
    </row>
    <row r="1507" spans="144:144" x14ac:dyDescent="0.25">
      <c r="EN1507" t="s">
        <v>845</v>
      </c>
    </row>
    <row r="1508" spans="144:144" x14ac:dyDescent="0.25">
      <c r="EN1508" t="s">
        <v>845</v>
      </c>
    </row>
    <row r="1509" spans="144:144" x14ac:dyDescent="0.25">
      <c r="EN1509" t="s">
        <v>845</v>
      </c>
    </row>
    <row r="1510" spans="144:144" x14ac:dyDescent="0.25">
      <c r="EN1510" t="s">
        <v>845</v>
      </c>
    </row>
    <row r="1511" spans="144:144" x14ac:dyDescent="0.25">
      <c r="EN1511" t="s">
        <v>845</v>
      </c>
    </row>
    <row r="1512" spans="144:144" x14ac:dyDescent="0.25">
      <c r="EN1512" t="s">
        <v>845</v>
      </c>
    </row>
    <row r="1513" spans="144:144" x14ac:dyDescent="0.25">
      <c r="EN1513" t="s">
        <v>845</v>
      </c>
    </row>
    <row r="1514" spans="144:144" x14ac:dyDescent="0.25">
      <c r="EN1514" t="s">
        <v>845</v>
      </c>
    </row>
    <row r="1515" spans="144:144" x14ac:dyDescent="0.25">
      <c r="EN1515" t="s">
        <v>845</v>
      </c>
    </row>
    <row r="1516" spans="144:144" x14ac:dyDescent="0.25">
      <c r="EN1516" t="s">
        <v>845</v>
      </c>
    </row>
    <row r="1517" spans="144:144" x14ac:dyDescent="0.25">
      <c r="EN1517" t="s">
        <v>845</v>
      </c>
    </row>
    <row r="1518" spans="144:144" x14ac:dyDescent="0.25">
      <c r="EN1518" t="s">
        <v>845</v>
      </c>
    </row>
    <row r="1519" spans="144:144" x14ac:dyDescent="0.25">
      <c r="EN1519" t="s">
        <v>845</v>
      </c>
    </row>
    <row r="1520" spans="144:144" x14ac:dyDescent="0.25">
      <c r="EN1520" t="s">
        <v>845</v>
      </c>
    </row>
    <row r="1521" spans="144:144" x14ac:dyDescent="0.25">
      <c r="EN1521" t="s">
        <v>845</v>
      </c>
    </row>
    <row r="1522" spans="144:144" x14ac:dyDescent="0.25">
      <c r="EN1522" t="s">
        <v>845</v>
      </c>
    </row>
    <row r="1523" spans="144:144" x14ac:dyDescent="0.25">
      <c r="EN1523" t="s">
        <v>845</v>
      </c>
    </row>
    <row r="1524" spans="144:144" x14ac:dyDescent="0.25">
      <c r="EN1524" t="s">
        <v>845</v>
      </c>
    </row>
    <row r="1525" spans="144:144" x14ac:dyDescent="0.25">
      <c r="EN1525" t="s">
        <v>845</v>
      </c>
    </row>
    <row r="1526" spans="144:144" x14ac:dyDescent="0.25">
      <c r="EN1526" t="s">
        <v>845</v>
      </c>
    </row>
    <row r="1527" spans="144:144" x14ac:dyDescent="0.25">
      <c r="EN1527" t="s">
        <v>845</v>
      </c>
    </row>
    <row r="1528" spans="144:144" x14ac:dyDescent="0.25">
      <c r="EN1528" t="s">
        <v>845</v>
      </c>
    </row>
    <row r="1529" spans="144:144" x14ac:dyDescent="0.25">
      <c r="EN1529" t="s">
        <v>845</v>
      </c>
    </row>
    <row r="1530" spans="144:144" x14ac:dyDescent="0.25">
      <c r="EN1530" t="s">
        <v>845</v>
      </c>
    </row>
    <row r="1531" spans="144:144" x14ac:dyDescent="0.25">
      <c r="EN1531" t="s">
        <v>845</v>
      </c>
    </row>
    <row r="1532" spans="144:144" x14ac:dyDescent="0.25">
      <c r="EN1532" t="s">
        <v>845</v>
      </c>
    </row>
    <row r="1533" spans="144:144" x14ac:dyDescent="0.25">
      <c r="EN1533" t="s">
        <v>845</v>
      </c>
    </row>
    <row r="1534" spans="144:144" x14ac:dyDescent="0.25">
      <c r="EN1534" t="s">
        <v>845</v>
      </c>
    </row>
    <row r="1535" spans="144:144" x14ac:dyDescent="0.25">
      <c r="EN1535" t="s">
        <v>845</v>
      </c>
    </row>
    <row r="1536" spans="144:144" x14ac:dyDescent="0.25">
      <c r="EN1536" t="s">
        <v>845</v>
      </c>
    </row>
    <row r="1537" spans="144:144" x14ac:dyDescent="0.25">
      <c r="EN1537" t="s">
        <v>845</v>
      </c>
    </row>
    <row r="1538" spans="144:144" x14ac:dyDescent="0.25">
      <c r="EN1538" t="s">
        <v>845</v>
      </c>
    </row>
    <row r="1539" spans="144:144" x14ac:dyDescent="0.25">
      <c r="EN1539" t="s">
        <v>845</v>
      </c>
    </row>
    <row r="1540" spans="144:144" x14ac:dyDescent="0.25">
      <c r="EN1540" t="s">
        <v>845</v>
      </c>
    </row>
    <row r="1541" spans="144:144" x14ac:dyDescent="0.25">
      <c r="EN1541" t="s">
        <v>845</v>
      </c>
    </row>
    <row r="1542" spans="144:144" x14ac:dyDescent="0.25">
      <c r="EN1542" t="s">
        <v>845</v>
      </c>
    </row>
    <row r="1543" spans="144:144" x14ac:dyDescent="0.25">
      <c r="EN1543" t="s">
        <v>845</v>
      </c>
    </row>
    <row r="1544" spans="144:144" x14ac:dyDescent="0.25">
      <c r="EN1544" t="s">
        <v>845</v>
      </c>
    </row>
    <row r="1545" spans="144:144" x14ac:dyDescent="0.25">
      <c r="EN1545" t="s">
        <v>845</v>
      </c>
    </row>
    <row r="1546" spans="144:144" x14ac:dyDescent="0.25">
      <c r="EN1546" t="s">
        <v>845</v>
      </c>
    </row>
    <row r="1547" spans="144:144" x14ac:dyDescent="0.25">
      <c r="EN1547" t="s">
        <v>845</v>
      </c>
    </row>
    <row r="1548" spans="144:144" x14ac:dyDescent="0.25">
      <c r="EN1548" t="s">
        <v>845</v>
      </c>
    </row>
    <row r="1549" spans="144:144" x14ac:dyDescent="0.25">
      <c r="EN1549" t="s">
        <v>845</v>
      </c>
    </row>
    <row r="1550" spans="144:144" x14ac:dyDescent="0.25">
      <c r="EN1550" t="s">
        <v>845</v>
      </c>
    </row>
    <row r="1551" spans="144:144" x14ac:dyDescent="0.25">
      <c r="EN1551" t="s">
        <v>845</v>
      </c>
    </row>
    <row r="1552" spans="144:144" x14ac:dyDescent="0.25">
      <c r="EN1552" t="s">
        <v>845</v>
      </c>
    </row>
    <row r="1553" spans="142:144" x14ac:dyDescent="0.25">
      <c r="EN1553" t="s">
        <v>845</v>
      </c>
    </row>
    <row r="1554" spans="142:144" x14ac:dyDescent="0.25">
      <c r="EN1554" t="s">
        <v>845</v>
      </c>
    </row>
    <row r="1555" spans="142:144" x14ac:dyDescent="0.25">
      <c r="EN1555" t="s">
        <v>845</v>
      </c>
    </row>
    <row r="1556" spans="142:144" x14ac:dyDescent="0.25">
      <c r="EN1556" t="s">
        <v>845</v>
      </c>
    </row>
    <row r="1557" spans="142:144" x14ac:dyDescent="0.25">
      <c r="EN1557" t="s">
        <v>845</v>
      </c>
    </row>
    <row r="1558" spans="142:144" x14ac:dyDescent="0.25">
      <c r="EN1558" t="s">
        <v>845</v>
      </c>
    </row>
    <row r="1559" spans="142:144" x14ac:dyDescent="0.25">
      <c r="EN1559" t="s">
        <v>845</v>
      </c>
    </row>
    <row r="1560" spans="142:144" x14ac:dyDescent="0.25">
      <c r="EN1560" t="s">
        <v>845</v>
      </c>
    </row>
    <row r="1561" spans="142:144" x14ac:dyDescent="0.25">
      <c r="EN1561" t="s">
        <v>845</v>
      </c>
    </row>
    <row r="1562" spans="142:144" x14ac:dyDescent="0.25">
      <c r="EN1562" t="s">
        <v>845</v>
      </c>
    </row>
    <row r="1563" spans="142:144" x14ac:dyDescent="0.25">
      <c r="EN1563" t="s">
        <v>845</v>
      </c>
    </row>
    <row r="1564" spans="142:144" x14ac:dyDescent="0.25">
      <c r="EN1564" t="s">
        <v>845</v>
      </c>
    </row>
    <row r="1565" spans="142:144" x14ac:dyDescent="0.25">
      <c r="EL1565">
        <v>1997</v>
      </c>
      <c r="EM1565" t="s">
        <v>760</v>
      </c>
      <c r="EN1565" t="s">
        <v>846</v>
      </c>
    </row>
    <row r="1566" spans="142:144" x14ac:dyDescent="0.25">
      <c r="EL1566">
        <v>1997</v>
      </c>
      <c r="EM1566" t="s">
        <v>761</v>
      </c>
      <c r="EN1566" t="s">
        <v>846</v>
      </c>
    </row>
    <row r="1567" spans="142:144" x14ac:dyDescent="0.25">
      <c r="EL1567">
        <v>1997</v>
      </c>
      <c r="EM1567" t="s">
        <v>762</v>
      </c>
      <c r="EN1567" t="s">
        <v>846</v>
      </c>
    </row>
    <row r="1568" spans="142:144" x14ac:dyDescent="0.25">
      <c r="EL1568">
        <v>1998</v>
      </c>
      <c r="EM1568" t="s">
        <v>763</v>
      </c>
      <c r="EN1568" t="s">
        <v>846</v>
      </c>
    </row>
    <row r="1569" spans="142:144" x14ac:dyDescent="0.25">
      <c r="EL1569">
        <v>1998</v>
      </c>
      <c r="EM1569" t="s">
        <v>764</v>
      </c>
      <c r="EN1569" t="s">
        <v>846</v>
      </c>
    </row>
    <row r="1570" spans="142:144" x14ac:dyDescent="0.25">
      <c r="EL1570">
        <v>1998</v>
      </c>
      <c r="EM1570" t="s">
        <v>765</v>
      </c>
      <c r="EN1570" t="s">
        <v>846</v>
      </c>
    </row>
    <row r="1571" spans="142:144" x14ac:dyDescent="0.25">
      <c r="EL1571">
        <v>1998</v>
      </c>
      <c r="EM1571" t="s">
        <v>767</v>
      </c>
      <c r="EN1571" t="s">
        <v>846</v>
      </c>
    </row>
    <row r="1572" spans="142:144" x14ac:dyDescent="0.25">
      <c r="EL1572">
        <v>1998</v>
      </c>
      <c r="EM1572" t="s">
        <v>715</v>
      </c>
      <c r="EN1572" t="s">
        <v>846</v>
      </c>
    </row>
    <row r="1573" spans="142:144" x14ac:dyDescent="0.25">
      <c r="EL1573">
        <v>1998</v>
      </c>
      <c r="EM1573" t="s">
        <v>718</v>
      </c>
      <c r="EN1573" t="s">
        <v>846</v>
      </c>
    </row>
    <row r="1574" spans="142:144" x14ac:dyDescent="0.25">
      <c r="EL1574">
        <v>1998</v>
      </c>
      <c r="EM1574" t="s">
        <v>716</v>
      </c>
      <c r="EN1574" t="s">
        <v>846</v>
      </c>
    </row>
    <row r="1575" spans="142:144" x14ac:dyDescent="0.25">
      <c r="EL1575">
        <v>1998</v>
      </c>
      <c r="EM1575" t="s">
        <v>768</v>
      </c>
      <c r="EN1575" t="s">
        <v>846</v>
      </c>
    </row>
    <row r="1576" spans="142:144" x14ac:dyDescent="0.25">
      <c r="EL1576">
        <v>1998</v>
      </c>
      <c r="EM1576" t="s">
        <v>769</v>
      </c>
      <c r="EN1576" t="s">
        <v>846</v>
      </c>
    </row>
    <row r="1577" spans="142:144" x14ac:dyDescent="0.25">
      <c r="EL1577">
        <v>1998</v>
      </c>
      <c r="EM1577" t="s">
        <v>760</v>
      </c>
      <c r="EN1577" t="s">
        <v>846</v>
      </c>
    </row>
    <row r="1578" spans="142:144" x14ac:dyDescent="0.25">
      <c r="EL1578">
        <v>1998</v>
      </c>
      <c r="EM1578" t="s">
        <v>771</v>
      </c>
      <c r="EN1578" t="s">
        <v>846</v>
      </c>
    </row>
    <row r="1579" spans="142:144" x14ac:dyDescent="0.25">
      <c r="EL1579">
        <v>1998</v>
      </c>
      <c r="EM1579" t="s">
        <v>762</v>
      </c>
      <c r="EN1579" t="s">
        <v>846</v>
      </c>
    </row>
    <row r="1580" spans="142:144" x14ac:dyDescent="0.25">
      <c r="EL1580">
        <v>1999</v>
      </c>
      <c r="EM1580" t="s">
        <v>763</v>
      </c>
      <c r="EN1580" t="s">
        <v>846</v>
      </c>
    </row>
    <row r="1581" spans="142:144" x14ac:dyDescent="0.25">
      <c r="EL1581">
        <v>1999</v>
      </c>
      <c r="EM1581" t="s">
        <v>772</v>
      </c>
      <c r="EN1581" t="s">
        <v>846</v>
      </c>
    </row>
    <row r="1582" spans="142:144" x14ac:dyDescent="0.25">
      <c r="EL1582">
        <v>1999</v>
      </c>
      <c r="EM1582" t="s">
        <v>773</v>
      </c>
      <c r="EN1582" t="s">
        <v>846</v>
      </c>
    </row>
    <row r="1583" spans="142:144" x14ac:dyDescent="0.25">
      <c r="EL1583">
        <v>1999</v>
      </c>
      <c r="EM1583" t="s">
        <v>774</v>
      </c>
      <c r="EN1583" t="s">
        <v>846</v>
      </c>
    </row>
    <row r="1584" spans="142:144" x14ac:dyDescent="0.25">
      <c r="EL1584">
        <v>1999</v>
      </c>
      <c r="EM1584" t="s">
        <v>715</v>
      </c>
      <c r="EN1584" t="s">
        <v>846</v>
      </c>
    </row>
    <row r="1585" spans="142:144" x14ac:dyDescent="0.25">
      <c r="EL1585">
        <v>1999</v>
      </c>
      <c r="EM1585" t="s">
        <v>718</v>
      </c>
      <c r="EN1585" t="s">
        <v>846</v>
      </c>
    </row>
    <row r="1586" spans="142:144" x14ac:dyDescent="0.25">
      <c r="EL1586">
        <v>1999</v>
      </c>
      <c r="EM1586" t="s">
        <v>716</v>
      </c>
      <c r="EN1586" t="s">
        <v>846</v>
      </c>
    </row>
    <row r="1587" spans="142:144" x14ac:dyDescent="0.25">
      <c r="EL1587">
        <v>1999</v>
      </c>
      <c r="EM1587" t="s">
        <v>708</v>
      </c>
      <c r="EN1587" t="s">
        <v>846</v>
      </c>
    </row>
    <row r="1588" spans="142:144" x14ac:dyDescent="0.25">
      <c r="EL1588">
        <v>1999</v>
      </c>
      <c r="EM1588" t="s">
        <v>709</v>
      </c>
      <c r="EN1588" t="s">
        <v>846</v>
      </c>
    </row>
    <row r="1589" spans="142:144" x14ac:dyDescent="0.25">
      <c r="EL1589">
        <v>1999</v>
      </c>
      <c r="EM1589" t="s">
        <v>710</v>
      </c>
      <c r="EN1589" t="s">
        <v>846</v>
      </c>
    </row>
    <row r="1590" spans="142:144" x14ac:dyDescent="0.25">
      <c r="EL1590">
        <v>1999</v>
      </c>
      <c r="EM1590" t="s">
        <v>711</v>
      </c>
      <c r="EN1590" t="s">
        <v>846</v>
      </c>
    </row>
    <row r="1591" spans="142:144" x14ac:dyDescent="0.25">
      <c r="EL1591">
        <v>1999</v>
      </c>
      <c r="EM1591" t="s">
        <v>712</v>
      </c>
      <c r="EN1591" t="s">
        <v>846</v>
      </c>
    </row>
    <row r="1592" spans="142:144" x14ac:dyDescent="0.25">
      <c r="EL1592">
        <v>2000</v>
      </c>
      <c r="EM1592" t="s">
        <v>719</v>
      </c>
      <c r="EN1592" t="s">
        <v>846</v>
      </c>
    </row>
    <row r="1593" spans="142:144" x14ac:dyDescent="0.25">
      <c r="EL1593">
        <v>2000</v>
      </c>
      <c r="EM1593" t="s">
        <v>713</v>
      </c>
      <c r="EN1593" t="s">
        <v>846</v>
      </c>
    </row>
    <row r="1594" spans="142:144" x14ac:dyDescent="0.25">
      <c r="EL1594">
        <v>2000</v>
      </c>
      <c r="EM1594" t="s">
        <v>714</v>
      </c>
      <c r="EN1594" t="s">
        <v>846</v>
      </c>
    </row>
    <row r="1595" spans="142:144" x14ac:dyDescent="0.25">
      <c r="EL1595">
        <v>2000</v>
      </c>
      <c r="EM1595" t="s">
        <v>705</v>
      </c>
      <c r="EN1595" t="s">
        <v>846</v>
      </c>
    </row>
    <row r="1596" spans="142:144" x14ac:dyDescent="0.25">
      <c r="EL1596">
        <v>2000</v>
      </c>
      <c r="EM1596" t="s">
        <v>715</v>
      </c>
      <c r="EN1596" t="s">
        <v>846</v>
      </c>
    </row>
    <row r="1597" spans="142:144" x14ac:dyDescent="0.25">
      <c r="EL1597">
        <v>2000</v>
      </c>
      <c r="EM1597" t="s">
        <v>718</v>
      </c>
      <c r="EN1597" t="s">
        <v>846</v>
      </c>
    </row>
    <row r="1598" spans="142:144" x14ac:dyDescent="0.25">
      <c r="EL1598">
        <v>2000</v>
      </c>
      <c r="EM1598" t="s">
        <v>716</v>
      </c>
      <c r="EN1598" t="s">
        <v>846</v>
      </c>
    </row>
    <row r="1599" spans="142:144" x14ac:dyDescent="0.25">
      <c r="EL1599">
        <v>2000</v>
      </c>
      <c r="EM1599" t="s">
        <v>708</v>
      </c>
      <c r="EN1599" t="s">
        <v>846</v>
      </c>
    </row>
    <row r="1600" spans="142:144" x14ac:dyDescent="0.25">
      <c r="EL1600">
        <v>2000</v>
      </c>
      <c r="EM1600" t="s">
        <v>709</v>
      </c>
      <c r="EN1600" t="s">
        <v>846</v>
      </c>
    </row>
    <row r="1601" spans="142:144" x14ac:dyDescent="0.25">
      <c r="EL1601">
        <v>2000</v>
      </c>
      <c r="EM1601" t="s">
        <v>710</v>
      </c>
      <c r="EN1601" t="s">
        <v>846</v>
      </c>
    </row>
    <row r="1602" spans="142:144" x14ac:dyDescent="0.25">
      <c r="EL1602">
        <v>2000</v>
      </c>
      <c r="EM1602" t="s">
        <v>711</v>
      </c>
      <c r="EN1602" t="s">
        <v>846</v>
      </c>
    </row>
    <row r="1603" spans="142:144" x14ac:dyDescent="0.25">
      <c r="EL1603">
        <v>2000</v>
      </c>
      <c r="EM1603" t="s">
        <v>712</v>
      </c>
      <c r="EN1603" t="s">
        <v>846</v>
      </c>
    </row>
    <row r="1604" spans="142:144" x14ac:dyDescent="0.25">
      <c r="EL1604">
        <v>2001</v>
      </c>
      <c r="EM1604" t="s">
        <v>719</v>
      </c>
      <c r="EN1604" t="s">
        <v>846</v>
      </c>
    </row>
    <row r="1605" spans="142:144" x14ac:dyDescent="0.25">
      <c r="EL1605">
        <v>2001</v>
      </c>
      <c r="EM1605" t="s">
        <v>713</v>
      </c>
      <c r="EN1605" t="s">
        <v>846</v>
      </c>
    </row>
    <row r="1606" spans="142:144" x14ac:dyDescent="0.25">
      <c r="EL1606">
        <v>2001</v>
      </c>
      <c r="EM1606" t="s">
        <v>714</v>
      </c>
      <c r="EN1606" t="s">
        <v>846</v>
      </c>
    </row>
    <row r="1607" spans="142:144" x14ac:dyDescent="0.25">
      <c r="EL1607">
        <v>2001</v>
      </c>
      <c r="EM1607" t="s">
        <v>705</v>
      </c>
      <c r="EN1607" t="s">
        <v>846</v>
      </c>
    </row>
    <row r="1608" spans="142:144" x14ac:dyDescent="0.25">
      <c r="EL1608">
        <v>2001</v>
      </c>
      <c r="EM1608" t="s">
        <v>715</v>
      </c>
      <c r="EN1608" t="s">
        <v>846</v>
      </c>
    </row>
    <row r="1609" spans="142:144" x14ac:dyDescent="0.25">
      <c r="EL1609">
        <v>2001</v>
      </c>
      <c r="EM1609" t="s">
        <v>718</v>
      </c>
      <c r="EN1609" t="s">
        <v>846</v>
      </c>
    </row>
    <row r="1610" spans="142:144" x14ac:dyDescent="0.25">
      <c r="EL1610">
        <v>2001</v>
      </c>
      <c r="EM1610" t="s">
        <v>716</v>
      </c>
      <c r="EN1610" t="s">
        <v>846</v>
      </c>
    </row>
    <row r="1611" spans="142:144" x14ac:dyDescent="0.25">
      <c r="EL1611">
        <v>2001</v>
      </c>
      <c r="EM1611" t="s">
        <v>708</v>
      </c>
      <c r="EN1611" t="s">
        <v>846</v>
      </c>
    </row>
    <row r="1612" spans="142:144" x14ac:dyDescent="0.25">
      <c r="EL1612">
        <v>2001</v>
      </c>
      <c r="EM1612" t="s">
        <v>709</v>
      </c>
      <c r="EN1612" t="s">
        <v>846</v>
      </c>
    </row>
    <row r="1613" spans="142:144" x14ac:dyDescent="0.25">
      <c r="EL1613">
        <v>2001</v>
      </c>
      <c r="EM1613" t="s">
        <v>710</v>
      </c>
      <c r="EN1613" t="s">
        <v>846</v>
      </c>
    </row>
    <row r="1614" spans="142:144" x14ac:dyDescent="0.25">
      <c r="EL1614">
        <v>2001</v>
      </c>
      <c r="EM1614" t="s">
        <v>711</v>
      </c>
      <c r="EN1614" t="s">
        <v>846</v>
      </c>
    </row>
    <row r="1615" spans="142:144" x14ac:dyDescent="0.25">
      <c r="EL1615">
        <v>2001</v>
      </c>
      <c r="EM1615" t="s">
        <v>712</v>
      </c>
      <c r="EN1615" t="s">
        <v>846</v>
      </c>
    </row>
    <row r="1616" spans="142:144" x14ac:dyDescent="0.25">
      <c r="EL1616">
        <v>2002</v>
      </c>
      <c r="EM1616" t="s">
        <v>719</v>
      </c>
      <c r="EN1616" t="s">
        <v>846</v>
      </c>
    </row>
    <row r="1617" spans="142:144" x14ac:dyDescent="0.25">
      <c r="EL1617">
        <v>2002</v>
      </c>
      <c r="EM1617" t="s">
        <v>713</v>
      </c>
      <c r="EN1617" t="s">
        <v>846</v>
      </c>
    </row>
    <row r="1618" spans="142:144" x14ac:dyDescent="0.25">
      <c r="EL1618">
        <v>2002</v>
      </c>
      <c r="EM1618" t="s">
        <v>714</v>
      </c>
      <c r="EN1618" t="s">
        <v>846</v>
      </c>
    </row>
    <row r="1619" spans="142:144" x14ac:dyDescent="0.25">
      <c r="EL1619">
        <v>2002</v>
      </c>
      <c r="EM1619" t="s">
        <v>705</v>
      </c>
      <c r="EN1619" t="s">
        <v>846</v>
      </c>
    </row>
    <row r="1620" spans="142:144" x14ac:dyDescent="0.25">
      <c r="EL1620">
        <v>2002</v>
      </c>
      <c r="EM1620" t="s">
        <v>715</v>
      </c>
      <c r="EN1620" t="s">
        <v>846</v>
      </c>
    </row>
    <row r="1621" spans="142:144" x14ac:dyDescent="0.25">
      <c r="EL1621">
        <v>2002</v>
      </c>
      <c r="EM1621" t="s">
        <v>718</v>
      </c>
      <c r="EN1621" t="s">
        <v>846</v>
      </c>
    </row>
    <row r="1622" spans="142:144" x14ac:dyDescent="0.25">
      <c r="EL1622">
        <v>2002</v>
      </c>
      <c r="EM1622" t="s">
        <v>716</v>
      </c>
      <c r="EN1622" t="s">
        <v>846</v>
      </c>
    </row>
    <row r="1623" spans="142:144" x14ac:dyDescent="0.25">
      <c r="EL1623">
        <v>2002</v>
      </c>
      <c r="EM1623" t="s">
        <v>708</v>
      </c>
      <c r="EN1623" t="s">
        <v>846</v>
      </c>
    </row>
    <row r="1624" spans="142:144" x14ac:dyDescent="0.25">
      <c r="EL1624">
        <v>2002</v>
      </c>
      <c r="EM1624" t="s">
        <v>709</v>
      </c>
      <c r="EN1624" t="s">
        <v>846</v>
      </c>
    </row>
    <row r="1625" spans="142:144" x14ac:dyDescent="0.25">
      <c r="EL1625">
        <v>2002</v>
      </c>
      <c r="EM1625" t="s">
        <v>710</v>
      </c>
      <c r="EN1625" t="s">
        <v>846</v>
      </c>
    </row>
    <row r="1626" spans="142:144" x14ac:dyDescent="0.25">
      <c r="EL1626">
        <v>2002</v>
      </c>
      <c r="EM1626" t="s">
        <v>711</v>
      </c>
      <c r="EN1626" t="s">
        <v>846</v>
      </c>
    </row>
    <row r="1627" spans="142:144" x14ac:dyDescent="0.25">
      <c r="EL1627">
        <v>2002</v>
      </c>
      <c r="EM1627" t="s">
        <v>712</v>
      </c>
      <c r="EN1627" t="s">
        <v>846</v>
      </c>
    </row>
    <row r="1628" spans="142:144" x14ac:dyDescent="0.25">
      <c r="EL1628">
        <v>2003</v>
      </c>
      <c r="EM1628" t="s">
        <v>719</v>
      </c>
      <c r="EN1628" t="s">
        <v>846</v>
      </c>
    </row>
    <row r="1629" spans="142:144" x14ac:dyDescent="0.25">
      <c r="EL1629">
        <v>2003</v>
      </c>
      <c r="EM1629" t="s">
        <v>713</v>
      </c>
      <c r="EN1629" t="s">
        <v>846</v>
      </c>
    </row>
    <row r="1630" spans="142:144" x14ac:dyDescent="0.25">
      <c r="EL1630">
        <v>2003</v>
      </c>
      <c r="EM1630" t="s">
        <v>714</v>
      </c>
      <c r="EN1630" t="s">
        <v>846</v>
      </c>
    </row>
    <row r="1631" spans="142:144" x14ac:dyDescent="0.25">
      <c r="EL1631">
        <v>2003</v>
      </c>
      <c r="EM1631" t="s">
        <v>705</v>
      </c>
      <c r="EN1631" t="s">
        <v>846</v>
      </c>
    </row>
    <row r="1632" spans="142:144" x14ac:dyDescent="0.25">
      <c r="EL1632">
        <v>2003</v>
      </c>
      <c r="EM1632" t="s">
        <v>715</v>
      </c>
      <c r="EN1632" t="s">
        <v>846</v>
      </c>
    </row>
    <row r="1633" spans="142:144" x14ac:dyDescent="0.25">
      <c r="EL1633">
        <v>2003</v>
      </c>
      <c r="EM1633" t="s">
        <v>718</v>
      </c>
      <c r="EN1633" t="s">
        <v>846</v>
      </c>
    </row>
    <row r="1634" spans="142:144" x14ac:dyDescent="0.25">
      <c r="EL1634">
        <v>2003</v>
      </c>
      <c r="EM1634" t="s">
        <v>716</v>
      </c>
      <c r="EN1634" t="s">
        <v>846</v>
      </c>
    </row>
    <row r="1635" spans="142:144" x14ac:dyDescent="0.25">
      <c r="EL1635">
        <v>2003</v>
      </c>
      <c r="EM1635" t="s">
        <v>708</v>
      </c>
      <c r="EN1635" t="s">
        <v>846</v>
      </c>
    </row>
    <row r="1636" spans="142:144" x14ac:dyDescent="0.25">
      <c r="EL1636">
        <v>2003</v>
      </c>
      <c r="EM1636" t="s">
        <v>709</v>
      </c>
      <c r="EN1636" t="s">
        <v>846</v>
      </c>
    </row>
    <row r="1637" spans="142:144" x14ac:dyDescent="0.25">
      <c r="EL1637">
        <v>2003</v>
      </c>
      <c r="EM1637" t="s">
        <v>710</v>
      </c>
      <c r="EN1637" t="s">
        <v>846</v>
      </c>
    </row>
    <row r="1638" spans="142:144" x14ac:dyDescent="0.25">
      <c r="EL1638">
        <v>2003</v>
      </c>
      <c r="EM1638" t="s">
        <v>711</v>
      </c>
      <c r="EN1638" t="s">
        <v>846</v>
      </c>
    </row>
    <row r="1639" spans="142:144" x14ac:dyDescent="0.25">
      <c r="EL1639">
        <v>2003</v>
      </c>
      <c r="EM1639" t="s">
        <v>712</v>
      </c>
      <c r="EN1639" t="s">
        <v>846</v>
      </c>
    </row>
    <row r="1640" spans="142:144" x14ac:dyDescent="0.25">
      <c r="EL1640">
        <v>2004</v>
      </c>
      <c r="EM1640" t="s">
        <v>719</v>
      </c>
      <c r="EN1640" t="s">
        <v>846</v>
      </c>
    </row>
    <row r="1641" spans="142:144" x14ac:dyDescent="0.25">
      <c r="EL1641">
        <v>2004</v>
      </c>
      <c r="EM1641" t="s">
        <v>713</v>
      </c>
      <c r="EN1641" t="s">
        <v>846</v>
      </c>
    </row>
    <row r="1642" spans="142:144" x14ac:dyDescent="0.25">
      <c r="EL1642">
        <v>2004</v>
      </c>
      <c r="EM1642" t="s">
        <v>714</v>
      </c>
      <c r="EN1642" t="s">
        <v>846</v>
      </c>
    </row>
    <row r="1643" spans="142:144" x14ac:dyDescent="0.25">
      <c r="EL1643">
        <v>2004</v>
      </c>
      <c r="EM1643" t="s">
        <v>705</v>
      </c>
      <c r="EN1643" t="s">
        <v>846</v>
      </c>
    </row>
    <row r="1644" spans="142:144" x14ac:dyDescent="0.25">
      <c r="EL1644">
        <v>2004</v>
      </c>
      <c r="EM1644" t="s">
        <v>715</v>
      </c>
      <c r="EN1644" t="s">
        <v>846</v>
      </c>
    </row>
    <row r="1645" spans="142:144" x14ac:dyDescent="0.25">
      <c r="EL1645">
        <v>2004</v>
      </c>
      <c r="EM1645" t="s">
        <v>718</v>
      </c>
      <c r="EN1645" t="s">
        <v>846</v>
      </c>
    </row>
    <row r="1646" spans="142:144" x14ac:dyDescent="0.25">
      <c r="EL1646">
        <v>2004</v>
      </c>
      <c r="EM1646" t="s">
        <v>716</v>
      </c>
      <c r="EN1646" t="s">
        <v>846</v>
      </c>
    </row>
    <row r="1647" spans="142:144" x14ac:dyDescent="0.25">
      <c r="EL1647">
        <v>2004</v>
      </c>
      <c r="EM1647" t="s">
        <v>708</v>
      </c>
      <c r="EN1647" t="s">
        <v>846</v>
      </c>
    </row>
    <row r="1648" spans="142:144" x14ac:dyDescent="0.25">
      <c r="EL1648">
        <v>2004</v>
      </c>
      <c r="EM1648" t="s">
        <v>709</v>
      </c>
      <c r="EN1648" t="s">
        <v>846</v>
      </c>
    </row>
    <row r="1649" spans="142:144" x14ac:dyDescent="0.25">
      <c r="EL1649">
        <v>2004</v>
      </c>
      <c r="EM1649" t="s">
        <v>710</v>
      </c>
      <c r="EN1649" t="s">
        <v>846</v>
      </c>
    </row>
    <row r="1650" spans="142:144" x14ac:dyDescent="0.25">
      <c r="EL1650">
        <v>2004</v>
      </c>
      <c r="EM1650" t="s">
        <v>711</v>
      </c>
      <c r="EN1650" t="s">
        <v>846</v>
      </c>
    </row>
    <row r="1651" spans="142:144" x14ac:dyDescent="0.25">
      <c r="EL1651">
        <v>2004</v>
      </c>
      <c r="EM1651" t="s">
        <v>712</v>
      </c>
      <c r="EN1651" t="s">
        <v>846</v>
      </c>
    </row>
    <row r="1652" spans="142:144" x14ac:dyDescent="0.25">
      <c r="EL1652">
        <v>2005</v>
      </c>
      <c r="EM1652" t="s">
        <v>719</v>
      </c>
      <c r="EN1652" t="s">
        <v>846</v>
      </c>
    </row>
    <row r="1653" spans="142:144" x14ac:dyDescent="0.25">
      <c r="EL1653">
        <v>2005</v>
      </c>
      <c r="EM1653" t="s">
        <v>713</v>
      </c>
      <c r="EN1653" t="s">
        <v>846</v>
      </c>
    </row>
    <row r="1654" spans="142:144" x14ac:dyDescent="0.25">
      <c r="EL1654">
        <v>2005</v>
      </c>
      <c r="EM1654" t="s">
        <v>714</v>
      </c>
      <c r="EN1654" t="s">
        <v>846</v>
      </c>
    </row>
    <row r="1655" spans="142:144" x14ac:dyDescent="0.25">
      <c r="EL1655">
        <v>2005</v>
      </c>
      <c r="EM1655" t="s">
        <v>705</v>
      </c>
      <c r="EN1655" t="s">
        <v>846</v>
      </c>
    </row>
    <row r="1656" spans="142:144" x14ac:dyDescent="0.25">
      <c r="EL1656">
        <v>2005</v>
      </c>
      <c r="EM1656" t="s">
        <v>715</v>
      </c>
      <c r="EN1656" t="s">
        <v>846</v>
      </c>
    </row>
    <row r="1657" spans="142:144" x14ac:dyDescent="0.25">
      <c r="EL1657">
        <v>2005</v>
      </c>
      <c r="EM1657" t="s">
        <v>718</v>
      </c>
      <c r="EN1657" t="s">
        <v>846</v>
      </c>
    </row>
    <row r="1658" spans="142:144" x14ac:dyDescent="0.25">
      <c r="EL1658">
        <v>2005</v>
      </c>
      <c r="EM1658" t="s">
        <v>716</v>
      </c>
      <c r="EN1658" t="s">
        <v>846</v>
      </c>
    </row>
    <row r="1659" spans="142:144" x14ac:dyDescent="0.25">
      <c r="EL1659">
        <v>2005</v>
      </c>
      <c r="EM1659" t="s">
        <v>708</v>
      </c>
      <c r="EN1659" t="s">
        <v>846</v>
      </c>
    </row>
    <row r="1660" spans="142:144" x14ac:dyDescent="0.25">
      <c r="EL1660">
        <v>2005</v>
      </c>
      <c r="EM1660" t="s">
        <v>709</v>
      </c>
      <c r="EN1660" t="s">
        <v>846</v>
      </c>
    </row>
    <row r="1661" spans="142:144" x14ac:dyDescent="0.25">
      <c r="EL1661">
        <v>2005</v>
      </c>
      <c r="EM1661" t="s">
        <v>710</v>
      </c>
      <c r="EN1661" t="s">
        <v>846</v>
      </c>
    </row>
    <row r="1662" spans="142:144" x14ac:dyDescent="0.25">
      <c r="EL1662">
        <v>2005</v>
      </c>
      <c r="EM1662" t="s">
        <v>711</v>
      </c>
      <c r="EN1662" t="s">
        <v>846</v>
      </c>
    </row>
    <row r="1663" spans="142:144" x14ac:dyDescent="0.25">
      <c r="EL1663">
        <v>2005</v>
      </c>
      <c r="EM1663" t="s">
        <v>712</v>
      </c>
      <c r="EN1663" t="s">
        <v>846</v>
      </c>
    </row>
    <row r="1664" spans="142:144" x14ac:dyDescent="0.25">
      <c r="EL1664">
        <v>2006</v>
      </c>
      <c r="EM1664" t="s">
        <v>719</v>
      </c>
      <c r="EN1664" t="s">
        <v>846</v>
      </c>
    </row>
    <row r="1665" spans="142:144" x14ac:dyDescent="0.25">
      <c r="EL1665">
        <v>2006</v>
      </c>
      <c r="EM1665" t="s">
        <v>713</v>
      </c>
      <c r="EN1665" t="s">
        <v>846</v>
      </c>
    </row>
    <row r="1666" spans="142:144" x14ac:dyDescent="0.25">
      <c r="EL1666">
        <v>2006</v>
      </c>
      <c r="EM1666" t="s">
        <v>714</v>
      </c>
      <c r="EN1666" t="s">
        <v>846</v>
      </c>
    </row>
    <row r="1667" spans="142:144" x14ac:dyDescent="0.25">
      <c r="EL1667">
        <v>2006</v>
      </c>
      <c r="EM1667" t="s">
        <v>705</v>
      </c>
      <c r="EN1667" t="s">
        <v>846</v>
      </c>
    </row>
    <row r="1668" spans="142:144" x14ac:dyDescent="0.25">
      <c r="EL1668">
        <v>2006</v>
      </c>
      <c r="EM1668" t="s">
        <v>715</v>
      </c>
      <c r="EN1668" t="s">
        <v>846</v>
      </c>
    </row>
    <row r="1669" spans="142:144" x14ac:dyDescent="0.25">
      <c r="EL1669">
        <v>2006</v>
      </c>
      <c r="EM1669" t="s">
        <v>718</v>
      </c>
      <c r="EN1669" t="s">
        <v>846</v>
      </c>
    </row>
    <row r="1670" spans="142:144" x14ac:dyDescent="0.25">
      <c r="EL1670">
        <v>2006</v>
      </c>
      <c r="EM1670" t="s">
        <v>716</v>
      </c>
      <c r="EN1670" t="s">
        <v>846</v>
      </c>
    </row>
    <row r="1671" spans="142:144" x14ac:dyDescent="0.25">
      <c r="EL1671">
        <v>2006</v>
      </c>
      <c r="EM1671" t="s">
        <v>708</v>
      </c>
      <c r="EN1671" t="s">
        <v>846</v>
      </c>
    </row>
    <row r="1672" spans="142:144" x14ac:dyDescent="0.25">
      <c r="EL1672">
        <v>2006</v>
      </c>
      <c r="EM1672" t="s">
        <v>709</v>
      </c>
      <c r="EN1672" t="s">
        <v>846</v>
      </c>
    </row>
    <row r="1673" spans="142:144" x14ac:dyDescent="0.25">
      <c r="EL1673">
        <v>2006</v>
      </c>
      <c r="EM1673" t="s">
        <v>710</v>
      </c>
      <c r="EN1673" t="s">
        <v>846</v>
      </c>
    </row>
    <row r="1674" spans="142:144" x14ac:dyDescent="0.25">
      <c r="EL1674">
        <v>2006</v>
      </c>
      <c r="EM1674" t="s">
        <v>711</v>
      </c>
      <c r="EN1674" t="s">
        <v>846</v>
      </c>
    </row>
    <row r="1675" spans="142:144" x14ac:dyDescent="0.25">
      <c r="EL1675">
        <v>2006</v>
      </c>
      <c r="EM1675" t="s">
        <v>712</v>
      </c>
      <c r="EN1675" t="s">
        <v>846</v>
      </c>
    </row>
    <row r="1676" spans="142:144" x14ac:dyDescent="0.25">
      <c r="EL1676">
        <v>2007</v>
      </c>
      <c r="EM1676" t="s">
        <v>719</v>
      </c>
      <c r="EN1676" t="s">
        <v>846</v>
      </c>
    </row>
    <row r="1677" spans="142:144" x14ac:dyDescent="0.25">
      <c r="EL1677">
        <v>2007</v>
      </c>
      <c r="EM1677" t="s">
        <v>713</v>
      </c>
      <c r="EN1677" t="s">
        <v>846</v>
      </c>
    </row>
    <row r="1678" spans="142:144" x14ac:dyDescent="0.25">
      <c r="EL1678">
        <v>2007</v>
      </c>
      <c r="EM1678" t="s">
        <v>714</v>
      </c>
      <c r="EN1678" t="s">
        <v>846</v>
      </c>
    </row>
    <row r="1679" spans="142:144" x14ac:dyDescent="0.25">
      <c r="EL1679">
        <v>2007</v>
      </c>
      <c r="EM1679" t="s">
        <v>705</v>
      </c>
      <c r="EN1679" t="s">
        <v>846</v>
      </c>
    </row>
    <row r="1680" spans="142:144" x14ac:dyDescent="0.25">
      <c r="EL1680">
        <v>2007</v>
      </c>
      <c r="EM1680" t="s">
        <v>715</v>
      </c>
      <c r="EN1680" t="s">
        <v>846</v>
      </c>
    </row>
    <row r="1681" spans="142:144" x14ac:dyDescent="0.25">
      <c r="EL1681">
        <v>2007</v>
      </c>
      <c r="EM1681" t="s">
        <v>718</v>
      </c>
      <c r="EN1681" t="s">
        <v>846</v>
      </c>
    </row>
    <row r="1682" spans="142:144" x14ac:dyDescent="0.25">
      <c r="EL1682">
        <v>2007</v>
      </c>
      <c r="EM1682" t="s">
        <v>716</v>
      </c>
      <c r="EN1682" t="s">
        <v>846</v>
      </c>
    </row>
    <row r="1683" spans="142:144" x14ac:dyDescent="0.25">
      <c r="EL1683">
        <v>2007</v>
      </c>
      <c r="EM1683" t="s">
        <v>708</v>
      </c>
      <c r="EN1683" t="s">
        <v>846</v>
      </c>
    </row>
    <row r="1684" spans="142:144" x14ac:dyDescent="0.25">
      <c r="EL1684">
        <v>2007</v>
      </c>
      <c r="EM1684" t="s">
        <v>709</v>
      </c>
      <c r="EN1684" t="s">
        <v>846</v>
      </c>
    </row>
    <row r="1685" spans="142:144" x14ac:dyDescent="0.25">
      <c r="EL1685">
        <v>2007</v>
      </c>
      <c r="EM1685" t="s">
        <v>710</v>
      </c>
      <c r="EN1685" t="s">
        <v>846</v>
      </c>
    </row>
    <row r="1686" spans="142:144" x14ac:dyDescent="0.25">
      <c r="EL1686">
        <v>2007</v>
      </c>
      <c r="EM1686" t="s">
        <v>711</v>
      </c>
      <c r="EN1686" t="s">
        <v>846</v>
      </c>
    </row>
    <row r="1687" spans="142:144" x14ac:dyDescent="0.25">
      <c r="EL1687">
        <v>2007</v>
      </c>
      <c r="EM1687" t="s">
        <v>712</v>
      </c>
      <c r="EN1687" t="s">
        <v>846</v>
      </c>
    </row>
    <row r="1688" spans="142:144" x14ac:dyDescent="0.25">
      <c r="EL1688">
        <v>2008</v>
      </c>
      <c r="EM1688" t="s">
        <v>719</v>
      </c>
      <c r="EN1688" t="s">
        <v>846</v>
      </c>
    </row>
    <row r="1689" spans="142:144" x14ac:dyDescent="0.25">
      <c r="EL1689">
        <v>2008</v>
      </c>
      <c r="EM1689" t="s">
        <v>713</v>
      </c>
      <c r="EN1689" t="s">
        <v>846</v>
      </c>
    </row>
    <row r="1690" spans="142:144" x14ac:dyDescent="0.25">
      <c r="EL1690">
        <v>2008</v>
      </c>
      <c r="EM1690" t="s">
        <v>714</v>
      </c>
      <c r="EN1690" t="s">
        <v>846</v>
      </c>
    </row>
    <row r="1691" spans="142:144" x14ac:dyDescent="0.25">
      <c r="EL1691">
        <v>2008</v>
      </c>
      <c r="EM1691" t="s">
        <v>705</v>
      </c>
      <c r="EN1691" t="s">
        <v>846</v>
      </c>
    </row>
    <row r="1692" spans="142:144" x14ac:dyDescent="0.25">
      <c r="EL1692">
        <v>2008</v>
      </c>
      <c r="EM1692" t="s">
        <v>715</v>
      </c>
      <c r="EN1692" t="s">
        <v>846</v>
      </c>
    </row>
    <row r="1693" spans="142:144" x14ac:dyDescent="0.25">
      <c r="EL1693">
        <v>2008</v>
      </c>
      <c r="EM1693" t="s">
        <v>718</v>
      </c>
      <c r="EN1693" t="s">
        <v>846</v>
      </c>
    </row>
    <row r="1694" spans="142:144" x14ac:dyDescent="0.25">
      <c r="EL1694">
        <v>2008</v>
      </c>
      <c r="EM1694" t="s">
        <v>716</v>
      </c>
      <c r="EN1694" t="s">
        <v>846</v>
      </c>
    </row>
    <row r="1695" spans="142:144" x14ac:dyDescent="0.25">
      <c r="EL1695">
        <v>2008</v>
      </c>
      <c r="EM1695" t="s">
        <v>708</v>
      </c>
      <c r="EN1695" t="s">
        <v>846</v>
      </c>
    </row>
    <row r="1696" spans="142:144" x14ac:dyDescent="0.25">
      <c r="EL1696">
        <v>2008</v>
      </c>
      <c r="EM1696" t="s">
        <v>709</v>
      </c>
      <c r="EN1696" t="s">
        <v>846</v>
      </c>
    </row>
    <row r="1697" spans="142:144" x14ac:dyDescent="0.25">
      <c r="EL1697">
        <v>2008</v>
      </c>
      <c r="EM1697" t="s">
        <v>710</v>
      </c>
      <c r="EN1697" t="s">
        <v>846</v>
      </c>
    </row>
    <row r="1698" spans="142:144" x14ac:dyDescent="0.25">
      <c r="EL1698">
        <v>2008</v>
      </c>
      <c r="EM1698" t="s">
        <v>711</v>
      </c>
      <c r="EN1698" t="s">
        <v>846</v>
      </c>
    </row>
    <row r="1699" spans="142:144" x14ac:dyDescent="0.25">
      <c r="EL1699">
        <v>2008</v>
      </c>
      <c r="EM1699" t="s">
        <v>712</v>
      </c>
      <c r="EN1699" t="s">
        <v>846</v>
      </c>
    </row>
    <row r="1700" spans="142:144" x14ac:dyDescent="0.25">
      <c r="EL1700">
        <v>2009</v>
      </c>
      <c r="EM1700" t="s">
        <v>719</v>
      </c>
      <c r="EN1700" t="s">
        <v>846</v>
      </c>
    </row>
    <row r="1701" spans="142:144" x14ac:dyDescent="0.25">
      <c r="EL1701">
        <v>2009</v>
      </c>
      <c r="EM1701" t="s">
        <v>713</v>
      </c>
      <c r="EN1701" t="s">
        <v>846</v>
      </c>
    </row>
    <row r="1702" spans="142:144" x14ac:dyDescent="0.25">
      <c r="EL1702">
        <v>2009</v>
      </c>
      <c r="EM1702" t="s">
        <v>714</v>
      </c>
      <c r="EN1702" t="s">
        <v>846</v>
      </c>
    </row>
    <row r="1703" spans="142:144" x14ac:dyDescent="0.25">
      <c r="EL1703">
        <v>2009</v>
      </c>
      <c r="EM1703" t="s">
        <v>705</v>
      </c>
      <c r="EN1703" t="s">
        <v>846</v>
      </c>
    </row>
    <row r="1704" spans="142:144" x14ac:dyDescent="0.25">
      <c r="EL1704">
        <v>2009</v>
      </c>
      <c r="EM1704" t="s">
        <v>715</v>
      </c>
      <c r="EN1704" t="s">
        <v>846</v>
      </c>
    </row>
    <row r="1705" spans="142:144" x14ac:dyDescent="0.25">
      <c r="EL1705">
        <v>2009</v>
      </c>
      <c r="EM1705" t="s">
        <v>718</v>
      </c>
      <c r="EN1705" t="s">
        <v>846</v>
      </c>
    </row>
    <row r="1706" spans="142:144" x14ac:dyDescent="0.25">
      <c r="EL1706">
        <v>2009</v>
      </c>
      <c r="EM1706" t="s">
        <v>716</v>
      </c>
      <c r="EN1706" t="s">
        <v>846</v>
      </c>
    </row>
    <row r="1707" spans="142:144" x14ac:dyDescent="0.25">
      <c r="EL1707">
        <v>2009</v>
      </c>
      <c r="EM1707" t="s">
        <v>708</v>
      </c>
      <c r="EN1707" t="s">
        <v>846</v>
      </c>
    </row>
    <row r="1708" spans="142:144" x14ac:dyDescent="0.25">
      <c r="EL1708">
        <v>2009</v>
      </c>
      <c r="EM1708" t="s">
        <v>709</v>
      </c>
      <c r="EN1708" t="s">
        <v>846</v>
      </c>
    </row>
    <row r="1709" spans="142:144" x14ac:dyDescent="0.25">
      <c r="EL1709">
        <v>2009</v>
      </c>
      <c r="EM1709" t="s">
        <v>710</v>
      </c>
      <c r="EN1709" t="s">
        <v>846</v>
      </c>
    </row>
    <row r="1710" spans="142:144" x14ac:dyDescent="0.25">
      <c r="EL1710">
        <v>2009</v>
      </c>
      <c r="EM1710" t="s">
        <v>711</v>
      </c>
      <c r="EN1710" t="s">
        <v>846</v>
      </c>
    </row>
    <row r="1711" spans="142:144" x14ac:dyDescent="0.25">
      <c r="EL1711">
        <v>2009</v>
      </c>
      <c r="EM1711" t="s">
        <v>712</v>
      </c>
      <c r="EN1711" t="s">
        <v>846</v>
      </c>
    </row>
    <row r="1712" spans="142:144" x14ac:dyDescent="0.25">
      <c r="EL1712">
        <v>2010</v>
      </c>
      <c r="EM1712" t="s">
        <v>719</v>
      </c>
      <c r="EN1712" t="s">
        <v>846</v>
      </c>
    </row>
    <row r="1713" spans="142:144" x14ac:dyDescent="0.25">
      <c r="EL1713">
        <v>2010</v>
      </c>
      <c r="EM1713" t="s">
        <v>713</v>
      </c>
      <c r="EN1713" t="s">
        <v>846</v>
      </c>
    </row>
    <row r="1714" spans="142:144" x14ac:dyDescent="0.25">
      <c r="EL1714">
        <v>2010</v>
      </c>
      <c r="EM1714" t="s">
        <v>714</v>
      </c>
      <c r="EN1714" t="s">
        <v>846</v>
      </c>
    </row>
    <row r="1715" spans="142:144" x14ac:dyDescent="0.25">
      <c r="EL1715">
        <v>2010</v>
      </c>
      <c r="EM1715" t="s">
        <v>705</v>
      </c>
      <c r="EN1715" t="s">
        <v>846</v>
      </c>
    </row>
    <row r="1716" spans="142:144" x14ac:dyDescent="0.25">
      <c r="EL1716">
        <v>2010</v>
      </c>
      <c r="EM1716" t="s">
        <v>715</v>
      </c>
      <c r="EN1716" t="s">
        <v>846</v>
      </c>
    </row>
    <row r="1717" spans="142:144" x14ac:dyDescent="0.25">
      <c r="EL1717">
        <v>2010</v>
      </c>
      <c r="EM1717" t="s">
        <v>718</v>
      </c>
      <c r="EN1717" t="s">
        <v>846</v>
      </c>
    </row>
    <row r="1718" spans="142:144" x14ac:dyDescent="0.25">
      <c r="EL1718">
        <v>2010</v>
      </c>
      <c r="EM1718" t="s">
        <v>716</v>
      </c>
      <c r="EN1718" t="s">
        <v>846</v>
      </c>
    </row>
    <row r="1719" spans="142:144" x14ac:dyDescent="0.25">
      <c r="EL1719">
        <v>2010</v>
      </c>
      <c r="EM1719" t="s">
        <v>708</v>
      </c>
      <c r="EN1719" t="s">
        <v>846</v>
      </c>
    </row>
    <row r="1720" spans="142:144" x14ac:dyDescent="0.25">
      <c r="EL1720">
        <v>2010</v>
      </c>
      <c r="EM1720" t="s">
        <v>709</v>
      </c>
      <c r="EN1720" t="s">
        <v>846</v>
      </c>
    </row>
    <row r="1721" spans="142:144" x14ac:dyDescent="0.25">
      <c r="EL1721">
        <v>2010</v>
      </c>
      <c r="EM1721" t="s">
        <v>710</v>
      </c>
      <c r="EN1721" t="s">
        <v>846</v>
      </c>
    </row>
    <row r="1722" spans="142:144" x14ac:dyDescent="0.25">
      <c r="EL1722">
        <v>2010</v>
      </c>
      <c r="EM1722" t="s">
        <v>711</v>
      </c>
      <c r="EN1722" t="s">
        <v>846</v>
      </c>
    </row>
    <row r="1723" spans="142:144" x14ac:dyDescent="0.25">
      <c r="EL1723">
        <v>2010</v>
      </c>
      <c r="EM1723" t="s">
        <v>712</v>
      </c>
      <c r="EN1723" t="s">
        <v>846</v>
      </c>
    </row>
    <row r="1724" spans="142:144" x14ac:dyDescent="0.25">
      <c r="EL1724">
        <v>2011</v>
      </c>
      <c r="EM1724" t="s">
        <v>719</v>
      </c>
      <c r="EN1724" t="s">
        <v>846</v>
      </c>
    </row>
    <row r="1725" spans="142:144" x14ac:dyDescent="0.25">
      <c r="EL1725">
        <v>2011</v>
      </c>
      <c r="EM1725" t="s">
        <v>713</v>
      </c>
      <c r="EN1725" t="s">
        <v>846</v>
      </c>
    </row>
    <row r="1726" spans="142:144" x14ac:dyDescent="0.25">
      <c r="EL1726">
        <v>2011</v>
      </c>
      <c r="EM1726" t="s">
        <v>714</v>
      </c>
      <c r="EN1726" t="s">
        <v>846</v>
      </c>
    </row>
    <row r="1727" spans="142:144" x14ac:dyDescent="0.25">
      <c r="EL1727">
        <v>2011</v>
      </c>
      <c r="EM1727" t="s">
        <v>705</v>
      </c>
      <c r="EN1727" t="s">
        <v>846</v>
      </c>
    </row>
    <row r="1728" spans="142:144" x14ac:dyDescent="0.25">
      <c r="EL1728">
        <v>2011</v>
      </c>
      <c r="EM1728" t="s">
        <v>715</v>
      </c>
      <c r="EN1728" t="s">
        <v>846</v>
      </c>
    </row>
    <row r="1729" spans="142:144" x14ac:dyDescent="0.25">
      <c r="EL1729">
        <v>2011</v>
      </c>
      <c r="EM1729" t="s">
        <v>718</v>
      </c>
      <c r="EN1729" t="s">
        <v>846</v>
      </c>
    </row>
    <row r="1730" spans="142:144" x14ac:dyDescent="0.25">
      <c r="EL1730">
        <v>2011</v>
      </c>
      <c r="EM1730" t="s">
        <v>716</v>
      </c>
      <c r="EN1730" t="s">
        <v>846</v>
      </c>
    </row>
    <row r="1731" spans="142:144" x14ac:dyDescent="0.25">
      <c r="EL1731">
        <v>2011</v>
      </c>
      <c r="EM1731" t="s">
        <v>708</v>
      </c>
      <c r="EN1731" t="s">
        <v>846</v>
      </c>
    </row>
    <row r="1732" spans="142:144" x14ac:dyDescent="0.25">
      <c r="EL1732">
        <v>2011</v>
      </c>
      <c r="EM1732" t="s">
        <v>709</v>
      </c>
      <c r="EN1732" t="s">
        <v>846</v>
      </c>
    </row>
    <row r="1733" spans="142:144" x14ac:dyDescent="0.25">
      <c r="EL1733">
        <v>2011</v>
      </c>
      <c r="EM1733" t="s">
        <v>710</v>
      </c>
      <c r="EN1733" t="s">
        <v>846</v>
      </c>
    </row>
    <row r="1734" spans="142:144" x14ac:dyDescent="0.25">
      <c r="EL1734">
        <v>2011</v>
      </c>
      <c r="EM1734" t="s">
        <v>711</v>
      </c>
      <c r="EN1734" t="s">
        <v>846</v>
      </c>
    </row>
    <row r="1735" spans="142:144" x14ac:dyDescent="0.25">
      <c r="EL1735">
        <v>2011</v>
      </c>
      <c r="EM1735" t="s">
        <v>712</v>
      </c>
      <c r="EN1735" t="s">
        <v>846</v>
      </c>
    </row>
    <row r="1736" spans="142:144" x14ac:dyDescent="0.25">
      <c r="EL1736">
        <v>2012</v>
      </c>
      <c r="EM1736" t="s">
        <v>719</v>
      </c>
      <c r="EN1736" t="s">
        <v>846</v>
      </c>
    </row>
    <row r="1737" spans="142:144" x14ac:dyDescent="0.25">
      <c r="EL1737">
        <v>2012</v>
      </c>
      <c r="EM1737" t="s">
        <v>713</v>
      </c>
      <c r="EN1737" t="s">
        <v>846</v>
      </c>
    </row>
    <row r="1738" spans="142:144" x14ac:dyDescent="0.25">
      <c r="EL1738">
        <v>2012</v>
      </c>
      <c r="EM1738" t="s">
        <v>714</v>
      </c>
      <c r="EN1738" t="s">
        <v>846</v>
      </c>
    </row>
    <row r="1739" spans="142:144" x14ac:dyDescent="0.25">
      <c r="EL1739">
        <v>2012</v>
      </c>
      <c r="EM1739" t="s">
        <v>705</v>
      </c>
      <c r="EN1739" t="s">
        <v>846</v>
      </c>
    </row>
    <row r="1740" spans="142:144" x14ac:dyDescent="0.25">
      <c r="EL1740">
        <v>2012</v>
      </c>
      <c r="EM1740" t="s">
        <v>715</v>
      </c>
      <c r="EN1740" t="s">
        <v>846</v>
      </c>
    </row>
    <row r="1741" spans="142:144" x14ac:dyDescent="0.25">
      <c r="EL1741">
        <v>2012</v>
      </c>
      <c r="EM1741" t="s">
        <v>718</v>
      </c>
      <c r="EN1741" t="s">
        <v>846</v>
      </c>
    </row>
    <row r="1742" spans="142:144" x14ac:dyDescent="0.25">
      <c r="EL1742">
        <v>2012</v>
      </c>
      <c r="EM1742" t="s">
        <v>716</v>
      </c>
      <c r="EN1742" t="s">
        <v>846</v>
      </c>
    </row>
    <row r="1743" spans="142:144" x14ac:dyDescent="0.25">
      <c r="EL1743">
        <v>2012</v>
      </c>
      <c r="EM1743" t="s">
        <v>708</v>
      </c>
      <c r="EN1743" t="s">
        <v>846</v>
      </c>
    </row>
    <row r="1744" spans="142:144" x14ac:dyDescent="0.25">
      <c r="EL1744">
        <v>2012</v>
      </c>
      <c r="EM1744" t="s">
        <v>709</v>
      </c>
      <c r="EN1744" t="s">
        <v>846</v>
      </c>
    </row>
    <row r="1745" spans="142:145" x14ac:dyDescent="0.25">
      <c r="EL1745">
        <v>2012</v>
      </c>
      <c r="EM1745" t="s">
        <v>710</v>
      </c>
      <c r="EN1745" t="s">
        <v>846</v>
      </c>
    </row>
    <row r="1746" spans="142:145" x14ac:dyDescent="0.25">
      <c r="EL1746">
        <v>2012</v>
      </c>
      <c r="EM1746" t="s">
        <v>711</v>
      </c>
      <c r="EN1746" t="s">
        <v>846</v>
      </c>
    </row>
    <row r="1747" spans="142:145" x14ac:dyDescent="0.25">
      <c r="EL1747">
        <v>2012</v>
      </c>
      <c r="EM1747" t="s">
        <v>712</v>
      </c>
      <c r="EN1747" t="s">
        <v>846</v>
      </c>
    </row>
    <row r="1748" spans="142:145" x14ac:dyDescent="0.25">
      <c r="EL1748">
        <v>2013</v>
      </c>
      <c r="EM1748" t="s">
        <v>719</v>
      </c>
      <c r="EN1748" t="s">
        <v>846</v>
      </c>
    </row>
    <row r="1749" spans="142:145" x14ac:dyDescent="0.25">
      <c r="EL1749">
        <v>2013</v>
      </c>
      <c r="EM1749" t="s">
        <v>713</v>
      </c>
      <c r="EN1749" t="s">
        <v>846</v>
      </c>
    </row>
    <row r="1750" spans="142:145" x14ac:dyDescent="0.25">
      <c r="EL1750">
        <v>2013</v>
      </c>
      <c r="EM1750" t="s">
        <v>714</v>
      </c>
      <c r="EN1750" t="s">
        <v>846</v>
      </c>
    </row>
    <row r="1751" spans="142:145" x14ac:dyDescent="0.25">
      <c r="EL1751">
        <v>2013</v>
      </c>
      <c r="EM1751" t="s">
        <v>705</v>
      </c>
      <c r="EN1751" t="s">
        <v>846</v>
      </c>
    </row>
    <row r="1752" spans="142:145" x14ac:dyDescent="0.25">
      <c r="EL1752">
        <v>2013</v>
      </c>
      <c r="EM1752" t="s">
        <v>715</v>
      </c>
      <c r="EN1752" t="s">
        <v>846</v>
      </c>
    </row>
    <row r="1753" spans="142:145" x14ac:dyDescent="0.25">
      <c r="EL1753">
        <v>2013</v>
      </c>
      <c r="EM1753" t="s">
        <v>718</v>
      </c>
      <c r="EN1753" t="s">
        <v>846</v>
      </c>
    </row>
    <row r="1754" spans="142:145" x14ac:dyDescent="0.25">
      <c r="EL1754">
        <v>2013</v>
      </c>
      <c r="EM1754" t="s">
        <v>716</v>
      </c>
      <c r="EN1754" t="s">
        <v>846</v>
      </c>
    </row>
    <row r="1755" spans="142:145" x14ac:dyDescent="0.25">
      <c r="EL1755">
        <v>2013</v>
      </c>
      <c r="EM1755" t="s">
        <v>708</v>
      </c>
      <c r="EN1755" t="s">
        <v>846</v>
      </c>
    </row>
    <row r="1756" spans="142:145" x14ac:dyDescent="0.25">
      <c r="EL1756">
        <v>2013</v>
      </c>
      <c r="EM1756" t="s">
        <v>709</v>
      </c>
      <c r="EN1756" t="s">
        <v>846</v>
      </c>
    </row>
    <row r="1757" spans="142:145" x14ac:dyDescent="0.25">
      <c r="EL1757">
        <v>2013</v>
      </c>
      <c r="EM1757" t="s">
        <v>710</v>
      </c>
      <c r="EN1757" t="s">
        <v>846</v>
      </c>
      <c r="EO1757">
        <v>12.016</v>
      </c>
    </row>
    <row r="1758" spans="142:145" x14ac:dyDescent="0.25">
      <c r="EL1758">
        <v>2013</v>
      </c>
      <c r="EM1758" t="s">
        <v>711</v>
      </c>
      <c r="EN1758" t="s">
        <v>846</v>
      </c>
      <c r="EO1758">
        <v>11.5</v>
      </c>
    </row>
    <row r="1759" spans="142:145" x14ac:dyDescent="0.25">
      <c r="EL1759">
        <v>2013</v>
      </c>
      <c r="EM1759" t="s">
        <v>712</v>
      </c>
      <c r="EN1759" t="s">
        <v>846</v>
      </c>
      <c r="EO1759">
        <v>11.49</v>
      </c>
    </row>
    <row r="1760" spans="142:145" x14ac:dyDescent="0.25">
      <c r="EL1760">
        <v>2014</v>
      </c>
      <c r="EM1760" t="s">
        <v>719</v>
      </c>
      <c r="EN1760" t="s">
        <v>846</v>
      </c>
      <c r="EO1760">
        <v>11.98</v>
      </c>
    </row>
    <row r="1761" spans="142:145" x14ac:dyDescent="0.25">
      <c r="EL1761">
        <v>2014</v>
      </c>
      <c r="EM1761" t="s">
        <v>713</v>
      </c>
      <c r="EN1761" t="s">
        <v>846</v>
      </c>
      <c r="EO1761">
        <v>10.696999999999999</v>
      </c>
    </row>
    <row r="1762" spans="142:145" x14ac:dyDescent="0.25">
      <c r="EL1762">
        <v>2014</v>
      </c>
      <c r="EM1762" t="s">
        <v>714</v>
      </c>
      <c r="EN1762" t="s">
        <v>846</v>
      </c>
      <c r="EO1762">
        <v>11.803000000000001</v>
      </c>
    </row>
    <row r="1763" spans="142:145" x14ac:dyDescent="0.25">
      <c r="EL1763">
        <v>2014</v>
      </c>
      <c r="EM1763" t="s">
        <v>705</v>
      </c>
      <c r="EN1763" t="s">
        <v>846</v>
      </c>
      <c r="EO1763">
        <v>11.728999999999999</v>
      </c>
    </row>
    <row r="1764" spans="142:145" x14ac:dyDescent="0.25">
      <c r="EL1764">
        <v>2014</v>
      </c>
      <c r="EM1764" t="s">
        <v>715</v>
      </c>
      <c r="EN1764" t="s">
        <v>846</v>
      </c>
      <c r="EO1764">
        <v>12.486000000000001</v>
      </c>
    </row>
    <row r="1765" spans="142:145" x14ac:dyDescent="0.25">
      <c r="EL1765">
        <v>2014</v>
      </c>
      <c r="EM1765" t="s">
        <v>718</v>
      </c>
      <c r="EN1765" t="s">
        <v>846</v>
      </c>
      <c r="EO1765">
        <v>17.824000000000002</v>
      </c>
    </row>
    <row r="1766" spans="142:145" x14ac:dyDescent="0.25">
      <c r="EL1766">
        <v>2014</v>
      </c>
      <c r="EM1766" t="s">
        <v>716</v>
      </c>
      <c r="EN1766" t="s">
        <v>846</v>
      </c>
      <c r="EO1766">
        <v>18.262</v>
      </c>
    </row>
    <row r="1767" spans="142:145" x14ac:dyDescent="0.25">
      <c r="EL1767">
        <v>2014</v>
      </c>
      <c r="EM1767" t="s">
        <v>708</v>
      </c>
      <c r="EN1767" t="s">
        <v>846</v>
      </c>
      <c r="EO1767">
        <v>18.617000000000001</v>
      </c>
    </row>
    <row r="1768" spans="142:145" x14ac:dyDescent="0.25">
      <c r="EL1768">
        <v>2014</v>
      </c>
      <c r="EM1768" t="s">
        <v>709</v>
      </c>
      <c r="EN1768" t="s">
        <v>846</v>
      </c>
      <c r="EO1768">
        <v>17.126999999999999</v>
      </c>
    </row>
    <row r="1769" spans="142:145" x14ac:dyDescent="0.25">
      <c r="EL1769">
        <v>2014</v>
      </c>
      <c r="EM1769" t="s">
        <v>710</v>
      </c>
      <c r="EN1769" t="s">
        <v>846</v>
      </c>
      <c r="EO1769">
        <v>17.760000000000002</v>
      </c>
    </row>
    <row r="1770" spans="142:145" x14ac:dyDescent="0.25">
      <c r="EL1770">
        <v>2014</v>
      </c>
      <c r="EM1770" t="s">
        <v>711</v>
      </c>
      <c r="EN1770" t="s">
        <v>846</v>
      </c>
      <c r="EO1770">
        <v>17.489999999999998</v>
      </c>
    </row>
    <row r="1771" spans="142:145" x14ac:dyDescent="0.25">
      <c r="EL1771">
        <v>2014</v>
      </c>
      <c r="EM1771" t="s">
        <v>712</v>
      </c>
      <c r="EN1771" t="s">
        <v>846</v>
      </c>
      <c r="EO1771">
        <v>16.79</v>
      </c>
    </row>
    <row r="1772" spans="142:145" x14ac:dyDescent="0.25">
      <c r="EL1772">
        <v>2015</v>
      </c>
      <c r="EM1772" t="s">
        <v>719</v>
      </c>
      <c r="EN1772" t="s">
        <v>846</v>
      </c>
      <c r="EO1772">
        <v>17.600000000000001</v>
      </c>
    </row>
    <row r="1773" spans="142:145" x14ac:dyDescent="0.25">
      <c r="EL1773">
        <v>2015</v>
      </c>
      <c r="EM1773" t="s">
        <v>713</v>
      </c>
      <c r="EN1773" t="s">
        <v>846</v>
      </c>
      <c r="EO1773">
        <v>15.88</v>
      </c>
    </row>
    <row r="1774" spans="142:145" x14ac:dyDescent="0.25">
      <c r="EL1774">
        <v>2015</v>
      </c>
      <c r="EM1774" t="s">
        <v>714</v>
      </c>
      <c r="EN1774" t="s">
        <v>846</v>
      </c>
      <c r="EO1774">
        <v>18.28</v>
      </c>
    </row>
    <row r="1775" spans="142:145" x14ac:dyDescent="0.25">
      <c r="EL1775">
        <v>2015</v>
      </c>
      <c r="EM1775" t="s">
        <v>705</v>
      </c>
      <c r="EN1775" t="s">
        <v>846</v>
      </c>
      <c r="EO1775">
        <v>17.670000000000002</v>
      </c>
    </row>
    <row r="1776" spans="142:145" x14ac:dyDescent="0.25">
      <c r="EL1776">
        <v>2015</v>
      </c>
      <c r="EM1776" t="s">
        <v>715</v>
      </c>
      <c r="EN1776" t="s">
        <v>846</v>
      </c>
      <c r="EO1776">
        <v>18.3</v>
      </c>
    </row>
    <row r="1777" spans="142:145" x14ac:dyDescent="0.25">
      <c r="EL1777">
        <v>2015</v>
      </c>
      <c r="EM1777" t="s">
        <v>718</v>
      </c>
      <c r="EN1777" t="s">
        <v>846</v>
      </c>
      <c r="EO1777">
        <v>19.37</v>
      </c>
    </row>
    <row r="1778" spans="142:145" x14ac:dyDescent="0.25">
      <c r="EL1778">
        <v>2015</v>
      </c>
      <c r="EM1778" t="s">
        <v>716</v>
      </c>
      <c r="EN1778" t="s">
        <v>846</v>
      </c>
      <c r="EO1778">
        <v>17.850000000000001</v>
      </c>
    </row>
    <row r="1779" spans="142:145" x14ac:dyDescent="0.25">
      <c r="EL1779">
        <v>2015</v>
      </c>
      <c r="EM1779" t="s">
        <v>708</v>
      </c>
      <c r="EN1779" t="s">
        <v>846</v>
      </c>
      <c r="EO1779">
        <v>16.43</v>
      </c>
    </row>
    <row r="1780" spans="142:145" x14ac:dyDescent="0.25">
      <c r="EL1780">
        <v>2015</v>
      </c>
      <c r="EM1780" t="s">
        <v>709</v>
      </c>
      <c r="EN1780" t="s">
        <v>846</v>
      </c>
      <c r="EO1780">
        <v>13.77</v>
      </c>
    </row>
    <row r="1781" spans="142:145" x14ac:dyDescent="0.25">
      <c r="EL1781">
        <v>2015</v>
      </c>
      <c r="EM1781" t="s">
        <v>710</v>
      </c>
      <c r="EN1781" t="s">
        <v>846</v>
      </c>
      <c r="EO1781">
        <v>14.35</v>
      </c>
    </row>
    <row r="1782" spans="142:145" x14ac:dyDescent="0.25">
      <c r="EL1782">
        <v>2015</v>
      </c>
      <c r="EM1782" t="s">
        <v>711</v>
      </c>
      <c r="EN1782" t="s">
        <v>846</v>
      </c>
      <c r="EO1782">
        <v>14.72</v>
      </c>
    </row>
    <row r="1783" spans="142:145" x14ac:dyDescent="0.25">
      <c r="EL1783">
        <v>2015</v>
      </c>
      <c r="EM1783" t="s">
        <v>712</v>
      </c>
      <c r="EN1783" t="s">
        <v>846</v>
      </c>
      <c r="EO1783">
        <v>16.59</v>
      </c>
    </row>
    <row r="1784" spans="142:145" x14ac:dyDescent="0.25">
      <c r="EL1784">
        <v>2016</v>
      </c>
      <c r="EM1784" t="s">
        <v>719</v>
      </c>
      <c r="EN1784" t="s">
        <v>846</v>
      </c>
      <c r="EO1784">
        <v>16.100000000000001</v>
      </c>
    </row>
    <row r="1785" spans="142:145" x14ac:dyDescent="0.25">
      <c r="EL1785">
        <v>2016</v>
      </c>
      <c r="EM1785" t="s">
        <v>713</v>
      </c>
      <c r="EN1785" t="s">
        <v>846</v>
      </c>
      <c r="EO1785">
        <v>16.5</v>
      </c>
    </row>
    <row r="1786" spans="142:145" x14ac:dyDescent="0.25">
      <c r="EL1786">
        <v>2016</v>
      </c>
      <c r="EM1786" t="s">
        <v>714</v>
      </c>
      <c r="EN1786" t="s">
        <v>846</v>
      </c>
      <c r="EO1786">
        <v>16.5</v>
      </c>
    </row>
    <row r="1787" spans="142:145" x14ac:dyDescent="0.25">
      <c r="EL1787">
        <v>2016</v>
      </c>
      <c r="EM1787" t="s">
        <v>705</v>
      </c>
      <c r="EN1787" t="s">
        <v>846</v>
      </c>
      <c r="EO1787">
        <v>16.149999999999999</v>
      </c>
    </row>
    <row r="1788" spans="142:145" x14ac:dyDescent="0.25">
      <c r="EL1788">
        <v>2016</v>
      </c>
      <c r="EM1788" t="s">
        <v>715</v>
      </c>
      <c r="EN1788" t="s">
        <v>846</v>
      </c>
      <c r="EO1788">
        <v>16.93</v>
      </c>
    </row>
    <row r="1789" spans="142:145" x14ac:dyDescent="0.25">
      <c r="EL1789">
        <v>2016</v>
      </c>
      <c r="EM1789" t="s">
        <v>718</v>
      </c>
      <c r="EN1789" t="s">
        <v>846</v>
      </c>
      <c r="EO1789">
        <v>10.83</v>
      </c>
    </row>
    <row r="1790" spans="142:145" x14ac:dyDescent="0.25">
      <c r="EL1790">
        <v>2016</v>
      </c>
      <c r="EM1790" t="s">
        <v>716</v>
      </c>
      <c r="EN1790" t="s">
        <v>846</v>
      </c>
      <c r="EO1790">
        <v>15.06</v>
      </c>
    </row>
    <row r="1791" spans="142:145" x14ac:dyDescent="0.25">
      <c r="EL1791">
        <v>2016</v>
      </c>
      <c r="EM1791" t="s">
        <v>708</v>
      </c>
      <c r="EN1791" t="s">
        <v>846</v>
      </c>
      <c r="EO1791">
        <v>17.04</v>
      </c>
    </row>
    <row r="1792" spans="142:145" x14ac:dyDescent="0.25">
      <c r="EL1792">
        <v>2016</v>
      </c>
      <c r="EM1792" t="s">
        <v>709</v>
      </c>
      <c r="EN1792" t="s">
        <v>846</v>
      </c>
      <c r="EO1792">
        <v>16.239999999999998</v>
      </c>
    </row>
    <row r="1793" spans="142:145" x14ac:dyDescent="0.25">
      <c r="EL1793">
        <v>2016</v>
      </c>
      <c r="EM1793" t="s">
        <v>710</v>
      </c>
      <c r="EN1793" t="s">
        <v>846</v>
      </c>
      <c r="EO1793">
        <v>16.309999999999999</v>
      </c>
    </row>
    <row r="1794" spans="142:145" x14ac:dyDescent="0.25">
      <c r="EL1794">
        <v>2016</v>
      </c>
      <c r="EM1794" t="s">
        <v>711</v>
      </c>
      <c r="EN1794" t="s">
        <v>846</v>
      </c>
      <c r="EO1794">
        <v>17.22</v>
      </c>
    </row>
    <row r="1795" spans="142:145" x14ac:dyDescent="0.25">
      <c r="EL1795">
        <v>2016</v>
      </c>
      <c r="EM1795" t="s">
        <v>712</v>
      </c>
      <c r="EN1795" t="s">
        <v>846</v>
      </c>
      <c r="EO1795">
        <v>17.11</v>
      </c>
    </row>
    <row r="1796" spans="142:145" x14ac:dyDescent="0.25">
      <c r="EL1796">
        <v>2017</v>
      </c>
      <c r="EM1796" t="s">
        <v>719</v>
      </c>
      <c r="EN1796" t="s">
        <v>846</v>
      </c>
      <c r="EO1796">
        <v>16.57</v>
      </c>
    </row>
    <row r="1797" spans="142:145" x14ac:dyDescent="0.25">
      <c r="EL1797">
        <v>2017</v>
      </c>
      <c r="EM1797" t="s">
        <v>713</v>
      </c>
      <c r="EN1797" t="s">
        <v>846</v>
      </c>
      <c r="EO1797">
        <v>14.76</v>
      </c>
    </row>
    <row r="1798" spans="142:145" x14ac:dyDescent="0.25">
      <c r="EL1798">
        <v>2017</v>
      </c>
      <c r="EM1798" t="s">
        <v>714</v>
      </c>
      <c r="EN1798" t="s">
        <v>846</v>
      </c>
      <c r="EO1798">
        <v>16.39</v>
      </c>
    </row>
    <row r="1799" spans="142:145" x14ac:dyDescent="0.25">
      <c r="EL1799">
        <v>2017</v>
      </c>
      <c r="EM1799" t="s">
        <v>705</v>
      </c>
      <c r="EN1799" t="s">
        <v>846</v>
      </c>
      <c r="EO1799">
        <v>16.09</v>
      </c>
    </row>
    <row r="1800" spans="142:145" x14ac:dyDescent="0.25">
      <c r="EL1800">
        <v>2017</v>
      </c>
      <c r="EM1800" t="s">
        <v>715</v>
      </c>
      <c r="EN1800" t="s">
        <v>846</v>
      </c>
      <c r="EO1800">
        <v>17.73</v>
      </c>
    </row>
    <row r="1801" spans="142:145" x14ac:dyDescent="0.25">
      <c r="EL1801">
        <v>2017</v>
      </c>
      <c r="EM1801" t="s">
        <v>718</v>
      </c>
      <c r="EN1801" t="s">
        <v>846</v>
      </c>
      <c r="EO1801">
        <v>16.7</v>
      </c>
    </row>
    <row r="1802" spans="142:145" x14ac:dyDescent="0.25">
      <c r="EL1802">
        <v>2017</v>
      </c>
      <c r="EM1802" t="s">
        <v>716</v>
      </c>
      <c r="EN1802" t="s">
        <v>846</v>
      </c>
      <c r="EO1802">
        <v>18.39</v>
      </c>
    </row>
    <row r="1803" spans="142:145" x14ac:dyDescent="0.25">
      <c r="EL1803">
        <v>2017</v>
      </c>
      <c r="EM1803" t="s">
        <v>708</v>
      </c>
      <c r="EN1803" t="s">
        <v>846</v>
      </c>
      <c r="EO1803">
        <v>19.54</v>
      </c>
    </row>
    <row r="1804" spans="142:145" x14ac:dyDescent="0.25">
      <c r="EL1804">
        <v>2017</v>
      </c>
      <c r="EM1804" t="s">
        <v>709</v>
      </c>
      <c r="EN1804" t="s">
        <v>846</v>
      </c>
      <c r="EO1804">
        <v>19.18</v>
      </c>
    </row>
    <row r="1805" spans="142:145" x14ac:dyDescent="0.25">
      <c r="EL1805">
        <v>2017</v>
      </c>
      <c r="EM1805" t="s">
        <v>710</v>
      </c>
      <c r="EN1805" t="s">
        <v>846</v>
      </c>
      <c r="EO1805">
        <v>19.579999999999998</v>
      </c>
    </row>
    <row r="1806" spans="142:145" x14ac:dyDescent="0.25">
      <c r="EL1806">
        <v>2017</v>
      </c>
      <c r="EM1806" t="s">
        <v>711</v>
      </c>
      <c r="EN1806" t="s">
        <v>846</v>
      </c>
      <c r="EO1806">
        <v>18.579999999999998</v>
      </c>
    </row>
    <row r="1807" spans="142:145" x14ac:dyDescent="0.25">
      <c r="EL1807">
        <v>2017</v>
      </c>
      <c r="EM1807" t="s">
        <v>712</v>
      </c>
      <c r="EN1807" t="s">
        <v>846</v>
      </c>
      <c r="EO1807">
        <v>18.62</v>
      </c>
    </row>
    <row r="1808" spans="142:145" x14ac:dyDescent="0.25">
      <c r="EL1808">
        <v>2018</v>
      </c>
      <c r="EM1808" t="s">
        <v>719</v>
      </c>
      <c r="EN1808" t="s">
        <v>846</v>
      </c>
      <c r="EO1808">
        <v>17.87</v>
      </c>
    </row>
    <row r="1809" spans="142:145" x14ac:dyDescent="0.25">
      <c r="EL1809">
        <v>2018</v>
      </c>
      <c r="EM1809" t="s">
        <v>713</v>
      </c>
      <c r="EN1809" t="s">
        <v>846</v>
      </c>
      <c r="EO1809">
        <v>18.2</v>
      </c>
    </row>
    <row r="1810" spans="142:145" x14ac:dyDescent="0.25">
      <c r="EL1810">
        <v>2018</v>
      </c>
      <c r="EM1810" t="s">
        <v>714</v>
      </c>
      <c r="EN1810" t="s">
        <v>846</v>
      </c>
      <c r="EO1810">
        <v>18.920000000000002</v>
      </c>
    </row>
    <row r="1811" spans="142:145" x14ac:dyDescent="0.25">
      <c r="EL1811">
        <v>2018</v>
      </c>
      <c r="EM1811" t="s">
        <v>705</v>
      </c>
      <c r="EN1811" t="s">
        <v>846</v>
      </c>
      <c r="EO1811">
        <v>19.55</v>
      </c>
    </row>
    <row r="1812" spans="142:145" x14ac:dyDescent="0.25">
      <c r="EL1812">
        <v>2018</v>
      </c>
      <c r="EM1812" t="s">
        <v>715</v>
      </c>
      <c r="EN1812" t="s">
        <v>846</v>
      </c>
      <c r="EO1812">
        <v>20.99</v>
      </c>
    </row>
    <row r="1813" spans="142:145" x14ac:dyDescent="0.25">
      <c r="EL1813">
        <v>2018</v>
      </c>
      <c r="EM1813" t="s">
        <v>718</v>
      </c>
      <c r="EN1813" t="s">
        <v>846</v>
      </c>
      <c r="EO1813">
        <v>18.77</v>
      </c>
    </row>
    <row r="1814" spans="142:145" x14ac:dyDescent="0.25">
      <c r="EL1814">
        <v>2018</v>
      </c>
      <c r="EM1814" t="s">
        <v>716</v>
      </c>
      <c r="EN1814" t="s">
        <v>846</v>
      </c>
      <c r="EO1814">
        <v>19.78</v>
      </c>
    </row>
    <row r="1815" spans="142:145" x14ac:dyDescent="0.25">
      <c r="EL1815">
        <v>2018</v>
      </c>
      <c r="EM1815" t="s">
        <v>708</v>
      </c>
      <c r="EN1815" t="s">
        <v>846</v>
      </c>
      <c r="EO1815">
        <v>19.57</v>
      </c>
    </row>
    <row r="1816" spans="142:145" x14ac:dyDescent="0.25">
      <c r="EL1816">
        <v>2018</v>
      </c>
      <c r="EM1816" t="s">
        <v>709</v>
      </c>
      <c r="EN1816" t="s">
        <v>846</v>
      </c>
      <c r="EO1816">
        <v>20.8</v>
      </c>
    </row>
    <row r="1817" spans="142:145" x14ac:dyDescent="0.25">
      <c r="EL1817">
        <v>2018</v>
      </c>
      <c r="EM1817" t="s">
        <v>710</v>
      </c>
      <c r="EN1817" t="s">
        <v>846</v>
      </c>
      <c r="EO1817">
        <v>21.75</v>
      </c>
    </row>
    <row r="1818" spans="142:145" x14ac:dyDescent="0.25">
      <c r="EL1818">
        <v>2018</v>
      </c>
      <c r="EM1818" t="s">
        <v>711</v>
      </c>
      <c r="EN1818" t="s">
        <v>846</v>
      </c>
      <c r="EO1818">
        <v>21.9</v>
      </c>
    </row>
    <row r="1819" spans="142:145" x14ac:dyDescent="0.25">
      <c r="EL1819">
        <v>2018</v>
      </c>
      <c r="EM1819" t="s">
        <v>712</v>
      </c>
      <c r="EN1819" t="s">
        <v>846</v>
      </c>
      <c r="EO1819">
        <v>23.42</v>
      </c>
    </row>
    <row r="1820" spans="142:145" x14ac:dyDescent="0.25">
      <c r="EL1820">
        <v>2019</v>
      </c>
      <c r="EM1820" t="s">
        <v>719</v>
      </c>
      <c r="EN1820" t="s">
        <v>846</v>
      </c>
      <c r="EO1820">
        <v>24.24</v>
      </c>
    </row>
    <row r="1821" spans="142:145" x14ac:dyDescent="0.25">
      <c r="EL1821">
        <v>2019</v>
      </c>
      <c r="EM1821" t="s">
        <v>713</v>
      </c>
      <c r="EN1821" t="s">
        <v>846</v>
      </c>
      <c r="EO1821">
        <v>22.82</v>
      </c>
    </row>
    <row r="1822" spans="142:145" x14ac:dyDescent="0.25">
      <c r="EL1822">
        <v>2019</v>
      </c>
      <c r="EM1822" t="s">
        <v>714</v>
      </c>
      <c r="EN1822" t="s">
        <v>846</v>
      </c>
      <c r="EO1822">
        <v>23.79</v>
      </c>
    </row>
    <row r="1823" spans="142:145" x14ac:dyDescent="0.25">
      <c r="EL1823">
        <v>2019</v>
      </c>
      <c r="EM1823" t="s">
        <v>705</v>
      </c>
      <c r="EN1823" t="s">
        <v>846</v>
      </c>
      <c r="EO1823">
        <v>20.76</v>
      </c>
    </row>
    <row r="1824" spans="142:145" x14ac:dyDescent="0.25">
      <c r="EL1824">
        <v>2019</v>
      </c>
      <c r="EM1824" t="s">
        <v>715</v>
      </c>
      <c r="EN1824" t="s">
        <v>846</v>
      </c>
      <c r="EO1824">
        <v>20.82</v>
      </c>
    </row>
    <row r="1825" spans="142:145" x14ac:dyDescent="0.25">
      <c r="EL1825">
        <v>2019</v>
      </c>
      <c r="EM1825" t="s">
        <v>718</v>
      </c>
      <c r="EN1825" t="s">
        <v>846</v>
      </c>
      <c r="EO1825">
        <v>18.809999999999999</v>
      </c>
    </row>
    <row r="1826" spans="142:145" x14ac:dyDescent="0.25">
      <c r="EL1826">
        <v>2019</v>
      </c>
      <c r="EM1826" t="s">
        <v>716</v>
      </c>
      <c r="EN1826" t="s">
        <v>846</v>
      </c>
      <c r="EO1826">
        <v>19.46</v>
      </c>
    </row>
    <row r="1827" spans="142:145" x14ac:dyDescent="0.25">
      <c r="EL1827">
        <v>2019</v>
      </c>
      <c r="EM1827" t="s">
        <v>708</v>
      </c>
      <c r="EN1827" t="s">
        <v>846</v>
      </c>
      <c r="EO1827">
        <v>19.239999999999998</v>
      </c>
    </row>
    <row r="1828" spans="142:145" x14ac:dyDescent="0.25">
      <c r="EL1828">
        <v>2019</v>
      </c>
      <c r="EM1828" t="s">
        <v>709</v>
      </c>
      <c r="EN1828" t="s">
        <v>846</v>
      </c>
      <c r="EO1828">
        <v>18.350000000000001</v>
      </c>
    </row>
    <row r="1829" spans="142:145" x14ac:dyDescent="0.25">
      <c r="EL1829">
        <v>2019</v>
      </c>
      <c r="EM1829" t="s">
        <v>710</v>
      </c>
      <c r="EN1829" t="s">
        <v>846</v>
      </c>
      <c r="EO1829">
        <v>19.28</v>
      </c>
    </row>
    <row r="1830" spans="142:145" x14ac:dyDescent="0.25">
      <c r="EL1830">
        <v>2019</v>
      </c>
      <c r="EM1830" t="s">
        <v>711</v>
      </c>
      <c r="EN1830" t="s">
        <v>846</v>
      </c>
      <c r="EO1830">
        <v>18.52</v>
      </c>
    </row>
    <row r="1831" spans="142:145" x14ac:dyDescent="0.25">
      <c r="EL1831">
        <v>2019</v>
      </c>
      <c r="EM1831" t="s">
        <v>712</v>
      </c>
      <c r="EN1831" t="s">
        <v>846</v>
      </c>
      <c r="EO1831">
        <v>13.7</v>
      </c>
    </row>
    <row r="1832" spans="142:145" x14ac:dyDescent="0.25">
      <c r="EL1832">
        <v>2020</v>
      </c>
      <c r="EM1832" t="s">
        <v>719</v>
      </c>
      <c r="EN1832" t="s">
        <v>846</v>
      </c>
      <c r="EO1832">
        <v>19.989999999999998</v>
      </c>
    </row>
    <row r="1833" spans="142:145" x14ac:dyDescent="0.25">
      <c r="EL1833">
        <v>2020</v>
      </c>
      <c r="EM1833" t="s">
        <v>713</v>
      </c>
      <c r="EN1833" t="s">
        <v>846</v>
      </c>
      <c r="EO1833">
        <v>13.55</v>
      </c>
    </row>
    <row r="1834" spans="142:145" x14ac:dyDescent="0.25">
      <c r="EL1834">
        <v>2020</v>
      </c>
      <c r="EM1834" t="s">
        <v>714</v>
      </c>
      <c r="EN1834" t="s">
        <v>846</v>
      </c>
      <c r="EO1834">
        <v>13.47</v>
      </c>
    </row>
    <row r="1835" spans="142:145" x14ac:dyDescent="0.25">
      <c r="EL1835">
        <v>2020</v>
      </c>
      <c r="EM1835" t="s">
        <v>705</v>
      </c>
      <c r="EN1835" t="s">
        <v>846</v>
      </c>
      <c r="EO1835">
        <v>17.809999999999999</v>
      </c>
    </row>
    <row r="1836" spans="142:145" x14ac:dyDescent="0.25">
      <c r="EL1836">
        <v>2020</v>
      </c>
      <c r="EM1836" t="s">
        <v>715</v>
      </c>
      <c r="EN1836" t="s">
        <v>846</v>
      </c>
      <c r="EO1836">
        <v>12.08</v>
      </c>
    </row>
    <row r="1837" spans="142:145" x14ac:dyDescent="0.25">
      <c r="EL1837">
        <v>2020</v>
      </c>
      <c r="EM1837" t="s">
        <v>718</v>
      </c>
      <c r="EN1837" t="s">
        <v>846</v>
      </c>
      <c r="EO1837">
        <v>17.149999999999999</v>
      </c>
    </row>
    <row r="1838" spans="142:145" x14ac:dyDescent="0.25">
      <c r="EL1838">
        <v>2020</v>
      </c>
      <c r="EM1838" t="s">
        <v>716</v>
      </c>
      <c r="EN1838" t="s">
        <v>846</v>
      </c>
      <c r="EO1838">
        <v>17.88</v>
      </c>
    </row>
    <row r="1839" spans="142:145" x14ac:dyDescent="0.25">
      <c r="EL1839">
        <v>2020</v>
      </c>
      <c r="EM1839" t="s">
        <v>708</v>
      </c>
      <c r="EN1839" t="s">
        <v>846</v>
      </c>
      <c r="EO1839">
        <v>17.579999999999998</v>
      </c>
    </row>
    <row r="1840" spans="142:145" x14ac:dyDescent="0.25">
      <c r="EL1840">
        <v>2020</v>
      </c>
      <c r="EM1840" t="s">
        <v>709</v>
      </c>
      <c r="EN1840" t="s">
        <v>846</v>
      </c>
      <c r="EO1840">
        <v>12.19</v>
      </c>
    </row>
    <row r="1841" spans="142:145" x14ac:dyDescent="0.25">
      <c r="EL1841">
        <v>2020</v>
      </c>
      <c r="EM1841" t="s">
        <v>710</v>
      </c>
      <c r="EN1841" t="s">
        <v>846</v>
      </c>
      <c r="EO1841">
        <v>13.25</v>
      </c>
    </row>
    <row r="1842" spans="142:145" x14ac:dyDescent="0.25">
      <c r="EL1842">
        <v>2020</v>
      </c>
      <c r="EM1842" t="s">
        <v>711</v>
      </c>
      <c r="EN1842" t="s">
        <v>846</v>
      </c>
      <c r="EO1842">
        <v>12.3</v>
      </c>
    </row>
    <row r="1843" spans="142:145" x14ac:dyDescent="0.25">
      <c r="EL1843">
        <v>2020</v>
      </c>
      <c r="EM1843" t="s">
        <v>712</v>
      </c>
      <c r="EN1843" t="s">
        <v>846</v>
      </c>
      <c r="EO1843">
        <v>19.829999999999998</v>
      </c>
    </row>
    <row r="1844" spans="142:145" x14ac:dyDescent="0.25">
      <c r="EL1844">
        <v>2021</v>
      </c>
      <c r="EM1844" t="s">
        <v>719</v>
      </c>
      <c r="EN1844" t="s">
        <v>846</v>
      </c>
      <c r="EO1844">
        <v>20.059999999999999</v>
      </c>
    </row>
    <row r="1845" spans="142:145" x14ac:dyDescent="0.25">
      <c r="EL1845">
        <v>2021</v>
      </c>
      <c r="EM1845" t="s">
        <v>713</v>
      </c>
      <c r="EN1845" t="s">
        <v>846</v>
      </c>
      <c r="EO1845">
        <v>19.36</v>
      </c>
    </row>
    <row r="1846" spans="142:145" x14ac:dyDescent="0.25">
      <c r="EL1846">
        <v>2021</v>
      </c>
      <c r="EM1846" t="s">
        <v>714</v>
      </c>
      <c r="EN1846" t="s">
        <v>846</v>
      </c>
      <c r="EO1846">
        <v>18.239999999999998</v>
      </c>
    </row>
    <row r="1847" spans="142:145" x14ac:dyDescent="0.25">
      <c r="EL1847">
        <v>2021</v>
      </c>
      <c r="EM1847" t="s">
        <v>705</v>
      </c>
      <c r="EN1847" t="s">
        <v>846</v>
      </c>
      <c r="EO1847">
        <v>17</v>
      </c>
    </row>
    <row r="1848" spans="142:145" x14ac:dyDescent="0.25">
      <c r="EL1848">
        <v>2021</v>
      </c>
      <c r="EM1848" t="s">
        <v>715</v>
      </c>
      <c r="EN1848" t="s">
        <v>846</v>
      </c>
      <c r="EO1848">
        <v>20.190000000000001</v>
      </c>
    </row>
    <row r="1849" spans="142:145" x14ac:dyDescent="0.25">
      <c r="EL1849">
        <v>2021</v>
      </c>
      <c r="EM1849" t="s">
        <v>718</v>
      </c>
      <c r="EN1849" t="s">
        <v>846</v>
      </c>
      <c r="EO1849">
        <v>18.920000000000002</v>
      </c>
    </row>
    <row r="1850" spans="142:145" x14ac:dyDescent="0.25">
      <c r="EL1850">
        <v>2021</v>
      </c>
      <c r="EM1850" t="s">
        <v>716</v>
      </c>
      <c r="EN1850" t="s">
        <v>846</v>
      </c>
      <c r="EO1850">
        <v>19.079999999999998</v>
      </c>
    </row>
    <row r="1851" spans="142:145" x14ac:dyDescent="0.25">
      <c r="EL1851">
        <v>2021</v>
      </c>
      <c r="EM1851" t="s">
        <v>708</v>
      </c>
      <c r="EN1851" t="s">
        <v>846</v>
      </c>
      <c r="EO1851">
        <v>20.13</v>
      </c>
    </row>
    <row r="1852" spans="142:145" x14ac:dyDescent="0.25">
      <c r="EL1852">
        <v>2021</v>
      </c>
      <c r="EM1852" t="s">
        <v>709</v>
      </c>
      <c r="EN1852" t="s">
        <v>846</v>
      </c>
      <c r="EO1852">
        <v>19.02</v>
      </c>
    </row>
    <row r="1853" spans="142:145" x14ac:dyDescent="0.25">
      <c r="EL1853">
        <v>2021</v>
      </c>
      <c r="EM1853" t="s">
        <v>710</v>
      </c>
      <c r="EN1853" t="s">
        <v>846</v>
      </c>
      <c r="EO1853">
        <v>19.28</v>
      </c>
    </row>
    <row r="1854" spans="142:145" x14ac:dyDescent="0.25">
      <c r="EL1854">
        <v>2021</v>
      </c>
      <c r="EM1854" t="s">
        <v>711</v>
      </c>
      <c r="EN1854" t="s">
        <v>846</v>
      </c>
      <c r="EO1854">
        <v>17.89</v>
      </c>
    </row>
    <row r="1855" spans="142:145" x14ac:dyDescent="0.25">
      <c r="EL1855">
        <v>2021</v>
      </c>
      <c r="EM1855" t="s">
        <v>712</v>
      </c>
      <c r="EN1855" t="s">
        <v>846</v>
      </c>
      <c r="EO1855">
        <v>20.81</v>
      </c>
    </row>
    <row r="1856" spans="142:145" x14ac:dyDescent="0.25">
      <c r="EL1856">
        <v>2022</v>
      </c>
      <c r="EM1856" t="s">
        <v>719</v>
      </c>
      <c r="EN1856" t="s">
        <v>846</v>
      </c>
      <c r="EO1856">
        <v>21.51</v>
      </c>
    </row>
    <row r="1857" spans="142:145" x14ac:dyDescent="0.25">
      <c r="EL1857">
        <v>2022</v>
      </c>
      <c r="EM1857" t="s">
        <v>713</v>
      </c>
      <c r="EN1857" t="s">
        <v>846</v>
      </c>
      <c r="EO1857">
        <v>21.02</v>
      </c>
    </row>
    <row r="1858" spans="142:145" x14ac:dyDescent="0.25">
      <c r="EL1858">
        <v>2022</v>
      </c>
      <c r="EM1858" t="s">
        <v>714</v>
      </c>
      <c r="EN1858" t="s">
        <v>846</v>
      </c>
      <c r="EO1858">
        <v>21.94</v>
      </c>
    </row>
    <row r="1859" spans="142:145" x14ac:dyDescent="0.25">
      <c r="EL1859">
        <v>2022</v>
      </c>
      <c r="EM1859" t="s">
        <v>705</v>
      </c>
      <c r="EN1859" t="s">
        <v>846</v>
      </c>
      <c r="EO1859">
        <v>20.99</v>
      </c>
    </row>
    <row r="1860" spans="142:145" x14ac:dyDescent="0.25">
      <c r="EL1860">
        <v>2022</v>
      </c>
      <c r="EM1860" t="s">
        <v>715</v>
      </c>
      <c r="EN1860" t="s">
        <v>846</v>
      </c>
      <c r="EO1860">
        <v>23.28</v>
      </c>
    </row>
    <row r="1861" spans="142:145" x14ac:dyDescent="0.25">
      <c r="EL1861">
        <v>2022</v>
      </c>
      <c r="EM1861" t="s">
        <v>718</v>
      </c>
      <c r="EN1861" t="s">
        <v>846</v>
      </c>
      <c r="EO1861">
        <v>22.73</v>
      </c>
    </row>
    <row r="1862" spans="142:145" x14ac:dyDescent="0.25">
      <c r="EL1862">
        <v>2022</v>
      </c>
      <c r="EM1862" t="s">
        <v>716</v>
      </c>
      <c r="EN1862" t="s">
        <v>846</v>
      </c>
      <c r="EO1862">
        <v>23.36</v>
      </c>
    </row>
    <row r="1863" spans="142:145" x14ac:dyDescent="0.25">
      <c r="EL1863">
        <v>2022</v>
      </c>
      <c r="EM1863" t="s">
        <v>708</v>
      </c>
      <c r="EN1863" t="s">
        <v>846</v>
      </c>
      <c r="EO1863">
        <v>22.42</v>
      </c>
    </row>
    <row r="1864" spans="142:145" x14ac:dyDescent="0.25">
      <c r="EL1864">
        <v>2022</v>
      </c>
      <c r="EM1864" t="s">
        <v>709</v>
      </c>
      <c r="EN1864" t="s">
        <v>846</v>
      </c>
      <c r="EO1864">
        <v>21.24</v>
      </c>
    </row>
    <row r="1865" spans="142:145" x14ac:dyDescent="0.25">
      <c r="EL1865">
        <v>2022</v>
      </c>
      <c r="EM1865" t="s">
        <v>710</v>
      </c>
      <c r="EN1865" t="s">
        <v>846</v>
      </c>
      <c r="EO1865">
        <v>21.75</v>
      </c>
    </row>
    <row r="1866" spans="142:145" x14ac:dyDescent="0.25">
      <c r="EL1866">
        <v>2022</v>
      </c>
      <c r="EM1866" t="s">
        <v>711</v>
      </c>
      <c r="EN1866" t="s">
        <v>846</v>
      </c>
      <c r="EO1866">
        <v>20.82</v>
      </c>
    </row>
    <row r="1867" spans="142:145" x14ac:dyDescent="0.25">
      <c r="EL1867">
        <v>2022</v>
      </c>
      <c r="EM1867" t="s">
        <v>712</v>
      </c>
      <c r="EN1867" t="s">
        <v>846</v>
      </c>
      <c r="EO1867">
        <v>21.3</v>
      </c>
    </row>
    <row r="1868" spans="142:145" x14ac:dyDescent="0.25">
      <c r="EL1868">
        <v>2023</v>
      </c>
      <c r="EM1868" t="s">
        <v>719</v>
      </c>
      <c r="EN1868" t="s">
        <v>846</v>
      </c>
      <c r="EO1868">
        <v>21.21</v>
      </c>
    </row>
    <row r="1869" spans="142:145" x14ac:dyDescent="0.25">
      <c r="EL1869">
        <v>2023</v>
      </c>
      <c r="EM1869" t="s">
        <v>713</v>
      </c>
      <c r="EN1869" t="s">
        <v>846</v>
      </c>
      <c r="EO1869">
        <v>19.68</v>
      </c>
    </row>
    <row r="1870" spans="142:145" x14ac:dyDescent="0.25">
      <c r="EL1870">
        <v>2023</v>
      </c>
      <c r="EM1870" t="s">
        <v>714</v>
      </c>
      <c r="EN1870" t="s">
        <v>846</v>
      </c>
      <c r="EO1870">
        <v>21.19</v>
      </c>
    </row>
    <row r="1871" spans="142:145" x14ac:dyDescent="0.25">
      <c r="EL1871">
        <v>2023</v>
      </c>
      <c r="EM1871" t="s">
        <v>705</v>
      </c>
      <c r="EN1871" t="s">
        <v>846</v>
      </c>
      <c r="EO1871">
        <v>20.85</v>
      </c>
    </row>
    <row r="1872" spans="142:145" x14ac:dyDescent="0.25">
      <c r="EL1872">
        <v>2023</v>
      </c>
      <c r="EM1872" t="s">
        <v>715</v>
      </c>
      <c r="EN1872" t="s">
        <v>846</v>
      </c>
      <c r="EO1872">
        <v>21.48</v>
      </c>
    </row>
    <row r="1873" spans="142:145" x14ac:dyDescent="0.25">
      <c r="EL1873">
        <v>2023</v>
      </c>
      <c r="EM1873" t="s">
        <v>718</v>
      </c>
      <c r="EN1873" t="s">
        <v>846</v>
      </c>
      <c r="EO1873">
        <v>21.53</v>
      </c>
    </row>
    <row r="1874" spans="142:145" x14ac:dyDescent="0.25">
      <c r="EL1874">
        <v>2023</v>
      </c>
      <c r="EM1874" t="s">
        <v>716</v>
      </c>
      <c r="EN1874" t="s">
        <v>846</v>
      </c>
      <c r="EO1874">
        <v>22.43</v>
      </c>
    </row>
    <row r="1875" spans="142:145" x14ac:dyDescent="0.25">
      <c r="EL1875">
        <v>2023</v>
      </c>
      <c r="EM1875" t="s">
        <v>708</v>
      </c>
      <c r="EN1875" t="s">
        <v>846</v>
      </c>
      <c r="EO1875">
        <v>22.48</v>
      </c>
    </row>
    <row r="1876" spans="142:145" x14ac:dyDescent="0.25">
      <c r="EL1876">
        <v>2023</v>
      </c>
      <c r="EM1876" t="s">
        <v>709</v>
      </c>
      <c r="EN1876" t="s">
        <v>846</v>
      </c>
      <c r="EO1876">
        <v>21.49</v>
      </c>
    </row>
    <row r="1877" spans="142:145" x14ac:dyDescent="0.25">
      <c r="EL1877">
        <v>1997</v>
      </c>
      <c r="EM1877" t="s">
        <v>760</v>
      </c>
      <c r="EN1877" t="s">
        <v>847</v>
      </c>
      <c r="EO1877">
        <v>1639.1559999999999</v>
      </c>
    </row>
    <row r="1878" spans="142:145" x14ac:dyDescent="0.25">
      <c r="EL1878">
        <v>1997</v>
      </c>
      <c r="EM1878" t="s">
        <v>761</v>
      </c>
      <c r="EN1878" t="s">
        <v>847</v>
      </c>
      <c r="EO1878">
        <v>1792.02</v>
      </c>
    </row>
    <row r="1879" spans="142:145" x14ac:dyDescent="0.25">
      <c r="EL1879">
        <v>1997</v>
      </c>
      <c r="EM1879" t="s">
        <v>762</v>
      </c>
      <c r="EN1879" t="s">
        <v>847</v>
      </c>
      <c r="EO1879">
        <v>1671.6130000000001</v>
      </c>
    </row>
    <row r="1880" spans="142:145" x14ac:dyDescent="0.25">
      <c r="EL1880">
        <v>1998</v>
      </c>
      <c r="EM1880" t="s">
        <v>763</v>
      </c>
      <c r="EN1880" t="s">
        <v>847</v>
      </c>
      <c r="EO1880">
        <v>1910.53</v>
      </c>
    </row>
    <row r="1881" spans="142:145" x14ac:dyDescent="0.25">
      <c r="EL1881">
        <v>1998</v>
      </c>
      <c r="EM1881" t="s">
        <v>764</v>
      </c>
      <c r="EN1881" t="s">
        <v>847</v>
      </c>
      <c r="EO1881">
        <v>2048.34</v>
      </c>
    </row>
    <row r="1882" spans="142:145" x14ac:dyDescent="0.25">
      <c r="EL1882">
        <v>1998</v>
      </c>
      <c r="EM1882" t="s">
        <v>765</v>
      </c>
      <c r="EN1882" t="s">
        <v>847</v>
      </c>
      <c r="EO1882">
        <v>2404.9180000000001</v>
      </c>
    </row>
    <row r="1883" spans="142:145" x14ac:dyDescent="0.25">
      <c r="EL1883">
        <v>1998</v>
      </c>
      <c r="EM1883" t="s">
        <v>767</v>
      </c>
      <c r="EN1883" t="s">
        <v>847</v>
      </c>
      <c r="EO1883">
        <v>1988.1</v>
      </c>
    </row>
    <row r="1884" spans="142:145" x14ac:dyDescent="0.25">
      <c r="EL1884">
        <v>1998</v>
      </c>
      <c r="EM1884" t="s">
        <v>715</v>
      </c>
      <c r="EN1884" t="s">
        <v>847</v>
      </c>
      <c r="EO1884">
        <v>2159.212</v>
      </c>
    </row>
    <row r="1885" spans="142:145" x14ac:dyDescent="0.25">
      <c r="EL1885">
        <v>1998</v>
      </c>
      <c r="EM1885" t="s">
        <v>718</v>
      </c>
      <c r="EN1885" t="s">
        <v>847</v>
      </c>
      <c r="EO1885">
        <v>1646.1</v>
      </c>
    </row>
    <row r="1886" spans="142:145" x14ac:dyDescent="0.25">
      <c r="EL1886">
        <v>1998</v>
      </c>
      <c r="EM1886" t="s">
        <v>716</v>
      </c>
      <c r="EN1886" t="s">
        <v>847</v>
      </c>
      <c r="EO1886">
        <v>1572.0720000000001</v>
      </c>
    </row>
    <row r="1887" spans="142:145" x14ac:dyDescent="0.25">
      <c r="EL1887">
        <v>1998</v>
      </c>
      <c r="EM1887" t="s">
        <v>768</v>
      </c>
      <c r="EN1887" t="s">
        <v>847</v>
      </c>
      <c r="EO1887">
        <v>1508.3050000000001</v>
      </c>
    </row>
    <row r="1888" spans="142:145" x14ac:dyDescent="0.25">
      <c r="EL1888">
        <v>1998</v>
      </c>
      <c r="EM1888" t="s">
        <v>769</v>
      </c>
      <c r="EN1888" t="s">
        <v>847</v>
      </c>
      <c r="EO1888">
        <v>1446.93</v>
      </c>
    </row>
    <row r="1889" spans="142:145" x14ac:dyDescent="0.25">
      <c r="EL1889">
        <v>1998</v>
      </c>
      <c r="EM1889" t="s">
        <v>760</v>
      </c>
      <c r="EN1889" t="s">
        <v>847</v>
      </c>
      <c r="EO1889">
        <v>1435.3620000000001</v>
      </c>
    </row>
    <row r="1890" spans="142:145" x14ac:dyDescent="0.25">
      <c r="EL1890">
        <v>1998</v>
      </c>
      <c r="EM1890" t="s">
        <v>771</v>
      </c>
      <c r="EN1890" t="s">
        <v>847</v>
      </c>
      <c r="EO1890">
        <v>1386.75</v>
      </c>
    </row>
    <row r="1891" spans="142:145" x14ac:dyDescent="0.25">
      <c r="EL1891">
        <v>1998</v>
      </c>
      <c r="EM1891" t="s">
        <v>762</v>
      </c>
      <c r="EN1891" t="s">
        <v>847</v>
      </c>
      <c r="EO1891">
        <v>1431.704</v>
      </c>
    </row>
    <row r="1892" spans="142:145" x14ac:dyDescent="0.25">
      <c r="EL1892">
        <v>1999</v>
      </c>
      <c r="EM1892" t="s">
        <v>763</v>
      </c>
      <c r="EN1892" t="s">
        <v>847</v>
      </c>
      <c r="EO1892">
        <v>1543.3969999999999</v>
      </c>
    </row>
    <row r="1893" spans="142:145" x14ac:dyDescent="0.25">
      <c r="EL1893">
        <v>1999</v>
      </c>
      <c r="EM1893" t="s">
        <v>772</v>
      </c>
      <c r="EN1893" t="s">
        <v>847</v>
      </c>
      <c r="EO1893">
        <v>1372.616</v>
      </c>
    </row>
    <row r="1894" spans="142:145" x14ac:dyDescent="0.25">
      <c r="EL1894">
        <v>1999</v>
      </c>
      <c r="EM1894" t="s">
        <v>773</v>
      </c>
      <c r="EN1894" t="s">
        <v>847</v>
      </c>
      <c r="EO1894">
        <v>1715.9119999999998</v>
      </c>
    </row>
    <row r="1895" spans="142:145" x14ac:dyDescent="0.25">
      <c r="EL1895">
        <v>1999</v>
      </c>
      <c r="EM1895" t="s">
        <v>774</v>
      </c>
      <c r="EN1895" t="s">
        <v>847</v>
      </c>
      <c r="EO1895">
        <v>1543.5900000000001</v>
      </c>
    </row>
    <row r="1896" spans="142:145" x14ac:dyDescent="0.25">
      <c r="EL1896">
        <v>1999</v>
      </c>
      <c r="EM1896" t="s">
        <v>715</v>
      </c>
      <c r="EN1896" t="s">
        <v>847</v>
      </c>
      <c r="EO1896">
        <v>1660.1120000000001</v>
      </c>
    </row>
    <row r="1897" spans="142:145" x14ac:dyDescent="0.25">
      <c r="EL1897">
        <v>1999</v>
      </c>
      <c r="EM1897" t="s">
        <v>718</v>
      </c>
      <c r="EN1897" t="s">
        <v>847</v>
      </c>
      <c r="EO1897">
        <v>1632.8630000000001</v>
      </c>
    </row>
    <row r="1898" spans="142:145" x14ac:dyDescent="0.25">
      <c r="EL1898">
        <v>1999</v>
      </c>
      <c r="EM1898" t="s">
        <v>716</v>
      </c>
      <c r="EN1898" t="s">
        <v>847</v>
      </c>
      <c r="EO1898">
        <v>1606.0170000000001</v>
      </c>
    </row>
    <row r="1899" spans="142:145" x14ac:dyDescent="0.25">
      <c r="EL1899">
        <v>1999</v>
      </c>
      <c r="EM1899" t="s">
        <v>708</v>
      </c>
      <c r="EN1899" t="s">
        <v>847</v>
      </c>
      <c r="EO1899">
        <v>1541.0409999999999</v>
      </c>
    </row>
    <row r="1900" spans="142:145" x14ac:dyDescent="0.25">
      <c r="EL1900">
        <v>1999</v>
      </c>
      <c r="EM1900" t="s">
        <v>709</v>
      </c>
      <c r="EN1900" t="s">
        <v>847</v>
      </c>
      <c r="EO1900">
        <v>1796.73</v>
      </c>
    </row>
    <row r="1901" spans="142:145" x14ac:dyDescent="0.25">
      <c r="EL1901">
        <v>1999</v>
      </c>
      <c r="EM1901" t="s">
        <v>710</v>
      </c>
      <c r="EN1901" t="s">
        <v>847</v>
      </c>
      <c r="EO1901">
        <v>1747.377</v>
      </c>
    </row>
    <row r="1902" spans="142:145" x14ac:dyDescent="0.25">
      <c r="EL1902">
        <v>1999</v>
      </c>
      <c r="EM1902" t="s">
        <v>711</v>
      </c>
      <c r="EN1902" t="s">
        <v>847</v>
      </c>
      <c r="EO1902">
        <v>1615.56</v>
      </c>
    </row>
    <row r="1903" spans="142:145" x14ac:dyDescent="0.25">
      <c r="EL1903">
        <v>1999</v>
      </c>
      <c r="EM1903" t="s">
        <v>712</v>
      </c>
      <c r="EN1903" t="s">
        <v>847</v>
      </c>
      <c r="EO1903">
        <v>1735.2559999999999</v>
      </c>
    </row>
    <row r="1904" spans="142:145" x14ac:dyDescent="0.25">
      <c r="EL1904">
        <v>2000</v>
      </c>
      <c r="EM1904" t="s">
        <v>719</v>
      </c>
      <c r="EN1904" t="s">
        <v>847</v>
      </c>
      <c r="EO1904">
        <v>1676.356</v>
      </c>
    </row>
    <row r="1905" spans="142:145" x14ac:dyDescent="0.25">
      <c r="EL1905">
        <v>2000</v>
      </c>
      <c r="EM1905" t="s">
        <v>713</v>
      </c>
      <c r="EN1905" t="s">
        <v>847</v>
      </c>
      <c r="EO1905">
        <v>1727.7329999999999</v>
      </c>
    </row>
    <row r="1906" spans="142:145" x14ac:dyDescent="0.25">
      <c r="EL1906">
        <v>2000</v>
      </c>
      <c r="EM1906" t="s">
        <v>714</v>
      </c>
      <c r="EN1906" t="s">
        <v>847</v>
      </c>
      <c r="EO1906">
        <v>1918.528</v>
      </c>
    </row>
    <row r="1907" spans="142:145" x14ac:dyDescent="0.25">
      <c r="EL1907">
        <v>2000</v>
      </c>
      <c r="EM1907" t="s">
        <v>705</v>
      </c>
      <c r="EN1907" t="s">
        <v>847</v>
      </c>
      <c r="EO1907">
        <v>1940.1599999999999</v>
      </c>
    </row>
    <row r="1908" spans="142:145" x14ac:dyDescent="0.25">
      <c r="EL1908">
        <v>2000</v>
      </c>
      <c r="EM1908" t="s">
        <v>715</v>
      </c>
      <c r="EN1908" t="s">
        <v>847</v>
      </c>
      <c r="EO1908">
        <v>1809.5319999999999</v>
      </c>
    </row>
    <row r="1909" spans="142:145" x14ac:dyDescent="0.25">
      <c r="EL1909">
        <v>2000</v>
      </c>
      <c r="EM1909" t="s">
        <v>718</v>
      </c>
      <c r="EN1909" t="s">
        <v>847</v>
      </c>
      <c r="EO1909">
        <v>1689.21</v>
      </c>
    </row>
    <row r="1910" spans="142:145" x14ac:dyDescent="0.25">
      <c r="EL1910">
        <v>2000</v>
      </c>
      <c r="EM1910" t="s">
        <v>716</v>
      </c>
      <c r="EN1910" t="s">
        <v>847</v>
      </c>
      <c r="EO1910">
        <v>1737.1779999999999</v>
      </c>
    </row>
    <row r="1911" spans="142:145" x14ac:dyDescent="0.25">
      <c r="EL1911">
        <v>2000</v>
      </c>
      <c r="EM1911" t="s">
        <v>708</v>
      </c>
      <c r="EN1911" t="s">
        <v>847</v>
      </c>
      <c r="EO1911">
        <v>1721.2749999999999</v>
      </c>
    </row>
    <row r="1912" spans="142:145" x14ac:dyDescent="0.25">
      <c r="EL1912">
        <v>2000</v>
      </c>
      <c r="EM1912" t="s">
        <v>709</v>
      </c>
      <c r="EN1912" t="s">
        <v>847</v>
      </c>
      <c r="EO1912">
        <v>1739.2860000000001</v>
      </c>
    </row>
    <row r="1913" spans="142:145" x14ac:dyDescent="0.25">
      <c r="EL1913">
        <v>2000</v>
      </c>
      <c r="EM1913" t="s">
        <v>710</v>
      </c>
      <c r="EN1913" t="s">
        <v>847</v>
      </c>
      <c r="EO1913">
        <v>1634.6299999999999</v>
      </c>
    </row>
    <row r="1914" spans="142:145" x14ac:dyDescent="0.25">
      <c r="EL1914">
        <v>2000</v>
      </c>
      <c r="EM1914" t="s">
        <v>711</v>
      </c>
      <c r="EN1914" t="s">
        <v>847</v>
      </c>
      <c r="EO1914">
        <v>1546.86</v>
      </c>
    </row>
    <row r="1915" spans="142:145" x14ac:dyDescent="0.25">
      <c r="EL1915">
        <v>2000</v>
      </c>
      <c r="EM1915" t="s">
        <v>712</v>
      </c>
      <c r="EN1915" t="s">
        <v>847</v>
      </c>
      <c r="EO1915">
        <v>1624.2450000000001</v>
      </c>
    </row>
    <row r="1916" spans="142:145" x14ac:dyDescent="0.25">
      <c r="EL1916">
        <v>2001</v>
      </c>
      <c r="EM1916" t="s">
        <v>719</v>
      </c>
      <c r="EN1916" t="s">
        <v>847</v>
      </c>
      <c r="EO1916">
        <v>1646.9680000000001</v>
      </c>
    </row>
    <row r="1917" spans="142:145" x14ac:dyDescent="0.25">
      <c r="EL1917">
        <v>2001</v>
      </c>
      <c r="EM1917" t="s">
        <v>713</v>
      </c>
      <c r="EN1917" t="s">
        <v>847</v>
      </c>
      <c r="EO1917">
        <v>1583.96</v>
      </c>
    </row>
    <row r="1918" spans="142:145" x14ac:dyDescent="0.25">
      <c r="EL1918">
        <v>2001</v>
      </c>
      <c r="EM1918" t="s">
        <v>714</v>
      </c>
      <c r="EN1918" t="s">
        <v>847</v>
      </c>
      <c r="EO1918">
        <v>1820.847</v>
      </c>
    </row>
    <row r="1919" spans="142:145" x14ac:dyDescent="0.25">
      <c r="EL1919">
        <v>2001</v>
      </c>
      <c r="EM1919" t="s">
        <v>705</v>
      </c>
      <c r="EN1919" t="s">
        <v>847</v>
      </c>
      <c r="EO1919">
        <v>1777.02</v>
      </c>
    </row>
    <row r="1920" spans="142:145" x14ac:dyDescent="0.25">
      <c r="EL1920">
        <v>2001</v>
      </c>
      <c r="EM1920" t="s">
        <v>715</v>
      </c>
      <c r="EN1920" t="s">
        <v>847</v>
      </c>
      <c r="EO1920">
        <v>1857.923</v>
      </c>
    </row>
    <row r="1921" spans="142:145" x14ac:dyDescent="0.25">
      <c r="EL1921">
        <v>2001</v>
      </c>
      <c r="EM1921" t="s">
        <v>718</v>
      </c>
      <c r="EN1921" t="s">
        <v>847</v>
      </c>
      <c r="EO1921">
        <v>1785.45</v>
      </c>
    </row>
    <row r="1922" spans="142:145" x14ac:dyDescent="0.25">
      <c r="EL1922">
        <v>2001</v>
      </c>
      <c r="EM1922" t="s">
        <v>716</v>
      </c>
      <c r="EN1922" t="s">
        <v>847</v>
      </c>
      <c r="EO1922">
        <v>1777.8500000000001</v>
      </c>
    </row>
    <row r="1923" spans="142:145" x14ac:dyDescent="0.25">
      <c r="EL1923">
        <v>2001</v>
      </c>
      <c r="EM1923" t="s">
        <v>708</v>
      </c>
      <c r="EN1923" t="s">
        <v>847</v>
      </c>
      <c r="EO1923">
        <v>1712.192</v>
      </c>
    </row>
    <row r="1924" spans="142:145" x14ac:dyDescent="0.25">
      <c r="EL1924">
        <v>2001</v>
      </c>
      <c r="EM1924" t="s">
        <v>709</v>
      </c>
      <c r="EN1924" t="s">
        <v>847</v>
      </c>
      <c r="EO1924">
        <v>1595.91</v>
      </c>
    </row>
    <row r="1925" spans="142:145" x14ac:dyDescent="0.25">
      <c r="EL1925">
        <v>2001</v>
      </c>
      <c r="EM1925" t="s">
        <v>710</v>
      </c>
      <c r="EN1925" t="s">
        <v>847</v>
      </c>
      <c r="EO1925">
        <v>1639.2180000000001</v>
      </c>
    </row>
    <row r="1926" spans="142:145" x14ac:dyDescent="0.25">
      <c r="EL1926">
        <v>2001</v>
      </c>
      <c r="EM1926" t="s">
        <v>711</v>
      </c>
      <c r="EN1926" t="s">
        <v>847</v>
      </c>
      <c r="EO1926">
        <v>1572.9</v>
      </c>
    </row>
    <row r="1927" spans="142:145" x14ac:dyDescent="0.25">
      <c r="EL1927">
        <v>2001</v>
      </c>
      <c r="EM1927" t="s">
        <v>712</v>
      </c>
      <c r="EN1927" t="s">
        <v>847</v>
      </c>
      <c r="EO1927">
        <v>1591.385</v>
      </c>
    </row>
    <row r="1928" spans="142:145" x14ac:dyDescent="0.25">
      <c r="EL1928">
        <v>2002</v>
      </c>
      <c r="EM1928" t="s">
        <v>719</v>
      </c>
      <c r="EN1928" t="s">
        <v>847</v>
      </c>
      <c r="EO1928">
        <v>1598.019</v>
      </c>
    </row>
    <row r="1929" spans="142:145" x14ac:dyDescent="0.25">
      <c r="EL1929">
        <v>2002</v>
      </c>
      <c r="EM1929" t="s">
        <v>713</v>
      </c>
      <c r="EN1929" t="s">
        <v>847</v>
      </c>
      <c r="EO1929">
        <v>1421.3920000000001</v>
      </c>
    </row>
    <row r="1930" spans="142:145" x14ac:dyDescent="0.25">
      <c r="EL1930">
        <v>2002</v>
      </c>
      <c r="EM1930" t="s">
        <v>714</v>
      </c>
      <c r="EN1930" t="s">
        <v>847</v>
      </c>
      <c r="EO1930">
        <v>1647.5260000000001</v>
      </c>
    </row>
    <row r="1931" spans="142:145" x14ac:dyDescent="0.25">
      <c r="EL1931">
        <v>2002</v>
      </c>
      <c r="EM1931" t="s">
        <v>705</v>
      </c>
      <c r="EN1931" t="s">
        <v>847</v>
      </c>
      <c r="EO1931">
        <v>1612.74</v>
      </c>
    </row>
    <row r="1932" spans="142:145" x14ac:dyDescent="0.25">
      <c r="EL1932">
        <v>2002</v>
      </c>
      <c r="EM1932" t="s">
        <v>715</v>
      </c>
      <c r="EN1932" t="s">
        <v>847</v>
      </c>
      <c r="EO1932">
        <v>1695.979</v>
      </c>
    </row>
    <row r="1933" spans="142:145" x14ac:dyDescent="0.25">
      <c r="EL1933">
        <v>2002</v>
      </c>
      <c r="EM1933" t="s">
        <v>718</v>
      </c>
      <c r="EN1933" t="s">
        <v>847</v>
      </c>
      <c r="EO1933">
        <v>1574.52</v>
      </c>
    </row>
    <row r="1934" spans="142:145" x14ac:dyDescent="0.25">
      <c r="EL1934">
        <v>2002</v>
      </c>
      <c r="EM1934" t="s">
        <v>716</v>
      </c>
      <c r="EN1934" t="s">
        <v>847</v>
      </c>
      <c r="EO1934">
        <v>1586.8589999999999</v>
      </c>
    </row>
    <row r="1935" spans="142:145" x14ac:dyDescent="0.25">
      <c r="EL1935">
        <v>2002</v>
      </c>
      <c r="EM1935" t="s">
        <v>708</v>
      </c>
      <c r="EN1935" t="s">
        <v>847</v>
      </c>
      <c r="EO1935">
        <v>1580.6279999999999</v>
      </c>
    </row>
    <row r="1936" spans="142:145" x14ac:dyDescent="0.25">
      <c r="EL1936">
        <v>2002</v>
      </c>
      <c r="EM1936" t="s">
        <v>709</v>
      </c>
      <c r="EN1936" t="s">
        <v>847</v>
      </c>
      <c r="EO1936">
        <v>1546.4099999999999</v>
      </c>
    </row>
    <row r="1937" spans="142:145" x14ac:dyDescent="0.25">
      <c r="EL1937">
        <v>2002</v>
      </c>
      <c r="EM1937" t="s">
        <v>710</v>
      </c>
      <c r="EN1937" t="s">
        <v>847</v>
      </c>
      <c r="EO1937">
        <v>1652.6100000000001</v>
      </c>
    </row>
    <row r="1938" spans="142:145" x14ac:dyDescent="0.25">
      <c r="EL1938">
        <v>2002</v>
      </c>
      <c r="EM1938" t="s">
        <v>711</v>
      </c>
      <c r="EN1938" t="s">
        <v>847</v>
      </c>
      <c r="EO1938">
        <v>1814.46</v>
      </c>
    </row>
    <row r="1939" spans="142:145" x14ac:dyDescent="0.25">
      <c r="EL1939">
        <v>2002</v>
      </c>
      <c r="EM1939" t="s">
        <v>712</v>
      </c>
      <c r="EN1939" t="s">
        <v>847</v>
      </c>
      <c r="EO1939">
        <v>1973.5529999999999</v>
      </c>
    </row>
    <row r="1940" spans="142:145" x14ac:dyDescent="0.25">
      <c r="EL1940">
        <v>2003</v>
      </c>
      <c r="EM1940" t="s">
        <v>719</v>
      </c>
      <c r="EN1940" t="s">
        <v>847</v>
      </c>
      <c r="EO1940">
        <v>1980.528</v>
      </c>
    </row>
    <row r="1941" spans="142:145" x14ac:dyDescent="0.25">
      <c r="EL1941">
        <v>2003</v>
      </c>
      <c r="EM1941" t="s">
        <v>713</v>
      </c>
      <c r="EN1941" t="s">
        <v>847</v>
      </c>
      <c r="EO1941">
        <v>2034.3400000000001</v>
      </c>
    </row>
    <row r="1942" spans="142:145" x14ac:dyDescent="0.25">
      <c r="EL1942">
        <v>2003</v>
      </c>
      <c r="EM1942" t="s">
        <v>714</v>
      </c>
      <c r="EN1942" t="s">
        <v>847</v>
      </c>
      <c r="EO1942">
        <v>2388.2089999999998</v>
      </c>
    </row>
    <row r="1943" spans="142:145" x14ac:dyDescent="0.25">
      <c r="EL1943">
        <v>2003</v>
      </c>
      <c r="EM1943" t="s">
        <v>705</v>
      </c>
      <c r="EN1943" t="s">
        <v>847</v>
      </c>
      <c r="EO1943">
        <v>2079.36</v>
      </c>
    </row>
    <row r="1944" spans="142:145" x14ac:dyDescent="0.25">
      <c r="EL1944">
        <v>2003</v>
      </c>
      <c r="EM1944" t="s">
        <v>715</v>
      </c>
      <c r="EN1944" t="s">
        <v>847</v>
      </c>
      <c r="EO1944">
        <v>2165.5360000000001</v>
      </c>
    </row>
    <row r="1945" spans="142:145" x14ac:dyDescent="0.25">
      <c r="EL1945">
        <v>2003</v>
      </c>
      <c r="EM1945" t="s">
        <v>718</v>
      </c>
      <c r="EN1945" t="s">
        <v>847</v>
      </c>
      <c r="EO1945">
        <v>2352.39</v>
      </c>
    </row>
    <row r="1946" spans="142:145" x14ac:dyDescent="0.25">
      <c r="EL1946">
        <v>2003</v>
      </c>
      <c r="EM1946" t="s">
        <v>716</v>
      </c>
      <c r="EN1946" t="s">
        <v>847</v>
      </c>
      <c r="EO1946">
        <v>1980.962</v>
      </c>
    </row>
    <row r="1947" spans="142:145" x14ac:dyDescent="0.25">
      <c r="EL1947">
        <v>2003</v>
      </c>
      <c r="EM1947" t="s">
        <v>708</v>
      </c>
      <c r="EN1947" t="s">
        <v>847</v>
      </c>
      <c r="EO1947">
        <v>1741.9829999999999</v>
      </c>
    </row>
    <row r="1948" spans="142:145" x14ac:dyDescent="0.25">
      <c r="EL1948">
        <v>2003</v>
      </c>
      <c r="EM1948" t="s">
        <v>709</v>
      </c>
      <c r="EN1948" t="s">
        <v>847</v>
      </c>
      <c r="EO1948">
        <v>2017.71</v>
      </c>
    </row>
    <row r="1949" spans="142:145" x14ac:dyDescent="0.25">
      <c r="EL1949">
        <v>2003</v>
      </c>
      <c r="EM1949" t="s">
        <v>710</v>
      </c>
      <c r="EN1949" t="s">
        <v>847</v>
      </c>
      <c r="EO1949">
        <v>1916.23</v>
      </c>
    </row>
    <row r="1950" spans="142:145" x14ac:dyDescent="0.25">
      <c r="EL1950">
        <v>2003</v>
      </c>
      <c r="EM1950" t="s">
        <v>711</v>
      </c>
      <c r="EN1950" t="s">
        <v>847</v>
      </c>
      <c r="EO1950">
        <v>2088.65</v>
      </c>
    </row>
    <row r="1951" spans="142:145" x14ac:dyDescent="0.25">
      <c r="EL1951">
        <v>2003</v>
      </c>
      <c r="EM1951" t="s">
        <v>712</v>
      </c>
      <c r="EN1951" t="s">
        <v>847</v>
      </c>
      <c r="EO1951">
        <v>2183.75</v>
      </c>
    </row>
    <row r="1952" spans="142:145" x14ac:dyDescent="0.25">
      <c r="EL1952">
        <v>2004</v>
      </c>
      <c r="EM1952" t="s">
        <v>719</v>
      </c>
      <c r="EN1952" t="s">
        <v>847</v>
      </c>
      <c r="EO1952">
        <v>1886.11</v>
      </c>
    </row>
    <row r="1953" spans="142:145" x14ac:dyDescent="0.25">
      <c r="EL1953">
        <v>2004</v>
      </c>
      <c r="EM1953" t="s">
        <v>713</v>
      </c>
      <c r="EN1953" t="s">
        <v>847</v>
      </c>
      <c r="EO1953">
        <v>2148.4499999999998</v>
      </c>
    </row>
    <row r="1954" spans="142:145" x14ac:dyDescent="0.25">
      <c r="EL1954">
        <v>2004</v>
      </c>
      <c r="EM1954" t="s">
        <v>714</v>
      </c>
      <c r="EN1954" t="s">
        <v>847</v>
      </c>
      <c r="EO1954">
        <v>2050.7600000000002</v>
      </c>
    </row>
    <row r="1955" spans="142:145" x14ac:dyDescent="0.25">
      <c r="EL1955">
        <v>2004</v>
      </c>
      <c r="EM1955" t="s">
        <v>705</v>
      </c>
      <c r="EN1955" t="s">
        <v>847</v>
      </c>
      <c r="EO1955">
        <v>2058.25</v>
      </c>
    </row>
    <row r="1956" spans="142:145" x14ac:dyDescent="0.25">
      <c r="EL1956">
        <v>2004</v>
      </c>
      <c r="EM1956" t="s">
        <v>715</v>
      </c>
      <c r="EN1956" t="s">
        <v>847</v>
      </c>
      <c r="EO1956">
        <v>1948.79</v>
      </c>
    </row>
    <row r="1957" spans="142:145" x14ac:dyDescent="0.25">
      <c r="EL1957">
        <v>2004</v>
      </c>
      <c r="EM1957" t="s">
        <v>718</v>
      </c>
      <c r="EN1957" t="s">
        <v>847</v>
      </c>
      <c r="EO1957">
        <v>1825.43</v>
      </c>
    </row>
    <row r="1958" spans="142:145" x14ac:dyDescent="0.25">
      <c r="EL1958">
        <v>2004</v>
      </c>
      <c r="EM1958" t="s">
        <v>716</v>
      </c>
      <c r="EN1958" t="s">
        <v>847</v>
      </c>
      <c r="EO1958">
        <v>2105.7800000000002</v>
      </c>
    </row>
    <row r="1959" spans="142:145" x14ac:dyDescent="0.25">
      <c r="EL1959">
        <v>2004</v>
      </c>
      <c r="EM1959" t="s">
        <v>708</v>
      </c>
      <c r="EN1959" t="s">
        <v>847</v>
      </c>
      <c r="EO1959">
        <v>2187.79</v>
      </c>
    </row>
    <row r="1960" spans="142:145" x14ac:dyDescent="0.25">
      <c r="EL1960">
        <v>2004</v>
      </c>
      <c r="EM1960" t="s">
        <v>709</v>
      </c>
      <c r="EN1960" t="s">
        <v>847</v>
      </c>
      <c r="EO1960">
        <v>1815.422</v>
      </c>
    </row>
    <row r="1961" spans="142:145" x14ac:dyDescent="0.25">
      <c r="EL1961">
        <v>2004</v>
      </c>
      <c r="EM1961" t="s">
        <v>710</v>
      </c>
      <c r="EN1961" t="s">
        <v>847</v>
      </c>
      <c r="EO1961">
        <v>1752.925</v>
      </c>
    </row>
    <row r="1962" spans="142:145" x14ac:dyDescent="0.25">
      <c r="EL1962">
        <v>2004</v>
      </c>
      <c r="EM1962" t="s">
        <v>711</v>
      </c>
      <c r="EN1962" t="s">
        <v>847</v>
      </c>
      <c r="EO1962">
        <v>1851.91</v>
      </c>
    </row>
    <row r="1963" spans="142:145" x14ac:dyDescent="0.25">
      <c r="EL1963">
        <v>2004</v>
      </c>
      <c r="EM1963" t="s">
        <v>712</v>
      </c>
      <c r="EN1963" t="s">
        <v>847</v>
      </c>
      <c r="EO1963">
        <v>1935.17</v>
      </c>
    </row>
    <row r="1964" spans="142:145" x14ac:dyDescent="0.25">
      <c r="EL1964">
        <v>2005</v>
      </c>
      <c r="EM1964" t="s">
        <v>719</v>
      </c>
      <c r="EN1964" t="s">
        <v>847</v>
      </c>
      <c r="EO1964">
        <v>2002.1659999999999</v>
      </c>
    </row>
    <row r="1965" spans="142:145" x14ac:dyDescent="0.25">
      <c r="EL1965">
        <v>2005</v>
      </c>
      <c r="EM1965" t="s">
        <v>713</v>
      </c>
      <c r="EN1965" t="s">
        <v>847</v>
      </c>
      <c r="EO1965">
        <v>1719.32</v>
      </c>
    </row>
    <row r="1966" spans="142:145" x14ac:dyDescent="0.25">
      <c r="EL1966">
        <v>2005</v>
      </c>
      <c r="EM1966" t="s">
        <v>714</v>
      </c>
      <c r="EN1966" t="s">
        <v>847</v>
      </c>
      <c r="EO1966">
        <v>2002.9</v>
      </c>
    </row>
    <row r="1967" spans="142:145" x14ac:dyDescent="0.25">
      <c r="EL1967">
        <v>2005</v>
      </c>
      <c r="EM1967" t="s">
        <v>705</v>
      </c>
      <c r="EN1967" t="s">
        <v>847</v>
      </c>
      <c r="EO1967">
        <v>2096.34</v>
      </c>
    </row>
    <row r="1968" spans="142:145" x14ac:dyDescent="0.25">
      <c r="EL1968">
        <v>2005</v>
      </c>
      <c r="EM1968" t="s">
        <v>715</v>
      </c>
      <c r="EN1968" t="s">
        <v>847</v>
      </c>
      <c r="EO1968">
        <v>1969.143</v>
      </c>
    </row>
    <row r="1969" spans="142:145" x14ac:dyDescent="0.25">
      <c r="EL1969">
        <v>2005</v>
      </c>
      <c r="EM1969" t="s">
        <v>718</v>
      </c>
      <c r="EN1969" t="s">
        <v>847</v>
      </c>
      <c r="EO1969">
        <v>1752.43</v>
      </c>
    </row>
    <row r="1970" spans="142:145" x14ac:dyDescent="0.25">
      <c r="EL1970">
        <v>2005</v>
      </c>
      <c r="EM1970" t="s">
        <v>716</v>
      </c>
      <c r="EN1970" t="s">
        <v>847</v>
      </c>
      <c r="EO1970">
        <v>1846.63</v>
      </c>
    </row>
    <row r="1971" spans="142:145" x14ac:dyDescent="0.25">
      <c r="EL1971">
        <v>2005</v>
      </c>
      <c r="EM1971" t="s">
        <v>708</v>
      </c>
      <c r="EN1971" t="s">
        <v>847</v>
      </c>
      <c r="EO1971">
        <v>1639.8209999999999</v>
      </c>
    </row>
    <row r="1972" spans="142:145" x14ac:dyDescent="0.25">
      <c r="EL1972">
        <v>2005</v>
      </c>
      <c r="EM1972" t="s">
        <v>709</v>
      </c>
      <c r="EN1972" t="s">
        <v>847</v>
      </c>
      <c r="EO1972">
        <v>1654.12</v>
      </c>
    </row>
    <row r="1973" spans="142:145" x14ac:dyDescent="0.25">
      <c r="EL1973">
        <v>2005</v>
      </c>
      <c r="EM1973" t="s">
        <v>710</v>
      </c>
      <c r="EN1973" t="s">
        <v>847</v>
      </c>
      <c r="EO1973">
        <v>1791.8689999999999</v>
      </c>
    </row>
    <row r="1974" spans="142:145" x14ac:dyDescent="0.25">
      <c r="EL1974">
        <v>2005</v>
      </c>
      <c r="EM1974" t="s">
        <v>711</v>
      </c>
      <c r="EN1974" t="s">
        <v>847</v>
      </c>
      <c r="EO1974">
        <v>1683.96</v>
      </c>
    </row>
    <row r="1975" spans="142:145" x14ac:dyDescent="0.25">
      <c r="EL1975">
        <v>2005</v>
      </c>
      <c r="EM1975" t="s">
        <v>712</v>
      </c>
      <c r="EN1975" t="s">
        <v>847</v>
      </c>
      <c r="EO1975">
        <v>1776.7159999999999</v>
      </c>
    </row>
    <row r="1976" spans="142:145" x14ac:dyDescent="0.25">
      <c r="EL1976">
        <v>2006</v>
      </c>
      <c r="EM1976" t="s">
        <v>719</v>
      </c>
      <c r="EN1976" t="s">
        <v>847</v>
      </c>
      <c r="EO1976">
        <v>1928.47</v>
      </c>
    </row>
    <row r="1977" spans="142:145" x14ac:dyDescent="0.25">
      <c r="EL1977">
        <v>2006</v>
      </c>
      <c r="EM1977" t="s">
        <v>713</v>
      </c>
      <c r="EN1977" t="s">
        <v>847</v>
      </c>
      <c r="EO1977">
        <v>1642.77</v>
      </c>
    </row>
    <row r="1978" spans="142:145" x14ac:dyDescent="0.25">
      <c r="EL1978">
        <v>2006</v>
      </c>
      <c r="EM1978" t="s">
        <v>714</v>
      </c>
      <c r="EN1978" t="s">
        <v>847</v>
      </c>
      <c r="EO1978">
        <v>1582.83</v>
      </c>
    </row>
    <row r="1979" spans="142:145" x14ac:dyDescent="0.25">
      <c r="EL1979">
        <v>2006</v>
      </c>
      <c r="EM1979" t="s">
        <v>705</v>
      </c>
      <c r="EN1979" t="s">
        <v>847</v>
      </c>
      <c r="EO1979">
        <v>1570.35</v>
      </c>
    </row>
    <row r="1980" spans="142:145" x14ac:dyDescent="0.25">
      <c r="EL1980">
        <v>2006</v>
      </c>
      <c r="EM1980" t="s">
        <v>715</v>
      </c>
      <c r="EN1980" t="s">
        <v>847</v>
      </c>
      <c r="EO1980">
        <v>1563.53</v>
      </c>
    </row>
    <row r="1981" spans="142:145" x14ac:dyDescent="0.25">
      <c r="EL1981">
        <v>2006</v>
      </c>
      <c r="EM1981" t="s">
        <v>718</v>
      </c>
      <c r="EN1981" t="s">
        <v>847</v>
      </c>
      <c r="EO1981">
        <v>1705.95</v>
      </c>
    </row>
    <row r="1982" spans="142:145" x14ac:dyDescent="0.25">
      <c r="EL1982">
        <v>2006</v>
      </c>
      <c r="EM1982" t="s">
        <v>716</v>
      </c>
      <c r="EN1982" t="s">
        <v>847</v>
      </c>
      <c r="EO1982">
        <v>1792.3520000000001</v>
      </c>
    </row>
    <row r="1983" spans="142:145" x14ac:dyDescent="0.25">
      <c r="EL1983">
        <v>2006</v>
      </c>
      <c r="EM1983" t="s">
        <v>708</v>
      </c>
      <c r="EN1983" t="s">
        <v>847</v>
      </c>
      <c r="EO1983">
        <v>1580.17</v>
      </c>
    </row>
    <row r="1984" spans="142:145" x14ac:dyDescent="0.25">
      <c r="EL1984">
        <v>2006</v>
      </c>
      <c r="EM1984" t="s">
        <v>709</v>
      </c>
      <c r="EN1984" t="s">
        <v>847</v>
      </c>
      <c r="EO1984">
        <v>1666.89</v>
      </c>
    </row>
    <row r="1985" spans="142:145" x14ac:dyDescent="0.25">
      <c r="EL1985">
        <v>2006</v>
      </c>
      <c r="EM1985" t="s">
        <v>710</v>
      </c>
      <c r="EN1985" t="s">
        <v>847</v>
      </c>
      <c r="EO1985">
        <v>1685.21</v>
      </c>
    </row>
    <row r="1986" spans="142:145" x14ac:dyDescent="0.25">
      <c r="EL1986">
        <v>2006</v>
      </c>
      <c r="EM1986" t="s">
        <v>711</v>
      </c>
      <c r="EN1986" t="s">
        <v>847</v>
      </c>
      <c r="EO1986">
        <v>1913.0550000000001</v>
      </c>
    </row>
    <row r="1987" spans="142:145" x14ac:dyDescent="0.25">
      <c r="EL1987">
        <v>2006</v>
      </c>
      <c r="EM1987" t="s">
        <v>712</v>
      </c>
      <c r="EN1987" t="s">
        <v>847</v>
      </c>
      <c r="EO1987">
        <v>1761.575</v>
      </c>
    </row>
    <row r="1988" spans="142:145" x14ac:dyDescent="0.25">
      <c r="EL1988">
        <v>2007</v>
      </c>
      <c r="EM1988" t="s">
        <v>719</v>
      </c>
      <c r="EN1988" t="s">
        <v>847</v>
      </c>
      <c r="EO1988">
        <v>1860.816</v>
      </c>
    </row>
    <row r="1989" spans="142:145" x14ac:dyDescent="0.25">
      <c r="EL1989">
        <v>2007</v>
      </c>
      <c r="EM1989" t="s">
        <v>713</v>
      </c>
      <c r="EN1989" t="s">
        <v>847</v>
      </c>
      <c r="EO1989">
        <v>1702.165</v>
      </c>
    </row>
    <row r="1990" spans="142:145" x14ac:dyDescent="0.25">
      <c r="EL1990">
        <v>2007</v>
      </c>
      <c r="EM1990" t="s">
        <v>714</v>
      </c>
      <c r="EN1990" t="s">
        <v>847</v>
      </c>
      <c r="EO1990">
        <v>2113.16</v>
      </c>
    </row>
    <row r="1991" spans="142:145" x14ac:dyDescent="0.25">
      <c r="EL1991">
        <v>2007</v>
      </c>
      <c r="EM1991" t="s">
        <v>705</v>
      </c>
      <c r="EN1991" t="s">
        <v>847</v>
      </c>
      <c r="EO1991">
        <v>2034.671</v>
      </c>
    </row>
    <row r="1992" spans="142:145" x14ac:dyDescent="0.25">
      <c r="EL1992">
        <v>2007</v>
      </c>
      <c r="EM1992" t="s">
        <v>715</v>
      </c>
      <c r="EN1992" t="s">
        <v>847</v>
      </c>
      <c r="EO1992">
        <v>1807.21</v>
      </c>
    </row>
    <row r="1993" spans="142:145" x14ac:dyDescent="0.25">
      <c r="EL1993">
        <v>2007</v>
      </c>
      <c r="EM1993" t="s">
        <v>718</v>
      </c>
      <c r="EN1993" t="s">
        <v>847</v>
      </c>
      <c r="EO1993">
        <v>1649.0450000000001</v>
      </c>
    </row>
    <row r="1994" spans="142:145" x14ac:dyDescent="0.25">
      <c r="EL1994">
        <v>2007</v>
      </c>
      <c r="EM1994" t="s">
        <v>716</v>
      </c>
      <c r="EN1994" t="s">
        <v>847</v>
      </c>
      <c r="EO1994">
        <v>1567.433</v>
      </c>
    </row>
    <row r="1995" spans="142:145" x14ac:dyDescent="0.25">
      <c r="EL1995">
        <v>2007</v>
      </c>
      <c r="EM1995" t="s">
        <v>708</v>
      </c>
      <c r="EN1995" t="s">
        <v>847</v>
      </c>
      <c r="EO1995">
        <v>1584.4</v>
      </c>
    </row>
    <row r="1996" spans="142:145" x14ac:dyDescent="0.25">
      <c r="EL1996">
        <v>2007</v>
      </c>
      <c r="EM1996" t="s">
        <v>709</v>
      </c>
      <c r="EN1996" t="s">
        <v>847</v>
      </c>
      <c r="EO1996">
        <v>1483.39</v>
      </c>
    </row>
    <row r="1997" spans="142:145" x14ac:dyDescent="0.25">
      <c r="EL1997">
        <v>2007</v>
      </c>
      <c r="EM1997" t="s">
        <v>710</v>
      </c>
      <c r="EN1997" t="s">
        <v>847</v>
      </c>
      <c r="EO1997">
        <v>1607.664</v>
      </c>
    </row>
    <row r="1998" spans="142:145" x14ac:dyDescent="0.25">
      <c r="EL1998">
        <v>2007</v>
      </c>
      <c r="EM1998" t="s">
        <v>711</v>
      </c>
      <c r="EN1998" t="s">
        <v>847</v>
      </c>
      <c r="EO1998">
        <v>1499.9929999999999</v>
      </c>
    </row>
    <row r="1999" spans="142:145" x14ac:dyDescent="0.25">
      <c r="EL1999">
        <v>2007</v>
      </c>
      <c r="EM1999" t="s">
        <v>712</v>
      </c>
      <c r="EN1999" t="s">
        <v>847</v>
      </c>
      <c r="EO1999">
        <v>1620.5989999999999</v>
      </c>
    </row>
    <row r="2000" spans="142:145" x14ac:dyDescent="0.25">
      <c r="EL2000">
        <v>2008</v>
      </c>
      <c r="EM2000" t="s">
        <v>719</v>
      </c>
      <c r="EN2000" t="s">
        <v>847</v>
      </c>
      <c r="EO2000">
        <v>1653.38</v>
      </c>
    </row>
    <row r="2001" spans="142:145" x14ac:dyDescent="0.25">
      <c r="EL2001">
        <v>2008</v>
      </c>
      <c r="EM2001" t="s">
        <v>713</v>
      </c>
      <c r="EN2001" t="s">
        <v>847</v>
      </c>
      <c r="EO2001">
        <v>1728.57945</v>
      </c>
    </row>
    <row r="2002" spans="142:145" x14ac:dyDescent="0.25">
      <c r="EL2002">
        <v>2008</v>
      </c>
      <c r="EM2002" t="s">
        <v>714</v>
      </c>
      <c r="EN2002" t="s">
        <v>847</v>
      </c>
      <c r="EO2002">
        <v>1795.502</v>
      </c>
    </row>
    <row r="2003" spans="142:145" x14ac:dyDescent="0.25">
      <c r="EL2003">
        <v>2008</v>
      </c>
      <c r="EM2003" t="s">
        <v>705</v>
      </c>
      <c r="EN2003" t="s">
        <v>847</v>
      </c>
      <c r="EO2003">
        <v>1869.27</v>
      </c>
    </row>
    <row r="2004" spans="142:145" x14ac:dyDescent="0.25">
      <c r="EL2004">
        <v>2008</v>
      </c>
      <c r="EM2004" t="s">
        <v>715</v>
      </c>
      <c r="EN2004" t="s">
        <v>847</v>
      </c>
      <c r="EO2004">
        <v>2309.3809999999999</v>
      </c>
    </row>
    <row r="2005" spans="142:145" x14ac:dyDescent="0.25">
      <c r="EL2005">
        <v>2008</v>
      </c>
      <c r="EM2005" t="s">
        <v>718</v>
      </c>
      <c r="EN2005" t="s">
        <v>847</v>
      </c>
      <c r="EO2005">
        <v>1881.0730000000001</v>
      </c>
    </row>
    <row r="2006" spans="142:145" x14ac:dyDescent="0.25">
      <c r="EL2006">
        <v>2008</v>
      </c>
      <c r="EM2006" t="s">
        <v>716</v>
      </c>
      <c r="EN2006" t="s">
        <v>847</v>
      </c>
      <c r="EO2006">
        <v>1717.5</v>
      </c>
    </row>
    <row r="2007" spans="142:145" x14ac:dyDescent="0.25">
      <c r="EL2007">
        <v>2008</v>
      </c>
      <c r="EM2007" t="s">
        <v>708</v>
      </c>
      <c r="EN2007" t="s">
        <v>847</v>
      </c>
      <c r="EO2007">
        <v>1592.193</v>
      </c>
    </row>
    <row r="2008" spans="142:145" x14ac:dyDescent="0.25">
      <c r="EL2008">
        <v>2008</v>
      </c>
      <c r="EM2008" t="s">
        <v>709</v>
      </c>
      <c r="EN2008" t="s">
        <v>847</v>
      </c>
      <c r="EO2008">
        <v>1558.6579999999999</v>
      </c>
    </row>
    <row r="2009" spans="142:145" x14ac:dyDescent="0.25">
      <c r="EL2009">
        <v>2008</v>
      </c>
      <c r="EM2009" t="s">
        <v>710</v>
      </c>
      <c r="EN2009" t="s">
        <v>847</v>
      </c>
      <c r="EO2009">
        <v>1555.0239999999999</v>
      </c>
    </row>
    <row r="2010" spans="142:145" x14ac:dyDescent="0.25">
      <c r="EL2010">
        <v>2008</v>
      </c>
      <c r="EM2010" t="s">
        <v>711</v>
      </c>
      <c r="EN2010" t="s">
        <v>847</v>
      </c>
      <c r="EO2010">
        <v>1479.231</v>
      </c>
    </row>
    <row r="2011" spans="142:145" x14ac:dyDescent="0.25">
      <c r="EL2011">
        <v>2008</v>
      </c>
      <c r="EM2011" t="s">
        <v>712</v>
      </c>
      <c r="EN2011" t="s">
        <v>847</v>
      </c>
      <c r="EO2011">
        <v>1669.2339999999999</v>
      </c>
    </row>
    <row r="2012" spans="142:145" x14ac:dyDescent="0.25">
      <c r="EL2012">
        <v>2009</v>
      </c>
      <c r="EM2012" t="s">
        <v>719</v>
      </c>
      <c r="EN2012" t="s">
        <v>847</v>
      </c>
      <c r="EO2012">
        <v>1771.1969999999999</v>
      </c>
    </row>
    <row r="2013" spans="142:145" x14ac:dyDescent="0.25">
      <c r="EL2013">
        <v>2009</v>
      </c>
      <c r="EM2013" t="s">
        <v>713</v>
      </c>
      <c r="EN2013" t="s">
        <v>847</v>
      </c>
      <c r="EO2013">
        <v>1474.3240000000001</v>
      </c>
    </row>
    <row r="2014" spans="142:145" x14ac:dyDescent="0.25">
      <c r="EL2014">
        <v>2009</v>
      </c>
      <c r="EM2014" t="s">
        <v>714</v>
      </c>
      <c r="EN2014" t="s">
        <v>847</v>
      </c>
      <c r="EO2014">
        <v>1655.88</v>
      </c>
    </row>
    <row r="2015" spans="142:145" x14ac:dyDescent="0.25">
      <c r="EL2015">
        <v>2009</v>
      </c>
      <c r="EM2015" t="s">
        <v>705</v>
      </c>
      <c r="EN2015" t="s">
        <v>847</v>
      </c>
      <c r="EO2015">
        <v>1882.028</v>
      </c>
    </row>
    <row r="2016" spans="142:145" x14ac:dyDescent="0.25">
      <c r="EL2016">
        <v>2009</v>
      </c>
      <c r="EM2016" t="s">
        <v>715</v>
      </c>
      <c r="EN2016" t="s">
        <v>847</v>
      </c>
      <c r="EO2016">
        <v>2057.2539999999999</v>
      </c>
    </row>
    <row r="2017" spans="142:145" x14ac:dyDescent="0.25">
      <c r="EL2017">
        <v>2009</v>
      </c>
      <c r="EM2017" t="s">
        <v>718</v>
      </c>
      <c r="EN2017" t="s">
        <v>847</v>
      </c>
      <c r="EO2017">
        <v>2187.2330000000002</v>
      </c>
    </row>
    <row r="2018" spans="142:145" x14ac:dyDescent="0.25">
      <c r="EL2018">
        <v>2009</v>
      </c>
      <c r="EM2018" t="s">
        <v>716</v>
      </c>
      <c r="EN2018" t="s">
        <v>847</v>
      </c>
      <c r="EO2018">
        <v>1754.566</v>
      </c>
    </row>
    <row r="2019" spans="142:145" x14ac:dyDescent="0.25">
      <c r="EL2019">
        <v>2009</v>
      </c>
      <c r="EM2019" t="s">
        <v>708</v>
      </c>
      <c r="EN2019" t="s">
        <v>847</v>
      </c>
      <c r="EO2019">
        <v>1704.6969999999999</v>
      </c>
    </row>
    <row r="2020" spans="142:145" x14ac:dyDescent="0.25">
      <c r="EL2020">
        <v>2009</v>
      </c>
      <c r="EM2020" t="s">
        <v>709</v>
      </c>
      <c r="EN2020" t="s">
        <v>847</v>
      </c>
      <c r="EO2020">
        <v>1598.89</v>
      </c>
    </row>
    <row r="2021" spans="142:145" x14ac:dyDescent="0.25">
      <c r="EL2021">
        <v>2009</v>
      </c>
      <c r="EM2021" t="s">
        <v>710</v>
      </c>
      <c r="EN2021" t="s">
        <v>847</v>
      </c>
      <c r="EO2021">
        <v>1750.847</v>
      </c>
    </row>
    <row r="2022" spans="142:145" x14ac:dyDescent="0.25">
      <c r="EL2022">
        <v>2009</v>
      </c>
      <c r="EM2022" t="s">
        <v>711</v>
      </c>
      <c r="EN2022" t="s">
        <v>847</v>
      </c>
      <c r="EO2022">
        <v>1880.9780000000001</v>
      </c>
    </row>
    <row r="2023" spans="142:145" x14ac:dyDescent="0.25">
      <c r="EL2023">
        <v>2009</v>
      </c>
      <c r="EM2023" t="s">
        <v>712</v>
      </c>
      <c r="EN2023" t="s">
        <v>847</v>
      </c>
      <c r="EO2023">
        <v>2329.0239999999999</v>
      </c>
    </row>
    <row r="2024" spans="142:145" x14ac:dyDescent="0.25">
      <c r="EL2024">
        <v>2010</v>
      </c>
      <c r="EM2024" t="s">
        <v>719</v>
      </c>
      <c r="EN2024" t="s">
        <v>847</v>
      </c>
      <c r="EO2024">
        <v>2084.5129999999999</v>
      </c>
    </row>
    <row r="2025" spans="142:145" x14ac:dyDescent="0.25">
      <c r="EL2025">
        <v>2010</v>
      </c>
      <c r="EM2025" t="s">
        <v>713</v>
      </c>
      <c r="EN2025" t="s">
        <v>847</v>
      </c>
      <c r="EO2025">
        <v>2088.9</v>
      </c>
    </row>
    <row r="2026" spans="142:145" x14ac:dyDescent="0.25">
      <c r="EL2026">
        <v>2010</v>
      </c>
      <c r="EM2026" t="s">
        <v>714</v>
      </c>
      <c r="EN2026" t="s">
        <v>847</v>
      </c>
      <c r="EO2026">
        <v>2329.4140000000002</v>
      </c>
    </row>
    <row r="2027" spans="142:145" x14ac:dyDescent="0.25">
      <c r="EL2027">
        <v>2010</v>
      </c>
      <c r="EM2027" t="s">
        <v>705</v>
      </c>
      <c r="EN2027" t="s">
        <v>847</v>
      </c>
      <c r="EO2027">
        <v>1892.4739999999999</v>
      </c>
    </row>
    <row r="2028" spans="142:145" x14ac:dyDescent="0.25">
      <c r="EL2028">
        <v>2010</v>
      </c>
      <c r="EM2028" t="s">
        <v>715</v>
      </c>
      <c r="EN2028" t="s">
        <v>847</v>
      </c>
      <c r="EO2028">
        <v>1808.7950000000001</v>
      </c>
    </row>
    <row r="2029" spans="142:145" x14ac:dyDescent="0.25">
      <c r="EL2029">
        <v>2010</v>
      </c>
      <c r="EM2029" t="s">
        <v>718</v>
      </c>
      <c r="EN2029" t="s">
        <v>847</v>
      </c>
      <c r="EO2029">
        <v>1626.5260000000001</v>
      </c>
    </row>
    <row r="2030" spans="142:145" x14ac:dyDescent="0.25">
      <c r="EL2030">
        <v>2010</v>
      </c>
      <c r="EM2030" t="s">
        <v>716</v>
      </c>
      <c r="EN2030" t="s">
        <v>847</v>
      </c>
      <c r="EO2030">
        <v>1684.4059999999999</v>
      </c>
    </row>
    <row r="2031" spans="142:145" x14ac:dyDescent="0.25">
      <c r="EL2031">
        <v>2010</v>
      </c>
      <c r="EM2031" t="s">
        <v>708</v>
      </c>
      <c r="EN2031" t="s">
        <v>847</v>
      </c>
      <c r="EO2031">
        <v>1823.748</v>
      </c>
    </row>
    <row r="2032" spans="142:145" x14ac:dyDescent="0.25">
      <c r="EL2032">
        <v>2010</v>
      </c>
      <c r="EM2032" t="s">
        <v>709</v>
      </c>
      <c r="EN2032" t="s">
        <v>847</v>
      </c>
      <c r="EO2032">
        <v>1673.19</v>
      </c>
    </row>
    <row r="2033" spans="142:145" x14ac:dyDescent="0.25">
      <c r="EL2033">
        <v>2010</v>
      </c>
      <c r="EM2033" t="s">
        <v>710</v>
      </c>
      <c r="EN2033" t="s">
        <v>847</v>
      </c>
      <c r="EO2033">
        <v>1800.905</v>
      </c>
    </row>
    <row r="2034" spans="142:145" x14ac:dyDescent="0.25">
      <c r="EL2034">
        <v>2010</v>
      </c>
      <c r="EM2034" t="s">
        <v>711</v>
      </c>
      <c r="EN2034" t="s">
        <v>847</v>
      </c>
      <c r="EO2034">
        <v>1709.2139999999999</v>
      </c>
    </row>
    <row r="2035" spans="142:145" x14ac:dyDescent="0.25">
      <c r="EL2035">
        <v>2010</v>
      </c>
      <c r="EM2035" t="s">
        <v>712</v>
      </c>
      <c r="EN2035" t="s">
        <v>847</v>
      </c>
      <c r="EO2035">
        <v>1743.942</v>
      </c>
    </row>
    <row r="2036" spans="142:145" x14ac:dyDescent="0.25">
      <c r="EL2036">
        <v>2011</v>
      </c>
      <c r="EM2036" t="s">
        <v>719</v>
      </c>
      <c r="EN2036" t="s">
        <v>847</v>
      </c>
      <c r="EO2036">
        <v>1719.644</v>
      </c>
    </row>
    <row r="2037" spans="142:145" x14ac:dyDescent="0.25">
      <c r="EL2037">
        <v>2011</v>
      </c>
      <c r="EM2037" t="s">
        <v>713</v>
      </c>
      <c r="EN2037" t="s">
        <v>847</v>
      </c>
      <c r="EO2037">
        <v>1579.623</v>
      </c>
    </row>
    <row r="2038" spans="142:145" x14ac:dyDescent="0.25">
      <c r="EL2038">
        <v>2011</v>
      </c>
      <c r="EM2038" t="s">
        <v>714</v>
      </c>
      <c r="EN2038" t="s">
        <v>847</v>
      </c>
      <c r="EO2038">
        <v>1903.643</v>
      </c>
    </row>
    <row r="2039" spans="142:145" x14ac:dyDescent="0.25">
      <c r="EL2039">
        <v>2011</v>
      </c>
      <c r="EM2039" t="s">
        <v>705</v>
      </c>
      <c r="EN2039" t="s">
        <v>847</v>
      </c>
      <c r="EO2039">
        <v>1858.386</v>
      </c>
    </row>
    <row r="2040" spans="142:145" x14ac:dyDescent="0.25">
      <c r="EL2040">
        <v>2011</v>
      </c>
      <c r="EM2040" t="s">
        <v>715</v>
      </c>
      <c r="EN2040" t="s">
        <v>847</v>
      </c>
      <c r="EO2040">
        <v>1789.61</v>
      </c>
    </row>
    <row r="2041" spans="142:145" x14ac:dyDescent="0.25">
      <c r="EL2041">
        <v>2011</v>
      </c>
      <c r="EM2041" t="s">
        <v>718</v>
      </c>
      <c r="EN2041" t="s">
        <v>847</v>
      </c>
      <c r="EO2041">
        <v>1499.55</v>
      </c>
    </row>
    <row r="2042" spans="142:145" x14ac:dyDescent="0.25">
      <c r="EL2042">
        <v>2011</v>
      </c>
      <c r="EM2042" t="s">
        <v>716</v>
      </c>
      <c r="EN2042" t="s">
        <v>847</v>
      </c>
      <c r="EO2042">
        <v>1535.646</v>
      </c>
    </row>
    <row r="2043" spans="142:145" x14ac:dyDescent="0.25">
      <c r="EL2043">
        <v>2011</v>
      </c>
      <c r="EM2043" t="s">
        <v>708</v>
      </c>
      <c r="EN2043" t="s">
        <v>847</v>
      </c>
      <c r="EO2043">
        <v>1668.2329999999999</v>
      </c>
    </row>
    <row r="2044" spans="142:145" x14ac:dyDescent="0.25">
      <c r="EL2044">
        <v>2011</v>
      </c>
      <c r="EM2044" t="s">
        <v>709</v>
      </c>
      <c r="EN2044" t="s">
        <v>847</v>
      </c>
      <c r="EO2044">
        <v>1940.559</v>
      </c>
    </row>
    <row r="2045" spans="142:145" x14ac:dyDescent="0.25">
      <c r="EL2045">
        <v>2011</v>
      </c>
      <c r="EM2045" t="s">
        <v>710</v>
      </c>
      <c r="EN2045" t="s">
        <v>847</v>
      </c>
      <c r="EO2045">
        <v>1758.579</v>
      </c>
    </row>
    <row r="2046" spans="142:145" x14ac:dyDescent="0.25">
      <c r="EL2046">
        <v>2011</v>
      </c>
      <c r="EM2046" t="s">
        <v>711</v>
      </c>
      <c r="EN2046" t="s">
        <v>847</v>
      </c>
      <c r="EO2046">
        <v>1650.107</v>
      </c>
    </row>
    <row r="2047" spans="142:145" x14ac:dyDescent="0.25">
      <c r="EL2047">
        <v>2011</v>
      </c>
      <c r="EM2047" t="s">
        <v>712</v>
      </c>
      <c r="EN2047" t="s">
        <v>847</v>
      </c>
      <c r="EO2047">
        <v>1926.6379999999999</v>
      </c>
    </row>
    <row r="2048" spans="142:145" x14ac:dyDescent="0.25">
      <c r="EL2048">
        <v>2012</v>
      </c>
      <c r="EM2048" t="s">
        <v>719</v>
      </c>
      <c r="EN2048" t="s">
        <v>847</v>
      </c>
      <c r="EO2048">
        <v>1781.6949999999999</v>
      </c>
    </row>
    <row r="2049" spans="142:145" x14ac:dyDescent="0.25">
      <c r="EL2049">
        <v>2012</v>
      </c>
      <c r="EM2049" t="s">
        <v>713</v>
      </c>
      <c r="EN2049" t="s">
        <v>847</v>
      </c>
      <c r="EO2049">
        <v>1606.8</v>
      </c>
    </row>
    <row r="2050" spans="142:145" x14ac:dyDescent="0.25">
      <c r="EL2050">
        <v>2012</v>
      </c>
      <c r="EM2050" t="s">
        <v>714</v>
      </c>
      <c r="EN2050" t="s">
        <v>847</v>
      </c>
      <c r="EO2050">
        <v>1777.096</v>
      </c>
    </row>
    <row r="2051" spans="142:145" x14ac:dyDescent="0.25">
      <c r="EL2051">
        <v>2012</v>
      </c>
      <c r="EM2051" t="s">
        <v>705</v>
      </c>
      <c r="EN2051" t="s">
        <v>847</v>
      </c>
      <c r="EO2051">
        <v>1578.931</v>
      </c>
    </row>
    <row r="2052" spans="142:145" x14ac:dyDescent="0.25">
      <c r="EL2052">
        <v>2012</v>
      </c>
      <c r="EM2052" t="s">
        <v>715</v>
      </c>
      <c r="EN2052" t="s">
        <v>847</v>
      </c>
      <c r="EO2052">
        <v>1584.7360000000001</v>
      </c>
    </row>
    <row r="2053" spans="142:145" x14ac:dyDescent="0.25">
      <c r="EL2053">
        <v>2012</v>
      </c>
      <c r="EM2053" t="s">
        <v>718</v>
      </c>
      <c r="EN2053" t="s">
        <v>847</v>
      </c>
      <c r="EO2053">
        <v>1534.731</v>
      </c>
    </row>
    <row r="2054" spans="142:145" x14ac:dyDescent="0.25">
      <c r="EL2054">
        <v>2012</v>
      </c>
      <c r="EM2054" t="s">
        <v>716</v>
      </c>
      <c r="EN2054" t="s">
        <v>847</v>
      </c>
      <c r="EO2054">
        <v>1550.086</v>
      </c>
    </row>
    <row r="2055" spans="142:145" x14ac:dyDescent="0.25">
      <c r="EL2055">
        <v>2012</v>
      </c>
      <c r="EM2055" t="s">
        <v>708</v>
      </c>
      <c r="EN2055" t="s">
        <v>847</v>
      </c>
      <c r="EO2055">
        <v>1510.3430000000001</v>
      </c>
    </row>
    <row r="2056" spans="142:145" x14ac:dyDescent="0.25">
      <c r="EL2056">
        <v>2012</v>
      </c>
      <c r="EM2056" t="s">
        <v>709</v>
      </c>
      <c r="EN2056" t="s">
        <v>847</v>
      </c>
      <c r="EO2056">
        <v>1464.9580000000001</v>
      </c>
    </row>
    <row r="2057" spans="142:145" x14ac:dyDescent="0.25">
      <c r="EL2057">
        <v>2012</v>
      </c>
      <c r="EM2057" t="s">
        <v>710</v>
      </c>
      <c r="EN2057" t="s">
        <v>847</v>
      </c>
      <c r="EO2057">
        <v>1617.806</v>
      </c>
    </row>
    <row r="2058" spans="142:145" x14ac:dyDescent="0.25">
      <c r="EL2058">
        <v>2012</v>
      </c>
      <c r="EM2058" t="s">
        <v>711</v>
      </c>
      <c r="EN2058" t="s">
        <v>847</v>
      </c>
      <c r="EO2058">
        <v>1559.6279999999999</v>
      </c>
    </row>
    <row r="2059" spans="142:145" x14ac:dyDescent="0.25">
      <c r="EL2059">
        <v>2012</v>
      </c>
      <c r="EM2059" t="s">
        <v>712</v>
      </c>
      <c r="EN2059" t="s">
        <v>847</v>
      </c>
      <c r="EO2059">
        <v>1619.473</v>
      </c>
    </row>
    <row r="2060" spans="142:145" x14ac:dyDescent="0.25">
      <c r="EL2060">
        <v>2013</v>
      </c>
      <c r="EM2060" t="s">
        <v>719</v>
      </c>
      <c r="EN2060" t="s">
        <v>847</v>
      </c>
      <c r="EO2060">
        <v>1674.5740000000001</v>
      </c>
    </row>
    <row r="2061" spans="142:145" x14ac:dyDescent="0.25">
      <c r="EL2061">
        <v>2013</v>
      </c>
      <c r="EM2061" t="s">
        <v>713</v>
      </c>
      <c r="EN2061" t="s">
        <v>847</v>
      </c>
      <c r="EO2061">
        <v>1548.269</v>
      </c>
    </row>
    <row r="2062" spans="142:145" x14ac:dyDescent="0.25">
      <c r="EL2062">
        <v>2013</v>
      </c>
      <c r="EM2062" t="s">
        <v>714</v>
      </c>
      <c r="EN2062" t="s">
        <v>847</v>
      </c>
      <c r="EO2062">
        <v>1805.471</v>
      </c>
    </row>
    <row r="2063" spans="142:145" x14ac:dyDescent="0.25">
      <c r="EL2063">
        <v>2013</v>
      </c>
      <c r="EM2063" t="s">
        <v>705</v>
      </c>
      <c r="EN2063" t="s">
        <v>847</v>
      </c>
      <c r="EO2063">
        <v>1667.058</v>
      </c>
    </row>
    <row r="2064" spans="142:145" x14ac:dyDescent="0.25">
      <c r="EL2064">
        <v>2013</v>
      </c>
      <c r="EM2064" t="s">
        <v>715</v>
      </c>
      <c r="EN2064" t="s">
        <v>847</v>
      </c>
      <c r="EO2064">
        <v>1675.8879999999999</v>
      </c>
    </row>
    <row r="2065" spans="142:145" x14ac:dyDescent="0.25">
      <c r="EL2065">
        <v>2013</v>
      </c>
      <c r="EM2065" t="s">
        <v>718</v>
      </c>
      <c r="EN2065" t="s">
        <v>847</v>
      </c>
      <c r="EO2065">
        <v>1785.643</v>
      </c>
    </row>
    <row r="2066" spans="142:145" x14ac:dyDescent="0.25">
      <c r="EL2066">
        <v>2013</v>
      </c>
      <c r="EM2066" t="s">
        <v>716</v>
      </c>
      <c r="EN2066" t="s">
        <v>847</v>
      </c>
      <c r="EO2066">
        <v>1660.694</v>
      </c>
    </row>
    <row r="2067" spans="142:145" x14ac:dyDescent="0.25">
      <c r="EL2067">
        <v>2013</v>
      </c>
      <c r="EM2067" t="s">
        <v>708</v>
      </c>
      <c r="EN2067" t="s">
        <v>847</v>
      </c>
      <c r="EO2067">
        <v>1515.752</v>
      </c>
    </row>
    <row r="2068" spans="142:145" x14ac:dyDescent="0.25">
      <c r="EL2068">
        <v>2013</v>
      </c>
      <c r="EM2068" t="s">
        <v>709</v>
      </c>
      <c r="EN2068" t="s">
        <v>847</v>
      </c>
      <c r="EO2068">
        <v>1421.432</v>
      </c>
    </row>
    <row r="2069" spans="142:145" x14ac:dyDescent="0.25">
      <c r="EL2069">
        <v>2013</v>
      </c>
      <c r="EM2069" t="s">
        <v>710</v>
      </c>
      <c r="EN2069" t="s">
        <v>847</v>
      </c>
      <c r="EO2069">
        <v>1599.384</v>
      </c>
    </row>
    <row r="2070" spans="142:145" x14ac:dyDescent="0.25">
      <c r="EL2070">
        <v>2013</v>
      </c>
      <c r="EM2070" t="s">
        <v>711</v>
      </c>
      <c r="EN2070" t="s">
        <v>847</v>
      </c>
      <c r="EO2070">
        <v>1537.9780000000001</v>
      </c>
    </row>
    <row r="2071" spans="142:145" x14ac:dyDescent="0.25">
      <c r="EL2071">
        <v>2013</v>
      </c>
      <c r="EM2071" t="s">
        <v>712</v>
      </c>
      <c r="EN2071" t="s">
        <v>847</v>
      </c>
      <c r="EO2071">
        <v>1782.144</v>
      </c>
    </row>
    <row r="2072" spans="142:145" x14ac:dyDescent="0.25">
      <c r="EL2072">
        <v>2014</v>
      </c>
      <c r="EM2072" t="s">
        <v>719</v>
      </c>
      <c r="EN2072" t="s">
        <v>847</v>
      </c>
      <c r="EO2072">
        <v>1842.712</v>
      </c>
    </row>
    <row r="2073" spans="142:145" x14ac:dyDescent="0.25">
      <c r="EL2073">
        <v>2014</v>
      </c>
      <c r="EM2073" t="s">
        <v>713</v>
      </c>
      <c r="EN2073" t="s">
        <v>847</v>
      </c>
      <c r="EO2073">
        <v>1848.6289999999999</v>
      </c>
    </row>
    <row r="2074" spans="142:145" x14ac:dyDescent="0.25">
      <c r="EL2074">
        <v>2014</v>
      </c>
      <c r="EM2074" t="s">
        <v>714</v>
      </c>
      <c r="EN2074" t="s">
        <v>847</v>
      </c>
      <c r="EO2074">
        <v>1971.028</v>
      </c>
    </row>
    <row r="2075" spans="142:145" x14ac:dyDescent="0.25">
      <c r="EL2075">
        <v>2014</v>
      </c>
      <c r="EM2075" t="s">
        <v>705</v>
      </c>
      <c r="EN2075" t="s">
        <v>847</v>
      </c>
      <c r="EO2075">
        <v>2061.86</v>
      </c>
    </row>
    <row r="2076" spans="142:145" x14ac:dyDescent="0.25">
      <c r="EL2076">
        <v>2014</v>
      </c>
      <c r="EM2076" t="s">
        <v>715</v>
      </c>
      <c r="EN2076" t="s">
        <v>847</v>
      </c>
      <c r="EO2076">
        <v>2195.3629999999998</v>
      </c>
    </row>
    <row r="2077" spans="142:145" x14ac:dyDescent="0.25">
      <c r="EL2077">
        <v>2014</v>
      </c>
      <c r="EM2077" t="s">
        <v>718</v>
      </c>
      <c r="EN2077" t="s">
        <v>847</v>
      </c>
      <c r="EO2077">
        <v>1831.6279999999999</v>
      </c>
    </row>
    <row r="2078" spans="142:145" x14ac:dyDescent="0.25">
      <c r="EL2078">
        <v>2014</v>
      </c>
      <c r="EM2078" t="s">
        <v>716</v>
      </c>
      <c r="EN2078" t="s">
        <v>847</v>
      </c>
      <c r="EO2078">
        <v>1714.771</v>
      </c>
    </row>
    <row r="2079" spans="142:145" x14ac:dyDescent="0.25">
      <c r="EL2079">
        <v>2014</v>
      </c>
      <c r="EM2079" t="s">
        <v>708</v>
      </c>
      <c r="EN2079" t="s">
        <v>847</v>
      </c>
      <c r="EO2079">
        <v>1652.0139999999999</v>
      </c>
    </row>
    <row r="2080" spans="142:145" x14ac:dyDescent="0.25">
      <c r="EL2080">
        <v>2014</v>
      </c>
      <c r="EM2080" t="s">
        <v>709</v>
      </c>
      <c r="EN2080" t="s">
        <v>847</v>
      </c>
      <c r="EO2080">
        <v>1555.972</v>
      </c>
    </row>
    <row r="2081" spans="142:145" x14ac:dyDescent="0.25">
      <c r="EL2081">
        <v>2014</v>
      </c>
      <c r="EM2081" t="s">
        <v>710</v>
      </c>
      <c r="EN2081" t="s">
        <v>847</v>
      </c>
      <c r="EO2081">
        <v>1623</v>
      </c>
    </row>
    <row r="2082" spans="142:145" x14ac:dyDescent="0.25">
      <c r="EL2082">
        <v>2014</v>
      </c>
      <c r="EM2082" t="s">
        <v>711</v>
      </c>
      <c r="EN2082" t="s">
        <v>847</v>
      </c>
      <c r="EO2082">
        <v>1594.71</v>
      </c>
    </row>
    <row r="2083" spans="142:145" x14ac:dyDescent="0.25">
      <c r="EL2083">
        <v>2014</v>
      </c>
      <c r="EM2083" t="s">
        <v>712</v>
      </c>
      <c r="EN2083" t="s">
        <v>847</v>
      </c>
      <c r="EO2083">
        <v>1817.18</v>
      </c>
    </row>
    <row r="2084" spans="142:145" x14ac:dyDescent="0.25">
      <c r="EL2084">
        <v>2015</v>
      </c>
      <c r="EM2084" t="s">
        <v>719</v>
      </c>
      <c r="EN2084" t="s">
        <v>847</v>
      </c>
      <c r="EO2084">
        <v>1892.21</v>
      </c>
    </row>
    <row r="2085" spans="142:145" x14ac:dyDescent="0.25">
      <c r="EL2085">
        <v>2015</v>
      </c>
      <c r="EM2085" t="s">
        <v>713</v>
      </c>
      <c r="EN2085" t="s">
        <v>847</v>
      </c>
      <c r="EO2085">
        <v>1570.58</v>
      </c>
    </row>
    <row r="2086" spans="142:145" x14ac:dyDescent="0.25">
      <c r="EL2086">
        <v>2015</v>
      </c>
      <c r="EM2086" t="s">
        <v>714</v>
      </c>
      <c r="EN2086" t="s">
        <v>847</v>
      </c>
      <c r="EO2086">
        <v>2158.1999999999998</v>
      </c>
    </row>
    <row r="2087" spans="142:145" x14ac:dyDescent="0.25">
      <c r="EL2087">
        <v>2015</v>
      </c>
      <c r="EM2087" t="s">
        <v>705</v>
      </c>
      <c r="EN2087" t="s">
        <v>847</v>
      </c>
      <c r="EO2087">
        <v>1939.78</v>
      </c>
    </row>
    <row r="2088" spans="142:145" x14ac:dyDescent="0.25">
      <c r="EL2088">
        <v>2015</v>
      </c>
      <c r="EM2088" t="s">
        <v>715</v>
      </c>
      <c r="EN2088" t="s">
        <v>847</v>
      </c>
      <c r="EO2088">
        <v>1737.21</v>
      </c>
    </row>
    <row r="2089" spans="142:145" x14ac:dyDescent="0.25">
      <c r="EL2089">
        <v>2015</v>
      </c>
      <c r="EM2089" t="s">
        <v>718</v>
      </c>
      <c r="EN2089" t="s">
        <v>847</v>
      </c>
      <c r="EO2089">
        <v>1884.05</v>
      </c>
    </row>
    <row r="2090" spans="142:145" x14ac:dyDescent="0.25">
      <c r="EL2090">
        <v>2015</v>
      </c>
      <c r="EM2090" t="s">
        <v>716</v>
      </c>
      <c r="EN2090" t="s">
        <v>847</v>
      </c>
      <c r="EO2090">
        <v>1800.42</v>
      </c>
    </row>
    <row r="2091" spans="142:145" x14ac:dyDescent="0.25">
      <c r="EL2091">
        <v>2015</v>
      </c>
      <c r="EM2091" t="s">
        <v>708</v>
      </c>
      <c r="EN2091" t="s">
        <v>847</v>
      </c>
      <c r="EO2091">
        <v>1545.52</v>
      </c>
    </row>
    <row r="2092" spans="142:145" x14ac:dyDescent="0.25">
      <c r="EL2092">
        <v>2015</v>
      </c>
      <c r="EM2092" t="s">
        <v>709</v>
      </c>
      <c r="EN2092" t="s">
        <v>847</v>
      </c>
      <c r="EO2092">
        <v>1441.48</v>
      </c>
    </row>
    <row r="2093" spans="142:145" x14ac:dyDescent="0.25">
      <c r="EL2093">
        <v>2015</v>
      </c>
      <c r="EM2093" t="s">
        <v>710</v>
      </c>
      <c r="EN2093" t="s">
        <v>847</v>
      </c>
      <c r="EO2093">
        <v>1572.16</v>
      </c>
    </row>
    <row r="2094" spans="142:145" x14ac:dyDescent="0.25">
      <c r="EL2094">
        <v>2015</v>
      </c>
      <c r="EM2094" t="s">
        <v>711</v>
      </c>
      <c r="EN2094" t="s">
        <v>847</v>
      </c>
      <c r="EO2094">
        <v>1488.68</v>
      </c>
    </row>
    <row r="2095" spans="142:145" x14ac:dyDescent="0.25">
      <c r="EL2095">
        <v>2015</v>
      </c>
      <c r="EM2095" t="s">
        <v>712</v>
      </c>
      <c r="EN2095" t="s">
        <v>847</v>
      </c>
      <c r="EO2095">
        <v>1676.18</v>
      </c>
    </row>
    <row r="2096" spans="142:145" x14ac:dyDescent="0.25">
      <c r="EL2096">
        <v>2016</v>
      </c>
      <c r="EM2096" t="s">
        <v>719</v>
      </c>
      <c r="EN2096" t="s">
        <v>847</v>
      </c>
      <c r="EO2096">
        <v>1742.19</v>
      </c>
    </row>
    <row r="2097" spans="142:145" x14ac:dyDescent="0.25">
      <c r="EL2097">
        <v>2016</v>
      </c>
      <c r="EM2097" t="s">
        <v>713</v>
      </c>
      <c r="EN2097" t="s">
        <v>847</v>
      </c>
      <c r="EO2097">
        <v>1986.4</v>
      </c>
    </row>
    <row r="2098" spans="142:145" x14ac:dyDescent="0.25">
      <c r="EL2098">
        <v>2016</v>
      </c>
      <c r="EM2098" t="s">
        <v>714</v>
      </c>
      <c r="EN2098" t="s">
        <v>847</v>
      </c>
      <c r="EO2098">
        <v>1840.63</v>
      </c>
    </row>
    <row r="2099" spans="142:145" x14ac:dyDescent="0.25">
      <c r="EL2099">
        <v>2016</v>
      </c>
      <c r="EM2099" t="s">
        <v>705</v>
      </c>
      <c r="EN2099" t="s">
        <v>847</v>
      </c>
      <c r="EO2099">
        <v>1625.83</v>
      </c>
    </row>
    <row r="2100" spans="142:145" x14ac:dyDescent="0.25">
      <c r="EL2100">
        <v>2016</v>
      </c>
      <c r="EM2100" t="s">
        <v>715</v>
      </c>
      <c r="EN2100" t="s">
        <v>847</v>
      </c>
      <c r="EO2100">
        <v>1809.01</v>
      </c>
    </row>
    <row r="2101" spans="142:145" x14ac:dyDescent="0.25">
      <c r="EL2101">
        <v>2016</v>
      </c>
      <c r="EM2101" t="s">
        <v>718</v>
      </c>
      <c r="EN2101" t="s">
        <v>847</v>
      </c>
      <c r="EO2101">
        <v>1561.27</v>
      </c>
    </row>
    <row r="2102" spans="142:145" x14ac:dyDescent="0.25">
      <c r="EL2102">
        <v>2016</v>
      </c>
      <c r="EM2102" t="s">
        <v>716</v>
      </c>
      <c r="EN2102" t="s">
        <v>847</v>
      </c>
      <c r="EO2102">
        <v>1580.83</v>
      </c>
    </row>
    <row r="2103" spans="142:145" x14ac:dyDescent="0.25">
      <c r="EL2103">
        <v>2016</v>
      </c>
      <c r="EM2103" t="s">
        <v>708</v>
      </c>
      <c r="EN2103" t="s">
        <v>847</v>
      </c>
      <c r="EO2103">
        <v>1489.18</v>
      </c>
    </row>
    <row r="2104" spans="142:145" x14ac:dyDescent="0.25">
      <c r="EL2104">
        <v>2016</v>
      </c>
      <c r="EM2104" t="s">
        <v>709</v>
      </c>
      <c r="EN2104" t="s">
        <v>847</v>
      </c>
      <c r="EO2104">
        <v>1417.54</v>
      </c>
    </row>
    <row r="2105" spans="142:145" x14ac:dyDescent="0.25">
      <c r="EL2105">
        <v>2016</v>
      </c>
      <c r="EM2105" t="s">
        <v>710</v>
      </c>
      <c r="EN2105" t="s">
        <v>847</v>
      </c>
      <c r="EO2105">
        <v>1438.43</v>
      </c>
    </row>
    <row r="2106" spans="142:145" x14ac:dyDescent="0.25">
      <c r="EL2106">
        <v>2016</v>
      </c>
      <c r="EM2106" t="s">
        <v>711</v>
      </c>
      <c r="EN2106" t="s">
        <v>847</v>
      </c>
      <c r="EO2106">
        <v>1352.55</v>
      </c>
    </row>
    <row r="2107" spans="142:145" x14ac:dyDescent="0.25">
      <c r="EL2107">
        <v>2016</v>
      </c>
      <c r="EM2107" t="s">
        <v>712</v>
      </c>
      <c r="EN2107" t="s">
        <v>847</v>
      </c>
      <c r="EO2107">
        <v>1477.42</v>
      </c>
    </row>
    <row r="2108" spans="142:145" x14ac:dyDescent="0.25">
      <c r="EL2108">
        <v>2017</v>
      </c>
      <c r="EM2108" t="s">
        <v>719</v>
      </c>
      <c r="EN2108" t="s">
        <v>847</v>
      </c>
      <c r="EO2108">
        <v>1559.74</v>
      </c>
    </row>
    <row r="2109" spans="142:145" x14ac:dyDescent="0.25">
      <c r="EL2109">
        <v>2017</v>
      </c>
      <c r="EM2109" t="s">
        <v>713</v>
      </c>
      <c r="EN2109" t="s">
        <v>847</v>
      </c>
      <c r="EO2109">
        <v>1318.88</v>
      </c>
    </row>
    <row r="2110" spans="142:145" x14ac:dyDescent="0.25">
      <c r="EL2110">
        <v>2017</v>
      </c>
      <c r="EM2110" t="s">
        <v>714</v>
      </c>
      <c r="EN2110" t="s">
        <v>847</v>
      </c>
      <c r="EO2110">
        <v>1532.34</v>
      </c>
    </row>
    <row r="2111" spans="142:145" x14ac:dyDescent="0.25">
      <c r="EL2111">
        <v>2017</v>
      </c>
      <c r="EM2111" t="s">
        <v>705</v>
      </c>
      <c r="EN2111" t="s">
        <v>847</v>
      </c>
      <c r="EO2111">
        <v>1584.08</v>
      </c>
    </row>
    <row r="2112" spans="142:145" x14ac:dyDescent="0.25">
      <c r="EL2112">
        <v>2017</v>
      </c>
      <c r="EM2112" t="s">
        <v>715</v>
      </c>
      <c r="EN2112" t="s">
        <v>847</v>
      </c>
      <c r="EO2112">
        <v>1697.82</v>
      </c>
    </row>
    <row r="2113" spans="142:145" x14ac:dyDescent="0.25">
      <c r="EL2113">
        <v>2017</v>
      </c>
      <c r="EM2113" t="s">
        <v>718</v>
      </c>
      <c r="EN2113" t="s">
        <v>847</v>
      </c>
      <c r="EO2113">
        <v>1457.99</v>
      </c>
    </row>
    <row r="2114" spans="142:145" x14ac:dyDescent="0.25">
      <c r="EL2114">
        <v>2017</v>
      </c>
      <c r="EM2114" t="s">
        <v>716</v>
      </c>
      <c r="EN2114" t="s">
        <v>847</v>
      </c>
      <c r="EO2114">
        <v>1580.73</v>
      </c>
    </row>
    <row r="2115" spans="142:145" x14ac:dyDescent="0.25">
      <c r="EL2115">
        <v>2017</v>
      </c>
      <c r="EM2115" t="s">
        <v>708</v>
      </c>
      <c r="EN2115" t="s">
        <v>847</v>
      </c>
      <c r="EO2115">
        <v>1689.89</v>
      </c>
    </row>
    <row r="2116" spans="142:145" x14ac:dyDescent="0.25">
      <c r="EL2116">
        <v>2017</v>
      </c>
      <c r="EM2116" t="s">
        <v>709</v>
      </c>
      <c r="EN2116" t="s">
        <v>847</v>
      </c>
      <c r="EO2116">
        <v>1478.17</v>
      </c>
    </row>
    <row r="2117" spans="142:145" x14ac:dyDescent="0.25">
      <c r="EL2117">
        <v>2017</v>
      </c>
      <c r="EM2117" t="s">
        <v>710</v>
      </c>
      <c r="EN2117" t="s">
        <v>847</v>
      </c>
      <c r="EO2117">
        <v>1442.33</v>
      </c>
    </row>
    <row r="2118" spans="142:145" x14ac:dyDescent="0.25">
      <c r="EL2118">
        <v>2017</v>
      </c>
      <c r="EM2118" t="s">
        <v>711</v>
      </c>
      <c r="EN2118" t="s">
        <v>847</v>
      </c>
      <c r="EO2118">
        <v>1440.57</v>
      </c>
    </row>
    <row r="2119" spans="142:145" x14ac:dyDescent="0.25">
      <c r="EL2119">
        <v>2017</v>
      </c>
      <c r="EM2119" t="s">
        <v>712</v>
      </c>
      <c r="EN2119" t="s">
        <v>847</v>
      </c>
      <c r="EO2119">
        <v>1417.55</v>
      </c>
    </row>
    <row r="2120" spans="142:145" x14ac:dyDescent="0.25">
      <c r="EL2120">
        <v>2018</v>
      </c>
      <c r="EM2120" t="s">
        <v>719</v>
      </c>
      <c r="EN2120" t="s">
        <v>847</v>
      </c>
      <c r="EO2120">
        <v>1437.26</v>
      </c>
    </row>
    <row r="2121" spans="142:145" x14ac:dyDescent="0.25">
      <c r="EL2121">
        <v>2018</v>
      </c>
      <c r="EM2121" t="s">
        <v>713</v>
      </c>
      <c r="EN2121" t="s">
        <v>847</v>
      </c>
      <c r="EO2121">
        <v>1516.33</v>
      </c>
    </row>
    <row r="2122" spans="142:145" x14ac:dyDescent="0.25">
      <c r="EL2122">
        <v>2018</v>
      </c>
      <c r="EM2122" t="s">
        <v>714</v>
      </c>
      <c r="EN2122" t="s">
        <v>847</v>
      </c>
      <c r="EO2122">
        <v>1584.84</v>
      </c>
    </row>
    <row r="2123" spans="142:145" x14ac:dyDescent="0.25">
      <c r="EL2123">
        <v>2018</v>
      </c>
      <c r="EM2123" t="s">
        <v>705</v>
      </c>
      <c r="EN2123" t="s">
        <v>847</v>
      </c>
      <c r="EO2123">
        <v>1549.46</v>
      </c>
    </row>
    <row r="2124" spans="142:145" x14ac:dyDescent="0.25">
      <c r="EL2124">
        <v>2018</v>
      </c>
      <c r="EM2124" t="s">
        <v>715</v>
      </c>
      <c r="EN2124" t="s">
        <v>847</v>
      </c>
      <c r="EO2124">
        <v>1924.94</v>
      </c>
    </row>
    <row r="2125" spans="142:145" x14ac:dyDescent="0.25">
      <c r="EL2125">
        <v>2018</v>
      </c>
      <c r="EM2125" t="s">
        <v>718</v>
      </c>
      <c r="EN2125" t="s">
        <v>847</v>
      </c>
      <c r="EO2125">
        <v>1869.44</v>
      </c>
    </row>
    <row r="2126" spans="142:145" x14ac:dyDescent="0.25">
      <c r="EL2126">
        <v>2018</v>
      </c>
      <c r="EM2126" t="s">
        <v>716</v>
      </c>
      <c r="EN2126" t="s">
        <v>847</v>
      </c>
      <c r="EO2126">
        <v>1760.2</v>
      </c>
    </row>
    <row r="2127" spans="142:145" x14ac:dyDescent="0.25">
      <c r="EL2127">
        <v>2018</v>
      </c>
      <c r="EM2127" t="s">
        <v>708</v>
      </c>
      <c r="EN2127" t="s">
        <v>847</v>
      </c>
      <c r="EO2127">
        <v>1769.18</v>
      </c>
    </row>
    <row r="2128" spans="142:145" x14ac:dyDescent="0.25">
      <c r="EL2128">
        <v>2018</v>
      </c>
      <c r="EM2128" t="s">
        <v>709</v>
      </c>
      <c r="EN2128" t="s">
        <v>847</v>
      </c>
      <c r="EO2128">
        <v>2067.4899999999998</v>
      </c>
    </row>
    <row r="2129" spans="142:145" x14ac:dyDescent="0.25">
      <c r="EL2129">
        <v>2018</v>
      </c>
      <c r="EM2129" t="s">
        <v>710</v>
      </c>
      <c r="EN2129" t="s">
        <v>847</v>
      </c>
      <c r="EO2129">
        <v>1872.7</v>
      </c>
    </row>
    <row r="2130" spans="142:145" x14ac:dyDescent="0.25">
      <c r="EL2130">
        <v>2018</v>
      </c>
      <c r="EM2130" t="s">
        <v>711</v>
      </c>
      <c r="EN2130" t="s">
        <v>847</v>
      </c>
      <c r="EO2130">
        <v>2166.6</v>
      </c>
    </row>
    <row r="2131" spans="142:145" x14ac:dyDescent="0.25">
      <c r="EL2131">
        <v>2018</v>
      </c>
      <c r="EM2131" t="s">
        <v>712</v>
      </c>
      <c r="EN2131" t="s">
        <v>847</v>
      </c>
      <c r="EO2131">
        <v>2207.7800000000002</v>
      </c>
    </row>
    <row r="2132" spans="142:145" x14ac:dyDescent="0.25">
      <c r="EL2132">
        <v>2019</v>
      </c>
      <c r="EM2132" t="s">
        <v>719</v>
      </c>
      <c r="EN2132" t="s">
        <v>847</v>
      </c>
      <c r="EO2132">
        <v>2182.5500000000002</v>
      </c>
    </row>
    <row r="2133" spans="142:145" x14ac:dyDescent="0.25">
      <c r="EL2133">
        <v>2019</v>
      </c>
      <c r="EM2133" t="s">
        <v>713</v>
      </c>
      <c r="EN2133" t="s">
        <v>847</v>
      </c>
      <c r="EO2133">
        <v>1972.99</v>
      </c>
    </row>
    <row r="2134" spans="142:145" x14ac:dyDescent="0.25">
      <c r="EL2134">
        <v>2019</v>
      </c>
      <c r="EM2134" t="s">
        <v>714</v>
      </c>
      <c r="EN2134" t="s">
        <v>847</v>
      </c>
      <c r="EO2134">
        <v>2192.5100000000002</v>
      </c>
    </row>
    <row r="2135" spans="142:145" x14ac:dyDescent="0.25">
      <c r="EL2135">
        <v>2019</v>
      </c>
      <c r="EM2135" t="s">
        <v>705</v>
      </c>
      <c r="EN2135" t="s">
        <v>847</v>
      </c>
      <c r="EO2135">
        <v>1762.55</v>
      </c>
    </row>
    <row r="2136" spans="142:145" x14ac:dyDescent="0.25">
      <c r="EL2136">
        <v>2019</v>
      </c>
      <c r="EM2136" t="s">
        <v>715</v>
      </c>
      <c r="EN2136" t="s">
        <v>847</v>
      </c>
      <c r="EO2136">
        <v>1909.11</v>
      </c>
    </row>
    <row r="2137" spans="142:145" x14ac:dyDescent="0.25">
      <c r="EL2137">
        <v>2019</v>
      </c>
      <c r="EM2137" t="s">
        <v>718</v>
      </c>
      <c r="EN2137" t="s">
        <v>847</v>
      </c>
      <c r="EO2137">
        <v>1595.47</v>
      </c>
    </row>
    <row r="2138" spans="142:145" x14ac:dyDescent="0.25">
      <c r="EL2138">
        <v>2019</v>
      </c>
      <c r="EM2138" t="s">
        <v>716</v>
      </c>
      <c r="EN2138" t="s">
        <v>847</v>
      </c>
      <c r="EO2138">
        <v>1595.32</v>
      </c>
    </row>
    <row r="2139" spans="142:145" x14ac:dyDescent="0.25">
      <c r="EL2139">
        <v>2019</v>
      </c>
      <c r="EM2139" t="s">
        <v>708</v>
      </c>
      <c r="EN2139" t="s">
        <v>847</v>
      </c>
      <c r="EO2139">
        <v>1419.07</v>
      </c>
    </row>
    <row r="2140" spans="142:145" x14ac:dyDescent="0.25">
      <c r="EL2140">
        <v>2019</v>
      </c>
      <c r="EM2140" t="s">
        <v>709</v>
      </c>
      <c r="EN2140" t="s">
        <v>847</v>
      </c>
      <c r="EO2140">
        <v>1660.52</v>
      </c>
    </row>
    <row r="2141" spans="142:145" x14ac:dyDescent="0.25">
      <c r="EL2141">
        <v>2019</v>
      </c>
      <c r="EM2141" t="s">
        <v>710</v>
      </c>
      <c r="EN2141" t="s">
        <v>847</v>
      </c>
      <c r="EO2141">
        <v>1605.63</v>
      </c>
    </row>
    <row r="2142" spans="142:145" x14ac:dyDescent="0.25">
      <c r="EL2142">
        <v>2019</v>
      </c>
      <c r="EM2142" t="s">
        <v>711</v>
      </c>
      <c r="EN2142" t="s">
        <v>847</v>
      </c>
      <c r="EO2142">
        <v>1869.44</v>
      </c>
    </row>
    <row r="2143" spans="142:145" x14ac:dyDescent="0.25">
      <c r="EL2143">
        <v>2019</v>
      </c>
      <c r="EM2143" t="s">
        <v>712</v>
      </c>
      <c r="EN2143" t="s">
        <v>847</v>
      </c>
      <c r="EO2143">
        <v>1666.75</v>
      </c>
    </row>
    <row r="2144" spans="142:145" x14ac:dyDescent="0.25">
      <c r="EL2144">
        <v>2020</v>
      </c>
      <c r="EM2144" t="s">
        <v>719</v>
      </c>
      <c r="EN2144" t="s">
        <v>847</v>
      </c>
      <c r="EO2144">
        <v>1683.72</v>
      </c>
    </row>
    <row r="2145" spans="142:145" x14ac:dyDescent="0.25">
      <c r="EL2145">
        <v>2020</v>
      </c>
      <c r="EM2145" t="s">
        <v>713</v>
      </c>
      <c r="EN2145" t="s">
        <v>847</v>
      </c>
      <c r="EO2145">
        <v>1731.16</v>
      </c>
    </row>
    <row r="2146" spans="142:145" x14ac:dyDescent="0.25">
      <c r="EL2146">
        <v>2020</v>
      </c>
      <c r="EM2146" t="s">
        <v>714</v>
      </c>
      <c r="EN2146" t="s">
        <v>847</v>
      </c>
      <c r="EO2146">
        <v>1686.93</v>
      </c>
    </row>
    <row r="2147" spans="142:145" x14ac:dyDescent="0.25">
      <c r="EL2147">
        <v>2020</v>
      </c>
      <c r="EM2147" t="s">
        <v>705</v>
      </c>
      <c r="EN2147" t="s">
        <v>847</v>
      </c>
      <c r="EO2147">
        <v>1767.17</v>
      </c>
    </row>
    <row r="2148" spans="142:145" x14ac:dyDescent="0.25">
      <c r="EL2148">
        <v>2020</v>
      </c>
      <c r="EM2148" t="s">
        <v>715</v>
      </c>
      <c r="EN2148" t="s">
        <v>847</v>
      </c>
      <c r="EO2148">
        <v>1842.76</v>
      </c>
    </row>
    <row r="2149" spans="142:145" x14ac:dyDescent="0.25">
      <c r="EL2149">
        <v>2020</v>
      </c>
      <c r="EM2149" t="s">
        <v>718</v>
      </c>
      <c r="EN2149" t="s">
        <v>847</v>
      </c>
      <c r="EO2149">
        <v>1642.91</v>
      </c>
    </row>
    <row r="2150" spans="142:145" x14ac:dyDescent="0.25">
      <c r="EL2150">
        <v>2020</v>
      </c>
      <c r="EM2150" t="s">
        <v>716</v>
      </c>
      <c r="EN2150" t="s">
        <v>847</v>
      </c>
      <c r="EO2150">
        <v>1658.57</v>
      </c>
    </row>
    <row r="2151" spans="142:145" x14ac:dyDescent="0.25">
      <c r="EL2151">
        <v>2020</v>
      </c>
      <c r="EM2151" t="s">
        <v>708</v>
      </c>
      <c r="EN2151" t="s">
        <v>847</v>
      </c>
      <c r="EO2151">
        <v>1860.52</v>
      </c>
    </row>
    <row r="2152" spans="142:145" x14ac:dyDescent="0.25">
      <c r="EL2152">
        <v>2020</v>
      </c>
      <c r="EM2152" t="s">
        <v>709</v>
      </c>
      <c r="EN2152" t="s">
        <v>847</v>
      </c>
      <c r="EO2152">
        <v>1833.67</v>
      </c>
    </row>
    <row r="2153" spans="142:145" x14ac:dyDescent="0.25">
      <c r="EL2153">
        <v>2020</v>
      </c>
      <c r="EM2153" t="s">
        <v>710</v>
      </c>
      <c r="EN2153" t="s">
        <v>847</v>
      </c>
      <c r="EO2153">
        <v>1728.51</v>
      </c>
    </row>
    <row r="2154" spans="142:145" x14ac:dyDescent="0.25">
      <c r="EL2154">
        <v>2020</v>
      </c>
      <c r="EM2154" t="s">
        <v>711</v>
      </c>
      <c r="EN2154" t="s">
        <v>847</v>
      </c>
      <c r="EO2154">
        <v>1911.31</v>
      </c>
    </row>
    <row r="2155" spans="142:145" x14ac:dyDescent="0.25">
      <c r="EL2155">
        <v>2020</v>
      </c>
      <c r="EM2155" t="s">
        <v>712</v>
      </c>
      <c r="EN2155" t="s">
        <v>847</v>
      </c>
      <c r="EO2155">
        <v>2099.06</v>
      </c>
    </row>
    <row r="2156" spans="142:145" x14ac:dyDescent="0.25">
      <c r="EL2156">
        <v>2021</v>
      </c>
      <c r="EM2156" t="s">
        <v>719</v>
      </c>
      <c r="EN2156" t="s">
        <v>847</v>
      </c>
      <c r="EO2156">
        <v>1883.59</v>
      </c>
    </row>
    <row r="2157" spans="142:145" x14ac:dyDescent="0.25">
      <c r="EL2157">
        <v>2021</v>
      </c>
      <c r="EM2157" t="s">
        <v>713</v>
      </c>
      <c r="EN2157" t="s">
        <v>847</v>
      </c>
      <c r="EO2157">
        <v>1837.66</v>
      </c>
    </row>
    <row r="2158" spans="142:145" x14ac:dyDescent="0.25">
      <c r="EL2158">
        <v>2021</v>
      </c>
      <c r="EM2158" t="s">
        <v>714</v>
      </c>
      <c r="EN2158" t="s">
        <v>847</v>
      </c>
      <c r="EO2158">
        <v>2043.11</v>
      </c>
    </row>
    <row r="2159" spans="142:145" x14ac:dyDescent="0.25">
      <c r="EL2159">
        <v>2021</v>
      </c>
      <c r="EM2159" t="s">
        <v>705</v>
      </c>
      <c r="EN2159" t="s">
        <v>847</v>
      </c>
      <c r="EO2159">
        <v>1895.91</v>
      </c>
    </row>
    <row r="2160" spans="142:145" x14ac:dyDescent="0.25">
      <c r="EL2160">
        <v>2021</v>
      </c>
      <c r="EM2160" t="s">
        <v>715</v>
      </c>
      <c r="EN2160" t="s">
        <v>847</v>
      </c>
      <c r="EO2160">
        <v>1715.95</v>
      </c>
    </row>
    <row r="2161" spans="142:145" x14ac:dyDescent="0.25">
      <c r="EL2161">
        <v>2021</v>
      </c>
      <c r="EM2161" t="s">
        <v>718</v>
      </c>
      <c r="EN2161" t="s">
        <v>847</v>
      </c>
      <c r="EO2161">
        <v>1668.03</v>
      </c>
    </row>
    <row r="2162" spans="142:145" x14ac:dyDescent="0.25">
      <c r="EL2162">
        <v>2021</v>
      </c>
      <c r="EM2162" t="s">
        <v>716</v>
      </c>
      <c r="EN2162" t="s">
        <v>847</v>
      </c>
      <c r="EO2162">
        <v>1635.85</v>
      </c>
    </row>
    <row r="2163" spans="142:145" x14ac:dyDescent="0.25">
      <c r="EL2163">
        <v>2021</v>
      </c>
      <c r="EM2163" t="s">
        <v>708</v>
      </c>
      <c r="EN2163" t="s">
        <v>847</v>
      </c>
      <c r="EO2163">
        <v>1703.83</v>
      </c>
    </row>
    <row r="2164" spans="142:145" x14ac:dyDescent="0.25">
      <c r="EL2164">
        <v>2021</v>
      </c>
      <c r="EM2164" t="s">
        <v>709</v>
      </c>
      <c r="EN2164" t="s">
        <v>847</v>
      </c>
      <c r="EO2164">
        <v>1646.48</v>
      </c>
    </row>
    <row r="2165" spans="142:145" x14ac:dyDescent="0.25">
      <c r="EL2165">
        <v>2021</v>
      </c>
      <c r="EM2165" t="s">
        <v>710</v>
      </c>
      <c r="EN2165" t="s">
        <v>847</v>
      </c>
      <c r="EO2165">
        <v>1618.99</v>
      </c>
    </row>
    <row r="2166" spans="142:145" x14ac:dyDescent="0.25">
      <c r="EL2166">
        <v>2021</v>
      </c>
      <c r="EM2166" t="s">
        <v>711</v>
      </c>
      <c r="EN2166" t="s">
        <v>847</v>
      </c>
      <c r="EO2166">
        <v>1553.26</v>
      </c>
    </row>
    <row r="2167" spans="142:145" x14ac:dyDescent="0.25">
      <c r="EL2167">
        <v>2021</v>
      </c>
      <c r="EM2167" t="s">
        <v>712</v>
      </c>
      <c r="EN2167" t="s">
        <v>847</v>
      </c>
      <c r="EO2167">
        <v>1498.75</v>
      </c>
    </row>
    <row r="2168" spans="142:145" x14ac:dyDescent="0.25">
      <c r="EL2168">
        <v>2022</v>
      </c>
      <c r="EM2168" t="s">
        <v>719</v>
      </c>
      <c r="EN2168" t="s">
        <v>847</v>
      </c>
      <c r="EO2168">
        <v>1754.5</v>
      </c>
    </row>
    <row r="2169" spans="142:145" x14ac:dyDescent="0.25">
      <c r="EL2169">
        <v>2022</v>
      </c>
      <c r="EM2169" t="s">
        <v>713</v>
      </c>
      <c r="EN2169" t="s">
        <v>847</v>
      </c>
      <c r="EO2169">
        <v>1603.93</v>
      </c>
    </row>
    <row r="2170" spans="142:145" x14ac:dyDescent="0.25">
      <c r="EL2170">
        <v>2022</v>
      </c>
      <c r="EM2170" t="s">
        <v>714</v>
      </c>
      <c r="EN2170" t="s">
        <v>847</v>
      </c>
      <c r="EO2170">
        <v>1737.72</v>
      </c>
    </row>
    <row r="2171" spans="142:145" x14ac:dyDescent="0.25">
      <c r="EL2171">
        <v>2022</v>
      </c>
      <c r="EM2171" t="s">
        <v>705</v>
      </c>
      <c r="EN2171" t="s">
        <v>847</v>
      </c>
      <c r="EO2171">
        <v>1776.42</v>
      </c>
    </row>
    <row r="2172" spans="142:145" x14ac:dyDescent="0.25">
      <c r="EL2172">
        <v>2022</v>
      </c>
      <c r="EM2172" t="s">
        <v>715</v>
      </c>
      <c r="EN2172" t="s">
        <v>847</v>
      </c>
      <c r="EO2172">
        <v>1818.15</v>
      </c>
    </row>
    <row r="2173" spans="142:145" x14ac:dyDescent="0.25">
      <c r="EL2173">
        <v>2022</v>
      </c>
      <c r="EM2173" t="s">
        <v>718</v>
      </c>
      <c r="EN2173" t="s">
        <v>847</v>
      </c>
      <c r="EO2173">
        <v>1632.65</v>
      </c>
    </row>
    <row r="2174" spans="142:145" x14ac:dyDescent="0.25">
      <c r="EL2174">
        <v>2022</v>
      </c>
      <c r="EM2174" t="s">
        <v>716</v>
      </c>
      <c r="EN2174" t="s">
        <v>847</v>
      </c>
      <c r="EO2174">
        <v>1842.39</v>
      </c>
    </row>
    <row r="2175" spans="142:145" x14ac:dyDescent="0.25">
      <c r="EL2175">
        <v>2022</v>
      </c>
      <c r="EM2175" t="s">
        <v>708</v>
      </c>
      <c r="EN2175" t="s">
        <v>847</v>
      </c>
      <c r="EO2175">
        <v>1800.85</v>
      </c>
    </row>
    <row r="2176" spans="142:145" x14ac:dyDescent="0.25">
      <c r="EL2176">
        <v>2022</v>
      </c>
      <c r="EM2176" t="s">
        <v>709</v>
      </c>
      <c r="EN2176" t="s">
        <v>847</v>
      </c>
      <c r="EO2176">
        <v>1596.1</v>
      </c>
    </row>
    <row r="2177" spans="142:145" x14ac:dyDescent="0.25">
      <c r="EL2177">
        <v>2022</v>
      </c>
      <c r="EM2177" t="s">
        <v>710</v>
      </c>
      <c r="EN2177" t="s">
        <v>847</v>
      </c>
      <c r="EO2177">
        <v>1623.95</v>
      </c>
    </row>
    <row r="2178" spans="142:145" x14ac:dyDescent="0.25">
      <c r="EL2178">
        <v>2022</v>
      </c>
      <c r="EM2178" t="s">
        <v>711</v>
      </c>
      <c r="EN2178" t="s">
        <v>847</v>
      </c>
      <c r="EO2178">
        <v>1530.77</v>
      </c>
    </row>
    <row r="2179" spans="142:145" x14ac:dyDescent="0.25">
      <c r="EL2179">
        <v>2022</v>
      </c>
      <c r="EM2179" t="s">
        <v>712</v>
      </c>
      <c r="EN2179" t="s">
        <v>847</v>
      </c>
      <c r="EO2179">
        <v>1756.62</v>
      </c>
    </row>
    <row r="2180" spans="142:145" x14ac:dyDescent="0.25">
      <c r="EL2180">
        <v>2023</v>
      </c>
      <c r="EM2180" t="s">
        <v>719</v>
      </c>
      <c r="EN2180" t="s">
        <v>847</v>
      </c>
      <c r="EO2180">
        <v>1669.99</v>
      </c>
    </row>
    <row r="2181" spans="142:145" x14ac:dyDescent="0.25">
      <c r="EL2181">
        <v>2023</v>
      </c>
      <c r="EM2181" t="s">
        <v>713</v>
      </c>
      <c r="EN2181" t="s">
        <v>847</v>
      </c>
      <c r="EO2181">
        <v>1540.22</v>
      </c>
    </row>
    <row r="2182" spans="142:145" x14ac:dyDescent="0.25">
      <c r="EL2182">
        <v>2023</v>
      </c>
      <c r="EM2182" t="s">
        <v>714</v>
      </c>
      <c r="EN2182" t="s">
        <v>847</v>
      </c>
      <c r="EO2182">
        <v>1638.52</v>
      </c>
    </row>
    <row r="2183" spans="142:145" x14ac:dyDescent="0.25">
      <c r="EL2183">
        <v>2023</v>
      </c>
      <c r="EM2183" t="s">
        <v>705</v>
      </c>
      <c r="EN2183" t="s">
        <v>847</v>
      </c>
      <c r="EO2183">
        <v>1579.59</v>
      </c>
    </row>
    <row r="2184" spans="142:145" x14ac:dyDescent="0.25">
      <c r="EL2184">
        <v>2023</v>
      </c>
      <c r="EM2184" t="s">
        <v>715</v>
      </c>
      <c r="EN2184" t="s">
        <v>847</v>
      </c>
      <c r="EO2184">
        <v>1561.39</v>
      </c>
    </row>
    <row r="2185" spans="142:145" x14ac:dyDescent="0.25">
      <c r="EL2185">
        <v>2023</v>
      </c>
      <c r="EM2185" t="s">
        <v>718</v>
      </c>
      <c r="EN2185" t="s">
        <v>847</v>
      </c>
      <c r="EO2185">
        <v>1442.67</v>
      </c>
    </row>
    <row r="2186" spans="142:145" x14ac:dyDescent="0.25">
      <c r="EL2186">
        <v>2023</v>
      </c>
      <c r="EM2186" t="s">
        <v>716</v>
      </c>
      <c r="EN2186" t="s">
        <v>847</v>
      </c>
      <c r="EO2186">
        <v>1518.35</v>
      </c>
    </row>
    <row r="2187" spans="142:145" x14ac:dyDescent="0.25">
      <c r="EL2187">
        <v>2023</v>
      </c>
      <c r="EM2187" t="s">
        <v>708</v>
      </c>
      <c r="EN2187" t="s">
        <v>847</v>
      </c>
      <c r="EO2187">
        <v>1588.14</v>
      </c>
    </row>
    <row r="2188" spans="142:145" x14ac:dyDescent="0.25">
      <c r="EL2188">
        <v>2023</v>
      </c>
      <c r="EM2188" t="s">
        <v>709</v>
      </c>
      <c r="EN2188" t="s">
        <v>847</v>
      </c>
      <c r="EO2188">
        <v>1586.97</v>
      </c>
    </row>
    <row r="2189" spans="142:145" x14ac:dyDescent="0.25">
      <c r="EL2189">
        <v>1997</v>
      </c>
      <c r="EM2189" t="s">
        <v>760</v>
      </c>
      <c r="EN2189" t="s">
        <v>848</v>
      </c>
      <c r="EO2189">
        <v>132.30799999999999</v>
      </c>
    </row>
    <row r="2190" spans="142:145" x14ac:dyDescent="0.25">
      <c r="EL2190">
        <v>1997</v>
      </c>
      <c r="EM2190" t="s">
        <v>761</v>
      </c>
      <c r="EN2190" t="s">
        <v>848</v>
      </c>
      <c r="EO2190">
        <v>152.85</v>
      </c>
    </row>
    <row r="2191" spans="142:145" x14ac:dyDescent="0.25">
      <c r="EL2191">
        <v>1997</v>
      </c>
      <c r="EM2191" t="s">
        <v>762</v>
      </c>
      <c r="EN2191" t="s">
        <v>848</v>
      </c>
      <c r="EO2191">
        <v>139.376</v>
      </c>
    </row>
    <row r="2192" spans="142:145" x14ac:dyDescent="0.25">
      <c r="EL2192">
        <v>1998</v>
      </c>
      <c r="EM2192" t="s">
        <v>763</v>
      </c>
      <c r="EN2192" t="s">
        <v>848</v>
      </c>
      <c r="EO2192">
        <v>155.49600000000001</v>
      </c>
    </row>
    <row r="2193" spans="142:145" x14ac:dyDescent="0.25">
      <c r="EL2193">
        <v>1998</v>
      </c>
      <c r="EM2193" t="s">
        <v>764</v>
      </c>
      <c r="EN2193" t="s">
        <v>848</v>
      </c>
      <c r="EO2193">
        <v>175.72800000000001</v>
      </c>
    </row>
    <row r="2194" spans="142:145" x14ac:dyDescent="0.25">
      <c r="EL2194">
        <v>1998</v>
      </c>
      <c r="EM2194" t="s">
        <v>765</v>
      </c>
      <c r="EN2194" t="s">
        <v>848</v>
      </c>
      <c r="EO2194">
        <v>181.16400000000002</v>
      </c>
    </row>
    <row r="2195" spans="142:145" x14ac:dyDescent="0.25">
      <c r="EL2195">
        <v>1998</v>
      </c>
      <c r="EM2195" t="s">
        <v>767</v>
      </c>
      <c r="EN2195" t="s">
        <v>848</v>
      </c>
      <c r="EO2195">
        <v>150.57</v>
      </c>
    </row>
    <row r="2196" spans="142:145" x14ac:dyDescent="0.25">
      <c r="EL2196">
        <v>1998</v>
      </c>
      <c r="EM2196" t="s">
        <v>715</v>
      </c>
      <c r="EN2196" t="s">
        <v>848</v>
      </c>
      <c r="EO2196">
        <v>165.60199999999998</v>
      </c>
    </row>
    <row r="2197" spans="142:145" x14ac:dyDescent="0.25">
      <c r="EL2197">
        <v>1998</v>
      </c>
      <c r="EM2197" t="s">
        <v>718</v>
      </c>
      <c r="EN2197" t="s">
        <v>848</v>
      </c>
      <c r="EO2197">
        <v>138.27000000000001</v>
      </c>
    </row>
    <row r="2198" spans="142:145" x14ac:dyDescent="0.25">
      <c r="EL2198">
        <v>1998</v>
      </c>
      <c r="EM2198" t="s">
        <v>716</v>
      </c>
      <c r="EN2198" t="s">
        <v>848</v>
      </c>
      <c r="EO2198">
        <v>138.69400000000002</v>
      </c>
    </row>
    <row r="2199" spans="142:145" x14ac:dyDescent="0.25">
      <c r="EL2199">
        <v>1998</v>
      </c>
      <c r="EM2199" t="s">
        <v>768</v>
      </c>
      <c r="EN2199" t="s">
        <v>848</v>
      </c>
      <c r="EO2199">
        <v>137.48499999999999</v>
      </c>
    </row>
    <row r="2200" spans="142:145" x14ac:dyDescent="0.25">
      <c r="EL2200">
        <v>1998</v>
      </c>
      <c r="EM2200" t="s">
        <v>769</v>
      </c>
      <c r="EN2200" t="s">
        <v>848</v>
      </c>
      <c r="EO2200">
        <v>125.85000000000001</v>
      </c>
    </row>
    <row r="2201" spans="142:145" x14ac:dyDescent="0.25">
      <c r="EL2201">
        <v>1998</v>
      </c>
      <c r="EM2201" t="s">
        <v>760</v>
      </c>
      <c r="EN2201" t="s">
        <v>848</v>
      </c>
      <c r="EO2201">
        <v>124.806</v>
      </c>
    </row>
    <row r="2202" spans="142:145" x14ac:dyDescent="0.25">
      <c r="EL2202">
        <v>1998</v>
      </c>
      <c r="EM2202" t="s">
        <v>771</v>
      </c>
      <c r="EN2202" t="s">
        <v>848</v>
      </c>
      <c r="EO2202">
        <v>126.11999999999999</v>
      </c>
    </row>
    <row r="2203" spans="142:145" x14ac:dyDescent="0.25">
      <c r="EL2203">
        <v>1998</v>
      </c>
      <c r="EM2203" t="s">
        <v>762</v>
      </c>
      <c r="EN2203" t="s">
        <v>848</v>
      </c>
      <c r="EO2203">
        <v>140.399</v>
      </c>
    </row>
    <row r="2204" spans="142:145" x14ac:dyDescent="0.25">
      <c r="EL2204">
        <v>1999</v>
      </c>
      <c r="EM2204" t="s">
        <v>763</v>
      </c>
      <c r="EN2204" t="s">
        <v>848</v>
      </c>
      <c r="EO2204">
        <v>157.72800000000001</v>
      </c>
    </row>
    <row r="2205" spans="142:145" x14ac:dyDescent="0.25">
      <c r="EL2205">
        <v>1999</v>
      </c>
      <c r="EM2205" t="s">
        <v>772</v>
      </c>
      <c r="EN2205" t="s">
        <v>848</v>
      </c>
      <c r="EO2205">
        <v>130.98400000000001</v>
      </c>
    </row>
    <row r="2206" spans="142:145" x14ac:dyDescent="0.25">
      <c r="EL2206">
        <v>1999</v>
      </c>
      <c r="EM2206" t="s">
        <v>773</v>
      </c>
      <c r="EN2206" t="s">
        <v>848</v>
      </c>
      <c r="EO2206">
        <v>169.72499999999999</v>
      </c>
    </row>
    <row r="2207" spans="142:145" x14ac:dyDescent="0.25">
      <c r="EL2207">
        <v>1999</v>
      </c>
      <c r="EM2207" t="s">
        <v>774</v>
      </c>
      <c r="EN2207" t="s">
        <v>848</v>
      </c>
      <c r="EO2207">
        <v>150.75</v>
      </c>
    </row>
    <row r="2208" spans="142:145" x14ac:dyDescent="0.25">
      <c r="EL2208">
        <v>1999</v>
      </c>
      <c r="EM2208" t="s">
        <v>715</v>
      </c>
      <c r="EN2208" t="s">
        <v>848</v>
      </c>
      <c r="EO2208">
        <v>153.822</v>
      </c>
    </row>
    <row r="2209" spans="142:145" x14ac:dyDescent="0.25">
      <c r="EL2209">
        <v>1999</v>
      </c>
      <c r="EM2209" t="s">
        <v>718</v>
      </c>
      <c r="EN2209" t="s">
        <v>848</v>
      </c>
      <c r="EO2209">
        <v>135.18</v>
      </c>
    </row>
    <row r="2210" spans="142:145" x14ac:dyDescent="0.25">
      <c r="EL2210">
        <v>1999</v>
      </c>
      <c r="EM2210" t="s">
        <v>716</v>
      </c>
      <c r="EN2210" t="s">
        <v>848</v>
      </c>
      <c r="EO2210">
        <v>139.71699999999998</v>
      </c>
    </row>
    <row r="2211" spans="142:145" x14ac:dyDescent="0.25">
      <c r="EL2211">
        <v>1999</v>
      </c>
      <c r="EM2211" t="s">
        <v>708</v>
      </c>
      <c r="EN2211" t="s">
        <v>848</v>
      </c>
      <c r="EO2211">
        <v>141.60799999999998</v>
      </c>
    </row>
    <row r="2212" spans="142:145" x14ac:dyDescent="0.25">
      <c r="EL2212">
        <v>1999</v>
      </c>
      <c r="EM2212" t="s">
        <v>709</v>
      </c>
      <c r="EN2212" t="s">
        <v>848</v>
      </c>
      <c r="EO2212">
        <v>162.81</v>
      </c>
    </row>
    <row r="2213" spans="142:145" x14ac:dyDescent="0.25">
      <c r="EL2213">
        <v>1999</v>
      </c>
      <c r="EM2213" t="s">
        <v>710</v>
      </c>
      <c r="EN2213" t="s">
        <v>848</v>
      </c>
      <c r="EO2213">
        <v>147.994</v>
      </c>
    </row>
    <row r="2214" spans="142:145" x14ac:dyDescent="0.25">
      <c r="EL2214">
        <v>1999</v>
      </c>
      <c r="EM2214" t="s">
        <v>711</v>
      </c>
      <c r="EN2214" t="s">
        <v>848</v>
      </c>
      <c r="EO2214">
        <v>124.62</v>
      </c>
    </row>
    <row r="2215" spans="142:145" x14ac:dyDescent="0.25">
      <c r="EL2215">
        <v>1999</v>
      </c>
      <c r="EM2215" t="s">
        <v>712</v>
      </c>
      <c r="EN2215" t="s">
        <v>848</v>
      </c>
      <c r="EO2215">
        <v>138.50800000000001</v>
      </c>
    </row>
    <row r="2216" spans="142:145" x14ac:dyDescent="0.25">
      <c r="EL2216">
        <v>2000</v>
      </c>
      <c r="EM2216" t="s">
        <v>719</v>
      </c>
      <c r="EN2216" t="s">
        <v>848</v>
      </c>
      <c r="EO2216">
        <v>137.423</v>
      </c>
    </row>
    <row r="2217" spans="142:145" x14ac:dyDescent="0.25">
      <c r="EL2217">
        <v>2000</v>
      </c>
      <c r="EM2217" t="s">
        <v>713</v>
      </c>
      <c r="EN2217" t="s">
        <v>848</v>
      </c>
      <c r="EO2217">
        <v>137.43099999999998</v>
      </c>
    </row>
    <row r="2218" spans="142:145" x14ac:dyDescent="0.25">
      <c r="EL2218">
        <v>2000</v>
      </c>
      <c r="EM2218" t="s">
        <v>714</v>
      </c>
      <c r="EN2218" t="s">
        <v>848</v>
      </c>
      <c r="EO2218">
        <v>155.55799999999999</v>
      </c>
    </row>
    <row r="2219" spans="142:145" x14ac:dyDescent="0.25">
      <c r="EL2219">
        <v>2000</v>
      </c>
      <c r="EM2219" t="s">
        <v>705</v>
      </c>
      <c r="EN2219" t="s">
        <v>848</v>
      </c>
      <c r="EO2219">
        <v>158.16</v>
      </c>
    </row>
    <row r="2220" spans="142:145" x14ac:dyDescent="0.25">
      <c r="EL2220">
        <v>2000</v>
      </c>
      <c r="EM2220" t="s">
        <v>715</v>
      </c>
      <c r="EN2220" t="s">
        <v>848</v>
      </c>
      <c r="EO2220">
        <v>138.322</v>
      </c>
    </row>
    <row r="2221" spans="142:145" x14ac:dyDescent="0.25">
      <c r="EL2221">
        <v>2000</v>
      </c>
      <c r="EM2221" t="s">
        <v>718</v>
      </c>
      <c r="EN2221" t="s">
        <v>848</v>
      </c>
      <c r="EO2221">
        <v>144</v>
      </c>
    </row>
    <row r="2222" spans="142:145" x14ac:dyDescent="0.25">
      <c r="EL2222">
        <v>2000</v>
      </c>
      <c r="EM2222" t="s">
        <v>716</v>
      </c>
      <c r="EN2222" t="s">
        <v>848</v>
      </c>
      <c r="EO2222">
        <v>113.42899999999999</v>
      </c>
    </row>
    <row r="2223" spans="142:145" x14ac:dyDescent="0.25">
      <c r="EL2223">
        <v>2000</v>
      </c>
      <c r="EM2223" t="s">
        <v>708</v>
      </c>
      <c r="EN2223" t="s">
        <v>848</v>
      </c>
      <c r="EO2223">
        <v>138.54000000000002</v>
      </c>
    </row>
    <row r="2224" spans="142:145" x14ac:dyDescent="0.25">
      <c r="EL2224">
        <v>2000</v>
      </c>
      <c r="EM2224" t="s">
        <v>709</v>
      </c>
      <c r="EN2224" t="s">
        <v>848</v>
      </c>
      <c r="EO2224">
        <v>154.34899999999999</v>
      </c>
    </row>
    <row r="2225" spans="142:145" x14ac:dyDescent="0.25">
      <c r="EL2225">
        <v>2000</v>
      </c>
      <c r="EM2225" t="s">
        <v>710</v>
      </c>
      <c r="EN2225" t="s">
        <v>848</v>
      </c>
      <c r="EO2225">
        <v>148.55199999999999</v>
      </c>
    </row>
    <row r="2226" spans="142:145" x14ac:dyDescent="0.25">
      <c r="EL2226">
        <v>2000</v>
      </c>
      <c r="EM2226" t="s">
        <v>711</v>
      </c>
      <c r="EN2226" t="s">
        <v>848</v>
      </c>
      <c r="EO2226">
        <v>114.03</v>
      </c>
    </row>
    <row r="2227" spans="142:145" x14ac:dyDescent="0.25">
      <c r="EL2227">
        <v>2000</v>
      </c>
      <c r="EM2227" t="s">
        <v>712</v>
      </c>
      <c r="EN2227" t="s">
        <v>848</v>
      </c>
      <c r="EO2227">
        <v>148.67600000000002</v>
      </c>
    </row>
    <row r="2228" spans="142:145" x14ac:dyDescent="0.25">
      <c r="EL2228">
        <v>2001</v>
      </c>
      <c r="EM2228" t="s">
        <v>719</v>
      </c>
      <c r="EN2228" t="s">
        <v>848</v>
      </c>
      <c r="EO2228">
        <v>148.64500000000001</v>
      </c>
    </row>
    <row r="2229" spans="142:145" x14ac:dyDescent="0.25">
      <c r="EL2229">
        <v>2001</v>
      </c>
      <c r="EM2229" t="s">
        <v>713</v>
      </c>
      <c r="EN2229" t="s">
        <v>848</v>
      </c>
      <c r="EO2229">
        <v>131.74</v>
      </c>
    </row>
    <row r="2230" spans="142:145" x14ac:dyDescent="0.25">
      <c r="EL2230">
        <v>2001</v>
      </c>
      <c r="EM2230" t="s">
        <v>714</v>
      </c>
      <c r="EN2230" t="s">
        <v>848</v>
      </c>
      <c r="EO2230">
        <v>142.53799999999998</v>
      </c>
    </row>
    <row r="2231" spans="142:145" x14ac:dyDescent="0.25">
      <c r="EL2231">
        <v>2001</v>
      </c>
      <c r="EM2231" t="s">
        <v>705</v>
      </c>
      <c r="EN2231" t="s">
        <v>848</v>
      </c>
      <c r="EO2231">
        <v>137.64000000000001</v>
      </c>
    </row>
    <row r="2232" spans="142:145" x14ac:dyDescent="0.25">
      <c r="EL2232">
        <v>2001</v>
      </c>
      <c r="EM2232" t="s">
        <v>715</v>
      </c>
      <c r="EN2232" t="s">
        <v>848</v>
      </c>
      <c r="EO2232">
        <v>135.99699999999999</v>
      </c>
    </row>
    <row r="2233" spans="142:145" x14ac:dyDescent="0.25">
      <c r="EL2233">
        <v>2001</v>
      </c>
      <c r="EM2233" t="s">
        <v>718</v>
      </c>
      <c r="EN2233" t="s">
        <v>848</v>
      </c>
      <c r="EO2233">
        <v>143.85</v>
      </c>
    </row>
    <row r="2234" spans="142:145" x14ac:dyDescent="0.25">
      <c r="EL2234">
        <v>2001</v>
      </c>
      <c r="EM2234" t="s">
        <v>716</v>
      </c>
      <c r="EN2234" t="s">
        <v>848</v>
      </c>
      <c r="EO2234">
        <v>179.18</v>
      </c>
    </row>
    <row r="2235" spans="142:145" x14ac:dyDescent="0.25">
      <c r="EL2235">
        <v>2001</v>
      </c>
      <c r="EM2235" t="s">
        <v>708</v>
      </c>
      <c r="EN2235" t="s">
        <v>848</v>
      </c>
      <c r="EO2235">
        <v>166.68699999999998</v>
      </c>
    </row>
    <row r="2236" spans="142:145" x14ac:dyDescent="0.25">
      <c r="EL2236">
        <v>2001</v>
      </c>
      <c r="EM2236" t="s">
        <v>709</v>
      </c>
      <c r="EN2236" t="s">
        <v>848</v>
      </c>
      <c r="EO2236">
        <v>141.6</v>
      </c>
    </row>
    <row r="2237" spans="142:145" x14ac:dyDescent="0.25">
      <c r="EL2237">
        <v>2001</v>
      </c>
      <c r="EM2237" t="s">
        <v>710</v>
      </c>
      <c r="EN2237" t="s">
        <v>848</v>
      </c>
      <c r="EO2237">
        <v>120.962</v>
      </c>
    </row>
    <row r="2238" spans="142:145" x14ac:dyDescent="0.25">
      <c r="EL2238">
        <v>2001</v>
      </c>
      <c r="EM2238" t="s">
        <v>711</v>
      </c>
      <c r="EN2238" t="s">
        <v>848</v>
      </c>
      <c r="EO2238">
        <v>107.25</v>
      </c>
    </row>
    <row r="2239" spans="142:145" x14ac:dyDescent="0.25">
      <c r="EL2239">
        <v>2001</v>
      </c>
      <c r="EM2239" t="s">
        <v>712</v>
      </c>
      <c r="EN2239" t="s">
        <v>848</v>
      </c>
      <c r="EO2239">
        <v>110.825</v>
      </c>
    </row>
    <row r="2240" spans="142:145" x14ac:dyDescent="0.25">
      <c r="EL2240">
        <v>2002</v>
      </c>
      <c r="EM2240" t="s">
        <v>719</v>
      </c>
      <c r="EN2240" t="s">
        <v>848</v>
      </c>
      <c r="EO2240">
        <v>110.825</v>
      </c>
    </row>
    <row r="2241" spans="142:145" x14ac:dyDescent="0.25">
      <c r="EL2241">
        <v>2002</v>
      </c>
      <c r="EM2241" t="s">
        <v>713</v>
      </c>
      <c r="EN2241" t="s">
        <v>848</v>
      </c>
      <c r="EO2241">
        <v>98.391999999999996</v>
      </c>
    </row>
    <row r="2242" spans="142:145" x14ac:dyDescent="0.25">
      <c r="EL2242">
        <v>2002</v>
      </c>
      <c r="EM2242" t="s">
        <v>714</v>
      </c>
      <c r="EN2242" t="s">
        <v>848</v>
      </c>
      <c r="EO2242">
        <v>116.622</v>
      </c>
    </row>
    <row r="2243" spans="142:145" x14ac:dyDescent="0.25">
      <c r="EL2243">
        <v>2002</v>
      </c>
      <c r="EM2243" t="s">
        <v>705</v>
      </c>
      <c r="EN2243" t="s">
        <v>848</v>
      </c>
      <c r="EO2243">
        <v>111.17999999999999</v>
      </c>
    </row>
    <row r="2244" spans="142:145" x14ac:dyDescent="0.25">
      <c r="EL2244">
        <v>2002</v>
      </c>
      <c r="EM2244" t="s">
        <v>715</v>
      </c>
      <c r="EN2244" t="s">
        <v>848</v>
      </c>
      <c r="EO2244">
        <v>114.886</v>
      </c>
    </row>
    <row r="2245" spans="142:145" x14ac:dyDescent="0.25">
      <c r="EL2245">
        <v>2002</v>
      </c>
      <c r="EM2245" t="s">
        <v>718</v>
      </c>
      <c r="EN2245" t="s">
        <v>848</v>
      </c>
      <c r="EO2245">
        <v>111.24000000000001</v>
      </c>
    </row>
    <row r="2246" spans="142:145" x14ac:dyDescent="0.25">
      <c r="EL2246">
        <v>2002</v>
      </c>
      <c r="EM2246" t="s">
        <v>716</v>
      </c>
      <c r="EN2246" t="s">
        <v>848</v>
      </c>
      <c r="EO2246">
        <v>123.783</v>
      </c>
    </row>
    <row r="2247" spans="142:145" x14ac:dyDescent="0.25">
      <c r="EL2247">
        <v>2002</v>
      </c>
      <c r="EM2247" t="s">
        <v>708</v>
      </c>
      <c r="EN2247" t="s">
        <v>848</v>
      </c>
      <c r="EO2247">
        <v>126.20099999999999</v>
      </c>
    </row>
    <row r="2248" spans="142:145" x14ac:dyDescent="0.25">
      <c r="EL2248">
        <v>2002</v>
      </c>
      <c r="EM2248" t="s">
        <v>709</v>
      </c>
      <c r="EN2248" t="s">
        <v>848</v>
      </c>
      <c r="EO2248">
        <v>119.88</v>
      </c>
    </row>
    <row r="2249" spans="142:145" x14ac:dyDescent="0.25">
      <c r="EL2249">
        <v>2002</v>
      </c>
      <c r="EM2249" t="s">
        <v>710</v>
      </c>
      <c r="EN2249" t="s">
        <v>848</v>
      </c>
      <c r="EO2249">
        <v>127.75100000000002</v>
      </c>
    </row>
    <row r="2250" spans="142:145" x14ac:dyDescent="0.25">
      <c r="EL2250">
        <v>2002</v>
      </c>
      <c r="EM2250" t="s">
        <v>711</v>
      </c>
      <c r="EN2250" t="s">
        <v>848</v>
      </c>
      <c r="EO2250">
        <v>145.73999999999998</v>
      </c>
    </row>
    <row r="2251" spans="142:145" x14ac:dyDescent="0.25">
      <c r="EL2251">
        <v>2002</v>
      </c>
      <c r="EM2251" t="s">
        <v>712</v>
      </c>
      <c r="EN2251" t="s">
        <v>848</v>
      </c>
      <c r="EO2251">
        <v>162.161</v>
      </c>
    </row>
    <row r="2252" spans="142:145" x14ac:dyDescent="0.25">
      <c r="EL2252">
        <v>2003</v>
      </c>
      <c r="EM2252" t="s">
        <v>719</v>
      </c>
      <c r="EN2252" t="s">
        <v>848</v>
      </c>
      <c r="EO2252">
        <v>195.29999999999998</v>
      </c>
    </row>
    <row r="2253" spans="142:145" x14ac:dyDescent="0.25">
      <c r="EL2253">
        <v>2003</v>
      </c>
      <c r="EM2253" t="s">
        <v>713</v>
      </c>
      <c r="EN2253" t="s">
        <v>848</v>
      </c>
      <c r="EO2253">
        <v>123.78800000000001</v>
      </c>
    </row>
    <row r="2254" spans="142:145" x14ac:dyDescent="0.25">
      <c r="EL2254">
        <v>2003</v>
      </c>
      <c r="EM2254" t="s">
        <v>714</v>
      </c>
      <c r="EN2254" t="s">
        <v>848</v>
      </c>
      <c r="EO2254">
        <v>174.18899999999999</v>
      </c>
    </row>
    <row r="2255" spans="142:145" x14ac:dyDescent="0.25">
      <c r="EL2255">
        <v>2003</v>
      </c>
      <c r="EM2255" t="s">
        <v>705</v>
      </c>
      <c r="EN2255" t="s">
        <v>848</v>
      </c>
      <c r="EO2255">
        <v>157.14000000000001</v>
      </c>
    </row>
    <row r="2256" spans="142:145" x14ac:dyDescent="0.25">
      <c r="EL2256">
        <v>2003</v>
      </c>
      <c r="EM2256" t="s">
        <v>715</v>
      </c>
      <c r="EN2256" t="s">
        <v>848</v>
      </c>
      <c r="EO2256">
        <v>177.816</v>
      </c>
    </row>
    <row r="2257" spans="142:145" x14ac:dyDescent="0.25">
      <c r="EL2257">
        <v>2003</v>
      </c>
      <c r="EM2257" t="s">
        <v>718</v>
      </c>
      <c r="EN2257" t="s">
        <v>848</v>
      </c>
      <c r="EO2257">
        <v>198.39000000000001</v>
      </c>
    </row>
    <row r="2258" spans="142:145" x14ac:dyDescent="0.25">
      <c r="EL2258">
        <v>2003</v>
      </c>
      <c r="EM2258" t="s">
        <v>716</v>
      </c>
      <c r="EN2258" t="s">
        <v>848</v>
      </c>
      <c r="EO2258">
        <v>145.452</v>
      </c>
    </row>
    <row r="2259" spans="142:145" x14ac:dyDescent="0.25">
      <c r="EL2259">
        <v>2003</v>
      </c>
      <c r="EM2259" t="s">
        <v>708</v>
      </c>
      <c r="EN2259" t="s">
        <v>848</v>
      </c>
      <c r="EO2259">
        <v>176.48299999999998</v>
      </c>
    </row>
    <row r="2260" spans="142:145" x14ac:dyDescent="0.25">
      <c r="EL2260">
        <v>2003</v>
      </c>
      <c r="EM2260" t="s">
        <v>709</v>
      </c>
      <c r="EN2260" t="s">
        <v>848</v>
      </c>
      <c r="EO2260">
        <v>159.24</v>
      </c>
    </row>
    <row r="2261" spans="142:145" x14ac:dyDescent="0.25">
      <c r="EL2261">
        <v>2003</v>
      </c>
      <c r="EM2261" t="s">
        <v>710</v>
      </c>
      <c r="EN2261" t="s">
        <v>848</v>
      </c>
      <c r="EO2261">
        <v>155.09100000000001</v>
      </c>
    </row>
    <row r="2262" spans="142:145" x14ac:dyDescent="0.25">
      <c r="EL2262">
        <v>2003</v>
      </c>
      <c r="EM2262" t="s">
        <v>711</v>
      </c>
      <c r="EN2262" t="s">
        <v>848</v>
      </c>
      <c r="EO2262">
        <v>170.822</v>
      </c>
    </row>
    <row r="2263" spans="142:145" x14ac:dyDescent="0.25">
      <c r="EL2263">
        <v>2003</v>
      </c>
      <c r="EM2263" t="s">
        <v>712</v>
      </c>
      <c r="EN2263" t="s">
        <v>848</v>
      </c>
      <c r="EO2263">
        <v>191.012</v>
      </c>
    </row>
    <row r="2264" spans="142:145" x14ac:dyDescent="0.25">
      <c r="EL2264">
        <v>2004</v>
      </c>
      <c r="EM2264" t="s">
        <v>719</v>
      </c>
      <c r="EN2264" t="s">
        <v>848</v>
      </c>
      <c r="EO2264">
        <v>143.93299999999999</v>
      </c>
    </row>
    <row r="2265" spans="142:145" x14ac:dyDescent="0.25">
      <c r="EL2265">
        <v>2004</v>
      </c>
      <c r="EM2265" t="s">
        <v>713</v>
      </c>
      <c r="EN2265" t="s">
        <v>848</v>
      </c>
      <c r="EO2265">
        <v>248.90799999999999</v>
      </c>
    </row>
    <row r="2266" spans="142:145" x14ac:dyDescent="0.25">
      <c r="EL2266">
        <v>2004</v>
      </c>
      <c r="EM2266" t="s">
        <v>714</v>
      </c>
      <c r="EN2266" t="s">
        <v>848</v>
      </c>
      <c r="EO2266">
        <v>134.13399999999999</v>
      </c>
    </row>
    <row r="2267" spans="142:145" x14ac:dyDescent="0.25">
      <c r="EL2267">
        <v>2004</v>
      </c>
      <c r="EM2267" t="s">
        <v>705</v>
      </c>
      <c r="EN2267" t="s">
        <v>848</v>
      </c>
      <c r="EO2267">
        <v>140.06299999999999</v>
      </c>
    </row>
    <row r="2268" spans="142:145" x14ac:dyDescent="0.25">
      <c r="EL2268">
        <v>2004</v>
      </c>
      <c r="EM2268" t="s">
        <v>715</v>
      </c>
      <c r="EN2268" t="s">
        <v>848</v>
      </c>
      <c r="EO2268">
        <v>136.995642857143</v>
      </c>
    </row>
    <row r="2269" spans="142:145" x14ac:dyDescent="0.25">
      <c r="EL2269">
        <v>2004</v>
      </c>
      <c r="EM2269" t="s">
        <v>718</v>
      </c>
      <c r="EN2269" t="s">
        <v>848</v>
      </c>
      <c r="EO2269">
        <v>140.46289999999999</v>
      </c>
    </row>
    <row r="2270" spans="142:145" x14ac:dyDescent="0.25">
      <c r="EL2270">
        <v>2004</v>
      </c>
      <c r="EM2270" t="s">
        <v>716</v>
      </c>
      <c r="EN2270" t="s">
        <v>848</v>
      </c>
      <c r="EO2270">
        <v>147.64699999999999</v>
      </c>
    </row>
    <row r="2271" spans="142:145" x14ac:dyDescent="0.25">
      <c r="EL2271">
        <v>2004</v>
      </c>
      <c r="EM2271" t="s">
        <v>708</v>
      </c>
      <c r="EN2271" t="s">
        <v>848</v>
      </c>
      <c r="EO2271">
        <v>158.0762</v>
      </c>
    </row>
    <row r="2272" spans="142:145" x14ac:dyDescent="0.25">
      <c r="EL2272">
        <v>2004</v>
      </c>
      <c r="EM2272" t="s">
        <v>709</v>
      </c>
      <c r="EN2272" t="s">
        <v>848</v>
      </c>
      <c r="EO2272">
        <v>141.370344827586</v>
      </c>
    </row>
    <row r="2273" spans="142:145" x14ac:dyDescent="0.25">
      <c r="EL2273">
        <v>2004</v>
      </c>
      <c r="EM2273" t="s">
        <v>710</v>
      </c>
      <c r="EN2273" t="s">
        <v>848</v>
      </c>
      <c r="EO2273">
        <v>143.61454545399999</v>
      </c>
    </row>
    <row r="2274" spans="142:145" x14ac:dyDescent="0.25">
      <c r="EL2274">
        <v>2004</v>
      </c>
      <c r="EM2274" t="s">
        <v>711</v>
      </c>
      <c r="EN2274" t="s">
        <v>848</v>
      </c>
      <c r="EO2274">
        <v>144.364</v>
      </c>
    </row>
    <row r="2275" spans="142:145" x14ac:dyDescent="0.25">
      <c r="EL2275">
        <v>2004</v>
      </c>
      <c r="EM2275" t="s">
        <v>712</v>
      </c>
      <c r="EN2275" t="s">
        <v>848</v>
      </c>
      <c r="EO2275">
        <v>168.00200000000001</v>
      </c>
    </row>
    <row r="2276" spans="142:145" x14ac:dyDescent="0.25">
      <c r="EL2276">
        <v>2005</v>
      </c>
      <c r="EM2276" t="s">
        <v>719</v>
      </c>
      <c r="EN2276" t="s">
        <v>848</v>
      </c>
      <c r="EO2276">
        <v>158.78100000000001</v>
      </c>
    </row>
    <row r="2277" spans="142:145" x14ac:dyDescent="0.25">
      <c r="EL2277">
        <v>2005</v>
      </c>
      <c r="EM2277" t="s">
        <v>713</v>
      </c>
      <c r="EN2277" t="s">
        <v>848</v>
      </c>
      <c r="EO2277">
        <v>114.898</v>
      </c>
    </row>
    <row r="2278" spans="142:145" x14ac:dyDescent="0.25">
      <c r="EL2278">
        <v>2005</v>
      </c>
      <c r="EM2278" t="s">
        <v>714</v>
      </c>
      <c r="EN2278" t="s">
        <v>848</v>
      </c>
      <c r="EO2278">
        <v>165.04900000000001</v>
      </c>
    </row>
    <row r="2279" spans="142:145" x14ac:dyDescent="0.25">
      <c r="EL2279">
        <v>2005</v>
      </c>
      <c r="EM2279" t="s">
        <v>705</v>
      </c>
      <c r="EN2279" t="s">
        <v>848</v>
      </c>
      <c r="EO2279">
        <v>161.49100000000001</v>
      </c>
    </row>
    <row r="2280" spans="142:145" x14ac:dyDescent="0.25">
      <c r="EL2280">
        <v>2005</v>
      </c>
      <c r="EM2280" t="s">
        <v>715</v>
      </c>
      <c r="EN2280" t="s">
        <v>848</v>
      </c>
      <c r="EO2280">
        <v>161.28800000000001</v>
      </c>
    </row>
    <row r="2281" spans="142:145" x14ac:dyDescent="0.25">
      <c r="EL2281">
        <v>2005</v>
      </c>
      <c r="EM2281" t="s">
        <v>718</v>
      </c>
      <c r="EN2281" t="s">
        <v>848</v>
      </c>
      <c r="EO2281">
        <v>145.35400000000001</v>
      </c>
    </row>
    <row r="2282" spans="142:145" x14ac:dyDescent="0.25">
      <c r="EL2282">
        <v>2005</v>
      </c>
      <c r="EM2282" t="s">
        <v>716</v>
      </c>
      <c r="EN2282" t="s">
        <v>848</v>
      </c>
      <c r="EO2282">
        <v>150.321</v>
      </c>
    </row>
    <row r="2283" spans="142:145" x14ac:dyDescent="0.25">
      <c r="EL2283">
        <v>2005</v>
      </c>
      <c r="EM2283" t="s">
        <v>708</v>
      </c>
      <c r="EN2283" t="s">
        <v>848</v>
      </c>
      <c r="EO2283">
        <v>145.51400000000001</v>
      </c>
    </row>
    <row r="2284" spans="142:145" x14ac:dyDescent="0.25">
      <c r="EL2284">
        <v>2005</v>
      </c>
      <c r="EM2284" t="s">
        <v>709</v>
      </c>
      <c r="EN2284" t="s">
        <v>848</v>
      </c>
      <c r="EO2284">
        <v>105.727</v>
      </c>
    </row>
    <row r="2285" spans="142:145" x14ac:dyDescent="0.25">
      <c r="EL2285">
        <v>2005</v>
      </c>
      <c r="EM2285" t="s">
        <v>710</v>
      </c>
      <c r="EN2285" t="s">
        <v>848</v>
      </c>
      <c r="EO2285">
        <v>162.59800000000001</v>
      </c>
    </row>
    <row r="2286" spans="142:145" x14ac:dyDescent="0.25">
      <c r="EL2286">
        <v>2005</v>
      </c>
      <c r="EM2286" t="s">
        <v>711</v>
      </c>
      <c r="EN2286" t="s">
        <v>848</v>
      </c>
      <c r="EO2286">
        <v>138.67699999999999</v>
      </c>
    </row>
    <row r="2287" spans="142:145" x14ac:dyDescent="0.25">
      <c r="EL2287">
        <v>2005</v>
      </c>
      <c r="EM2287" t="s">
        <v>712</v>
      </c>
      <c r="EN2287" t="s">
        <v>848</v>
      </c>
      <c r="EO2287">
        <v>136.417</v>
      </c>
    </row>
    <row r="2288" spans="142:145" x14ac:dyDescent="0.25">
      <c r="EL2288">
        <v>2006</v>
      </c>
      <c r="EM2288" t="s">
        <v>719</v>
      </c>
      <c r="EN2288" t="s">
        <v>848</v>
      </c>
      <c r="EO2288">
        <v>141.21199999999999</v>
      </c>
    </row>
    <row r="2289" spans="142:145" x14ac:dyDescent="0.25">
      <c r="EL2289">
        <v>2006</v>
      </c>
      <c r="EM2289" t="s">
        <v>713</v>
      </c>
      <c r="EN2289" t="s">
        <v>848</v>
      </c>
      <c r="EO2289">
        <v>138.054</v>
      </c>
    </row>
    <row r="2290" spans="142:145" x14ac:dyDescent="0.25">
      <c r="EL2290">
        <v>2006</v>
      </c>
      <c r="EM2290" t="s">
        <v>714</v>
      </c>
      <c r="EN2290" t="s">
        <v>848</v>
      </c>
      <c r="EO2290">
        <v>121.16200000000001</v>
      </c>
    </row>
    <row r="2291" spans="142:145" x14ac:dyDescent="0.25">
      <c r="EL2291">
        <v>2006</v>
      </c>
      <c r="EM2291" t="s">
        <v>705</v>
      </c>
      <c r="EN2291" t="s">
        <v>848</v>
      </c>
      <c r="EO2291">
        <v>136.65700000000001</v>
      </c>
    </row>
    <row r="2292" spans="142:145" x14ac:dyDescent="0.25">
      <c r="EL2292">
        <v>2006</v>
      </c>
      <c r="EM2292" t="s">
        <v>715</v>
      </c>
      <c r="EN2292" t="s">
        <v>848</v>
      </c>
      <c r="EO2292">
        <v>152.845</v>
      </c>
    </row>
    <row r="2293" spans="142:145" x14ac:dyDescent="0.25">
      <c r="EL2293">
        <v>2006</v>
      </c>
      <c r="EM2293" t="s">
        <v>718</v>
      </c>
      <c r="EN2293" t="s">
        <v>848</v>
      </c>
      <c r="EO2293">
        <v>205.017</v>
      </c>
    </row>
    <row r="2294" spans="142:145" x14ac:dyDescent="0.25">
      <c r="EL2294">
        <v>2006</v>
      </c>
      <c r="EM2294" t="s">
        <v>716</v>
      </c>
      <c r="EN2294" t="s">
        <v>848</v>
      </c>
      <c r="EO2294">
        <v>133.30600000000001</v>
      </c>
    </row>
    <row r="2295" spans="142:145" x14ac:dyDescent="0.25">
      <c r="EL2295">
        <v>2006</v>
      </c>
      <c r="EM2295" t="s">
        <v>708</v>
      </c>
      <c r="EN2295" t="s">
        <v>848</v>
      </c>
      <c r="EO2295">
        <v>111.73699999999999</v>
      </c>
    </row>
    <row r="2296" spans="142:145" x14ac:dyDescent="0.25">
      <c r="EL2296">
        <v>2006</v>
      </c>
      <c r="EM2296" t="s">
        <v>709</v>
      </c>
      <c r="EN2296" t="s">
        <v>848</v>
      </c>
      <c r="EO2296">
        <v>122.081</v>
      </c>
    </row>
    <row r="2297" spans="142:145" x14ac:dyDescent="0.25">
      <c r="EL2297">
        <v>2006</v>
      </c>
      <c r="EM2297" t="s">
        <v>710</v>
      </c>
      <c r="EN2297" t="s">
        <v>848</v>
      </c>
      <c r="EO2297">
        <v>129.58000000000001</v>
      </c>
    </row>
    <row r="2298" spans="142:145" x14ac:dyDescent="0.25">
      <c r="EL2298">
        <v>2006</v>
      </c>
      <c r="EM2298" t="s">
        <v>711</v>
      </c>
      <c r="EN2298" t="s">
        <v>848</v>
      </c>
      <c r="EO2298">
        <v>146.572</v>
      </c>
    </row>
    <row r="2299" spans="142:145" x14ac:dyDescent="0.25">
      <c r="EL2299">
        <v>2006</v>
      </c>
      <c r="EM2299" t="s">
        <v>712</v>
      </c>
      <c r="EN2299" t="s">
        <v>848</v>
      </c>
      <c r="EO2299">
        <v>100.68600000000001</v>
      </c>
    </row>
    <row r="2300" spans="142:145" x14ac:dyDescent="0.25">
      <c r="EL2300">
        <v>2007</v>
      </c>
      <c r="EM2300" t="s">
        <v>719</v>
      </c>
      <c r="EN2300" t="s">
        <v>848</v>
      </c>
      <c r="EO2300">
        <v>158.02699999999999</v>
      </c>
    </row>
    <row r="2301" spans="142:145" x14ac:dyDescent="0.25">
      <c r="EL2301">
        <v>2007</v>
      </c>
      <c r="EM2301" t="s">
        <v>713</v>
      </c>
      <c r="EN2301" t="s">
        <v>848</v>
      </c>
      <c r="EO2301">
        <v>124.181</v>
      </c>
    </row>
    <row r="2302" spans="142:145" x14ac:dyDescent="0.25">
      <c r="EL2302">
        <v>2007</v>
      </c>
      <c r="EM2302" t="s">
        <v>714</v>
      </c>
      <c r="EN2302" t="s">
        <v>848</v>
      </c>
      <c r="EO2302">
        <v>153.322</v>
      </c>
    </row>
    <row r="2303" spans="142:145" x14ac:dyDescent="0.25">
      <c r="EL2303">
        <v>2007</v>
      </c>
      <c r="EM2303" t="s">
        <v>705</v>
      </c>
      <c r="EN2303" t="s">
        <v>848</v>
      </c>
      <c r="EO2303">
        <v>165.76599999999999</v>
      </c>
    </row>
    <row r="2304" spans="142:145" x14ac:dyDescent="0.25">
      <c r="EL2304">
        <v>2007</v>
      </c>
      <c r="EM2304" t="s">
        <v>715</v>
      </c>
      <c r="EN2304" t="s">
        <v>848</v>
      </c>
      <c r="EO2304">
        <v>140.37299999999999</v>
      </c>
    </row>
    <row r="2305" spans="142:145" x14ac:dyDescent="0.25">
      <c r="EL2305">
        <v>2007</v>
      </c>
      <c r="EM2305" t="s">
        <v>718</v>
      </c>
      <c r="EN2305" t="s">
        <v>848</v>
      </c>
      <c r="EO2305">
        <v>114.035</v>
      </c>
    </row>
    <row r="2306" spans="142:145" x14ac:dyDescent="0.25">
      <c r="EL2306">
        <v>2007</v>
      </c>
      <c r="EM2306" t="s">
        <v>716</v>
      </c>
      <c r="EN2306" t="s">
        <v>848</v>
      </c>
      <c r="EO2306">
        <v>125.538</v>
      </c>
    </row>
    <row r="2307" spans="142:145" x14ac:dyDescent="0.25">
      <c r="EL2307">
        <v>2007</v>
      </c>
      <c r="EM2307" t="s">
        <v>708</v>
      </c>
      <c r="EN2307" t="s">
        <v>848</v>
      </c>
      <c r="EO2307">
        <v>130.43799999999999</v>
      </c>
    </row>
    <row r="2308" spans="142:145" x14ac:dyDescent="0.25">
      <c r="EL2308">
        <v>2007</v>
      </c>
      <c r="EM2308" t="s">
        <v>709</v>
      </c>
      <c r="EN2308" t="s">
        <v>848</v>
      </c>
      <c r="EO2308">
        <v>104.502</v>
      </c>
    </row>
    <row r="2309" spans="142:145" x14ac:dyDescent="0.25">
      <c r="EL2309">
        <v>2007</v>
      </c>
      <c r="EM2309" t="s">
        <v>710</v>
      </c>
      <c r="EN2309" t="s">
        <v>848</v>
      </c>
      <c r="EO2309">
        <v>120.151</v>
      </c>
    </row>
    <row r="2310" spans="142:145" x14ac:dyDescent="0.25">
      <c r="EL2310">
        <v>2007</v>
      </c>
      <c r="EM2310" t="s">
        <v>711</v>
      </c>
      <c r="EN2310" t="s">
        <v>848</v>
      </c>
      <c r="EO2310">
        <v>112.928</v>
      </c>
    </row>
    <row r="2311" spans="142:145" x14ac:dyDescent="0.25">
      <c r="EL2311">
        <v>2007</v>
      </c>
      <c r="EM2311" t="s">
        <v>712</v>
      </c>
      <c r="EN2311" t="s">
        <v>848</v>
      </c>
      <c r="EO2311">
        <v>125.71</v>
      </c>
    </row>
    <row r="2312" spans="142:145" x14ac:dyDescent="0.25">
      <c r="EL2312">
        <v>2008</v>
      </c>
      <c r="EM2312" t="s">
        <v>719</v>
      </c>
      <c r="EN2312" t="s">
        <v>848</v>
      </c>
      <c r="EO2312">
        <v>120.249</v>
      </c>
    </row>
    <row r="2313" spans="142:145" x14ac:dyDescent="0.25">
      <c r="EL2313">
        <v>2008</v>
      </c>
      <c r="EM2313" t="s">
        <v>713</v>
      </c>
      <c r="EN2313" t="s">
        <v>848</v>
      </c>
      <c r="EO2313">
        <v>119.065</v>
      </c>
    </row>
    <row r="2314" spans="142:145" x14ac:dyDescent="0.25">
      <c r="EL2314">
        <v>2008</v>
      </c>
      <c r="EM2314" t="s">
        <v>714</v>
      </c>
      <c r="EN2314" t="s">
        <v>848</v>
      </c>
      <c r="EO2314">
        <v>167.977</v>
      </c>
    </row>
    <row r="2315" spans="142:145" x14ac:dyDescent="0.25">
      <c r="EL2315">
        <v>2008</v>
      </c>
      <c r="EM2315" t="s">
        <v>705</v>
      </c>
      <c r="EN2315" t="s">
        <v>848</v>
      </c>
      <c r="EO2315">
        <v>131.30199999999999</v>
      </c>
    </row>
    <row r="2316" spans="142:145" x14ac:dyDescent="0.25">
      <c r="EL2316">
        <v>2008</v>
      </c>
      <c r="EM2316" t="s">
        <v>715</v>
      </c>
      <c r="EN2316" t="s">
        <v>848</v>
      </c>
      <c r="EO2316">
        <v>227.70400000000001</v>
      </c>
    </row>
    <row r="2317" spans="142:145" x14ac:dyDescent="0.25">
      <c r="EL2317">
        <v>2008</v>
      </c>
      <c r="EM2317" t="s">
        <v>718</v>
      </c>
      <c r="EN2317" t="s">
        <v>848</v>
      </c>
      <c r="EO2317">
        <v>143.92599999999999</v>
      </c>
    </row>
    <row r="2318" spans="142:145" x14ac:dyDescent="0.25">
      <c r="EL2318">
        <v>2008</v>
      </c>
      <c r="EM2318" t="s">
        <v>716</v>
      </c>
      <c r="EN2318" t="s">
        <v>848</v>
      </c>
      <c r="EO2318">
        <v>111.56</v>
      </c>
    </row>
    <row r="2319" spans="142:145" x14ac:dyDescent="0.25">
      <c r="EL2319">
        <v>2008</v>
      </c>
      <c r="EM2319" t="s">
        <v>708</v>
      </c>
      <c r="EN2319" t="s">
        <v>848</v>
      </c>
      <c r="EO2319">
        <v>109.86</v>
      </c>
    </row>
    <row r="2320" spans="142:145" x14ac:dyDescent="0.25">
      <c r="EL2320">
        <v>2008</v>
      </c>
      <c r="EM2320" t="s">
        <v>709</v>
      </c>
      <c r="EN2320" t="s">
        <v>848</v>
      </c>
      <c r="EO2320">
        <v>105.587</v>
      </c>
    </row>
    <row r="2321" spans="142:145" x14ac:dyDescent="0.25">
      <c r="EL2321">
        <v>2008</v>
      </c>
      <c r="EM2321" t="s">
        <v>710</v>
      </c>
      <c r="EN2321" t="s">
        <v>848</v>
      </c>
      <c r="EO2321">
        <v>122.919</v>
      </c>
    </row>
    <row r="2322" spans="142:145" x14ac:dyDescent="0.25">
      <c r="EL2322">
        <v>2008</v>
      </c>
      <c r="EM2322" t="s">
        <v>711</v>
      </c>
      <c r="EN2322" t="s">
        <v>848</v>
      </c>
      <c r="EO2322">
        <v>107.836</v>
      </c>
    </row>
    <row r="2323" spans="142:145" x14ac:dyDescent="0.25">
      <c r="EL2323">
        <v>2008</v>
      </c>
      <c r="EM2323" t="s">
        <v>712</v>
      </c>
      <c r="EN2323" t="s">
        <v>848</v>
      </c>
      <c r="EO2323">
        <v>84.067999999999998</v>
      </c>
    </row>
    <row r="2324" spans="142:145" x14ac:dyDescent="0.25">
      <c r="EL2324">
        <v>2009</v>
      </c>
      <c r="EM2324" t="s">
        <v>719</v>
      </c>
      <c r="EN2324" t="s">
        <v>848</v>
      </c>
      <c r="EO2324">
        <v>134.75299999999999</v>
      </c>
    </row>
    <row r="2325" spans="142:145" x14ac:dyDescent="0.25">
      <c r="EL2325">
        <v>2009</v>
      </c>
      <c r="EM2325" t="s">
        <v>713</v>
      </c>
      <c r="EN2325" t="s">
        <v>848</v>
      </c>
      <c r="EO2325">
        <v>105.11799999999999</v>
      </c>
    </row>
    <row r="2326" spans="142:145" x14ac:dyDescent="0.25">
      <c r="EL2326">
        <v>2009</v>
      </c>
      <c r="EM2326" t="s">
        <v>714</v>
      </c>
      <c r="EN2326" t="s">
        <v>848</v>
      </c>
      <c r="EO2326">
        <v>120.089</v>
      </c>
    </row>
    <row r="2327" spans="142:145" x14ac:dyDescent="0.25">
      <c r="EL2327">
        <v>2009</v>
      </c>
      <c r="EM2327" t="s">
        <v>705</v>
      </c>
      <c r="EN2327" t="s">
        <v>848</v>
      </c>
      <c r="EO2327">
        <v>131.55600000000001</v>
      </c>
    </row>
    <row r="2328" spans="142:145" x14ac:dyDescent="0.25">
      <c r="EL2328">
        <v>2009</v>
      </c>
      <c r="EM2328" t="s">
        <v>715</v>
      </c>
      <c r="EN2328" t="s">
        <v>848</v>
      </c>
      <c r="EO2328">
        <v>156.672</v>
      </c>
    </row>
    <row r="2329" spans="142:145" x14ac:dyDescent="0.25">
      <c r="EL2329">
        <v>2009</v>
      </c>
      <c r="EM2329" t="s">
        <v>718</v>
      </c>
      <c r="EN2329" t="s">
        <v>848</v>
      </c>
      <c r="EO2329">
        <v>149.84899999999999</v>
      </c>
    </row>
    <row r="2330" spans="142:145" x14ac:dyDescent="0.25">
      <c r="EL2330">
        <v>2009</v>
      </c>
      <c r="EM2330" t="s">
        <v>716</v>
      </c>
      <c r="EN2330" t="s">
        <v>848</v>
      </c>
      <c r="EO2330">
        <v>123.974</v>
      </c>
    </row>
    <row r="2331" spans="142:145" x14ac:dyDescent="0.25">
      <c r="EL2331">
        <v>2009</v>
      </c>
      <c r="EM2331" t="s">
        <v>708</v>
      </c>
      <c r="EN2331" t="s">
        <v>848</v>
      </c>
      <c r="EO2331">
        <v>107.994</v>
      </c>
    </row>
    <row r="2332" spans="142:145" x14ac:dyDescent="0.25">
      <c r="EL2332">
        <v>2009</v>
      </c>
      <c r="EM2332" t="s">
        <v>709</v>
      </c>
      <c r="EN2332" t="s">
        <v>848</v>
      </c>
      <c r="EO2332">
        <v>114.407</v>
      </c>
    </row>
    <row r="2333" spans="142:145" x14ac:dyDescent="0.25">
      <c r="EL2333">
        <v>2009</v>
      </c>
      <c r="EM2333" t="s">
        <v>710</v>
      </c>
      <c r="EN2333" t="s">
        <v>848</v>
      </c>
      <c r="EO2333">
        <v>135.06299999999999</v>
      </c>
    </row>
    <row r="2334" spans="142:145" x14ac:dyDescent="0.25">
      <c r="EL2334">
        <v>2009</v>
      </c>
      <c r="EM2334" t="s">
        <v>711</v>
      </c>
      <c r="EN2334" t="s">
        <v>848</v>
      </c>
      <c r="EO2334">
        <v>152.94</v>
      </c>
    </row>
    <row r="2335" spans="142:145" x14ac:dyDescent="0.25">
      <c r="EL2335">
        <v>2009</v>
      </c>
      <c r="EM2335" t="s">
        <v>712</v>
      </c>
      <c r="EN2335" t="s">
        <v>848</v>
      </c>
      <c r="EO2335">
        <v>176.322</v>
      </c>
    </row>
    <row r="2336" spans="142:145" x14ac:dyDescent="0.25">
      <c r="EL2336">
        <v>2010</v>
      </c>
      <c r="EM2336" t="s">
        <v>719</v>
      </c>
      <c r="EN2336" t="s">
        <v>848</v>
      </c>
      <c r="EO2336">
        <v>148.88800000000001</v>
      </c>
    </row>
    <row r="2337" spans="142:145" x14ac:dyDescent="0.25">
      <c r="EL2337">
        <v>2010</v>
      </c>
      <c r="EM2337" t="s">
        <v>713</v>
      </c>
      <c r="EN2337" t="s">
        <v>848</v>
      </c>
      <c r="EO2337">
        <v>156.88399999999999</v>
      </c>
    </row>
    <row r="2338" spans="142:145" x14ac:dyDescent="0.25">
      <c r="EL2338">
        <v>2010</v>
      </c>
      <c r="EM2338" t="s">
        <v>714</v>
      </c>
      <c r="EN2338" t="s">
        <v>848</v>
      </c>
      <c r="EO2338">
        <v>137.83099999999999</v>
      </c>
    </row>
    <row r="2339" spans="142:145" x14ac:dyDescent="0.25">
      <c r="EL2339">
        <v>2010</v>
      </c>
      <c r="EM2339" t="s">
        <v>705</v>
      </c>
      <c r="EN2339" t="s">
        <v>848</v>
      </c>
      <c r="EO2339">
        <v>97.49</v>
      </c>
    </row>
    <row r="2340" spans="142:145" x14ac:dyDescent="0.25">
      <c r="EL2340">
        <v>2010</v>
      </c>
      <c r="EM2340" t="s">
        <v>715</v>
      </c>
      <c r="EN2340" t="s">
        <v>848</v>
      </c>
      <c r="EO2340">
        <v>89.24</v>
      </c>
    </row>
    <row r="2341" spans="142:145" x14ac:dyDescent="0.25">
      <c r="EL2341">
        <v>2010</v>
      </c>
      <c r="EM2341" t="s">
        <v>718</v>
      </c>
      <c r="EN2341" t="s">
        <v>848</v>
      </c>
      <c r="EO2341">
        <v>113.246</v>
      </c>
    </row>
    <row r="2342" spans="142:145" x14ac:dyDescent="0.25">
      <c r="EL2342">
        <v>2010</v>
      </c>
      <c r="EM2342" t="s">
        <v>716</v>
      </c>
      <c r="EN2342" t="s">
        <v>848</v>
      </c>
      <c r="EO2342">
        <v>102.82</v>
      </c>
    </row>
    <row r="2343" spans="142:145" x14ac:dyDescent="0.25">
      <c r="EL2343">
        <v>2010</v>
      </c>
      <c r="EM2343" t="s">
        <v>708</v>
      </c>
      <c r="EN2343" t="s">
        <v>848</v>
      </c>
      <c r="EO2343">
        <v>102.11499999999999</v>
      </c>
    </row>
    <row r="2344" spans="142:145" x14ac:dyDescent="0.25">
      <c r="EL2344">
        <v>2010</v>
      </c>
      <c r="EM2344" t="s">
        <v>709</v>
      </c>
      <c r="EN2344" t="s">
        <v>848</v>
      </c>
      <c r="EO2344">
        <v>113.163</v>
      </c>
    </row>
    <row r="2345" spans="142:145" x14ac:dyDescent="0.25">
      <c r="EL2345">
        <v>2010</v>
      </c>
      <c r="EM2345" t="s">
        <v>710</v>
      </c>
      <c r="EN2345" t="s">
        <v>848</v>
      </c>
      <c r="EO2345">
        <v>96.165999999999997</v>
      </c>
    </row>
    <row r="2346" spans="142:145" x14ac:dyDescent="0.25">
      <c r="EL2346">
        <v>2010</v>
      </c>
      <c r="EM2346" t="s">
        <v>711</v>
      </c>
      <c r="EN2346" t="s">
        <v>848</v>
      </c>
      <c r="EO2346">
        <v>82.567999999999998</v>
      </c>
    </row>
    <row r="2347" spans="142:145" x14ac:dyDescent="0.25">
      <c r="EL2347">
        <v>2010</v>
      </c>
      <c r="EM2347" t="s">
        <v>712</v>
      </c>
      <c r="EN2347" t="s">
        <v>848</v>
      </c>
      <c r="EO2347">
        <v>152.554</v>
      </c>
    </row>
    <row r="2348" spans="142:145" x14ac:dyDescent="0.25">
      <c r="EL2348">
        <v>2011</v>
      </c>
      <c r="EM2348" t="s">
        <v>719</v>
      </c>
      <c r="EN2348" t="s">
        <v>848</v>
      </c>
      <c r="EO2348">
        <v>119.708</v>
      </c>
    </row>
    <row r="2349" spans="142:145" x14ac:dyDescent="0.25">
      <c r="EL2349">
        <v>2011</v>
      </c>
      <c r="EM2349" t="s">
        <v>713</v>
      </c>
      <c r="EN2349" t="s">
        <v>848</v>
      </c>
      <c r="EO2349">
        <v>120.443</v>
      </c>
    </row>
    <row r="2350" spans="142:145" x14ac:dyDescent="0.25">
      <c r="EL2350">
        <v>2011</v>
      </c>
      <c r="EM2350" t="s">
        <v>714</v>
      </c>
      <c r="EN2350" t="s">
        <v>848</v>
      </c>
      <c r="EO2350">
        <v>153.84100000000001</v>
      </c>
    </row>
    <row r="2351" spans="142:145" x14ac:dyDescent="0.25">
      <c r="EL2351">
        <v>2011</v>
      </c>
      <c r="EM2351" t="s">
        <v>705</v>
      </c>
      <c r="EN2351" t="s">
        <v>848</v>
      </c>
      <c r="EO2351">
        <v>98.102999999999994</v>
      </c>
    </row>
    <row r="2352" spans="142:145" x14ac:dyDescent="0.25">
      <c r="EL2352">
        <v>2011</v>
      </c>
      <c r="EM2352" t="s">
        <v>715</v>
      </c>
      <c r="EN2352" t="s">
        <v>848</v>
      </c>
      <c r="EO2352">
        <v>126.001</v>
      </c>
    </row>
    <row r="2353" spans="142:145" x14ac:dyDescent="0.25">
      <c r="EL2353">
        <v>2011</v>
      </c>
      <c r="EM2353" t="s">
        <v>718</v>
      </c>
      <c r="EN2353" t="s">
        <v>848</v>
      </c>
      <c r="EO2353">
        <v>112.298</v>
      </c>
    </row>
    <row r="2354" spans="142:145" x14ac:dyDescent="0.25">
      <c r="EL2354">
        <v>2011</v>
      </c>
      <c r="EM2354" t="s">
        <v>716</v>
      </c>
      <c r="EN2354" t="s">
        <v>848</v>
      </c>
      <c r="EO2354">
        <v>113.413</v>
      </c>
    </row>
    <row r="2355" spans="142:145" x14ac:dyDescent="0.25">
      <c r="EL2355">
        <v>2011</v>
      </c>
      <c r="EM2355" t="s">
        <v>708</v>
      </c>
      <c r="EN2355" t="s">
        <v>848</v>
      </c>
      <c r="EO2355">
        <v>116.379</v>
      </c>
    </row>
    <row r="2356" spans="142:145" x14ac:dyDescent="0.25">
      <c r="EL2356">
        <v>2011</v>
      </c>
      <c r="EM2356" t="s">
        <v>709</v>
      </c>
      <c r="EN2356" t="s">
        <v>848</v>
      </c>
      <c r="EO2356">
        <v>150.02199999999999</v>
      </c>
    </row>
    <row r="2357" spans="142:145" x14ac:dyDescent="0.25">
      <c r="EL2357">
        <v>2011</v>
      </c>
      <c r="EM2357" t="s">
        <v>710</v>
      </c>
      <c r="EN2357" t="s">
        <v>848</v>
      </c>
      <c r="EO2357">
        <v>141.923</v>
      </c>
    </row>
    <row r="2358" spans="142:145" x14ac:dyDescent="0.25">
      <c r="EL2358">
        <v>2011</v>
      </c>
      <c r="EM2358" t="s">
        <v>711</v>
      </c>
      <c r="EN2358" t="s">
        <v>848</v>
      </c>
      <c r="EO2358">
        <v>130.464</v>
      </c>
    </row>
    <row r="2359" spans="142:145" x14ac:dyDescent="0.25">
      <c r="EL2359">
        <v>2011</v>
      </c>
      <c r="EM2359" t="s">
        <v>712</v>
      </c>
      <c r="EN2359" t="s">
        <v>848</v>
      </c>
      <c r="EO2359">
        <v>160.33600000000001</v>
      </c>
    </row>
    <row r="2360" spans="142:145" x14ac:dyDescent="0.25">
      <c r="EL2360">
        <v>2012</v>
      </c>
      <c r="EM2360" t="s">
        <v>719</v>
      </c>
      <c r="EN2360" t="s">
        <v>848</v>
      </c>
      <c r="EO2360">
        <v>137.75899999999999</v>
      </c>
    </row>
    <row r="2361" spans="142:145" x14ac:dyDescent="0.25">
      <c r="EL2361">
        <v>2012</v>
      </c>
      <c r="EM2361" t="s">
        <v>713</v>
      </c>
      <c r="EN2361" t="s">
        <v>848</v>
      </c>
      <c r="EO2361">
        <v>121.208</v>
      </c>
    </row>
    <row r="2362" spans="142:145" x14ac:dyDescent="0.25">
      <c r="EL2362">
        <v>2012</v>
      </c>
      <c r="EM2362" t="s">
        <v>714</v>
      </c>
      <c r="EN2362" t="s">
        <v>848</v>
      </c>
      <c r="EO2362">
        <v>119.964</v>
      </c>
    </row>
    <row r="2363" spans="142:145" x14ac:dyDescent="0.25">
      <c r="EL2363">
        <v>2012</v>
      </c>
      <c r="EM2363" t="s">
        <v>705</v>
      </c>
      <c r="EN2363" t="s">
        <v>848</v>
      </c>
      <c r="EO2363">
        <v>116.34099999999999</v>
      </c>
    </row>
    <row r="2364" spans="142:145" x14ac:dyDescent="0.25">
      <c r="EL2364">
        <v>2012</v>
      </c>
      <c r="EM2364" t="s">
        <v>715</v>
      </c>
      <c r="EN2364" t="s">
        <v>848</v>
      </c>
      <c r="EO2364">
        <v>122.584</v>
      </c>
    </row>
    <row r="2365" spans="142:145" x14ac:dyDescent="0.25">
      <c r="EL2365">
        <v>2012</v>
      </c>
      <c r="EM2365" t="s">
        <v>718</v>
      </c>
      <c r="EN2365" t="s">
        <v>848</v>
      </c>
      <c r="EO2365">
        <v>102.48</v>
      </c>
    </row>
    <row r="2366" spans="142:145" x14ac:dyDescent="0.25">
      <c r="EL2366">
        <v>2012</v>
      </c>
      <c r="EM2366" t="s">
        <v>716</v>
      </c>
      <c r="EN2366" t="s">
        <v>848</v>
      </c>
      <c r="EO2366">
        <v>112.5</v>
      </c>
    </row>
    <row r="2367" spans="142:145" x14ac:dyDescent="0.25">
      <c r="EL2367">
        <v>2012</v>
      </c>
      <c r="EM2367" t="s">
        <v>708</v>
      </c>
      <c r="EN2367" t="s">
        <v>848</v>
      </c>
      <c r="EO2367">
        <v>107.373</v>
      </c>
    </row>
    <row r="2368" spans="142:145" x14ac:dyDescent="0.25">
      <c r="EL2368">
        <v>2012</v>
      </c>
      <c r="EM2368" t="s">
        <v>709</v>
      </c>
      <c r="EN2368" t="s">
        <v>848</v>
      </c>
      <c r="EO2368">
        <v>112.32</v>
      </c>
    </row>
    <row r="2369" spans="142:145" x14ac:dyDescent="0.25">
      <c r="EL2369">
        <v>2012</v>
      </c>
      <c r="EM2369" t="s">
        <v>710</v>
      </c>
      <c r="EN2369" t="s">
        <v>848</v>
      </c>
      <c r="EO2369">
        <v>98.207999999999998</v>
      </c>
    </row>
    <row r="2370" spans="142:145" x14ac:dyDescent="0.25">
      <c r="EL2370">
        <v>2012</v>
      </c>
      <c r="EM2370" t="s">
        <v>711</v>
      </c>
      <c r="EN2370" t="s">
        <v>848</v>
      </c>
      <c r="EO2370">
        <v>114.06</v>
      </c>
    </row>
    <row r="2371" spans="142:145" x14ac:dyDescent="0.25">
      <c r="EL2371">
        <v>2012</v>
      </c>
      <c r="EM2371" t="s">
        <v>712</v>
      </c>
      <c r="EN2371" t="s">
        <v>848</v>
      </c>
      <c r="EO2371">
        <v>117.821</v>
      </c>
    </row>
    <row r="2372" spans="142:145" x14ac:dyDescent="0.25">
      <c r="EL2372">
        <v>2013</v>
      </c>
      <c r="EM2372" t="s">
        <v>719</v>
      </c>
      <c r="EN2372" t="s">
        <v>848</v>
      </c>
      <c r="EO2372">
        <v>122.327</v>
      </c>
    </row>
    <row r="2373" spans="142:145" x14ac:dyDescent="0.25">
      <c r="EL2373">
        <v>2013</v>
      </c>
      <c r="EM2373" t="s">
        <v>713</v>
      </c>
      <c r="EN2373" t="s">
        <v>848</v>
      </c>
      <c r="EO2373">
        <v>109.102</v>
      </c>
    </row>
    <row r="2374" spans="142:145" x14ac:dyDescent="0.25">
      <c r="EL2374">
        <v>2013</v>
      </c>
      <c r="EM2374" t="s">
        <v>714</v>
      </c>
      <c r="EN2374" t="s">
        <v>848</v>
      </c>
      <c r="EO2374">
        <v>130.47900000000001</v>
      </c>
    </row>
    <row r="2375" spans="142:145" x14ac:dyDescent="0.25">
      <c r="EL2375">
        <v>2013</v>
      </c>
      <c r="EM2375" t="s">
        <v>705</v>
      </c>
      <c r="EN2375" t="s">
        <v>848</v>
      </c>
      <c r="EO2375">
        <v>118.994</v>
      </c>
    </row>
    <row r="2376" spans="142:145" x14ac:dyDescent="0.25">
      <c r="EL2376">
        <v>2013</v>
      </c>
      <c r="EM2376" t="s">
        <v>715</v>
      </c>
      <c r="EN2376" t="s">
        <v>848</v>
      </c>
      <c r="EO2376">
        <v>124.239</v>
      </c>
    </row>
    <row r="2377" spans="142:145" x14ac:dyDescent="0.25">
      <c r="EL2377">
        <v>2013</v>
      </c>
      <c r="EM2377" t="s">
        <v>718</v>
      </c>
      <c r="EN2377" t="s">
        <v>848</v>
      </c>
      <c r="EO2377">
        <v>143.559</v>
      </c>
    </row>
    <row r="2378" spans="142:145" x14ac:dyDescent="0.25">
      <c r="EL2378">
        <v>2013</v>
      </c>
      <c r="EM2378" t="s">
        <v>716</v>
      </c>
      <c r="EN2378" t="s">
        <v>848</v>
      </c>
      <c r="EO2378">
        <v>128.09200000000001</v>
      </c>
    </row>
    <row r="2379" spans="142:145" x14ac:dyDescent="0.25">
      <c r="EL2379">
        <v>2013</v>
      </c>
      <c r="EM2379" t="s">
        <v>708</v>
      </c>
      <c r="EN2379" t="s">
        <v>848</v>
      </c>
      <c r="EO2379">
        <v>111.901</v>
      </c>
    </row>
    <row r="2380" spans="142:145" x14ac:dyDescent="0.25">
      <c r="EL2380">
        <v>2013</v>
      </c>
      <c r="EM2380" t="s">
        <v>709</v>
      </c>
      <c r="EN2380" t="s">
        <v>848</v>
      </c>
      <c r="EO2380">
        <v>101.07</v>
      </c>
    </row>
    <row r="2381" spans="142:145" x14ac:dyDescent="0.25">
      <c r="EL2381">
        <v>2013</v>
      </c>
      <c r="EM2381" t="s">
        <v>710</v>
      </c>
      <c r="EN2381" t="s">
        <v>848</v>
      </c>
      <c r="EO2381">
        <v>125.30200000000001</v>
      </c>
    </row>
    <row r="2382" spans="142:145" x14ac:dyDescent="0.25">
      <c r="EL2382">
        <v>2013</v>
      </c>
      <c r="EM2382" t="s">
        <v>711</v>
      </c>
      <c r="EN2382" t="s">
        <v>848</v>
      </c>
      <c r="EO2382">
        <v>112.05</v>
      </c>
    </row>
    <row r="2383" spans="142:145" x14ac:dyDescent="0.25">
      <c r="EL2383">
        <v>2013</v>
      </c>
      <c r="EM2383" t="s">
        <v>712</v>
      </c>
      <c r="EN2383" t="s">
        <v>848</v>
      </c>
      <c r="EO2383">
        <v>142.91</v>
      </c>
    </row>
    <row r="2384" spans="142:145" x14ac:dyDescent="0.25">
      <c r="EL2384">
        <v>2014</v>
      </c>
      <c r="EM2384" t="s">
        <v>719</v>
      </c>
      <c r="EN2384" t="s">
        <v>848</v>
      </c>
      <c r="EO2384">
        <v>144.739</v>
      </c>
    </row>
    <row r="2385" spans="142:145" x14ac:dyDescent="0.25">
      <c r="EL2385">
        <v>2014</v>
      </c>
      <c r="EM2385" t="s">
        <v>713</v>
      </c>
      <c r="EN2385" t="s">
        <v>848</v>
      </c>
      <c r="EO2385">
        <v>131.46</v>
      </c>
    </row>
    <row r="2386" spans="142:145" x14ac:dyDescent="0.25">
      <c r="EL2386">
        <v>2014</v>
      </c>
      <c r="EM2386" t="s">
        <v>714</v>
      </c>
      <c r="EN2386" t="s">
        <v>848</v>
      </c>
      <c r="EO2386">
        <v>145.97900000000001</v>
      </c>
    </row>
    <row r="2387" spans="142:145" x14ac:dyDescent="0.25">
      <c r="EL2387">
        <v>2014</v>
      </c>
      <c r="EM2387" t="s">
        <v>705</v>
      </c>
      <c r="EN2387" t="s">
        <v>848</v>
      </c>
      <c r="EO2387">
        <v>147.03</v>
      </c>
    </row>
    <row r="2388" spans="142:145" x14ac:dyDescent="0.25">
      <c r="EL2388">
        <v>2014</v>
      </c>
      <c r="EM2388" t="s">
        <v>715</v>
      </c>
      <c r="EN2388" t="s">
        <v>848</v>
      </c>
      <c r="EO2388">
        <v>147.80799999999999</v>
      </c>
    </row>
    <row r="2389" spans="142:145" x14ac:dyDescent="0.25">
      <c r="EL2389">
        <v>2014</v>
      </c>
      <c r="EM2389" t="s">
        <v>718</v>
      </c>
      <c r="EN2389" t="s">
        <v>848</v>
      </c>
      <c r="EO2389">
        <v>118.29</v>
      </c>
    </row>
    <row r="2390" spans="142:145" x14ac:dyDescent="0.25">
      <c r="EL2390">
        <v>2014</v>
      </c>
      <c r="EM2390" t="s">
        <v>716</v>
      </c>
      <c r="EN2390" t="s">
        <v>848</v>
      </c>
      <c r="EO2390">
        <v>110.732</v>
      </c>
    </row>
    <row r="2391" spans="142:145" x14ac:dyDescent="0.25">
      <c r="EL2391">
        <v>2014</v>
      </c>
      <c r="EM2391" t="s">
        <v>708</v>
      </c>
      <c r="EN2391" t="s">
        <v>848</v>
      </c>
      <c r="EO2391">
        <v>107.57</v>
      </c>
    </row>
    <row r="2392" spans="142:145" x14ac:dyDescent="0.25">
      <c r="EL2392">
        <v>2014</v>
      </c>
      <c r="EM2392" t="s">
        <v>709</v>
      </c>
      <c r="EN2392" t="s">
        <v>848</v>
      </c>
      <c r="EO2392">
        <v>100.02</v>
      </c>
    </row>
    <row r="2393" spans="142:145" x14ac:dyDescent="0.25">
      <c r="EL2393">
        <v>2014</v>
      </c>
      <c r="EM2393" t="s">
        <v>710</v>
      </c>
      <c r="EN2393" t="s">
        <v>848</v>
      </c>
      <c r="EO2393">
        <v>105.71</v>
      </c>
    </row>
    <row r="2394" spans="142:145" x14ac:dyDescent="0.25">
      <c r="EL2394">
        <v>2014</v>
      </c>
      <c r="EM2394" t="s">
        <v>711</v>
      </c>
      <c r="EN2394" t="s">
        <v>848</v>
      </c>
      <c r="EO2394">
        <v>104.4</v>
      </c>
    </row>
    <row r="2395" spans="142:145" x14ac:dyDescent="0.25">
      <c r="EL2395">
        <v>2014</v>
      </c>
      <c r="EM2395" t="s">
        <v>712</v>
      </c>
      <c r="EN2395" t="s">
        <v>848</v>
      </c>
      <c r="EO2395">
        <v>119.47</v>
      </c>
    </row>
    <row r="2396" spans="142:145" x14ac:dyDescent="0.25">
      <c r="EL2396">
        <v>2015</v>
      </c>
      <c r="EM2396" t="s">
        <v>719</v>
      </c>
      <c r="EN2396" t="s">
        <v>848</v>
      </c>
      <c r="EO2396">
        <v>132.99</v>
      </c>
    </row>
    <row r="2397" spans="142:145" x14ac:dyDescent="0.25">
      <c r="EL2397">
        <v>2015</v>
      </c>
      <c r="EM2397" t="s">
        <v>713</v>
      </c>
      <c r="EN2397" t="s">
        <v>848</v>
      </c>
      <c r="EO2397">
        <v>116.2</v>
      </c>
    </row>
    <row r="2398" spans="142:145" x14ac:dyDescent="0.25">
      <c r="EL2398">
        <v>2015</v>
      </c>
      <c r="EM2398" t="s">
        <v>714</v>
      </c>
      <c r="EN2398" t="s">
        <v>848</v>
      </c>
      <c r="EO2398">
        <v>158.72</v>
      </c>
    </row>
    <row r="2399" spans="142:145" x14ac:dyDescent="0.25">
      <c r="EL2399">
        <v>2015</v>
      </c>
      <c r="EM2399" t="s">
        <v>705</v>
      </c>
      <c r="EN2399" t="s">
        <v>848</v>
      </c>
      <c r="EO2399">
        <v>126</v>
      </c>
    </row>
    <row r="2400" spans="142:145" x14ac:dyDescent="0.25">
      <c r="EL2400">
        <v>2015</v>
      </c>
      <c r="EM2400" t="s">
        <v>715</v>
      </c>
      <c r="EN2400" t="s">
        <v>848</v>
      </c>
      <c r="EO2400">
        <v>117.8</v>
      </c>
    </row>
    <row r="2401" spans="142:145" x14ac:dyDescent="0.25">
      <c r="EL2401">
        <v>2015</v>
      </c>
      <c r="EM2401" t="s">
        <v>718</v>
      </c>
      <c r="EN2401" t="s">
        <v>848</v>
      </c>
      <c r="EO2401">
        <v>135.6</v>
      </c>
    </row>
    <row r="2402" spans="142:145" x14ac:dyDescent="0.25">
      <c r="EL2402">
        <v>2015</v>
      </c>
      <c r="EM2402" t="s">
        <v>716</v>
      </c>
      <c r="EN2402" t="s">
        <v>848</v>
      </c>
      <c r="EO2402">
        <v>134.85</v>
      </c>
    </row>
    <row r="2403" spans="142:145" x14ac:dyDescent="0.25">
      <c r="EL2403">
        <v>2015</v>
      </c>
      <c r="EM2403" t="s">
        <v>708</v>
      </c>
      <c r="EN2403" t="s">
        <v>848</v>
      </c>
      <c r="EO2403">
        <v>104.78</v>
      </c>
    </row>
    <row r="2404" spans="142:145" x14ac:dyDescent="0.25">
      <c r="EL2404">
        <v>2015</v>
      </c>
      <c r="EM2404" t="s">
        <v>709</v>
      </c>
      <c r="EN2404" t="s">
        <v>848</v>
      </c>
      <c r="EO2404">
        <v>99.6</v>
      </c>
    </row>
    <row r="2405" spans="142:145" x14ac:dyDescent="0.25">
      <c r="EL2405">
        <v>2015</v>
      </c>
      <c r="EM2405" t="s">
        <v>710</v>
      </c>
      <c r="EN2405" t="s">
        <v>848</v>
      </c>
      <c r="EO2405">
        <v>112.84</v>
      </c>
    </row>
    <row r="2406" spans="142:145" x14ac:dyDescent="0.25">
      <c r="EL2406">
        <v>2015</v>
      </c>
      <c r="EM2406" t="s">
        <v>711</v>
      </c>
      <c r="EN2406" t="s">
        <v>848</v>
      </c>
      <c r="EO2406">
        <v>98.1</v>
      </c>
    </row>
    <row r="2407" spans="142:145" x14ac:dyDescent="0.25">
      <c r="EL2407">
        <v>2015</v>
      </c>
      <c r="EM2407" t="s">
        <v>712</v>
      </c>
      <c r="EN2407" t="s">
        <v>848</v>
      </c>
      <c r="EO2407">
        <v>120.9</v>
      </c>
    </row>
    <row r="2408" spans="142:145" x14ac:dyDescent="0.25">
      <c r="EL2408">
        <v>2016</v>
      </c>
      <c r="EM2408" t="s">
        <v>719</v>
      </c>
      <c r="EN2408" t="s">
        <v>848</v>
      </c>
      <c r="EO2408">
        <v>131.44</v>
      </c>
    </row>
    <row r="2409" spans="142:145" x14ac:dyDescent="0.25">
      <c r="EL2409">
        <v>2016</v>
      </c>
      <c r="EM2409" t="s">
        <v>713</v>
      </c>
      <c r="EN2409" t="s">
        <v>848</v>
      </c>
      <c r="EO2409">
        <v>146.74</v>
      </c>
    </row>
    <row r="2410" spans="142:145" x14ac:dyDescent="0.25">
      <c r="EL2410">
        <v>2016</v>
      </c>
      <c r="EM2410" t="s">
        <v>714</v>
      </c>
      <c r="EN2410" t="s">
        <v>848</v>
      </c>
      <c r="EO2410">
        <v>123.38</v>
      </c>
    </row>
    <row r="2411" spans="142:145" x14ac:dyDescent="0.25">
      <c r="EL2411">
        <v>2016</v>
      </c>
      <c r="EM2411" t="s">
        <v>705</v>
      </c>
      <c r="EN2411" t="s">
        <v>848</v>
      </c>
      <c r="EO2411">
        <v>109.2</v>
      </c>
    </row>
    <row r="2412" spans="142:145" x14ac:dyDescent="0.25">
      <c r="EL2412">
        <v>2016</v>
      </c>
      <c r="EM2412" t="s">
        <v>715</v>
      </c>
      <c r="EN2412" t="s">
        <v>848</v>
      </c>
      <c r="EO2412">
        <v>136.71</v>
      </c>
    </row>
    <row r="2413" spans="142:145" x14ac:dyDescent="0.25">
      <c r="EL2413">
        <v>2016</v>
      </c>
      <c r="EM2413" t="s">
        <v>718</v>
      </c>
      <c r="EN2413" t="s">
        <v>848</v>
      </c>
      <c r="EO2413">
        <v>115.2</v>
      </c>
    </row>
    <row r="2414" spans="142:145" x14ac:dyDescent="0.25">
      <c r="EL2414">
        <v>2016</v>
      </c>
      <c r="EM2414" t="s">
        <v>716</v>
      </c>
      <c r="EN2414" t="s">
        <v>848</v>
      </c>
      <c r="EO2414">
        <v>149.41999999999999</v>
      </c>
    </row>
    <row r="2415" spans="142:145" x14ac:dyDescent="0.25">
      <c r="EL2415">
        <v>2016</v>
      </c>
      <c r="EM2415" t="s">
        <v>708</v>
      </c>
      <c r="EN2415" t="s">
        <v>848</v>
      </c>
      <c r="EO2415">
        <v>73.47</v>
      </c>
    </row>
    <row r="2416" spans="142:145" x14ac:dyDescent="0.25">
      <c r="EL2416">
        <v>2016</v>
      </c>
      <c r="EM2416" t="s">
        <v>709</v>
      </c>
      <c r="EN2416" t="s">
        <v>848</v>
      </c>
      <c r="EO2416">
        <v>102.9</v>
      </c>
    </row>
    <row r="2417" spans="142:145" x14ac:dyDescent="0.25">
      <c r="EL2417">
        <v>2016</v>
      </c>
      <c r="EM2417" t="s">
        <v>710</v>
      </c>
      <c r="EN2417" t="s">
        <v>848</v>
      </c>
      <c r="EO2417">
        <v>103.23</v>
      </c>
    </row>
    <row r="2418" spans="142:145" x14ac:dyDescent="0.25">
      <c r="EL2418">
        <v>2016</v>
      </c>
      <c r="EM2418" t="s">
        <v>711</v>
      </c>
      <c r="EN2418" t="s">
        <v>848</v>
      </c>
      <c r="EO2418">
        <v>100.2</v>
      </c>
    </row>
    <row r="2419" spans="142:145" x14ac:dyDescent="0.25">
      <c r="EL2419">
        <v>2016</v>
      </c>
      <c r="EM2419" t="s">
        <v>712</v>
      </c>
      <c r="EN2419" t="s">
        <v>848</v>
      </c>
      <c r="EO2419">
        <v>105.71</v>
      </c>
    </row>
    <row r="2420" spans="142:145" x14ac:dyDescent="0.25">
      <c r="EL2420">
        <v>2017</v>
      </c>
      <c r="EM2420" t="s">
        <v>719</v>
      </c>
      <c r="EN2420" t="s">
        <v>848</v>
      </c>
      <c r="EO2420">
        <v>109.74</v>
      </c>
    </row>
    <row r="2421" spans="142:145" x14ac:dyDescent="0.25">
      <c r="EL2421">
        <v>2017</v>
      </c>
      <c r="EM2421" t="s">
        <v>713</v>
      </c>
      <c r="EN2421" t="s">
        <v>848</v>
      </c>
      <c r="EO2421">
        <v>92.12</v>
      </c>
    </row>
    <row r="2422" spans="142:145" x14ac:dyDescent="0.25">
      <c r="EL2422">
        <v>2017</v>
      </c>
      <c r="EM2422" t="s">
        <v>714</v>
      </c>
      <c r="EN2422" t="s">
        <v>848</v>
      </c>
      <c r="EO2422">
        <v>113.15</v>
      </c>
    </row>
    <row r="2423" spans="142:145" x14ac:dyDescent="0.25">
      <c r="EL2423">
        <v>2017</v>
      </c>
      <c r="EM2423" t="s">
        <v>705</v>
      </c>
      <c r="EN2423" t="s">
        <v>848</v>
      </c>
      <c r="EO2423">
        <v>111.9</v>
      </c>
    </row>
    <row r="2424" spans="142:145" x14ac:dyDescent="0.25">
      <c r="EL2424">
        <v>2017</v>
      </c>
      <c r="EM2424" t="s">
        <v>715</v>
      </c>
      <c r="EN2424" t="s">
        <v>848</v>
      </c>
      <c r="EO2424">
        <v>118.73</v>
      </c>
    </row>
    <row r="2425" spans="142:145" x14ac:dyDescent="0.25">
      <c r="EL2425">
        <v>2017</v>
      </c>
      <c r="EM2425" t="s">
        <v>718</v>
      </c>
      <c r="EN2425" t="s">
        <v>848</v>
      </c>
      <c r="EO2425">
        <v>106.8</v>
      </c>
    </row>
    <row r="2426" spans="142:145" x14ac:dyDescent="0.25">
      <c r="EL2426">
        <v>2017</v>
      </c>
      <c r="EM2426" t="s">
        <v>716</v>
      </c>
      <c r="EN2426" t="s">
        <v>848</v>
      </c>
      <c r="EO2426">
        <v>110.98</v>
      </c>
    </row>
    <row r="2427" spans="142:145" x14ac:dyDescent="0.25">
      <c r="EL2427">
        <v>2017</v>
      </c>
      <c r="EM2427" t="s">
        <v>708</v>
      </c>
      <c r="EN2427" t="s">
        <v>848</v>
      </c>
      <c r="EO2427">
        <v>119.66</v>
      </c>
    </row>
    <row r="2428" spans="142:145" x14ac:dyDescent="0.25">
      <c r="EL2428">
        <v>2017</v>
      </c>
      <c r="EM2428" t="s">
        <v>709</v>
      </c>
      <c r="EN2428" t="s">
        <v>848</v>
      </c>
      <c r="EO2428">
        <v>103.5</v>
      </c>
    </row>
    <row r="2429" spans="142:145" x14ac:dyDescent="0.25">
      <c r="EL2429">
        <v>2017</v>
      </c>
      <c r="EM2429" t="s">
        <v>710</v>
      </c>
      <c r="EN2429" t="s">
        <v>848</v>
      </c>
      <c r="EO2429">
        <v>106.33</v>
      </c>
    </row>
    <row r="2430" spans="142:145" x14ac:dyDescent="0.25">
      <c r="EL2430">
        <v>2017</v>
      </c>
      <c r="EM2430" t="s">
        <v>711</v>
      </c>
      <c r="EN2430" t="s">
        <v>848</v>
      </c>
      <c r="EO2430">
        <v>101.4</v>
      </c>
    </row>
    <row r="2431" spans="142:145" x14ac:dyDescent="0.25">
      <c r="EL2431">
        <v>2017</v>
      </c>
      <c r="EM2431" t="s">
        <v>712</v>
      </c>
      <c r="EN2431" t="s">
        <v>848</v>
      </c>
      <c r="EO2431">
        <v>106.64</v>
      </c>
    </row>
    <row r="2432" spans="142:145" x14ac:dyDescent="0.25">
      <c r="EL2432">
        <v>2018</v>
      </c>
      <c r="EM2432" t="s">
        <v>719</v>
      </c>
      <c r="EN2432" t="s">
        <v>848</v>
      </c>
      <c r="EO2432">
        <v>112.53</v>
      </c>
    </row>
    <row r="2433" spans="142:145" x14ac:dyDescent="0.25">
      <c r="EL2433">
        <v>2018</v>
      </c>
      <c r="EM2433" t="s">
        <v>713</v>
      </c>
      <c r="EN2433" t="s">
        <v>848</v>
      </c>
      <c r="EO2433">
        <v>99.12</v>
      </c>
    </row>
    <row r="2434" spans="142:145" x14ac:dyDescent="0.25">
      <c r="EL2434">
        <v>2018</v>
      </c>
      <c r="EM2434" t="s">
        <v>714</v>
      </c>
      <c r="EN2434" t="s">
        <v>848</v>
      </c>
      <c r="EO2434">
        <v>104.47</v>
      </c>
    </row>
    <row r="2435" spans="142:145" x14ac:dyDescent="0.25">
      <c r="EL2435">
        <v>2018</v>
      </c>
      <c r="EM2435" t="s">
        <v>705</v>
      </c>
      <c r="EN2435" t="s">
        <v>848</v>
      </c>
      <c r="EO2435">
        <v>103.2</v>
      </c>
    </row>
    <row r="2436" spans="142:145" x14ac:dyDescent="0.25">
      <c r="EL2436">
        <v>2018</v>
      </c>
      <c r="EM2436" t="s">
        <v>715</v>
      </c>
      <c r="EN2436" t="s">
        <v>848</v>
      </c>
      <c r="EO2436">
        <v>145.38999999999999</v>
      </c>
    </row>
    <row r="2437" spans="142:145" x14ac:dyDescent="0.25">
      <c r="EL2437">
        <v>2018</v>
      </c>
      <c r="EM2437" t="s">
        <v>718</v>
      </c>
      <c r="EN2437" t="s">
        <v>848</v>
      </c>
      <c r="EO2437">
        <v>128.4</v>
      </c>
    </row>
    <row r="2438" spans="142:145" x14ac:dyDescent="0.25">
      <c r="EL2438">
        <v>2018</v>
      </c>
      <c r="EM2438" t="s">
        <v>716</v>
      </c>
      <c r="EN2438" t="s">
        <v>848</v>
      </c>
      <c r="EO2438">
        <v>134.54</v>
      </c>
    </row>
    <row r="2439" spans="142:145" x14ac:dyDescent="0.25">
      <c r="EL2439">
        <v>2018</v>
      </c>
      <c r="EM2439" t="s">
        <v>708</v>
      </c>
      <c r="EN2439" t="s">
        <v>848</v>
      </c>
      <c r="EO2439">
        <v>155</v>
      </c>
    </row>
    <row r="2440" spans="142:145" x14ac:dyDescent="0.25">
      <c r="EL2440">
        <v>2018</v>
      </c>
      <c r="EM2440" t="s">
        <v>709</v>
      </c>
      <c r="EN2440" t="s">
        <v>848</v>
      </c>
      <c r="EO2440">
        <v>136.80000000000001</v>
      </c>
    </row>
    <row r="2441" spans="142:145" x14ac:dyDescent="0.25">
      <c r="EL2441">
        <v>2018</v>
      </c>
      <c r="EM2441" t="s">
        <v>710</v>
      </c>
      <c r="EN2441" t="s">
        <v>848</v>
      </c>
      <c r="EO2441">
        <v>151.28</v>
      </c>
    </row>
    <row r="2442" spans="142:145" x14ac:dyDescent="0.25">
      <c r="EL2442">
        <v>2018</v>
      </c>
      <c r="EM2442" t="s">
        <v>711</v>
      </c>
      <c r="EN2442" t="s">
        <v>848</v>
      </c>
      <c r="EO2442">
        <v>153.6</v>
      </c>
    </row>
    <row r="2443" spans="142:145" x14ac:dyDescent="0.25">
      <c r="EL2443">
        <v>2018</v>
      </c>
      <c r="EM2443" t="s">
        <v>712</v>
      </c>
      <c r="EN2443" t="s">
        <v>848</v>
      </c>
      <c r="EO2443">
        <v>185.38</v>
      </c>
    </row>
    <row r="2444" spans="142:145" x14ac:dyDescent="0.25">
      <c r="EL2444">
        <v>2019</v>
      </c>
      <c r="EM2444" t="s">
        <v>719</v>
      </c>
      <c r="EN2444" t="s">
        <v>848</v>
      </c>
      <c r="EO2444">
        <v>155</v>
      </c>
    </row>
    <row r="2445" spans="142:145" x14ac:dyDescent="0.25">
      <c r="EL2445">
        <v>2019</v>
      </c>
      <c r="EM2445" t="s">
        <v>713</v>
      </c>
      <c r="EN2445" t="s">
        <v>848</v>
      </c>
      <c r="EO2445">
        <v>147</v>
      </c>
    </row>
    <row r="2446" spans="142:145" x14ac:dyDescent="0.25">
      <c r="EL2446">
        <v>2019</v>
      </c>
      <c r="EM2446" t="s">
        <v>714</v>
      </c>
      <c r="EN2446" t="s">
        <v>848</v>
      </c>
      <c r="EO2446">
        <v>191.27</v>
      </c>
    </row>
    <row r="2447" spans="142:145" x14ac:dyDescent="0.25">
      <c r="EL2447">
        <v>2019</v>
      </c>
      <c r="EM2447" t="s">
        <v>705</v>
      </c>
      <c r="EN2447" t="s">
        <v>848</v>
      </c>
      <c r="EO2447">
        <v>157.5</v>
      </c>
    </row>
    <row r="2448" spans="142:145" x14ac:dyDescent="0.25">
      <c r="EL2448">
        <v>2019</v>
      </c>
      <c r="EM2448" t="s">
        <v>715</v>
      </c>
      <c r="EN2448" t="s">
        <v>848</v>
      </c>
      <c r="EO2448">
        <v>137.63999999999999</v>
      </c>
    </row>
    <row r="2449" spans="142:145" x14ac:dyDescent="0.25">
      <c r="EL2449">
        <v>2019</v>
      </c>
      <c r="EM2449" t="s">
        <v>718</v>
      </c>
      <c r="EN2449" t="s">
        <v>848</v>
      </c>
      <c r="EO2449">
        <v>174.6</v>
      </c>
    </row>
    <row r="2450" spans="142:145" x14ac:dyDescent="0.25">
      <c r="EL2450">
        <v>2019</v>
      </c>
      <c r="EM2450" t="s">
        <v>716</v>
      </c>
      <c r="EN2450" t="s">
        <v>848</v>
      </c>
      <c r="EO2450">
        <v>172.05</v>
      </c>
    </row>
    <row r="2451" spans="142:145" x14ac:dyDescent="0.25">
      <c r="EL2451">
        <v>2019</v>
      </c>
      <c r="EM2451" t="s">
        <v>708</v>
      </c>
      <c r="EN2451" t="s">
        <v>848</v>
      </c>
      <c r="EO2451">
        <v>156.24</v>
      </c>
    </row>
    <row r="2452" spans="142:145" x14ac:dyDescent="0.25">
      <c r="EL2452">
        <v>2019</v>
      </c>
      <c r="EM2452" t="s">
        <v>709</v>
      </c>
      <c r="EN2452" t="s">
        <v>848</v>
      </c>
      <c r="EO2452">
        <v>127.5</v>
      </c>
    </row>
    <row r="2453" spans="142:145" x14ac:dyDescent="0.25">
      <c r="EL2453">
        <v>2019</v>
      </c>
      <c r="EM2453" t="s">
        <v>710</v>
      </c>
      <c r="EN2453" t="s">
        <v>848</v>
      </c>
      <c r="EO2453">
        <v>137.33000000000001</v>
      </c>
    </row>
    <row r="2454" spans="142:145" x14ac:dyDescent="0.25">
      <c r="EL2454">
        <v>2019</v>
      </c>
      <c r="EM2454" t="s">
        <v>711</v>
      </c>
      <c r="EN2454" t="s">
        <v>848</v>
      </c>
      <c r="EO2454">
        <v>127.5</v>
      </c>
    </row>
    <row r="2455" spans="142:145" x14ac:dyDescent="0.25">
      <c r="EL2455">
        <v>2019</v>
      </c>
      <c r="EM2455" t="s">
        <v>712</v>
      </c>
      <c r="EN2455" t="s">
        <v>848</v>
      </c>
      <c r="EO2455">
        <v>148.80000000000001</v>
      </c>
    </row>
    <row r="2456" spans="142:145" x14ac:dyDescent="0.25">
      <c r="EL2456">
        <v>2020</v>
      </c>
      <c r="EM2456" t="s">
        <v>719</v>
      </c>
      <c r="EN2456" t="s">
        <v>848</v>
      </c>
      <c r="EO2456">
        <v>190.34</v>
      </c>
    </row>
    <row r="2457" spans="142:145" x14ac:dyDescent="0.25">
      <c r="EL2457">
        <v>2020</v>
      </c>
      <c r="EM2457" t="s">
        <v>713</v>
      </c>
      <c r="EN2457" t="s">
        <v>848</v>
      </c>
      <c r="EO2457">
        <v>140.07</v>
      </c>
    </row>
    <row r="2458" spans="142:145" x14ac:dyDescent="0.25">
      <c r="EL2458">
        <v>2020</v>
      </c>
      <c r="EM2458" t="s">
        <v>714</v>
      </c>
      <c r="EN2458" t="s">
        <v>848</v>
      </c>
      <c r="EO2458">
        <v>147.87</v>
      </c>
    </row>
    <row r="2459" spans="142:145" x14ac:dyDescent="0.25">
      <c r="EL2459">
        <v>2020</v>
      </c>
      <c r="EM2459" t="s">
        <v>705</v>
      </c>
      <c r="EN2459" t="s">
        <v>848</v>
      </c>
      <c r="EO2459">
        <v>189.9</v>
      </c>
    </row>
    <row r="2460" spans="142:145" x14ac:dyDescent="0.25">
      <c r="EL2460">
        <v>2020</v>
      </c>
      <c r="EM2460" t="s">
        <v>715</v>
      </c>
      <c r="EN2460" t="s">
        <v>848</v>
      </c>
      <c r="EO2460">
        <v>184.45</v>
      </c>
    </row>
    <row r="2461" spans="142:145" x14ac:dyDescent="0.25">
      <c r="EL2461">
        <v>2020</v>
      </c>
      <c r="EM2461" t="s">
        <v>718</v>
      </c>
      <c r="EN2461" t="s">
        <v>848</v>
      </c>
      <c r="EO2461">
        <v>171.6</v>
      </c>
    </row>
    <row r="2462" spans="142:145" x14ac:dyDescent="0.25">
      <c r="EL2462">
        <v>2020</v>
      </c>
      <c r="EM2462" t="s">
        <v>716</v>
      </c>
      <c r="EN2462" t="s">
        <v>848</v>
      </c>
      <c r="EO2462">
        <v>160.27000000000001</v>
      </c>
    </row>
    <row r="2463" spans="142:145" x14ac:dyDescent="0.25">
      <c r="EL2463">
        <v>2020</v>
      </c>
      <c r="EM2463" t="s">
        <v>708</v>
      </c>
      <c r="EN2463" t="s">
        <v>848</v>
      </c>
      <c r="EO2463">
        <v>148.18</v>
      </c>
    </row>
    <row r="2464" spans="142:145" x14ac:dyDescent="0.25">
      <c r="EL2464">
        <v>2020</v>
      </c>
      <c r="EM2464" t="s">
        <v>709</v>
      </c>
      <c r="EN2464" t="s">
        <v>848</v>
      </c>
      <c r="EO2464">
        <v>141.9</v>
      </c>
    </row>
    <row r="2465" spans="142:145" x14ac:dyDescent="0.25">
      <c r="EL2465">
        <v>2020</v>
      </c>
      <c r="EM2465" t="s">
        <v>710</v>
      </c>
      <c r="EN2465" t="s">
        <v>848</v>
      </c>
      <c r="EO2465">
        <v>154.07</v>
      </c>
    </row>
    <row r="2466" spans="142:145" x14ac:dyDescent="0.25">
      <c r="EL2466">
        <v>2020</v>
      </c>
      <c r="EM2466" t="s">
        <v>711</v>
      </c>
      <c r="EN2466" t="s">
        <v>848</v>
      </c>
      <c r="EO2466">
        <v>156.30000000000001</v>
      </c>
    </row>
    <row r="2467" spans="142:145" x14ac:dyDescent="0.25">
      <c r="EL2467">
        <v>2020</v>
      </c>
      <c r="EM2467" t="s">
        <v>712</v>
      </c>
      <c r="EN2467" t="s">
        <v>848</v>
      </c>
      <c r="EO2467">
        <v>169.26</v>
      </c>
    </row>
    <row r="2468" spans="142:145" x14ac:dyDescent="0.25">
      <c r="EL2468">
        <v>2021</v>
      </c>
      <c r="EM2468" t="s">
        <v>719</v>
      </c>
      <c r="EN2468" t="s">
        <v>848</v>
      </c>
      <c r="EO2468">
        <v>137.33000000000001</v>
      </c>
    </row>
    <row r="2469" spans="142:145" x14ac:dyDescent="0.25">
      <c r="EL2469">
        <v>2021</v>
      </c>
      <c r="EM2469" t="s">
        <v>713</v>
      </c>
      <c r="EN2469" t="s">
        <v>848</v>
      </c>
      <c r="EO2469">
        <v>149.80000000000001</v>
      </c>
    </row>
    <row r="2470" spans="142:145" x14ac:dyDescent="0.25">
      <c r="EL2470">
        <v>2021</v>
      </c>
      <c r="EM2470" t="s">
        <v>714</v>
      </c>
      <c r="EN2470" t="s">
        <v>848</v>
      </c>
      <c r="EO2470">
        <v>158.1</v>
      </c>
    </row>
    <row r="2471" spans="142:145" x14ac:dyDescent="0.25">
      <c r="EL2471">
        <v>2021</v>
      </c>
      <c r="EM2471" t="s">
        <v>705</v>
      </c>
      <c r="EN2471" t="s">
        <v>848</v>
      </c>
      <c r="EO2471">
        <v>134.4</v>
      </c>
    </row>
    <row r="2472" spans="142:145" x14ac:dyDescent="0.25">
      <c r="EL2472">
        <v>2021</v>
      </c>
      <c r="EM2472" t="s">
        <v>715</v>
      </c>
      <c r="EN2472" t="s">
        <v>848</v>
      </c>
      <c r="EO2472">
        <v>125.24</v>
      </c>
    </row>
    <row r="2473" spans="142:145" x14ac:dyDescent="0.25">
      <c r="EL2473">
        <v>2021</v>
      </c>
      <c r="EM2473" t="s">
        <v>718</v>
      </c>
      <c r="EN2473" t="s">
        <v>848</v>
      </c>
      <c r="EO2473">
        <v>130.5</v>
      </c>
    </row>
    <row r="2474" spans="142:145" x14ac:dyDescent="0.25">
      <c r="EL2474">
        <v>2021</v>
      </c>
      <c r="EM2474" t="s">
        <v>716</v>
      </c>
      <c r="EN2474" t="s">
        <v>848</v>
      </c>
      <c r="EO2474">
        <v>117.18</v>
      </c>
    </row>
    <row r="2475" spans="142:145" x14ac:dyDescent="0.25">
      <c r="EL2475">
        <v>2021</v>
      </c>
      <c r="EM2475" t="s">
        <v>708</v>
      </c>
      <c r="EN2475" t="s">
        <v>848</v>
      </c>
      <c r="EO2475">
        <v>124.31</v>
      </c>
    </row>
    <row r="2476" spans="142:145" x14ac:dyDescent="0.25">
      <c r="EL2476">
        <v>2021</v>
      </c>
      <c r="EM2476" t="s">
        <v>709</v>
      </c>
      <c r="EN2476" t="s">
        <v>848</v>
      </c>
      <c r="EO2476">
        <v>112.8</v>
      </c>
    </row>
    <row r="2477" spans="142:145" x14ac:dyDescent="0.25">
      <c r="EL2477">
        <v>2021</v>
      </c>
      <c r="EM2477" t="s">
        <v>710</v>
      </c>
      <c r="EN2477" t="s">
        <v>848</v>
      </c>
      <c r="EO2477">
        <v>116.25</v>
      </c>
    </row>
    <row r="2478" spans="142:145" x14ac:dyDescent="0.25">
      <c r="EL2478">
        <v>2021</v>
      </c>
      <c r="EM2478" t="s">
        <v>711</v>
      </c>
      <c r="EN2478" t="s">
        <v>848</v>
      </c>
      <c r="EO2478">
        <v>110.4</v>
      </c>
    </row>
    <row r="2479" spans="142:145" x14ac:dyDescent="0.25">
      <c r="EL2479">
        <v>2021</v>
      </c>
      <c r="EM2479" t="s">
        <v>712</v>
      </c>
      <c r="EN2479" t="s">
        <v>848</v>
      </c>
      <c r="EO2479">
        <v>111.91</v>
      </c>
    </row>
    <row r="2480" spans="142:145" x14ac:dyDescent="0.25">
      <c r="EL2480">
        <v>2022</v>
      </c>
      <c r="EM2480" t="s">
        <v>719</v>
      </c>
      <c r="EN2480" t="s">
        <v>848</v>
      </c>
      <c r="EO2480">
        <v>137.33000000000001</v>
      </c>
    </row>
    <row r="2481" spans="142:145" x14ac:dyDescent="0.25">
      <c r="EL2481">
        <v>2022</v>
      </c>
      <c r="EM2481" t="s">
        <v>713</v>
      </c>
      <c r="EN2481" t="s">
        <v>848</v>
      </c>
      <c r="EO2481">
        <v>107.8</v>
      </c>
    </row>
    <row r="2482" spans="142:145" x14ac:dyDescent="0.25">
      <c r="EL2482">
        <v>2022</v>
      </c>
      <c r="EM2482" t="s">
        <v>714</v>
      </c>
      <c r="EN2482" t="s">
        <v>848</v>
      </c>
      <c r="EO2482">
        <v>127.72</v>
      </c>
    </row>
    <row r="2483" spans="142:145" x14ac:dyDescent="0.25">
      <c r="EL2483">
        <v>2022</v>
      </c>
      <c r="EM2483" t="s">
        <v>705</v>
      </c>
      <c r="EN2483" t="s">
        <v>848</v>
      </c>
      <c r="EO2483">
        <v>133.19999999999999</v>
      </c>
    </row>
    <row r="2484" spans="142:145" x14ac:dyDescent="0.25">
      <c r="EL2484">
        <v>2022</v>
      </c>
      <c r="EM2484" t="s">
        <v>715</v>
      </c>
      <c r="EN2484" t="s">
        <v>848</v>
      </c>
      <c r="EO2484">
        <v>132.68</v>
      </c>
    </row>
    <row r="2485" spans="142:145" x14ac:dyDescent="0.25">
      <c r="EL2485">
        <v>2022</v>
      </c>
      <c r="EM2485" t="s">
        <v>718</v>
      </c>
      <c r="EN2485" t="s">
        <v>848</v>
      </c>
      <c r="EO2485">
        <v>110.4</v>
      </c>
    </row>
    <row r="2486" spans="142:145" x14ac:dyDescent="0.25">
      <c r="EL2486">
        <v>2022</v>
      </c>
      <c r="EM2486" t="s">
        <v>716</v>
      </c>
      <c r="EN2486" t="s">
        <v>848</v>
      </c>
      <c r="EO2486">
        <v>119.04</v>
      </c>
    </row>
    <row r="2487" spans="142:145" x14ac:dyDescent="0.25">
      <c r="EL2487">
        <v>2022</v>
      </c>
      <c r="EM2487" t="s">
        <v>708</v>
      </c>
      <c r="EN2487" t="s">
        <v>848</v>
      </c>
      <c r="EO2487">
        <v>116.25</v>
      </c>
    </row>
    <row r="2488" spans="142:145" x14ac:dyDescent="0.25">
      <c r="EL2488">
        <v>2022</v>
      </c>
      <c r="EM2488" t="s">
        <v>709</v>
      </c>
      <c r="EN2488" t="s">
        <v>848</v>
      </c>
      <c r="EO2488">
        <v>105.9</v>
      </c>
    </row>
    <row r="2489" spans="142:145" x14ac:dyDescent="0.25">
      <c r="EL2489">
        <v>2022</v>
      </c>
      <c r="EM2489" t="s">
        <v>710</v>
      </c>
      <c r="EN2489" t="s">
        <v>848</v>
      </c>
      <c r="EO2489">
        <v>101.68</v>
      </c>
    </row>
    <row r="2490" spans="142:145" x14ac:dyDescent="0.25">
      <c r="EL2490">
        <v>2022</v>
      </c>
      <c r="EM2490" t="s">
        <v>711</v>
      </c>
      <c r="EN2490" t="s">
        <v>848</v>
      </c>
      <c r="EO2490">
        <v>103.2</v>
      </c>
    </row>
    <row r="2491" spans="142:145" x14ac:dyDescent="0.25">
      <c r="EL2491">
        <v>2022</v>
      </c>
      <c r="EM2491" t="s">
        <v>712</v>
      </c>
      <c r="EN2491" t="s">
        <v>848</v>
      </c>
      <c r="EO2491">
        <v>122.45</v>
      </c>
    </row>
    <row r="2492" spans="142:145" x14ac:dyDescent="0.25">
      <c r="EL2492">
        <v>2023</v>
      </c>
      <c r="EM2492" t="s">
        <v>719</v>
      </c>
      <c r="EN2492" t="s">
        <v>848</v>
      </c>
      <c r="EO2492">
        <v>114.08</v>
      </c>
    </row>
    <row r="2493" spans="142:145" x14ac:dyDescent="0.25">
      <c r="EL2493">
        <v>2023</v>
      </c>
      <c r="EM2493" t="s">
        <v>713</v>
      </c>
      <c r="EN2493" t="s">
        <v>848</v>
      </c>
      <c r="EO2493">
        <v>107.52</v>
      </c>
    </row>
    <row r="2494" spans="142:145" x14ac:dyDescent="0.25">
      <c r="EL2494">
        <v>2023</v>
      </c>
      <c r="EM2494" t="s">
        <v>714</v>
      </c>
      <c r="EN2494" t="s">
        <v>848</v>
      </c>
      <c r="EO2494">
        <v>110.98</v>
      </c>
    </row>
    <row r="2495" spans="142:145" x14ac:dyDescent="0.25">
      <c r="EL2495">
        <v>2023</v>
      </c>
      <c r="EM2495" t="s">
        <v>705</v>
      </c>
      <c r="EN2495" t="s">
        <v>848</v>
      </c>
      <c r="EO2495">
        <v>106.8</v>
      </c>
    </row>
    <row r="2496" spans="142:145" x14ac:dyDescent="0.25">
      <c r="EL2496">
        <v>2023</v>
      </c>
      <c r="EM2496" t="s">
        <v>715</v>
      </c>
      <c r="EN2496" t="s">
        <v>848</v>
      </c>
      <c r="EO2496">
        <v>101.06</v>
      </c>
    </row>
    <row r="2497" spans="142:145" x14ac:dyDescent="0.25">
      <c r="EL2497">
        <v>2023</v>
      </c>
      <c r="EM2497" t="s">
        <v>718</v>
      </c>
      <c r="EN2497" t="s">
        <v>848</v>
      </c>
      <c r="EO2497">
        <v>103.5</v>
      </c>
    </row>
    <row r="2498" spans="142:145" x14ac:dyDescent="0.25">
      <c r="EL2498">
        <v>2023</v>
      </c>
      <c r="EM2498" t="s">
        <v>716</v>
      </c>
      <c r="EN2498" t="s">
        <v>848</v>
      </c>
      <c r="EO2498">
        <v>123.69</v>
      </c>
    </row>
    <row r="2499" spans="142:145" x14ac:dyDescent="0.25">
      <c r="EL2499">
        <v>2023</v>
      </c>
      <c r="EM2499" t="s">
        <v>708</v>
      </c>
      <c r="EN2499" t="s">
        <v>848</v>
      </c>
      <c r="EO2499">
        <v>114.7</v>
      </c>
    </row>
    <row r="2500" spans="142:145" x14ac:dyDescent="0.25">
      <c r="EL2500">
        <v>2023</v>
      </c>
      <c r="EM2500" t="s">
        <v>709</v>
      </c>
      <c r="EN2500" t="s">
        <v>848</v>
      </c>
      <c r="EO2500">
        <v>110.7</v>
      </c>
    </row>
    <row r="2501" spans="142:145" x14ac:dyDescent="0.25">
      <c r="EL2501">
        <v>1997</v>
      </c>
      <c r="EM2501" t="s">
        <v>760</v>
      </c>
      <c r="EN2501" t="s">
        <v>849</v>
      </c>
      <c r="EO2501">
        <v>29.047000000000001</v>
      </c>
    </row>
    <row r="2502" spans="142:145" x14ac:dyDescent="0.25">
      <c r="EL2502">
        <v>1997</v>
      </c>
      <c r="EM2502" t="s">
        <v>761</v>
      </c>
      <c r="EN2502" t="s">
        <v>849</v>
      </c>
      <c r="EO2502">
        <v>37.709999999999994</v>
      </c>
    </row>
    <row r="2503" spans="142:145" x14ac:dyDescent="0.25">
      <c r="EL2503">
        <v>1997</v>
      </c>
      <c r="EM2503" t="s">
        <v>762</v>
      </c>
      <c r="EN2503" t="s">
        <v>849</v>
      </c>
      <c r="EO2503">
        <v>38.780999999999999</v>
      </c>
    </row>
    <row r="2504" spans="142:145" x14ac:dyDescent="0.25">
      <c r="EL2504">
        <v>1998</v>
      </c>
      <c r="EM2504" t="s">
        <v>763</v>
      </c>
      <c r="EN2504" t="s">
        <v>849</v>
      </c>
      <c r="EO2504">
        <v>44.454000000000001</v>
      </c>
    </row>
    <row r="2505" spans="142:145" x14ac:dyDescent="0.25">
      <c r="EL2505">
        <v>1998</v>
      </c>
      <c r="EM2505" t="s">
        <v>764</v>
      </c>
      <c r="EN2505" t="s">
        <v>849</v>
      </c>
      <c r="EO2505">
        <v>39.676000000000002</v>
      </c>
    </row>
    <row r="2506" spans="142:145" x14ac:dyDescent="0.25">
      <c r="EL2506">
        <v>1998</v>
      </c>
      <c r="EM2506" t="s">
        <v>765</v>
      </c>
      <c r="EN2506" t="s">
        <v>849</v>
      </c>
      <c r="EO2506">
        <v>37.975000000000001</v>
      </c>
    </row>
    <row r="2507" spans="142:145" x14ac:dyDescent="0.25">
      <c r="EL2507">
        <v>1998</v>
      </c>
      <c r="EM2507" t="s">
        <v>767</v>
      </c>
      <c r="EN2507" t="s">
        <v>849</v>
      </c>
      <c r="EO2507">
        <v>36.42</v>
      </c>
    </row>
    <row r="2508" spans="142:145" x14ac:dyDescent="0.25">
      <c r="EL2508">
        <v>1998</v>
      </c>
      <c r="EM2508" t="s">
        <v>715</v>
      </c>
      <c r="EN2508" t="s">
        <v>849</v>
      </c>
      <c r="EO2508">
        <v>29.077999999999999</v>
      </c>
    </row>
    <row r="2509" spans="142:145" x14ac:dyDescent="0.25">
      <c r="EL2509">
        <v>1998</v>
      </c>
      <c r="EM2509" t="s">
        <v>718</v>
      </c>
      <c r="EN2509" t="s">
        <v>849</v>
      </c>
      <c r="EO2509">
        <v>22.62</v>
      </c>
    </row>
    <row r="2510" spans="142:145" x14ac:dyDescent="0.25">
      <c r="EL2510">
        <v>1998</v>
      </c>
      <c r="EM2510" t="s">
        <v>716</v>
      </c>
      <c r="EN2510" t="s">
        <v>849</v>
      </c>
      <c r="EO2510">
        <v>26.690999999999999</v>
      </c>
    </row>
    <row r="2511" spans="142:145" x14ac:dyDescent="0.25">
      <c r="EL2511">
        <v>1998</v>
      </c>
      <c r="EM2511" t="s">
        <v>768</v>
      </c>
      <c r="EN2511" t="s">
        <v>849</v>
      </c>
      <c r="EO2511">
        <v>28.954000000000001</v>
      </c>
    </row>
    <row r="2512" spans="142:145" x14ac:dyDescent="0.25">
      <c r="EL2512">
        <v>1998</v>
      </c>
      <c r="EM2512" t="s">
        <v>769</v>
      </c>
      <c r="EN2512" t="s">
        <v>849</v>
      </c>
      <c r="EO2512">
        <v>26.16</v>
      </c>
    </row>
    <row r="2513" spans="142:145" x14ac:dyDescent="0.25">
      <c r="EL2513">
        <v>1998</v>
      </c>
      <c r="EM2513" t="s">
        <v>760</v>
      </c>
      <c r="EN2513" t="s">
        <v>849</v>
      </c>
      <c r="EO2513">
        <v>19.995000000000001</v>
      </c>
    </row>
    <row r="2514" spans="142:145" x14ac:dyDescent="0.25">
      <c r="EL2514">
        <v>1998</v>
      </c>
      <c r="EM2514" t="s">
        <v>771</v>
      </c>
      <c r="EN2514" t="s">
        <v>849</v>
      </c>
      <c r="EO2514">
        <v>20.580000000000002</v>
      </c>
    </row>
    <row r="2515" spans="142:145" x14ac:dyDescent="0.25">
      <c r="EL2515">
        <v>1998</v>
      </c>
      <c r="EM2515" t="s">
        <v>762</v>
      </c>
      <c r="EN2515" t="s">
        <v>849</v>
      </c>
      <c r="EO2515">
        <v>20.801000000000002</v>
      </c>
    </row>
    <row r="2516" spans="142:145" x14ac:dyDescent="0.25">
      <c r="EL2516">
        <v>1999</v>
      </c>
      <c r="EM2516" t="s">
        <v>763</v>
      </c>
      <c r="EN2516" t="s">
        <v>849</v>
      </c>
      <c r="EO2516">
        <v>22.32</v>
      </c>
    </row>
    <row r="2517" spans="142:145" x14ac:dyDescent="0.25">
      <c r="EL2517">
        <v>1999</v>
      </c>
      <c r="EM2517" t="s">
        <v>772</v>
      </c>
      <c r="EN2517" t="s">
        <v>849</v>
      </c>
      <c r="EO2517">
        <v>20.411999999999999</v>
      </c>
    </row>
    <row r="2518" spans="142:145" x14ac:dyDescent="0.25">
      <c r="EL2518">
        <v>1999</v>
      </c>
      <c r="EM2518" t="s">
        <v>773</v>
      </c>
      <c r="EN2518" t="s">
        <v>849</v>
      </c>
      <c r="EO2518">
        <v>23.187999999999999</v>
      </c>
    </row>
    <row r="2519" spans="142:145" x14ac:dyDescent="0.25">
      <c r="EL2519">
        <v>1999</v>
      </c>
      <c r="EM2519" t="s">
        <v>774</v>
      </c>
      <c r="EN2519" t="s">
        <v>849</v>
      </c>
      <c r="EO2519">
        <v>22.44</v>
      </c>
    </row>
    <row r="2520" spans="142:145" x14ac:dyDescent="0.25">
      <c r="EL2520">
        <v>1999</v>
      </c>
      <c r="EM2520" t="s">
        <v>715</v>
      </c>
      <c r="EN2520" t="s">
        <v>849</v>
      </c>
      <c r="EO2520">
        <v>23.187999999999999</v>
      </c>
    </row>
    <row r="2521" spans="142:145" x14ac:dyDescent="0.25">
      <c r="EL2521">
        <v>1999</v>
      </c>
      <c r="EM2521" t="s">
        <v>718</v>
      </c>
      <c r="EN2521" t="s">
        <v>849</v>
      </c>
      <c r="EO2521">
        <v>22.44</v>
      </c>
    </row>
    <row r="2522" spans="142:145" x14ac:dyDescent="0.25">
      <c r="EL2522">
        <v>1999</v>
      </c>
      <c r="EM2522" t="s">
        <v>716</v>
      </c>
      <c r="EN2522" t="s">
        <v>849</v>
      </c>
      <c r="EO2522">
        <v>23.187999999999999</v>
      </c>
    </row>
    <row r="2523" spans="142:145" x14ac:dyDescent="0.25">
      <c r="EL2523">
        <v>1999</v>
      </c>
      <c r="EM2523" t="s">
        <v>708</v>
      </c>
      <c r="EN2523" t="s">
        <v>849</v>
      </c>
      <c r="EO2523">
        <v>23.187999999999999</v>
      </c>
    </row>
    <row r="2524" spans="142:145" x14ac:dyDescent="0.25">
      <c r="EL2524">
        <v>1999</v>
      </c>
      <c r="EM2524" t="s">
        <v>709</v>
      </c>
      <c r="EN2524" t="s">
        <v>849</v>
      </c>
      <c r="EO2524">
        <v>22.44</v>
      </c>
    </row>
    <row r="2525" spans="142:145" x14ac:dyDescent="0.25">
      <c r="EL2525">
        <v>1999</v>
      </c>
      <c r="EM2525" t="s">
        <v>710</v>
      </c>
      <c r="EN2525" t="s">
        <v>849</v>
      </c>
      <c r="EO2525">
        <v>23.187999999999999</v>
      </c>
    </row>
    <row r="2526" spans="142:145" x14ac:dyDescent="0.25">
      <c r="EL2526">
        <v>1999</v>
      </c>
      <c r="EM2526" t="s">
        <v>711</v>
      </c>
      <c r="EN2526" t="s">
        <v>849</v>
      </c>
      <c r="EO2526">
        <v>27.12</v>
      </c>
    </row>
    <row r="2527" spans="142:145" x14ac:dyDescent="0.25">
      <c r="EL2527">
        <v>1999</v>
      </c>
      <c r="EM2527" t="s">
        <v>712</v>
      </c>
      <c r="EN2527" t="s">
        <v>849</v>
      </c>
      <c r="EO2527">
        <v>28.21</v>
      </c>
    </row>
    <row r="2528" spans="142:145" x14ac:dyDescent="0.25">
      <c r="EL2528">
        <v>2000</v>
      </c>
      <c r="EM2528" t="s">
        <v>719</v>
      </c>
      <c r="EN2528" t="s">
        <v>849</v>
      </c>
      <c r="EO2528">
        <v>23.901</v>
      </c>
    </row>
    <row r="2529" spans="142:145" x14ac:dyDescent="0.25">
      <c r="EL2529">
        <v>2000</v>
      </c>
      <c r="EM2529" t="s">
        <v>713</v>
      </c>
      <c r="EN2529" t="s">
        <v>849</v>
      </c>
      <c r="EO2529">
        <v>21.692</v>
      </c>
    </row>
    <row r="2530" spans="142:145" x14ac:dyDescent="0.25">
      <c r="EL2530">
        <v>2000</v>
      </c>
      <c r="EM2530" t="s">
        <v>714</v>
      </c>
      <c r="EN2530" t="s">
        <v>849</v>
      </c>
      <c r="EO2530">
        <v>23.187999999999999</v>
      </c>
    </row>
    <row r="2531" spans="142:145" x14ac:dyDescent="0.25">
      <c r="EL2531">
        <v>2000</v>
      </c>
      <c r="EM2531" t="s">
        <v>705</v>
      </c>
      <c r="EN2531" t="s">
        <v>849</v>
      </c>
      <c r="EO2531">
        <v>22.44</v>
      </c>
    </row>
    <row r="2532" spans="142:145" x14ac:dyDescent="0.25">
      <c r="EL2532">
        <v>2000</v>
      </c>
      <c r="EM2532" t="s">
        <v>715</v>
      </c>
      <c r="EN2532" t="s">
        <v>849</v>
      </c>
      <c r="EO2532">
        <v>23.187999999999999</v>
      </c>
    </row>
    <row r="2533" spans="142:145" x14ac:dyDescent="0.25">
      <c r="EL2533">
        <v>2000</v>
      </c>
      <c r="EM2533" t="s">
        <v>718</v>
      </c>
      <c r="EN2533" t="s">
        <v>849</v>
      </c>
      <c r="EO2533">
        <v>22.44</v>
      </c>
    </row>
    <row r="2534" spans="142:145" x14ac:dyDescent="0.25">
      <c r="EL2534">
        <v>2000</v>
      </c>
      <c r="EM2534" t="s">
        <v>716</v>
      </c>
      <c r="EN2534" t="s">
        <v>849</v>
      </c>
      <c r="EO2534">
        <v>18.568999999999999</v>
      </c>
    </row>
    <row r="2535" spans="142:145" x14ac:dyDescent="0.25">
      <c r="EL2535">
        <v>2000</v>
      </c>
      <c r="EM2535" t="s">
        <v>708</v>
      </c>
      <c r="EN2535" t="s">
        <v>849</v>
      </c>
      <c r="EO2535">
        <v>22.536999999999999</v>
      </c>
    </row>
    <row r="2536" spans="142:145" x14ac:dyDescent="0.25">
      <c r="EL2536">
        <v>2000</v>
      </c>
      <c r="EM2536" t="s">
        <v>709</v>
      </c>
      <c r="EN2536" t="s">
        <v>849</v>
      </c>
      <c r="EO2536">
        <v>22.44</v>
      </c>
    </row>
    <row r="2537" spans="142:145" x14ac:dyDescent="0.25">
      <c r="EL2537">
        <v>2000</v>
      </c>
      <c r="EM2537" t="s">
        <v>710</v>
      </c>
      <c r="EN2537" t="s">
        <v>849</v>
      </c>
      <c r="EO2537">
        <v>23.187999999999999</v>
      </c>
    </row>
    <row r="2538" spans="142:145" x14ac:dyDescent="0.25">
      <c r="EL2538">
        <v>2000</v>
      </c>
      <c r="EM2538" t="s">
        <v>711</v>
      </c>
      <c r="EN2538" t="s">
        <v>849</v>
      </c>
      <c r="EO2538">
        <v>22.44</v>
      </c>
    </row>
    <row r="2539" spans="142:145" x14ac:dyDescent="0.25">
      <c r="EL2539">
        <v>2000</v>
      </c>
      <c r="EM2539" t="s">
        <v>712</v>
      </c>
      <c r="EN2539" t="s">
        <v>849</v>
      </c>
      <c r="EO2539">
        <v>23.187999999999999</v>
      </c>
    </row>
    <row r="2540" spans="142:145" x14ac:dyDescent="0.25">
      <c r="EL2540">
        <v>2001</v>
      </c>
      <c r="EM2540" t="s">
        <v>719</v>
      </c>
      <c r="EN2540" t="s">
        <v>849</v>
      </c>
      <c r="EO2540">
        <v>23.187999999999999</v>
      </c>
    </row>
    <row r="2541" spans="142:145" x14ac:dyDescent="0.25">
      <c r="EL2541">
        <v>2001</v>
      </c>
      <c r="EM2541" t="s">
        <v>713</v>
      </c>
      <c r="EN2541" t="s">
        <v>849</v>
      </c>
      <c r="EO2541">
        <v>23.603999999999999</v>
      </c>
    </row>
    <row r="2542" spans="142:145" x14ac:dyDescent="0.25">
      <c r="EL2542">
        <v>2001</v>
      </c>
      <c r="EM2542" t="s">
        <v>714</v>
      </c>
      <c r="EN2542" t="s">
        <v>849</v>
      </c>
      <c r="EO2542">
        <v>27.094000000000001</v>
      </c>
    </row>
    <row r="2543" spans="142:145" x14ac:dyDescent="0.25">
      <c r="EL2543">
        <v>2001</v>
      </c>
      <c r="EM2543" t="s">
        <v>705</v>
      </c>
      <c r="EN2543" t="s">
        <v>849</v>
      </c>
      <c r="EO2543">
        <v>26.22</v>
      </c>
    </row>
    <row r="2544" spans="142:145" x14ac:dyDescent="0.25">
      <c r="EL2544">
        <v>2001</v>
      </c>
      <c r="EM2544" t="s">
        <v>715</v>
      </c>
      <c r="EN2544" t="s">
        <v>849</v>
      </c>
      <c r="EO2544">
        <v>27.094000000000001</v>
      </c>
    </row>
    <row r="2545" spans="142:145" x14ac:dyDescent="0.25">
      <c r="EL2545">
        <v>2001</v>
      </c>
      <c r="EM2545" t="s">
        <v>718</v>
      </c>
      <c r="EN2545" t="s">
        <v>849</v>
      </c>
      <c r="EO2545">
        <v>28.080000000000002</v>
      </c>
    </row>
    <row r="2546" spans="142:145" x14ac:dyDescent="0.25">
      <c r="EL2546">
        <v>2001</v>
      </c>
      <c r="EM2546" t="s">
        <v>716</v>
      </c>
      <c r="EN2546" t="s">
        <v>849</v>
      </c>
      <c r="EO2546">
        <v>29.016000000000002</v>
      </c>
    </row>
    <row r="2547" spans="142:145" x14ac:dyDescent="0.25">
      <c r="EL2547">
        <v>2001</v>
      </c>
      <c r="EM2547" t="s">
        <v>708</v>
      </c>
      <c r="EN2547" t="s">
        <v>849</v>
      </c>
      <c r="EO2547">
        <v>27.094000000000001</v>
      </c>
    </row>
    <row r="2548" spans="142:145" x14ac:dyDescent="0.25">
      <c r="EL2548">
        <v>2001</v>
      </c>
      <c r="EM2548" t="s">
        <v>709</v>
      </c>
      <c r="EN2548" t="s">
        <v>849</v>
      </c>
      <c r="EO2548">
        <v>26.22</v>
      </c>
    </row>
    <row r="2549" spans="142:145" x14ac:dyDescent="0.25">
      <c r="EL2549">
        <v>2001</v>
      </c>
      <c r="EM2549" t="s">
        <v>710</v>
      </c>
      <c r="EN2549" t="s">
        <v>849</v>
      </c>
      <c r="EO2549">
        <v>27.094000000000001</v>
      </c>
    </row>
    <row r="2550" spans="142:145" x14ac:dyDescent="0.25">
      <c r="EL2550">
        <v>2001</v>
      </c>
      <c r="EM2550" t="s">
        <v>711</v>
      </c>
      <c r="EN2550" t="s">
        <v>849</v>
      </c>
      <c r="EO2550">
        <v>26.22</v>
      </c>
    </row>
    <row r="2551" spans="142:145" x14ac:dyDescent="0.25">
      <c r="EL2551">
        <v>2001</v>
      </c>
      <c r="EM2551" t="s">
        <v>712</v>
      </c>
      <c r="EN2551" t="s">
        <v>849</v>
      </c>
      <c r="EO2551">
        <v>27.094000000000001</v>
      </c>
    </row>
    <row r="2552" spans="142:145" x14ac:dyDescent="0.25">
      <c r="EL2552">
        <v>2002</v>
      </c>
      <c r="EM2552" t="s">
        <v>719</v>
      </c>
      <c r="EN2552" t="s">
        <v>849</v>
      </c>
      <c r="EO2552">
        <v>27.094000000000001</v>
      </c>
    </row>
    <row r="2553" spans="142:145" x14ac:dyDescent="0.25">
      <c r="EL2553">
        <v>2002</v>
      </c>
      <c r="EM2553" t="s">
        <v>713</v>
      </c>
      <c r="EN2553" t="s">
        <v>849</v>
      </c>
      <c r="EO2553">
        <v>21.7</v>
      </c>
    </row>
    <row r="2554" spans="142:145" x14ac:dyDescent="0.25">
      <c r="EL2554">
        <v>2002</v>
      </c>
      <c r="EM2554" t="s">
        <v>714</v>
      </c>
      <c r="EN2554" t="s">
        <v>849</v>
      </c>
      <c r="EO2554">
        <v>28.799000000000003</v>
      </c>
    </row>
    <row r="2555" spans="142:145" x14ac:dyDescent="0.25">
      <c r="EL2555">
        <v>2002</v>
      </c>
      <c r="EM2555" t="s">
        <v>705</v>
      </c>
      <c r="EN2555" t="s">
        <v>849</v>
      </c>
      <c r="EO2555">
        <v>24.99</v>
      </c>
    </row>
    <row r="2556" spans="142:145" x14ac:dyDescent="0.25">
      <c r="EL2556">
        <v>2002</v>
      </c>
      <c r="EM2556" t="s">
        <v>715</v>
      </c>
      <c r="EN2556" t="s">
        <v>849</v>
      </c>
      <c r="EO2556">
        <v>28.706000000000003</v>
      </c>
    </row>
    <row r="2557" spans="142:145" x14ac:dyDescent="0.25">
      <c r="EL2557">
        <v>2002</v>
      </c>
      <c r="EM2557" t="s">
        <v>718</v>
      </c>
      <c r="EN2557" t="s">
        <v>849</v>
      </c>
      <c r="EO2557">
        <v>20.28</v>
      </c>
    </row>
    <row r="2558" spans="142:145" x14ac:dyDescent="0.25">
      <c r="EL2558">
        <v>2002</v>
      </c>
      <c r="EM2558" t="s">
        <v>716</v>
      </c>
      <c r="EN2558" t="s">
        <v>849</v>
      </c>
      <c r="EO2558">
        <v>27.434999999999999</v>
      </c>
    </row>
    <row r="2559" spans="142:145" x14ac:dyDescent="0.25">
      <c r="EL2559">
        <v>2002</v>
      </c>
      <c r="EM2559" t="s">
        <v>708</v>
      </c>
      <c r="EN2559" t="s">
        <v>849</v>
      </c>
      <c r="EO2559">
        <v>25.605999999999998</v>
      </c>
    </row>
    <row r="2560" spans="142:145" x14ac:dyDescent="0.25">
      <c r="EL2560">
        <v>2002</v>
      </c>
      <c r="EM2560" t="s">
        <v>709</v>
      </c>
      <c r="EN2560" t="s">
        <v>849</v>
      </c>
      <c r="EO2560">
        <v>24.419999999999998</v>
      </c>
    </row>
    <row r="2561" spans="142:145" x14ac:dyDescent="0.25">
      <c r="EL2561">
        <v>2002</v>
      </c>
      <c r="EM2561" t="s">
        <v>710</v>
      </c>
      <c r="EN2561" t="s">
        <v>849</v>
      </c>
      <c r="EO2561">
        <v>29.325999999999997</v>
      </c>
    </row>
    <row r="2562" spans="142:145" x14ac:dyDescent="0.25">
      <c r="EL2562">
        <v>2002</v>
      </c>
      <c r="EM2562" t="s">
        <v>711</v>
      </c>
      <c r="EN2562" t="s">
        <v>849</v>
      </c>
      <c r="EO2562">
        <v>31.529999999999998</v>
      </c>
    </row>
    <row r="2563" spans="142:145" x14ac:dyDescent="0.25">
      <c r="EL2563">
        <v>2002</v>
      </c>
      <c r="EM2563" t="s">
        <v>712</v>
      </c>
      <c r="EN2563" t="s">
        <v>849</v>
      </c>
      <c r="EO2563">
        <v>25.605999999999998</v>
      </c>
    </row>
    <row r="2564" spans="142:145" x14ac:dyDescent="0.25">
      <c r="EL2564">
        <v>2003</v>
      </c>
      <c r="EM2564" t="s">
        <v>719</v>
      </c>
      <c r="EN2564" t="s">
        <v>849</v>
      </c>
      <c r="EO2564">
        <v>12.431000000000001</v>
      </c>
    </row>
    <row r="2565" spans="142:145" x14ac:dyDescent="0.25">
      <c r="EL2565">
        <v>2003</v>
      </c>
      <c r="EM2565" t="s">
        <v>713</v>
      </c>
      <c r="EN2565" t="s">
        <v>849</v>
      </c>
      <c r="EO2565">
        <v>13.86</v>
      </c>
    </row>
    <row r="2566" spans="142:145" x14ac:dyDescent="0.25">
      <c r="EL2566">
        <v>2003</v>
      </c>
      <c r="EM2566" t="s">
        <v>714</v>
      </c>
      <c r="EN2566" t="s">
        <v>849</v>
      </c>
      <c r="EO2566">
        <v>19.033999999999999</v>
      </c>
    </row>
    <row r="2567" spans="142:145" x14ac:dyDescent="0.25">
      <c r="EL2567">
        <v>2003</v>
      </c>
      <c r="EM2567" t="s">
        <v>705</v>
      </c>
      <c r="EN2567" t="s">
        <v>849</v>
      </c>
      <c r="EO2567">
        <v>15.450000000000001</v>
      </c>
    </row>
    <row r="2568" spans="142:145" x14ac:dyDescent="0.25">
      <c r="EL2568">
        <v>2003</v>
      </c>
      <c r="EM2568" t="s">
        <v>715</v>
      </c>
      <c r="EN2568" t="s">
        <v>849</v>
      </c>
      <c r="EO2568">
        <v>14.662999999999998</v>
      </c>
    </row>
    <row r="2569" spans="142:145" x14ac:dyDescent="0.25">
      <c r="EL2569">
        <v>2003</v>
      </c>
      <c r="EM2569" t="s">
        <v>718</v>
      </c>
      <c r="EN2569" t="s">
        <v>849</v>
      </c>
      <c r="EO2569">
        <v>16.170000000000002</v>
      </c>
    </row>
    <row r="2570" spans="142:145" x14ac:dyDescent="0.25">
      <c r="EL2570">
        <v>2003</v>
      </c>
      <c r="EM2570" t="s">
        <v>716</v>
      </c>
      <c r="EN2570" t="s">
        <v>849</v>
      </c>
      <c r="EO2570">
        <v>16.244</v>
      </c>
    </row>
    <row r="2571" spans="142:145" x14ac:dyDescent="0.25">
      <c r="EL2571">
        <v>2003</v>
      </c>
      <c r="EM2571" t="s">
        <v>708</v>
      </c>
      <c r="EN2571" t="s">
        <v>849</v>
      </c>
      <c r="EO2571">
        <v>14.198</v>
      </c>
    </row>
    <row r="2572" spans="142:145" x14ac:dyDescent="0.25">
      <c r="EL2572">
        <v>2003</v>
      </c>
      <c r="EM2572" t="s">
        <v>709</v>
      </c>
      <c r="EN2572" t="s">
        <v>849</v>
      </c>
      <c r="EO2572">
        <v>14.64</v>
      </c>
    </row>
    <row r="2573" spans="142:145" x14ac:dyDescent="0.25">
      <c r="EL2573">
        <v>2003</v>
      </c>
      <c r="EM2573" t="s">
        <v>710</v>
      </c>
      <c r="EN2573" t="s">
        <v>849</v>
      </c>
      <c r="EO2573">
        <v>12.311999999999999</v>
      </c>
    </row>
    <row r="2574" spans="142:145" x14ac:dyDescent="0.25">
      <c r="EL2574">
        <v>2003</v>
      </c>
      <c r="EM2574" t="s">
        <v>711</v>
      </c>
      <c r="EN2574" t="s">
        <v>849</v>
      </c>
      <c r="EO2574">
        <v>16.157</v>
      </c>
    </row>
    <row r="2575" spans="142:145" x14ac:dyDescent="0.25">
      <c r="EL2575">
        <v>2003</v>
      </c>
      <c r="EM2575" t="s">
        <v>712</v>
      </c>
      <c r="EN2575" t="s">
        <v>849</v>
      </c>
      <c r="EO2575">
        <v>27.2636</v>
      </c>
    </row>
    <row r="2576" spans="142:145" x14ac:dyDescent="0.25">
      <c r="EL2576">
        <v>2004</v>
      </c>
      <c r="EM2576" t="s">
        <v>719</v>
      </c>
      <c r="EN2576" t="s">
        <v>849</v>
      </c>
      <c r="EO2576">
        <v>21.492999999999999</v>
      </c>
    </row>
    <row r="2577" spans="142:145" x14ac:dyDescent="0.25">
      <c r="EL2577">
        <v>2004</v>
      </c>
      <c r="EM2577" t="s">
        <v>713</v>
      </c>
      <c r="EN2577" t="s">
        <v>849</v>
      </c>
      <c r="EO2577">
        <v>18.803999999999998</v>
      </c>
    </row>
    <row r="2578" spans="142:145" x14ac:dyDescent="0.25">
      <c r="EL2578">
        <v>2004</v>
      </c>
      <c r="EM2578" t="s">
        <v>714</v>
      </c>
      <c r="EN2578" t="s">
        <v>849</v>
      </c>
      <c r="EO2578">
        <v>10.794</v>
      </c>
    </row>
    <row r="2579" spans="142:145" x14ac:dyDescent="0.25">
      <c r="EL2579">
        <v>2004</v>
      </c>
      <c r="EM2579" t="s">
        <v>705</v>
      </c>
      <c r="EN2579" t="s">
        <v>849</v>
      </c>
      <c r="EO2579">
        <v>9.1959999999999997</v>
      </c>
    </row>
    <row r="2580" spans="142:145" x14ac:dyDescent="0.25">
      <c r="EL2580">
        <v>2004</v>
      </c>
      <c r="EM2580" t="s">
        <v>715</v>
      </c>
      <c r="EN2580" t="s">
        <v>849</v>
      </c>
      <c r="EO2580">
        <v>10.891552750955499</v>
      </c>
    </row>
    <row r="2581" spans="142:145" x14ac:dyDescent="0.25">
      <c r="EL2581">
        <v>2004</v>
      </c>
      <c r="EM2581" t="s">
        <v>718</v>
      </c>
      <c r="EN2581" t="s">
        <v>849</v>
      </c>
      <c r="EO2581">
        <v>10.5387</v>
      </c>
    </row>
    <row r="2582" spans="142:145" x14ac:dyDescent="0.25">
      <c r="EL2582">
        <v>2004</v>
      </c>
      <c r="EM2582" t="s">
        <v>716</v>
      </c>
      <c r="EN2582" t="s">
        <v>849</v>
      </c>
      <c r="EO2582">
        <v>8.0549999999999997</v>
      </c>
    </row>
    <row r="2583" spans="142:145" x14ac:dyDescent="0.25">
      <c r="EL2583">
        <v>2004</v>
      </c>
      <c r="EM2583" t="s">
        <v>708</v>
      </c>
      <c r="EN2583" t="s">
        <v>849</v>
      </c>
      <c r="EO2583">
        <v>6.2382330000000001</v>
      </c>
    </row>
    <row r="2584" spans="142:145" x14ac:dyDescent="0.25">
      <c r="EL2584">
        <v>2004</v>
      </c>
      <c r="EM2584" t="s">
        <v>709</v>
      </c>
      <c r="EN2584" t="s">
        <v>849</v>
      </c>
      <c r="EO2584">
        <v>9.4454766740443095</v>
      </c>
    </row>
    <row r="2585" spans="142:145" x14ac:dyDescent="0.25">
      <c r="EL2585">
        <v>2004</v>
      </c>
      <c r="EM2585" t="s">
        <v>710</v>
      </c>
      <c r="EN2585" t="s">
        <v>849</v>
      </c>
      <c r="EO2585">
        <v>11.749000000000001</v>
      </c>
    </row>
    <row r="2586" spans="142:145" x14ac:dyDescent="0.25">
      <c r="EL2586">
        <v>2004</v>
      </c>
      <c r="EM2586" t="s">
        <v>711</v>
      </c>
      <c r="EN2586" t="s">
        <v>849</v>
      </c>
      <c r="EO2586">
        <v>10.71</v>
      </c>
    </row>
    <row r="2587" spans="142:145" x14ac:dyDescent="0.25">
      <c r="EL2587">
        <v>2004</v>
      </c>
      <c r="EM2587" t="s">
        <v>712</v>
      </c>
      <c r="EN2587" t="s">
        <v>849</v>
      </c>
      <c r="EO2587">
        <v>11.672000000000001</v>
      </c>
    </row>
    <row r="2588" spans="142:145" x14ac:dyDescent="0.25">
      <c r="EL2588">
        <v>2005</v>
      </c>
      <c r="EM2588" t="s">
        <v>719</v>
      </c>
      <c r="EN2588" t="s">
        <v>849</v>
      </c>
      <c r="EO2588">
        <v>9.9920000000000009</v>
      </c>
    </row>
    <row r="2589" spans="142:145" x14ac:dyDescent="0.25">
      <c r="EL2589">
        <v>2005</v>
      </c>
      <c r="EM2589" t="s">
        <v>713</v>
      </c>
      <c r="EN2589" t="s">
        <v>849</v>
      </c>
      <c r="EO2589">
        <v>10.467000000000001</v>
      </c>
    </row>
    <row r="2590" spans="142:145" x14ac:dyDescent="0.25">
      <c r="EL2590">
        <v>2005</v>
      </c>
      <c r="EM2590" t="s">
        <v>714</v>
      </c>
      <c r="EN2590" t="s">
        <v>849</v>
      </c>
      <c r="EO2590">
        <v>11.94</v>
      </c>
    </row>
    <row r="2591" spans="142:145" x14ac:dyDescent="0.25">
      <c r="EL2591">
        <v>2005</v>
      </c>
      <c r="EM2591" t="s">
        <v>705</v>
      </c>
      <c r="EN2591" t="s">
        <v>849</v>
      </c>
      <c r="EO2591">
        <v>11.682</v>
      </c>
    </row>
    <row r="2592" spans="142:145" x14ac:dyDescent="0.25">
      <c r="EL2592">
        <v>2005</v>
      </c>
      <c r="EM2592" t="s">
        <v>715</v>
      </c>
      <c r="EN2592" t="s">
        <v>849</v>
      </c>
      <c r="EO2592">
        <v>12.917999999999999</v>
      </c>
    </row>
    <row r="2593" spans="142:145" x14ac:dyDescent="0.25">
      <c r="EL2593">
        <v>2005</v>
      </c>
      <c r="EM2593" t="s">
        <v>718</v>
      </c>
      <c r="EN2593" t="s">
        <v>849</v>
      </c>
      <c r="EO2593">
        <v>10.666</v>
      </c>
    </row>
    <row r="2594" spans="142:145" x14ac:dyDescent="0.25">
      <c r="EL2594">
        <v>2005</v>
      </c>
      <c r="EM2594" t="s">
        <v>716</v>
      </c>
      <c r="EN2594" t="s">
        <v>849</v>
      </c>
      <c r="EO2594">
        <v>14.57</v>
      </c>
    </row>
    <row r="2595" spans="142:145" x14ac:dyDescent="0.25">
      <c r="EL2595">
        <v>2005</v>
      </c>
      <c r="EM2595" t="s">
        <v>708</v>
      </c>
      <c r="EN2595" t="s">
        <v>849</v>
      </c>
      <c r="EO2595">
        <v>10.654</v>
      </c>
    </row>
    <row r="2596" spans="142:145" x14ac:dyDescent="0.25">
      <c r="EL2596">
        <v>2005</v>
      </c>
      <c r="EM2596" t="s">
        <v>709</v>
      </c>
      <c r="EN2596" t="s">
        <v>849</v>
      </c>
      <c r="EO2596">
        <v>7.4749999999999996</v>
      </c>
    </row>
    <row r="2597" spans="142:145" x14ac:dyDescent="0.25">
      <c r="EL2597">
        <v>2005</v>
      </c>
      <c r="EM2597" t="s">
        <v>710</v>
      </c>
      <c r="EN2597" t="s">
        <v>849</v>
      </c>
      <c r="EO2597">
        <v>12.955</v>
      </c>
    </row>
    <row r="2598" spans="142:145" x14ac:dyDescent="0.25">
      <c r="EL2598">
        <v>2005</v>
      </c>
      <c r="EM2598" t="s">
        <v>711</v>
      </c>
      <c r="EN2598" t="s">
        <v>849</v>
      </c>
      <c r="EO2598">
        <v>10.366</v>
      </c>
    </row>
    <row r="2599" spans="142:145" x14ac:dyDescent="0.25">
      <c r="EL2599">
        <v>2005</v>
      </c>
      <c r="EM2599" t="s">
        <v>712</v>
      </c>
      <c r="EN2599" t="s">
        <v>849</v>
      </c>
      <c r="EO2599">
        <v>9.7859999999999996</v>
      </c>
    </row>
    <row r="2600" spans="142:145" x14ac:dyDescent="0.25">
      <c r="EL2600">
        <v>2006</v>
      </c>
      <c r="EM2600" t="s">
        <v>719</v>
      </c>
      <c r="EN2600" t="s">
        <v>849</v>
      </c>
      <c r="EO2600">
        <v>9.9049999999999994</v>
      </c>
    </row>
    <row r="2601" spans="142:145" x14ac:dyDescent="0.25">
      <c r="EL2601">
        <v>2006</v>
      </c>
      <c r="EM2601" t="s">
        <v>713</v>
      </c>
      <c r="EN2601" t="s">
        <v>849</v>
      </c>
      <c r="EO2601">
        <v>9.9109999999999996</v>
      </c>
    </row>
    <row r="2602" spans="142:145" x14ac:dyDescent="0.25">
      <c r="EL2602">
        <v>2006</v>
      </c>
      <c r="EM2602" t="s">
        <v>714</v>
      </c>
      <c r="EN2602" t="s">
        <v>849</v>
      </c>
      <c r="EO2602">
        <v>7.7249999999999996</v>
      </c>
    </row>
    <row r="2603" spans="142:145" x14ac:dyDescent="0.25">
      <c r="EL2603">
        <v>2006</v>
      </c>
      <c r="EM2603" t="s">
        <v>705</v>
      </c>
      <c r="EN2603" t="s">
        <v>849</v>
      </c>
      <c r="EO2603">
        <v>9.5850000000000009</v>
      </c>
    </row>
    <row r="2604" spans="142:145" x14ac:dyDescent="0.25">
      <c r="EL2604">
        <v>2006</v>
      </c>
      <c r="EM2604" t="s">
        <v>715</v>
      </c>
      <c r="EN2604" t="s">
        <v>849</v>
      </c>
      <c r="EO2604">
        <v>10.973000000000001</v>
      </c>
    </row>
    <row r="2605" spans="142:145" x14ac:dyDescent="0.25">
      <c r="EL2605">
        <v>2006</v>
      </c>
      <c r="EM2605" t="s">
        <v>718</v>
      </c>
      <c r="EN2605" t="s">
        <v>849</v>
      </c>
      <c r="EO2605">
        <v>26.384</v>
      </c>
    </row>
    <row r="2606" spans="142:145" x14ac:dyDescent="0.25">
      <c r="EL2606">
        <v>2006</v>
      </c>
      <c r="EM2606" t="s">
        <v>716</v>
      </c>
      <c r="EN2606" t="s">
        <v>849</v>
      </c>
      <c r="EO2606">
        <v>9.7859999999999996</v>
      </c>
    </row>
    <row r="2607" spans="142:145" x14ac:dyDescent="0.25">
      <c r="EL2607">
        <v>2006</v>
      </c>
      <c r="EM2607" t="s">
        <v>708</v>
      </c>
      <c r="EN2607" t="s">
        <v>849</v>
      </c>
      <c r="EO2607">
        <v>9.8759999999999994</v>
      </c>
    </row>
    <row r="2608" spans="142:145" x14ac:dyDescent="0.25">
      <c r="EL2608">
        <v>2006</v>
      </c>
      <c r="EM2608" t="s">
        <v>709</v>
      </c>
      <c r="EN2608" t="s">
        <v>849</v>
      </c>
      <c r="EO2608">
        <v>7.7110000000000003</v>
      </c>
    </row>
    <row r="2609" spans="142:145" x14ac:dyDescent="0.25">
      <c r="EL2609">
        <v>2006</v>
      </c>
      <c r="EM2609" t="s">
        <v>710</v>
      </c>
      <c r="EN2609" t="s">
        <v>849</v>
      </c>
      <c r="EO2609">
        <v>7.6260000000000003</v>
      </c>
    </row>
    <row r="2610" spans="142:145" x14ac:dyDescent="0.25">
      <c r="EL2610">
        <v>2006</v>
      </c>
      <c r="EM2610" t="s">
        <v>711</v>
      </c>
      <c r="EN2610" t="s">
        <v>849</v>
      </c>
      <c r="EO2610">
        <v>9.8469999999999995</v>
      </c>
    </row>
    <row r="2611" spans="142:145" x14ac:dyDescent="0.25">
      <c r="EL2611">
        <v>2006</v>
      </c>
      <c r="EM2611" t="s">
        <v>712</v>
      </c>
      <c r="EN2611" t="s">
        <v>849</v>
      </c>
      <c r="EO2611">
        <v>7.0759999999999996</v>
      </c>
    </row>
    <row r="2612" spans="142:145" x14ac:dyDescent="0.25">
      <c r="EL2612">
        <v>2007</v>
      </c>
      <c r="EM2612" t="s">
        <v>719</v>
      </c>
      <c r="EN2612" t="s">
        <v>849</v>
      </c>
      <c r="EO2612">
        <v>8.343</v>
      </c>
    </row>
    <row r="2613" spans="142:145" x14ac:dyDescent="0.25">
      <c r="EL2613">
        <v>2007</v>
      </c>
      <c r="EM2613" t="s">
        <v>713</v>
      </c>
      <c r="EN2613" t="s">
        <v>849</v>
      </c>
      <c r="EO2613">
        <v>6.48</v>
      </c>
    </row>
    <row r="2614" spans="142:145" x14ac:dyDescent="0.25">
      <c r="EL2614">
        <v>2007</v>
      </c>
      <c r="EM2614" t="s">
        <v>714</v>
      </c>
      <c r="EN2614" t="s">
        <v>849</v>
      </c>
      <c r="EO2614">
        <v>7.4720000000000004</v>
      </c>
    </row>
    <row r="2615" spans="142:145" x14ac:dyDescent="0.25">
      <c r="EL2615">
        <v>2007</v>
      </c>
      <c r="EM2615" t="s">
        <v>705</v>
      </c>
      <c r="EN2615" t="s">
        <v>849</v>
      </c>
      <c r="EO2615">
        <v>7.4669999999999996</v>
      </c>
    </row>
    <row r="2616" spans="142:145" x14ac:dyDescent="0.25">
      <c r="EL2616">
        <v>2007</v>
      </c>
      <c r="EM2616" t="s">
        <v>715</v>
      </c>
      <c r="EN2616" t="s">
        <v>849</v>
      </c>
      <c r="EO2616">
        <v>6.8879999999999999</v>
      </c>
    </row>
    <row r="2617" spans="142:145" x14ac:dyDescent="0.25">
      <c r="EL2617">
        <v>2007</v>
      </c>
      <c r="EM2617" t="s">
        <v>718</v>
      </c>
      <c r="EN2617" t="s">
        <v>849</v>
      </c>
      <c r="EO2617">
        <v>11.481</v>
      </c>
    </row>
    <row r="2618" spans="142:145" x14ac:dyDescent="0.25">
      <c r="EL2618">
        <v>2007</v>
      </c>
      <c r="EM2618" t="s">
        <v>716</v>
      </c>
      <c r="EN2618" t="s">
        <v>849</v>
      </c>
      <c r="EO2618">
        <v>11.964</v>
      </c>
    </row>
    <row r="2619" spans="142:145" x14ac:dyDescent="0.25">
      <c r="EL2619">
        <v>2007</v>
      </c>
      <c r="EM2619" t="s">
        <v>708</v>
      </c>
      <c r="EN2619" t="s">
        <v>849</v>
      </c>
      <c r="EO2619">
        <v>9.6140000000000008</v>
      </c>
    </row>
    <row r="2620" spans="142:145" x14ac:dyDescent="0.25">
      <c r="EL2620">
        <v>2007</v>
      </c>
      <c r="EM2620" t="s">
        <v>709</v>
      </c>
      <c r="EN2620" t="s">
        <v>849</v>
      </c>
      <c r="EO2620">
        <v>7.2850000000000001</v>
      </c>
    </row>
    <row r="2621" spans="142:145" x14ac:dyDescent="0.25">
      <c r="EL2621">
        <v>2007</v>
      </c>
      <c r="EM2621" t="s">
        <v>710</v>
      </c>
      <c r="EN2621" t="s">
        <v>849</v>
      </c>
      <c r="EO2621">
        <v>5.931</v>
      </c>
    </row>
    <row r="2622" spans="142:145" x14ac:dyDescent="0.25">
      <c r="EL2622">
        <v>2007</v>
      </c>
      <c r="EM2622" t="s">
        <v>711</v>
      </c>
      <c r="EN2622" t="s">
        <v>849</v>
      </c>
      <c r="EO2622">
        <v>4.4880000000000004</v>
      </c>
    </row>
    <row r="2623" spans="142:145" x14ac:dyDescent="0.25">
      <c r="EL2623">
        <v>2007</v>
      </c>
      <c r="EM2623" t="s">
        <v>712</v>
      </c>
      <c r="EN2623" t="s">
        <v>849</v>
      </c>
      <c r="EO2623">
        <v>5.5490000000000004</v>
      </c>
    </row>
    <row r="2624" spans="142:145" x14ac:dyDescent="0.25">
      <c r="EL2624">
        <v>2008</v>
      </c>
      <c r="EM2624" t="s">
        <v>719</v>
      </c>
      <c r="EN2624" t="s">
        <v>849</v>
      </c>
      <c r="EO2624">
        <v>6.2309999999999999</v>
      </c>
    </row>
    <row r="2625" spans="142:145" x14ac:dyDescent="0.25">
      <c r="EL2625">
        <v>2008</v>
      </c>
      <c r="EM2625" t="s">
        <v>713</v>
      </c>
      <c r="EN2625" t="s">
        <v>849</v>
      </c>
      <c r="EO2625">
        <v>8.3960000000000008</v>
      </c>
    </row>
    <row r="2626" spans="142:145" x14ac:dyDescent="0.25">
      <c r="EL2626">
        <v>2008</v>
      </c>
      <c r="EM2626" t="s">
        <v>714</v>
      </c>
      <c r="EN2626" t="s">
        <v>849</v>
      </c>
      <c r="EO2626">
        <v>6.899</v>
      </c>
    </row>
    <row r="2627" spans="142:145" x14ac:dyDescent="0.25">
      <c r="EL2627">
        <v>2008</v>
      </c>
      <c r="EM2627" t="s">
        <v>705</v>
      </c>
      <c r="EN2627" t="s">
        <v>849</v>
      </c>
      <c r="EO2627">
        <v>9.39</v>
      </c>
    </row>
    <row r="2628" spans="142:145" x14ac:dyDescent="0.25">
      <c r="EL2628">
        <v>2008</v>
      </c>
      <c r="EM2628" t="s">
        <v>715</v>
      </c>
      <c r="EN2628" t="s">
        <v>849</v>
      </c>
      <c r="EO2628">
        <v>17.266999999999999</v>
      </c>
    </row>
    <row r="2629" spans="142:145" x14ac:dyDescent="0.25">
      <c r="EL2629">
        <v>2008</v>
      </c>
      <c r="EM2629" t="s">
        <v>718</v>
      </c>
      <c r="EN2629" t="s">
        <v>849</v>
      </c>
      <c r="EO2629">
        <v>6.7519999999999998</v>
      </c>
    </row>
    <row r="2630" spans="142:145" x14ac:dyDescent="0.25">
      <c r="EL2630">
        <v>2008</v>
      </c>
      <c r="EM2630" t="s">
        <v>716</v>
      </c>
      <c r="EN2630" t="s">
        <v>849</v>
      </c>
      <c r="EO2630">
        <v>9.2490000000000006</v>
      </c>
    </row>
    <row r="2631" spans="142:145" x14ac:dyDescent="0.25">
      <c r="EL2631">
        <v>2008</v>
      </c>
      <c r="EM2631" t="s">
        <v>708</v>
      </c>
      <c r="EN2631" t="s">
        <v>849</v>
      </c>
      <c r="EO2631">
        <v>5.2969999999999997</v>
      </c>
    </row>
    <row r="2632" spans="142:145" x14ac:dyDescent="0.25">
      <c r="EL2632">
        <v>2008</v>
      </c>
      <c r="EM2632" t="s">
        <v>709</v>
      </c>
      <c r="EN2632" t="s">
        <v>849</v>
      </c>
      <c r="EO2632">
        <v>6.6130000000000004</v>
      </c>
    </row>
    <row r="2633" spans="142:145" x14ac:dyDescent="0.25">
      <c r="EL2633">
        <v>2008</v>
      </c>
      <c r="EM2633" t="s">
        <v>710</v>
      </c>
      <c r="EN2633" t="s">
        <v>849</v>
      </c>
      <c r="EO2633">
        <v>7.0670000000000002</v>
      </c>
    </row>
    <row r="2634" spans="142:145" x14ac:dyDescent="0.25">
      <c r="EL2634">
        <v>2008</v>
      </c>
      <c r="EM2634" t="s">
        <v>711</v>
      </c>
      <c r="EN2634" t="s">
        <v>849</v>
      </c>
      <c r="EO2634">
        <v>6.8579999999999997</v>
      </c>
    </row>
    <row r="2635" spans="142:145" x14ac:dyDescent="0.25">
      <c r="EL2635">
        <v>2008</v>
      </c>
      <c r="EM2635" t="s">
        <v>712</v>
      </c>
      <c r="EN2635" t="s">
        <v>849</v>
      </c>
      <c r="EO2635">
        <v>5.5380000000000003</v>
      </c>
    </row>
    <row r="2636" spans="142:145" x14ac:dyDescent="0.25">
      <c r="EL2636">
        <v>2009</v>
      </c>
      <c r="EM2636" t="s">
        <v>719</v>
      </c>
      <c r="EN2636" t="s">
        <v>849</v>
      </c>
      <c r="EO2636">
        <v>12.183</v>
      </c>
    </row>
    <row r="2637" spans="142:145" x14ac:dyDescent="0.25">
      <c r="EL2637">
        <v>2009</v>
      </c>
      <c r="EM2637" t="s">
        <v>713</v>
      </c>
      <c r="EN2637" t="s">
        <v>849</v>
      </c>
      <c r="EO2637">
        <v>7.0170000000000003</v>
      </c>
    </row>
    <row r="2638" spans="142:145" x14ac:dyDescent="0.25">
      <c r="EL2638">
        <v>2009</v>
      </c>
      <c r="EM2638" t="s">
        <v>714</v>
      </c>
      <c r="EN2638" t="s">
        <v>849</v>
      </c>
      <c r="EO2638">
        <v>8.1920000000000002</v>
      </c>
    </row>
    <row r="2639" spans="142:145" x14ac:dyDescent="0.25">
      <c r="EL2639">
        <v>2009</v>
      </c>
      <c r="EM2639" t="s">
        <v>705</v>
      </c>
      <c r="EN2639" t="s">
        <v>849</v>
      </c>
      <c r="EO2639">
        <v>8.6880000000000006</v>
      </c>
    </row>
    <row r="2640" spans="142:145" x14ac:dyDescent="0.25">
      <c r="EL2640">
        <v>2009</v>
      </c>
      <c r="EM2640" t="s">
        <v>715</v>
      </c>
      <c r="EN2640" t="s">
        <v>849</v>
      </c>
      <c r="EO2640">
        <v>12.108000000000001</v>
      </c>
    </row>
    <row r="2641" spans="142:145" x14ac:dyDescent="0.25">
      <c r="EL2641">
        <v>2009</v>
      </c>
      <c r="EM2641" t="s">
        <v>718</v>
      </c>
      <c r="EN2641" t="s">
        <v>849</v>
      </c>
      <c r="EO2641">
        <v>12.705</v>
      </c>
    </row>
    <row r="2642" spans="142:145" x14ac:dyDescent="0.25">
      <c r="EL2642">
        <v>2009</v>
      </c>
      <c r="EM2642" t="s">
        <v>716</v>
      </c>
      <c r="EN2642" t="s">
        <v>849</v>
      </c>
      <c r="EO2642">
        <v>9.891</v>
      </c>
    </row>
    <row r="2643" spans="142:145" x14ac:dyDescent="0.25">
      <c r="EL2643">
        <v>2009</v>
      </c>
      <c r="EM2643" t="s">
        <v>708</v>
      </c>
      <c r="EN2643" t="s">
        <v>849</v>
      </c>
      <c r="EO2643">
        <v>13.436999999999999</v>
      </c>
    </row>
    <row r="2644" spans="142:145" x14ac:dyDescent="0.25">
      <c r="EL2644">
        <v>2009</v>
      </c>
      <c r="EM2644" t="s">
        <v>709</v>
      </c>
      <c r="EN2644" t="s">
        <v>849</v>
      </c>
      <c r="EO2644">
        <v>20.783999999999999</v>
      </c>
    </row>
    <row r="2645" spans="142:145" x14ac:dyDescent="0.25">
      <c r="EL2645">
        <v>2009</v>
      </c>
      <c r="EM2645" t="s">
        <v>710</v>
      </c>
      <c r="EN2645" t="s">
        <v>849</v>
      </c>
      <c r="EO2645">
        <v>10.824</v>
      </c>
    </row>
    <row r="2646" spans="142:145" x14ac:dyDescent="0.25">
      <c r="EL2646">
        <v>2009</v>
      </c>
      <c r="EM2646" t="s">
        <v>711</v>
      </c>
      <c r="EN2646" t="s">
        <v>849</v>
      </c>
      <c r="EO2646">
        <v>11.826000000000001</v>
      </c>
    </row>
    <row r="2647" spans="142:145" x14ac:dyDescent="0.25">
      <c r="EL2647">
        <v>2009</v>
      </c>
      <c r="EM2647" t="s">
        <v>712</v>
      </c>
      <c r="EN2647" t="s">
        <v>849</v>
      </c>
      <c r="EO2647">
        <v>15.391999999999999</v>
      </c>
    </row>
    <row r="2648" spans="142:145" x14ac:dyDescent="0.25">
      <c r="EL2648">
        <v>2010</v>
      </c>
      <c r="EM2648" t="s">
        <v>719</v>
      </c>
      <c r="EN2648" t="s">
        <v>849</v>
      </c>
      <c r="EO2648">
        <v>9.0150000000000006</v>
      </c>
    </row>
    <row r="2649" spans="142:145" x14ac:dyDescent="0.25">
      <c r="EL2649">
        <v>2010</v>
      </c>
      <c r="EM2649" t="s">
        <v>713</v>
      </c>
      <c r="EN2649" t="s">
        <v>849</v>
      </c>
      <c r="EO2649">
        <v>11.189</v>
      </c>
    </row>
    <row r="2650" spans="142:145" x14ac:dyDescent="0.25">
      <c r="EL2650">
        <v>2010</v>
      </c>
      <c r="EM2650" t="s">
        <v>714</v>
      </c>
      <c r="EN2650" t="s">
        <v>849</v>
      </c>
      <c r="EO2650">
        <v>11.47</v>
      </c>
    </row>
    <row r="2651" spans="142:145" x14ac:dyDescent="0.25">
      <c r="EL2651">
        <v>2010</v>
      </c>
      <c r="EM2651" t="s">
        <v>705</v>
      </c>
      <c r="EN2651" t="s">
        <v>849</v>
      </c>
      <c r="EO2651">
        <v>7.9530000000000003</v>
      </c>
    </row>
    <row r="2652" spans="142:145" x14ac:dyDescent="0.25">
      <c r="EL2652">
        <v>2010</v>
      </c>
      <c r="EM2652" t="s">
        <v>715</v>
      </c>
      <c r="EN2652" t="s">
        <v>849</v>
      </c>
      <c r="EO2652">
        <v>6.38</v>
      </c>
    </row>
    <row r="2653" spans="142:145" x14ac:dyDescent="0.25">
      <c r="EL2653">
        <v>2010</v>
      </c>
      <c r="EM2653" t="s">
        <v>718</v>
      </c>
      <c r="EN2653" t="s">
        <v>849</v>
      </c>
      <c r="EO2653">
        <v>4.367</v>
      </c>
    </row>
    <row r="2654" spans="142:145" x14ac:dyDescent="0.25">
      <c r="EL2654">
        <v>2010</v>
      </c>
      <c r="EM2654" t="s">
        <v>716</v>
      </c>
      <c r="EN2654" t="s">
        <v>849</v>
      </c>
      <c r="EO2654">
        <v>6.9450000000000003</v>
      </c>
    </row>
    <row r="2655" spans="142:145" x14ac:dyDescent="0.25">
      <c r="EL2655">
        <v>2010</v>
      </c>
      <c r="EM2655" t="s">
        <v>708</v>
      </c>
      <c r="EN2655" t="s">
        <v>849</v>
      </c>
      <c r="EO2655">
        <v>6.1909999999999998</v>
      </c>
    </row>
    <row r="2656" spans="142:145" x14ac:dyDescent="0.25">
      <c r="EL2656">
        <v>2010</v>
      </c>
      <c r="EM2656" t="s">
        <v>709</v>
      </c>
      <c r="EN2656" t="s">
        <v>849</v>
      </c>
      <c r="EO2656">
        <v>7.327</v>
      </c>
    </row>
    <row r="2657" spans="142:145" x14ac:dyDescent="0.25">
      <c r="EL2657">
        <v>2010</v>
      </c>
      <c r="EM2657" t="s">
        <v>710</v>
      </c>
      <c r="EN2657" t="s">
        <v>849</v>
      </c>
      <c r="EO2657">
        <v>6.1379999999999999</v>
      </c>
    </row>
    <row r="2658" spans="142:145" x14ac:dyDescent="0.25">
      <c r="EL2658">
        <v>2010</v>
      </c>
      <c r="EM2658" t="s">
        <v>711</v>
      </c>
      <c r="EN2658" t="s">
        <v>849</v>
      </c>
      <c r="EO2658">
        <v>4.4950000000000001</v>
      </c>
    </row>
    <row r="2659" spans="142:145" x14ac:dyDescent="0.25">
      <c r="EL2659">
        <v>2010</v>
      </c>
      <c r="EM2659" t="s">
        <v>712</v>
      </c>
      <c r="EN2659" t="s">
        <v>849</v>
      </c>
      <c r="EO2659">
        <v>6.9409999999999998</v>
      </c>
    </row>
    <row r="2660" spans="142:145" x14ac:dyDescent="0.25">
      <c r="EL2660">
        <v>2011</v>
      </c>
      <c r="EM2660" t="s">
        <v>719</v>
      </c>
      <c r="EN2660" t="s">
        <v>849</v>
      </c>
      <c r="EO2660">
        <v>6.82</v>
      </c>
    </row>
    <row r="2661" spans="142:145" x14ac:dyDescent="0.25">
      <c r="EL2661">
        <v>2011</v>
      </c>
      <c r="EM2661" t="s">
        <v>713</v>
      </c>
      <c r="EN2661" t="s">
        <v>849</v>
      </c>
      <c r="EO2661">
        <v>8.3140000000000001</v>
      </c>
    </row>
    <row r="2662" spans="142:145" x14ac:dyDescent="0.25">
      <c r="EL2662">
        <v>2011</v>
      </c>
      <c r="EM2662" t="s">
        <v>714</v>
      </c>
      <c r="EN2662" t="s">
        <v>849</v>
      </c>
      <c r="EO2662">
        <v>15.664999999999999</v>
      </c>
    </row>
    <row r="2663" spans="142:145" x14ac:dyDescent="0.25">
      <c r="EL2663">
        <v>2011</v>
      </c>
      <c r="EM2663" t="s">
        <v>705</v>
      </c>
      <c r="EN2663" t="s">
        <v>849</v>
      </c>
      <c r="EO2663">
        <v>12.997999999999999</v>
      </c>
    </row>
    <row r="2664" spans="142:145" x14ac:dyDescent="0.25">
      <c r="EL2664">
        <v>2011</v>
      </c>
      <c r="EM2664" t="s">
        <v>715</v>
      </c>
      <c r="EN2664" t="s">
        <v>849</v>
      </c>
      <c r="EO2664">
        <v>11.148</v>
      </c>
    </row>
    <row r="2665" spans="142:145" x14ac:dyDescent="0.25">
      <c r="EL2665">
        <v>2011</v>
      </c>
      <c r="EM2665" t="s">
        <v>718</v>
      </c>
      <c r="EN2665" t="s">
        <v>849</v>
      </c>
      <c r="EO2665">
        <v>10.305</v>
      </c>
    </row>
    <row r="2666" spans="142:145" x14ac:dyDescent="0.25">
      <c r="EL2666">
        <v>2011</v>
      </c>
      <c r="EM2666" t="s">
        <v>716</v>
      </c>
      <c r="EN2666" t="s">
        <v>849</v>
      </c>
      <c r="EO2666">
        <v>9.8059999999999992</v>
      </c>
    </row>
    <row r="2667" spans="142:145" x14ac:dyDescent="0.25">
      <c r="EL2667">
        <v>2011</v>
      </c>
      <c r="EM2667" t="s">
        <v>708</v>
      </c>
      <c r="EN2667" t="s">
        <v>849</v>
      </c>
      <c r="EO2667">
        <v>14.205</v>
      </c>
    </row>
    <row r="2668" spans="142:145" x14ac:dyDescent="0.25">
      <c r="EL2668">
        <v>2011</v>
      </c>
      <c r="EM2668" t="s">
        <v>709</v>
      </c>
      <c r="EN2668" t="s">
        <v>849</v>
      </c>
      <c r="EO2668">
        <v>22.771999999999998</v>
      </c>
    </row>
    <row r="2669" spans="142:145" x14ac:dyDescent="0.25">
      <c r="EL2669">
        <v>2011</v>
      </c>
      <c r="EM2669" t="s">
        <v>710</v>
      </c>
      <c r="EN2669" t="s">
        <v>849</v>
      </c>
      <c r="EO2669">
        <v>14.782</v>
      </c>
    </row>
    <row r="2670" spans="142:145" x14ac:dyDescent="0.25">
      <c r="EL2670">
        <v>2011</v>
      </c>
      <c r="EM2670" t="s">
        <v>711</v>
      </c>
      <c r="EN2670" t="s">
        <v>849</v>
      </c>
      <c r="EO2670">
        <v>12.734</v>
      </c>
    </row>
    <row r="2671" spans="142:145" x14ac:dyDescent="0.25">
      <c r="EL2671">
        <v>2011</v>
      </c>
      <c r="EM2671" t="s">
        <v>712</v>
      </c>
      <c r="EN2671" t="s">
        <v>849</v>
      </c>
      <c r="EO2671">
        <v>18.417999999999999</v>
      </c>
    </row>
    <row r="2672" spans="142:145" x14ac:dyDescent="0.25">
      <c r="EL2672">
        <v>2012</v>
      </c>
      <c r="EM2672" t="s">
        <v>719</v>
      </c>
      <c r="EN2672" t="s">
        <v>849</v>
      </c>
      <c r="EO2672">
        <v>13.542999999999999</v>
      </c>
    </row>
    <row r="2673" spans="142:145" x14ac:dyDescent="0.25">
      <c r="EL2673">
        <v>2012</v>
      </c>
      <c r="EM2673" t="s">
        <v>713</v>
      </c>
      <c r="EN2673" t="s">
        <v>849</v>
      </c>
      <c r="EO2673">
        <v>12.564</v>
      </c>
    </row>
    <row r="2674" spans="142:145" x14ac:dyDescent="0.25">
      <c r="EL2674">
        <v>2012</v>
      </c>
      <c r="EM2674" t="s">
        <v>714</v>
      </c>
      <c r="EN2674" t="s">
        <v>849</v>
      </c>
      <c r="EO2674">
        <v>30.03</v>
      </c>
    </row>
    <row r="2675" spans="142:145" x14ac:dyDescent="0.25">
      <c r="EL2675">
        <v>2012</v>
      </c>
      <c r="EM2675" t="s">
        <v>705</v>
      </c>
      <c r="EN2675" t="s">
        <v>849</v>
      </c>
      <c r="EO2675">
        <v>24.978000000000002</v>
      </c>
    </row>
    <row r="2676" spans="142:145" x14ac:dyDescent="0.25">
      <c r="EL2676">
        <v>2012</v>
      </c>
      <c r="EM2676" t="s">
        <v>715</v>
      </c>
      <c r="EN2676" t="s">
        <v>849</v>
      </c>
      <c r="EO2676">
        <v>29.6</v>
      </c>
    </row>
    <row r="2677" spans="142:145" x14ac:dyDescent="0.25">
      <c r="EL2677">
        <v>2012</v>
      </c>
      <c r="EM2677" t="s">
        <v>718</v>
      </c>
      <c r="EN2677" t="s">
        <v>849</v>
      </c>
      <c r="EO2677">
        <v>21.54</v>
      </c>
    </row>
    <row r="2678" spans="142:145" x14ac:dyDescent="0.25">
      <c r="EL2678">
        <v>2012</v>
      </c>
      <c r="EM2678" t="s">
        <v>716</v>
      </c>
      <c r="EN2678" t="s">
        <v>849</v>
      </c>
      <c r="EO2678">
        <v>28.04</v>
      </c>
    </row>
    <row r="2679" spans="142:145" x14ac:dyDescent="0.25">
      <c r="EL2679">
        <v>2012</v>
      </c>
      <c r="EM2679" t="s">
        <v>708</v>
      </c>
      <c r="EN2679" t="s">
        <v>849</v>
      </c>
      <c r="EO2679">
        <v>28.311</v>
      </c>
    </row>
    <row r="2680" spans="142:145" x14ac:dyDescent="0.25">
      <c r="EL2680">
        <v>2012</v>
      </c>
      <c r="EM2680" t="s">
        <v>709</v>
      </c>
      <c r="EN2680" t="s">
        <v>849</v>
      </c>
      <c r="EO2680">
        <v>28.89</v>
      </c>
    </row>
    <row r="2681" spans="142:145" x14ac:dyDescent="0.25">
      <c r="EL2681">
        <v>2012</v>
      </c>
      <c r="EM2681" t="s">
        <v>710</v>
      </c>
      <c r="EN2681" t="s">
        <v>849</v>
      </c>
      <c r="EO2681">
        <v>30.039000000000001</v>
      </c>
    </row>
    <row r="2682" spans="142:145" x14ac:dyDescent="0.25">
      <c r="EL2682">
        <v>2012</v>
      </c>
      <c r="EM2682" t="s">
        <v>711</v>
      </c>
      <c r="EN2682" t="s">
        <v>849</v>
      </c>
      <c r="EO2682">
        <v>28.844999999999999</v>
      </c>
    </row>
    <row r="2683" spans="142:145" x14ac:dyDescent="0.25">
      <c r="EL2683">
        <v>2012</v>
      </c>
      <c r="EM2683" t="s">
        <v>712</v>
      </c>
      <c r="EN2683" t="s">
        <v>849</v>
      </c>
      <c r="EO2683">
        <v>31.39</v>
      </c>
    </row>
    <row r="2684" spans="142:145" x14ac:dyDescent="0.25">
      <c r="EL2684">
        <v>2013</v>
      </c>
      <c r="EM2684" t="s">
        <v>719</v>
      </c>
      <c r="EN2684" t="s">
        <v>849</v>
      </c>
      <c r="EO2684">
        <v>32.826999999999998</v>
      </c>
    </row>
    <row r="2685" spans="142:145" x14ac:dyDescent="0.25">
      <c r="EL2685">
        <v>2013</v>
      </c>
      <c r="EM2685" t="s">
        <v>713</v>
      </c>
      <c r="EN2685" t="s">
        <v>849</v>
      </c>
      <c r="EO2685">
        <v>34.101999999999997</v>
      </c>
    </row>
    <row r="2686" spans="142:145" x14ac:dyDescent="0.25">
      <c r="EL2686">
        <v>2013</v>
      </c>
      <c r="EM2686" t="s">
        <v>714</v>
      </c>
      <c r="EN2686" t="s">
        <v>849</v>
      </c>
      <c r="EO2686">
        <v>38.408999999999999</v>
      </c>
    </row>
    <row r="2687" spans="142:145" x14ac:dyDescent="0.25">
      <c r="EL2687">
        <v>2013</v>
      </c>
      <c r="EM2687" t="s">
        <v>705</v>
      </c>
      <c r="EN2687" t="s">
        <v>849</v>
      </c>
      <c r="EO2687">
        <v>28.521999999999998</v>
      </c>
    </row>
    <row r="2688" spans="142:145" x14ac:dyDescent="0.25">
      <c r="EL2688">
        <v>2013</v>
      </c>
      <c r="EM2688" t="s">
        <v>715</v>
      </c>
      <c r="EN2688" t="s">
        <v>849</v>
      </c>
      <c r="EO2688">
        <v>28.396999999999998</v>
      </c>
    </row>
    <row r="2689" spans="142:145" x14ac:dyDescent="0.25">
      <c r="EL2689">
        <v>2013</v>
      </c>
      <c r="EM2689" t="s">
        <v>718</v>
      </c>
      <c r="EN2689" t="s">
        <v>849</v>
      </c>
      <c r="EO2689">
        <v>35.009</v>
      </c>
    </row>
    <row r="2690" spans="142:145" x14ac:dyDescent="0.25">
      <c r="EL2690">
        <v>2013</v>
      </c>
      <c r="EM2690" t="s">
        <v>716</v>
      </c>
      <c r="EN2690" t="s">
        <v>849</v>
      </c>
      <c r="EO2690">
        <v>32.704999999999998</v>
      </c>
    </row>
    <row r="2691" spans="142:145" x14ac:dyDescent="0.25">
      <c r="EL2691">
        <v>2013</v>
      </c>
      <c r="EM2691" t="s">
        <v>708</v>
      </c>
      <c r="EN2691" t="s">
        <v>849</v>
      </c>
      <c r="EO2691">
        <v>32.087000000000003</v>
      </c>
    </row>
    <row r="2692" spans="142:145" x14ac:dyDescent="0.25">
      <c r="EL2692">
        <v>2013</v>
      </c>
      <c r="EM2692" t="s">
        <v>709</v>
      </c>
      <c r="EN2692" t="s">
        <v>849</v>
      </c>
      <c r="EO2692">
        <v>25.65</v>
      </c>
    </row>
    <row r="2693" spans="142:145" x14ac:dyDescent="0.25">
      <c r="EL2693">
        <v>2013</v>
      </c>
      <c r="EM2693" t="s">
        <v>710</v>
      </c>
      <c r="EN2693" t="s">
        <v>849</v>
      </c>
      <c r="EO2693">
        <v>29.853000000000002</v>
      </c>
    </row>
    <row r="2694" spans="142:145" x14ac:dyDescent="0.25">
      <c r="EL2694">
        <v>2013</v>
      </c>
      <c r="EM2694" t="s">
        <v>711</v>
      </c>
      <c r="EN2694" t="s">
        <v>849</v>
      </c>
      <c r="EO2694">
        <v>28.23</v>
      </c>
    </row>
    <row r="2695" spans="142:145" x14ac:dyDescent="0.25">
      <c r="EL2695">
        <v>2013</v>
      </c>
      <c r="EM2695" t="s">
        <v>712</v>
      </c>
      <c r="EN2695" t="s">
        <v>849</v>
      </c>
      <c r="EO2695">
        <v>34.968000000000004</v>
      </c>
    </row>
    <row r="2696" spans="142:145" x14ac:dyDescent="0.25">
      <c r="EL2696">
        <v>2014</v>
      </c>
      <c r="EM2696" t="s">
        <v>719</v>
      </c>
      <c r="EN2696" t="s">
        <v>849</v>
      </c>
      <c r="EO2696">
        <v>34.968000000000004</v>
      </c>
    </row>
    <row r="2697" spans="142:145" x14ac:dyDescent="0.25">
      <c r="EL2697">
        <v>2014</v>
      </c>
      <c r="EM2697" t="s">
        <v>713</v>
      </c>
      <c r="EN2697" t="s">
        <v>849</v>
      </c>
      <c r="EO2697">
        <v>11.032</v>
      </c>
    </row>
    <row r="2698" spans="142:145" x14ac:dyDescent="0.25">
      <c r="EL2698">
        <v>2014</v>
      </c>
      <c r="EM2698" t="s">
        <v>714</v>
      </c>
      <c r="EN2698" t="s">
        <v>849</v>
      </c>
      <c r="EO2698">
        <v>23.529</v>
      </c>
    </row>
    <row r="2699" spans="142:145" x14ac:dyDescent="0.25">
      <c r="EL2699">
        <v>2014</v>
      </c>
      <c r="EM2699" t="s">
        <v>705</v>
      </c>
      <c r="EN2699" t="s">
        <v>849</v>
      </c>
      <c r="EO2699">
        <v>34.86</v>
      </c>
    </row>
    <row r="2700" spans="142:145" x14ac:dyDescent="0.25">
      <c r="EL2700">
        <v>2014</v>
      </c>
      <c r="EM2700" t="s">
        <v>715</v>
      </c>
      <c r="EN2700" t="s">
        <v>849</v>
      </c>
      <c r="EO2700">
        <v>17.887</v>
      </c>
    </row>
    <row r="2701" spans="142:145" x14ac:dyDescent="0.25">
      <c r="EL2701">
        <v>2014</v>
      </c>
      <c r="EM2701" t="s">
        <v>718</v>
      </c>
      <c r="EN2701" t="s">
        <v>849</v>
      </c>
      <c r="EO2701">
        <v>15.36</v>
      </c>
    </row>
    <row r="2702" spans="142:145" x14ac:dyDescent="0.25">
      <c r="EL2702">
        <v>2014</v>
      </c>
      <c r="EM2702" t="s">
        <v>716</v>
      </c>
      <c r="EN2702" t="s">
        <v>849</v>
      </c>
      <c r="EO2702">
        <v>14.849</v>
      </c>
    </row>
    <row r="2703" spans="142:145" x14ac:dyDescent="0.25">
      <c r="EL2703">
        <v>2014</v>
      </c>
      <c r="EM2703" t="s">
        <v>708</v>
      </c>
      <c r="EN2703" t="s">
        <v>849</v>
      </c>
      <c r="EO2703">
        <v>14.973000000000001</v>
      </c>
    </row>
    <row r="2704" spans="142:145" x14ac:dyDescent="0.25">
      <c r="EL2704">
        <v>2014</v>
      </c>
      <c r="EM2704" t="s">
        <v>709</v>
      </c>
      <c r="EN2704" t="s">
        <v>849</v>
      </c>
      <c r="EO2704">
        <v>27.99</v>
      </c>
    </row>
    <row r="2705" spans="142:145" x14ac:dyDescent="0.25">
      <c r="EL2705">
        <v>2014</v>
      </c>
      <c r="EM2705" t="s">
        <v>710</v>
      </c>
      <c r="EN2705" t="s">
        <v>849</v>
      </c>
      <c r="EO2705">
        <v>25.11</v>
      </c>
    </row>
    <row r="2706" spans="142:145" x14ac:dyDescent="0.25">
      <c r="EL2706">
        <v>2014</v>
      </c>
      <c r="EM2706" t="s">
        <v>711</v>
      </c>
      <c r="EN2706" t="s">
        <v>849</v>
      </c>
      <c r="EO2706">
        <v>24.9</v>
      </c>
    </row>
    <row r="2707" spans="142:145" x14ac:dyDescent="0.25">
      <c r="EL2707">
        <v>2014</v>
      </c>
      <c r="EM2707" t="s">
        <v>712</v>
      </c>
      <c r="EN2707" t="s">
        <v>849</v>
      </c>
      <c r="EO2707">
        <v>27.59</v>
      </c>
    </row>
    <row r="2708" spans="142:145" x14ac:dyDescent="0.25">
      <c r="EL2708">
        <v>2015</v>
      </c>
      <c r="EM2708" t="s">
        <v>719</v>
      </c>
      <c r="EN2708" t="s">
        <v>849</v>
      </c>
      <c r="EO2708">
        <v>31</v>
      </c>
    </row>
    <row r="2709" spans="142:145" x14ac:dyDescent="0.25">
      <c r="EL2709">
        <v>2015</v>
      </c>
      <c r="EM2709" t="s">
        <v>713</v>
      </c>
      <c r="EN2709" t="s">
        <v>849</v>
      </c>
      <c r="EO2709">
        <v>32.200000000000003</v>
      </c>
    </row>
    <row r="2710" spans="142:145" x14ac:dyDescent="0.25">
      <c r="EL2710">
        <v>2015</v>
      </c>
      <c r="EM2710" t="s">
        <v>714</v>
      </c>
      <c r="EN2710" t="s">
        <v>849</v>
      </c>
      <c r="EO2710">
        <v>34.409999999999997</v>
      </c>
    </row>
    <row r="2711" spans="142:145" x14ac:dyDescent="0.25">
      <c r="EL2711">
        <v>2015</v>
      </c>
      <c r="EM2711" t="s">
        <v>705</v>
      </c>
      <c r="EN2711" t="s">
        <v>849</v>
      </c>
      <c r="EO2711">
        <v>27</v>
      </c>
    </row>
    <row r="2712" spans="142:145" x14ac:dyDescent="0.25">
      <c r="EL2712">
        <v>2015</v>
      </c>
      <c r="EM2712" t="s">
        <v>715</v>
      </c>
      <c r="EN2712" t="s">
        <v>849</v>
      </c>
      <c r="EO2712">
        <v>27.9</v>
      </c>
    </row>
    <row r="2713" spans="142:145" x14ac:dyDescent="0.25">
      <c r="EL2713">
        <v>2015</v>
      </c>
      <c r="EM2713" t="s">
        <v>718</v>
      </c>
      <c r="EN2713" t="s">
        <v>849</v>
      </c>
      <c r="EO2713">
        <v>34.799999999999997</v>
      </c>
    </row>
    <row r="2714" spans="142:145" x14ac:dyDescent="0.25">
      <c r="EL2714">
        <v>2015</v>
      </c>
      <c r="EM2714" t="s">
        <v>716</v>
      </c>
      <c r="EN2714" t="s">
        <v>849</v>
      </c>
      <c r="EO2714">
        <v>35.340000000000003</v>
      </c>
    </row>
    <row r="2715" spans="142:145" x14ac:dyDescent="0.25">
      <c r="EL2715">
        <v>2015</v>
      </c>
      <c r="EM2715" t="s">
        <v>708</v>
      </c>
      <c r="EN2715" t="s">
        <v>849</v>
      </c>
      <c r="EO2715">
        <v>28.83</v>
      </c>
    </row>
    <row r="2716" spans="142:145" x14ac:dyDescent="0.25">
      <c r="EL2716">
        <v>2015</v>
      </c>
      <c r="EM2716" t="s">
        <v>709</v>
      </c>
      <c r="EN2716" t="s">
        <v>849</v>
      </c>
      <c r="EO2716">
        <v>25.5</v>
      </c>
    </row>
    <row r="2717" spans="142:145" x14ac:dyDescent="0.25">
      <c r="EL2717">
        <v>2015</v>
      </c>
      <c r="EM2717" t="s">
        <v>710</v>
      </c>
      <c r="EN2717" t="s">
        <v>849</v>
      </c>
      <c r="EO2717">
        <v>30.38</v>
      </c>
    </row>
    <row r="2718" spans="142:145" x14ac:dyDescent="0.25">
      <c r="EL2718">
        <v>2015</v>
      </c>
      <c r="EM2718" t="s">
        <v>711</v>
      </c>
      <c r="EN2718" t="s">
        <v>849</v>
      </c>
      <c r="EO2718">
        <v>26.1</v>
      </c>
    </row>
    <row r="2719" spans="142:145" x14ac:dyDescent="0.25">
      <c r="EL2719">
        <v>2015</v>
      </c>
      <c r="EM2719" t="s">
        <v>712</v>
      </c>
      <c r="EN2719" t="s">
        <v>849</v>
      </c>
      <c r="EO2719">
        <v>32.24</v>
      </c>
    </row>
    <row r="2720" spans="142:145" x14ac:dyDescent="0.25">
      <c r="EL2720">
        <v>2016</v>
      </c>
      <c r="EM2720" t="s">
        <v>719</v>
      </c>
      <c r="EN2720" t="s">
        <v>849</v>
      </c>
      <c r="EO2720">
        <v>34.409999999999997</v>
      </c>
    </row>
    <row r="2721" spans="142:145" x14ac:dyDescent="0.25">
      <c r="EL2721">
        <v>2016</v>
      </c>
      <c r="EM2721" t="s">
        <v>713</v>
      </c>
      <c r="EN2721" t="s">
        <v>849</v>
      </c>
      <c r="EO2721">
        <v>37.119999999999997</v>
      </c>
    </row>
    <row r="2722" spans="142:145" x14ac:dyDescent="0.25">
      <c r="EL2722">
        <v>2016</v>
      </c>
      <c r="EM2722" t="s">
        <v>714</v>
      </c>
      <c r="EN2722" t="s">
        <v>849</v>
      </c>
      <c r="EO2722">
        <v>32.549999999999997</v>
      </c>
    </row>
    <row r="2723" spans="142:145" x14ac:dyDescent="0.25">
      <c r="EL2723">
        <v>2016</v>
      </c>
      <c r="EM2723" t="s">
        <v>705</v>
      </c>
      <c r="EN2723" t="s">
        <v>849</v>
      </c>
      <c r="EO2723">
        <v>30.3</v>
      </c>
    </row>
    <row r="2724" spans="142:145" x14ac:dyDescent="0.25">
      <c r="EL2724">
        <v>2016</v>
      </c>
      <c r="EM2724" t="s">
        <v>715</v>
      </c>
      <c r="EN2724" t="s">
        <v>849</v>
      </c>
      <c r="EO2724">
        <v>34.409999999999997</v>
      </c>
    </row>
    <row r="2725" spans="142:145" x14ac:dyDescent="0.25">
      <c r="EL2725">
        <v>2016</v>
      </c>
      <c r="EM2725" t="s">
        <v>718</v>
      </c>
      <c r="EN2725" t="s">
        <v>849</v>
      </c>
      <c r="EO2725">
        <v>31.5</v>
      </c>
    </row>
    <row r="2726" spans="142:145" x14ac:dyDescent="0.25">
      <c r="EL2726">
        <v>2016</v>
      </c>
      <c r="EM2726" t="s">
        <v>716</v>
      </c>
      <c r="EN2726" t="s">
        <v>849</v>
      </c>
      <c r="EO2726">
        <v>41.23</v>
      </c>
    </row>
    <row r="2727" spans="142:145" x14ac:dyDescent="0.25">
      <c r="EL2727">
        <v>2016</v>
      </c>
      <c r="EM2727" t="s">
        <v>708</v>
      </c>
      <c r="EN2727" t="s">
        <v>849</v>
      </c>
      <c r="EO2727">
        <v>18.91</v>
      </c>
    </row>
    <row r="2728" spans="142:145" x14ac:dyDescent="0.25">
      <c r="EL2728">
        <v>2016</v>
      </c>
      <c r="EM2728" t="s">
        <v>709</v>
      </c>
      <c r="EN2728" t="s">
        <v>849</v>
      </c>
      <c r="EO2728">
        <v>36</v>
      </c>
    </row>
    <row r="2729" spans="142:145" x14ac:dyDescent="0.25">
      <c r="EL2729">
        <v>2016</v>
      </c>
      <c r="EM2729" t="s">
        <v>710</v>
      </c>
      <c r="EN2729" t="s">
        <v>849</v>
      </c>
      <c r="EO2729">
        <v>39.68</v>
      </c>
    </row>
    <row r="2730" spans="142:145" x14ac:dyDescent="0.25">
      <c r="EL2730">
        <v>2016</v>
      </c>
      <c r="EM2730" t="s">
        <v>711</v>
      </c>
      <c r="EN2730" t="s">
        <v>849</v>
      </c>
      <c r="EO2730">
        <v>27.6</v>
      </c>
    </row>
    <row r="2731" spans="142:145" x14ac:dyDescent="0.25">
      <c r="EL2731">
        <v>2016</v>
      </c>
      <c r="EM2731" t="s">
        <v>712</v>
      </c>
      <c r="EN2731" t="s">
        <v>849</v>
      </c>
      <c r="EO2731">
        <v>29.14</v>
      </c>
    </row>
    <row r="2732" spans="142:145" x14ac:dyDescent="0.25">
      <c r="EL2732">
        <v>2017</v>
      </c>
      <c r="EM2732" t="s">
        <v>719</v>
      </c>
      <c r="EN2732" t="s">
        <v>849</v>
      </c>
      <c r="EO2732">
        <v>31.93</v>
      </c>
    </row>
    <row r="2733" spans="142:145" x14ac:dyDescent="0.25">
      <c r="EL2733">
        <v>2017</v>
      </c>
      <c r="EM2733" t="s">
        <v>713</v>
      </c>
      <c r="EN2733" t="s">
        <v>849</v>
      </c>
      <c r="EO2733">
        <v>32.479999999999997</v>
      </c>
    </row>
    <row r="2734" spans="142:145" x14ac:dyDescent="0.25">
      <c r="EL2734">
        <v>2017</v>
      </c>
      <c r="EM2734" t="s">
        <v>714</v>
      </c>
      <c r="EN2734" t="s">
        <v>849</v>
      </c>
      <c r="EO2734">
        <v>18.91</v>
      </c>
    </row>
    <row r="2735" spans="142:145" x14ac:dyDescent="0.25">
      <c r="EL2735">
        <v>2017</v>
      </c>
      <c r="EM2735" t="s">
        <v>705</v>
      </c>
      <c r="EN2735" t="s">
        <v>849</v>
      </c>
      <c r="EO2735">
        <v>30.9</v>
      </c>
    </row>
    <row r="2736" spans="142:145" x14ac:dyDescent="0.25">
      <c r="EL2736">
        <v>2017</v>
      </c>
      <c r="EM2736" t="s">
        <v>715</v>
      </c>
      <c r="EN2736" t="s">
        <v>849</v>
      </c>
      <c r="EO2736">
        <v>28.52</v>
      </c>
    </row>
    <row r="2737" spans="142:145" x14ac:dyDescent="0.25">
      <c r="EL2737">
        <v>2017</v>
      </c>
      <c r="EM2737" t="s">
        <v>718</v>
      </c>
      <c r="EN2737" t="s">
        <v>849</v>
      </c>
      <c r="EO2737">
        <v>34.799999999999997</v>
      </c>
    </row>
    <row r="2738" spans="142:145" x14ac:dyDescent="0.25">
      <c r="EL2738">
        <v>2017</v>
      </c>
      <c r="EM2738" t="s">
        <v>716</v>
      </c>
      <c r="EN2738" t="s">
        <v>849</v>
      </c>
      <c r="EO2738">
        <v>28.52</v>
      </c>
    </row>
    <row r="2739" spans="142:145" x14ac:dyDescent="0.25">
      <c r="EL2739">
        <v>2017</v>
      </c>
      <c r="EM2739" t="s">
        <v>708</v>
      </c>
      <c r="EN2739" t="s">
        <v>849</v>
      </c>
      <c r="EO2739">
        <v>26.66</v>
      </c>
    </row>
    <row r="2740" spans="142:145" x14ac:dyDescent="0.25">
      <c r="EL2740">
        <v>2017</v>
      </c>
      <c r="EM2740" t="s">
        <v>709</v>
      </c>
      <c r="EN2740" t="s">
        <v>849</v>
      </c>
      <c r="EO2740">
        <v>16.2</v>
      </c>
    </row>
    <row r="2741" spans="142:145" x14ac:dyDescent="0.25">
      <c r="EL2741">
        <v>2017</v>
      </c>
      <c r="EM2741" t="s">
        <v>710</v>
      </c>
      <c r="EN2741" t="s">
        <v>849</v>
      </c>
      <c r="EO2741">
        <v>18.600000000000001</v>
      </c>
    </row>
    <row r="2742" spans="142:145" x14ac:dyDescent="0.25">
      <c r="EL2742">
        <v>2017</v>
      </c>
      <c r="EM2742" t="s">
        <v>711</v>
      </c>
      <c r="EN2742" t="s">
        <v>849</v>
      </c>
      <c r="EO2742">
        <v>16.5</v>
      </c>
    </row>
    <row r="2743" spans="142:145" x14ac:dyDescent="0.25">
      <c r="EL2743">
        <v>2017</v>
      </c>
      <c r="EM2743" t="s">
        <v>712</v>
      </c>
      <c r="EN2743" t="s">
        <v>849</v>
      </c>
      <c r="EO2743">
        <v>19.22</v>
      </c>
    </row>
    <row r="2744" spans="142:145" x14ac:dyDescent="0.25">
      <c r="EL2744">
        <v>2018</v>
      </c>
      <c r="EM2744" t="s">
        <v>719</v>
      </c>
      <c r="EN2744" t="s">
        <v>849</v>
      </c>
      <c r="EO2744">
        <v>21.7</v>
      </c>
    </row>
    <row r="2745" spans="142:145" x14ac:dyDescent="0.25">
      <c r="EL2745">
        <v>2018</v>
      </c>
      <c r="EM2745" t="s">
        <v>713</v>
      </c>
      <c r="EN2745" t="s">
        <v>849</v>
      </c>
      <c r="EO2745">
        <v>18.48</v>
      </c>
    </row>
    <row r="2746" spans="142:145" x14ac:dyDescent="0.25">
      <c r="EL2746">
        <v>2018</v>
      </c>
      <c r="EM2746" t="s">
        <v>714</v>
      </c>
      <c r="EN2746" t="s">
        <v>849</v>
      </c>
      <c r="EO2746">
        <v>19.22</v>
      </c>
    </row>
    <row r="2747" spans="142:145" x14ac:dyDescent="0.25">
      <c r="EL2747">
        <v>2018</v>
      </c>
      <c r="EM2747" t="s">
        <v>705</v>
      </c>
      <c r="EN2747" t="s">
        <v>849</v>
      </c>
      <c r="EO2747">
        <v>18.3</v>
      </c>
    </row>
    <row r="2748" spans="142:145" x14ac:dyDescent="0.25">
      <c r="EL2748">
        <v>2018</v>
      </c>
      <c r="EM2748" t="s">
        <v>715</v>
      </c>
      <c r="EN2748" t="s">
        <v>849</v>
      </c>
      <c r="EO2748">
        <v>28.21</v>
      </c>
    </row>
    <row r="2749" spans="142:145" x14ac:dyDescent="0.25">
      <c r="EL2749">
        <v>2018</v>
      </c>
      <c r="EM2749" t="s">
        <v>718</v>
      </c>
      <c r="EN2749" t="s">
        <v>849</v>
      </c>
      <c r="EO2749">
        <v>17.7</v>
      </c>
    </row>
    <row r="2750" spans="142:145" x14ac:dyDescent="0.25">
      <c r="EL2750">
        <v>2018</v>
      </c>
      <c r="EM2750" t="s">
        <v>716</v>
      </c>
      <c r="EN2750" t="s">
        <v>849</v>
      </c>
      <c r="EO2750">
        <v>25.11</v>
      </c>
    </row>
    <row r="2751" spans="142:145" x14ac:dyDescent="0.25">
      <c r="EL2751">
        <v>2018</v>
      </c>
      <c r="EM2751" t="s">
        <v>708</v>
      </c>
      <c r="EN2751" t="s">
        <v>849</v>
      </c>
      <c r="EO2751">
        <v>30.38</v>
      </c>
    </row>
    <row r="2752" spans="142:145" x14ac:dyDescent="0.25">
      <c r="EL2752">
        <v>2018</v>
      </c>
      <c r="EM2752" t="s">
        <v>709</v>
      </c>
      <c r="EN2752" t="s">
        <v>849</v>
      </c>
      <c r="EO2752">
        <v>28.5</v>
      </c>
    </row>
    <row r="2753" spans="142:145" x14ac:dyDescent="0.25">
      <c r="EL2753">
        <v>2018</v>
      </c>
      <c r="EM2753" t="s">
        <v>710</v>
      </c>
      <c r="EN2753" t="s">
        <v>849</v>
      </c>
      <c r="EO2753">
        <v>36.270000000000003</v>
      </c>
    </row>
    <row r="2754" spans="142:145" x14ac:dyDescent="0.25">
      <c r="EL2754">
        <v>2018</v>
      </c>
      <c r="EM2754" t="s">
        <v>711</v>
      </c>
      <c r="EN2754" t="s">
        <v>849</v>
      </c>
      <c r="EO2754">
        <v>27</v>
      </c>
    </row>
    <row r="2755" spans="142:145" x14ac:dyDescent="0.25">
      <c r="EL2755">
        <v>2018</v>
      </c>
      <c r="EM2755" t="s">
        <v>712</v>
      </c>
      <c r="EN2755" t="s">
        <v>849</v>
      </c>
      <c r="EO2755">
        <v>30.38</v>
      </c>
    </row>
    <row r="2756" spans="142:145" x14ac:dyDescent="0.25">
      <c r="EL2756">
        <v>2019</v>
      </c>
      <c r="EM2756" t="s">
        <v>719</v>
      </c>
      <c r="EN2756" t="s">
        <v>849</v>
      </c>
      <c r="EO2756">
        <v>26.35</v>
      </c>
    </row>
    <row r="2757" spans="142:145" x14ac:dyDescent="0.25">
      <c r="EL2757">
        <v>2019</v>
      </c>
      <c r="EM2757" t="s">
        <v>713</v>
      </c>
      <c r="EN2757" t="s">
        <v>849</v>
      </c>
      <c r="EO2757">
        <v>24.64</v>
      </c>
    </row>
    <row r="2758" spans="142:145" x14ac:dyDescent="0.25">
      <c r="EL2758">
        <v>2019</v>
      </c>
      <c r="EM2758" t="s">
        <v>714</v>
      </c>
      <c r="EN2758" t="s">
        <v>849</v>
      </c>
      <c r="EO2758">
        <v>26.66</v>
      </c>
    </row>
    <row r="2759" spans="142:145" x14ac:dyDescent="0.25">
      <c r="EL2759">
        <v>2019</v>
      </c>
      <c r="EM2759" t="s">
        <v>705</v>
      </c>
      <c r="EN2759" t="s">
        <v>849</v>
      </c>
      <c r="EO2759">
        <v>22.8</v>
      </c>
    </row>
    <row r="2760" spans="142:145" x14ac:dyDescent="0.25">
      <c r="EL2760">
        <v>2019</v>
      </c>
      <c r="EM2760" t="s">
        <v>715</v>
      </c>
      <c r="EN2760" t="s">
        <v>849</v>
      </c>
      <c r="EO2760">
        <v>30.07</v>
      </c>
    </row>
    <row r="2761" spans="142:145" x14ac:dyDescent="0.25">
      <c r="EL2761">
        <v>2019</v>
      </c>
      <c r="EM2761" t="s">
        <v>718</v>
      </c>
      <c r="EN2761" t="s">
        <v>849</v>
      </c>
      <c r="EO2761">
        <v>26.7</v>
      </c>
    </row>
    <row r="2762" spans="142:145" x14ac:dyDescent="0.25">
      <c r="EL2762">
        <v>2019</v>
      </c>
      <c r="EM2762" t="s">
        <v>716</v>
      </c>
      <c r="EN2762" t="s">
        <v>849</v>
      </c>
      <c r="EO2762">
        <v>17.36</v>
      </c>
    </row>
    <row r="2763" spans="142:145" x14ac:dyDescent="0.25">
      <c r="EL2763">
        <v>2019</v>
      </c>
      <c r="EM2763" t="s">
        <v>708</v>
      </c>
      <c r="EN2763" t="s">
        <v>849</v>
      </c>
      <c r="EO2763">
        <v>14.26</v>
      </c>
    </row>
    <row r="2764" spans="142:145" x14ac:dyDescent="0.25">
      <c r="EL2764">
        <v>2019</v>
      </c>
      <c r="EM2764" t="s">
        <v>709</v>
      </c>
      <c r="EN2764" t="s">
        <v>849</v>
      </c>
      <c r="EO2764">
        <v>14.4</v>
      </c>
    </row>
    <row r="2765" spans="142:145" x14ac:dyDescent="0.25">
      <c r="EL2765">
        <v>2019</v>
      </c>
      <c r="EM2765" t="s">
        <v>710</v>
      </c>
      <c r="EN2765" t="s">
        <v>849</v>
      </c>
      <c r="EO2765">
        <v>18.91</v>
      </c>
    </row>
    <row r="2766" spans="142:145" x14ac:dyDescent="0.25">
      <c r="EL2766">
        <v>2019</v>
      </c>
      <c r="EM2766" t="s">
        <v>711</v>
      </c>
      <c r="EN2766" t="s">
        <v>849</v>
      </c>
      <c r="EO2766">
        <v>16.8</v>
      </c>
    </row>
    <row r="2767" spans="142:145" x14ac:dyDescent="0.25">
      <c r="EL2767">
        <v>2019</v>
      </c>
      <c r="EM2767" t="s">
        <v>712</v>
      </c>
      <c r="EN2767" t="s">
        <v>849</v>
      </c>
      <c r="EO2767">
        <v>19.84</v>
      </c>
    </row>
    <row r="2768" spans="142:145" x14ac:dyDescent="0.25">
      <c r="EL2768">
        <v>2020</v>
      </c>
      <c r="EM2768" t="s">
        <v>719</v>
      </c>
      <c r="EN2768" t="s">
        <v>849</v>
      </c>
      <c r="EO2768">
        <v>22.32</v>
      </c>
    </row>
    <row r="2769" spans="142:145" x14ac:dyDescent="0.25">
      <c r="EL2769">
        <v>2020</v>
      </c>
      <c r="EM2769" t="s">
        <v>713</v>
      </c>
      <c r="EN2769" t="s">
        <v>849</v>
      </c>
      <c r="EO2769">
        <v>17.98</v>
      </c>
    </row>
    <row r="2770" spans="142:145" x14ac:dyDescent="0.25">
      <c r="EL2770">
        <v>2020</v>
      </c>
      <c r="EM2770" t="s">
        <v>714</v>
      </c>
      <c r="EN2770" t="s">
        <v>849</v>
      </c>
      <c r="EO2770">
        <v>27.59</v>
      </c>
    </row>
    <row r="2771" spans="142:145" x14ac:dyDescent="0.25">
      <c r="EL2771">
        <v>2020</v>
      </c>
      <c r="EM2771" t="s">
        <v>705</v>
      </c>
      <c r="EN2771" t="s">
        <v>849</v>
      </c>
      <c r="EO2771">
        <v>32.700000000000003</v>
      </c>
    </row>
    <row r="2772" spans="142:145" x14ac:dyDescent="0.25">
      <c r="EL2772">
        <v>2020</v>
      </c>
      <c r="EM2772" t="s">
        <v>715</v>
      </c>
      <c r="EN2772" t="s">
        <v>849</v>
      </c>
      <c r="EO2772">
        <v>26.35</v>
      </c>
    </row>
    <row r="2773" spans="142:145" x14ac:dyDescent="0.25">
      <c r="EL2773">
        <v>2020</v>
      </c>
      <c r="EM2773" t="s">
        <v>718</v>
      </c>
      <c r="EN2773" t="s">
        <v>849</v>
      </c>
      <c r="EO2773">
        <v>24.9</v>
      </c>
    </row>
    <row r="2774" spans="142:145" x14ac:dyDescent="0.25">
      <c r="EL2774">
        <v>2020</v>
      </c>
      <c r="EM2774" t="s">
        <v>716</v>
      </c>
      <c r="EN2774" t="s">
        <v>849</v>
      </c>
      <c r="EO2774">
        <v>31.93</v>
      </c>
    </row>
    <row r="2775" spans="142:145" x14ac:dyDescent="0.25">
      <c r="EL2775">
        <v>2020</v>
      </c>
      <c r="EM2775" t="s">
        <v>708</v>
      </c>
      <c r="EN2775" t="s">
        <v>849</v>
      </c>
      <c r="EO2775">
        <v>31.62</v>
      </c>
    </row>
    <row r="2776" spans="142:145" x14ac:dyDescent="0.25">
      <c r="EL2776">
        <v>2020</v>
      </c>
      <c r="EM2776" t="s">
        <v>709</v>
      </c>
      <c r="EN2776" t="s">
        <v>849</v>
      </c>
      <c r="EO2776">
        <v>29.7</v>
      </c>
    </row>
    <row r="2777" spans="142:145" x14ac:dyDescent="0.25">
      <c r="EL2777">
        <v>2020</v>
      </c>
      <c r="EM2777" t="s">
        <v>710</v>
      </c>
      <c r="EN2777" t="s">
        <v>849</v>
      </c>
      <c r="EO2777">
        <v>30.69</v>
      </c>
    </row>
    <row r="2778" spans="142:145" x14ac:dyDescent="0.25">
      <c r="EL2778">
        <v>2020</v>
      </c>
      <c r="EM2778" t="s">
        <v>711</v>
      </c>
      <c r="EN2778" t="s">
        <v>849</v>
      </c>
      <c r="EO2778">
        <v>30.3</v>
      </c>
    </row>
    <row r="2779" spans="142:145" x14ac:dyDescent="0.25">
      <c r="EL2779">
        <v>2020</v>
      </c>
      <c r="EM2779" t="s">
        <v>712</v>
      </c>
      <c r="EN2779" t="s">
        <v>849</v>
      </c>
      <c r="EO2779">
        <v>32.549999999999997</v>
      </c>
    </row>
    <row r="2780" spans="142:145" x14ac:dyDescent="0.25">
      <c r="EL2780">
        <v>2021</v>
      </c>
      <c r="EM2780" t="s">
        <v>719</v>
      </c>
      <c r="EN2780" t="s">
        <v>849</v>
      </c>
      <c r="EO2780">
        <v>25.42</v>
      </c>
    </row>
    <row r="2781" spans="142:145" x14ac:dyDescent="0.25">
      <c r="EL2781">
        <v>2021</v>
      </c>
      <c r="EM2781" t="s">
        <v>713</v>
      </c>
      <c r="EN2781" t="s">
        <v>849</v>
      </c>
      <c r="EO2781">
        <v>27.16</v>
      </c>
    </row>
    <row r="2782" spans="142:145" x14ac:dyDescent="0.25">
      <c r="EL2782">
        <v>2021</v>
      </c>
      <c r="EM2782" t="s">
        <v>714</v>
      </c>
      <c r="EN2782" t="s">
        <v>849</v>
      </c>
      <c r="EO2782">
        <v>31.62</v>
      </c>
    </row>
    <row r="2783" spans="142:145" x14ac:dyDescent="0.25">
      <c r="EL2783">
        <v>2021</v>
      </c>
      <c r="EM2783" t="s">
        <v>705</v>
      </c>
      <c r="EN2783" t="s">
        <v>849</v>
      </c>
      <c r="EO2783">
        <v>29.4</v>
      </c>
    </row>
    <row r="2784" spans="142:145" x14ac:dyDescent="0.25">
      <c r="EL2784">
        <v>2021</v>
      </c>
      <c r="EM2784" t="s">
        <v>715</v>
      </c>
      <c r="EN2784" t="s">
        <v>849</v>
      </c>
      <c r="EO2784">
        <v>24.8</v>
      </c>
    </row>
    <row r="2785" spans="142:145" x14ac:dyDescent="0.25">
      <c r="EL2785">
        <v>2021</v>
      </c>
      <c r="EM2785" t="s">
        <v>718</v>
      </c>
      <c r="EN2785" t="s">
        <v>849</v>
      </c>
      <c r="EO2785">
        <v>28.2</v>
      </c>
    </row>
    <row r="2786" spans="142:145" x14ac:dyDescent="0.25">
      <c r="EL2786">
        <v>2021</v>
      </c>
      <c r="EM2786" t="s">
        <v>716</v>
      </c>
      <c r="EN2786" t="s">
        <v>849</v>
      </c>
      <c r="EO2786">
        <v>24.8</v>
      </c>
    </row>
    <row r="2787" spans="142:145" x14ac:dyDescent="0.25">
      <c r="EL2787">
        <v>2021</v>
      </c>
      <c r="EM2787" t="s">
        <v>708</v>
      </c>
      <c r="EN2787" t="s">
        <v>849</v>
      </c>
      <c r="EO2787">
        <v>26.97</v>
      </c>
    </row>
    <row r="2788" spans="142:145" x14ac:dyDescent="0.25">
      <c r="EL2788">
        <v>2021</v>
      </c>
      <c r="EM2788" t="s">
        <v>709</v>
      </c>
      <c r="EN2788" t="s">
        <v>849</v>
      </c>
      <c r="EO2788">
        <v>21.3</v>
      </c>
    </row>
    <row r="2789" spans="142:145" x14ac:dyDescent="0.25">
      <c r="EL2789">
        <v>2021</v>
      </c>
      <c r="EM2789" t="s">
        <v>710</v>
      </c>
      <c r="EN2789" t="s">
        <v>849</v>
      </c>
      <c r="EO2789">
        <v>20.46</v>
      </c>
    </row>
    <row r="2790" spans="142:145" x14ac:dyDescent="0.25">
      <c r="EL2790">
        <v>2021</v>
      </c>
      <c r="EM2790" t="s">
        <v>711</v>
      </c>
      <c r="EN2790" t="s">
        <v>849</v>
      </c>
      <c r="EO2790">
        <v>18.899999999999999</v>
      </c>
    </row>
    <row r="2791" spans="142:145" x14ac:dyDescent="0.25">
      <c r="EL2791">
        <v>2021</v>
      </c>
      <c r="EM2791" t="s">
        <v>712</v>
      </c>
      <c r="EN2791" t="s">
        <v>849</v>
      </c>
      <c r="EO2791">
        <v>18.91</v>
      </c>
    </row>
    <row r="2792" spans="142:145" x14ac:dyDescent="0.25">
      <c r="EL2792">
        <v>2022</v>
      </c>
      <c r="EM2792" t="s">
        <v>719</v>
      </c>
      <c r="EN2792" t="s">
        <v>849</v>
      </c>
      <c r="EO2792">
        <v>23.25</v>
      </c>
    </row>
    <row r="2793" spans="142:145" x14ac:dyDescent="0.25">
      <c r="EL2793">
        <v>2022</v>
      </c>
      <c r="EM2793" t="s">
        <v>713</v>
      </c>
      <c r="EN2793" t="s">
        <v>849</v>
      </c>
      <c r="EO2793">
        <v>16.8</v>
      </c>
    </row>
    <row r="2794" spans="142:145" x14ac:dyDescent="0.25">
      <c r="EL2794">
        <v>2022</v>
      </c>
      <c r="EM2794" t="s">
        <v>714</v>
      </c>
      <c r="EN2794" t="s">
        <v>849</v>
      </c>
      <c r="EO2794">
        <v>21.08</v>
      </c>
    </row>
    <row r="2795" spans="142:145" x14ac:dyDescent="0.25">
      <c r="EL2795">
        <v>2022</v>
      </c>
      <c r="EM2795" t="s">
        <v>705</v>
      </c>
      <c r="EN2795" t="s">
        <v>849</v>
      </c>
      <c r="EO2795">
        <v>22.5</v>
      </c>
    </row>
    <row r="2796" spans="142:145" x14ac:dyDescent="0.25">
      <c r="EL2796">
        <v>2022</v>
      </c>
      <c r="EM2796" t="s">
        <v>715</v>
      </c>
      <c r="EN2796" t="s">
        <v>849</v>
      </c>
      <c r="EO2796">
        <v>23.25</v>
      </c>
    </row>
    <row r="2797" spans="142:145" x14ac:dyDescent="0.25">
      <c r="EL2797">
        <v>2022</v>
      </c>
      <c r="EM2797" t="s">
        <v>718</v>
      </c>
      <c r="EN2797" t="s">
        <v>849</v>
      </c>
      <c r="EO2797">
        <v>18.899999999999999</v>
      </c>
    </row>
    <row r="2798" spans="142:145" x14ac:dyDescent="0.25">
      <c r="EL2798">
        <v>2022</v>
      </c>
      <c r="EM2798" t="s">
        <v>716</v>
      </c>
      <c r="EN2798" t="s">
        <v>849</v>
      </c>
      <c r="EO2798">
        <v>22.01</v>
      </c>
    </row>
    <row r="2799" spans="142:145" x14ac:dyDescent="0.25">
      <c r="EL2799">
        <v>2022</v>
      </c>
      <c r="EM2799" t="s">
        <v>708</v>
      </c>
      <c r="EN2799" t="s">
        <v>849</v>
      </c>
      <c r="EO2799">
        <v>22.32</v>
      </c>
    </row>
    <row r="2800" spans="142:145" x14ac:dyDescent="0.25">
      <c r="EL2800">
        <v>2022</v>
      </c>
      <c r="EM2800" t="s">
        <v>709</v>
      </c>
      <c r="EN2800" t="s">
        <v>849</v>
      </c>
      <c r="EO2800">
        <v>19.8</v>
      </c>
    </row>
    <row r="2801" spans="142:145" x14ac:dyDescent="0.25">
      <c r="EL2801">
        <v>2022</v>
      </c>
      <c r="EM2801" t="s">
        <v>710</v>
      </c>
      <c r="EN2801" t="s">
        <v>849</v>
      </c>
      <c r="EO2801">
        <v>20.46</v>
      </c>
    </row>
    <row r="2802" spans="142:145" x14ac:dyDescent="0.25">
      <c r="EL2802">
        <v>2022</v>
      </c>
      <c r="EM2802" t="s">
        <v>711</v>
      </c>
      <c r="EN2802" t="s">
        <v>849</v>
      </c>
      <c r="EO2802">
        <v>19.2</v>
      </c>
    </row>
    <row r="2803" spans="142:145" x14ac:dyDescent="0.25">
      <c r="EL2803">
        <v>2022</v>
      </c>
      <c r="EM2803" t="s">
        <v>712</v>
      </c>
      <c r="EN2803" t="s">
        <v>849</v>
      </c>
      <c r="EO2803">
        <v>22.32</v>
      </c>
    </row>
    <row r="2804" spans="142:145" x14ac:dyDescent="0.25">
      <c r="EL2804">
        <v>2023</v>
      </c>
      <c r="EM2804" t="s">
        <v>719</v>
      </c>
      <c r="EN2804" t="s">
        <v>849</v>
      </c>
      <c r="EO2804">
        <v>20.77</v>
      </c>
    </row>
    <row r="2805" spans="142:145" x14ac:dyDescent="0.25">
      <c r="EL2805">
        <v>2023</v>
      </c>
      <c r="EM2805" t="s">
        <v>713</v>
      </c>
      <c r="EN2805" t="s">
        <v>849</v>
      </c>
      <c r="EO2805">
        <v>20.16</v>
      </c>
    </row>
    <row r="2806" spans="142:145" x14ac:dyDescent="0.25">
      <c r="EL2806">
        <v>2023</v>
      </c>
      <c r="EM2806" t="s">
        <v>714</v>
      </c>
      <c r="EN2806" t="s">
        <v>849</v>
      </c>
      <c r="EO2806">
        <v>25.11</v>
      </c>
    </row>
    <row r="2807" spans="142:145" x14ac:dyDescent="0.25">
      <c r="EL2807">
        <v>2023</v>
      </c>
      <c r="EM2807" t="s">
        <v>705</v>
      </c>
      <c r="EN2807" t="s">
        <v>849</v>
      </c>
      <c r="EO2807">
        <v>27</v>
      </c>
    </row>
    <row r="2808" spans="142:145" x14ac:dyDescent="0.25">
      <c r="EL2808">
        <v>2023</v>
      </c>
      <c r="EM2808" t="s">
        <v>715</v>
      </c>
      <c r="EN2808" t="s">
        <v>849</v>
      </c>
      <c r="EO2808">
        <v>26.35</v>
      </c>
    </row>
    <row r="2809" spans="142:145" x14ac:dyDescent="0.25">
      <c r="EL2809">
        <v>2023</v>
      </c>
      <c r="EM2809" t="s">
        <v>718</v>
      </c>
      <c r="EN2809" t="s">
        <v>849</v>
      </c>
      <c r="EO2809">
        <v>26.7</v>
      </c>
    </row>
    <row r="2810" spans="142:145" x14ac:dyDescent="0.25">
      <c r="EL2810">
        <v>2023</v>
      </c>
      <c r="EM2810" t="s">
        <v>716</v>
      </c>
      <c r="EN2810" t="s">
        <v>849</v>
      </c>
      <c r="EO2810">
        <v>26.66</v>
      </c>
    </row>
    <row r="2811" spans="142:145" x14ac:dyDescent="0.25">
      <c r="EL2811">
        <v>2023</v>
      </c>
      <c r="EM2811" t="s">
        <v>708</v>
      </c>
      <c r="EN2811" t="s">
        <v>849</v>
      </c>
      <c r="EO2811">
        <v>24.18</v>
      </c>
    </row>
    <row r="2812" spans="142:145" x14ac:dyDescent="0.25">
      <c r="EL2812">
        <v>2023</v>
      </c>
      <c r="EM2812" t="s">
        <v>709</v>
      </c>
      <c r="EN2812" t="s">
        <v>849</v>
      </c>
      <c r="EO2812">
        <v>19.5</v>
      </c>
    </row>
    <row r="2813" spans="142:145" x14ac:dyDescent="0.25">
      <c r="EL2813">
        <v>1997</v>
      </c>
      <c r="EM2813" t="s">
        <v>760</v>
      </c>
      <c r="EN2813" t="s">
        <v>850</v>
      </c>
      <c r="EO2813">
        <v>25.605999999999998</v>
      </c>
    </row>
    <row r="2814" spans="142:145" x14ac:dyDescent="0.25">
      <c r="EL2814">
        <v>1997</v>
      </c>
      <c r="EM2814" t="s">
        <v>761</v>
      </c>
      <c r="EN2814" t="s">
        <v>850</v>
      </c>
      <c r="EO2814">
        <v>27.66</v>
      </c>
    </row>
    <row r="2815" spans="142:145" x14ac:dyDescent="0.25">
      <c r="EL2815">
        <v>1997</v>
      </c>
      <c r="EM2815" t="s">
        <v>762</v>
      </c>
      <c r="EN2815" t="s">
        <v>850</v>
      </c>
      <c r="EO2815">
        <v>26.783999999999999</v>
      </c>
    </row>
    <row r="2816" spans="142:145" x14ac:dyDescent="0.25">
      <c r="EL2816">
        <v>1998</v>
      </c>
      <c r="EM2816" t="s">
        <v>763</v>
      </c>
      <c r="EN2816" t="s">
        <v>850</v>
      </c>
      <c r="EO2816">
        <v>28.954000000000001</v>
      </c>
    </row>
    <row r="2817" spans="142:145" x14ac:dyDescent="0.25">
      <c r="EL2817">
        <v>1998</v>
      </c>
      <c r="EM2817" t="s">
        <v>764</v>
      </c>
      <c r="EN2817" t="s">
        <v>850</v>
      </c>
      <c r="EO2817">
        <v>30.043999999999997</v>
      </c>
    </row>
    <row r="2818" spans="142:145" x14ac:dyDescent="0.25">
      <c r="EL2818">
        <v>1998</v>
      </c>
      <c r="EM2818" t="s">
        <v>765</v>
      </c>
      <c r="EN2818" t="s">
        <v>850</v>
      </c>
      <c r="EO2818">
        <v>32.829000000000001</v>
      </c>
    </row>
    <row r="2819" spans="142:145" x14ac:dyDescent="0.25">
      <c r="EL2819">
        <v>1998</v>
      </c>
      <c r="EM2819" t="s">
        <v>767</v>
      </c>
      <c r="EN2819" t="s">
        <v>850</v>
      </c>
      <c r="EO2819">
        <v>28.2</v>
      </c>
    </row>
    <row r="2820" spans="142:145" x14ac:dyDescent="0.25">
      <c r="EL2820">
        <v>1998</v>
      </c>
      <c r="EM2820" t="s">
        <v>715</v>
      </c>
      <c r="EN2820" t="s">
        <v>850</v>
      </c>
      <c r="EO2820">
        <v>28.644000000000002</v>
      </c>
    </row>
    <row r="2821" spans="142:145" x14ac:dyDescent="0.25">
      <c r="EL2821">
        <v>1998</v>
      </c>
      <c r="EM2821" t="s">
        <v>718</v>
      </c>
      <c r="EN2821" t="s">
        <v>850</v>
      </c>
      <c r="EO2821">
        <v>24.81</v>
      </c>
    </row>
    <row r="2822" spans="142:145" x14ac:dyDescent="0.25">
      <c r="EL2822">
        <v>1998</v>
      </c>
      <c r="EM2822" t="s">
        <v>716</v>
      </c>
      <c r="EN2822" t="s">
        <v>850</v>
      </c>
      <c r="EO2822">
        <v>25.110000000000003</v>
      </c>
    </row>
    <row r="2823" spans="142:145" x14ac:dyDescent="0.25">
      <c r="EL2823">
        <v>1998</v>
      </c>
      <c r="EM2823" t="s">
        <v>768</v>
      </c>
      <c r="EN2823" t="s">
        <v>850</v>
      </c>
      <c r="EO2823">
        <v>24.428000000000001</v>
      </c>
    </row>
    <row r="2824" spans="142:145" x14ac:dyDescent="0.25">
      <c r="EL2824">
        <v>1998</v>
      </c>
      <c r="EM2824" t="s">
        <v>769</v>
      </c>
      <c r="EN2824" t="s">
        <v>850</v>
      </c>
      <c r="EO2824">
        <v>23.970000000000002</v>
      </c>
    </row>
    <row r="2825" spans="142:145" x14ac:dyDescent="0.25">
      <c r="EL2825">
        <v>1998</v>
      </c>
      <c r="EM2825" t="s">
        <v>760</v>
      </c>
      <c r="EN2825" t="s">
        <v>850</v>
      </c>
      <c r="EO2825">
        <v>24.831000000000003</v>
      </c>
    </row>
    <row r="2826" spans="142:145" x14ac:dyDescent="0.25">
      <c r="EL2826">
        <v>1998</v>
      </c>
      <c r="EM2826" t="s">
        <v>771</v>
      </c>
      <c r="EN2826" t="s">
        <v>850</v>
      </c>
      <c r="EO2826">
        <v>24.57</v>
      </c>
    </row>
    <row r="2827" spans="142:145" x14ac:dyDescent="0.25">
      <c r="EL2827">
        <v>1998</v>
      </c>
      <c r="EM2827" t="s">
        <v>762</v>
      </c>
      <c r="EN2827" t="s">
        <v>850</v>
      </c>
      <c r="EO2827">
        <v>26.474</v>
      </c>
    </row>
    <row r="2828" spans="142:145" x14ac:dyDescent="0.25">
      <c r="EL2828">
        <v>1999</v>
      </c>
      <c r="EM2828" t="s">
        <v>763</v>
      </c>
      <c r="EN2828" t="s">
        <v>850</v>
      </c>
      <c r="EO2828">
        <v>26.535999999999998</v>
      </c>
    </row>
    <row r="2829" spans="142:145" x14ac:dyDescent="0.25">
      <c r="EL2829">
        <v>1999</v>
      </c>
      <c r="EM2829" t="s">
        <v>772</v>
      </c>
      <c r="EN2829" t="s">
        <v>850</v>
      </c>
      <c r="EO2829">
        <v>25.088000000000001</v>
      </c>
    </row>
    <row r="2830" spans="142:145" x14ac:dyDescent="0.25">
      <c r="EL2830">
        <v>1999</v>
      </c>
      <c r="EM2830" t="s">
        <v>773</v>
      </c>
      <c r="EN2830" t="s">
        <v>850</v>
      </c>
      <c r="EO2830">
        <v>29.821999999999999</v>
      </c>
    </row>
    <row r="2831" spans="142:145" x14ac:dyDescent="0.25">
      <c r="EL2831">
        <v>1999</v>
      </c>
      <c r="EM2831" t="s">
        <v>774</v>
      </c>
      <c r="EN2831" t="s">
        <v>850</v>
      </c>
      <c r="EO2831">
        <v>30.509999999999998</v>
      </c>
    </row>
    <row r="2832" spans="142:145" x14ac:dyDescent="0.25">
      <c r="EL2832">
        <v>1999</v>
      </c>
      <c r="EM2832" t="s">
        <v>715</v>
      </c>
      <c r="EN2832" t="s">
        <v>850</v>
      </c>
      <c r="EO2832">
        <v>28.334</v>
      </c>
    </row>
    <row r="2833" spans="142:145" x14ac:dyDescent="0.25">
      <c r="EL2833">
        <v>1999</v>
      </c>
      <c r="EM2833" t="s">
        <v>718</v>
      </c>
      <c r="EN2833" t="s">
        <v>850</v>
      </c>
      <c r="EO2833">
        <v>27.42</v>
      </c>
    </row>
    <row r="2834" spans="142:145" x14ac:dyDescent="0.25">
      <c r="EL2834">
        <v>1999</v>
      </c>
      <c r="EM2834" t="s">
        <v>716</v>
      </c>
      <c r="EN2834" t="s">
        <v>850</v>
      </c>
      <c r="EO2834">
        <v>25.698999999999998</v>
      </c>
    </row>
    <row r="2835" spans="142:145" x14ac:dyDescent="0.25">
      <c r="EL2835">
        <v>1999</v>
      </c>
      <c r="EM2835" t="s">
        <v>708</v>
      </c>
      <c r="EN2835" t="s">
        <v>850</v>
      </c>
      <c r="EO2835">
        <v>26.009</v>
      </c>
    </row>
    <row r="2836" spans="142:145" x14ac:dyDescent="0.25">
      <c r="EL2836">
        <v>1999</v>
      </c>
      <c r="EM2836" t="s">
        <v>709</v>
      </c>
      <c r="EN2836" t="s">
        <v>850</v>
      </c>
      <c r="EO2836">
        <v>26.94</v>
      </c>
    </row>
    <row r="2837" spans="142:145" x14ac:dyDescent="0.25">
      <c r="EL2837">
        <v>1999</v>
      </c>
      <c r="EM2837" t="s">
        <v>710</v>
      </c>
      <c r="EN2837" t="s">
        <v>850</v>
      </c>
      <c r="EO2837">
        <v>26.442999999999998</v>
      </c>
    </row>
    <row r="2838" spans="142:145" x14ac:dyDescent="0.25">
      <c r="EL2838">
        <v>1999</v>
      </c>
      <c r="EM2838" t="s">
        <v>711</v>
      </c>
      <c r="EN2838" t="s">
        <v>850</v>
      </c>
      <c r="EO2838">
        <v>24.869999999999997</v>
      </c>
    </row>
    <row r="2839" spans="142:145" x14ac:dyDescent="0.25">
      <c r="EL2839">
        <v>1999</v>
      </c>
      <c r="EM2839" t="s">
        <v>712</v>
      </c>
      <c r="EN2839" t="s">
        <v>850</v>
      </c>
      <c r="EO2839">
        <v>27.155999999999999</v>
      </c>
    </row>
    <row r="2840" spans="142:145" x14ac:dyDescent="0.25">
      <c r="EL2840">
        <v>2000</v>
      </c>
      <c r="EM2840" t="s">
        <v>719</v>
      </c>
      <c r="EN2840" t="s">
        <v>850</v>
      </c>
      <c r="EO2840">
        <v>29.047000000000001</v>
      </c>
    </row>
    <row r="2841" spans="142:145" x14ac:dyDescent="0.25">
      <c r="EL2841">
        <v>2000</v>
      </c>
      <c r="EM2841" t="s">
        <v>713</v>
      </c>
      <c r="EN2841" t="s">
        <v>850</v>
      </c>
      <c r="EO2841">
        <v>26.071000000000002</v>
      </c>
    </row>
    <row r="2842" spans="142:145" x14ac:dyDescent="0.25">
      <c r="EL2842">
        <v>2000</v>
      </c>
      <c r="EM2842" t="s">
        <v>714</v>
      </c>
      <c r="EN2842" t="s">
        <v>850</v>
      </c>
      <c r="EO2842">
        <v>27.776</v>
      </c>
    </row>
    <row r="2843" spans="142:145" x14ac:dyDescent="0.25">
      <c r="EL2843">
        <v>2000</v>
      </c>
      <c r="EM2843" t="s">
        <v>705</v>
      </c>
      <c r="EN2843" t="s">
        <v>850</v>
      </c>
      <c r="EO2843">
        <v>24.84</v>
      </c>
    </row>
    <row r="2844" spans="142:145" x14ac:dyDescent="0.25">
      <c r="EL2844">
        <v>2000</v>
      </c>
      <c r="EM2844" t="s">
        <v>715</v>
      </c>
      <c r="EN2844" t="s">
        <v>850</v>
      </c>
      <c r="EO2844">
        <v>24.552</v>
      </c>
    </row>
    <row r="2845" spans="142:145" x14ac:dyDescent="0.25">
      <c r="EL2845">
        <v>2000</v>
      </c>
      <c r="EM2845" t="s">
        <v>718</v>
      </c>
      <c r="EN2845" t="s">
        <v>850</v>
      </c>
      <c r="EO2845">
        <v>24.240000000000002</v>
      </c>
    </row>
    <row r="2846" spans="142:145" x14ac:dyDescent="0.25">
      <c r="EL2846">
        <v>2000</v>
      </c>
      <c r="EM2846" t="s">
        <v>716</v>
      </c>
      <c r="EN2846" t="s">
        <v>850</v>
      </c>
      <c r="EO2846">
        <v>19.096</v>
      </c>
    </row>
    <row r="2847" spans="142:145" x14ac:dyDescent="0.25">
      <c r="EL2847">
        <v>2000</v>
      </c>
      <c r="EM2847" t="s">
        <v>708</v>
      </c>
      <c r="EN2847" t="s">
        <v>850</v>
      </c>
      <c r="EO2847">
        <v>22.009999999999998</v>
      </c>
    </row>
    <row r="2848" spans="142:145" x14ac:dyDescent="0.25">
      <c r="EL2848">
        <v>2000</v>
      </c>
      <c r="EM2848" t="s">
        <v>709</v>
      </c>
      <c r="EN2848" t="s">
        <v>850</v>
      </c>
      <c r="EO2848">
        <v>23.310000000000002</v>
      </c>
    </row>
    <row r="2849" spans="142:145" x14ac:dyDescent="0.25">
      <c r="EL2849">
        <v>2000</v>
      </c>
      <c r="EM2849" t="s">
        <v>710</v>
      </c>
      <c r="EN2849" t="s">
        <v>850</v>
      </c>
      <c r="EO2849">
        <v>24.614000000000001</v>
      </c>
    </row>
    <row r="2850" spans="142:145" x14ac:dyDescent="0.25">
      <c r="EL2850">
        <v>2000</v>
      </c>
      <c r="EM2850" t="s">
        <v>711</v>
      </c>
      <c r="EN2850" t="s">
        <v>850</v>
      </c>
      <c r="EO2850">
        <v>25.38</v>
      </c>
    </row>
    <row r="2851" spans="142:145" x14ac:dyDescent="0.25">
      <c r="EL2851">
        <v>2000</v>
      </c>
      <c r="EM2851" t="s">
        <v>712</v>
      </c>
      <c r="EN2851" t="s">
        <v>850</v>
      </c>
      <c r="EO2851">
        <v>26.722000000000001</v>
      </c>
    </row>
    <row r="2852" spans="142:145" x14ac:dyDescent="0.25">
      <c r="EL2852">
        <v>2001</v>
      </c>
      <c r="EM2852" t="s">
        <v>719</v>
      </c>
      <c r="EN2852" t="s">
        <v>850</v>
      </c>
      <c r="EO2852">
        <v>26.195</v>
      </c>
    </row>
    <row r="2853" spans="142:145" x14ac:dyDescent="0.25">
      <c r="EL2853">
        <v>2001</v>
      </c>
      <c r="EM2853" t="s">
        <v>713</v>
      </c>
      <c r="EN2853" t="s">
        <v>850</v>
      </c>
      <c r="EO2853">
        <v>24.22</v>
      </c>
    </row>
    <row r="2854" spans="142:145" x14ac:dyDescent="0.25">
      <c r="EL2854">
        <v>2001</v>
      </c>
      <c r="EM2854" t="s">
        <v>714</v>
      </c>
      <c r="EN2854" t="s">
        <v>850</v>
      </c>
      <c r="EO2854">
        <v>26.597999999999999</v>
      </c>
    </row>
    <row r="2855" spans="142:145" x14ac:dyDescent="0.25">
      <c r="EL2855">
        <v>2001</v>
      </c>
      <c r="EM2855" t="s">
        <v>705</v>
      </c>
      <c r="EN2855" t="s">
        <v>850</v>
      </c>
      <c r="EO2855">
        <v>24.389999999999997</v>
      </c>
    </row>
    <row r="2856" spans="142:145" x14ac:dyDescent="0.25">
      <c r="EL2856">
        <v>2001</v>
      </c>
      <c r="EM2856" t="s">
        <v>715</v>
      </c>
      <c r="EN2856" t="s">
        <v>850</v>
      </c>
      <c r="EO2856">
        <v>26.597999999999999</v>
      </c>
    </row>
    <row r="2857" spans="142:145" x14ac:dyDescent="0.25">
      <c r="EL2857">
        <v>2001</v>
      </c>
      <c r="EM2857" t="s">
        <v>718</v>
      </c>
      <c r="EN2857" t="s">
        <v>850</v>
      </c>
      <c r="EO2857">
        <v>29.016000000000002</v>
      </c>
    </row>
    <row r="2858" spans="142:145" x14ac:dyDescent="0.25">
      <c r="EL2858">
        <v>2001</v>
      </c>
      <c r="EM2858" t="s">
        <v>716</v>
      </c>
      <c r="EN2858" t="s">
        <v>850</v>
      </c>
      <c r="EO2858">
        <v>24.72</v>
      </c>
    </row>
    <row r="2859" spans="142:145" x14ac:dyDescent="0.25">
      <c r="EL2859">
        <v>2001</v>
      </c>
      <c r="EM2859" t="s">
        <v>708</v>
      </c>
      <c r="EN2859" t="s">
        <v>850</v>
      </c>
      <c r="EO2859">
        <v>25.853999999999999</v>
      </c>
    </row>
    <row r="2860" spans="142:145" x14ac:dyDescent="0.25">
      <c r="EL2860">
        <v>2001</v>
      </c>
      <c r="EM2860" t="s">
        <v>709</v>
      </c>
      <c r="EN2860" t="s">
        <v>850</v>
      </c>
      <c r="EO2860">
        <v>25.53</v>
      </c>
    </row>
    <row r="2861" spans="142:145" x14ac:dyDescent="0.25">
      <c r="EL2861">
        <v>2001</v>
      </c>
      <c r="EM2861" t="s">
        <v>710</v>
      </c>
      <c r="EN2861" t="s">
        <v>850</v>
      </c>
      <c r="EO2861">
        <v>25.946999999999999</v>
      </c>
    </row>
    <row r="2862" spans="142:145" x14ac:dyDescent="0.25">
      <c r="EL2862">
        <v>2001</v>
      </c>
      <c r="EM2862" t="s">
        <v>711</v>
      </c>
      <c r="EN2862" t="s">
        <v>850</v>
      </c>
      <c r="EO2862">
        <v>25.38</v>
      </c>
    </row>
    <row r="2863" spans="142:145" x14ac:dyDescent="0.25">
      <c r="EL2863">
        <v>2001</v>
      </c>
      <c r="EM2863" t="s">
        <v>712</v>
      </c>
      <c r="EN2863" t="s">
        <v>850</v>
      </c>
      <c r="EO2863">
        <v>25.419999999999998</v>
      </c>
    </row>
    <row r="2864" spans="142:145" x14ac:dyDescent="0.25">
      <c r="EL2864">
        <v>2002</v>
      </c>
      <c r="EM2864" t="s">
        <v>719</v>
      </c>
      <c r="EN2864" t="s">
        <v>850</v>
      </c>
      <c r="EO2864">
        <v>27.466000000000001</v>
      </c>
    </row>
    <row r="2865" spans="142:145" x14ac:dyDescent="0.25">
      <c r="EL2865">
        <v>2002</v>
      </c>
      <c r="EM2865" t="s">
        <v>713</v>
      </c>
      <c r="EN2865" t="s">
        <v>850</v>
      </c>
      <c r="EO2865">
        <v>21.42</v>
      </c>
    </row>
    <row r="2866" spans="142:145" x14ac:dyDescent="0.25">
      <c r="EL2866">
        <v>2002</v>
      </c>
      <c r="EM2866" t="s">
        <v>714</v>
      </c>
      <c r="EN2866" t="s">
        <v>850</v>
      </c>
      <c r="EO2866">
        <v>28.427</v>
      </c>
    </row>
    <row r="2867" spans="142:145" x14ac:dyDescent="0.25">
      <c r="EL2867">
        <v>2002</v>
      </c>
      <c r="EM2867" t="s">
        <v>705</v>
      </c>
      <c r="EN2867" t="s">
        <v>850</v>
      </c>
      <c r="EO2867">
        <v>24.66</v>
      </c>
    </row>
    <row r="2868" spans="142:145" x14ac:dyDescent="0.25">
      <c r="EL2868">
        <v>2002</v>
      </c>
      <c r="EM2868" t="s">
        <v>715</v>
      </c>
      <c r="EN2868" t="s">
        <v>850</v>
      </c>
      <c r="EO2868">
        <v>28.303000000000001</v>
      </c>
    </row>
    <row r="2869" spans="142:145" x14ac:dyDescent="0.25">
      <c r="EL2869">
        <v>2002</v>
      </c>
      <c r="EM2869" t="s">
        <v>718</v>
      </c>
      <c r="EN2869" t="s">
        <v>850</v>
      </c>
      <c r="EO2869">
        <v>20.010000000000002</v>
      </c>
    </row>
    <row r="2870" spans="142:145" x14ac:dyDescent="0.25">
      <c r="EL2870">
        <v>2002</v>
      </c>
      <c r="EM2870" t="s">
        <v>716</v>
      </c>
      <c r="EN2870" t="s">
        <v>850</v>
      </c>
      <c r="EO2870">
        <v>27.062999999999999</v>
      </c>
    </row>
    <row r="2871" spans="142:145" x14ac:dyDescent="0.25">
      <c r="EL2871">
        <v>2002</v>
      </c>
      <c r="EM2871" t="s">
        <v>708</v>
      </c>
      <c r="EN2871" t="s">
        <v>850</v>
      </c>
      <c r="EO2871">
        <v>25.264999999999997</v>
      </c>
    </row>
    <row r="2872" spans="142:145" x14ac:dyDescent="0.25">
      <c r="EL2872">
        <v>2002</v>
      </c>
      <c r="EM2872" t="s">
        <v>709</v>
      </c>
      <c r="EN2872" t="s">
        <v>850</v>
      </c>
      <c r="EO2872">
        <v>24.09</v>
      </c>
    </row>
    <row r="2873" spans="142:145" x14ac:dyDescent="0.25">
      <c r="EL2873">
        <v>2002</v>
      </c>
      <c r="EM2873" t="s">
        <v>710</v>
      </c>
      <c r="EN2873" t="s">
        <v>850</v>
      </c>
      <c r="EO2873">
        <v>28.923000000000002</v>
      </c>
    </row>
    <row r="2874" spans="142:145" x14ac:dyDescent="0.25">
      <c r="EL2874">
        <v>2002</v>
      </c>
      <c r="EM2874" t="s">
        <v>711</v>
      </c>
      <c r="EN2874" t="s">
        <v>850</v>
      </c>
      <c r="EO2874">
        <v>31.11</v>
      </c>
    </row>
    <row r="2875" spans="142:145" x14ac:dyDescent="0.25">
      <c r="EL2875">
        <v>2002</v>
      </c>
      <c r="EM2875" t="s">
        <v>712</v>
      </c>
      <c r="EN2875" t="s">
        <v>850</v>
      </c>
      <c r="EO2875">
        <v>34.317</v>
      </c>
    </row>
    <row r="2876" spans="142:145" x14ac:dyDescent="0.25">
      <c r="EL2876">
        <v>2003</v>
      </c>
      <c r="EM2876" t="s">
        <v>719</v>
      </c>
      <c r="EN2876" t="s">
        <v>850</v>
      </c>
      <c r="EO2876">
        <v>31.372</v>
      </c>
    </row>
    <row r="2877" spans="142:145" x14ac:dyDescent="0.25">
      <c r="EL2877">
        <v>2003</v>
      </c>
      <c r="EM2877" t="s">
        <v>713</v>
      </c>
      <c r="EN2877" t="s">
        <v>850</v>
      </c>
      <c r="EO2877">
        <v>32.116</v>
      </c>
    </row>
    <row r="2878" spans="142:145" x14ac:dyDescent="0.25">
      <c r="EL2878">
        <v>2003</v>
      </c>
      <c r="EM2878" t="s">
        <v>714</v>
      </c>
      <c r="EN2878" t="s">
        <v>850</v>
      </c>
      <c r="EO2878">
        <v>32.426000000000002</v>
      </c>
    </row>
    <row r="2879" spans="142:145" x14ac:dyDescent="0.25">
      <c r="EL2879">
        <v>2003</v>
      </c>
      <c r="EM2879" t="s">
        <v>705</v>
      </c>
      <c r="EN2879" t="s">
        <v>850</v>
      </c>
      <c r="EO2879">
        <v>22.47</v>
      </c>
    </row>
    <row r="2880" spans="142:145" x14ac:dyDescent="0.25">
      <c r="EL2880">
        <v>2003</v>
      </c>
      <c r="EM2880" t="s">
        <v>715</v>
      </c>
      <c r="EN2880" t="s">
        <v>850</v>
      </c>
      <c r="EO2880">
        <v>29.852999999999998</v>
      </c>
    </row>
    <row r="2881" spans="142:145" x14ac:dyDescent="0.25">
      <c r="EL2881">
        <v>2003</v>
      </c>
      <c r="EM2881" t="s">
        <v>718</v>
      </c>
      <c r="EN2881" t="s">
        <v>850</v>
      </c>
      <c r="EO2881">
        <v>33.03</v>
      </c>
    </row>
    <row r="2882" spans="142:145" x14ac:dyDescent="0.25">
      <c r="EL2882">
        <v>2003</v>
      </c>
      <c r="EM2882" t="s">
        <v>716</v>
      </c>
      <c r="EN2882" t="s">
        <v>850</v>
      </c>
      <c r="EO2882">
        <v>26.753</v>
      </c>
    </row>
    <row r="2883" spans="142:145" x14ac:dyDescent="0.25">
      <c r="EL2883">
        <v>2003</v>
      </c>
      <c r="EM2883" t="s">
        <v>708</v>
      </c>
      <c r="EN2883" t="s">
        <v>850</v>
      </c>
      <c r="EO2883">
        <v>23.466999999999999</v>
      </c>
    </row>
    <row r="2884" spans="142:145" x14ac:dyDescent="0.25">
      <c r="EL2884">
        <v>2003</v>
      </c>
      <c r="EM2884" t="s">
        <v>709</v>
      </c>
      <c r="EN2884" t="s">
        <v>850</v>
      </c>
      <c r="EO2884">
        <v>22.95</v>
      </c>
    </row>
    <row r="2885" spans="142:145" x14ac:dyDescent="0.25">
      <c r="EL2885">
        <v>2003</v>
      </c>
      <c r="EM2885" t="s">
        <v>710</v>
      </c>
      <c r="EN2885" t="s">
        <v>850</v>
      </c>
      <c r="EO2885">
        <v>27.361000000000001</v>
      </c>
    </row>
    <row r="2886" spans="142:145" x14ac:dyDescent="0.25">
      <c r="EL2886">
        <v>2003</v>
      </c>
      <c r="EM2886" t="s">
        <v>711</v>
      </c>
      <c r="EN2886" t="s">
        <v>850</v>
      </c>
      <c r="EO2886">
        <v>30.388999999999999</v>
      </c>
    </row>
    <row r="2887" spans="142:145" x14ac:dyDescent="0.25">
      <c r="EL2887">
        <v>2003</v>
      </c>
      <c r="EM2887" t="s">
        <v>712</v>
      </c>
      <c r="EN2887" t="s">
        <v>850</v>
      </c>
      <c r="EO2887">
        <v>35.993000000000002</v>
      </c>
    </row>
    <row r="2888" spans="142:145" x14ac:dyDescent="0.25">
      <c r="EL2888">
        <v>2004</v>
      </c>
      <c r="EM2888" t="s">
        <v>719</v>
      </c>
      <c r="EN2888" t="s">
        <v>850</v>
      </c>
      <c r="EO2888">
        <v>49.637</v>
      </c>
    </row>
    <row r="2889" spans="142:145" x14ac:dyDescent="0.25">
      <c r="EL2889">
        <v>2004</v>
      </c>
      <c r="EM2889" t="s">
        <v>713</v>
      </c>
      <c r="EN2889" t="s">
        <v>850</v>
      </c>
      <c r="EO2889">
        <v>18.978999999999999</v>
      </c>
    </row>
    <row r="2890" spans="142:145" x14ac:dyDescent="0.25">
      <c r="EL2890">
        <v>2004</v>
      </c>
      <c r="EM2890" t="s">
        <v>714</v>
      </c>
      <c r="EN2890" t="s">
        <v>850</v>
      </c>
      <c r="EO2890">
        <v>26.23</v>
      </c>
    </row>
    <row r="2891" spans="142:145" x14ac:dyDescent="0.25">
      <c r="EL2891">
        <v>2004</v>
      </c>
      <c r="EM2891" t="s">
        <v>705</v>
      </c>
      <c r="EN2891" t="s">
        <v>850</v>
      </c>
      <c r="EO2891">
        <v>27.05</v>
      </c>
    </row>
    <row r="2892" spans="142:145" x14ac:dyDescent="0.25">
      <c r="EL2892">
        <v>2004</v>
      </c>
      <c r="EM2892" t="s">
        <v>715</v>
      </c>
      <c r="EN2892" t="s">
        <v>850</v>
      </c>
      <c r="EO2892">
        <v>24.3759642857143</v>
      </c>
    </row>
    <row r="2893" spans="142:145" x14ac:dyDescent="0.25">
      <c r="EL2893">
        <v>2004</v>
      </c>
      <c r="EM2893" t="s">
        <v>718</v>
      </c>
      <c r="EN2893" t="s">
        <v>850</v>
      </c>
      <c r="EO2893">
        <v>27.478059999999999</v>
      </c>
    </row>
    <row r="2894" spans="142:145" x14ac:dyDescent="0.25">
      <c r="EL2894">
        <v>2004</v>
      </c>
      <c r="EM2894" t="s">
        <v>716</v>
      </c>
      <c r="EN2894" t="s">
        <v>850</v>
      </c>
      <c r="EO2894">
        <v>23.02525</v>
      </c>
    </row>
    <row r="2895" spans="142:145" x14ac:dyDescent="0.25">
      <c r="EL2895">
        <v>2004</v>
      </c>
      <c r="EM2895" t="s">
        <v>708</v>
      </c>
      <c r="EN2895" t="s">
        <v>850</v>
      </c>
      <c r="EO2895">
        <v>25.401399999999999</v>
      </c>
    </row>
    <row r="2896" spans="142:145" x14ac:dyDescent="0.25">
      <c r="EL2896">
        <v>2004</v>
      </c>
      <c r="EM2896" t="s">
        <v>709</v>
      </c>
      <c r="EN2896" t="s">
        <v>850</v>
      </c>
      <c r="EO2896">
        <v>26.065862068965501</v>
      </c>
    </row>
    <row r="2897" spans="142:145" x14ac:dyDescent="0.25">
      <c r="EL2897">
        <v>2004</v>
      </c>
      <c r="EM2897" t="s">
        <v>710</v>
      </c>
      <c r="EN2897" t="s">
        <v>850</v>
      </c>
      <c r="EO2897">
        <v>27.7149393939</v>
      </c>
    </row>
    <row r="2898" spans="142:145" x14ac:dyDescent="0.25">
      <c r="EL2898">
        <v>2004</v>
      </c>
      <c r="EM2898" t="s">
        <v>711</v>
      </c>
      <c r="EN2898" t="s">
        <v>850</v>
      </c>
      <c r="EO2898">
        <v>26.195</v>
      </c>
    </row>
    <row r="2899" spans="142:145" x14ac:dyDescent="0.25">
      <c r="EL2899">
        <v>2004</v>
      </c>
      <c r="EM2899" t="s">
        <v>712</v>
      </c>
      <c r="EN2899" t="s">
        <v>850</v>
      </c>
      <c r="EO2899">
        <v>31.74</v>
      </c>
    </row>
    <row r="2900" spans="142:145" x14ac:dyDescent="0.25">
      <c r="EL2900">
        <v>2005</v>
      </c>
      <c r="EM2900" t="s">
        <v>719</v>
      </c>
      <c r="EN2900" t="s">
        <v>850</v>
      </c>
      <c r="EO2900">
        <v>29.481000000000002</v>
      </c>
    </row>
    <row r="2901" spans="142:145" x14ac:dyDescent="0.25">
      <c r="EL2901">
        <v>2005</v>
      </c>
      <c r="EM2901" t="s">
        <v>713</v>
      </c>
      <c r="EN2901" t="s">
        <v>850</v>
      </c>
      <c r="EO2901">
        <v>17.652999999999999</v>
      </c>
    </row>
    <row r="2902" spans="142:145" x14ac:dyDescent="0.25">
      <c r="EL2902">
        <v>2005</v>
      </c>
      <c r="EM2902" t="s">
        <v>714</v>
      </c>
      <c r="EN2902" t="s">
        <v>850</v>
      </c>
      <c r="EO2902">
        <v>31.925999999999998</v>
      </c>
    </row>
    <row r="2903" spans="142:145" x14ac:dyDescent="0.25">
      <c r="EL2903">
        <v>2005</v>
      </c>
      <c r="EM2903" t="s">
        <v>705</v>
      </c>
      <c r="EN2903" t="s">
        <v>850</v>
      </c>
      <c r="EO2903">
        <v>26.56</v>
      </c>
    </row>
    <row r="2904" spans="142:145" x14ac:dyDescent="0.25">
      <c r="EL2904">
        <v>2005</v>
      </c>
      <c r="EM2904" t="s">
        <v>715</v>
      </c>
      <c r="EN2904" t="s">
        <v>850</v>
      </c>
      <c r="EO2904">
        <v>26.783000000000001</v>
      </c>
    </row>
    <row r="2905" spans="142:145" x14ac:dyDescent="0.25">
      <c r="EL2905">
        <v>2005</v>
      </c>
      <c r="EM2905" t="s">
        <v>718</v>
      </c>
      <c r="EN2905" t="s">
        <v>850</v>
      </c>
      <c r="EO2905">
        <v>22.581</v>
      </c>
    </row>
    <row r="2906" spans="142:145" x14ac:dyDescent="0.25">
      <c r="EL2906">
        <v>2005</v>
      </c>
      <c r="EM2906" t="s">
        <v>716</v>
      </c>
      <c r="EN2906" t="s">
        <v>850</v>
      </c>
      <c r="EO2906">
        <v>22.513000000000002</v>
      </c>
    </row>
    <row r="2907" spans="142:145" x14ac:dyDescent="0.25">
      <c r="EL2907">
        <v>2005</v>
      </c>
      <c r="EM2907" t="s">
        <v>708</v>
      </c>
      <c r="EN2907" t="s">
        <v>850</v>
      </c>
      <c r="EO2907">
        <v>17.260999999999999</v>
      </c>
    </row>
    <row r="2908" spans="142:145" x14ac:dyDescent="0.25">
      <c r="EL2908">
        <v>2005</v>
      </c>
      <c r="EM2908" t="s">
        <v>709</v>
      </c>
      <c r="EN2908" t="s">
        <v>850</v>
      </c>
      <c r="EO2908">
        <v>20.356999999999999</v>
      </c>
    </row>
    <row r="2909" spans="142:145" x14ac:dyDescent="0.25">
      <c r="EL2909">
        <v>2005</v>
      </c>
      <c r="EM2909" t="s">
        <v>710</v>
      </c>
      <c r="EN2909" t="s">
        <v>850</v>
      </c>
      <c r="EO2909">
        <v>22.704000000000001</v>
      </c>
    </row>
    <row r="2910" spans="142:145" x14ac:dyDescent="0.25">
      <c r="EL2910">
        <v>2005</v>
      </c>
      <c r="EM2910" t="s">
        <v>711</v>
      </c>
      <c r="EN2910" t="s">
        <v>850</v>
      </c>
      <c r="EO2910">
        <v>21.609000000000002</v>
      </c>
    </row>
    <row r="2911" spans="142:145" x14ac:dyDescent="0.25">
      <c r="EL2911">
        <v>2005</v>
      </c>
      <c r="EM2911" t="s">
        <v>712</v>
      </c>
      <c r="EN2911" t="s">
        <v>850</v>
      </c>
      <c r="EO2911">
        <v>17.856000000000002</v>
      </c>
    </row>
    <row r="2912" spans="142:145" x14ac:dyDescent="0.25">
      <c r="EL2912">
        <v>2006</v>
      </c>
      <c r="EM2912" t="s">
        <v>719</v>
      </c>
      <c r="EN2912" t="s">
        <v>850</v>
      </c>
      <c r="EO2912">
        <v>25.634</v>
      </c>
    </row>
    <row r="2913" spans="142:145" x14ac:dyDescent="0.25">
      <c r="EL2913">
        <v>2006</v>
      </c>
      <c r="EM2913" t="s">
        <v>713</v>
      </c>
      <c r="EN2913" t="s">
        <v>850</v>
      </c>
      <c r="EO2913">
        <v>33.851999999999997</v>
      </c>
    </row>
    <row r="2914" spans="142:145" x14ac:dyDescent="0.25">
      <c r="EL2914">
        <v>2006</v>
      </c>
      <c r="EM2914" t="s">
        <v>714</v>
      </c>
      <c r="EN2914" t="s">
        <v>850</v>
      </c>
      <c r="EO2914">
        <v>37.881999999999998</v>
      </c>
    </row>
    <row r="2915" spans="142:145" x14ac:dyDescent="0.25">
      <c r="EL2915">
        <v>2006</v>
      </c>
      <c r="EM2915" t="s">
        <v>705</v>
      </c>
      <c r="EN2915" t="s">
        <v>850</v>
      </c>
      <c r="EO2915">
        <v>25.856999999999999</v>
      </c>
    </row>
    <row r="2916" spans="142:145" x14ac:dyDescent="0.25">
      <c r="EL2916">
        <v>2006</v>
      </c>
      <c r="EM2916" t="s">
        <v>715</v>
      </c>
      <c r="EN2916" t="s">
        <v>850</v>
      </c>
      <c r="EO2916">
        <v>34.311999999999998</v>
      </c>
    </row>
    <row r="2917" spans="142:145" x14ac:dyDescent="0.25">
      <c r="EL2917">
        <v>2006</v>
      </c>
      <c r="EM2917" t="s">
        <v>718</v>
      </c>
      <c r="EN2917" t="s">
        <v>850</v>
      </c>
      <c r="EO2917">
        <v>48.034999999999997</v>
      </c>
    </row>
    <row r="2918" spans="142:145" x14ac:dyDescent="0.25">
      <c r="EL2918">
        <v>2006</v>
      </c>
      <c r="EM2918" t="s">
        <v>716</v>
      </c>
      <c r="EN2918" t="s">
        <v>850</v>
      </c>
      <c r="EO2918">
        <v>33.149000000000001</v>
      </c>
    </row>
    <row r="2919" spans="142:145" x14ac:dyDescent="0.25">
      <c r="EL2919">
        <v>2006</v>
      </c>
      <c r="EM2919" t="s">
        <v>708</v>
      </c>
      <c r="EN2919" t="s">
        <v>850</v>
      </c>
      <c r="EO2919">
        <v>23.425000000000001</v>
      </c>
    </row>
    <row r="2920" spans="142:145" x14ac:dyDescent="0.25">
      <c r="EL2920">
        <v>2006</v>
      </c>
      <c r="EM2920" t="s">
        <v>709</v>
      </c>
      <c r="EN2920" t="s">
        <v>850</v>
      </c>
      <c r="EO2920">
        <v>39.871000000000002</v>
      </c>
    </row>
    <row r="2921" spans="142:145" x14ac:dyDescent="0.25">
      <c r="EL2921">
        <v>2006</v>
      </c>
      <c r="EM2921" t="s">
        <v>710</v>
      </c>
      <c r="EN2921" t="s">
        <v>850</v>
      </c>
      <c r="EO2921">
        <v>36.518000000000001</v>
      </c>
    </row>
    <row r="2922" spans="142:145" x14ac:dyDescent="0.25">
      <c r="EL2922">
        <v>2006</v>
      </c>
      <c r="EM2922" t="s">
        <v>711</v>
      </c>
      <c r="EN2922" t="s">
        <v>850</v>
      </c>
      <c r="EO2922">
        <v>24.401</v>
      </c>
    </row>
    <row r="2923" spans="142:145" x14ac:dyDescent="0.25">
      <c r="EL2923">
        <v>2006</v>
      </c>
      <c r="EM2923" t="s">
        <v>712</v>
      </c>
      <c r="EN2923" t="s">
        <v>850</v>
      </c>
      <c r="EO2923">
        <v>24.661000000000001</v>
      </c>
    </row>
    <row r="2924" spans="142:145" x14ac:dyDescent="0.25">
      <c r="EL2924">
        <v>2007</v>
      </c>
      <c r="EM2924" t="s">
        <v>719</v>
      </c>
      <c r="EN2924" t="s">
        <v>850</v>
      </c>
      <c r="EO2924">
        <v>17.530999999999999</v>
      </c>
    </row>
    <row r="2925" spans="142:145" x14ac:dyDescent="0.25">
      <c r="EL2925">
        <v>2007</v>
      </c>
      <c r="EM2925" t="s">
        <v>713</v>
      </c>
      <c r="EN2925" t="s">
        <v>850</v>
      </c>
      <c r="EO2925">
        <v>12.782999999999999</v>
      </c>
    </row>
    <row r="2926" spans="142:145" x14ac:dyDescent="0.25">
      <c r="EL2926">
        <v>2007</v>
      </c>
      <c r="EM2926" t="s">
        <v>714</v>
      </c>
      <c r="EN2926" t="s">
        <v>850</v>
      </c>
      <c r="EO2926">
        <v>31.803999999999998</v>
      </c>
    </row>
    <row r="2927" spans="142:145" x14ac:dyDescent="0.25">
      <c r="EL2927">
        <v>2007</v>
      </c>
      <c r="EM2927" t="s">
        <v>705</v>
      </c>
      <c r="EN2927" t="s">
        <v>850</v>
      </c>
      <c r="EO2927">
        <v>13.847</v>
      </c>
    </row>
    <row r="2928" spans="142:145" x14ac:dyDescent="0.25">
      <c r="EL2928">
        <v>2007</v>
      </c>
      <c r="EM2928" t="s">
        <v>715</v>
      </c>
      <c r="EN2928" t="s">
        <v>850</v>
      </c>
      <c r="EO2928">
        <v>13.012</v>
      </c>
    </row>
    <row r="2929" spans="142:145" x14ac:dyDescent="0.25">
      <c r="EL2929">
        <v>2007</v>
      </c>
      <c r="EM2929" t="s">
        <v>718</v>
      </c>
      <c r="EN2929" t="s">
        <v>850</v>
      </c>
      <c r="EO2929">
        <v>26.606000000000002</v>
      </c>
    </row>
    <row r="2930" spans="142:145" x14ac:dyDescent="0.25">
      <c r="EL2930">
        <v>2007</v>
      </c>
      <c r="EM2930" t="s">
        <v>716</v>
      </c>
      <c r="EN2930" t="s">
        <v>850</v>
      </c>
      <c r="EO2930">
        <v>23.003</v>
      </c>
    </row>
    <row r="2931" spans="142:145" x14ac:dyDescent="0.25">
      <c r="EL2931">
        <v>2007</v>
      </c>
      <c r="EM2931" t="s">
        <v>708</v>
      </c>
      <c r="EN2931" t="s">
        <v>850</v>
      </c>
      <c r="EO2931">
        <v>26.594999999999999</v>
      </c>
    </row>
    <row r="2932" spans="142:145" x14ac:dyDescent="0.25">
      <c r="EL2932">
        <v>2007</v>
      </c>
      <c r="EM2932" t="s">
        <v>709</v>
      </c>
      <c r="EN2932" t="s">
        <v>850</v>
      </c>
      <c r="EO2932">
        <v>20.003</v>
      </c>
    </row>
    <row r="2933" spans="142:145" x14ac:dyDescent="0.25">
      <c r="EL2933">
        <v>2007</v>
      </c>
      <c r="EM2933" t="s">
        <v>710</v>
      </c>
      <c r="EN2933" t="s">
        <v>850</v>
      </c>
      <c r="EO2933">
        <v>23.324999999999999</v>
      </c>
    </row>
    <row r="2934" spans="142:145" x14ac:dyDescent="0.25">
      <c r="EL2934">
        <v>2007</v>
      </c>
      <c r="EM2934" t="s">
        <v>711</v>
      </c>
      <c r="EN2934" t="s">
        <v>850</v>
      </c>
      <c r="EO2934">
        <v>23.745999999999999</v>
      </c>
    </row>
    <row r="2935" spans="142:145" x14ac:dyDescent="0.25">
      <c r="EL2935">
        <v>2007</v>
      </c>
      <c r="EM2935" t="s">
        <v>712</v>
      </c>
      <c r="EN2935" t="s">
        <v>850</v>
      </c>
      <c r="EO2935">
        <v>25.119</v>
      </c>
    </row>
    <row r="2936" spans="142:145" x14ac:dyDescent="0.25">
      <c r="EL2936">
        <v>2008</v>
      </c>
      <c r="EM2936" t="s">
        <v>719</v>
      </c>
      <c r="EN2936" t="s">
        <v>850</v>
      </c>
      <c r="EO2936">
        <v>24.366</v>
      </c>
    </row>
    <row r="2937" spans="142:145" x14ac:dyDescent="0.25">
      <c r="EL2937">
        <v>2008</v>
      </c>
      <c r="EM2937" t="s">
        <v>713</v>
      </c>
      <c r="EN2937" t="s">
        <v>850</v>
      </c>
      <c r="EO2937">
        <v>23.786000000000001</v>
      </c>
    </row>
    <row r="2938" spans="142:145" x14ac:dyDescent="0.25">
      <c r="EL2938">
        <v>2008</v>
      </c>
      <c r="EM2938" t="s">
        <v>714</v>
      </c>
      <c r="EN2938" t="s">
        <v>850</v>
      </c>
      <c r="EO2938">
        <v>25.198</v>
      </c>
    </row>
    <row r="2939" spans="142:145" x14ac:dyDescent="0.25">
      <c r="EL2939">
        <v>2008</v>
      </c>
      <c r="EM2939" t="s">
        <v>705</v>
      </c>
      <c r="EN2939" t="s">
        <v>850</v>
      </c>
      <c r="EO2939">
        <v>26.274999999999999</v>
      </c>
    </row>
    <row r="2940" spans="142:145" x14ac:dyDescent="0.25">
      <c r="EL2940">
        <v>2008</v>
      </c>
      <c r="EM2940" t="s">
        <v>715</v>
      </c>
      <c r="EN2940" t="s">
        <v>850</v>
      </c>
      <c r="EO2940">
        <v>31.030999999999999</v>
      </c>
    </row>
    <row r="2941" spans="142:145" x14ac:dyDescent="0.25">
      <c r="EL2941">
        <v>2008</v>
      </c>
      <c r="EM2941" t="s">
        <v>718</v>
      </c>
      <c r="EN2941" t="s">
        <v>850</v>
      </c>
      <c r="EO2941">
        <v>23.949000000000002</v>
      </c>
    </row>
    <row r="2942" spans="142:145" x14ac:dyDescent="0.25">
      <c r="EL2942">
        <v>2008</v>
      </c>
      <c r="EM2942" t="s">
        <v>716</v>
      </c>
      <c r="EN2942" t="s">
        <v>850</v>
      </c>
      <c r="EO2942">
        <v>28.216000000000001</v>
      </c>
    </row>
    <row r="2943" spans="142:145" x14ac:dyDescent="0.25">
      <c r="EL2943">
        <v>2008</v>
      </c>
      <c r="EM2943" t="s">
        <v>708</v>
      </c>
      <c r="EN2943" t="s">
        <v>850</v>
      </c>
      <c r="EO2943">
        <v>19.242000000000001</v>
      </c>
    </row>
    <row r="2944" spans="142:145" x14ac:dyDescent="0.25">
      <c r="EL2944">
        <v>2008</v>
      </c>
      <c r="EM2944" t="s">
        <v>709</v>
      </c>
      <c r="EN2944" t="s">
        <v>850</v>
      </c>
      <c r="EO2944">
        <v>23.042000000000002</v>
      </c>
    </row>
    <row r="2945" spans="142:145" x14ac:dyDescent="0.25">
      <c r="EL2945">
        <v>2008</v>
      </c>
      <c r="EM2945" t="s">
        <v>710</v>
      </c>
      <c r="EN2945" t="s">
        <v>850</v>
      </c>
      <c r="EO2945">
        <v>24.314</v>
      </c>
    </row>
    <row r="2946" spans="142:145" x14ac:dyDescent="0.25">
      <c r="EL2946">
        <v>2008</v>
      </c>
      <c r="EM2946" t="s">
        <v>711</v>
      </c>
      <c r="EN2946" t="s">
        <v>850</v>
      </c>
      <c r="EO2946">
        <v>21.03</v>
      </c>
    </row>
    <row r="2947" spans="142:145" x14ac:dyDescent="0.25">
      <c r="EL2947">
        <v>2008</v>
      </c>
      <c r="EM2947" t="s">
        <v>712</v>
      </c>
      <c r="EN2947" t="s">
        <v>850</v>
      </c>
      <c r="EO2947">
        <v>25.372</v>
      </c>
    </row>
    <row r="2948" spans="142:145" x14ac:dyDescent="0.25">
      <c r="EL2948">
        <v>2009</v>
      </c>
      <c r="EM2948" t="s">
        <v>719</v>
      </c>
      <c r="EN2948" t="s">
        <v>850</v>
      </c>
      <c r="EO2948">
        <v>25.823</v>
      </c>
    </row>
    <row r="2949" spans="142:145" x14ac:dyDescent="0.25">
      <c r="EL2949">
        <v>2009</v>
      </c>
      <c r="EM2949" t="s">
        <v>713</v>
      </c>
      <c r="EN2949" t="s">
        <v>850</v>
      </c>
      <c r="EO2949">
        <v>21.562999999999999</v>
      </c>
    </row>
    <row r="2950" spans="142:145" x14ac:dyDescent="0.25">
      <c r="EL2950">
        <v>2009</v>
      </c>
      <c r="EM2950" t="s">
        <v>714</v>
      </c>
      <c r="EN2950" t="s">
        <v>850</v>
      </c>
      <c r="EO2950">
        <v>25.428000000000001</v>
      </c>
    </row>
    <row r="2951" spans="142:145" x14ac:dyDescent="0.25">
      <c r="EL2951">
        <v>2009</v>
      </c>
      <c r="EM2951" t="s">
        <v>705</v>
      </c>
      <c r="EN2951" t="s">
        <v>850</v>
      </c>
      <c r="EO2951">
        <v>24.645</v>
      </c>
    </row>
    <row r="2952" spans="142:145" x14ac:dyDescent="0.25">
      <c r="EL2952">
        <v>2009</v>
      </c>
      <c r="EM2952" t="s">
        <v>715</v>
      </c>
      <c r="EN2952" t="s">
        <v>850</v>
      </c>
      <c r="EO2952">
        <v>28.684999999999999</v>
      </c>
    </row>
    <row r="2953" spans="142:145" x14ac:dyDescent="0.25">
      <c r="EL2953">
        <v>2009</v>
      </c>
      <c r="EM2953" t="s">
        <v>718</v>
      </c>
      <c r="EN2953" t="s">
        <v>850</v>
      </c>
      <c r="EO2953">
        <v>27.161999999999999</v>
      </c>
    </row>
    <row r="2954" spans="142:145" x14ac:dyDescent="0.25">
      <c r="EL2954">
        <v>2009</v>
      </c>
      <c r="EM2954" t="s">
        <v>716</v>
      </c>
      <c r="EN2954" t="s">
        <v>850</v>
      </c>
      <c r="EO2954">
        <v>24.216000000000001</v>
      </c>
    </row>
    <row r="2955" spans="142:145" x14ac:dyDescent="0.25">
      <c r="EL2955">
        <v>2009</v>
      </c>
      <c r="EM2955" t="s">
        <v>708</v>
      </c>
      <c r="EN2955" t="s">
        <v>850</v>
      </c>
      <c r="EO2955">
        <v>22.844999999999999</v>
      </c>
    </row>
    <row r="2956" spans="142:145" x14ac:dyDescent="0.25">
      <c r="EL2956">
        <v>2009</v>
      </c>
      <c r="EM2956" t="s">
        <v>709</v>
      </c>
      <c r="EN2956" t="s">
        <v>850</v>
      </c>
      <c r="EO2956">
        <v>23.824000000000002</v>
      </c>
    </row>
    <row r="2957" spans="142:145" x14ac:dyDescent="0.25">
      <c r="EL2957">
        <v>2009</v>
      </c>
      <c r="EM2957" t="s">
        <v>710</v>
      </c>
      <c r="EN2957" t="s">
        <v>850</v>
      </c>
      <c r="EO2957">
        <v>28.152000000000001</v>
      </c>
    </row>
    <row r="2958" spans="142:145" x14ac:dyDescent="0.25">
      <c r="EL2958">
        <v>2009</v>
      </c>
      <c r="EM2958" t="s">
        <v>711</v>
      </c>
      <c r="EN2958" t="s">
        <v>850</v>
      </c>
      <c r="EO2958">
        <v>29.425999999999998</v>
      </c>
    </row>
    <row r="2959" spans="142:145" x14ac:dyDescent="0.25">
      <c r="EL2959">
        <v>2009</v>
      </c>
      <c r="EM2959" t="s">
        <v>712</v>
      </c>
      <c r="EN2959" t="s">
        <v>850</v>
      </c>
      <c r="EO2959">
        <v>33.445999999999998</v>
      </c>
    </row>
    <row r="2960" spans="142:145" x14ac:dyDescent="0.25">
      <c r="EL2960">
        <v>2010</v>
      </c>
      <c r="EM2960" t="s">
        <v>719</v>
      </c>
      <c r="EN2960" t="s">
        <v>850</v>
      </c>
      <c r="EO2960">
        <v>26.82</v>
      </c>
    </row>
    <row r="2961" spans="142:145" x14ac:dyDescent="0.25">
      <c r="EL2961">
        <v>2010</v>
      </c>
      <c r="EM2961" t="s">
        <v>713</v>
      </c>
      <c r="EN2961" t="s">
        <v>850</v>
      </c>
      <c r="EO2961">
        <v>27.922999999999998</v>
      </c>
    </row>
    <row r="2962" spans="142:145" x14ac:dyDescent="0.25">
      <c r="EL2962">
        <v>2010</v>
      </c>
      <c r="EM2962" t="s">
        <v>714</v>
      </c>
      <c r="EN2962" t="s">
        <v>850</v>
      </c>
      <c r="EO2962">
        <v>28.922999999999998</v>
      </c>
    </row>
    <row r="2963" spans="142:145" x14ac:dyDescent="0.25">
      <c r="EL2963">
        <v>2010</v>
      </c>
      <c r="EM2963" t="s">
        <v>705</v>
      </c>
      <c r="EN2963" t="s">
        <v>850</v>
      </c>
      <c r="EO2963">
        <v>24.603000000000002</v>
      </c>
    </row>
    <row r="2964" spans="142:145" x14ac:dyDescent="0.25">
      <c r="EL2964">
        <v>2010</v>
      </c>
      <c r="EM2964" t="s">
        <v>715</v>
      </c>
      <c r="EN2964" t="s">
        <v>850</v>
      </c>
      <c r="EO2964">
        <v>24.234999999999999</v>
      </c>
    </row>
    <row r="2965" spans="142:145" x14ac:dyDescent="0.25">
      <c r="EL2965">
        <v>2010</v>
      </c>
      <c r="EM2965" t="s">
        <v>718</v>
      </c>
      <c r="EN2965" t="s">
        <v>850</v>
      </c>
      <c r="EO2965">
        <v>22.523</v>
      </c>
    </row>
    <row r="2966" spans="142:145" x14ac:dyDescent="0.25">
      <c r="EL2966">
        <v>2010</v>
      </c>
      <c r="EM2966" t="s">
        <v>716</v>
      </c>
      <c r="EN2966" t="s">
        <v>850</v>
      </c>
      <c r="EO2966">
        <v>23.286999999999999</v>
      </c>
    </row>
    <row r="2967" spans="142:145" x14ac:dyDescent="0.25">
      <c r="EL2967">
        <v>2010</v>
      </c>
      <c r="EM2967" t="s">
        <v>708</v>
      </c>
      <c r="EN2967" t="s">
        <v>850</v>
      </c>
      <c r="EO2967">
        <v>22.375</v>
      </c>
    </row>
    <row r="2968" spans="142:145" x14ac:dyDescent="0.25">
      <c r="EL2968">
        <v>2010</v>
      </c>
      <c r="EM2968" t="s">
        <v>709</v>
      </c>
      <c r="EN2968" t="s">
        <v>850</v>
      </c>
      <c r="EO2968">
        <v>27.513000000000002</v>
      </c>
    </row>
    <row r="2969" spans="142:145" x14ac:dyDescent="0.25">
      <c r="EL2969">
        <v>2010</v>
      </c>
      <c r="EM2969" t="s">
        <v>710</v>
      </c>
      <c r="EN2969" t="s">
        <v>850</v>
      </c>
      <c r="EO2969">
        <v>19.797000000000001</v>
      </c>
    </row>
    <row r="2970" spans="142:145" x14ac:dyDescent="0.25">
      <c r="EL2970">
        <v>2010</v>
      </c>
      <c r="EM2970" t="s">
        <v>711</v>
      </c>
      <c r="EN2970" t="s">
        <v>850</v>
      </c>
      <c r="EO2970">
        <v>20.224</v>
      </c>
    </row>
    <row r="2971" spans="142:145" x14ac:dyDescent="0.25">
      <c r="EL2971">
        <v>2010</v>
      </c>
      <c r="EM2971" t="s">
        <v>712</v>
      </c>
      <c r="EN2971" t="s">
        <v>850</v>
      </c>
      <c r="EO2971">
        <v>29.917999999999999</v>
      </c>
    </row>
    <row r="2972" spans="142:145" x14ac:dyDescent="0.25">
      <c r="EL2972">
        <v>2011</v>
      </c>
      <c r="EM2972" t="s">
        <v>719</v>
      </c>
      <c r="EN2972" t="s">
        <v>850</v>
      </c>
      <c r="EO2972">
        <v>23.326000000000001</v>
      </c>
    </row>
    <row r="2973" spans="142:145" x14ac:dyDescent="0.25">
      <c r="EL2973">
        <v>2011</v>
      </c>
      <c r="EM2973" t="s">
        <v>713</v>
      </c>
      <c r="EN2973" t="s">
        <v>850</v>
      </c>
      <c r="EO2973">
        <v>22.003</v>
      </c>
    </row>
    <row r="2974" spans="142:145" x14ac:dyDescent="0.25">
      <c r="EL2974">
        <v>2011</v>
      </c>
      <c r="EM2974" t="s">
        <v>714</v>
      </c>
      <c r="EN2974" t="s">
        <v>850</v>
      </c>
      <c r="EO2974">
        <v>29.041</v>
      </c>
    </row>
    <row r="2975" spans="142:145" x14ac:dyDescent="0.25">
      <c r="EL2975">
        <v>2011</v>
      </c>
      <c r="EM2975" t="s">
        <v>705</v>
      </c>
      <c r="EN2975" t="s">
        <v>850</v>
      </c>
      <c r="EO2975">
        <v>26.645</v>
      </c>
    </row>
    <row r="2976" spans="142:145" x14ac:dyDescent="0.25">
      <c r="EL2976">
        <v>2011</v>
      </c>
      <c r="EM2976" t="s">
        <v>715</v>
      </c>
      <c r="EN2976" t="s">
        <v>850</v>
      </c>
      <c r="EO2976">
        <v>24.664000000000001</v>
      </c>
    </row>
    <row r="2977" spans="142:145" x14ac:dyDescent="0.25">
      <c r="EL2977">
        <v>2011</v>
      </c>
      <c r="EM2977" t="s">
        <v>718</v>
      </c>
      <c r="EN2977" t="s">
        <v>850</v>
      </c>
      <c r="EO2977">
        <v>23.167999999999999</v>
      </c>
    </row>
    <row r="2978" spans="142:145" x14ac:dyDescent="0.25">
      <c r="EL2978">
        <v>2011</v>
      </c>
      <c r="EM2978" t="s">
        <v>716</v>
      </c>
      <c r="EN2978" t="s">
        <v>850</v>
      </c>
      <c r="EO2978">
        <v>24.265999999999998</v>
      </c>
    </row>
    <row r="2979" spans="142:145" x14ac:dyDescent="0.25">
      <c r="EL2979">
        <v>2011</v>
      </c>
      <c r="EM2979" t="s">
        <v>708</v>
      </c>
      <c r="EN2979" t="s">
        <v>850</v>
      </c>
      <c r="EO2979">
        <v>26.887</v>
      </c>
    </row>
    <row r="2980" spans="142:145" x14ac:dyDescent="0.25">
      <c r="EL2980">
        <v>2011</v>
      </c>
      <c r="EM2980" t="s">
        <v>709</v>
      </c>
      <c r="EN2980" t="s">
        <v>850</v>
      </c>
      <c r="EO2980">
        <v>29.308</v>
      </c>
    </row>
    <row r="2981" spans="142:145" x14ac:dyDescent="0.25">
      <c r="EL2981">
        <v>2011</v>
      </c>
      <c r="EM2981" t="s">
        <v>710</v>
      </c>
      <c r="EN2981" t="s">
        <v>850</v>
      </c>
      <c r="EO2981">
        <v>22.221</v>
      </c>
    </row>
    <row r="2982" spans="142:145" x14ac:dyDescent="0.25">
      <c r="EL2982">
        <v>2011</v>
      </c>
      <c r="EM2982" t="s">
        <v>711</v>
      </c>
      <c r="EN2982" t="s">
        <v>850</v>
      </c>
      <c r="EO2982">
        <v>22.994</v>
      </c>
    </row>
    <row r="2983" spans="142:145" x14ac:dyDescent="0.25">
      <c r="EL2983">
        <v>2011</v>
      </c>
      <c r="EM2983" t="s">
        <v>712</v>
      </c>
      <c r="EN2983" t="s">
        <v>850</v>
      </c>
      <c r="EO2983">
        <v>27.675000000000001</v>
      </c>
    </row>
    <row r="2984" spans="142:145" x14ac:dyDescent="0.25">
      <c r="EL2984">
        <v>2012</v>
      </c>
      <c r="EM2984" t="s">
        <v>719</v>
      </c>
      <c r="EN2984" t="s">
        <v>850</v>
      </c>
      <c r="EO2984">
        <v>23.064</v>
      </c>
    </row>
    <row r="2985" spans="142:145" x14ac:dyDescent="0.25">
      <c r="EL2985">
        <v>2012</v>
      </c>
      <c r="EM2985" t="s">
        <v>713</v>
      </c>
      <c r="EN2985" t="s">
        <v>850</v>
      </c>
      <c r="EO2985">
        <v>23.164999999999999</v>
      </c>
    </row>
    <row r="2986" spans="142:145" x14ac:dyDescent="0.25">
      <c r="EL2986">
        <v>2012</v>
      </c>
      <c r="EM2986" t="s">
        <v>714</v>
      </c>
      <c r="EN2986" t="s">
        <v>850</v>
      </c>
      <c r="EO2986">
        <v>24.3</v>
      </c>
    </row>
    <row r="2987" spans="142:145" x14ac:dyDescent="0.25">
      <c r="EL2987">
        <v>2012</v>
      </c>
      <c r="EM2987" t="s">
        <v>705</v>
      </c>
      <c r="EN2987" t="s">
        <v>850</v>
      </c>
      <c r="EO2987">
        <v>21.382999999999999</v>
      </c>
    </row>
    <row r="2988" spans="142:145" x14ac:dyDescent="0.25">
      <c r="EL2988">
        <v>2012</v>
      </c>
      <c r="EM2988" t="s">
        <v>715</v>
      </c>
      <c r="EN2988" t="s">
        <v>850</v>
      </c>
      <c r="EO2988">
        <v>21.634</v>
      </c>
    </row>
    <row r="2989" spans="142:145" x14ac:dyDescent="0.25">
      <c r="EL2989">
        <v>2012</v>
      </c>
      <c r="EM2989" t="s">
        <v>718</v>
      </c>
      <c r="EN2989" t="s">
        <v>850</v>
      </c>
      <c r="EO2989">
        <v>19.02</v>
      </c>
    </row>
    <row r="2990" spans="142:145" x14ac:dyDescent="0.25">
      <c r="EL2990">
        <v>2012</v>
      </c>
      <c r="EM2990" t="s">
        <v>716</v>
      </c>
      <c r="EN2990" t="s">
        <v>850</v>
      </c>
      <c r="EO2990">
        <v>21.03</v>
      </c>
    </row>
    <row r="2991" spans="142:145" x14ac:dyDescent="0.25">
      <c r="EL2991">
        <v>2012</v>
      </c>
      <c r="EM2991" t="s">
        <v>708</v>
      </c>
      <c r="EN2991" t="s">
        <v>850</v>
      </c>
      <c r="EO2991">
        <v>22.321000000000002</v>
      </c>
    </row>
    <row r="2992" spans="142:145" x14ac:dyDescent="0.25">
      <c r="EL2992">
        <v>2012</v>
      </c>
      <c r="EM2992" t="s">
        <v>709</v>
      </c>
      <c r="EN2992" t="s">
        <v>850</v>
      </c>
      <c r="EO2992">
        <v>12.9</v>
      </c>
    </row>
    <row r="2993" spans="142:145" x14ac:dyDescent="0.25">
      <c r="EL2993">
        <v>2012</v>
      </c>
      <c r="EM2993" t="s">
        <v>710</v>
      </c>
      <c r="EN2993" t="s">
        <v>850</v>
      </c>
      <c r="EO2993">
        <v>20.305</v>
      </c>
    </row>
    <row r="2994" spans="142:145" x14ac:dyDescent="0.25">
      <c r="EL2994">
        <v>2012</v>
      </c>
      <c r="EM2994" t="s">
        <v>711</v>
      </c>
      <c r="EN2994" t="s">
        <v>850</v>
      </c>
      <c r="EO2994">
        <v>19.73</v>
      </c>
    </row>
    <row r="2995" spans="142:145" x14ac:dyDescent="0.25">
      <c r="EL2995">
        <v>2012</v>
      </c>
      <c r="EM2995" t="s">
        <v>712</v>
      </c>
      <c r="EN2995" t="s">
        <v>850</v>
      </c>
      <c r="EO2995">
        <v>20.968</v>
      </c>
    </row>
    <row r="2996" spans="142:145" x14ac:dyDescent="0.25">
      <c r="EL2996">
        <v>2013</v>
      </c>
      <c r="EM2996" t="s">
        <v>719</v>
      </c>
      <c r="EN2996" t="s">
        <v>850</v>
      </c>
      <c r="EO2996">
        <v>21.245999999999999</v>
      </c>
    </row>
    <row r="2997" spans="142:145" x14ac:dyDescent="0.25">
      <c r="EL2997">
        <v>2013</v>
      </c>
      <c r="EM2997" t="s">
        <v>713</v>
      </c>
      <c r="EN2997" t="s">
        <v>850</v>
      </c>
      <c r="EO2997">
        <v>18.661000000000001</v>
      </c>
    </row>
    <row r="2998" spans="142:145" x14ac:dyDescent="0.25">
      <c r="EL2998">
        <v>2013</v>
      </c>
      <c r="EM2998" t="s">
        <v>714</v>
      </c>
      <c r="EN2998" t="s">
        <v>850</v>
      </c>
      <c r="EO2998">
        <v>21.855</v>
      </c>
    </row>
    <row r="2999" spans="142:145" x14ac:dyDescent="0.25">
      <c r="EL2999">
        <v>2013</v>
      </c>
      <c r="EM2999" t="s">
        <v>705</v>
      </c>
      <c r="EN2999" t="s">
        <v>850</v>
      </c>
      <c r="EO2999">
        <v>20.832000000000001</v>
      </c>
    </row>
    <row r="3000" spans="142:145" x14ac:dyDescent="0.25">
      <c r="EL3000">
        <v>2013</v>
      </c>
      <c r="EM3000" t="s">
        <v>715</v>
      </c>
      <c r="EN3000" t="s">
        <v>850</v>
      </c>
      <c r="EO3000">
        <v>21.146999999999998</v>
      </c>
    </row>
    <row r="3001" spans="142:145" x14ac:dyDescent="0.25">
      <c r="EL3001">
        <v>2013</v>
      </c>
      <c r="EM3001" t="s">
        <v>718</v>
      </c>
      <c r="EN3001" t="s">
        <v>850</v>
      </c>
      <c r="EO3001">
        <v>23.547000000000001</v>
      </c>
    </row>
    <row r="3002" spans="142:145" x14ac:dyDescent="0.25">
      <c r="EL3002">
        <v>2013</v>
      </c>
      <c r="EM3002" t="s">
        <v>716</v>
      </c>
      <c r="EN3002" t="s">
        <v>850</v>
      </c>
      <c r="EO3002">
        <v>22.382000000000001</v>
      </c>
    </row>
    <row r="3003" spans="142:145" x14ac:dyDescent="0.25">
      <c r="EL3003">
        <v>2013</v>
      </c>
      <c r="EM3003" t="s">
        <v>708</v>
      </c>
      <c r="EN3003" t="s">
        <v>850</v>
      </c>
      <c r="EO3003">
        <v>20.175000000000001</v>
      </c>
    </row>
    <row r="3004" spans="142:145" x14ac:dyDescent="0.25">
      <c r="EL3004">
        <v>2013</v>
      </c>
      <c r="EM3004" t="s">
        <v>709</v>
      </c>
      <c r="EN3004" t="s">
        <v>850</v>
      </c>
      <c r="EO3004">
        <v>18.690000000000001</v>
      </c>
    </row>
    <row r="3005" spans="142:145" x14ac:dyDescent="0.25">
      <c r="EL3005">
        <v>2013</v>
      </c>
      <c r="EM3005" t="s">
        <v>710</v>
      </c>
      <c r="EN3005" t="s">
        <v>850</v>
      </c>
      <c r="EO3005">
        <v>20.986999999999998</v>
      </c>
    </row>
    <row r="3006" spans="142:145" x14ac:dyDescent="0.25">
      <c r="EL3006">
        <v>2013</v>
      </c>
      <c r="EM3006" t="s">
        <v>711</v>
      </c>
      <c r="EN3006" t="s">
        <v>850</v>
      </c>
      <c r="EO3006">
        <v>20.07</v>
      </c>
    </row>
    <row r="3007" spans="142:145" x14ac:dyDescent="0.25">
      <c r="EL3007">
        <v>2013</v>
      </c>
      <c r="EM3007" t="s">
        <v>712</v>
      </c>
      <c r="EN3007" t="s">
        <v>850</v>
      </c>
      <c r="EO3007">
        <v>23.838999999999999</v>
      </c>
    </row>
    <row r="3008" spans="142:145" x14ac:dyDescent="0.25">
      <c r="EL3008">
        <v>2014</v>
      </c>
      <c r="EM3008" t="s">
        <v>719</v>
      </c>
      <c r="EN3008" t="s">
        <v>850</v>
      </c>
      <c r="EO3008">
        <v>22.568000000000001</v>
      </c>
    </row>
    <row r="3009" spans="142:145" x14ac:dyDescent="0.25">
      <c r="EL3009">
        <v>2014</v>
      </c>
      <c r="EM3009" t="s">
        <v>713</v>
      </c>
      <c r="EN3009" t="s">
        <v>850</v>
      </c>
      <c r="EO3009">
        <v>22.4</v>
      </c>
    </row>
    <row r="3010" spans="142:145" x14ac:dyDescent="0.25">
      <c r="EL3010">
        <v>2014</v>
      </c>
      <c r="EM3010" t="s">
        <v>714</v>
      </c>
      <c r="EN3010" t="s">
        <v>850</v>
      </c>
      <c r="EO3010">
        <v>23.838999999999999</v>
      </c>
    </row>
    <row r="3011" spans="142:145" x14ac:dyDescent="0.25">
      <c r="EL3011">
        <v>2014</v>
      </c>
      <c r="EM3011" t="s">
        <v>705</v>
      </c>
      <c r="EN3011" t="s">
        <v>850</v>
      </c>
      <c r="EO3011">
        <v>23.22</v>
      </c>
    </row>
    <row r="3012" spans="142:145" x14ac:dyDescent="0.25">
      <c r="EL3012">
        <v>2014</v>
      </c>
      <c r="EM3012" t="s">
        <v>715</v>
      </c>
      <c r="EN3012" t="s">
        <v>850</v>
      </c>
      <c r="EO3012">
        <v>22.227</v>
      </c>
    </row>
    <row r="3013" spans="142:145" x14ac:dyDescent="0.25">
      <c r="EL3013">
        <v>2014</v>
      </c>
      <c r="EM3013" t="s">
        <v>718</v>
      </c>
      <c r="EN3013" t="s">
        <v>850</v>
      </c>
      <c r="EO3013">
        <v>18.420000000000002</v>
      </c>
    </row>
    <row r="3014" spans="142:145" x14ac:dyDescent="0.25">
      <c r="EL3014">
        <v>2014</v>
      </c>
      <c r="EM3014" t="s">
        <v>716</v>
      </c>
      <c r="EN3014" t="s">
        <v>850</v>
      </c>
      <c r="EO3014">
        <v>18.321000000000002</v>
      </c>
    </row>
    <row r="3015" spans="142:145" x14ac:dyDescent="0.25">
      <c r="EL3015">
        <v>2014</v>
      </c>
      <c r="EM3015" t="s">
        <v>708</v>
      </c>
      <c r="EN3015" t="s">
        <v>850</v>
      </c>
      <c r="EO3015">
        <v>19.033999999999999</v>
      </c>
    </row>
    <row r="3016" spans="142:145" x14ac:dyDescent="0.25">
      <c r="EL3016">
        <v>2014</v>
      </c>
      <c r="EM3016" t="s">
        <v>709</v>
      </c>
      <c r="EN3016" t="s">
        <v>850</v>
      </c>
      <c r="EO3016">
        <v>17.82</v>
      </c>
    </row>
    <row r="3017" spans="142:145" x14ac:dyDescent="0.25">
      <c r="EL3017">
        <v>2014</v>
      </c>
      <c r="EM3017" t="s">
        <v>710</v>
      </c>
      <c r="EN3017" t="s">
        <v>850</v>
      </c>
      <c r="EO3017">
        <v>19.22</v>
      </c>
    </row>
    <row r="3018" spans="142:145" x14ac:dyDescent="0.25">
      <c r="EL3018">
        <v>2014</v>
      </c>
      <c r="EM3018" t="s">
        <v>711</v>
      </c>
      <c r="EN3018" t="s">
        <v>850</v>
      </c>
      <c r="EO3018">
        <v>18.899999999999999</v>
      </c>
    </row>
    <row r="3019" spans="142:145" x14ac:dyDescent="0.25">
      <c r="EL3019">
        <v>2014</v>
      </c>
      <c r="EM3019" t="s">
        <v>712</v>
      </c>
      <c r="EN3019" t="s">
        <v>850</v>
      </c>
      <c r="EO3019">
        <v>21.7</v>
      </c>
    </row>
    <row r="3020" spans="142:145" x14ac:dyDescent="0.25">
      <c r="EL3020">
        <v>2015</v>
      </c>
      <c r="EM3020" t="s">
        <v>719</v>
      </c>
      <c r="EN3020" t="s">
        <v>850</v>
      </c>
      <c r="EO3020">
        <v>22.01</v>
      </c>
    </row>
    <row r="3021" spans="142:145" x14ac:dyDescent="0.25">
      <c r="EL3021">
        <v>2015</v>
      </c>
      <c r="EM3021" t="s">
        <v>713</v>
      </c>
      <c r="EN3021" t="s">
        <v>850</v>
      </c>
      <c r="EO3021">
        <v>18.48</v>
      </c>
    </row>
    <row r="3022" spans="142:145" x14ac:dyDescent="0.25">
      <c r="EL3022">
        <v>2015</v>
      </c>
      <c r="EM3022" t="s">
        <v>714</v>
      </c>
      <c r="EN3022" t="s">
        <v>850</v>
      </c>
      <c r="EO3022">
        <v>23.25</v>
      </c>
    </row>
    <row r="3023" spans="142:145" x14ac:dyDescent="0.25">
      <c r="EL3023">
        <v>2015</v>
      </c>
      <c r="EM3023" t="s">
        <v>705</v>
      </c>
      <c r="EN3023" t="s">
        <v>850</v>
      </c>
      <c r="EO3023">
        <v>20.399999999999999</v>
      </c>
    </row>
    <row r="3024" spans="142:145" x14ac:dyDescent="0.25">
      <c r="EL3024">
        <v>2015</v>
      </c>
      <c r="EM3024" t="s">
        <v>715</v>
      </c>
      <c r="EN3024" t="s">
        <v>850</v>
      </c>
      <c r="EO3024">
        <v>19.53</v>
      </c>
    </row>
    <row r="3025" spans="142:145" x14ac:dyDescent="0.25">
      <c r="EL3025">
        <v>2015</v>
      </c>
      <c r="EM3025" t="s">
        <v>718</v>
      </c>
      <c r="EN3025" t="s">
        <v>850</v>
      </c>
      <c r="EO3025">
        <v>21.6</v>
      </c>
    </row>
    <row r="3026" spans="142:145" x14ac:dyDescent="0.25">
      <c r="EL3026">
        <v>2015</v>
      </c>
      <c r="EM3026" t="s">
        <v>716</v>
      </c>
      <c r="EN3026" t="s">
        <v>850</v>
      </c>
      <c r="EO3026">
        <v>21.7</v>
      </c>
    </row>
    <row r="3027" spans="142:145" x14ac:dyDescent="0.25">
      <c r="EL3027">
        <v>2015</v>
      </c>
      <c r="EM3027" t="s">
        <v>708</v>
      </c>
      <c r="EN3027" t="s">
        <v>850</v>
      </c>
      <c r="EO3027">
        <v>9.3000000000000007</v>
      </c>
    </row>
    <row r="3028" spans="142:145" x14ac:dyDescent="0.25">
      <c r="EL3028">
        <v>2015</v>
      </c>
      <c r="EM3028" t="s">
        <v>709</v>
      </c>
      <c r="EN3028" t="s">
        <v>850</v>
      </c>
      <c r="EO3028">
        <v>17.399999999999999</v>
      </c>
    </row>
    <row r="3029" spans="142:145" x14ac:dyDescent="0.25">
      <c r="EL3029">
        <v>2015</v>
      </c>
      <c r="EM3029" t="s">
        <v>710</v>
      </c>
      <c r="EN3029" t="s">
        <v>850</v>
      </c>
      <c r="EO3029">
        <v>19.84</v>
      </c>
    </row>
    <row r="3030" spans="142:145" x14ac:dyDescent="0.25">
      <c r="EL3030">
        <v>2015</v>
      </c>
      <c r="EM3030" t="s">
        <v>711</v>
      </c>
      <c r="EN3030" t="s">
        <v>850</v>
      </c>
      <c r="EO3030">
        <v>18</v>
      </c>
    </row>
    <row r="3031" spans="142:145" x14ac:dyDescent="0.25">
      <c r="EL3031">
        <v>2015</v>
      </c>
      <c r="EM3031" t="s">
        <v>712</v>
      </c>
      <c r="EN3031" t="s">
        <v>850</v>
      </c>
      <c r="EO3031">
        <v>21.08</v>
      </c>
    </row>
    <row r="3032" spans="142:145" x14ac:dyDescent="0.25">
      <c r="EL3032">
        <v>2016</v>
      </c>
      <c r="EM3032" t="s">
        <v>719</v>
      </c>
      <c r="EN3032" t="s">
        <v>850</v>
      </c>
      <c r="EO3032">
        <v>22.32</v>
      </c>
    </row>
    <row r="3033" spans="142:145" x14ac:dyDescent="0.25">
      <c r="EL3033">
        <v>2016</v>
      </c>
      <c r="EM3033" t="s">
        <v>713</v>
      </c>
      <c r="EN3033" t="s">
        <v>850</v>
      </c>
      <c r="EO3033">
        <v>24.07</v>
      </c>
    </row>
    <row r="3034" spans="142:145" x14ac:dyDescent="0.25">
      <c r="EL3034">
        <v>2016</v>
      </c>
      <c r="EM3034" t="s">
        <v>714</v>
      </c>
      <c r="EN3034" t="s">
        <v>850</v>
      </c>
      <c r="EO3034">
        <v>21.08</v>
      </c>
    </row>
    <row r="3035" spans="142:145" x14ac:dyDescent="0.25">
      <c r="EL3035">
        <v>2016</v>
      </c>
      <c r="EM3035" t="s">
        <v>705</v>
      </c>
      <c r="EN3035" t="s">
        <v>850</v>
      </c>
      <c r="EO3035">
        <v>19.2</v>
      </c>
    </row>
    <row r="3036" spans="142:145" x14ac:dyDescent="0.25">
      <c r="EL3036">
        <v>2016</v>
      </c>
      <c r="EM3036" t="s">
        <v>715</v>
      </c>
      <c r="EN3036" t="s">
        <v>850</v>
      </c>
      <c r="EO3036">
        <v>20.77</v>
      </c>
    </row>
    <row r="3037" spans="142:145" x14ac:dyDescent="0.25">
      <c r="EL3037">
        <v>2016</v>
      </c>
      <c r="EM3037" t="s">
        <v>718</v>
      </c>
      <c r="EN3037" t="s">
        <v>850</v>
      </c>
      <c r="EO3037">
        <v>20.399999999999999</v>
      </c>
    </row>
    <row r="3038" spans="142:145" x14ac:dyDescent="0.25">
      <c r="EL3038">
        <v>2016</v>
      </c>
      <c r="EM3038" t="s">
        <v>716</v>
      </c>
      <c r="EN3038" t="s">
        <v>850</v>
      </c>
      <c r="EO3038">
        <v>26.97</v>
      </c>
    </row>
    <row r="3039" spans="142:145" x14ac:dyDescent="0.25">
      <c r="EL3039">
        <v>2016</v>
      </c>
      <c r="EM3039" t="s">
        <v>708</v>
      </c>
      <c r="EN3039" t="s">
        <v>850</v>
      </c>
      <c r="EO3039">
        <v>14.26</v>
      </c>
    </row>
    <row r="3040" spans="142:145" x14ac:dyDescent="0.25">
      <c r="EL3040">
        <v>2016</v>
      </c>
      <c r="EM3040" t="s">
        <v>709</v>
      </c>
      <c r="EN3040" t="s">
        <v>850</v>
      </c>
      <c r="EO3040">
        <v>20.7</v>
      </c>
    </row>
    <row r="3041" spans="142:145" x14ac:dyDescent="0.25">
      <c r="EL3041">
        <v>2016</v>
      </c>
      <c r="EM3041" t="s">
        <v>710</v>
      </c>
      <c r="EN3041" t="s">
        <v>850</v>
      </c>
      <c r="EO3041">
        <v>20.77</v>
      </c>
    </row>
    <row r="3042" spans="142:145" x14ac:dyDescent="0.25">
      <c r="EL3042">
        <v>2016</v>
      </c>
      <c r="EM3042" t="s">
        <v>711</v>
      </c>
      <c r="EN3042" t="s">
        <v>850</v>
      </c>
      <c r="EO3042">
        <v>19.8</v>
      </c>
    </row>
    <row r="3043" spans="142:145" x14ac:dyDescent="0.25">
      <c r="EL3043">
        <v>2016</v>
      </c>
      <c r="EM3043" t="s">
        <v>712</v>
      </c>
      <c r="EN3043" t="s">
        <v>850</v>
      </c>
      <c r="EO3043">
        <v>21.08</v>
      </c>
    </row>
    <row r="3044" spans="142:145" x14ac:dyDescent="0.25">
      <c r="EL3044">
        <v>2017</v>
      </c>
      <c r="EM3044" t="s">
        <v>719</v>
      </c>
      <c r="EN3044" t="s">
        <v>850</v>
      </c>
      <c r="EO3044">
        <v>21.7</v>
      </c>
    </row>
    <row r="3045" spans="142:145" x14ac:dyDescent="0.25">
      <c r="EL3045">
        <v>2017</v>
      </c>
      <c r="EM3045" t="s">
        <v>713</v>
      </c>
      <c r="EN3045" t="s">
        <v>850</v>
      </c>
      <c r="EO3045">
        <v>17.920000000000002</v>
      </c>
    </row>
    <row r="3046" spans="142:145" x14ac:dyDescent="0.25">
      <c r="EL3046">
        <v>2017</v>
      </c>
      <c r="EM3046" t="s">
        <v>714</v>
      </c>
      <c r="EN3046" t="s">
        <v>850</v>
      </c>
      <c r="EO3046">
        <v>20.46</v>
      </c>
    </row>
    <row r="3047" spans="142:145" x14ac:dyDescent="0.25">
      <c r="EL3047">
        <v>2017</v>
      </c>
      <c r="EM3047" t="s">
        <v>705</v>
      </c>
      <c r="EN3047" t="s">
        <v>850</v>
      </c>
      <c r="EO3047">
        <v>21.3</v>
      </c>
    </row>
    <row r="3048" spans="142:145" x14ac:dyDescent="0.25">
      <c r="EL3048">
        <v>2017</v>
      </c>
      <c r="EM3048" t="s">
        <v>715</v>
      </c>
      <c r="EN3048" t="s">
        <v>850</v>
      </c>
      <c r="EO3048">
        <v>21.7</v>
      </c>
    </row>
    <row r="3049" spans="142:145" x14ac:dyDescent="0.25">
      <c r="EL3049">
        <v>2017</v>
      </c>
      <c r="EM3049" t="s">
        <v>718</v>
      </c>
      <c r="EN3049" t="s">
        <v>850</v>
      </c>
      <c r="EO3049">
        <v>18.899999999999999</v>
      </c>
    </row>
    <row r="3050" spans="142:145" x14ac:dyDescent="0.25">
      <c r="EL3050">
        <v>2017</v>
      </c>
      <c r="EM3050" t="s">
        <v>716</v>
      </c>
      <c r="EN3050" t="s">
        <v>850</v>
      </c>
      <c r="EO3050">
        <v>20.77</v>
      </c>
    </row>
    <row r="3051" spans="142:145" x14ac:dyDescent="0.25">
      <c r="EL3051">
        <v>2017</v>
      </c>
      <c r="EM3051" t="s">
        <v>708</v>
      </c>
      <c r="EN3051" t="s">
        <v>850</v>
      </c>
      <c r="EO3051">
        <v>21.7</v>
      </c>
    </row>
    <row r="3052" spans="142:145" x14ac:dyDescent="0.25">
      <c r="EL3052">
        <v>2017</v>
      </c>
      <c r="EM3052" t="s">
        <v>709</v>
      </c>
      <c r="EN3052" t="s">
        <v>850</v>
      </c>
      <c r="EO3052">
        <v>24</v>
      </c>
    </row>
    <row r="3053" spans="142:145" x14ac:dyDescent="0.25">
      <c r="EL3053">
        <v>2017</v>
      </c>
      <c r="EM3053" t="s">
        <v>710</v>
      </c>
      <c r="EN3053" t="s">
        <v>850</v>
      </c>
      <c r="EO3053">
        <v>21.39</v>
      </c>
    </row>
    <row r="3054" spans="142:145" x14ac:dyDescent="0.25">
      <c r="EL3054">
        <v>2017</v>
      </c>
      <c r="EM3054" t="s">
        <v>711</v>
      </c>
      <c r="EN3054" t="s">
        <v>850</v>
      </c>
      <c r="EO3054">
        <v>20.399999999999999</v>
      </c>
    </row>
    <row r="3055" spans="142:145" x14ac:dyDescent="0.25">
      <c r="EL3055">
        <v>2017</v>
      </c>
      <c r="EM3055" t="s">
        <v>712</v>
      </c>
      <c r="EN3055" t="s">
        <v>850</v>
      </c>
      <c r="EO3055">
        <v>20.149999999999999</v>
      </c>
    </row>
    <row r="3056" spans="142:145" x14ac:dyDescent="0.25">
      <c r="EL3056">
        <v>2018</v>
      </c>
      <c r="EM3056" t="s">
        <v>719</v>
      </c>
      <c r="EN3056" t="s">
        <v>850</v>
      </c>
      <c r="EO3056">
        <v>21.39</v>
      </c>
    </row>
    <row r="3057" spans="142:145" x14ac:dyDescent="0.25">
      <c r="EL3057">
        <v>2018</v>
      </c>
      <c r="EM3057" t="s">
        <v>713</v>
      </c>
      <c r="EN3057" t="s">
        <v>850</v>
      </c>
      <c r="EO3057">
        <v>18.48</v>
      </c>
    </row>
    <row r="3058" spans="142:145" x14ac:dyDescent="0.25">
      <c r="EL3058">
        <v>2018</v>
      </c>
      <c r="EM3058" t="s">
        <v>714</v>
      </c>
      <c r="EN3058" t="s">
        <v>850</v>
      </c>
      <c r="EO3058">
        <v>20.46</v>
      </c>
    </row>
    <row r="3059" spans="142:145" x14ac:dyDescent="0.25">
      <c r="EL3059">
        <v>2018</v>
      </c>
      <c r="EM3059" t="s">
        <v>705</v>
      </c>
      <c r="EN3059" t="s">
        <v>850</v>
      </c>
      <c r="EO3059">
        <v>19.5</v>
      </c>
    </row>
    <row r="3060" spans="142:145" x14ac:dyDescent="0.25">
      <c r="EL3060">
        <v>2018</v>
      </c>
      <c r="EM3060" t="s">
        <v>715</v>
      </c>
      <c r="EN3060" t="s">
        <v>850</v>
      </c>
      <c r="EO3060">
        <v>27.28</v>
      </c>
    </row>
    <row r="3061" spans="142:145" x14ac:dyDescent="0.25">
      <c r="EL3061">
        <v>2018</v>
      </c>
      <c r="EM3061" t="s">
        <v>718</v>
      </c>
      <c r="EN3061" t="s">
        <v>850</v>
      </c>
      <c r="EO3061">
        <v>22.5</v>
      </c>
    </row>
    <row r="3062" spans="142:145" x14ac:dyDescent="0.25">
      <c r="EL3062">
        <v>2018</v>
      </c>
      <c r="EM3062" t="s">
        <v>716</v>
      </c>
      <c r="EN3062" t="s">
        <v>850</v>
      </c>
      <c r="EO3062">
        <v>25.11</v>
      </c>
    </row>
    <row r="3063" spans="142:145" x14ac:dyDescent="0.25">
      <c r="EL3063">
        <v>2018</v>
      </c>
      <c r="EM3063" t="s">
        <v>708</v>
      </c>
      <c r="EN3063" t="s">
        <v>850</v>
      </c>
      <c r="EO3063">
        <v>31</v>
      </c>
    </row>
    <row r="3064" spans="142:145" x14ac:dyDescent="0.25">
      <c r="EL3064">
        <v>2018</v>
      </c>
      <c r="EM3064" t="s">
        <v>709</v>
      </c>
      <c r="EN3064" t="s">
        <v>850</v>
      </c>
      <c r="EO3064">
        <v>34.799999999999997</v>
      </c>
    </row>
    <row r="3065" spans="142:145" x14ac:dyDescent="0.25">
      <c r="EL3065">
        <v>2018</v>
      </c>
      <c r="EM3065" t="s">
        <v>710</v>
      </c>
      <c r="EN3065" t="s">
        <v>850</v>
      </c>
      <c r="EO3065">
        <v>36.58</v>
      </c>
    </row>
    <row r="3066" spans="142:145" x14ac:dyDescent="0.25">
      <c r="EL3066">
        <v>2018</v>
      </c>
      <c r="EM3066" t="s">
        <v>711</v>
      </c>
      <c r="EN3066" t="s">
        <v>850</v>
      </c>
      <c r="EO3066">
        <v>37.5</v>
      </c>
    </row>
    <row r="3067" spans="142:145" x14ac:dyDescent="0.25">
      <c r="EL3067">
        <v>2018</v>
      </c>
      <c r="EM3067" t="s">
        <v>712</v>
      </c>
      <c r="EN3067" t="s">
        <v>850</v>
      </c>
      <c r="EO3067">
        <v>39.99</v>
      </c>
    </row>
    <row r="3068" spans="142:145" x14ac:dyDescent="0.25">
      <c r="EL3068">
        <v>2019</v>
      </c>
      <c r="EM3068" t="s">
        <v>719</v>
      </c>
      <c r="EN3068" t="s">
        <v>850</v>
      </c>
      <c r="EO3068">
        <v>37.51</v>
      </c>
    </row>
    <row r="3069" spans="142:145" x14ac:dyDescent="0.25">
      <c r="EL3069">
        <v>2019</v>
      </c>
      <c r="EM3069" t="s">
        <v>713</v>
      </c>
      <c r="EN3069" t="s">
        <v>850</v>
      </c>
      <c r="EO3069">
        <v>35.28</v>
      </c>
    </row>
    <row r="3070" spans="142:145" x14ac:dyDescent="0.25">
      <c r="EL3070">
        <v>2019</v>
      </c>
      <c r="EM3070" t="s">
        <v>714</v>
      </c>
      <c r="EN3070" t="s">
        <v>850</v>
      </c>
      <c r="EO3070">
        <v>39.44</v>
      </c>
    </row>
    <row r="3071" spans="142:145" x14ac:dyDescent="0.25">
      <c r="EL3071">
        <v>2019</v>
      </c>
      <c r="EM3071" t="s">
        <v>705</v>
      </c>
      <c r="EN3071" t="s">
        <v>850</v>
      </c>
      <c r="EO3071">
        <v>33.9</v>
      </c>
    </row>
    <row r="3072" spans="142:145" x14ac:dyDescent="0.25">
      <c r="EL3072">
        <v>2019</v>
      </c>
      <c r="EM3072" t="s">
        <v>715</v>
      </c>
      <c r="EN3072" t="s">
        <v>850</v>
      </c>
      <c r="EO3072">
        <v>34.409999999999997</v>
      </c>
    </row>
    <row r="3073" spans="142:145" x14ac:dyDescent="0.25">
      <c r="EL3073">
        <v>2019</v>
      </c>
      <c r="EM3073" t="s">
        <v>718</v>
      </c>
      <c r="EN3073" t="s">
        <v>850</v>
      </c>
      <c r="EO3073">
        <v>21.9</v>
      </c>
    </row>
    <row r="3074" spans="142:145" x14ac:dyDescent="0.25">
      <c r="EL3074">
        <v>2019</v>
      </c>
      <c r="EM3074" t="s">
        <v>716</v>
      </c>
      <c r="EN3074" t="s">
        <v>850</v>
      </c>
      <c r="EO3074">
        <v>18.91</v>
      </c>
    </row>
    <row r="3075" spans="142:145" x14ac:dyDescent="0.25">
      <c r="EL3075">
        <v>2019</v>
      </c>
      <c r="EM3075" t="s">
        <v>708</v>
      </c>
      <c r="EN3075" t="s">
        <v>850</v>
      </c>
      <c r="EO3075">
        <v>19.84</v>
      </c>
    </row>
    <row r="3076" spans="142:145" x14ac:dyDescent="0.25">
      <c r="EL3076">
        <v>2019</v>
      </c>
      <c r="EM3076" t="s">
        <v>709</v>
      </c>
      <c r="EN3076" t="s">
        <v>850</v>
      </c>
      <c r="EO3076">
        <v>18</v>
      </c>
    </row>
    <row r="3077" spans="142:145" x14ac:dyDescent="0.25">
      <c r="EL3077">
        <v>2019</v>
      </c>
      <c r="EM3077" t="s">
        <v>710</v>
      </c>
      <c r="EN3077" t="s">
        <v>850</v>
      </c>
      <c r="EO3077">
        <v>15.81</v>
      </c>
    </row>
    <row r="3078" spans="142:145" x14ac:dyDescent="0.25">
      <c r="EL3078">
        <v>2019</v>
      </c>
      <c r="EM3078" t="s">
        <v>711</v>
      </c>
      <c r="EN3078" t="s">
        <v>850</v>
      </c>
      <c r="EO3078">
        <v>13.2</v>
      </c>
    </row>
    <row r="3079" spans="142:145" x14ac:dyDescent="0.25">
      <c r="EL3079">
        <v>2019</v>
      </c>
      <c r="EM3079" t="s">
        <v>712</v>
      </c>
      <c r="EN3079" t="s">
        <v>850</v>
      </c>
      <c r="EO3079">
        <v>14.88</v>
      </c>
    </row>
    <row r="3080" spans="142:145" x14ac:dyDescent="0.25">
      <c r="EL3080">
        <v>2020</v>
      </c>
      <c r="EM3080" t="s">
        <v>719</v>
      </c>
      <c r="EN3080" t="s">
        <v>850</v>
      </c>
      <c r="EO3080">
        <v>15.81</v>
      </c>
    </row>
    <row r="3081" spans="142:145" x14ac:dyDescent="0.25">
      <c r="EL3081">
        <v>2020</v>
      </c>
      <c r="EM3081" t="s">
        <v>713</v>
      </c>
      <c r="EN3081" t="s">
        <v>850</v>
      </c>
      <c r="EO3081">
        <v>13.92</v>
      </c>
    </row>
    <row r="3082" spans="142:145" x14ac:dyDescent="0.25">
      <c r="EL3082">
        <v>2020</v>
      </c>
      <c r="EM3082" t="s">
        <v>714</v>
      </c>
      <c r="EN3082" t="s">
        <v>850</v>
      </c>
      <c r="EO3082">
        <v>16.739999999999998</v>
      </c>
    </row>
    <row r="3083" spans="142:145" x14ac:dyDescent="0.25">
      <c r="EL3083">
        <v>2020</v>
      </c>
      <c r="EM3083" t="s">
        <v>705</v>
      </c>
      <c r="EN3083" t="s">
        <v>850</v>
      </c>
      <c r="EO3083">
        <v>16.8</v>
      </c>
    </row>
    <row r="3084" spans="142:145" x14ac:dyDescent="0.25">
      <c r="EL3084">
        <v>2020</v>
      </c>
      <c r="EM3084" t="s">
        <v>715</v>
      </c>
      <c r="EN3084" t="s">
        <v>850</v>
      </c>
      <c r="EO3084">
        <v>21.08</v>
      </c>
    </row>
    <row r="3085" spans="142:145" x14ac:dyDescent="0.25">
      <c r="EL3085">
        <v>2020</v>
      </c>
      <c r="EM3085" t="s">
        <v>718</v>
      </c>
      <c r="EN3085" t="s">
        <v>850</v>
      </c>
      <c r="EO3085">
        <v>21.3</v>
      </c>
    </row>
    <row r="3086" spans="142:145" x14ac:dyDescent="0.25">
      <c r="EL3086">
        <v>2020</v>
      </c>
      <c r="EM3086" t="s">
        <v>716</v>
      </c>
      <c r="EN3086" t="s">
        <v>850</v>
      </c>
      <c r="EO3086">
        <v>23.25</v>
      </c>
    </row>
    <row r="3087" spans="142:145" x14ac:dyDescent="0.25">
      <c r="EL3087">
        <v>2020</v>
      </c>
      <c r="EM3087" t="s">
        <v>708</v>
      </c>
      <c r="EN3087" t="s">
        <v>850</v>
      </c>
      <c r="EO3087">
        <v>23.87</v>
      </c>
    </row>
    <row r="3088" spans="142:145" x14ac:dyDescent="0.25">
      <c r="EL3088">
        <v>2020</v>
      </c>
      <c r="EM3088" t="s">
        <v>709</v>
      </c>
      <c r="EN3088" t="s">
        <v>850</v>
      </c>
      <c r="EO3088">
        <v>22.2</v>
      </c>
    </row>
    <row r="3089" spans="142:145" x14ac:dyDescent="0.25">
      <c r="EL3089">
        <v>2020</v>
      </c>
      <c r="EM3089" t="s">
        <v>710</v>
      </c>
      <c r="EN3089" t="s">
        <v>850</v>
      </c>
      <c r="EO3089">
        <v>24.8</v>
      </c>
    </row>
    <row r="3090" spans="142:145" x14ac:dyDescent="0.25">
      <c r="EL3090">
        <v>2020</v>
      </c>
      <c r="EM3090" t="s">
        <v>711</v>
      </c>
      <c r="EN3090" t="s">
        <v>850</v>
      </c>
      <c r="EO3090">
        <v>25.2</v>
      </c>
    </row>
    <row r="3091" spans="142:145" x14ac:dyDescent="0.25">
      <c r="EL3091">
        <v>2020</v>
      </c>
      <c r="EM3091" t="s">
        <v>712</v>
      </c>
      <c r="EN3091" t="s">
        <v>850</v>
      </c>
      <c r="EO3091">
        <v>27.9</v>
      </c>
    </row>
    <row r="3092" spans="142:145" x14ac:dyDescent="0.25">
      <c r="EL3092">
        <v>2021</v>
      </c>
      <c r="EM3092" t="s">
        <v>719</v>
      </c>
      <c r="EN3092" t="s">
        <v>850</v>
      </c>
      <c r="EO3092">
        <v>23.56</v>
      </c>
    </row>
    <row r="3093" spans="142:145" x14ac:dyDescent="0.25">
      <c r="EL3093">
        <v>2021</v>
      </c>
      <c r="EM3093" t="s">
        <v>713</v>
      </c>
      <c r="EN3093" t="s">
        <v>850</v>
      </c>
      <c r="EO3093">
        <v>23.52</v>
      </c>
    </row>
    <row r="3094" spans="142:145" x14ac:dyDescent="0.25">
      <c r="EL3094">
        <v>2021</v>
      </c>
      <c r="EM3094" t="s">
        <v>714</v>
      </c>
      <c r="EN3094" t="s">
        <v>850</v>
      </c>
      <c r="EO3094">
        <v>23.25</v>
      </c>
    </row>
    <row r="3095" spans="142:145" x14ac:dyDescent="0.25">
      <c r="EL3095">
        <v>2021</v>
      </c>
      <c r="EM3095" t="s">
        <v>705</v>
      </c>
      <c r="EN3095" t="s">
        <v>850</v>
      </c>
      <c r="EO3095">
        <v>19.8</v>
      </c>
    </row>
    <row r="3096" spans="142:145" x14ac:dyDescent="0.25">
      <c r="EL3096">
        <v>2021</v>
      </c>
      <c r="EM3096" t="s">
        <v>715</v>
      </c>
      <c r="EN3096" t="s">
        <v>850</v>
      </c>
      <c r="EO3096">
        <v>19.22</v>
      </c>
    </row>
    <row r="3097" spans="142:145" x14ac:dyDescent="0.25">
      <c r="EL3097">
        <v>2021</v>
      </c>
      <c r="EM3097" t="s">
        <v>718</v>
      </c>
      <c r="EN3097" t="s">
        <v>850</v>
      </c>
      <c r="EO3097">
        <v>20.399999999999999</v>
      </c>
    </row>
    <row r="3098" spans="142:145" x14ac:dyDescent="0.25">
      <c r="EL3098">
        <v>2021</v>
      </c>
      <c r="EM3098" t="s">
        <v>716</v>
      </c>
      <c r="EN3098" t="s">
        <v>850</v>
      </c>
      <c r="EO3098">
        <v>20.46</v>
      </c>
    </row>
    <row r="3099" spans="142:145" x14ac:dyDescent="0.25">
      <c r="EL3099">
        <v>2021</v>
      </c>
      <c r="EM3099" t="s">
        <v>708</v>
      </c>
      <c r="EN3099" t="s">
        <v>850</v>
      </c>
      <c r="EO3099">
        <v>23.25</v>
      </c>
    </row>
    <row r="3100" spans="142:145" x14ac:dyDescent="0.25">
      <c r="EL3100">
        <v>2021</v>
      </c>
      <c r="EM3100" t="s">
        <v>709</v>
      </c>
      <c r="EN3100" t="s">
        <v>850</v>
      </c>
      <c r="EO3100">
        <v>20.399999999999999</v>
      </c>
    </row>
    <row r="3101" spans="142:145" x14ac:dyDescent="0.25">
      <c r="EL3101">
        <v>2021</v>
      </c>
      <c r="EM3101" t="s">
        <v>710</v>
      </c>
      <c r="EN3101" t="s">
        <v>850</v>
      </c>
      <c r="EO3101">
        <v>20.46</v>
      </c>
    </row>
    <row r="3102" spans="142:145" x14ac:dyDescent="0.25">
      <c r="EL3102">
        <v>2021</v>
      </c>
      <c r="EM3102" t="s">
        <v>711</v>
      </c>
      <c r="EN3102" t="s">
        <v>850</v>
      </c>
      <c r="EO3102">
        <v>20.399999999999999</v>
      </c>
    </row>
    <row r="3103" spans="142:145" x14ac:dyDescent="0.25">
      <c r="EL3103">
        <v>2021</v>
      </c>
      <c r="EM3103" t="s">
        <v>712</v>
      </c>
      <c r="EN3103" t="s">
        <v>850</v>
      </c>
      <c r="EO3103">
        <v>19.84</v>
      </c>
    </row>
    <row r="3104" spans="142:145" x14ac:dyDescent="0.25">
      <c r="EL3104">
        <v>2022</v>
      </c>
      <c r="EM3104" t="s">
        <v>719</v>
      </c>
      <c r="EN3104" t="s">
        <v>850</v>
      </c>
      <c r="EO3104">
        <v>20.46</v>
      </c>
    </row>
    <row r="3105" spans="142:145" x14ac:dyDescent="0.25">
      <c r="EL3105">
        <v>2022</v>
      </c>
      <c r="EM3105" t="s">
        <v>713</v>
      </c>
      <c r="EN3105" t="s">
        <v>850</v>
      </c>
      <c r="EO3105">
        <v>21</v>
      </c>
    </row>
    <row r="3106" spans="142:145" x14ac:dyDescent="0.25">
      <c r="EL3106">
        <v>2022</v>
      </c>
      <c r="EM3106" t="s">
        <v>714</v>
      </c>
      <c r="EN3106" t="s">
        <v>850</v>
      </c>
      <c r="EO3106">
        <v>23.25</v>
      </c>
    </row>
    <row r="3107" spans="142:145" x14ac:dyDescent="0.25">
      <c r="EL3107">
        <v>2022</v>
      </c>
      <c r="EM3107" t="s">
        <v>705</v>
      </c>
      <c r="EN3107" t="s">
        <v>850</v>
      </c>
      <c r="EO3107">
        <v>22.5</v>
      </c>
    </row>
    <row r="3108" spans="142:145" x14ac:dyDescent="0.25">
      <c r="EL3108">
        <v>2022</v>
      </c>
      <c r="EM3108" t="s">
        <v>715</v>
      </c>
      <c r="EN3108" t="s">
        <v>850</v>
      </c>
      <c r="EO3108">
        <v>24.8</v>
      </c>
    </row>
    <row r="3109" spans="142:145" x14ac:dyDescent="0.25">
      <c r="EL3109">
        <v>2022</v>
      </c>
      <c r="EM3109" t="s">
        <v>718</v>
      </c>
      <c r="EN3109" t="s">
        <v>850</v>
      </c>
      <c r="EO3109">
        <v>21.3</v>
      </c>
    </row>
    <row r="3110" spans="142:145" x14ac:dyDescent="0.25">
      <c r="EL3110">
        <v>2022</v>
      </c>
      <c r="EM3110" t="s">
        <v>716</v>
      </c>
      <c r="EN3110" t="s">
        <v>850</v>
      </c>
      <c r="EO3110">
        <v>24.8</v>
      </c>
    </row>
    <row r="3111" spans="142:145" x14ac:dyDescent="0.25">
      <c r="EL3111">
        <v>2022</v>
      </c>
      <c r="EM3111" t="s">
        <v>708</v>
      </c>
      <c r="EN3111" t="s">
        <v>850</v>
      </c>
      <c r="EO3111">
        <v>22.01</v>
      </c>
    </row>
    <row r="3112" spans="142:145" x14ac:dyDescent="0.25">
      <c r="EL3112">
        <v>2022</v>
      </c>
      <c r="EM3112" t="s">
        <v>709</v>
      </c>
      <c r="EN3112" t="s">
        <v>850</v>
      </c>
      <c r="EO3112">
        <v>19.8</v>
      </c>
    </row>
    <row r="3113" spans="142:145" x14ac:dyDescent="0.25">
      <c r="EL3113">
        <v>2022</v>
      </c>
      <c r="EM3113" t="s">
        <v>710</v>
      </c>
      <c r="EN3113" t="s">
        <v>850</v>
      </c>
      <c r="EO3113">
        <v>23.25</v>
      </c>
    </row>
    <row r="3114" spans="142:145" x14ac:dyDescent="0.25">
      <c r="EL3114">
        <v>2022</v>
      </c>
      <c r="EM3114" t="s">
        <v>711</v>
      </c>
      <c r="EN3114" t="s">
        <v>850</v>
      </c>
      <c r="EO3114">
        <v>22.5</v>
      </c>
    </row>
    <row r="3115" spans="142:145" x14ac:dyDescent="0.25">
      <c r="EL3115">
        <v>2022</v>
      </c>
      <c r="EM3115" t="s">
        <v>712</v>
      </c>
      <c r="EN3115" t="s">
        <v>850</v>
      </c>
      <c r="EO3115">
        <v>29.45</v>
      </c>
    </row>
    <row r="3116" spans="142:145" x14ac:dyDescent="0.25">
      <c r="EL3116">
        <v>2023</v>
      </c>
      <c r="EM3116" t="s">
        <v>719</v>
      </c>
      <c r="EN3116" t="s">
        <v>850</v>
      </c>
      <c r="EO3116">
        <v>22.01</v>
      </c>
    </row>
    <row r="3117" spans="142:145" x14ac:dyDescent="0.25">
      <c r="EL3117">
        <v>2023</v>
      </c>
      <c r="EM3117" t="s">
        <v>713</v>
      </c>
      <c r="EN3117" t="s">
        <v>850</v>
      </c>
      <c r="EO3117">
        <v>19.88</v>
      </c>
    </row>
    <row r="3118" spans="142:145" x14ac:dyDescent="0.25">
      <c r="EL3118">
        <v>2023</v>
      </c>
      <c r="EM3118" t="s">
        <v>714</v>
      </c>
      <c r="EN3118" t="s">
        <v>850</v>
      </c>
      <c r="EO3118">
        <v>18.91</v>
      </c>
    </row>
    <row r="3119" spans="142:145" x14ac:dyDescent="0.25">
      <c r="EL3119">
        <v>2023</v>
      </c>
      <c r="EM3119" t="s">
        <v>705</v>
      </c>
      <c r="EN3119" t="s">
        <v>850</v>
      </c>
      <c r="EO3119">
        <v>18</v>
      </c>
    </row>
    <row r="3120" spans="142:145" x14ac:dyDescent="0.25">
      <c r="EL3120">
        <v>2023</v>
      </c>
      <c r="EM3120" t="s">
        <v>715</v>
      </c>
      <c r="EN3120" t="s">
        <v>850</v>
      </c>
      <c r="EO3120">
        <v>16.43</v>
      </c>
    </row>
    <row r="3121" spans="142:145" x14ac:dyDescent="0.25">
      <c r="EL3121">
        <v>2023</v>
      </c>
      <c r="EM3121" t="s">
        <v>718</v>
      </c>
      <c r="EN3121" t="s">
        <v>850</v>
      </c>
      <c r="EO3121">
        <v>15.9</v>
      </c>
    </row>
    <row r="3122" spans="142:145" x14ac:dyDescent="0.25">
      <c r="EL3122">
        <v>2023</v>
      </c>
      <c r="EM3122" t="s">
        <v>716</v>
      </c>
      <c r="EN3122" t="s">
        <v>850</v>
      </c>
      <c r="EO3122">
        <v>16.43</v>
      </c>
    </row>
    <row r="3123" spans="142:145" x14ac:dyDescent="0.25">
      <c r="EL3123">
        <v>2023</v>
      </c>
      <c r="EM3123" t="s">
        <v>708</v>
      </c>
      <c r="EN3123" t="s">
        <v>850</v>
      </c>
      <c r="EO3123">
        <v>16.739999999999998</v>
      </c>
    </row>
    <row r="3124" spans="142:145" x14ac:dyDescent="0.25">
      <c r="EL3124">
        <v>2023</v>
      </c>
      <c r="EM3124" t="s">
        <v>709</v>
      </c>
      <c r="EN3124" t="s">
        <v>850</v>
      </c>
      <c r="EO3124">
        <v>17.100000000000001</v>
      </c>
    </row>
    <row r="3125" spans="142:145" x14ac:dyDescent="0.25">
      <c r="EL3125">
        <v>1997</v>
      </c>
      <c r="EM3125" t="s">
        <v>760</v>
      </c>
      <c r="EN3125" t="s">
        <v>851</v>
      </c>
      <c r="EO3125">
        <v>106.423</v>
      </c>
    </row>
    <row r="3126" spans="142:145" x14ac:dyDescent="0.25">
      <c r="EL3126">
        <v>1997</v>
      </c>
      <c r="EM3126" t="s">
        <v>761</v>
      </c>
      <c r="EN3126" t="s">
        <v>851</v>
      </c>
      <c r="EO3126">
        <v>102.99</v>
      </c>
    </row>
    <row r="3127" spans="142:145" x14ac:dyDescent="0.25">
      <c r="EL3127">
        <v>1997</v>
      </c>
      <c r="EM3127" t="s">
        <v>762</v>
      </c>
      <c r="EN3127" t="s">
        <v>851</v>
      </c>
      <c r="EO3127">
        <v>106.423</v>
      </c>
    </row>
    <row r="3128" spans="142:145" x14ac:dyDescent="0.25">
      <c r="EL3128">
        <v>1998</v>
      </c>
      <c r="EM3128" t="s">
        <v>763</v>
      </c>
      <c r="EN3128" t="s">
        <v>851</v>
      </c>
      <c r="EO3128">
        <v>106.423</v>
      </c>
    </row>
    <row r="3129" spans="142:145" x14ac:dyDescent="0.25">
      <c r="EL3129">
        <v>1998</v>
      </c>
      <c r="EM3129" t="s">
        <v>764</v>
      </c>
      <c r="EN3129" t="s">
        <v>851</v>
      </c>
      <c r="EO3129">
        <v>96.123999999999995</v>
      </c>
    </row>
    <row r="3130" spans="142:145" x14ac:dyDescent="0.25">
      <c r="EL3130">
        <v>1998</v>
      </c>
      <c r="EM3130" t="s">
        <v>765</v>
      </c>
      <c r="EN3130" t="s">
        <v>851</v>
      </c>
      <c r="EO3130">
        <v>106.423</v>
      </c>
    </row>
    <row r="3131" spans="142:145" x14ac:dyDescent="0.25">
      <c r="EL3131">
        <v>1998</v>
      </c>
      <c r="EM3131" t="s">
        <v>767</v>
      </c>
      <c r="EN3131" t="s">
        <v>851</v>
      </c>
      <c r="EO3131">
        <v>102.99</v>
      </c>
    </row>
    <row r="3132" spans="142:145" x14ac:dyDescent="0.25">
      <c r="EL3132">
        <v>1998</v>
      </c>
      <c r="EM3132" t="s">
        <v>715</v>
      </c>
      <c r="EN3132" t="s">
        <v>851</v>
      </c>
      <c r="EO3132">
        <v>106.423</v>
      </c>
    </row>
    <row r="3133" spans="142:145" x14ac:dyDescent="0.25">
      <c r="EL3133">
        <v>1998</v>
      </c>
      <c r="EM3133" t="s">
        <v>718</v>
      </c>
      <c r="EN3133" t="s">
        <v>851</v>
      </c>
      <c r="EO3133">
        <v>102.99</v>
      </c>
    </row>
    <row r="3134" spans="142:145" x14ac:dyDescent="0.25">
      <c r="EL3134">
        <v>1998</v>
      </c>
      <c r="EM3134" t="s">
        <v>716</v>
      </c>
      <c r="EN3134" t="s">
        <v>851</v>
      </c>
      <c r="EO3134">
        <v>106.423</v>
      </c>
    </row>
    <row r="3135" spans="142:145" x14ac:dyDescent="0.25">
      <c r="EL3135">
        <v>1998</v>
      </c>
      <c r="EM3135" t="s">
        <v>768</v>
      </c>
      <c r="EN3135" t="s">
        <v>851</v>
      </c>
      <c r="EO3135">
        <v>106.423</v>
      </c>
    </row>
    <row r="3136" spans="142:145" x14ac:dyDescent="0.25">
      <c r="EL3136">
        <v>1998</v>
      </c>
      <c r="EM3136" t="s">
        <v>769</v>
      </c>
      <c r="EN3136" t="s">
        <v>851</v>
      </c>
      <c r="EO3136">
        <v>102.99</v>
      </c>
    </row>
    <row r="3137" spans="142:145" x14ac:dyDescent="0.25">
      <c r="EL3137">
        <v>1998</v>
      </c>
      <c r="EM3137" t="s">
        <v>760</v>
      </c>
      <c r="EN3137" t="s">
        <v>851</v>
      </c>
      <c r="EO3137">
        <v>106.733</v>
      </c>
    </row>
    <row r="3138" spans="142:145" x14ac:dyDescent="0.25">
      <c r="EL3138">
        <v>1998</v>
      </c>
      <c r="EM3138" t="s">
        <v>771</v>
      </c>
      <c r="EN3138" t="s">
        <v>851</v>
      </c>
      <c r="EO3138">
        <v>103.29</v>
      </c>
    </row>
    <row r="3139" spans="142:145" x14ac:dyDescent="0.25">
      <c r="EL3139">
        <v>1998</v>
      </c>
      <c r="EM3139" t="s">
        <v>762</v>
      </c>
      <c r="EN3139" t="s">
        <v>851</v>
      </c>
      <c r="EO3139">
        <v>106.733</v>
      </c>
    </row>
    <row r="3140" spans="142:145" x14ac:dyDescent="0.25">
      <c r="EL3140">
        <v>1999</v>
      </c>
      <c r="EM3140" t="s">
        <v>763</v>
      </c>
      <c r="EN3140" t="s">
        <v>851</v>
      </c>
      <c r="EO3140">
        <v>106.733</v>
      </c>
    </row>
    <row r="3141" spans="142:145" x14ac:dyDescent="0.25">
      <c r="EL3141">
        <v>1999</v>
      </c>
      <c r="EM3141" t="s">
        <v>772</v>
      </c>
      <c r="EN3141" t="s">
        <v>851</v>
      </c>
      <c r="EO3141">
        <v>96.403999999999996</v>
      </c>
    </row>
    <row r="3142" spans="142:145" x14ac:dyDescent="0.25">
      <c r="EL3142">
        <v>1999</v>
      </c>
      <c r="EM3142" t="s">
        <v>773</v>
      </c>
      <c r="EN3142" t="s">
        <v>851</v>
      </c>
      <c r="EO3142">
        <v>106.733</v>
      </c>
    </row>
    <row r="3143" spans="142:145" x14ac:dyDescent="0.25">
      <c r="EL3143">
        <v>1999</v>
      </c>
      <c r="EM3143" t="s">
        <v>774</v>
      </c>
      <c r="EN3143" t="s">
        <v>851</v>
      </c>
      <c r="EO3143">
        <v>103.29</v>
      </c>
    </row>
    <row r="3144" spans="142:145" x14ac:dyDescent="0.25">
      <c r="EL3144">
        <v>1999</v>
      </c>
      <c r="EM3144" t="s">
        <v>715</v>
      </c>
      <c r="EN3144" t="s">
        <v>851</v>
      </c>
      <c r="EO3144">
        <v>106.733</v>
      </c>
    </row>
    <row r="3145" spans="142:145" x14ac:dyDescent="0.25">
      <c r="EL3145">
        <v>1999</v>
      </c>
      <c r="EM3145" t="s">
        <v>718</v>
      </c>
      <c r="EN3145" t="s">
        <v>851</v>
      </c>
      <c r="EO3145">
        <v>103.29</v>
      </c>
    </row>
    <row r="3146" spans="142:145" x14ac:dyDescent="0.25">
      <c r="EL3146">
        <v>1999</v>
      </c>
      <c r="EM3146" t="s">
        <v>716</v>
      </c>
      <c r="EN3146" t="s">
        <v>851</v>
      </c>
      <c r="EO3146">
        <v>106.733</v>
      </c>
    </row>
    <row r="3147" spans="142:145" x14ac:dyDescent="0.25">
      <c r="EL3147">
        <v>1999</v>
      </c>
      <c r="EM3147" t="s">
        <v>708</v>
      </c>
      <c r="EN3147" t="s">
        <v>851</v>
      </c>
      <c r="EO3147">
        <v>104.718</v>
      </c>
    </row>
    <row r="3148" spans="142:145" x14ac:dyDescent="0.25">
      <c r="EL3148">
        <v>1999</v>
      </c>
      <c r="EM3148" t="s">
        <v>709</v>
      </c>
      <c r="EN3148" t="s">
        <v>851</v>
      </c>
      <c r="EO3148">
        <v>101.34</v>
      </c>
    </row>
    <row r="3149" spans="142:145" x14ac:dyDescent="0.25">
      <c r="EL3149">
        <v>1999</v>
      </c>
      <c r="EM3149" t="s">
        <v>710</v>
      </c>
      <c r="EN3149" t="s">
        <v>851</v>
      </c>
      <c r="EO3149">
        <v>104.718</v>
      </c>
    </row>
    <row r="3150" spans="142:145" x14ac:dyDescent="0.25">
      <c r="EL3150">
        <v>1999</v>
      </c>
      <c r="EM3150" t="s">
        <v>711</v>
      </c>
      <c r="EN3150" t="s">
        <v>851</v>
      </c>
      <c r="EO3150">
        <v>101.34</v>
      </c>
    </row>
    <row r="3151" spans="142:145" x14ac:dyDescent="0.25">
      <c r="EL3151">
        <v>1999</v>
      </c>
      <c r="EM3151" t="s">
        <v>712</v>
      </c>
      <c r="EN3151" t="s">
        <v>851</v>
      </c>
      <c r="EO3151">
        <v>104.718</v>
      </c>
    </row>
    <row r="3152" spans="142:145" x14ac:dyDescent="0.25">
      <c r="EL3152">
        <v>2000</v>
      </c>
      <c r="EM3152" t="s">
        <v>719</v>
      </c>
      <c r="EN3152" t="s">
        <v>851</v>
      </c>
      <c r="EO3152">
        <v>104.718</v>
      </c>
    </row>
    <row r="3153" spans="142:145" x14ac:dyDescent="0.25">
      <c r="EL3153">
        <v>2000</v>
      </c>
      <c r="EM3153" t="s">
        <v>713</v>
      </c>
      <c r="EN3153" t="s">
        <v>851</v>
      </c>
      <c r="EO3153">
        <v>97.962000000000003</v>
      </c>
    </row>
    <row r="3154" spans="142:145" x14ac:dyDescent="0.25">
      <c r="EL3154">
        <v>2000</v>
      </c>
      <c r="EM3154" t="s">
        <v>714</v>
      </c>
      <c r="EN3154" t="s">
        <v>851</v>
      </c>
      <c r="EO3154">
        <v>104.718</v>
      </c>
    </row>
    <row r="3155" spans="142:145" x14ac:dyDescent="0.25">
      <c r="EL3155">
        <v>2000</v>
      </c>
      <c r="EM3155" t="s">
        <v>705</v>
      </c>
      <c r="EN3155" t="s">
        <v>851</v>
      </c>
      <c r="EO3155">
        <v>101.34</v>
      </c>
    </row>
    <row r="3156" spans="142:145" x14ac:dyDescent="0.25">
      <c r="EL3156">
        <v>2000</v>
      </c>
      <c r="EM3156" t="s">
        <v>715</v>
      </c>
      <c r="EN3156" t="s">
        <v>851</v>
      </c>
      <c r="EO3156">
        <v>104.718</v>
      </c>
    </row>
    <row r="3157" spans="142:145" x14ac:dyDescent="0.25">
      <c r="EL3157">
        <v>2000</v>
      </c>
      <c r="EM3157" t="s">
        <v>718</v>
      </c>
      <c r="EN3157" t="s">
        <v>851</v>
      </c>
      <c r="EO3157">
        <v>101.34</v>
      </c>
    </row>
    <row r="3158" spans="142:145" x14ac:dyDescent="0.25">
      <c r="EL3158">
        <v>2000</v>
      </c>
      <c r="EM3158" t="s">
        <v>716</v>
      </c>
      <c r="EN3158" t="s">
        <v>851</v>
      </c>
      <c r="EO3158">
        <v>106.733</v>
      </c>
    </row>
    <row r="3159" spans="142:145" x14ac:dyDescent="0.25">
      <c r="EL3159">
        <v>2000</v>
      </c>
      <c r="EM3159" t="s">
        <v>708</v>
      </c>
      <c r="EN3159" t="s">
        <v>851</v>
      </c>
      <c r="EO3159">
        <v>106.733</v>
      </c>
    </row>
    <row r="3160" spans="142:145" x14ac:dyDescent="0.25">
      <c r="EL3160">
        <v>2000</v>
      </c>
      <c r="EM3160" t="s">
        <v>709</v>
      </c>
      <c r="EN3160" t="s">
        <v>851</v>
      </c>
      <c r="EO3160">
        <v>103.29</v>
      </c>
    </row>
    <row r="3161" spans="142:145" x14ac:dyDescent="0.25">
      <c r="EL3161">
        <v>2000</v>
      </c>
      <c r="EM3161" t="s">
        <v>710</v>
      </c>
      <c r="EN3161" t="s">
        <v>851</v>
      </c>
      <c r="EO3161">
        <v>106.733</v>
      </c>
    </row>
    <row r="3162" spans="142:145" x14ac:dyDescent="0.25">
      <c r="EL3162">
        <v>2000</v>
      </c>
      <c r="EM3162" t="s">
        <v>711</v>
      </c>
      <c r="EN3162" t="s">
        <v>851</v>
      </c>
      <c r="EO3162">
        <v>103.29</v>
      </c>
    </row>
    <row r="3163" spans="142:145" x14ac:dyDescent="0.25">
      <c r="EL3163">
        <v>2000</v>
      </c>
      <c r="EM3163" t="s">
        <v>712</v>
      </c>
      <c r="EN3163" t="s">
        <v>851</v>
      </c>
      <c r="EO3163">
        <v>106.733</v>
      </c>
    </row>
    <row r="3164" spans="142:145" x14ac:dyDescent="0.25">
      <c r="EL3164">
        <v>2001</v>
      </c>
      <c r="EM3164" t="s">
        <v>719</v>
      </c>
      <c r="EN3164" t="s">
        <v>851</v>
      </c>
      <c r="EO3164">
        <v>106.733</v>
      </c>
    </row>
    <row r="3165" spans="142:145" x14ac:dyDescent="0.25">
      <c r="EL3165">
        <v>2001</v>
      </c>
      <c r="EM3165" t="s">
        <v>713</v>
      </c>
      <c r="EN3165" t="s">
        <v>851</v>
      </c>
      <c r="EO3165">
        <v>96.403999999999996</v>
      </c>
    </row>
    <row r="3166" spans="142:145" x14ac:dyDescent="0.25">
      <c r="EL3166">
        <v>2001</v>
      </c>
      <c r="EM3166" t="s">
        <v>714</v>
      </c>
      <c r="EN3166" t="s">
        <v>851</v>
      </c>
      <c r="EO3166">
        <v>106.733</v>
      </c>
    </row>
    <row r="3167" spans="142:145" x14ac:dyDescent="0.25">
      <c r="EL3167">
        <v>2001</v>
      </c>
      <c r="EM3167" t="s">
        <v>705</v>
      </c>
      <c r="EN3167" t="s">
        <v>851</v>
      </c>
      <c r="EO3167">
        <v>106.733</v>
      </c>
    </row>
    <row r="3168" spans="142:145" x14ac:dyDescent="0.25">
      <c r="EL3168">
        <v>2001</v>
      </c>
      <c r="EM3168" t="s">
        <v>715</v>
      </c>
      <c r="EN3168" t="s">
        <v>851</v>
      </c>
      <c r="EO3168">
        <v>106.733</v>
      </c>
    </row>
    <row r="3169" spans="142:145" x14ac:dyDescent="0.25">
      <c r="EL3169">
        <v>2001</v>
      </c>
      <c r="EM3169" t="s">
        <v>718</v>
      </c>
      <c r="EN3169" t="s">
        <v>851</v>
      </c>
      <c r="EO3169">
        <v>103.29</v>
      </c>
    </row>
    <row r="3170" spans="142:145" x14ac:dyDescent="0.25">
      <c r="EL3170">
        <v>2001</v>
      </c>
      <c r="EM3170" t="s">
        <v>716</v>
      </c>
      <c r="EN3170" t="s">
        <v>851</v>
      </c>
      <c r="EO3170">
        <v>106.733</v>
      </c>
    </row>
    <row r="3171" spans="142:145" x14ac:dyDescent="0.25">
      <c r="EL3171">
        <v>2001</v>
      </c>
      <c r="EM3171" t="s">
        <v>708</v>
      </c>
      <c r="EN3171" t="s">
        <v>851</v>
      </c>
      <c r="EO3171">
        <v>106.733</v>
      </c>
    </row>
    <row r="3172" spans="142:145" x14ac:dyDescent="0.25">
      <c r="EL3172">
        <v>2001</v>
      </c>
      <c r="EM3172" t="s">
        <v>709</v>
      </c>
      <c r="EN3172" t="s">
        <v>851</v>
      </c>
      <c r="EO3172">
        <v>103.29</v>
      </c>
    </row>
    <row r="3173" spans="142:145" x14ac:dyDescent="0.25">
      <c r="EL3173">
        <v>2001</v>
      </c>
      <c r="EM3173" t="s">
        <v>710</v>
      </c>
      <c r="EN3173" t="s">
        <v>851</v>
      </c>
      <c r="EO3173">
        <v>106.733</v>
      </c>
    </row>
    <row r="3174" spans="142:145" x14ac:dyDescent="0.25">
      <c r="EL3174">
        <v>2001</v>
      </c>
      <c r="EM3174" t="s">
        <v>711</v>
      </c>
      <c r="EN3174" t="s">
        <v>851</v>
      </c>
      <c r="EO3174">
        <v>103.29</v>
      </c>
    </row>
    <row r="3175" spans="142:145" x14ac:dyDescent="0.25">
      <c r="EL3175">
        <v>2001</v>
      </c>
      <c r="EM3175" t="s">
        <v>712</v>
      </c>
      <c r="EN3175" t="s">
        <v>851</v>
      </c>
      <c r="EO3175">
        <v>106.733</v>
      </c>
    </row>
    <row r="3176" spans="142:145" x14ac:dyDescent="0.25">
      <c r="EL3176">
        <v>2002</v>
      </c>
      <c r="EM3176" t="s">
        <v>719</v>
      </c>
      <c r="EN3176" t="s">
        <v>851</v>
      </c>
      <c r="EO3176">
        <v>106.733</v>
      </c>
    </row>
    <row r="3177" spans="142:145" x14ac:dyDescent="0.25">
      <c r="EL3177">
        <v>2002</v>
      </c>
      <c r="EM3177" t="s">
        <v>713</v>
      </c>
      <c r="EN3177" t="s">
        <v>851</v>
      </c>
      <c r="EO3177">
        <v>96.403999999999996</v>
      </c>
    </row>
    <row r="3178" spans="142:145" x14ac:dyDescent="0.25">
      <c r="EL3178">
        <v>2002</v>
      </c>
      <c r="EM3178" t="s">
        <v>714</v>
      </c>
      <c r="EN3178" t="s">
        <v>851</v>
      </c>
      <c r="EO3178">
        <v>106.733</v>
      </c>
    </row>
    <row r="3179" spans="142:145" x14ac:dyDescent="0.25">
      <c r="EL3179">
        <v>2002</v>
      </c>
      <c r="EM3179" t="s">
        <v>705</v>
      </c>
      <c r="EN3179" t="s">
        <v>851</v>
      </c>
      <c r="EO3179">
        <v>103.29</v>
      </c>
    </row>
    <row r="3180" spans="142:145" x14ac:dyDescent="0.25">
      <c r="EL3180">
        <v>2002</v>
      </c>
      <c r="EM3180" t="s">
        <v>715</v>
      </c>
      <c r="EN3180" t="s">
        <v>851</v>
      </c>
      <c r="EO3180">
        <v>106.733</v>
      </c>
    </row>
    <row r="3181" spans="142:145" x14ac:dyDescent="0.25">
      <c r="EL3181">
        <v>2002</v>
      </c>
      <c r="EM3181" t="s">
        <v>718</v>
      </c>
      <c r="EN3181" t="s">
        <v>851</v>
      </c>
      <c r="EO3181">
        <v>103.29</v>
      </c>
    </row>
    <row r="3182" spans="142:145" x14ac:dyDescent="0.25">
      <c r="EL3182">
        <v>2002</v>
      </c>
      <c r="EM3182" t="s">
        <v>716</v>
      </c>
      <c r="EN3182" t="s">
        <v>851</v>
      </c>
      <c r="EO3182">
        <v>106.733</v>
      </c>
    </row>
    <row r="3183" spans="142:145" x14ac:dyDescent="0.25">
      <c r="EL3183">
        <v>2002</v>
      </c>
      <c r="EM3183" t="s">
        <v>708</v>
      </c>
      <c r="EN3183" t="s">
        <v>851</v>
      </c>
      <c r="EO3183">
        <v>106.733</v>
      </c>
    </row>
    <row r="3184" spans="142:145" x14ac:dyDescent="0.25">
      <c r="EL3184">
        <v>2002</v>
      </c>
      <c r="EM3184" t="s">
        <v>709</v>
      </c>
      <c r="EN3184" t="s">
        <v>851</v>
      </c>
      <c r="EO3184">
        <v>103.29</v>
      </c>
    </row>
    <row r="3185" spans="142:145" x14ac:dyDescent="0.25">
      <c r="EL3185">
        <v>2002</v>
      </c>
      <c r="EM3185" t="s">
        <v>710</v>
      </c>
      <c r="EN3185" t="s">
        <v>851</v>
      </c>
      <c r="EO3185">
        <v>106.733</v>
      </c>
    </row>
    <row r="3186" spans="142:145" x14ac:dyDescent="0.25">
      <c r="EL3186">
        <v>2002</v>
      </c>
      <c r="EM3186" t="s">
        <v>711</v>
      </c>
      <c r="EN3186" t="s">
        <v>851</v>
      </c>
      <c r="EO3186">
        <v>103.29</v>
      </c>
    </row>
    <row r="3187" spans="142:145" x14ac:dyDescent="0.25">
      <c r="EL3187">
        <v>2002</v>
      </c>
      <c r="EM3187" t="s">
        <v>712</v>
      </c>
      <c r="EN3187" t="s">
        <v>851</v>
      </c>
      <c r="EO3187">
        <v>106.733</v>
      </c>
    </row>
    <row r="3188" spans="142:145" x14ac:dyDescent="0.25">
      <c r="EL3188">
        <v>2003</v>
      </c>
      <c r="EM3188" t="s">
        <v>719</v>
      </c>
      <c r="EN3188" t="s">
        <v>851</v>
      </c>
      <c r="EO3188">
        <v>106.733</v>
      </c>
    </row>
    <row r="3189" spans="142:145" x14ac:dyDescent="0.25">
      <c r="EL3189">
        <v>2003</v>
      </c>
      <c r="EM3189" t="s">
        <v>713</v>
      </c>
      <c r="EN3189" t="s">
        <v>851</v>
      </c>
      <c r="EO3189">
        <v>96.403999999999996</v>
      </c>
    </row>
    <row r="3190" spans="142:145" x14ac:dyDescent="0.25">
      <c r="EL3190">
        <v>2003</v>
      </c>
      <c r="EM3190" t="s">
        <v>714</v>
      </c>
      <c r="EN3190" t="s">
        <v>851</v>
      </c>
      <c r="EO3190">
        <v>106.733</v>
      </c>
    </row>
    <row r="3191" spans="142:145" x14ac:dyDescent="0.25">
      <c r="EL3191">
        <v>2003</v>
      </c>
      <c r="EM3191" t="s">
        <v>705</v>
      </c>
      <c r="EN3191" t="s">
        <v>851</v>
      </c>
      <c r="EO3191">
        <v>103.29</v>
      </c>
    </row>
    <row r="3192" spans="142:145" x14ac:dyDescent="0.25">
      <c r="EL3192">
        <v>2003</v>
      </c>
      <c r="EM3192" t="s">
        <v>715</v>
      </c>
      <c r="EN3192" t="s">
        <v>851</v>
      </c>
      <c r="EO3192">
        <v>106.733</v>
      </c>
    </row>
    <row r="3193" spans="142:145" x14ac:dyDescent="0.25">
      <c r="EL3193">
        <v>2003</v>
      </c>
      <c r="EM3193" t="s">
        <v>718</v>
      </c>
      <c r="EN3193" t="s">
        <v>851</v>
      </c>
      <c r="EO3193">
        <v>103.29</v>
      </c>
    </row>
    <row r="3194" spans="142:145" x14ac:dyDescent="0.25">
      <c r="EL3194">
        <v>2003</v>
      </c>
      <c r="EM3194" t="s">
        <v>716</v>
      </c>
      <c r="EN3194" t="s">
        <v>851</v>
      </c>
      <c r="EO3194">
        <v>106.733</v>
      </c>
    </row>
    <row r="3195" spans="142:145" x14ac:dyDescent="0.25">
      <c r="EL3195">
        <v>2003</v>
      </c>
      <c r="EM3195" t="s">
        <v>708</v>
      </c>
      <c r="EN3195" t="s">
        <v>851</v>
      </c>
      <c r="EO3195">
        <v>106.733</v>
      </c>
    </row>
    <row r="3196" spans="142:145" x14ac:dyDescent="0.25">
      <c r="EL3196">
        <v>2003</v>
      </c>
      <c r="EM3196" t="s">
        <v>709</v>
      </c>
      <c r="EN3196" t="s">
        <v>851</v>
      </c>
      <c r="EO3196">
        <v>103.29</v>
      </c>
    </row>
    <row r="3197" spans="142:145" x14ac:dyDescent="0.25">
      <c r="EL3197">
        <v>2003</v>
      </c>
      <c r="EM3197" t="s">
        <v>710</v>
      </c>
      <c r="EN3197" t="s">
        <v>851</v>
      </c>
      <c r="EO3197">
        <v>106.72548420329669</v>
      </c>
    </row>
    <row r="3198" spans="142:145" x14ac:dyDescent="0.25">
      <c r="EL3198">
        <v>2003</v>
      </c>
      <c r="EM3198" t="s">
        <v>711</v>
      </c>
      <c r="EN3198" t="s">
        <v>851</v>
      </c>
      <c r="EO3198">
        <v>103.28272664835164</v>
      </c>
    </row>
    <row r="3199" spans="142:145" x14ac:dyDescent="0.25">
      <c r="EL3199">
        <v>2003</v>
      </c>
      <c r="EM3199" t="s">
        <v>712</v>
      </c>
      <c r="EN3199" t="s">
        <v>851</v>
      </c>
      <c r="EO3199">
        <v>106.72548420329669</v>
      </c>
    </row>
    <row r="3200" spans="142:145" x14ac:dyDescent="0.25">
      <c r="EL3200">
        <v>2004</v>
      </c>
      <c r="EM3200" t="s">
        <v>719</v>
      </c>
      <c r="EN3200" t="s">
        <v>851</v>
      </c>
      <c r="EO3200">
        <v>106.72548420329669</v>
      </c>
    </row>
    <row r="3201" spans="142:145" x14ac:dyDescent="0.25">
      <c r="EL3201">
        <v>2004</v>
      </c>
      <c r="EM3201" t="s">
        <v>713</v>
      </c>
      <c r="EN3201" t="s">
        <v>851</v>
      </c>
      <c r="EO3201">
        <v>99.83996909340658</v>
      </c>
    </row>
    <row r="3202" spans="142:145" x14ac:dyDescent="0.25">
      <c r="EL3202">
        <v>2004</v>
      </c>
      <c r="EM3202" t="s">
        <v>714</v>
      </c>
      <c r="EN3202" t="s">
        <v>851</v>
      </c>
      <c r="EO3202">
        <v>106.72548420329669</v>
      </c>
    </row>
    <row r="3203" spans="142:145" x14ac:dyDescent="0.25">
      <c r="EL3203">
        <v>2004</v>
      </c>
      <c r="EM3203" t="s">
        <v>705</v>
      </c>
      <c r="EN3203" t="s">
        <v>851</v>
      </c>
      <c r="EO3203">
        <v>103.28272664835164</v>
      </c>
    </row>
    <row r="3204" spans="142:145" x14ac:dyDescent="0.25">
      <c r="EL3204">
        <v>2004</v>
      </c>
      <c r="EM3204" t="s">
        <v>715</v>
      </c>
      <c r="EN3204" t="s">
        <v>851</v>
      </c>
      <c r="EO3204">
        <v>106.72548420329669</v>
      </c>
    </row>
    <row r="3205" spans="142:145" x14ac:dyDescent="0.25">
      <c r="EL3205">
        <v>2004</v>
      </c>
      <c r="EM3205" t="s">
        <v>718</v>
      </c>
      <c r="EN3205" t="s">
        <v>851</v>
      </c>
      <c r="EO3205">
        <v>103.28272664835164</v>
      </c>
    </row>
    <row r="3206" spans="142:145" x14ac:dyDescent="0.25">
      <c r="EL3206">
        <v>2004</v>
      </c>
      <c r="EM3206" t="s">
        <v>716</v>
      </c>
      <c r="EN3206" t="s">
        <v>851</v>
      </c>
      <c r="EO3206">
        <v>106.72548420329669</v>
      </c>
    </row>
    <row r="3207" spans="142:145" x14ac:dyDescent="0.25">
      <c r="EL3207">
        <v>2004</v>
      </c>
      <c r="EM3207" t="s">
        <v>708</v>
      </c>
      <c r="EN3207" t="s">
        <v>851</v>
      </c>
      <c r="EO3207">
        <v>106.72548420329669</v>
      </c>
    </row>
    <row r="3208" spans="142:145" x14ac:dyDescent="0.25">
      <c r="EL3208">
        <v>2004</v>
      </c>
      <c r="EM3208" t="s">
        <v>709</v>
      </c>
      <c r="EN3208" t="s">
        <v>851</v>
      </c>
      <c r="EO3208">
        <v>103.28272664835164</v>
      </c>
    </row>
    <row r="3209" spans="142:145" x14ac:dyDescent="0.25">
      <c r="EL3209">
        <v>2004</v>
      </c>
      <c r="EM3209" t="s">
        <v>710</v>
      </c>
      <c r="EN3209" t="s">
        <v>851</v>
      </c>
      <c r="EO3209">
        <v>138.76832760989012</v>
      </c>
    </row>
    <row r="3210" spans="142:145" x14ac:dyDescent="0.25">
      <c r="EL3210">
        <v>2004</v>
      </c>
      <c r="EM3210" t="s">
        <v>711</v>
      </c>
      <c r="EN3210" t="s">
        <v>851</v>
      </c>
      <c r="EO3210">
        <v>136.63335164835166</v>
      </c>
    </row>
    <row r="3211" spans="142:145" x14ac:dyDescent="0.25">
      <c r="EL3211">
        <v>2004</v>
      </c>
      <c r="EM3211" t="s">
        <v>712</v>
      </c>
      <c r="EN3211" t="s">
        <v>851</v>
      </c>
      <c r="EO3211">
        <v>141.1877967032967</v>
      </c>
    </row>
    <row r="3212" spans="142:145" x14ac:dyDescent="0.25">
      <c r="EL3212">
        <v>2005</v>
      </c>
      <c r="EM3212" t="s">
        <v>719</v>
      </c>
      <c r="EN3212" t="s">
        <v>851</v>
      </c>
      <c r="EO3212">
        <v>141.1877967032967</v>
      </c>
    </row>
    <row r="3213" spans="142:145" x14ac:dyDescent="0.25">
      <c r="EL3213">
        <v>2005</v>
      </c>
      <c r="EM3213" t="s">
        <v>713</v>
      </c>
      <c r="EN3213" t="s">
        <v>851</v>
      </c>
      <c r="EO3213">
        <v>127.52446153846154</v>
      </c>
    </row>
    <row r="3214" spans="142:145" x14ac:dyDescent="0.25">
      <c r="EL3214">
        <v>2005</v>
      </c>
      <c r="EM3214" t="s">
        <v>714</v>
      </c>
      <c r="EN3214" t="s">
        <v>851</v>
      </c>
      <c r="EO3214">
        <v>141.1877967032967</v>
      </c>
    </row>
    <row r="3215" spans="142:145" x14ac:dyDescent="0.25">
      <c r="EL3215">
        <v>2005</v>
      </c>
      <c r="EM3215" t="s">
        <v>705</v>
      </c>
      <c r="EN3215" t="s">
        <v>851</v>
      </c>
      <c r="EO3215">
        <v>136.63335164835166</v>
      </c>
    </row>
    <row r="3216" spans="142:145" x14ac:dyDescent="0.25">
      <c r="EL3216">
        <v>2005</v>
      </c>
      <c r="EM3216" t="s">
        <v>715</v>
      </c>
      <c r="EN3216" t="s">
        <v>851</v>
      </c>
      <c r="EO3216">
        <v>141.1877967032967</v>
      </c>
    </row>
    <row r="3217" spans="142:145" x14ac:dyDescent="0.25">
      <c r="EL3217">
        <v>2005</v>
      </c>
      <c r="EM3217" t="s">
        <v>718</v>
      </c>
      <c r="EN3217" t="s">
        <v>851</v>
      </c>
      <c r="EO3217">
        <v>136.63335164835166</v>
      </c>
    </row>
    <row r="3218" spans="142:145" x14ac:dyDescent="0.25">
      <c r="EL3218">
        <v>2005</v>
      </c>
      <c r="EM3218" t="s">
        <v>716</v>
      </c>
      <c r="EN3218" t="s">
        <v>851</v>
      </c>
      <c r="EO3218">
        <v>141.1877967032967</v>
      </c>
    </row>
    <row r="3219" spans="142:145" x14ac:dyDescent="0.25">
      <c r="EL3219">
        <v>2005</v>
      </c>
      <c r="EM3219" t="s">
        <v>708</v>
      </c>
      <c r="EN3219" t="s">
        <v>851</v>
      </c>
      <c r="EO3219">
        <v>141.1877967032967</v>
      </c>
    </row>
    <row r="3220" spans="142:145" x14ac:dyDescent="0.25">
      <c r="EL3220">
        <v>2005</v>
      </c>
      <c r="EM3220" t="s">
        <v>709</v>
      </c>
      <c r="EN3220" t="s">
        <v>851</v>
      </c>
      <c r="EO3220">
        <v>136.63335164835166</v>
      </c>
    </row>
    <row r="3221" spans="142:145" x14ac:dyDescent="0.25">
      <c r="EL3221">
        <v>2005</v>
      </c>
      <c r="EM3221" t="s">
        <v>710</v>
      </c>
      <c r="EN3221" t="s">
        <v>851</v>
      </c>
      <c r="EO3221">
        <v>117.937</v>
      </c>
    </row>
    <row r="3222" spans="142:145" x14ac:dyDescent="0.25">
      <c r="EL3222">
        <v>2005</v>
      </c>
      <c r="EM3222" t="s">
        <v>711</v>
      </c>
      <c r="EN3222" t="s">
        <v>851</v>
      </c>
      <c r="EO3222">
        <v>114.13200000000001</v>
      </c>
    </row>
    <row r="3223" spans="142:145" x14ac:dyDescent="0.25">
      <c r="EL3223">
        <v>2005</v>
      </c>
      <c r="EM3223" t="s">
        <v>712</v>
      </c>
      <c r="EN3223" t="s">
        <v>851</v>
      </c>
      <c r="EO3223">
        <v>117.93668345890411</v>
      </c>
    </row>
    <row r="3224" spans="142:145" x14ac:dyDescent="0.25">
      <c r="EL3224">
        <v>2006</v>
      </c>
      <c r="EM3224" t="s">
        <v>719</v>
      </c>
      <c r="EN3224" t="s">
        <v>851</v>
      </c>
      <c r="EO3224">
        <v>117.93668345890411</v>
      </c>
    </row>
    <row r="3225" spans="142:145" x14ac:dyDescent="0.25">
      <c r="EL3225">
        <v>2006</v>
      </c>
      <c r="EM3225" t="s">
        <v>713</v>
      </c>
      <c r="EN3225" t="s">
        <v>851</v>
      </c>
      <c r="EO3225">
        <v>106.52345602739726</v>
      </c>
    </row>
    <row r="3226" spans="142:145" x14ac:dyDescent="0.25">
      <c r="EL3226">
        <v>2006</v>
      </c>
      <c r="EM3226" t="s">
        <v>714</v>
      </c>
      <c r="EN3226" t="s">
        <v>851</v>
      </c>
      <c r="EO3226">
        <v>117.93668345890411</v>
      </c>
    </row>
    <row r="3227" spans="142:145" x14ac:dyDescent="0.25">
      <c r="EL3227">
        <v>2006</v>
      </c>
      <c r="EM3227" t="s">
        <v>705</v>
      </c>
      <c r="EN3227" t="s">
        <v>851</v>
      </c>
      <c r="EO3227">
        <v>114.1322743150685</v>
      </c>
    </row>
    <row r="3228" spans="142:145" x14ac:dyDescent="0.25">
      <c r="EL3228">
        <v>2006</v>
      </c>
      <c r="EM3228" t="s">
        <v>715</v>
      </c>
      <c r="EN3228" t="s">
        <v>851</v>
      </c>
      <c r="EO3228">
        <v>117.93668345890411</v>
      </c>
    </row>
    <row r="3229" spans="142:145" x14ac:dyDescent="0.25">
      <c r="EL3229">
        <v>2006</v>
      </c>
      <c r="EM3229" t="s">
        <v>718</v>
      </c>
      <c r="EN3229" t="s">
        <v>851</v>
      </c>
      <c r="EO3229">
        <v>114.1322743150685</v>
      </c>
    </row>
    <row r="3230" spans="142:145" x14ac:dyDescent="0.25">
      <c r="EL3230">
        <v>2006</v>
      </c>
      <c r="EM3230" t="s">
        <v>716</v>
      </c>
      <c r="EN3230" t="s">
        <v>851</v>
      </c>
      <c r="EO3230">
        <v>117.93668345890411</v>
      </c>
    </row>
    <row r="3231" spans="142:145" x14ac:dyDescent="0.25">
      <c r="EL3231">
        <v>2006</v>
      </c>
      <c r="EM3231" t="s">
        <v>708</v>
      </c>
      <c r="EN3231" t="s">
        <v>851</v>
      </c>
      <c r="EO3231">
        <v>117.93668345890411</v>
      </c>
    </row>
    <row r="3232" spans="142:145" x14ac:dyDescent="0.25">
      <c r="EL3232">
        <v>2006</v>
      </c>
      <c r="EM3232" t="s">
        <v>709</v>
      </c>
      <c r="EN3232" t="s">
        <v>851</v>
      </c>
      <c r="EO3232">
        <v>114.1322743150685</v>
      </c>
    </row>
    <row r="3233" spans="142:145" x14ac:dyDescent="0.25">
      <c r="EL3233">
        <v>2006</v>
      </c>
      <c r="EM3233" t="s">
        <v>710</v>
      </c>
      <c r="EN3233" t="s">
        <v>851</v>
      </c>
      <c r="EO3233">
        <v>120.60877103082191</v>
      </c>
    </row>
    <row r="3234" spans="142:145" x14ac:dyDescent="0.25">
      <c r="EL3234">
        <v>2006</v>
      </c>
      <c r="EM3234" t="s">
        <v>711</v>
      </c>
      <c r="EN3234" t="s">
        <v>851</v>
      </c>
      <c r="EO3234">
        <v>116.71816551369862</v>
      </c>
    </row>
    <row r="3235" spans="142:145" x14ac:dyDescent="0.25">
      <c r="EL3235">
        <v>2006</v>
      </c>
      <c r="EM3235" t="s">
        <v>712</v>
      </c>
      <c r="EN3235" t="s">
        <v>851</v>
      </c>
      <c r="EO3235">
        <v>120.60877103082191</v>
      </c>
    </row>
    <row r="3236" spans="142:145" x14ac:dyDescent="0.25">
      <c r="EL3236">
        <v>2007</v>
      </c>
      <c r="EM3236" t="s">
        <v>719</v>
      </c>
      <c r="EN3236" t="s">
        <v>851</v>
      </c>
      <c r="EO3236">
        <v>120.60877103082191</v>
      </c>
    </row>
    <row r="3237" spans="142:145" x14ac:dyDescent="0.25">
      <c r="EL3237">
        <v>2007</v>
      </c>
      <c r="EM3237" t="s">
        <v>713</v>
      </c>
      <c r="EN3237" t="s">
        <v>851</v>
      </c>
      <c r="EO3237">
        <v>108.93695447945206</v>
      </c>
    </row>
    <row r="3238" spans="142:145" x14ac:dyDescent="0.25">
      <c r="EL3238">
        <v>2007</v>
      </c>
      <c r="EM3238" t="s">
        <v>714</v>
      </c>
      <c r="EN3238" t="s">
        <v>851</v>
      </c>
      <c r="EO3238">
        <v>120.60877103082191</v>
      </c>
    </row>
    <row r="3239" spans="142:145" x14ac:dyDescent="0.25">
      <c r="EL3239">
        <v>2007</v>
      </c>
      <c r="EM3239" t="s">
        <v>705</v>
      </c>
      <c r="EN3239" t="s">
        <v>851</v>
      </c>
      <c r="EO3239">
        <v>116.71816551369862</v>
      </c>
    </row>
    <row r="3240" spans="142:145" x14ac:dyDescent="0.25">
      <c r="EL3240">
        <v>2007</v>
      </c>
      <c r="EM3240" t="s">
        <v>715</v>
      </c>
      <c r="EN3240" t="s">
        <v>851</v>
      </c>
      <c r="EO3240">
        <v>120.60877103082191</v>
      </c>
    </row>
    <row r="3241" spans="142:145" x14ac:dyDescent="0.25">
      <c r="EL3241">
        <v>2007</v>
      </c>
      <c r="EM3241" t="s">
        <v>718</v>
      </c>
      <c r="EN3241" t="s">
        <v>851</v>
      </c>
      <c r="EO3241">
        <v>116.71816551369862</v>
      </c>
    </row>
    <row r="3242" spans="142:145" x14ac:dyDescent="0.25">
      <c r="EL3242">
        <v>2007</v>
      </c>
      <c r="EM3242" t="s">
        <v>716</v>
      </c>
      <c r="EN3242" t="s">
        <v>851</v>
      </c>
      <c r="EO3242">
        <v>120.60877103082191</v>
      </c>
    </row>
    <row r="3243" spans="142:145" x14ac:dyDescent="0.25">
      <c r="EL3243">
        <v>2007</v>
      </c>
      <c r="EM3243" t="s">
        <v>708</v>
      </c>
      <c r="EN3243" t="s">
        <v>851</v>
      </c>
      <c r="EO3243">
        <v>120.60877103082191</v>
      </c>
    </row>
    <row r="3244" spans="142:145" x14ac:dyDescent="0.25">
      <c r="EL3244">
        <v>2007</v>
      </c>
      <c r="EM3244" t="s">
        <v>709</v>
      </c>
      <c r="EN3244" t="s">
        <v>851</v>
      </c>
      <c r="EO3244">
        <v>116.71816551369862</v>
      </c>
    </row>
    <row r="3245" spans="142:145" x14ac:dyDescent="0.25">
      <c r="EL3245">
        <v>2007</v>
      </c>
      <c r="EM3245" t="s">
        <v>710</v>
      </c>
      <c r="EN3245" t="s">
        <v>851</v>
      </c>
      <c r="EO3245">
        <v>129.65449964890712</v>
      </c>
    </row>
    <row r="3246" spans="142:145" x14ac:dyDescent="0.25">
      <c r="EL3246">
        <v>2007</v>
      </c>
      <c r="EM3246" t="s">
        <v>711</v>
      </c>
      <c r="EN3246" t="s">
        <v>851</v>
      </c>
      <c r="EO3246">
        <v>125.47209643442625</v>
      </c>
    </row>
    <row r="3247" spans="142:145" x14ac:dyDescent="0.25">
      <c r="EL3247">
        <v>2007</v>
      </c>
      <c r="EM3247" t="s">
        <v>712</v>
      </c>
      <c r="EN3247" t="s">
        <v>851</v>
      </c>
      <c r="EO3247">
        <v>129.65449964890712</v>
      </c>
    </row>
    <row r="3248" spans="142:145" x14ac:dyDescent="0.25">
      <c r="EL3248">
        <v>2008</v>
      </c>
      <c r="EM3248" t="s">
        <v>719</v>
      </c>
      <c r="EN3248" t="s">
        <v>851</v>
      </c>
      <c r="EO3248">
        <v>129.65449964890712</v>
      </c>
    </row>
    <row r="3249" spans="142:145" x14ac:dyDescent="0.25">
      <c r="EL3249">
        <v>2008</v>
      </c>
      <c r="EM3249" t="s">
        <v>713</v>
      </c>
      <c r="EN3249" t="s">
        <v>851</v>
      </c>
      <c r="EO3249">
        <v>121.28969321994536</v>
      </c>
    </row>
    <row r="3250" spans="142:145" x14ac:dyDescent="0.25">
      <c r="EL3250">
        <v>2008</v>
      </c>
      <c r="EM3250" t="s">
        <v>714</v>
      </c>
      <c r="EN3250" t="s">
        <v>851</v>
      </c>
      <c r="EO3250">
        <v>129.65449964890712</v>
      </c>
    </row>
    <row r="3251" spans="142:145" x14ac:dyDescent="0.25">
      <c r="EL3251">
        <v>2008</v>
      </c>
      <c r="EM3251" t="s">
        <v>705</v>
      </c>
      <c r="EN3251" t="s">
        <v>851</v>
      </c>
      <c r="EO3251">
        <v>125.47209643442625</v>
      </c>
    </row>
    <row r="3252" spans="142:145" x14ac:dyDescent="0.25">
      <c r="EL3252">
        <v>2008</v>
      </c>
      <c r="EM3252" t="s">
        <v>715</v>
      </c>
      <c r="EN3252" t="s">
        <v>851</v>
      </c>
      <c r="EO3252">
        <v>129.65449964890712</v>
      </c>
    </row>
    <row r="3253" spans="142:145" x14ac:dyDescent="0.25">
      <c r="EL3253">
        <v>2008</v>
      </c>
      <c r="EM3253" t="s">
        <v>718</v>
      </c>
      <c r="EN3253" t="s">
        <v>851</v>
      </c>
      <c r="EO3253">
        <v>125.47209643442625</v>
      </c>
    </row>
    <row r="3254" spans="142:145" x14ac:dyDescent="0.25">
      <c r="EL3254">
        <v>2008</v>
      </c>
      <c r="EM3254" t="s">
        <v>716</v>
      </c>
      <c r="EN3254" t="s">
        <v>851</v>
      </c>
      <c r="EO3254">
        <v>129.65449964890712</v>
      </c>
    </row>
    <row r="3255" spans="142:145" x14ac:dyDescent="0.25">
      <c r="EL3255">
        <v>2008</v>
      </c>
      <c r="EM3255" t="s">
        <v>708</v>
      </c>
      <c r="EN3255" t="s">
        <v>851</v>
      </c>
      <c r="EO3255">
        <v>129.65449964890712</v>
      </c>
    </row>
    <row r="3256" spans="142:145" x14ac:dyDescent="0.25">
      <c r="EL3256">
        <v>2008</v>
      </c>
      <c r="EM3256" t="s">
        <v>709</v>
      </c>
      <c r="EN3256" t="s">
        <v>851</v>
      </c>
      <c r="EO3256">
        <v>125.47209643442625</v>
      </c>
    </row>
    <row r="3257" spans="142:145" x14ac:dyDescent="0.25">
      <c r="EL3257">
        <v>2008</v>
      </c>
      <c r="EM3257" t="s">
        <v>710</v>
      </c>
      <c r="EN3257" t="s">
        <v>851</v>
      </c>
      <c r="EO3257">
        <v>128.28815993150684</v>
      </c>
    </row>
    <row r="3258" spans="142:145" x14ac:dyDescent="0.25">
      <c r="EL3258">
        <v>2008</v>
      </c>
      <c r="EM3258" t="s">
        <v>711</v>
      </c>
      <c r="EN3258" t="s">
        <v>851</v>
      </c>
      <c r="EO3258">
        <v>124.14983938356164</v>
      </c>
    </row>
    <row r="3259" spans="142:145" x14ac:dyDescent="0.25">
      <c r="EL3259">
        <v>2008</v>
      </c>
      <c r="EM3259" t="s">
        <v>712</v>
      </c>
      <c r="EN3259" t="s">
        <v>851</v>
      </c>
      <c r="EO3259">
        <v>128.28816736301371</v>
      </c>
    </row>
    <row r="3260" spans="142:145" x14ac:dyDescent="0.25">
      <c r="EL3260">
        <v>2009</v>
      </c>
      <c r="EM3260" t="s">
        <v>719</v>
      </c>
      <c r="EN3260" t="s">
        <v>851</v>
      </c>
      <c r="EO3260">
        <v>128.28816736301371</v>
      </c>
    </row>
    <row r="3261" spans="142:145" x14ac:dyDescent="0.25">
      <c r="EL3261">
        <v>2009</v>
      </c>
      <c r="EM3261" t="s">
        <v>713</v>
      </c>
      <c r="EN3261" t="s">
        <v>851</v>
      </c>
      <c r="EO3261">
        <v>115.87318342465754</v>
      </c>
    </row>
    <row r="3262" spans="142:145" x14ac:dyDescent="0.25">
      <c r="EL3262">
        <v>2009</v>
      </c>
      <c r="EM3262" t="s">
        <v>714</v>
      </c>
      <c r="EN3262" t="s">
        <v>851</v>
      </c>
      <c r="EO3262">
        <v>128.28816736301371</v>
      </c>
    </row>
    <row r="3263" spans="142:145" x14ac:dyDescent="0.25">
      <c r="EL3263">
        <v>2009</v>
      </c>
      <c r="EM3263" t="s">
        <v>705</v>
      </c>
      <c r="EN3263" t="s">
        <v>851</v>
      </c>
      <c r="EO3263">
        <v>124.14983938356164</v>
      </c>
    </row>
    <row r="3264" spans="142:145" x14ac:dyDescent="0.25">
      <c r="EL3264">
        <v>2009</v>
      </c>
      <c r="EM3264" t="s">
        <v>715</v>
      </c>
      <c r="EN3264" t="s">
        <v>851</v>
      </c>
      <c r="EO3264">
        <v>128.28816736301371</v>
      </c>
    </row>
    <row r="3265" spans="142:145" x14ac:dyDescent="0.25">
      <c r="EL3265">
        <v>2009</v>
      </c>
      <c r="EM3265" t="s">
        <v>718</v>
      </c>
      <c r="EN3265" t="s">
        <v>851</v>
      </c>
      <c r="EO3265">
        <v>124.14983938356164</v>
      </c>
    </row>
    <row r="3266" spans="142:145" x14ac:dyDescent="0.25">
      <c r="EL3266">
        <v>2009</v>
      </c>
      <c r="EM3266" t="s">
        <v>716</v>
      </c>
      <c r="EN3266" t="s">
        <v>851</v>
      </c>
      <c r="EO3266">
        <v>128.28816736301371</v>
      </c>
    </row>
    <row r="3267" spans="142:145" x14ac:dyDescent="0.25">
      <c r="EL3267">
        <v>2009</v>
      </c>
      <c r="EM3267" t="s">
        <v>708</v>
      </c>
      <c r="EN3267" t="s">
        <v>851</v>
      </c>
      <c r="EO3267">
        <v>128.28816736301371</v>
      </c>
    </row>
    <row r="3268" spans="142:145" x14ac:dyDescent="0.25">
      <c r="EL3268">
        <v>2009</v>
      </c>
      <c r="EM3268" t="s">
        <v>709</v>
      </c>
      <c r="EN3268" t="s">
        <v>851</v>
      </c>
      <c r="EO3268">
        <v>124.14983938356164</v>
      </c>
    </row>
    <row r="3269" spans="142:145" x14ac:dyDescent="0.25">
      <c r="EL3269">
        <v>2009</v>
      </c>
      <c r="EM3269" t="s">
        <v>710</v>
      </c>
      <c r="EN3269" t="s">
        <v>851</v>
      </c>
      <c r="EO3269">
        <v>156.11242119863016</v>
      </c>
    </row>
    <row r="3270" spans="142:145" x14ac:dyDescent="0.25">
      <c r="EL3270">
        <v>2009</v>
      </c>
      <c r="EM3270" t="s">
        <v>711</v>
      </c>
      <c r="EN3270" t="s">
        <v>851</v>
      </c>
      <c r="EO3270">
        <v>151.07653664383562</v>
      </c>
    </row>
    <row r="3271" spans="142:145" x14ac:dyDescent="0.25">
      <c r="EL3271">
        <v>2009</v>
      </c>
      <c r="EM3271" t="s">
        <v>712</v>
      </c>
      <c r="EN3271" t="s">
        <v>851</v>
      </c>
      <c r="EO3271">
        <v>156.11242119863016</v>
      </c>
    </row>
    <row r="3272" spans="142:145" x14ac:dyDescent="0.25">
      <c r="EL3272">
        <v>2010</v>
      </c>
      <c r="EM3272" t="s">
        <v>719</v>
      </c>
      <c r="EN3272" t="s">
        <v>851</v>
      </c>
      <c r="EO3272">
        <v>156.11242119863016</v>
      </c>
    </row>
    <row r="3273" spans="142:145" x14ac:dyDescent="0.25">
      <c r="EL3273">
        <v>2010</v>
      </c>
      <c r="EM3273" t="s">
        <v>713</v>
      </c>
      <c r="EN3273" t="s">
        <v>851</v>
      </c>
      <c r="EO3273">
        <v>141.00476753424658</v>
      </c>
    </row>
    <row r="3274" spans="142:145" x14ac:dyDescent="0.25">
      <c r="EL3274">
        <v>2010</v>
      </c>
      <c r="EM3274" t="s">
        <v>714</v>
      </c>
      <c r="EN3274" t="s">
        <v>851</v>
      </c>
      <c r="EO3274">
        <v>156.11242119863016</v>
      </c>
    </row>
    <row r="3275" spans="142:145" x14ac:dyDescent="0.25">
      <c r="EL3275">
        <v>2010</v>
      </c>
      <c r="EM3275" t="s">
        <v>705</v>
      </c>
      <c r="EN3275" t="s">
        <v>851</v>
      </c>
      <c r="EO3275">
        <v>151.07653664383562</v>
      </c>
    </row>
    <row r="3276" spans="142:145" x14ac:dyDescent="0.25">
      <c r="EL3276">
        <v>2010</v>
      </c>
      <c r="EM3276" t="s">
        <v>715</v>
      </c>
      <c r="EN3276" t="s">
        <v>851</v>
      </c>
      <c r="EO3276">
        <v>156.11242119863016</v>
      </c>
    </row>
    <row r="3277" spans="142:145" x14ac:dyDescent="0.25">
      <c r="EL3277">
        <v>2010</v>
      </c>
      <c r="EM3277" t="s">
        <v>718</v>
      </c>
      <c r="EN3277" t="s">
        <v>851</v>
      </c>
      <c r="EO3277">
        <v>151.07653664383562</v>
      </c>
    </row>
    <row r="3278" spans="142:145" x14ac:dyDescent="0.25">
      <c r="EL3278">
        <v>2010</v>
      </c>
      <c r="EM3278" t="s">
        <v>716</v>
      </c>
      <c r="EN3278" t="s">
        <v>851</v>
      </c>
      <c r="EO3278">
        <v>156.11242119863016</v>
      </c>
    </row>
    <row r="3279" spans="142:145" x14ac:dyDescent="0.25">
      <c r="EL3279">
        <v>2010</v>
      </c>
      <c r="EM3279" t="s">
        <v>708</v>
      </c>
      <c r="EN3279" t="s">
        <v>851</v>
      </c>
      <c r="EO3279">
        <v>156.11242119863016</v>
      </c>
    </row>
    <row r="3280" spans="142:145" x14ac:dyDescent="0.25">
      <c r="EL3280">
        <v>2010</v>
      </c>
      <c r="EM3280" t="s">
        <v>709</v>
      </c>
      <c r="EN3280" t="s">
        <v>851</v>
      </c>
      <c r="EO3280">
        <v>151.07653664383562</v>
      </c>
    </row>
    <row r="3281" spans="142:145" x14ac:dyDescent="0.25">
      <c r="EL3281">
        <v>2010</v>
      </c>
      <c r="EM3281" t="s">
        <v>710</v>
      </c>
      <c r="EN3281" t="s">
        <v>851</v>
      </c>
      <c r="EO3281">
        <v>135.20283732876712</v>
      </c>
    </row>
    <row r="3282" spans="142:145" x14ac:dyDescent="0.25">
      <c r="EL3282">
        <v>2010</v>
      </c>
      <c r="EM3282" t="s">
        <v>711</v>
      </c>
      <c r="EN3282" t="s">
        <v>851</v>
      </c>
      <c r="EO3282">
        <v>130.84145547945207</v>
      </c>
    </row>
    <row r="3283" spans="142:145" x14ac:dyDescent="0.25">
      <c r="EL3283">
        <v>2010</v>
      </c>
      <c r="EM3283" t="s">
        <v>712</v>
      </c>
      <c r="EN3283" t="s">
        <v>851</v>
      </c>
      <c r="EO3283">
        <v>135.20283732876712</v>
      </c>
    </row>
    <row r="3284" spans="142:145" x14ac:dyDescent="0.25">
      <c r="EL3284">
        <v>2011</v>
      </c>
      <c r="EM3284" t="s">
        <v>719</v>
      </c>
      <c r="EN3284" t="s">
        <v>851</v>
      </c>
      <c r="EO3284">
        <v>135.20283732876712</v>
      </c>
    </row>
    <row r="3285" spans="142:145" x14ac:dyDescent="0.25">
      <c r="EL3285">
        <v>2011</v>
      </c>
      <c r="EM3285" t="s">
        <v>713</v>
      </c>
      <c r="EN3285" t="s">
        <v>851</v>
      </c>
      <c r="EO3285">
        <v>122.11869178082192</v>
      </c>
    </row>
    <row r="3286" spans="142:145" x14ac:dyDescent="0.25">
      <c r="EL3286">
        <v>2011</v>
      </c>
      <c r="EM3286" t="s">
        <v>714</v>
      </c>
      <c r="EN3286" t="s">
        <v>851</v>
      </c>
      <c r="EO3286">
        <v>135.20283732876712</v>
      </c>
    </row>
    <row r="3287" spans="142:145" x14ac:dyDescent="0.25">
      <c r="EL3287">
        <v>2011</v>
      </c>
      <c r="EM3287" t="s">
        <v>705</v>
      </c>
      <c r="EN3287" t="s">
        <v>851</v>
      </c>
      <c r="EO3287">
        <v>130.84145547945207</v>
      </c>
    </row>
    <row r="3288" spans="142:145" x14ac:dyDescent="0.25">
      <c r="EL3288">
        <v>2011</v>
      </c>
      <c r="EM3288" t="s">
        <v>715</v>
      </c>
      <c r="EN3288" t="s">
        <v>851</v>
      </c>
      <c r="EO3288">
        <v>135.20283732876712</v>
      </c>
    </row>
    <row r="3289" spans="142:145" x14ac:dyDescent="0.25">
      <c r="EL3289">
        <v>2011</v>
      </c>
      <c r="EM3289" t="s">
        <v>718</v>
      </c>
      <c r="EN3289" t="s">
        <v>851</v>
      </c>
      <c r="EO3289">
        <v>130.84145547945207</v>
      </c>
    </row>
    <row r="3290" spans="142:145" x14ac:dyDescent="0.25">
      <c r="EL3290">
        <v>2011</v>
      </c>
      <c r="EM3290" t="s">
        <v>716</v>
      </c>
      <c r="EN3290" t="s">
        <v>851</v>
      </c>
      <c r="EO3290">
        <v>135.20283732876712</v>
      </c>
    </row>
    <row r="3291" spans="142:145" x14ac:dyDescent="0.25">
      <c r="EL3291">
        <v>2011</v>
      </c>
      <c r="EM3291" t="s">
        <v>708</v>
      </c>
      <c r="EN3291" t="s">
        <v>851</v>
      </c>
      <c r="EO3291">
        <v>135.20283732876712</v>
      </c>
    </row>
    <row r="3292" spans="142:145" x14ac:dyDescent="0.25">
      <c r="EL3292">
        <v>2011</v>
      </c>
      <c r="EM3292" t="s">
        <v>709</v>
      </c>
      <c r="EN3292" t="s">
        <v>851</v>
      </c>
      <c r="EO3292">
        <v>130.84145547945207</v>
      </c>
    </row>
    <row r="3293" spans="142:145" x14ac:dyDescent="0.25">
      <c r="EL3293">
        <v>2011</v>
      </c>
      <c r="EM3293" t="s">
        <v>710</v>
      </c>
      <c r="EN3293" t="s">
        <v>851</v>
      </c>
      <c r="EO3293">
        <v>181.26690030737703</v>
      </c>
    </row>
    <row r="3294" spans="142:145" x14ac:dyDescent="0.25">
      <c r="EL3294">
        <v>2011</v>
      </c>
      <c r="EM3294" t="s">
        <v>711</v>
      </c>
      <c r="EN3294" t="s">
        <v>851</v>
      </c>
      <c r="EO3294">
        <v>175.41958094262293</v>
      </c>
    </row>
    <row r="3295" spans="142:145" x14ac:dyDescent="0.25">
      <c r="EL3295">
        <v>2011</v>
      </c>
      <c r="EM3295" t="s">
        <v>712</v>
      </c>
      <c r="EN3295" t="s">
        <v>851</v>
      </c>
      <c r="EO3295">
        <v>181.26690030737703</v>
      </c>
    </row>
    <row r="3296" spans="142:145" x14ac:dyDescent="0.25">
      <c r="EL3296">
        <v>2012</v>
      </c>
      <c r="EM3296" t="s">
        <v>719</v>
      </c>
      <c r="EN3296" t="s">
        <v>851</v>
      </c>
      <c r="EO3296">
        <v>181.26690030737703</v>
      </c>
    </row>
    <row r="3297" spans="142:145" x14ac:dyDescent="0.25">
      <c r="EL3297">
        <v>2012</v>
      </c>
      <c r="EM3297" t="s">
        <v>713</v>
      </c>
      <c r="EN3297" t="s">
        <v>851</v>
      </c>
      <c r="EO3297">
        <v>169.57226157786883</v>
      </c>
    </row>
    <row r="3298" spans="142:145" x14ac:dyDescent="0.25">
      <c r="EL3298">
        <v>2012</v>
      </c>
      <c r="EM3298" t="s">
        <v>714</v>
      </c>
      <c r="EN3298" t="s">
        <v>851</v>
      </c>
      <c r="EO3298">
        <v>181.26690030737703</v>
      </c>
    </row>
    <row r="3299" spans="142:145" x14ac:dyDescent="0.25">
      <c r="EL3299">
        <v>2012</v>
      </c>
      <c r="EM3299" t="s">
        <v>705</v>
      </c>
      <c r="EN3299" t="s">
        <v>851</v>
      </c>
      <c r="EO3299">
        <v>175.41958094262293</v>
      </c>
    </row>
    <row r="3300" spans="142:145" x14ac:dyDescent="0.25">
      <c r="EL3300">
        <v>2012</v>
      </c>
      <c r="EM3300" t="s">
        <v>715</v>
      </c>
      <c r="EN3300" t="s">
        <v>851</v>
      </c>
      <c r="EO3300">
        <v>181.26690030737703</v>
      </c>
    </row>
    <row r="3301" spans="142:145" x14ac:dyDescent="0.25">
      <c r="EL3301">
        <v>2012</v>
      </c>
      <c r="EM3301" t="s">
        <v>718</v>
      </c>
      <c r="EN3301" t="s">
        <v>851</v>
      </c>
      <c r="EO3301">
        <v>175.42</v>
      </c>
    </row>
    <row r="3302" spans="142:145" x14ac:dyDescent="0.25">
      <c r="EL3302">
        <v>2012</v>
      </c>
      <c r="EM3302" t="s">
        <v>716</v>
      </c>
      <c r="EN3302" t="s">
        <v>851</v>
      </c>
      <c r="EO3302">
        <v>181.26690030737703</v>
      </c>
    </row>
    <row r="3303" spans="142:145" x14ac:dyDescent="0.25">
      <c r="EL3303">
        <v>2012</v>
      </c>
      <c r="EM3303" t="s">
        <v>708</v>
      </c>
      <c r="EN3303" t="s">
        <v>851</v>
      </c>
      <c r="EO3303">
        <v>181.267</v>
      </c>
    </row>
    <row r="3304" spans="142:145" x14ac:dyDescent="0.25">
      <c r="EL3304">
        <v>2012</v>
      </c>
      <c r="EM3304" t="s">
        <v>709</v>
      </c>
      <c r="EN3304" t="s">
        <v>851</v>
      </c>
      <c r="EO3304">
        <v>175.42</v>
      </c>
    </row>
    <row r="3305" spans="142:145" x14ac:dyDescent="0.25">
      <c r="EL3305">
        <v>2012</v>
      </c>
      <c r="EM3305" t="s">
        <v>710</v>
      </c>
      <c r="EN3305" t="s">
        <v>851</v>
      </c>
      <c r="EO3305">
        <v>193.98</v>
      </c>
    </row>
    <row r="3306" spans="142:145" x14ac:dyDescent="0.25">
      <c r="EL3306">
        <v>2012</v>
      </c>
      <c r="EM3306" t="s">
        <v>711</v>
      </c>
      <c r="EN3306" t="s">
        <v>851</v>
      </c>
      <c r="EO3306">
        <v>187.72300000000001</v>
      </c>
    </row>
    <row r="3307" spans="142:145" x14ac:dyDescent="0.25">
      <c r="EL3307">
        <v>2012</v>
      </c>
      <c r="EM3307" t="s">
        <v>712</v>
      </c>
      <c r="EN3307" t="s">
        <v>851</v>
      </c>
      <c r="EO3307">
        <v>193.97993784153007</v>
      </c>
    </row>
    <row r="3308" spans="142:145" x14ac:dyDescent="0.25">
      <c r="EL3308">
        <v>2013</v>
      </c>
      <c r="EM3308" t="s">
        <v>719</v>
      </c>
      <c r="EN3308" t="s">
        <v>851</v>
      </c>
      <c r="EO3308">
        <v>193.98</v>
      </c>
    </row>
    <row r="3309" spans="142:145" x14ac:dyDescent="0.25">
      <c r="EL3309">
        <v>2013</v>
      </c>
      <c r="EM3309" t="s">
        <v>713</v>
      </c>
      <c r="EN3309" t="s">
        <v>851</v>
      </c>
      <c r="EO3309">
        <v>175.208</v>
      </c>
    </row>
    <row r="3310" spans="142:145" x14ac:dyDescent="0.25">
      <c r="EL3310">
        <v>2013</v>
      </c>
      <c r="EM3310" t="s">
        <v>714</v>
      </c>
      <c r="EN3310" t="s">
        <v>851</v>
      </c>
      <c r="EO3310">
        <v>193.98</v>
      </c>
    </row>
    <row r="3311" spans="142:145" x14ac:dyDescent="0.25">
      <c r="EL3311">
        <v>2013</v>
      </c>
      <c r="EM3311" t="s">
        <v>705</v>
      </c>
      <c r="EN3311" t="s">
        <v>851</v>
      </c>
      <c r="EO3311">
        <v>187.72300000000001</v>
      </c>
    </row>
    <row r="3312" spans="142:145" x14ac:dyDescent="0.25">
      <c r="EL3312">
        <v>2013</v>
      </c>
      <c r="EM3312" t="s">
        <v>715</v>
      </c>
      <c r="EN3312" t="s">
        <v>851</v>
      </c>
      <c r="EO3312">
        <v>193.98</v>
      </c>
    </row>
    <row r="3313" spans="142:145" x14ac:dyDescent="0.25">
      <c r="EL3313">
        <v>2013</v>
      </c>
      <c r="EM3313" t="s">
        <v>718</v>
      </c>
      <c r="EN3313" t="s">
        <v>851</v>
      </c>
      <c r="EO3313">
        <v>187.72300000000001</v>
      </c>
    </row>
    <row r="3314" spans="142:145" x14ac:dyDescent="0.25">
      <c r="EL3314">
        <v>2013</v>
      </c>
      <c r="EM3314" t="s">
        <v>716</v>
      </c>
      <c r="EN3314" t="s">
        <v>851</v>
      </c>
      <c r="EO3314">
        <v>193.98</v>
      </c>
    </row>
    <row r="3315" spans="142:145" x14ac:dyDescent="0.25">
      <c r="EL3315">
        <v>2013</v>
      </c>
      <c r="EM3315" t="s">
        <v>708</v>
      </c>
      <c r="EN3315" t="s">
        <v>851</v>
      </c>
      <c r="EO3315">
        <v>193.98</v>
      </c>
    </row>
    <row r="3316" spans="142:145" x14ac:dyDescent="0.25">
      <c r="EL3316">
        <v>2013</v>
      </c>
      <c r="EM3316" t="s">
        <v>709</v>
      </c>
      <c r="EN3316" t="s">
        <v>851</v>
      </c>
      <c r="EO3316">
        <v>187.72300000000001</v>
      </c>
    </row>
    <row r="3317" spans="142:145" x14ac:dyDescent="0.25">
      <c r="EL3317">
        <v>2013</v>
      </c>
      <c r="EM3317" t="s">
        <v>710</v>
      </c>
      <c r="EN3317" t="s">
        <v>851</v>
      </c>
      <c r="EO3317">
        <v>120.971</v>
      </c>
    </row>
    <row r="3318" spans="142:145" x14ac:dyDescent="0.25">
      <c r="EL3318">
        <v>2013</v>
      </c>
      <c r="EM3318" t="s">
        <v>711</v>
      </c>
      <c r="EN3318" t="s">
        <v>851</v>
      </c>
      <c r="EO3318">
        <v>117.069</v>
      </c>
    </row>
    <row r="3319" spans="142:145" x14ac:dyDescent="0.25">
      <c r="EL3319">
        <v>2013</v>
      </c>
      <c r="EM3319" t="s">
        <v>712</v>
      </c>
      <c r="EN3319" t="s">
        <v>851</v>
      </c>
      <c r="EO3319">
        <v>120.971</v>
      </c>
    </row>
    <row r="3320" spans="142:145" x14ac:dyDescent="0.25">
      <c r="EL3320">
        <v>2014</v>
      </c>
      <c r="EM3320" t="s">
        <v>719</v>
      </c>
      <c r="EN3320" t="s">
        <v>851</v>
      </c>
      <c r="EO3320">
        <v>120.971</v>
      </c>
    </row>
    <row r="3321" spans="142:145" x14ac:dyDescent="0.25">
      <c r="EL3321">
        <v>2014</v>
      </c>
      <c r="EM3321" t="s">
        <v>713</v>
      </c>
      <c r="EN3321" t="s">
        <v>851</v>
      </c>
      <c r="EO3321">
        <v>109.264</v>
      </c>
    </row>
    <row r="3322" spans="142:145" x14ac:dyDescent="0.25">
      <c r="EL3322">
        <v>2014</v>
      </c>
      <c r="EM3322" t="s">
        <v>714</v>
      </c>
      <c r="EN3322" t="s">
        <v>851</v>
      </c>
      <c r="EO3322">
        <v>120.971</v>
      </c>
    </row>
    <row r="3323" spans="142:145" x14ac:dyDescent="0.25">
      <c r="EL3323">
        <v>2014</v>
      </c>
      <c r="EM3323" t="s">
        <v>705</v>
      </c>
      <c r="EN3323" t="s">
        <v>851</v>
      </c>
      <c r="EO3323">
        <v>117.069</v>
      </c>
    </row>
    <row r="3324" spans="142:145" x14ac:dyDescent="0.25">
      <c r="EL3324">
        <v>2014</v>
      </c>
      <c r="EM3324" t="s">
        <v>715</v>
      </c>
      <c r="EN3324" t="s">
        <v>851</v>
      </c>
      <c r="EO3324">
        <v>120.971</v>
      </c>
    </row>
    <row r="3325" spans="142:145" x14ac:dyDescent="0.25">
      <c r="EL3325">
        <v>2014</v>
      </c>
      <c r="EM3325" t="s">
        <v>718</v>
      </c>
      <c r="EN3325" t="s">
        <v>851</v>
      </c>
      <c r="EO3325">
        <v>117.069</v>
      </c>
    </row>
    <row r="3326" spans="142:145" x14ac:dyDescent="0.25">
      <c r="EL3326">
        <v>2014</v>
      </c>
      <c r="EM3326" t="s">
        <v>716</v>
      </c>
      <c r="EN3326" t="s">
        <v>851</v>
      </c>
      <c r="EO3326">
        <v>120.971</v>
      </c>
    </row>
    <row r="3327" spans="142:145" x14ac:dyDescent="0.25">
      <c r="EL3327">
        <v>2014</v>
      </c>
      <c r="EM3327" t="s">
        <v>708</v>
      </c>
      <c r="EN3327" t="s">
        <v>851</v>
      </c>
      <c r="EO3327">
        <v>120.971</v>
      </c>
    </row>
    <row r="3328" spans="142:145" x14ac:dyDescent="0.25">
      <c r="EL3328">
        <v>2014</v>
      </c>
      <c r="EM3328" t="s">
        <v>709</v>
      </c>
      <c r="EN3328" t="s">
        <v>851</v>
      </c>
      <c r="EO3328">
        <v>117.069</v>
      </c>
    </row>
    <row r="3329" spans="142:145" x14ac:dyDescent="0.25">
      <c r="EL3329">
        <v>2014</v>
      </c>
      <c r="EM3329" t="s">
        <v>710</v>
      </c>
      <c r="EN3329" t="s">
        <v>851</v>
      </c>
      <c r="EO3329">
        <v>134.16</v>
      </c>
    </row>
    <row r="3330" spans="142:145" x14ac:dyDescent="0.25">
      <c r="EL3330">
        <v>2014</v>
      </c>
      <c r="EM3330" t="s">
        <v>711</v>
      </c>
      <c r="EN3330" t="s">
        <v>851</v>
      </c>
      <c r="EO3330">
        <v>129.83000000000001</v>
      </c>
    </row>
    <row r="3331" spans="142:145" x14ac:dyDescent="0.25">
      <c r="EL3331">
        <v>2014</v>
      </c>
      <c r="EM3331" t="s">
        <v>712</v>
      </c>
      <c r="EN3331" t="s">
        <v>851</v>
      </c>
      <c r="EO3331">
        <v>134.16</v>
      </c>
    </row>
    <row r="3332" spans="142:145" x14ac:dyDescent="0.25">
      <c r="EL3332">
        <v>2015</v>
      </c>
      <c r="EM3332" t="s">
        <v>719</v>
      </c>
      <c r="EN3332" t="s">
        <v>851</v>
      </c>
      <c r="EO3332">
        <v>134.16</v>
      </c>
    </row>
    <row r="3333" spans="142:145" x14ac:dyDescent="0.25">
      <c r="EL3333">
        <v>2015</v>
      </c>
      <c r="EM3333" t="s">
        <v>713</v>
      </c>
      <c r="EN3333" t="s">
        <v>851</v>
      </c>
      <c r="EO3333">
        <v>121.18</v>
      </c>
    </row>
    <row r="3334" spans="142:145" x14ac:dyDescent="0.25">
      <c r="EL3334">
        <v>2015</v>
      </c>
      <c r="EM3334" t="s">
        <v>714</v>
      </c>
      <c r="EN3334" t="s">
        <v>851</v>
      </c>
      <c r="EO3334">
        <v>134.16</v>
      </c>
    </row>
    <row r="3335" spans="142:145" x14ac:dyDescent="0.25">
      <c r="EL3335">
        <v>2015</v>
      </c>
      <c r="EM3335" t="s">
        <v>705</v>
      </c>
      <c r="EN3335" t="s">
        <v>851</v>
      </c>
      <c r="EO3335">
        <v>129.83000000000001</v>
      </c>
    </row>
    <row r="3336" spans="142:145" x14ac:dyDescent="0.25">
      <c r="EL3336">
        <v>2015</v>
      </c>
      <c r="EM3336" t="s">
        <v>715</v>
      </c>
      <c r="EN3336" t="s">
        <v>851</v>
      </c>
      <c r="EO3336">
        <v>134.16</v>
      </c>
    </row>
    <row r="3337" spans="142:145" x14ac:dyDescent="0.25">
      <c r="EL3337">
        <v>2015</v>
      </c>
      <c r="EM3337" t="s">
        <v>718</v>
      </c>
      <c r="EN3337" t="s">
        <v>851</v>
      </c>
      <c r="EO3337">
        <v>129.83000000000001</v>
      </c>
    </row>
    <row r="3338" spans="142:145" x14ac:dyDescent="0.25">
      <c r="EL3338">
        <v>2015</v>
      </c>
      <c r="EM3338" t="s">
        <v>716</v>
      </c>
      <c r="EN3338" t="s">
        <v>851</v>
      </c>
      <c r="EO3338">
        <v>134.16</v>
      </c>
    </row>
    <row r="3339" spans="142:145" x14ac:dyDescent="0.25">
      <c r="EL3339">
        <v>2015</v>
      </c>
      <c r="EM3339" t="s">
        <v>708</v>
      </c>
      <c r="EN3339" t="s">
        <v>851</v>
      </c>
      <c r="EO3339">
        <v>134.16</v>
      </c>
    </row>
    <row r="3340" spans="142:145" x14ac:dyDescent="0.25">
      <c r="EL3340">
        <v>2015</v>
      </c>
      <c r="EM3340" t="s">
        <v>709</v>
      </c>
      <c r="EN3340" t="s">
        <v>851</v>
      </c>
      <c r="EO3340">
        <v>129.83000000000001</v>
      </c>
    </row>
    <row r="3341" spans="142:145" x14ac:dyDescent="0.25">
      <c r="EL3341">
        <v>2015</v>
      </c>
      <c r="EM3341" t="s">
        <v>710</v>
      </c>
      <c r="EN3341" t="s">
        <v>851</v>
      </c>
      <c r="EO3341">
        <v>136.1</v>
      </c>
    </row>
    <row r="3342" spans="142:145" x14ac:dyDescent="0.25">
      <c r="EL3342">
        <v>2015</v>
      </c>
      <c r="EM3342" t="s">
        <v>711</v>
      </c>
      <c r="EN3342" t="s">
        <v>851</v>
      </c>
      <c r="EO3342">
        <v>131.71</v>
      </c>
    </row>
    <row r="3343" spans="142:145" x14ac:dyDescent="0.25">
      <c r="EL3343">
        <v>2015</v>
      </c>
      <c r="EM3343" t="s">
        <v>712</v>
      </c>
      <c r="EN3343" t="s">
        <v>851</v>
      </c>
      <c r="EO3343">
        <v>136.1</v>
      </c>
    </row>
    <row r="3344" spans="142:145" x14ac:dyDescent="0.25">
      <c r="EL3344">
        <v>2016</v>
      </c>
      <c r="EM3344" t="s">
        <v>719</v>
      </c>
      <c r="EN3344" t="s">
        <v>851</v>
      </c>
      <c r="EO3344">
        <v>136.1</v>
      </c>
    </row>
    <row r="3345" spans="142:145" x14ac:dyDescent="0.25">
      <c r="EL3345">
        <v>2016</v>
      </c>
      <c r="EM3345" t="s">
        <v>713</v>
      </c>
      <c r="EN3345" t="s">
        <v>851</v>
      </c>
      <c r="EO3345">
        <v>127.32</v>
      </c>
    </row>
    <row r="3346" spans="142:145" x14ac:dyDescent="0.25">
      <c r="EL3346">
        <v>2016</v>
      </c>
      <c r="EM3346" t="s">
        <v>714</v>
      </c>
      <c r="EN3346" t="s">
        <v>851</v>
      </c>
      <c r="EO3346">
        <v>136.1</v>
      </c>
    </row>
    <row r="3347" spans="142:145" x14ac:dyDescent="0.25">
      <c r="EL3347">
        <v>2016</v>
      </c>
      <c r="EM3347" t="s">
        <v>705</v>
      </c>
      <c r="EN3347" t="s">
        <v>851</v>
      </c>
      <c r="EO3347">
        <v>131.71</v>
      </c>
    </row>
    <row r="3348" spans="142:145" x14ac:dyDescent="0.25">
      <c r="EL3348">
        <v>2016</v>
      </c>
      <c r="EM3348" t="s">
        <v>715</v>
      </c>
      <c r="EN3348" t="s">
        <v>851</v>
      </c>
      <c r="EO3348">
        <v>135.72999999999999</v>
      </c>
    </row>
    <row r="3349" spans="142:145" x14ac:dyDescent="0.25">
      <c r="EL3349">
        <v>2016</v>
      </c>
      <c r="EM3349" t="s">
        <v>718</v>
      </c>
      <c r="EN3349" t="s">
        <v>851</v>
      </c>
      <c r="EO3349">
        <v>131.35</v>
      </c>
    </row>
    <row r="3350" spans="142:145" x14ac:dyDescent="0.25">
      <c r="EL3350">
        <v>2016</v>
      </c>
      <c r="EM3350" t="s">
        <v>716</v>
      </c>
      <c r="EN3350" t="s">
        <v>851</v>
      </c>
      <c r="EO3350">
        <v>135.72999999999999</v>
      </c>
    </row>
    <row r="3351" spans="142:145" x14ac:dyDescent="0.25">
      <c r="EL3351">
        <v>2016</v>
      </c>
      <c r="EM3351" t="s">
        <v>708</v>
      </c>
      <c r="EN3351" t="s">
        <v>851</v>
      </c>
      <c r="EO3351">
        <v>135.72999999999999</v>
      </c>
    </row>
    <row r="3352" spans="142:145" x14ac:dyDescent="0.25">
      <c r="EL3352">
        <v>2016</v>
      </c>
      <c r="EM3352" t="s">
        <v>709</v>
      </c>
      <c r="EN3352" t="s">
        <v>851</v>
      </c>
      <c r="EO3352">
        <v>131.35</v>
      </c>
    </row>
    <row r="3353" spans="142:145" x14ac:dyDescent="0.25">
      <c r="EL3353">
        <v>2016</v>
      </c>
      <c r="EM3353" t="s">
        <v>710</v>
      </c>
      <c r="EN3353" t="s">
        <v>851</v>
      </c>
      <c r="EO3353">
        <v>131.38999999999999</v>
      </c>
    </row>
    <row r="3354" spans="142:145" x14ac:dyDescent="0.25">
      <c r="EL3354">
        <v>2016</v>
      </c>
      <c r="EM3354" t="s">
        <v>711</v>
      </c>
      <c r="EN3354" t="s">
        <v>851</v>
      </c>
      <c r="EO3354">
        <v>127.16</v>
      </c>
    </row>
    <row r="3355" spans="142:145" x14ac:dyDescent="0.25">
      <c r="EL3355">
        <v>2016</v>
      </c>
      <c r="EM3355" t="s">
        <v>712</v>
      </c>
      <c r="EN3355" t="s">
        <v>851</v>
      </c>
      <c r="EO3355">
        <v>131.38999999999999</v>
      </c>
    </row>
    <row r="3356" spans="142:145" x14ac:dyDescent="0.25">
      <c r="EL3356">
        <v>2017</v>
      </c>
      <c r="EM3356" t="s">
        <v>719</v>
      </c>
      <c r="EN3356" t="s">
        <v>851</v>
      </c>
      <c r="EO3356">
        <v>131.38999999999999</v>
      </c>
    </row>
    <row r="3357" spans="142:145" x14ac:dyDescent="0.25">
      <c r="EL3357">
        <v>2017</v>
      </c>
      <c r="EM3357" t="s">
        <v>713</v>
      </c>
      <c r="EN3357" t="s">
        <v>851</v>
      </c>
      <c r="EO3357">
        <v>118.68</v>
      </c>
    </row>
    <row r="3358" spans="142:145" x14ac:dyDescent="0.25">
      <c r="EL3358">
        <v>2017</v>
      </c>
      <c r="EM3358" t="s">
        <v>714</v>
      </c>
      <c r="EN3358" t="s">
        <v>851</v>
      </c>
      <c r="EO3358">
        <v>131.38999999999999</v>
      </c>
    </row>
    <row r="3359" spans="142:145" x14ac:dyDescent="0.25">
      <c r="EL3359">
        <v>2017</v>
      </c>
      <c r="EM3359" t="s">
        <v>705</v>
      </c>
      <c r="EN3359" t="s">
        <v>851</v>
      </c>
      <c r="EO3359">
        <v>131.38999999999999</v>
      </c>
    </row>
    <row r="3360" spans="142:145" x14ac:dyDescent="0.25">
      <c r="EL3360">
        <v>2017</v>
      </c>
      <c r="EM3360" t="s">
        <v>715</v>
      </c>
      <c r="EN3360" t="s">
        <v>851</v>
      </c>
      <c r="EO3360">
        <v>131.38999999999999</v>
      </c>
    </row>
    <row r="3361" spans="142:145" x14ac:dyDescent="0.25">
      <c r="EL3361">
        <v>2017</v>
      </c>
      <c r="EM3361" t="s">
        <v>718</v>
      </c>
      <c r="EN3361" t="s">
        <v>851</v>
      </c>
      <c r="EO3361">
        <v>127.16</v>
      </c>
    </row>
    <row r="3362" spans="142:145" x14ac:dyDescent="0.25">
      <c r="EL3362">
        <v>2017</v>
      </c>
      <c r="EM3362" t="s">
        <v>716</v>
      </c>
      <c r="EN3362" t="s">
        <v>851</v>
      </c>
      <c r="EO3362">
        <v>131.38999999999999</v>
      </c>
    </row>
    <row r="3363" spans="142:145" x14ac:dyDescent="0.25">
      <c r="EL3363">
        <v>2017</v>
      </c>
      <c r="EM3363" t="s">
        <v>708</v>
      </c>
      <c r="EN3363" t="s">
        <v>851</v>
      </c>
      <c r="EO3363">
        <v>131.38999999999999</v>
      </c>
    </row>
    <row r="3364" spans="142:145" x14ac:dyDescent="0.25">
      <c r="EL3364">
        <v>2017</v>
      </c>
      <c r="EM3364" t="s">
        <v>709</v>
      </c>
      <c r="EN3364" t="s">
        <v>851</v>
      </c>
      <c r="EO3364">
        <v>127.16</v>
      </c>
    </row>
    <row r="3365" spans="142:145" x14ac:dyDescent="0.25">
      <c r="EL3365">
        <v>2017</v>
      </c>
      <c r="EM3365" t="s">
        <v>710</v>
      </c>
      <c r="EN3365" t="s">
        <v>851</v>
      </c>
      <c r="EO3365">
        <v>124.37</v>
      </c>
    </row>
    <row r="3366" spans="142:145" x14ac:dyDescent="0.25">
      <c r="EL3366">
        <v>2017</v>
      </c>
      <c r="EM3366" t="s">
        <v>711</v>
      </c>
      <c r="EN3366" t="s">
        <v>851</v>
      </c>
      <c r="EO3366">
        <v>120.36</v>
      </c>
    </row>
    <row r="3367" spans="142:145" x14ac:dyDescent="0.25">
      <c r="EL3367">
        <v>2017</v>
      </c>
      <c r="EM3367" t="s">
        <v>712</v>
      </c>
      <c r="EN3367" t="s">
        <v>851</v>
      </c>
      <c r="EO3367">
        <v>124.37</v>
      </c>
    </row>
    <row r="3368" spans="142:145" x14ac:dyDescent="0.25">
      <c r="EL3368">
        <v>2018</v>
      </c>
      <c r="EM3368" t="s">
        <v>719</v>
      </c>
      <c r="EN3368" t="s">
        <v>851</v>
      </c>
      <c r="EO3368">
        <v>124.37</v>
      </c>
    </row>
    <row r="3369" spans="142:145" x14ac:dyDescent="0.25">
      <c r="EL3369">
        <v>2018</v>
      </c>
      <c r="EM3369" t="s">
        <v>713</v>
      </c>
      <c r="EN3369" t="s">
        <v>851</v>
      </c>
      <c r="EO3369">
        <v>112.33</v>
      </c>
    </row>
    <row r="3370" spans="142:145" x14ac:dyDescent="0.25">
      <c r="EL3370">
        <v>2018</v>
      </c>
      <c r="EM3370" t="s">
        <v>714</v>
      </c>
      <c r="EN3370" t="s">
        <v>851</v>
      </c>
      <c r="EO3370">
        <v>124.37</v>
      </c>
    </row>
    <row r="3371" spans="142:145" x14ac:dyDescent="0.25">
      <c r="EL3371">
        <v>2018</v>
      </c>
      <c r="EM3371" t="s">
        <v>705</v>
      </c>
      <c r="EN3371" t="s">
        <v>851</v>
      </c>
      <c r="EO3371">
        <v>120.36</v>
      </c>
    </row>
    <row r="3372" spans="142:145" x14ac:dyDescent="0.25">
      <c r="EL3372">
        <v>2018</v>
      </c>
      <c r="EM3372" t="s">
        <v>715</v>
      </c>
      <c r="EN3372" t="s">
        <v>851</v>
      </c>
      <c r="EO3372">
        <v>124.37</v>
      </c>
    </row>
    <row r="3373" spans="142:145" x14ac:dyDescent="0.25">
      <c r="EL3373">
        <v>2018</v>
      </c>
      <c r="EM3373" t="s">
        <v>718</v>
      </c>
      <c r="EN3373" t="s">
        <v>851</v>
      </c>
      <c r="EO3373">
        <v>120.36</v>
      </c>
    </row>
    <row r="3374" spans="142:145" x14ac:dyDescent="0.25">
      <c r="EL3374">
        <v>2018</v>
      </c>
      <c r="EM3374" t="s">
        <v>716</v>
      </c>
      <c r="EN3374" t="s">
        <v>851</v>
      </c>
      <c r="EO3374">
        <v>124.37</v>
      </c>
    </row>
    <row r="3375" spans="142:145" x14ac:dyDescent="0.25">
      <c r="EL3375">
        <v>2018</v>
      </c>
      <c r="EM3375" t="s">
        <v>708</v>
      </c>
      <c r="EN3375" t="s">
        <v>851</v>
      </c>
      <c r="EO3375">
        <v>124.37</v>
      </c>
    </row>
    <row r="3376" spans="142:145" x14ac:dyDescent="0.25">
      <c r="EL3376">
        <v>2018</v>
      </c>
      <c r="EM3376" t="s">
        <v>709</v>
      </c>
      <c r="EN3376" t="s">
        <v>851</v>
      </c>
      <c r="EO3376">
        <v>120.36</v>
      </c>
    </row>
    <row r="3377" spans="142:145" x14ac:dyDescent="0.25">
      <c r="EL3377">
        <v>2018</v>
      </c>
      <c r="EM3377" t="s">
        <v>710</v>
      </c>
      <c r="EN3377" t="s">
        <v>851</v>
      </c>
      <c r="EO3377">
        <v>120.83</v>
      </c>
    </row>
    <row r="3378" spans="142:145" x14ac:dyDescent="0.25">
      <c r="EL3378">
        <v>2018</v>
      </c>
      <c r="EM3378" t="s">
        <v>711</v>
      </c>
      <c r="EN3378" t="s">
        <v>851</v>
      </c>
      <c r="EO3378">
        <v>116.93</v>
      </c>
    </row>
    <row r="3379" spans="142:145" x14ac:dyDescent="0.25">
      <c r="EL3379">
        <v>2018</v>
      </c>
      <c r="EM3379" t="s">
        <v>712</v>
      </c>
      <c r="EN3379" t="s">
        <v>851</v>
      </c>
      <c r="EO3379">
        <v>120.83</v>
      </c>
    </row>
    <row r="3380" spans="142:145" x14ac:dyDescent="0.25">
      <c r="EL3380">
        <v>2019</v>
      </c>
      <c r="EM3380" t="s">
        <v>719</v>
      </c>
      <c r="EN3380" t="s">
        <v>851</v>
      </c>
      <c r="EO3380">
        <v>120.83</v>
      </c>
    </row>
    <row r="3381" spans="142:145" x14ac:dyDescent="0.25">
      <c r="EL3381">
        <v>2019</v>
      </c>
      <c r="EM3381" t="s">
        <v>713</v>
      </c>
      <c r="EN3381" t="s">
        <v>851</v>
      </c>
      <c r="EO3381">
        <v>109.14</v>
      </c>
    </row>
    <row r="3382" spans="142:145" x14ac:dyDescent="0.25">
      <c r="EL3382">
        <v>2019</v>
      </c>
      <c r="EM3382" t="s">
        <v>714</v>
      </c>
      <c r="EN3382" t="s">
        <v>851</v>
      </c>
      <c r="EO3382">
        <v>120.83</v>
      </c>
    </row>
    <row r="3383" spans="142:145" x14ac:dyDescent="0.25">
      <c r="EL3383">
        <v>2019</v>
      </c>
      <c r="EM3383" t="s">
        <v>705</v>
      </c>
      <c r="EN3383" t="s">
        <v>851</v>
      </c>
      <c r="EO3383">
        <v>116.93</v>
      </c>
    </row>
    <row r="3384" spans="142:145" x14ac:dyDescent="0.25">
      <c r="EL3384">
        <v>2019</v>
      </c>
      <c r="EM3384" t="s">
        <v>715</v>
      </c>
      <c r="EN3384" t="s">
        <v>851</v>
      </c>
      <c r="EO3384">
        <v>120.83</v>
      </c>
    </row>
    <row r="3385" spans="142:145" x14ac:dyDescent="0.25">
      <c r="EL3385">
        <v>2019</v>
      </c>
      <c r="EM3385" t="s">
        <v>718</v>
      </c>
      <c r="EN3385" t="s">
        <v>851</v>
      </c>
      <c r="EO3385">
        <v>116.93</v>
      </c>
    </row>
    <row r="3386" spans="142:145" x14ac:dyDescent="0.25">
      <c r="EL3386">
        <v>2019</v>
      </c>
      <c r="EM3386" t="s">
        <v>716</v>
      </c>
      <c r="EN3386" t="s">
        <v>851</v>
      </c>
      <c r="EO3386">
        <v>120.83</v>
      </c>
    </row>
    <row r="3387" spans="142:145" x14ac:dyDescent="0.25">
      <c r="EL3387">
        <v>2019</v>
      </c>
      <c r="EM3387" t="s">
        <v>708</v>
      </c>
      <c r="EN3387" t="s">
        <v>851</v>
      </c>
      <c r="EO3387">
        <v>120.83</v>
      </c>
    </row>
    <row r="3388" spans="142:145" x14ac:dyDescent="0.25">
      <c r="EL3388">
        <v>2019</v>
      </c>
      <c r="EM3388" t="s">
        <v>709</v>
      </c>
      <c r="EN3388" t="s">
        <v>851</v>
      </c>
      <c r="EO3388">
        <v>116.93</v>
      </c>
    </row>
    <row r="3389" spans="142:145" x14ac:dyDescent="0.25">
      <c r="EL3389">
        <v>2019</v>
      </c>
      <c r="EM3389" t="s">
        <v>710</v>
      </c>
      <c r="EN3389" t="s">
        <v>851</v>
      </c>
      <c r="EO3389">
        <v>98.25</v>
      </c>
    </row>
    <row r="3390" spans="142:145" x14ac:dyDescent="0.25">
      <c r="EL3390">
        <v>2019</v>
      </c>
      <c r="EM3390" t="s">
        <v>711</v>
      </c>
      <c r="EN3390" t="s">
        <v>851</v>
      </c>
      <c r="EO3390">
        <v>95.08</v>
      </c>
    </row>
    <row r="3391" spans="142:145" x14ac:dyDescent="0.25">
      <c r="EL3391">
        <v>2019</v>
      </c>
      <c r="EM3391" t="s">
        <v>712</v>
      </c>
      <c r="EN3391" t="s">
        <v>851</v>
      </c>
      <c r="EO3391">
        <v>98.25</v>
      </c>
    </row>
    <row r="3392" spans="142:145" x14ac:dyDescent="0.25">
      <c r="EL3392">
        <v>2020</v>
      </c>
      <c r="EM3392" t="s">
        <v>719</v>
      </c>
      <c r="EN3392" t="s">
        <v>851</v>
      </c>
      <c r="EO3392">
        <v>98.25</v>
      </c>
    </row>
    <row r="3393" spans="142:145" x14ac:dyDescent="0.25">
      <c r="EL3393">
        <v>2020</v>
      </c>
      <c r="EM3393" t="s">
        <v>713</v>
      </c>
      <c r="EN3393" t="s">
        <v>851</v>
      </c>
      <c r="EO3393">
        <v>91.91</v>
      </c>
    </row>
    <row r="3394" spans="142:145" x14ac:dyDescent="0.25">
      <c r="EL3394">
        <v>2020</v>
      </c>
      <c r="EM3394" t="s">
        <v>714</v>
      </c>
      <c r="EN3394" t="s">
        <v>851</v>
      </c>
      <c r="EO3394">
        <v>98.25</v>
      </c>
    </row>
    <row r="3395" spans="142:145" x14ac:dyDescent="0.25">
      <c r="EL3395">
        <v>2020</v>
      </c>
      <c r="EM3395" t="s">
        <v>705</v>
      </c>
      <c r="EN3395" t="s">
        <v>851</v>
      </c>
      <c r="EO3395">
        <v>95.08</v>
      </c>
    </row>
    <row r="3396" spans="142:145" x14ac:dyDescent="0.25">
      <c r="EL3396">
        <v>2020</v>
      </c>
      <c r="EM3396" t="s">
        <v>715</v>
      </c>
      <c r="EN3396" t="s">
        <v>851</v>
      </c>
      <c r="EO3396">
        <v>98.25</v>
      </c>
    </row>
    <row r="3397" spans="142:145" x14ac:dyDescent="0.25">
      <c r="EL3397">
        <v>2020</v>
      </c>
      <c r="EM3397" t="s">
        <v>718</v>
      </c>
      <c r="EN3397" t="s">
        <v>851</v>
      </c>
      <c r="EO3397">
        <v>95.08</v>
      </c>
    </row>
    <row r="3398" spans="142:145" x14ac:dyDescent="0.25">
      <c r="EL3398">
        <v>2020</v>
      </c>
      <c r="EM3398" t="s">
        <v>716</v>
      </c>
      <c r="EN3398" t="s">
        <v>851</v>
      </c>
      <c r="EO3398">
        <v>98.25</v>
      </c>
    </row>
    <row r="3399" spans="142:145" x14ac:dyDescent="0.25">
      <c r="EL3399">
        <v>2020</v>
      </c>
      <c r="EM3399" t="s">
        <v>708</v>
      </c>
      <c r="EN3399" t="s">
        <v>851</v>
      </c>
      <c r="EO3399">
        <v>98.25</v>
      </c>
    </row>
    <row r="3400" spans="142:145" x14ac:dyDescent="0.25">
      <c r="EL3400">
        <v>2020</v>
      </c>
      <c r="EM3400" t="s">
        <v>709</v>
      </c>
      <c r="EN3400" t="s">
        <v>851</v>
      </c>
      <c r="EO3400">
        <v>95.08</v>
      </c>
    </row>
    <row r="3401" spans="142:145" x14ac:dyDescent="0.25">
      <c r="EL3401">
        <v>2020</v>
      </c>
      <c r="EM3401" t="s">
        <v>710</v>
      </c>
      <c r="EN3401" t="s">
        <v>851</v>
      </c>
      <c r="EO3401">
        <v>104.05</v>
      </c>
    </row>
    <row r="3402" spans="142:145" x14ac:dyDescent="0.25">
      <c r="EL3402">
        <v>2020</v>
      </c>
      <c r="EM3402" t="s">
        <v>711</v>
      </c>
      <c r="EN3402" t="s">
        <v>851</v>
      </c>
      <c r="EO3402">
        <v>100.69</v>
      </c>
    </row>
    <row r="3403" spans="142:145" x14ac:dyDescent="0.25">
      <c r="EL3403">
        <v>2020</v>
      </c>
      <c r="EM3403" t="s">
        <v>712</v>
      </c>
      <c r="EN3403" t="s">
        <v>851</v>
      </c>
      <c r="EO3403">
        <v>104.05</v>
      </c>
    </row>
    <row r="3404" spans="142:145" x14ac:dyDescent="0.25">
      <c r="EL3404">
        <v>2021</v>
      </c>
      <c r="EM3404" t="s">
        <v>719</v>
      </c>
      <c r="EN3404" t="s">
        <v>851</v>
      </c>
      <c r="EO3404">
        <v>104.05</v>
      </c>
    </row>
    <row r="3405" spans="142:145" x14ac:dyDescent="0.25">
      <c r="EL3405">
        <v>2021</v>
      </c>
      <c r="EM3405" t="s">
        <v>713</v>
      </c>
      <c r="EN3405" t="s">
        <v>851</v>
      </c>
      <c r="EO3405">
        <v>93.98</v>
      </c>
    </row>
    <row r="3406" spans="142:145" x14ac:dyDescent="0.25">
      <c r="EL3406">
        <v>2021</v>
      </c>
      <c r="EM3406" t="s">
        <v>714</v>
      </c>
      <c r="EN3406" t="s">
        <v>851</v>
      </c>
      <c r="EO3406">
        <v>104.05</v>
      </c>
    </row>
    <row r="3407" spans="142:145" x14ac:dyDescent="0.25">
      <c r="EL3407">
        <v>2021</v>
      </c>
      <c r="EM3407" t="s">
        <v>705</v>
      </c>
      <c r="EN3407" t="s">
        <v>851</v>
      </c>
      <c r="EO3407">
        <v>100.69</v>
      </c>
    </row>
    <row r="3408" spans="142:145" x14ac:dyDescent="0.25">
      <c r="EL3408">
        <v>2021</v>
      </c>
      <c r="EM3408" t="s">
        <v>715</v>
      </c>
      <c r="EN3408" t="s">
        <v>851</v>
      </c>
      <c r="EO3408">
        <v>104.05</v>
      </c>
    </row>
    <row r="3409" spans="142:145" x14ac:dyDescent="0.25">
      <c r="EL3409">
        <v>2021</v>
      </c>
      <c r="EM3409" t="s">
        <v>718</v>
      </c>
      <c r="EN3409" t="s">
        <v>851</v>
      </c>
      <c r="EO3409">
        <v>100.69</v>
      </c>
    </row>
    <row r="3410" spans="142:145" x14ac:dyDescent="0.25">
      <c r="EL3410">
        <v>2021</v>
      </c>
      <c r="EM3410" t="s">
        <v>716</v>
      </c>
      <c r="EN3410" t="s">
        <v>851</v>
      </c>
      <c r="EO3410">
        <v>104.05</v>
      </c>
    </row>
    <row r="3411" spans="142:145" x14ac:dyDescent="0.25">
      <c r="EL3411">
        <v>2021</v>
      </c>
      <c r="EM3411" t="s">
        <v>708</v>
      </c>
      <c r="EN3411" t="s">
        <v>851</v>
      </c>
      <c r="EO3411">
        <v>104.05</v>
      </c>
    </row>
    <row r="3412" spans="142:145" x14ac:dyDescent="0.25">
      <c r="EL3412">
        <v>2021</v>
      </c>
      <c r="EM3412" t="s">
        <v>709</v>
      </c>
      <c r="EN3412" t="s">
        <v>851</v>
      </c>
      <c r="EO3412">
        <v>100.69</v>
      </c>
    </row>
    <row r="3413" spans="142:145" x14ac:dyDescent="0.25">
      <c r="EL3413">
        <v>2021</v>
      </c>
      <c r="EM3413" t="s">
        <v>710</v>
      </c>
      <c r="EN3413" t="s">
        <v>851</v>
      </c>
      <c r="EO3413">
        <v>99.91</v>
      </c>
    </row>
    <row r="3414" spans="142:145" x14ac:dyDescent="0.25">
      <c r="EL3414">
        <v>2021</v>
      </c>
      <c r="EM3414" t="s">
        <v>711</v>
      </c>
      <c r="EN3414" t="s">
        <v>851</v>
      </c>
      <c r="EO3414">
        <v>96.69</v>
      </c>
    </row>
    <row r="3415" spans="142:145" x14ac:dyDescent="0.25">
      <c r="EL3415">
        <v>2021</v>
      </c>
      <c r="EM3415" t="s">
        <v>712</v>
      </c>
      <c r="EN3415" t="s">
        <v>851</v>
      </c>
      <c r="EO3415">
        <v>99.91</v>
      </c>
    </row>
    <row r="3416" spans="142:145" x14ac:dyDescent="0.25">
      <c r="EL3416">
        <v>2022</v>
      </c>
      <c r="EM3416" t="s">
        <v>719</v>
      </c>
      <c r="EN3416" t="s">
        <v>851</v>
      </c>
      <c r="EO3416">
        <v>99.91</v>
      </c>
    </row>
    <row r="3417" spans="142:145" x14ac:dyDescent="0.25">
      <c r="EL3417">
        <v>2022</v>
      </c>
      <c r="EM3417" t="s">
        <v>713</v>
      </c>
      <c r="EN3417" t="s">
        <v>851</v>
      </c>
      <c r="EO3417">
        <v>90.24</v>
      </c>
    </row>
    <row r="3418" spans="142:145" x14ac:dyDescent="0.25">
      <c r="EL3418">
        <v>2022</v>
      </c>
      <c r="EM3418" t="s">
        <v>714</v>
      </c>
      <c r="EN3418" t="s">
        <v>851</v>
      </c>
      <c r="EO3418">
        <v>99.91</v>
      </c>
    </row>
    <row r="3419" spans="142:145" x14ac:dyDescent="0.25">
      <c r="EL3419">
        <v>2022</v>
      </c>
      <c r="EM3419" t="s">
        <v>705</v>
      </c>
      <c r="EN3419" t="s">
        <v>851</v>
      </c>
      <c r="EO3419">
        <v>96.69</v>
      </c>
    </row>
    <row r="3420" spans="142:145" x14ac:dyDescent="0.25">
      <c r="EL3420">
        <v>2022</v>
      </c>
      <c r="EM3420" t="s">
        <v>715</v>
      </c>
      <c r="EN3420" t="s">
        <v>851</v>
      </c>
      <c r="EO3420">
        <v>99.91</v>
      </c>
    </row>
    <row r="3421" spans="142:145" x14ac:dyDescent="0.25">
      <c r="EL3421">
        <v>2022</v>
      </c>
      <c r="EM3421" t="s">
        <v>718</v>
      </c>
      <c r="EN3421" t="s">
        <v>851</v>
      </c>
      <c r="EO3421">
        <v>96.69</v>
      </c>
    </row>
    <row r="3422" spans="142:145" x14ac:dyDescent="0.25">
      <c r="EL3422">
        <v>2022</v>
      </c>
      <c r="EM3422" t="s">
        <v>716</v>
      </c>
      <c r="EN3422" t="s">
        <v>851</v>
      </c>
      <c r="EO3422">
        <v>99.91</v>
      </c>
    </row>
    <row r="3423" spans="142:145" x14ac:dyDescent="0.25">
      <c r="EL3423">
        <v>2022</v>
      </c>
      <c r="EM3423" t="s">
        <v>708</v>
      </c>
      <c r="EN3423" t="s">
        <v>851</v>
      </c>
      <c r="EO3423">
        <v>99.91</v>
      </c>
    </row>
    <row r="3424" spans="142:145" x14ac:dyDescent="0.25">
      <c r="EL3424">
        <v>2022</v>
      </c>
      <c r="EM3424" t="s">
        <v>709</v>
      </c>
      <c r="EN3424" t="s">
        <v>851</v>
      </c>
      <c r="EO3424">
        <v>96.69</v>
      </c>
    </row>
    <row r="3425" spans="142:145" x14ac:dyDescent="0.25">
      <c r="EL3425">
        <v>2022</v>
      </c>
      <c r="EM3425" t="s">
        <v>710</v>
      </c>
      <c r="EN3425" t="s">
        <v>851</v>
      </c>
      <c r="EO3425">
        <v>103.41</v>
      </c>
    </row>
    <row r="3426" spans="142:145" x14ac:dyDescent="0.25">
      <c r="EL3426">
        <v>2022</v>
      </c>
      <c r="EM3426" t="s">
        <v>711</v>
      </c>
      <c r="EN3426" t="s">
        <v>851</v>
      </c>
      <c r="EO3426">
        <v>100.07</v>
      </c>
    </row>
    <row r="3427" spans="142:145" x14ac:dyDescent="0.25">
      <c r="EL3427">
        <v>2022</v>
      </c>
      <c r="EM3427" t="s">
        <v>712</v>
      </c>
      <c r="EN3427" t="s">
        <v>851</v>
      </c>
      <c r="EO3427">
        <v>103.41</v>
      </c>
    </row>
    <row r="3428" spans="142:145" x14ac:dyDescent="0.25">
      <c r="EL3428">
        <v>2023</v>
      </c>
      <c r="EM3428" t="s">
        <v>719</v>
      </c>
      <c r="EN3428" t="s">
        <v>851</v>
      </c>
      <c r="EO3428">
        <v>103.41</v>
      </c>
    </row>
    <row r="3429" spans="142:145" x14ac:dyDescent="0.25">
      <c r="EL3429">
        <v>2023</v>
      </c>
      <c r="EM3429" t="s">
        <v>713</v>
      </c>
      <c r="EN3429" t="s">
        <v>851</v>
      </c>
      <c r="EO3429">
        <v>93.4</v>
      </c>
    </row>
    <row r="3430" spans="142:145" x14ac:dyDescent="0.25">
      <c r="EL3430">
        <v>2023</v>
      </c>
      <c r="EM3430" t="s">
        <v>714</v>
      </c>
      <c r="EN3430" t="s">
        <v>851</v>
      </c>
      <c r="EO3430">
        <v>103.41</v>
      </c>
    </row>
    <row r="3431" spans="142:145" x14ac:dyDescent="0.25">
      <c r="EL3431">
        <v>2023</v>
      </c>
      <c r="EM3431" t="s">
        <v>705</v>
      </c>
      <c r="EN3431" t="s">
        <v>851</v>
      </c>
      <c r="EO3431">
        <v>100.07</v>
      </c>
    </row>
    <row r="3432" spans="142:145" x14ac:dyDescent="0.25">
      <c r="EL3432">
        <v>2023</v>
      </c>
      <c r="EM3432" t="s">
        <v>715</v>
      </c>
      <c r="EN3432" t="s">
        <v>851</v>
      </c>
      <c r="EO3432">
        <v>103.41</v>
      </c>
    </row>
    <row r="3433" spans="142:145" x14ac:dyDescent="0.25">
      <c r="EL3433">
        <v>2023</v>
      </c>
      <c r="EM3433" t="s">
        <v>718</v>
      </c>
      <c r="EN3433" t="s">
        <v>851</v>
      </c>
      <c r="EO3433">
        <v>100.07</v>
      </c>
    </row>
    <row r="3434" spans="142:145" x14ac:dyDescent="0.25">
      <c r="EL3434">
        <v>2023</v>
      </c>
      <c r="EM3434" t="s">
        <v>716</v>
      </c>
      <c r="EN3434" t="s">
        <v>851</v>
      </c>
      <c r="EO3434">
        <v>103.41</v>
      </c>
    </row>
    <row r="3435" spans="142:145" x14ac:dyDescent="0.25">
      <c r="EL3435">
        <v>2023</v>
      </c>
      <c r="EM3435" t="s">
        <v>708</v>
      </c>
      <c r="EN3435" t="s">
        <v>851</v>
      </c>
      <c r="EO3435">
        <v>103.41</v>
      </c>
    </row>
    <row r="3436" spans="142:145" x14ac:dyDescent="0.25">
      <c r="EL3436">
        <v>2023</v>
      </c>
      <c r="EM3436" t="s">
        <v>709</v>
      </c>
      <c r="EN3436" t="s">
        <v>851</v>
      </c>
      <c r="EO3436">
        <v>100.07</v>
      </c>
    </row>
    <row r="3437" spans="142:145" x14ac:dyDescent="0.25">
      <c r="EL3437">
        <v>1997</v>
      </c>
      <c r="EM3437" t="s">
        <v>760</v>
      </c>
      <c r="EN3437" t="s">
        <v>852</v>
      </c>
      <c r="EO3437">
        <v>18.475999999999999</v>
      </c>
    </row>
    <row r="3438" spans="142:145" x14ac:dyDescent="0.25">
      <c r="EL3438">
        <v>1997</v>
      </c>
      <c r="EM3438" t="s">
        <v>761</v>
      </c>
      <c r="EN3438" t="s">
        <v>852</v>
      </c>
      <c r="EO3438">
        <v>18.600000000000001</v>
      </c>
    </row>
    <row r="3439" spans="142:145" x14ac:dyDescent="0.25">
      <c r="EL3439">
        <v>1997</v>
      </c>
      <c r="EM3439" t="s">
        <v>762</v>
      </c>
      <c r="EN3439" t="s">
        <v>852</v>
      </c>
      <c r="EO3439">
        <v>18.041999999999998</v>
      </c>
    </row>
    <row r="3440" spans="142:145" x14ac:dyDescent="0.25">
      <c r="EL3440">
        <v>1998</v>
      </c>
      <c r="EM3440" t="s">
        <v>763</v>
      </c>
      <c r="EN3440" t="s">
        <v>852</v>
      </c>
      <c r="EO3440">
        <v>18.972000000000001</v>
      </c>
    </row>
    <row r="3441" spans="142:145" x14ac:dyDescent="0.25">
      <c r="EL3441">
        <v>1998</v>
      </c>
      <c r="EM3441" t="s">
        <v>764</v>
      </c>
      <c r="EN3441" t="s">
        <v>852</v>
      </c>
      <c r="EO3441">
        <v>15.568000000000001</v>
      </c>
    </row>
    <row r="3442" spans="142:145" x14ac:dyDescent="0.25">
      <c r="EL3442">
        <v>1998</v>
      </c>
      <c r="EM3442" t="s">
        <v>765</v>
      </c>
      <c r="EN3442" t="s">
        <v>852</v>
      </c>
      <c r="EO3442">
        <v>21.855</v>
      </c>
    </row>
    <row r="3443" spans="142:145" x14ac:dyDescent="0.25">
      <c r="EL3443">
        <v>1998</v>
      </c>
      <c r="EM3443" t="s">
        <v>767</v>
      </c>
      <c r="EN3443" t="s">
        <v>852</v>
      </c>
      <c r="EO3443">
        <v>20.37</v>
      </c>
    </row>
    <row r="3444" spans="142:145" x14ac:dyDescent="0.25">
      <c r="EL3444">
        <v>1998</v>
      </c>
      <c r="EM3444" t="s">
        <v>715</v>
      </c>
      <c r="EN3444" t="s">
        <v>852</v>
      </c>
      <c r="EO3444">
        <v>21.575999999999997</v>
      </c>
    </row>
    <row r="3445" spans="142:145" x14ac:dyDescent="0.25">
      <c r="EL3445">
        <v>1998</v>
      </c>
      <c r="EM3445" t="s">
        <v>718</v>
      </c>
      <c r="EN3445" t="s">
        <v>852</v>
      </c>
      <c r="EO3445">
        <v>20.25</v>
      </c>
    </row>
    <row r="3446" spans="142:145" x14ac:dyDescent="0.25">
      <c r="EL3446">
        <v>1998</v>
      </c>
      <c r="EM3446" t="s">
        <v>716</v>
      </c>
      <c r="EN3446" t="s">
        <v>852</v>
      </c>
      <c r="EO3446">
        <v>19.902000000000001</v>
      </c>
    </row>
    <row r="3447" spans="142:145" x14ac:dyDescent="0.25">
      <c r="EL3447">
        <v>1998</v>
      </c>
      <c r="EM3447" t="s">
        <v>768</v>
      </c>
      <c r="EN3447" t="s">
        <v>852</v>
      </c>
      <c r="EO3447">
        <v>19.189</v>
      </c>
    </row>
    <row r="3448" spans="142:145" x14ac:dyDescent="0.25">
      <c r="EL3448">
        <v>1998</v>
      </c>
      <c r="EM3448" t="s">
        <v>769</v>
      </c>
      <c r="EN3448" t="s">
        <v>852</v>
      </c>
      <c r="EO3448">
        <v>17.97</v>
      </c>
    </row>
    <row r="3449" spans="142:145" x14ac:dyDescent="0.25">
      <c r="EL3449">
        <v>1998</v>
      </c>
      <c r="EM3449" t="s">
        <v>760</v>
      </c>
      <c r="EN3449" t="s">
        <v>852</v>
      </c>
      <c r="EO3449">
        <v>19.126999999999999</v>
      </c>
    </row>
    <row r="3450" spans="142:145" x14ac:dyDescent="0.25">
      <c r="EL3450">
        <v>1998</v>
      </c>
      <c r="EM3450" t="s">
        <v>771</v>
      </c>
      <c r="EN3450" t="s">
        <v>852</v>
      </c>
      <c r="EO3450">
        <v>17.579999999999998</v>
      </c>
    </row>
    <row r="3451" spans="142:145" x14ac:dyDescent="0.25">
      <c r="EL3451">
        <v>1998</v>
      </c>
      <c r="EM3451" t="s">
        <v>762</v>
      </c>
      <c r="EN3451" t="s">
        <v>852</v>
      </c>
      <c r="EO3451">
        <v>19.158000000000001</v>
      </c>
    </row>
    <row r="3452" spans="142:145" x14ac:dyDescent="0.25">
      <c r="EL3452">
        <v>1999</v>
      </c>
      <c r="EM3452" t="s">
        <v>763</v>
      </c>
      <c r="EN3452" t="s">
        <v>852</v>
      </c>
      <c r="EO3452">
        <v>20.584</v>
      </c>
    </row>
    <row r="3453" spans="142:145" x14ac:dyDescent="0.25">
      <c r="EL3453">
        <v>1999</v>
      </c>
      <c r="EM3453" t="s">
        <v>772</v>
      </c>
      <c r="EN3453" t="s">
        <v>852</v>
      </c>
      <c r="EO3453">
        <v>17.864000000000001</v>
      </c>
    </row>
    <row r="3454" spans="142:145" x14ac:dyDescent="0.25">
      <c r="EL3454">
        <v>1999</v>
      </c>
      <c r="EM3454" t="s">
        <v>773</v>
      </c>
      <c r="EN3454" t="s">
        <v>852</v>
      </c>
      <c r="EO3454">
        <v>19.902000000000001</v>
      </c>
    </row>
    <row r="3455" spans="142:145" x14ac:dyDescent="0.25">
      <c r="EL3455">
        <v>1999</v>
      </c>
      <c r="EM3455" t="s">
        <v>774</v>
      </c>
      <c r="EN3455" t="s">
        <v>852</v>
      </c>
      <c r="EO3455">
        <v>16.770000000000003</v>
      </c>
    </row>
    <row r="3456" spans="142:145" x14ac:dyDescent="0.25">
      <c r="EL3456">
        <v>1999</v>
      </c>
      <c r="EM3456" t="s">
        <v>715</v>
      </c>
      <c r="EN3456" t="s">
        <v>852</v>
      </c>
      <c r="EO3456">
        <v>15.717000000000001</v>
      </c>
    </row>
    <row r="3457" spans="142:145" x14ac:dyDescent="0.25">
      <c r="EL3457">
        <v>1999</v>
      </c>
      <c r="EM3457" t="s">
        <v>718</v>
      </c>
      <c r="EN3457" t="s">
        <v>852</v>
      </c>
      <c r="EO3457">
        <v>15.57</v>
      </c>
    </row>
    <row r="3458" spans="142:145" x14ac:dyDescent="0.25">
      <c r="EL3458">
        <v>1999</v>
      </c>
      <c r="EM3458" t="s">
        <v>716</v>
      </c>
      <c r="EN3458" t="s">
        <v>852</v>
      </c>
      <c r="EO3458">
        <v>16.275000000000002</v>
      </c>
    </row>
    <row r="3459" spans="142:145" x14ac:dyDescent="0.25">
      <c r="EL3459">
        <v>1999</v>
      </c>
      <c r="EM3459" t="s">
        <v>708</v>
      </c>
      <c r="EN3459" t="s">
        <v>852</v>
      </c>
      <c r="EO3459">
        <v>16.461000000000002</v>
      </c>
    </row>
    <row r="3460" spans="142:145" x14ac:dyDescent="0.25">
      <c r="EL3460">
        <v>1999</v>
      </c>
      <c r="EM3460" t="s">
        <v>709</v>
      </c>
      <c r="EN3460" t="s">
        <v>852</v>
      </c>
      <c r="EO3460">
        <v>17.279999999999998</v>
      </c>
    </row>
    <row r="3461" spans="142:145" x14ac:dyDescent="0.25">
      <c r="EL3461">
        <v>1999</v>
      </c>
      <c r="EM3461" t="s">
        <v>710</v>
      </c>
      <c r="EN3461" t="s">
        <v>852</v>
      </c>
      <c r="EO3461">
        <v>17.483999999999998</v>
      </c>
    </row>
    <row r="3462" spans="142:145" x14ac:dyDescent="0.25">
      <c r="EL3462">
        <v>1999</v>
      </c>
      <c r="EM3462" t="s">
        <v>711</v>
      </c>
      <c r="EN3462" t="s">
        <v>852</v>
      </c>
      <c r="EO3462">
        <v>16.830000000000002</v>
      </c>
    </row>
    <row r="3463" spans="142:145" x14ac:dyDescent="0.25">
      <c r="EL3463">
        <v>1999</v>
      </c>
      <c r="EM3463" t="s">
        <v>712</v>
      </c>
      <c r="EN3463" t="s">
        <v>852</v>
      </c>
      <c r="EO3463">
        <v>18.103999999999999</v>
      </c>
    </row>
    <row r="3464" spans="142:145" x14ac:dyDescent="0.25">
      <c r="EL3464">
        <v>2000</v>
      </c>
      <c r="EM3464" t="s">
        <v>719</v>
      </c>
      <c r="EN3464" t="s">
        <v>852</v>
      </c>
      <c r="EO3464">
        <v>18.413999999999998</v>
      </c>
    </row>
    <row r="3465" spans="142:145" x14ac:dyDescent="0.25">
      <c r="EL3465">
        <v>2000</v>
      </c>
      <c r="EM3465" t="s">
        <v>713</v>
      </c>
      <c r="EN3465" t="s">
        <v>852</v>
      </c>
      <c r="EO3465">
        <v>17.428999999999998</v>
      </c>
    </row>
    <row r="3466" spans="142:145" x14ac:dyDescent="0.25">
      <c r="EL3466">
        <v>2000</v>
      </c>
      <c r="EM3466" t="s">
        <v>714</v>
      </c>
      <c r="EN3466" t="s">
        <v>852</v>
      </c>
      <c r="EO3466">
        <v>19.065000000000001</v>
      </c>
    </row>
    <row r="3467" spans="142:145" x14ac:dyDescent="0.25">
      <c r="EL3467">
        <v>2000</v>
      </c>
      <c r="EM3467" t="s">
        <v>705</v>
      </c>
      <c r="EN3467" t="s">
        <v>852</v>
      </c>
      <c r="EO3467">
        <v>18.899999999999999</v>
      </c>
    </row>
    <row r="3468" spans="142:145" x14ac:dyDescent="0.25">
      <c r="EL3468">
        <v>2000</v>
      </c>
      <c r="EM3468" t="s">
        <v>715</v>
      </c>
      <c r="EN3468" t="s">
        <v>852</v>
      </c>
      <c r="EO3468">
        <v>18.413999999999998</v>
      </c>
    </row>
    <row r="3469" spans="142:145" x14ac:dyDescent="0.25">
      <c r="EL3469">
        <v>2000</v>
      </c>
      <c r="EM3469" t="s">
        <v>718</v>
      </c>
      <c r="EN3469" t="s">
        <v>852</v>
      </c>
      <c r="EO3469">
        <v>18.149999999999999</v>
      </c>
    </row>
    <row r="3470" spans="142:145" x14ac:dyDescent="0.25">
      <c r="EL3470">
        <v>2000</v>
      </c>
      <c r="EM3470" t="s">
        <v>716</v>
      </c>
      <c r="EN3470" t="s">
        <v>852</v>
      </c>
      <c r="EO3470">
        <v>17.887</v>
      </c>
    </row>
    <row r="3471" spans="142:145" x14ac:dyDescent="0.25">
      <c r="EL3471">
        <v>2000</v>
      </c>
      <c r="EM3471" t="s">
        <v>708</v>
      </c>
      <c r="EN3471" t="s">
        <v>852</v>
      </c>
      <c r="EO3471">
        <v>17.545999999999999</v>
      </c>
    </row>
    <row r="3472" spans="142:145" x14ac:dyDescent="0.25">
      <c r="EL3472">
        <v>2000</v>
      </c>
      <c r="EM3472" t="s">
        <v>709</v>
      </c>
      <c r="EN3472" t="s">
        <v>852</v>
      </c>
      <c r="EO3472">
        <v>17.309999999999999</v>
      </c>
    </row>
    <row r="3473" spans="142:145" x14ac:dyDescent="0.25">
      <c r="EL3473">
        <v>2000</v>
      </c>
      <c r="EM3473" t="s">
        <v>710</v>
      </c>
      <c r="EN3473" t="s">
        <v>852</v>
      </c>
      <c r="EO3473">
        <v>19.22</v>
      </c>
    </row>
    <row r="3474" spans="142:145" x14ac:dyDescent="0.25">
      <c r="EL3474">
        <v>2000</v>
      </c>
      <c r="EM3474" t="s">
        <v>711</v>
      </c>
      <c r="EN3474" t="s">
        <v>852</v>
      </c>
      <c r="EO3474">
        <v>22.86</v>
      </c>
    </row>
    <row r="3475" spans="142:145" x14ac:dyDescent="0.25">
      <c r="EL3475">
        <v>2000</v>
      </c>
      <c r="EM3475" t="s">
        <v>712</v>
      </c>
      <c r="EN3475" t="s">
        <v>852</v>
      </c>
      <c r="EO3475">
        <v>29.356999999999999</v>
      </c>
    </row>
    <row r="3476" spans="142:145" x14ac:dyDescent="0.25">
      <c r="EL3476">
        <v>2001</v>
      </c>
      <c r="EM3476" t="s">
        <v>719</v>
      </c>
      <c r="EN3476" t="s">
        <v>852</v>
      </c>
      <c r="EO3476">
        <v>22.971</v>
      </c>
    </row>
    <row r="3477" spans="142:145" x14ac:dyDescent="0.25">
      <c r="EL3477">
        <v>2001</v>
      </c>
      <c r="EM3477" t="s">
        <v>713</v>
      </c>
      <c r="EN3477" t="s">
        <v>852</v>
      </c>
      <c r="EO3477">
        <v>16.239999999999998</v>
      </c>
    </row>
    <row r="3478" spans="142:145" x14ac:dyDescent="0.25">
      <c r="EL3478">
        <v>2001</v>
      </c>
      <c r="EM3478" t="s">
        <v>714</v>
      </c>
      <c r="EN3478" t="s">
        <v>852</v>
      </c>
      <c r="EO3478">
        <v>16.802</v>
      </c>
    </row>
    <row r="3479" spans="142:145" x14ac:dyDescent="0.25">
      <c r="EL3479">
        <v>2001</v>
      </c>
      <c r="EM3479" t="s">
        <v>705</v>
      </c>
      <c r="EN3479" t="s">
        <v>852</v>
      </c>
      <c r="EO3479">
        <v>17.887</v>
      </c>
    </row>
    <row r="3480" spans="142:145" x14ac:dyDescent="0.25">
      <c r="EL3480">
        <v>2001</v>
      </c>
      <c r="EM3480" t="s">
        <v>715</v>
      </c>
      <c r="EN3480" t="s">
        <v>852</v>
      </c>
      <c r="EO3480">
        <v>17.824999999999999</v>
      </c>
    </row>
    <row r="3481" spans="142:145" x14ac:dyDescent="0.25">
      <c r="EL3481">
        <v>2001</v>
      </c>
      <c r="EM3481" t="s">
        <v>718</v>
      </c>
      <c r="EN3481" t="s">
        <v>852</v>
      </c>
      <c r="EO3481">
        <v>19.260000000000002</v>
      </c>
    </row>
    <row r="3482" spans="142:145" x14ac:dyDescent="0.25">
      <c r="EL3482">
        <v>2001</v>
      </c>
      <c r="EM3482" t="s">
        <v>716</v>
      </c>
      <c r="EN3482" t="s">
        <v>852</v>
      </c>
      <c r="EO3482">
        <v>19.375</v>
      </c>
    </row>
    <row r="3483" spans="142:145" x14ac:dyDescent="0.25">
      <c r="EL3483">
        <v>2001</v>
      </c>
      <c r="EM3483" t="s">
        <v>708</v>
      </c>
      <c r="EN3483" t="s">
        <v>852</v>
      </c>
      <c r="EO3483">
        <v>19.684999999999999</v>
      </c>
    </row>
    <row r="3484" spans="142:145" x14ac:dyDescent="0.25">
      <c r="EL3484">
        <v>2001</v>
      </c>
      <c r="EM3484" t="s">
        <v>709</v>
      </c>
      <c r="EN3484" t="s">
        <v>852</v>
      </c>
      <c r="EO3484">
        <v>19.05</v>
      </c>
    </row>
    <row r="3485" spans="142:145" x14ac:dyDescent="0.25">
      <c r="EL3485">
        <v>2001</v>
      </c>
      <c r="EM3485" t="s">
        <v>710</v>
      </c>
      <c r="EN3485" t="s">
        <v>852</v>
      </c>
      <c r="EO3485">
        <v>19.684999999999999</v>
      </c>
    </row>
    <row r="3486" spans="142:145" x14ac:dyDescent="0.25">
      <c r="EL3486">
        <v>2001</v>
      </c>
      <c r="EM3486" t="s">
        <v>711</v>
      </c>
      <c r="EN3486" t="s">
        <v>852</v>
      </c>
      <c r="EO3486">
        <v>19.05</v>
      </c>
    </row>
    <row r="3487" spans="142:145" x14ac:dyDescent="0.25">
      <c r="EL3487">
        <v>2001</v>
      </c>
      <c r="EM3487" t="s">
        <v>712</v>
      </c>
      <c r="EN3487" t="s">
        <v>852</v>
      </c>
      <c r="EO3487">
        <v>19.684999999999999</v>
      </c>
    </row>
    <row r="3488" spans="142:145" x14ac:dyDescent="0.25">
      <c r="EL3488">
        <v>2002</v>
      </c>
      <c r="EM3488" t="s">
        <v>719</v>
      </c>
      <c r="EN3488" t="s">
        <v>852</v>
      </c>
      <c r="EO3488">
        <v>19.684999999999999</v>
      </c>
    </row>
    <row r="3489" spans="142:145" x14ac:dyDescent="0.25">
      <c r="EL3489">
        <v>2002</v>
      </c>
      <c r="EM3489" t="s">
        <v>713</v>
      </c>
      <c r="EN3489" t="s">
        <v>852</v>
      </c>
      <c r="EO3489">
        <v>12.012</v>
      </c>
    </row>
    <row r="3490" spans="142:145" x14ac:dyDescent="0.25">
      <c r="EL3490">
        <v>2002</v>
      </c>
      <c r="EM3490" t="s">
        <v>714</v>
      </c>
      <c r="EN3490" t="s">
        <v>852</v>
      </c>
      <c r="EO3490">
        <v>15.872</v>
      </c>
    </row>
    <row r="3491" spans="142:145" x14ac:dyDescent="0.25">
      <c r="EL3491">
        <v>2002</v>
      </c>
      <c r="EM3491" t="s">
        <v>705</v>
      </c>
      <c r="EN3491" t="s">
        <v>852</v>
      </c>
      <c r="EO3491">
        <v>14.010000000000002</v>
      </c>
    </row>
    <row r="3492" spans="142:145" x14ac:dyDescent="0.25">
      <c r="EL3492">
        <v>2002</v>
      </c>
      <c r="EM3492" t="s">
        <v>715</v>
      </c>
      <c r="EN3492" t="s">
        <v>852</v>
      </c>
      <c r="EO3492">
        <v>16.182000000000002</v>
      </c>
    </row>
    <row r="3493" spans="142:145" x14ac:dyDescent="0.25">
      <c r="EL3493">
        <v>2002</v>
      </c>
      <c r="EM3493" t="s">
        <v>718</v>
      </c>
      <c r="EN3493" t="s">
        <v>852</v>
      </c>
      <c r="EO3493">
        <v>15.81</v>
      </c>
    </row>
    <row r="3494" spans="142:145" x14ac:dyDescent="0.25">
      <c r="EL3494">
        <v>2002</v>
      </c>
      <c r="EM3494" t="s">
        <v>716</v>
      </c>
      <c r="EN3494" t="s">
        <v>852</v>
      </c>
      <c r="EO3494">
        <v>16.926000000000002</v>
      </c>
    </row>
    <row r="3495" spans="142:145" x14ac:dyDescent="0.25">
      <c r="EL3495">
        <v>2002</v>
      </c>
      <c r="EM3495" t="s">
        <v>708</v>
      </c>
      <c r="EN3495" t="s">
        <v>852</v>
      </c>
      <c r="EO3495">
        <v>16.337</v>
      </c>
    </row>
    <row r="3496" spans="142:145" x14ac:dyDescent="0.25">
      <c r="EL3496">
        <v>2002</v>
      </c>
      <c r="EM3496" t="s">
        <v>709</v>
      </c>
      <c r="EN3496" t="s">
        <v>852</v>
      </c>
      <c r="EO3496">
        <v>17.64</v>
      </c>
    </row>
    <row r="3497" spans="142:145" x14ac:dyDescent="0.25">
      <c r="EL3497">
        <v>2002</v>
      </c>
      <c r="EM3497" t="s">
        <v>710</v>
      </c>
      <c r="EN3497" t="s">
        <v>852</v>
      </c>
      <c r="EO3497">
        <v>15.004</v>
      </c>
    </row>
    <row r="3498" spans="142:145" x14ac:dyDescent="0.25">
      <c r="EL3498">
        <v>2002</v>
      </c>
      <c r="EM3498" t="s">
        <v>711</v>
      </c>
      <c r="EN3498" t="s">
        <v>852</v>
      </c>
      <c r="EO3498">
        <v>18.09</v>
      </c>
    </row>
    <row r="3499" spans="142:145" x14ac:dyDescent="0.25">
      <c r="EL3499">
        <v>2002</v>
      </c>
      <c r="EM3499" t="s">
        <v>712</v>
      </c>
      <c r="EN3499" t="s">
        <v>852</v>
      </c>
      <c r="EO3499">
        <v>18.972000000000001</v>
      </c>
    </row>
    <row r="3500" spans="142:145" x14ac:dyDescent="0.25">
      <c r="EL3500">
        <v>2003</v>
      </c>
      <c r="EM3500" t="s">
        <v>719</v>
      </c>
      <c r="EN3500" t="s">
        <v>852</v>
      </c>
      <c r="EO3500">
        <v>27.218</v>
      </c>
    </row>
    <row r="3501" spans="142:145" x14ac:dyDescent="0.25">
      <c r="EL3501">
        <v>2003</v>
      </c>
      <c r="EM3501" t="s">
        <v>713</v>
      </c>
      <c r="EN3501" t="s">
        <v>852</v>
      </c>
      <c r="EO3501">
        <v>38.192</v>
      </c>
    </row>
    <row r="3502" spans="142:145" x14ac:dyDescent="0.25">
      <c r="EL3502">
        <v>2003</v>
      </c>
      <c r="EM3502" t="s">
        <v>714</v>
      </c>
      <c r="EN3502" t="s">
        <v>852</v>
      </c>
      <c r="EO3502">
        <v>21.823999999999998</v>
      </c>
    </row>
    <row r="3503" spans="142:145" x14ac:dyDescent="0.25">
      <c r="EL3503">
        <v>2003</v>
      </c>
      <c r="EM3503" t="s">
        <v>705</v>
      </c>
      <c r="EN3503" t="s">
        <v>852</v>
      </c>
      <c r="EO3503">
        <v>18.320999999999998</v>
      </c>
    </row>
    <row r="3504" spans="142:145" x14ac:dyDescent="0.25">
      <c r="EL3504">
        <v>2003</v>
      </c>
      <c r="EM3504" t="s">
        <v>715</v>
      </c>
      <c r="EN3504" t="s">
        <v>852</v>
      </c>
      <c r="EO3504">
        <v>19.282</v>
      </c>
    </row>
    <row r="3505" spans="142:145" x14ac:dyDescent="0.25">
      <c r="EL3505">
        <v>2003</v>
      </c>
      <c r="EM3505" t="s">
        <v>718</v>
      </c>
      <c r="EN3505" t="s">
        <v>852</v>
      </c>
      <c r="EO3505">
        <v>20.130000000000003</v>
      </c>
    </row>
    <row r="3506" spans="142:145" x14ac:dyDescent="0.25">
      <c r="EL3506">
        <v>2003</v>
      </c>
      <c r="EM3506" t="s">
        <v>716</v>
      </c>
      <c r="EN3506" t="s">
        <v>852</v>
      </c>
      <c r="EO3506">
        <v>20.615000000000002</v>
      </c>
    </row>
    <row r="3507" spans="142:145" x14ac:dyDescent="0.25">
      <c r="EL3507">
        <v>2003</v>
      </c>
      <c r="EM3507" t="s">
        <v>708</v>
      </c>
      <c r="EN3507" t="s">
        <v>852</v>
      </c>
      <c r="EO3507">
        <v>19.623000000000001</v>
      </c>
    </row>
    <row r="3508" spans="142:145" x14ac:dyDescent="0.25">
      <c r="EL3508">
        <v>2003</v>
      </c>
      <c r="EM3508" t="s">
        <v>709</v>
      </c>
      <c r="EN3508" t="s">
        <v>852</v>
      </c>
      <c r="EO3508">
        <v>18.3</v>
      </c>
    </row>
    <row r="3509" spans="142:145" x14ac:dyDescent="0.25">
      <c r="EL3509">
        <v>2003</v>
      </c>
      <c r="EM3509" t="s">
        <v>710</v>
      </c>
      <c r="EN3509" t="s">
        <v>852</v>
      </c>
      <c r="EO3509">
        <v>19.239999999999998</v>
      </c>
    </row>
    <row r="3510" spans="142:145" x14ac:dyDescent="0.25">
      <c r="EL3510">
        <v>2003</v>
      </c>
      <c r="EM3510" t="s">
        <v>711</v>
      </c>
      <c r="EN3510" t="s">
        <v>852</v>
      </c>
      <c r="EO3510">
        <v>18.812999999999999</v>
      </c>
    </row>
    <row r="3511" spans="142:145" x14ac:dyDescent="0.25">
      <c r="EL3511">
        <v>2003</v>
      </c>
      <c r="EM3511" t="s">
        <v>712</v>
      </c>
      <c r="EN3511" t="s">
        <v>852</v>
      </c>
      <c r="EO3511">
        <v>20.010999999999999</v>
      </c>
    </row>
    <row r="3512" spans="142:145" x14ac:dyDescent="0.25">
      <c r="EL3512">
        <v>2004</v>
      </c>
      <c r="EM3512" t="s">
        <v>719</v>
      </c>
      <c r="EN3512" t="s">
        <v>852</v>
      </c>
      <c r="EO3512">
        <v>15.930999999999999</v>
      </c>
    </row>
    <row r="3513" spans="142:145" x14ac:dyDescent="0.25">
      <c r="EL3513">
        <v>2004</v>
      </c>
      <c r="EM3513" t="s">
        <v>713</v>
      </c>
      <c r="EN3513" t="s">
        <v>852</v>
      </c>
      <c r="EO3513">
        <v>17.109000000000002</v>
      </c>
    </row>
    <row r="3514" spans="142:145" x14ac:dyDescent="0.25">
      <c r="EL3514">
        <v>2004</v>
      </c>
      <c r="EM3514" t="s">
        <v>714</v>
      </c>
      <c r="EN3514" t="s">
        <v>852</v>
      </c>
      <c r="EO3514">
        <v>17.318999999999999</v>
      </c>
    </row>
    <row r="3515" spans="142:145" x14ac:dyDescent="0.25">
      <c r="EL3515">
        <v>2004</v>
      </c>
      <c r="EM3515" t="s">
        <v>705</v>
      </c>
      <c r="EN3515" t="s">
        <v>852</v>
      </c>
      <c r="EO3515">
        <v>17.393000000000001</v>
      </c>
    </row>
    <row r="3516" spans="142:145" x14ac:dyDescent="0.25">
      <c r="EL3516">
        <v>2004</v>
      </c>
      <c r="EM3516" t="s">
        <v>715</v>
      </c>
      <c r="EN3516" t="s">
        <v>852</v>
      </c>
      <c r="EO3516">
        <v>17.568142857142899</v>
      </c>
    </row>
    <row r="3517" spans="142:145" x14ac:dyDescent="0.25">
      <c r="EL3517">
        <v>2004</v>
      </c>
      <c r="EM3517" t="s">
        <v>718</v>
      </c>
      <c r="EN3517" t="s">
        <v>852</v>
      </c>
      <c r="EO3517">
        <v>17.1464</v>
      </c>
    </row>
    <row r="3518" spans="142:145" x14ac:dyDescent="0.25">
      <c r="EL3518">
        <v>2004</v>
      </c>
      <c r="EM3518" t="s">
        <v>716</v>
      </c>
      <c r="EN3518" t="s">
        <v>852</v>
      </c>
      <c r="EO3518">
        <v>18.773</v>
      </c>
    </row>
    <row r="3519" spans="142:145" x14ac:dyDescent="0.25">
      <c r="EL3519">
        <v>2004</v>
      </c>
      <c r="EM3519" t="s">
        <v>708</v>
      </c>
      <c r="EN3519" t="s">
        <v>852</v>
      </c>
      <c r="EO3519">
        <v>17.985166666666</v>
      </c>
    </row>
    <row r="3520" spans="142:145" x14ac:dyDescent="0.25">
      <c r="EL3520">
        <v>2004</v>
      </c>
      <c r="EM3520" t="s">
        <v>709</v>
      </c>
      <c r="EN3520" t="s">
        <v>852</v>
      </c>
      <c r="EO3520">
        <v>11.4</v>
      </c>
    </row>
    <row r="3521" spans="142:145" x14ac:dyDescent="0.25">
      <c r="EL3521">
        <v>2004</v>
      </c>
      <c r="EM3521" t="s">
        <v>710</v>
      </c>
      <c r="EN3521" t="s">
        <v>852</v>
      </c>
      <c r="EO3521">
        <v>20.969151499999999</v>
      </c>
    </row>
    <row r="3522" spans="142:145" x14ac:dyDescent="0.25">
      <c r="EL3522">
        <v>2004</v>
      </c>
      <c r="EM3522" t="s">
        <v>711</v>
      </c>
      <c r="EN3522" t="s">
        <v>852</v>
      </c>
      <c r="EO3522">
        <v>15.786</v>
      </c>
    </row>
    <row r="3523" spans="142:145" x14ac:dyDescent="0.25">
      <c r="EL3523">
        <v>2004</v>
      </c>
      <c r="EM3523" t="s">
        <v>712</v>
      </c>
      <c r="EN3523" t="s">
        <v>852</v>
      </c>
      <c r="EO3523">
        <v>18.902999999999999</v>
      </c>
    </row>
    <row r="3524" spans="142:145" x14ac:dyDescent="0.25">
      <c r="EL3524">
        <v>2005</v>
      </c>
      <c r="EM3524" t="s">
        <v>719</v>
      </c>
      <c r="EN3524" t="s">
        <v>852</v>
      </c>
      <c r="EO3524">
        <v>17.094000000000001</v>
      </c>
    </row>
    <row r="3525" spans="142:145" x14ac:dyDescent="0.25">
      <c r="EL3525">
        <v>2005</v>
      </c>
      <c r="EM3525" t="s">
        <v>713</v>
      </c>
      <c r="EN3525" t="s">
        <v>852</v>
      </c>
      <c r="EO3525">
        <v>14.631679999999999</v>
      </c>
    </row>
    <row r="3526" spans="142:145" x14ac:dyDescent="0.25">
      <c r="EL3526">
        <v>2005</v>
      </c>
      <c r="EM3526" t="s">
        <v>714</v>
      </c>
      <c r="EN3526" t="s">
        <v>852</v>
      </c>
      <c r="EO3526">
        <v>16.88</v>
      </c>
    </row>
    <row r="3527" spans="142:145" x14ac:dyDescent="0.25">
      <c r="EL3527">
        <v>2005</v>
      </c>
      <c r="EM3527" t="s">
        <v>705</v>
      </c>
      <c r="EN3527" t="s">
        <v>852</v>
      </c>
      <c r="EO3527">
        <v>16.707999999999998</v>
      </c>
    </row>
    <row r="3528" spans="142:145" x14ac:dyDescent="0.25">
      <c r="EL3528">
        <v>2005</v>
      </c>
      <c r="EM3528" t="s">
        <v>715</v>
      </c>
      <c r="EN3528" t="s">
        <v>852</v>
      </c>
      <c r="EO3528">
        <v>16.382999999999999</v>
      </c>
    </row>
    <row r="3529" spans="142:145" x14ac:dyDescent="0.25">
      <c r="EL3529">
        <v>2005</v>
      </c>
      <c r="EM3529" t="s">
        <v>718</v>
      </c>
      <c r="EN3529" t="s">
        <v>852</v>
      </c>
      <c r="EO3529">
        <v>15.782</v>
      </c>
    </row>
    <row r="3530" spans="142:145" x14ac:dyDescent="0.25">
      <c r="EL3530">
        <v>2005</v>
      </c>
      <c r="EM3530" t="s">
        <v>716</v>
      </c>
      <c r="EN3530" t="s">
        <v>852</v>
      </c>
      <c r="EO3530">
        <v>16.050999999999998</v>
      </c>
    </row>
    <row r="3531" spans="142:145" x14ac:dyDescent="0.25">
      <c r="EL3531">
        <v>2005</v>
      </c>
      <c r="EM3531" t="s">
        <v>708</v>
      </c>
      <c r="EN3531" t="s">
        <v>852</v>
      </c>
      <c r="EO3531">
        <v>16.175999999999998</v>
      </c>
    </row>
    <row r="3532" spans="142:145" x14ac:dyDescent="0.25">
      <c r="EL3532">
        <v>2005</v>
      </c>
      <c r="EM3532" t="s">
        <v>709</v>
      </c>
      <c r="EN3532" t="s">
        <v>852</v>
      </c>
      <c r="EO3532">
        <v>11.561999999999999</v>
      </c>
    </row>
    <row r="3533" spans="142:145" x14ac:dyDescent="0.25">
      <c r="EL3533">
        <v>2005</v>
      </c>
      <c r="EM3533" t="s">
        <v>710</v>
      </c>
      <c r="EN3533" t="s">
        <v>852</v>
      </c>
      <c r="EO3533">
        <v>16.591000000000001</v>
      </c>
    </row>
    <row r="3534" spans="142:145" x14ac:dyDescent="0.25">
      <c r="EL3534">
        <v>2005</v>
      </c>
      <c r="EM3534" t="s">
        <v>711</v>
      </c>
      <c r="EN3534" t="s">
        <v>852</v>
      </c>
      <c r="EO3534">
        <v>13.441000000000001</v>
      </c>
    </row>
    <row r="3535" spans="142:145" x14ac:dyDescent="0.25">
      <c r="EL3535">
        <v>2005</v>
      </c>
      <c r="EM3535" t="s">
        <v>712</v>
      </c>
      <c r="EN3535" t="s">
        <v>852</v>
      </c>
      <c r="EO3535">
        <v>15.092000000000001</v>
      </c>
    </row>
    <row r="3536" spans="142:145" x14ac:dyDescent="0.25">
      <c r="EL3536">
        <v>2006</v>
      </c>
      <c r="EM3536" t="s">
        <v>719</v>
      </c>
      <c r="EN3536" t="s">
        <v>852</v>
      </c>
      <c r="EO3536">
        <v>14.201000000000001</v>
      </c>
    </row>
    <row r="3537" spans="142:145" x14ac:dyDescent="0.25">
      <c r="EL3537">
        <v>2006</v>
      </c>
      <c r="EM3537" t="s">
        <v>713</v>
      </c>
      <c r="EN3537" t="s">
        <v>852</v>
      </c>
      <c r="EO3537">
        <v>14.192</v>
      </c>
    </row>
    <row r="3538" spans="142:145" x14ac:dyDescent="0.25">
      <c r="EL3538">
        <v>2006</v>
      </c>
      <c r="EM3538" t="s">
        <v>714</v>
      </c>
      <c r="EN3538" t="s">
        <v>852</v>
      </c>
      <c r="EO3538">
        <v>14.167</v>
      </c>
    </row>
    <row r="3539" spans="142:145" x14ac:dyDescent="0.25">
      <c r="EL3539">
        <v>2006</v>
      </c>
      <c r="EM3539" t="s">
        <v>705</v>
      </c>
      <c r="EN3539" t="s">
        <v>852</v>
      </c>
      <c r="EO3539">
        <v>16.329000000000001</v>
      </c>
    </row>
    <row r="3540" spans="142:145" x14ac:dyDescent="0.25">
      <c r="EL3540">
        <v>2006</v>
      </c>
      <c r="EM3540" t="s">
        <v>715</v>
      </c>
      <c r="EN3540" t="s">
        <v>852</v>
      </c>
      <c r="EO3540">
        <v>12.365</v>
      </c>
    </row>
    <row r="3541" spans="142:145" x14ac:dyDescent="0.25">
      <c r="EL3541">
        <v>2006</v>
      </c>
      <c r="EM3541" t="s">
        <v>718</v>
      </c>
      <c r="EN3541" t="s">
        <v>852</v>
      </c>
      <c r="EO3541">
        <v>14.53</v>
      </c>
    </row>
    <row r="3542" spans="142:145" x14ac:dyDescent="0.25">
      <c r="EL3542">
        <v>2006</v>
      </c>
      <c r="EM3542" t="s">
        <v>716</v>
      </c>
      <c r="EN3542" t="s">
        <v>852</v>
      </c>
      <c r="EO3542">
        <v>17.643999999999998</v>
      </c>
    </row>
    <row r="3543" spans="142:145" x14ac:dyDescent="0.25">
      <c r="EL3543">
        <v>2006</v>
      </c>
      <c r="EM3543" t="s">
        <v>708</v>
      </c>
      <c r="EN3543" t="s">
        <v>852</v>
      </c>
      <c r="EO3543">
        <v>11.794</v>
      </c>
    </row>
    <row r="3544" spans="142:145" x14ac:dyDescent="0.25">
      <c r="EL3544">
        <v>2006</v>
      </c>
      <c r="EM3544" t="s">
        <v>709</v>
      </c>
      <c r="EN3544" t="s">
        <v>852</v>
      </c>
      <c r="EO3544">
        <v>12.522</v>
      </c>
    </row>
    <row r="3545" spans="142:145" x14ac:dyDescent="0.25">
      <c r="EL3545">
        <v>2006</v>
      </c>
      <c r="EM3545" t="s">
        <v>710</v>
      </c>
      <c r="EN3545" t="s">
        <v>852</v>
      </c>
      <c r="EO3545">
        <v>13.051</v>
      </c>
    </row>
    <row r="3546" spans="142:145" x14ac:dyDescent="0.25">
      <c r="EL3546">
        <v>2006</v>
      </c>
      <c r="EM3546" t="s">
        <v>711</v>
      </c>
      <c r="EN3546" t="s">
        <v>852</v>
      </c>
      <c r="EO3546">
        <v>13.194000000000001</v>
      </c>
    </row>
    <row r="3547" spans="142:145" x14ac:dyDescent="0.25">
      <c r="EL3547">
        <v>2006</v>
      </c>
      <c r="EM3547" t="s">
        <v>712</v>
      </c>
      <c r="EN3547" t="s">
        <v>852</v>
      </c>
      <c r="EO3547">
        <v>11.179</v>
      </c>
    </row>
    <row r="3548" spans="142:145" x14ac:dyDescent="0.25">
      <c r="EL3548">
        <v>2007</v>
      </c>
      <c r="EM3548" t="s">
        <v>719</v>
      </c>
      <c r="EN3548" t="s">
        <v>852</v>
      </c>
      <c r="EO3548">
        <v>16.399999999999999</v>
      </c>
    </row>
    <row r="3549" spans="142:145" x14ac:dyDescent="0.25">
      <c r="EL3549">
        <v>2007</v>
      </c>
      <c r="EM3549" t="s">
        <v>713</v>
      </c>
      <c r="EN3549" t="s">
        <v>852</v>
      </c>
      <c r="EO3549">
        <v>10.151</v>
      </c>
    </row>
    <row r="3550" spans="142:145" x14ac:dyDescent="0.25">
      <c r="EL3550">
        <v>2007</v>
      </c>
      <c r="EM3550" t="s">
        <v>714</v>
      </c>
      <c r="EN3550" t="s">
        <v>852</v>
      </c>
      <c r="EO3550">
        <v>14.34</v>
      </c>
    </row>
    <row r="3551" spans="142:145" x14ac:dyDescent="0.25">
      <c r="EL3551">
        <v>2007</v>
      </c>
      <c r="EM3551" t="s">
        <v>705</v>
      </c>
      <c r="EN3551" t="s">
        <v>852</v>
      </c>
      <c r="EO3551">
        <v>13.231999999999999</v>
      </c>
    </row>
    <row r="3552" spans="142:145" x14ac:dyDescent="0.25">
      <c r="EL3552">
        <v>2007</v>
      </c>
      <c r="EM3552" t="s">
        <v>715</v>
      </c>
      <c r="EN3552" t="s">
        <v>852</v>
      </c>
      <c r="EO3552">
        <v>12.475</v>
      </c>
    </row>
    <row r="3553" spans="142:145" x14ac:dyDescent="0.25">
      <c r="EL3553">
        <v>2007</v>
      </c>
      <c r="EM3553" t="s">
        <v>718</v>
      </c>
      <c r="EN3553" t="s">
        <v>852</v>
      </c>
      <c r="EO3553">
        <v>12.22</v>
      </c>
    </row>
    <row r="3554" spans="142:145" x14ac:dyDescent="0.25">
      <c r="EL3554">
        <v>2007</v>
      </c>
      <c r="EM3554" t="s">
        <v>716</v>
      </c>
      <c r="EN3554" t="s">
        <v>852</v>
      </c>
      <c r="EO3554">
        <v>11.926</v>
      </c>
    </row>
    <row r="3555" spans="142:145" x14ac:dyDescent="0.25">
      <c r="EL3555">
        <v>2007</v>
      </c>
      <c r="EM3555" t="s">
        <v>708</v>
      </c>
      <c r="EN3555" t="s">
        <v>852</v>
      </c>
      <c r="EO3555">
        <v>12.631</v>
      </c>
    </row>
    <row r="3556" spans="142:145" x14ac:dyDescent="0.25">
      <c r="EL3556">
        <v>2007</v>
      </c>
      <c r="EM3556" t="s">
        <v>709</v>
      </c>
      <c r="EN3556" t="s">
        <v>852</v>
      </c>
      <c r="EO3556">
        <v>11.298</v>
      </c>
    </row>
    <row r="3557" spans="142:145" x14ac:dyDescent="0.25">
      <c r="EL3557">
        <v>2007</v>
      </c>
      <c r="EM3557" t="s">
        <v>710</v>
      </c>
      <c r="EN3557" t="s">
        <v>852</v>
      </c>
      <c r="EO3557">
        <v>14.794</v>
      </c>
    </row>
    <row r="3558" spans="142:145" x14ac:dyDescent="0.25">
      <c r="EL3558">
        <v>2007</v>
      </c>
      <c r="EM3558" t="s">
        <v>711</v>
      </c>
      <c r="EN3558" t="s">
        <v>852</v>
      </c>
      <c r="EO3558">
        <v>13.682</v>
      </c>
    </row>
    <row r="3559" spans="142:145" x14ac:dyDescent="0.25">
      <c r="EL3559">
        <v>2007</v>
      </c>
      <c r="EM3559" t="s">
        <v>712</v>
      </c>
      <c r="EN3559" t="s">
        <v>852</v>
      </c>
      <c r="EO3559">
        <v>14.569000000000001</v>
      </c>
    </row>
    <row r="3560" spans="142:145" x14ac:dyDescent="0.25">
      <c r="EL3560">
        <v>2008</v>
      </c>
      <c r="EM3560" t="s">
        <v>719</v>
      </c>
      <c r="EN3560" t="s">
        <v>852</v>
      </c>
      <c r="EO3560">
        <v>10.912000000000001</v>
      </c>
    </row>
    <row r="3561" spans="142:145" x14ac:dyDescent="0.25">
      <c r="EL3561">
        <v>2008</v>
      </c>
      <c r="EM3561" t="s">
        <v>713</v>
      </c>
      <c r="EN3561" t="s">
        <v>852</v>
      </c>
      <c r="EO3561">
        <v>10.52</v>
      </c>
    </row>
    <row r="3562" spans="142:145" x14ac:dyDescent="0.25">
      <c r="EL3562">
        <v>2008</v>
      </c>
      <c r="EM3562" t="s">
        <v>714</v>
      </c>
      <c r="EN3562" t="s">
        <v>852</v>
      </c>
      <c r="EO3562">
        <v>11.087999999999999</v>
      </c>
    </row>
    <row r="3563" spans="142:145" x14ac:dyDescent="0.25">
      <c r="EL3563">
        <v>2008</v>
      </c>
      <c r="EM3563" t="s">
        <v>705</v>
      </c>
      <c r="EN3563" t="s">
        <v>852</v>
      </c>
      <c r="EO3563">
        <v>11.805</v>
      </c>
    </row>
    <row r="3564" spans="142:145" x14ac:dyDescent="0.25">
      <c r="EL3564">
        <v>2008</v>
      </c>
      <c r="EM3564" t="s">
        <v>715</v>
      </c>
      <c r="EN3564" t="s">
        <v>852</v>
      </c>
      <c r="EO3564">
        <v>14.725</v>
      </c>
    </row>
    <row r="3565" spans="142:145" x14ac:dyDescent="0.25">
      <c r="EL3565">
        <v>2008</v>
      </c>
      <c r="EM3565" t="s">
        <v>718</v>
      </c>
      <c r="EN3565" t="s">
        <v>852</v>
      </c>
      <c r="EO3565">
        <v>12.951000000000001</v>
      </c>
    </row>
    <row r="3566" spans="142:145" x14ac:dyDescent="0.25">
      <c r="EL3566">
        <v>2008</v>
      </c>
      <c r="EM3566" t="s">
        <v>716</v>
      </c>
      <c r="EN3566" t="s">
        <v>852</v>
      </c>
      <c r="EO3566">
        <v>16.295000000000002</v>
      </c>
    </row>
    <row r="3567" spans="142:145" x14ac:dyDescent="0.25">
      <c r="EL3567">
        <v>2008</v>
      </c>
      <c r="EM3567" t="s">
        <v>708</v>
      </c>
      <c r="EN3567" t="s">
        <v>852</v>
      </c>
      <c r="EO3567">
        <v>10.757999999999999</v>
      </c>
    </row>
    <row r="3568" spans="142:145" x14ac:dyDescent="0.25">
      <c r="EL3568">
        <v>2008</v>
      </c>
      <c r="EM3568" t="s">
        <v>709</v>
      </c>
      <c r="EN3568" t="s">
        <v>852</v>
      </c>
      <c r="EO3568">
        <v>11.178000000000001</v>
      </c>
    </row>
    <row r="3569" spans="142:145" x14ac:dyDescent="0.25">
      <c r="EL3569">
        <v>2008</v>
      </c>
      <c r="EM3569" t="s">
        <v>710</v>
      </c>
      <c r="EN3569" t="s">
        <v>852</v>
      </c>
      <c r="EO3569">
        <v>11.986000000000001</v>
      </c>
    </row>
    <row r="3570" spans="142:145" x14ac:dyDescent="0.25">
      <c r="EL3570">
        <v>2008</v>
      </c>
      <c r="EM3570" t="s">
        <v>711</v>
      </c>
      <c r="EN3570" t="s">
        <v>852</v>
      </c>
      <c r="EO3570">
        <v>10.476000000000001</v>
      </c>
    </row>
    <row r="3571" spans="142:145" x14ac:dyDescent="0.25">
      <c r="EL3571">
        <v>2008</v>
      </c>
      <c r="EM3571" t="s">
        <v>712</v>
      </c>
      <c r="EN3571" t="s">
        <v>852</v>
      </c>
      <c r="EO3571">
        <v>11.352</v>
      </c>
    </row>
    <row r="3572" spans="142:145" x14ac:dyDescent="0.25">
      <c r="EL3572">
        <v>2009</v>
      </c>
      <c r="EM3572" t="s">
        <v>719</v>
      </c>
      <c r="EN3572" t="s">
        <v>852</v>
      </c>
      <c r="EO3572">
        <v>11.474</v>
      </c>
    </row>
    <row r="3573" spans="142:145" x14ac:dyDescent="0.25">
      <c r="EL3573">
        <v>2009</v>
      </c>
      <c r="EM3573" t="s">
        <v>713</v>
      </c>
      <c r="EN3573" t="s">
        <v>852</v>
      </c>
      <c r="EO3573">
        <v>8.9979999999999993</v>
      </c>
    </row>
    <row r="3574" spans="142:145" x14ac:dyDescent="0.25">
      <c r="EL3574">
        <v>2009</v>
      </c>
      <c r="EM3574" t="s">
        <v>714</v>
      </c>
      <c r="EN3574" t="s">
        <v>852</v>
      </c>
      <c r="EO3574">
        <v>10.597</v>
      </c>
    </row>
    <row r="3575" spans="142:145" x14ac:dyDescent="0.25">
      <c r="EL3575">
        <v>2009</v>
      </c>
      <c r="EM3575" t="s">
        <v>705</v>
      </c>
      <c r="EN3575" t="s">
        <v>852</v>
      </c>
      <c r="EO3575">
        <v>10.536</v>
      </c>
    </row>
    <row r="3576" spans="142:145" x14ac:dyDescent="0.25">
      <c r="EL3576">
        <v>2009</v>
      </c>
      <c r="EM3576" t="s">
        <v>715</v>
      </c>
      <c r="EN3576" t="s">
        <v>852</v>
      </c>
      <c r="EO3576">
        <v>13.403</v>
      </c>
    </row>
    <row r="3577" spans="142:145" x14ac:dyDescent="0.25">
      <c r="EL3577">
        <v>2009</v>
      </c>
      <c r="EM3577" t="s">
        <v>718</v>
      </c>
      <c r="EN3577" t="s">
        <v>852</v>
      </c>
      <c r="EO3577">
        <v>12.898</v>
      </c>
    </row>
    <row r="3578" spans="142:145" x14ac:dyDescent="0.25">
      <c r="EL3578">
        <v>2009</v>
      </c>
      <c r="EM3578" t="s">
        <v>716</v>
      </c>
      <c r="EN3578" t="s">
        <v>852</v>
      </c>
      <c r="EO3578">
        <v>12.566000000000001</v>
      </c>
    </row>
    <row r="3579" spans="142:145" x14ac:dyDescent="0.25">
      <c r="EL3579">
        <v>2009</v>
      </c>
      <c r="EM3579" t="s">
        <v>708</v>
      </c>
      <c r="EN3579" t="s">
        <v>852</v>
      </c>
      <c r="EO3579">
        <v>11.496</v>
      </c>
    </row>
    <row r="3580" spans="142:145" x14ac:dyDescent="0.25">
      <c r="EL3580">
        <v>2009</v>
      </c>
      <c r="EM3580" t="s">
        <v>709</v>
      </c>
      <c r="EN3580" t="s">
        <v>852</v>
      </c>
      <c r="EO3580">
        <v>10.968999999999999</v>
      </c>
    </row>
    <row r="3581" spans="142:145" x14ac:dyDescent="0.25">
      <c r="EL3581">
        <v>2009</v>
      </c>
      <c r="EM3581" t="s">
        <v>710</v>
      </c>
      <c r="EN3581" t="s">
        <v>852</v>
      </c>
      <c r="EO3581">
        <v>11.272</v>
      </c>
    </row>
    <row r="3582" spans="142:145" x14ac:dyDescent="0.25">
      <c r="EL3582">
        <v>2009</v>
      </c>
      <c r="EM3582" t="s">
        <v>711</v>
      </c>
      <c r="EN3582" t="s">
        <v>852</v>
      </c>
      <c r="EO3582">
        <v>11</v>
      </c>
    </row>
    <row r="3583" spans="142:145" x14ac:dyDescent="0.25">
      <c r="EL3583">
        <v>2009</v>
      </c>
      <c r="EM3583" t="s">
        <v>712</v>
      </c>
      <c r="EN3583" t="s">
        <v>852</v>
      </c>
      <c r="EO3583">
        <v>12.67</v>
      </c>
    </row>
    <row r="3584" spans="142:145" x14ac:dyDescent="0.25">
      <c r="EL3584">
        <v>2010</v>
      </c>
      <c r="EM3584" t="s">
        <v>719</v>
      </c>
      <c r="EN3584" t="s">
        <v>852</v>
      </c>
      <c r="EO3584">
        <v>10.701000000000001</v>
      </c>
    </row>
    <row r="3585" spans="142:145" x14ac:dyDescent="0.25">
      <c r="EL3585">
        <v>2010</v>
      </c>
      <c r="EM3585" t="s">
        <v>713</v>
      </c>
      <c r="EN3585" t="s">
        <v>852</v>
      </c>
      <c r="EO3585">
        <v>10.557</v>
      </c>
    </row>
    <row r="3586" spans="142:145" x14ac:dyDescent="0.25">
      <c r="EL3586">
        <v>2010</v>
      </c>
      <c r="EM3586" t="s">
        <v>714</v>
      </c>
      <c r="EN3586" t="s">
        <v>852</v>
      </c>
      <c r="EO3586">
        <v>11.563000000000001</v>
      </c>
    </row>
    <row r="3587" spans="142:145" x14ac:dyDescent="0.25">
      <c r="EL3587">
        <v>2010</v>
      </c>
      <c r="EM3587" t="s">
        <v>705</v>
      </c>
      <c r="EN3587" t="s">
        <v>852</v>
      </c>
      <c r="EO3587">
        <v>10.694000000000001</v>
      </c>
    </row>
    <row r="3588" spans="142:145" x14ac:dyDescent="0.25">
      <c r="EL3588">
        <v>2010</v>
      </c>
      <c r="EM3588" t="s">
        <v>715</v>
      </c>
      <c r="EN3588" t="s">
        <v>852</v>
      </c>
      <c r="EO3588">
        <v>10.888999999999999</v>
      </c>
    </row>
    <row r="3589" spans="142:145" x14ac:dyDescent="0.25">
      <c r="EL3589">
        <v>2010</v>
      </c>
      <c r="EM3589" t="s">
        <v>718</v>
      </c>
      <c r="EN3589" t="s">
        <v>852</v>
      </c>
      <c r="EO3589">
        <v>10.515000000000001</v>
      </c>
    </row>
    <row r="3590" spans="142:145" x14ac:dyDescent="0.25">
      <c r="EL3590">
        <v>2010</v>
      </c>
      <c r="EM3590" t="s">
        <v>716</v>
      </c>
      <c r="EN3590" t="s">
        <v>852</v>
      </c>
      <c r="EO3590">
        <v>11.411</v>
      </c>
    </row>
    <row r="3591" spans="142:145" x14ac:dyDescent="0.25">
      <c r="EL3591">
        <v>2010</v>
      </c>
      <c r="EM3591" t="s">
        <v>708</v>
      </c>
      <c r="EN3591" t="s">
        <v>852</v>
      </c>
      <c r="EO3591">
        <v>11.015000000000001</v>
      </c>
    </row>
    <row r="3592" spans="142:145" x14ac:dyDescent="0.25">
      <c r="EL3592">
        <v>2010</v>
      </c>
      <c r="EM3592" t="s">
        <v>709</v>
      </c>
      <c r="EN3592" t="s">
        <v>852</v>
      </c>
      <c r="EO3592">
        <v>11.414999999999999</v>
      </c>
    </row>
    <row r="3593" spans="142:145" x14ac:dyDescent="0.25">
      <c r="EL3593">
        <v>2010</v>
      </c>
      <c r="EM3593" t="s">
        <v>710</v>
      </c>
      <c r="EN3593" t="s">
        <v>852</v>
      </c>
      <c r="EO3593">
        <v>10.846</v>
      </c>
    </row>
    <row r="3594" spans="142:145" x14ac:dyDescent="0.25">
      <c r="EL3594">
        <v>2010</v>
      </c>
      <c r="EM3594" t="s">
        <v>711</v>
      </c>
      <c r="EN3594" t="s">
        <v>852</v>
      </c>
      <c r="EO3594">
        <v>8.3930000000000007</v>
      </c>
    </row>
    <row r="3595" spans="142:145" x14ac:dyDescent="0.25">
      <c r="EL3595">
        <v>2010</v>
      </c>
      <c r="EM3595" t="s">
        <v>712</v>
      </c>
      <c r="EN3595" t="s">
        <v>852</v>
      </c>
      <c r="EO3595">
        <v>11.555</v>
      </c>
    </row>
    <row r="3596" spans="142:145" x14ac:dyDescent="0.25">
      <c r="EL3596">
        <v>2011</v>
      </c>
      <c r="EM3596" t="s">
        <v>719</v>
      </c>
      <c r="EN3596" t="s">
        <v>852</v>
      </c>
      <c r="EO3596">
        <v>8.952</v>
      </c>
    </row>
    <row r="3597" spans="142:145" x14ac:dyDescent="0.25">
      <c r="EL3597">
        <v>2011</v>
      </c>
      <c r="EM3597" t="s">
        <v>713</v>
      </c>
      <c r="EN3597" t="s">
        <v>852</v>
      </c>
      <c r="EO3597">
        <v>8.6890000000000001</v>
      </c>
    </row>
    <row r="3598" spans="142:145" x14ac:dyDescent="0.25">
      <c r="EL3598">
        <v>2011</v>
      </c>
      <c r="EM3598" t="s">
        <v>714</v>
      </c>
      <c r="EN3598" t="s">
        <v>852</v>
      </c>
      <c r="EO3598">
        <v>10.744999999999999</v>
      </c>
    </row>
    <row r="3599" spans="142:145" x14ac:dyDescent="0.25">
      <c r="EL3599">
        <v>2011</v>
      </c>
      <c r="EM3599" t="s">
        <v>705</v>
      </c>
      <c r="EN3599" t="s">
        <v>852</v>
      </c>
      <c r="EO3599">
        <v>10.14</v>
      </c>
    </row>
    <row r="3600" spans="142:145" x14ac:dyDescent="0.25">
      <c r="EL3600">
        <v>2011</v>
      </c>
      <c r="EM3600" t="s">
        <v>715</v>
      </c>
      <c r="EN3600" t="s">
        <v>852</v>
      </c>
      <c r="EO3600">
        <v>9.9220000000000006</v>
      </c>
    </row>
    <row r="3601" spans="142:145" x14ac:dyDescent="0.25">
      <c r="EL3601">
        <v>2011</v>
      </c>
      <c r="EM3601" t="s">
        <v>718</v>
      </c>
      <c r="EN3601" t="s">
        <v>852</v>
      </c>
      <c r="EO3601">
        <v>9.6370000000000005</v>
      </c>
    </row>
    <row r="3602" spans="142:145" x14ac:dyDescent="0.25">
      <c r="EL3602">
        <v>2011</v>
      </c>
      <c r="EM3602" t="s">
        <v>716</v>
      </c>
      <c r="EN3602" t="s">
        <v>852</v>
      </c>
      <c r="EO3602">
        <v>10.019</v>
      </c>
    </row>
    <row r="3603" spans="142:145" x14ac:dyDescent="0.25">
      <c r="EL3603">
        <v>2011</v>
      </c>
      <c r="EM3603" t="s">
        <v>708</v>
      </c>
      <c r="EN3603" t="s">
        <v>852</v>
      </c>
      <c r="EO3603">
        <v>9.3089999999999993</v>
      </c>
    </row>
    <row r="3604" spans="142:145" x14ac:dyDescent="0.25">
      <c r="EL3604">
        <v>2011</v>
      </c>
      <c r="EM3604" t="s">
        <v>709</v>
      </c>
      <c r="EN3604" t="s">
        <v>852</v>
      </c>
      <c r="EO3604">
        <v>11.648</v>
      </c>
    </row>
    <row r="3605" spans="142:145" x14ac:dyDescent="0.25">
      <c r="EL3605">
        <v>2011</v>
      </c>
      <c r="EM3605" t="s">
        <v>710</v>
      </c>
      <c r="EN3605" t="s">
        <v>852</v>
      </c>
      <c r="EO3605">
        <v>10.554</v>
      </c>
    </row>
    <row r="3606" spans="142:145" x14ac:dyDescent="0.25">
      <c r="EL3606">
        <v>2011</v>
      </c>
      <c r="EM3606" t="s">
        <v>711</v>
      </c>
      <c r="EN3606" t="s">
        <v>852</v>
      </c>
      <c r="EO3606">
        <v>9.4260000000000002</v>
      </c>
    </row>
    <row r="3607" spans="142:145" x14ac:dyDescent="0.25">
      <c r="EL3607">
        <v>2011</v>
      </c>
      <c r="EM3607" t="s">
        <v>712</v>
      </c>
      <c r="EN3607" t="s">
        <v>852</v>
      </c>
      <c r="EO3607">
        <v>11.384</v>
      </c>
    </row>
    <row r="3608" spans="142:145" x14ac:dyDescent="0.25">
      <c r="EL3608">
        <v>2012</v>
      </c>
      <c r="EM3608" t="s">
        <v>719</v>
      </c>
      <c r="EN3608" t="s">
        <v>852</v>
      </c>
      <c r="EO3608">
        <v>10.263</v>
      </c>
    </row>
    <row r="3609" spans="142:145" x14ac:dyDescent="0.25">
      <c r="EL3609">
        <v>2012</v>
      </c>
      <c r="EM3609" t="s">
        <v>713</v>
      </c>
      <c r="EN3609" t="s">
        <v>852</v>
      </c>
      <c r="EO3609">
        <v>9.32</v>
      </c>
    </row>
    <row r="3610" spans="142:145" x14ac:dyDescent="0.25">
      <c r="EL3610">
        <v>2012</v>
      </c>
      <c r="EM3610" t="s">
        <v>714</v>
      </c>
      <c r="EN3610" t="s">
        <v>852</v>
      </c>
      <c r="EO3610">
        <v>9.5730000000000004</v>
      </c>
    </row>
    <row r="3611" spans="142:145" x14ac:dyDescent="0.25">
      <c r="EL3611">
        <v>2012</v>
      </c>
      <c r="EM3611" t="s">
        <v>705</v>
      </c>
      <c r="EN3611" t="s">
        <v>852</v>
      </c>
      <c r="EO3611">
        <v>9.7479999999999993</v>
      </c>
    </row>
    <row r="3612" spans="142:145" x14ac:dyDescent="0.25">
      <c r="EL3612">
        <v>2012</v>
      </c>
      <c r="EM3612" t="s">
        <v>715</v>
      </c>
      <c r="EN3612" t="s">
        <v>852</v>
      </c>
      <c r="EO3612">
        <v>10.241</v>
      </c>
    </row>
    <row r="3613" spans="142:145" x14ac:dyDescent="0.25">
      <c r="EL3613">
        <v>2012</v>
      </c>
      <c r="EM3613" t="s">
        <v>718</v>
      </c>
      <c r="EN3613" t="s">
        <v>852</v>
      </c>
      <c r="EO3613">
        <v>11.25</v>
      </c>
    </row>
    <row r="3614" spans="142:145" x14ac:dyDescent="0.25">
      <c r="EL3614">
        <v>2012</v>
      </c>
      <c r="EM3614" t="s">
        <v>716</v>
      </c>
      <c r="EN3614" t="s">
        <v>852</v>
      </c>
      <c r="EO3614">
        <v>11.023999999999999</v>
      </c>
    </row>
    <row r="3615" spans="142:145" x14ac:dyDescent="0.25">
      <c r="EL3615">
        <v>2012</v>
      </c>
      <c r="EM3615" t="s">
        <v>708</v>
      </c>
      <c r="EN3615" t="s">
        <v>852</v>
      </c>
      <c r="EO3615">
        <v>9.9870000000000001</v>
      </c>
    </row>
    <row r="3616" spans="142:145" x14ac:dyDescent="0.25">
      <c r="EL3616">
        <v>2012</v>
      </c>
      <c r="EM3616" t="s">
        <v>709</v>
      </c>
      <c r="EN3616" t="s">
        <v>852</v>
      </c>
      <c r="EO3616">
        <v>10.44</v>
      </c>
    </row>
    <row r="3617" spans="142:145" x14ac:dyDescent="0.25">
      <c r="EL3617">
        <v>2012</v>
      </c>
      <c r="EM3617" t="s">
        <v>710</v>
      </c>
      <c r="EN3617" t="s">
        <v>852</v>
      </c>
      <c r="EO3617">
        <v>10.695</v>
      </c>
    </row>
    <row r="3618" spans="142:145" x14ac:dyDescent="0.25">
      <c r="EL3618">
        <v>2012</v>
      </c>
      <c r="EM3618" t="s">
        <v>711</v>
      </c>
      <c r="EN3618" t="s">
        <v>852</v>
      </c>
      <c r="EO3618">
        <v>9.5250000000000004</v>
      </c>
    </row>
    <row r="3619" spans="142:145" x14ac:dyDescent="0.25">
      <c r="EL3619">
        <v>2012</v>
      </c>
      <c r="EM3619" t="s">
        <v>712</v>
      </c>
      <c r="EN3619" t="s">
        <v>852</v>
      </c>
      <c r="EO3619">
        <v>9.7710000000000008</v>
      </c>
    </row>
    <row r="3620" spans="142:145" x14ac:dyDescent="0.25">
      <c r="EL3620">
        <v>2013</v>
      </c>
      <c r="EM3620" t="s">
        <v>719</v>
      </c>
      <c r="EN3620" t="s">
        <v>852</v>
      </c>
      <c r="EO3620">
        <v>9.5519999999999996</v>
      </c>
    </row>
    <row r="3621" spans="142:145" x14ac:dyDescent="0.25">
      <c r="EL3621">
        <v>2013</v>
      </c>
      <c r="EM3621" t="s">
        <v>713</v>
      </c>
      <c r="EN3621" t="s">
        <v>852</v>
      </c>
      <c r="EO3621">
        <v>8.59</v>
      </c>
    </row>
    <row r="3622" spans="142:145" x14ac:dyDescent="0.25">
      <c r="EL3622">
        <v>2013</v>
      </c>
      <c r="EM3622" t="s">
        <v>714</v>
      </c>
      <c r="EN3622" t="s">
        <v>852</v>
      </c>
      <c r="EO3622">
        <v>9.3930000000000007</v>
      </c>
    </row>
    <row r="3623" spans="142:145" x14ac:dyDescent="0.25">
      <c r="EL3623">
        <v>2013</v>
      </c>
      <c r="EM3623" t="s">
        <v>705</v>
      </c>
      <c r="EN3623" t="s">
        <v>852</v>
      </c>
      <c r="EO3623">
        <v>8.7149999999999999</v>
      </c>
    </row>
    <row r="3624" spans="142:145" x14ac:dyDescent="0.25">
      <c r="EL3624">
        <v>2013</v>
      </c>
      <c r="EM3624" t="s">
        <v>715</v>
      </c>
      <c r="EN3624" t="s">
        <v>852</v>
      </c>
      <c r="EO3624">
        <v>9.5459999999999994</v>
      </c>
    </row>
    <row r="3625" spans="142:145" x14ac:dyDescent="0.25">
      <c r="EL3625">
        <v>2013</v>
      </c>
      <c r="EM3625" t="s">
        <v>718</v>
      </c>
      <c r="EN3625" t="s">
        <v>852</v>
      </c>
      <c r="EO3625">
        <v>10.534000000000001</v>
      </c>
    </row>
    <row r="3626" spans="142:145" x14ac:dyDescent="0.25">
      <c r="EL3626">
        <v>2013</v>
      </c>
      <c r="EM3626" t="s">
        <v>716</v>
      </c>
      <c r="EN3626" t="s">
        <v>852</v>
      </c>
      <c r="EO3626">
        <v>9.3740000000000006</v>
      </c>
    </row>
    <row r="3627" spans="142:145" x14ac:dyDescent="0.25">
      <c r="EL3627">
        <v>2013</v>
      </c>
      <c r="EM3627" t="s">
        <v>708</v>
      </c>
      <c r="EN3627" t="s">
        <v>852</v>
      </c>
      <c r="EO3627">
        <v>9.4779999999999998</v>
      </c>
    </row>
    <row r="3628" spans="142:145" x14ac:dyDescent="0.25">
      <c r="EL3628">
        <v>2013</v>
      </c>
      <c r="EM3628" t="s">
        <v>709</v>
      </c>
      <c r="EN3628" t="s">
        <v>852</v>
      </c>
      <c r="EO3628">
        <v>9.15</v>
      </c>
    </row>
    <row r="3629" spans="142:145" x14ac:dyDescent="0.25">
      <c r="EL3629">
        <v>2013</v>
      </c>
      <c r="EM3629" t="s">
        <v>710</v>
      </c>
      <c r="EN3629" t="s">
        <v>852</v>
      </c>
      <c r="EO3629">
        <v>10.044</v>
      </c>
    </row>
    <row r="3630" spans="142:145" x14ac:dyDescent="0.25">
      <c r="EL3630">
        <v>2013</v>
      </c>
      <c r="EM3630" t="s">
        <v>711</v>
      </c>
      <c r="EN3630" t="s">
        <v>852</v>
      </c>
      <c r="EO3630">
        <v>8.8800000000000008</v>
      </c>
    </row>
    <row r="3631" spans="142:145" x14ac:dyDescent="0.25">
      <c r="EL3631">
        <v>2013</v>
      </c>
      <c r="EM3631" t="s">
        <v>712</v>
      </c>
      <c r="EN3631" t="s">
        <v>852</v>
      </c>
      <c r="EO3631">
        <v>9.7959999999999994</v>
      </c>
    </row>
    <row r="3632" spans="142:145" x14ac:dyDescent="0.25">
      <c r="EL3632">
        <v>2014</v>
      </c>
      <c r="EM3632" t="s">
        <v>719</v>
      </c>
      <c r="EN3632" t="s">
        <v>852</v>
      </c>
      <c r="EO3632">
        <v>10.260999999999999</v>
      </c>
    </row>
    <row r="3633" spans="142:145" x14ac:dyDescent="0.25">
      <c r="EL3633">
        <v>2014</v>
      </c>
      <c r="EM3633" t="s">
        <v>713</v>
      </c>
      <c r="EN3633" t="s">
        <v>852</v>
      </c>
      <c r="EO3633">
        <v>9.4079999999999995</v>
      </c>
    </row>
    <row r="3634" spans="142:145" x14ac:dyDescent="0.25">
      <c r="EL3634">
        <v>2014</v>
      </c>
      <c r="EM3634" t="s">
        <v>714</v>
      </c>
      <c r="EN3634" t="s">
        <v>852</v>
      </c>
      <c r="EO3634">
        <v>9.7650000000000006</v>
      </c>
    </row>
    <row r="3635" spans="142:145" x14ac:dyDescent="0.25">
      <c r="EL3635">
        <v>2014</v>
      </c>
      <c r="EM3635" t="s">
        <v>705</v>
      </c>
      <c r="EN3635" t="s">
        <v>852</v>
      </c>
      <c r="EO3635">
        <v>11.04</v>
      </c>
    </row>
    <row r="3636" spans="142:145" x14ac:dyDescent="0.25">
      <c r="EL3636">
        <v>2014</v>
      </c>
      <c r="EM3636" t="s">
        <v>715</v>
      </c>
      <c r="EN3636" t="s">
        <v>852</v>
      </c>
      <c r="EO3636">
        <v>10.974</v>
      </c>
    </row>
    <row r="3637" spans="142:145" x14ac:dyDescent="0.25">
      <c r="EL3637">
        <v>2014</v>
      </c>
      <c r="EM3637" t="s">
        <v>718</v>
      </c>
      <c r="EN3637" t="s">
        <v>852</v>
      </c>
      <c r="EO3637">
        <v>9.84</v>
      </c>
    </row>
    <row r="3638" spans="142:145" x14ac:dyDescent="0.25">
      <c r="EL3638">
        <v>2014</v>
      </c>
      <c r="EM3638" t="s">
        <v>716</v>
      </c>
      <c r="EN3638" t="s">
        <v>852</v>
      </c>
      <c r="EO3638">
        <v>9.7959999999999994</v>
      </c>
    </row>
    <row r="3639" spans="142:145" x14ac:dyDescent="0.25">
      <c r="EL3639">
        <v>2014</v>
      </c>
      <c r="EM3639" t="s">
        <v>708</v>
      </c>
      <c r="EN3639" t="s">
        <v>852</v>
      </c>
      <c r="EO3639">
        <v>11.872999999999999</v>
      </c>
    </row>
    <row r="3640" spans="142:145" x14ac:dyDescent="0.25">
      <c r="EL3640">
        <v>2014</v>
      </c>
      <c r="EM3640" t="s">
        <v>709</v>
      </c>
      <c r="EN3640" t="s">
        <v>852</v>
      </c>
      <c r="EO3640">
        <v>11.22</v>
      </c>
    </row>
    <row r="3641" spans="142:145" x14ac:dyDescent="0.25">
      <c r="EL3641">
        <v>2014</v>
      </c>
      <c r="EM3641" t="s">
        <v>710</v>
      </c>
      <c r="EN3641" t="s">
        <v>852</v>
      </c>
      <c r="EO3641">
        <v>9.92</v>
      </c>
    </row>
    <row r="3642" spans="142:145" x14ac:dyDescent="0.25">
      <c r="EL3642">
        <v>2014</v>
      </c>
      <c r="EM3642" t="s">
        <v>711</v>
      </c>
      <c r="EN3642" t="s">
        <v>852</v>
      </c>
      <c r="EO3642">
        <v>9.3000000000000007</v>
      </c>
    </row>
    <row r="3643" spans="142:145" x14ac:dyDescent="0.25">
      <c r="EL3643">
        <v>2014</v>
      </c>
      <c r="EM3643" t="s">
        <v>712</v>
      </c>
      <c r="EN3643" t="s">
        <v>852</v>
      </c>
      <c r="EO3643">
        <v>9.3000000000000007</v>
      </c>
    </row>
    <row r="3644" spans="142:145" x14ac:dyDescent="0.25">
      <c r="EL3644">
        <v>2015</v>
      </c>
      <c r="EM3644" t="s">
        <v>719</v>
      </c>
      <c r="EN3644" t="s">
        <v>852</v>
      </c>
      <c r="EO3644">
        <v>9.92</v>
      </c>
    </row>
    <row r="3645" spans="142:145" x14ac:dyDescent="0.25">
      <c r="EL3645">
        <v>2015</v>
      </c>
      <c r="EM3645" t="s">
        <v>713</v>
      </c>
      <c r="EN3645" t="s">
        <v>852</v>
      </c>
      <c r="EO3645">
        <v>8.9600000000000009</v>
      </c>
    </row>
    <row r="3646" spans="142:145" x14ac:dyDescent="0.25">
      <c r="EL3646">
        <v>2015</v>
      </c>
      <c r="EM3646" t="s">
        <v>714</v>
      </c>
      <c r="EN3646" t="s">
        <v>852</v>
      </c>
      <c r="EO3646">
        <v>11.16</v>
      </c>
    </row>
    <row r="3647" spans="142:145" x14ac:dyDescent="0.25">
      <c r="EL3647">
        <v>2015</v>
      </c>
      <c r="EM3647" t="s">
        <v>705</v>
      </c>
      <c r="EN3647" t="s">
        <v>852</v>
      </c>
      <c r="EO3647">
        <v>9.3000000000000007</v>
      </c>
    </row>
    <row r="3648" spans="142:145" x14ac:dyDescent="0.25">
      <c r="EL3648">
        <v>2015</v>
      </c>
      <c r="EM3648" t="s">
        <v>715</v>
      </c>
      <c r="EN3648" t="s">
        <v>852</v>
      </c>
      <c r="EO3648">
        <v>9.92</v>
      </c>
    </row>
    <row r="3649" spans="142:145" x14ac:dyDescent="0.25">
      <c r="EL3649">
        <v>2015</v>
      </c>
      <c r="EM3649" t="s">
        <v>718</v>
      </c>
      <c r="EN3649" t="s">
        <v>852</v>
      </c>
      <c r="EO3649">
        <v>10.8</v>
      </c>
    </row>
    <row r="3650" spans="142:145" x14ac:dyDescent="0.25">
      <c r="EL3650">
        <v>2015</v>
      </c>
      <c r="EM3650" t="s">
        <v>716</v>
      </c>
      <c r="EN3650" t="s">
        <v>852</v>
      </c>
      <c r="EO3650">
        <v>10.54</v>
      </c>
    </row>
    <row r="3651" spans="142:145" x14ac:dyDescent="0.25">
      <c r="EL3651">
        <v>2015</v>
      </c>
      <c r="EM3651" t="s">
        <v>708</v>
      </c>
      <c r="EN3651" t="s">
        <v>852</v>
      </c>
      <c r="EO3651">
        <v>11.16</v>
      </c>
    </row>
    <row r="3652" spans="142:145" x14ac:dyDescent="0.25">
      <c r="EL3652">
        <v>2015</v>
      </c>
      <c r="EM3652" t="s">
        <v>709</v>
      </c>
      <c r="EN3652" t="s">
        <v>852</v>
      </c>
      <c r="EO3652">
        <v>18.899999999999999</v>
      </c>
    </row>
    <row r="3653" spans="142:145" x14ac:dyDescent="0.25">
      <c r="EL3653">
        <v>2015</v>
      </c>
      <c r="EM3653" t="s">
        <v>710</v>
      </c>
      <c r="EN3653" t="s">
        <v>852</v>
      </c>
      <c r="EO3653">
        <v>11.78</v>
      </c>
    </row>
    <row r="3654" spans="142:145" x14ac:dyDescent="0.25">
      <c r="EL3654">
        <v>2015</v>
      </c>
      <c r="EM3654" t="s">
        <v>711</v>
      </c>
      <c r="EN3654" t="s">
        <v>852</v>
      </c>
      <c r="EO3654">
        <v>9</v>
      </c>
    </row>
    <row r="3655" spans="142:145" x14ac:dyDescent="0.25">
      <c r="EL3655">
        <v>2015</v>
      </c>
      <c r="EM3655" t="s">
        <v>712</v>
      </c>
      <c r="EN3655" t="s">
        <v>852</v>
      </c>
      <c r="EO3655">
        <v>9.61</v>
      </c>
    </row>
    <row r="3656" spans="142:145" x14ac:dyDescent="0.25">
      <c r="EL3656">
        <v>2016</v>
      </c>
      <c r="EM3656" t="s">
        <v>719</v>
      </c>
      <c r="EN3656" t="s">
        <v>852</v>
      </c>
      <c r="EO3656">
        <v>9.3000000000000007</v>
      </c>
    </row>
    <row r="3657" spans="142:145" x14ac:dyDescent="0.25">
      <c r="EL3657">
        <v>2016</v>
      </c>
      <c r="EM3657" t="s">
        <v>713</v>
      </c>
      <c r="EN3657" t="s">
        <v>852</v>
      </c>
      <c r="EO3657">
        <v>18.27</v>
      </c>
    </row>
    <row r="3658" spans="142:145" x14ac:dyDescent="0.25">
      <c r="EL3658">
        <v>2016</v>
      </c>
      <c r="EM3658" t="s">
        <v>714</v>
      </c>
      <c r="EN3658" t="s">
        <v>852</v>
      </c>
      <c r="EO3658">
        <v>5.58</v>
      </c>
    </row>
    <row r="3659" spans="142:145" x14ac:dyDescent="0.25">
      <c r="EL3659">
        <v>2016</v>
      </c>
      <c r="EM3659" t="s">
        <v>705</v>
      </c>
      <c r="EN3659" t="s">
        <v>852</v>
      </c>
      <c r="EO3659">
        <v>3.3</v>
      </c>
    </row>
    <row r="3660" spans="142:145" x14ac:dyDescent="0.25">
      <c r="EL3660">
        <v>2016</v>
      </c>
      <c r="EM3660" t="s">
        <v>715</v>
      </c>
      <c r="EN3660" t="s">
        <v>852</v>
      </c>
      <c r="EO3660">
        <v>9.3000000000000007</v>
      </c>
    </row>
    <row r="3661" spans="142:145" x14ac:dyDescent="0.25">
      <c r="EL3661">
        <v>2016</v>
      </c>
      <c r="EM3661" t="s">
        <v>718</v>
      </c>
      <c r="EN3661" t="s">
        <v>852</v>
      </c>
      <c r="EO3661">
        <v>9.3000000000000007</v>
      </c>
    </row>
    <row r="3662" spans="142:145" x14ac:dyDescent="0.25">
      <c r="EL3662">
        <v>2016</v>
      </c>
      <c r="EM3662" t="s">
        <v>716</v>
      </c>
      <c r="EN3662" t="s">
        <v>852</v>
      </c>
      <c r="EO3662">
        <v>12.71</v>
      </c>
    </row>
    <row r="3663" spans="142:145" x14ac:dyDescent="0.25">
      <c r="EL3663">
        <v>2016</v>
      </c>
      <c r="EM3663" t="s">
        <v>708</v>
      </c>
      <c r="EN3663" t="s">
        <v>852</v>
      </c>
      <c r="EO3663">
        <v>6.51</v>
      </c>
    </row>
    <row r="3664" spans="142:145" x14ac:dyDescent="0.25">
      <c r="EL3664">
        <v>2016</v>
      </c>
      <c r="EM3664" t="s">
        <v>709</v>
      </c>
      <c r="EN3664" t="s">
        <v>852</v>
      </c>
      <c r="EO3664">
        <v>9.3000000000000007</v>
      </c>
    </row>
    <row r="3665" spans="142:145" x14ac:dyDescent="0.25">
      <c r="EL3665">
        <v>2016</v>
      </c>
      <c r="EM3665" t="s">
        <v>710</v>
      </c>
      <c r="EN3665" t="s">
        <v>852</v>
      </c>
      <c r="EO3665">
        <v>9.3000000000000007</v>
      </c>
    </row>
    <row r="3666" spans="142:145" x14ac:dyDescent="0.25">
      <c r="EL3666">
        <v>2016</v>
      </c>
      <c r="EM3666" t="s">
        <v>711</v>
      </c>
      <c r="EN3666" t="s">
        <v>852</v>
      </c>
      <c r="EO3666">
        <v>8.4</v>
      </c>
    </row>
    <row r="3667" spans="142:145" x14ac:dyDescent="0.25">
      <c r="EL3667">
        <v>2016</v>
      </c>
      <c r="EM3667" t="s">
        <v>712</v>
      </c>
      <c r="EN3667" t="s">
        <v>852</v>
      </c>
      <c r="EO3667">
        <v>8.99</v>
      </c>
    </row>
    <row r="3668" spans="142:145" x14ac:dyDescent="0.25">
      <c r="EL3668">
        <v>2017</v>
      </c>
      <c r="EM3668" t="s">
        <v>719</v>
      </c>
      <c r="EN3668" t="s">
        <v>852</v>
      </c>
      <c r="EO3668">
        <v>8.3699999999999992</v>
      </c>
    </row>
    <row r="3669" spans="142:145" x14ac:dyDescent="0.25">
      <c r="EL3669">
        <v>2017</v>
      </c>
      <c r="EM3669" t="s">
        <v>713</v>
      </c>
      <c r="EN3669" t="s">
        <v>852</v>
      </c>
      <c r="EO3669">
        <v>7.56</v>
      </c>
    </row>
    <row r="3670" spans="142:145" x14ac:dyDescent="0.25">
      <c r="EL3670">
        <v>2017</v>
      </c>
      <c r="EM3670" t="s">
        <v>714</v>
      </c>
      <c r="EN3670" t="s">
        <v>852</v>
      </c>
      <c r="EO3670">
        <v>8.3699999999999992</v>
      </c>
    </row>
    <row r="3671" spans="142:145" x14ac:dyDescent="0.25">
      <c r="EL3671">
        <v>2017</v>
      </c>
      <c r="EM3671" t="s">
        <v>705</v>
      </c>
      <c r="EN3671" t="s">
        <v>852</v>
      </c>
      <c r="EO3671">
        <v>8.6999999999999993</v>
      </c>
    </row>
    <row r="3672" spans="142:145" x14ac:dyDescent="0.25">
      <c r="EL3672">
        <v>2017</v>
      </c>
      <c r="EM3672" t="s">
        <v>715</v>
      </c>
      <c r="EN3672" t="s">
        <v>852</v>
      </c>
      <c r="EO3672">
        <v>11.47</v>
      </c>
    </row>
    <row r="3673" spans="142:145" x14ac:dyDescent="0.25">
      <c r="EL3673">
        <v>2017</v>
      </c>
      <c r="EM3673" t="s">
        <v>718</v>
      </c>
      <c r="EN3673" t="s">
        <v>852</v>
      </c>
      <c r="EO3673">
        <v>8.6999999999999993</v>
      </c>
    </row>
    <row r="3674" spans="142:145" x14ac:dyDescent="0.25">
      <c r="EL3674">
        <v>2017</v>
      </c>
      <c r="EM3674" t="s">
        <v>716</v>
      </c>
      <c r="EN3674" t="s">
        <v>852</v>
      </c>
      <c r="EO3674">
        <v>9.92</v>
      </c>
    </row>
    <row r="3675" spans="142:145" x14ac:dyDescent="0.25">
      <c r="EL3675">
        <v>2017</v>
      </c>
      <c r="EM3675" t="s">
        <v>708</v>
      </c>
      <c r="EN3675" t="s">
        <v>852</v>
      </c>
      <c r="EO3675">
        <v>9.3000000000000007</v>
      </c>
    </row>
    <row r="3676" spans="142:145" x14ac:dyDescent="0.25">
      <c r="EL3676">
        <v>2017</v>
      </c>
      <c r="EM3676" t="s">
        <v>709</v>
      </c>
      <c r="EN3676" t="s">
        <v>852</v>
      </c>
      <c r="EO3676">
        <v>8.6999999999999993</v>
      </c>
    </row>
    <row r="3677" spans="142:145" x14ac:dyDescent="0.25">
      <c r="EL3677">
        <v>2017</v>
      </c>
      <c r="EM3677" t="s">
        <v>710</v>
      </c>
      <c r="EN3677" t="s">
        <v>852</v>
      </c>
      <c r="EO3677">
        <v>8.68</v>
      </c>
    </row>
    <row r="3678" spans="142:145" x14ac:dyDescent="0.25">
      <c r="EL3678">
        <v>2017</v>
      </c>
      <c r="EM3678" t="s">
        <v>711</v>
      </c>
      <c r="EN3678" t="s">
        <v>852</v>
      </c>
      <c r="EO3678">
        <v>7.2</v>
      </c>
    </row>
    <row r="3679" spans="142:145" x14ac:dyDescent="0.25">
      <c r="EL3679">
        <v>2017</v>
      </c>
      <c r="EM3679" t="s">
        <v>712</v>
      </c>
      <c r="EN3679" t="s">
        <v>852</v>
      </c>
      <c r="EO3679">
        <v>8.06</v>
      </c>
    </row>
    <row r="3680" spans="142:145" x14ac:dyDescent="0.25">
      <c r="EL3680">
        <v>2018</v>
      </c>
      <c r="EM3680" t="s">
        <v>719</v>
      </c>
      <c r="EN3680" t="s">
        <v>852</v>
      </c>
      <c r="EO3680">
        <v>8.06</v>
      </c>
    </row>
    <row r="3681" spans="142:145" x14ac:dyDescent="0.25">
      <c r="EL3681">
        <v>2018</v>
      </c>
      <c r="EM3681" t="s">
        <v>713</v>
      </c>
      <c r="EN3681" t="s">
        <v>852</v>
      </c>
      <c r="EO3681">
        <v>6.72</v>
      </c>
    </row>
    <row r="3682" spans="142:145" x14ac:dyDescent="0.25">
      <c r="EL3682">
        <v>2018</v>
      </c>
      <c r="EM3682" t="s">
        <v>714</v>
      </c>
      <c r="EN3682" t="s">
        <v>852</v>
      </c>
      <c r="EO3682">
        <v>7.75</v>
      </c>
    </row>
    <row r="3683" spans="142:145" x14ac:dyDescent="0.25">
      <c r="EL3683">
        <v>2018</v>
      </c>
      <c r="EM3683" t="s">
        <v>705</v>
      </c>
      <c r="EN3683" t="s">
        <v>852</v>
      </c>
      <c r="EO3683">
        <v>9.6</v>
      </c>
    </row>
    <row r="3684" spans="142:145" x14ac:dyDescent="0.25">
      <c r="EL3684">
        <v>2018</v>
      </c>
      <c r="EM3684" t="s">
        <v>715</v>
      </c>
      <c r="EN3684" t="s">
        <v>852</v>
      </c>
      <c r="EO3684">
        <v>14.26</v>
      </c>
    </row>
    <row r="3685" spans="142:145" x14ac:dyDescent="0.25">
      <c r="EL3685">
        <v>2018</v>
      </c>
      <c r="EM3685" t="s">
        <v>718</v>
      </c>
      <c r="EN3685" t="s">
        <v>852</v>
      </c>
      <c r="EO3685">
        <v>12.6</v>
      </c>
    </row>
    <row r="3686" spans="142:145" x14ac:dyDescent="0.25">
      <c r="EL3686">
        <v>2018</v>
      </c>
      <c r="EM3686" t="s">
        <v>716</v>
      </c>
      <c r="EN3686" t="s">
        <v>852</v>
      </c>
      <c r="EO3686">
        <v>14.26</v>
      </c>
    </row>
    <row r="3687" spans="142:145" x14ac:dyDescent="0.25">
      <c r="EL3687">
        <v>2018</v>
      </c>
      <c r="EM3687" t="s">
        <v>708</v>
      </c>
      <c r="EN3687" t="s">
        <v>852</v>
      </c>
      <c r="EO3687">
        <v>21.7</v>
      </c>
    </row>
    <row r="3688" spans="142:145" x14ac:dyDescent="0.25">
      <c r="EL3688">
        <v>2018</v>
      </c>
      <c r="EM3688" t="s">
        <v>709</v>
      </c>
      <c r="EN3688" t="s">
        <v>852</v>
      </c>
      <c r="EO3688">
        <v>15</v>
      </c>
    </row>
    <row r="3689" spans="142:145" x14ac:dyDescent="0.25">
      <c r="EL3689">
        <v>2018</v>
      </c>
      <c r="EM3689" t="s">
        <v>710</v>
      </c>
      <c r="EN3689" t="s">
        <v>852</v>
      </c>
      <c r="EO3689">
        <v>14.88</v>
      </c>
    </row>
    <row r="3690" spans="142:145" x14ac:dyDescent="0.25">
      <c r="EL3690">
        <v>2018</v>
      </c>
      <c r="EM3690" t="s">
        <v>711</v>
      </c>
      <c r="EN3690" t="s">
        <v>852</v>
      </c>
      <c r="EO3690">
        <v>15.6</v>
      </c>
    </row>
    <row r="3691" spans="142:145" x14ac:dyDescent="0.25">
      <c r="EL3691">
        <v>2018</v>
      </c>
      <c r="EM3691" t="s">
        <v>712</v>
      </c>
      <c r="EN3691" t="s">
        <v>852</v>
      </c>
      <c r="EO3691">
        <v>16.12</v>
      </c>
    </row>
    <row r="3692" spans="142:145" x14ac:dyDescent="0.25">
      <c r="EL3692">
        <v>2019</v>
      </c>
      <c r="EM3692" t="s">
        <v>719</v>
      </c>
      <c r="EN3692" t="s">
        <v>852</v>
      </c>
      <c r="EO3692">
        <v>14.57</v>
      </c>
    </row>
    <row r="3693" spans="142:145" x14ac:dyDescent="0.25">
      <c r="EL3693">
        <v>2019</v>
      </c>
      <c r="EM3693" t="s">
        <v>713</v>
      </c>
      <c r="EN3693" t="s">
        <v>852</v>
      </c>
      <c r="EO3693">
        <v>13.16</v>
      </c>
    </row>
    <row r="3694" spans="142:145" x14ac:dyDescent="0.25">
      <c r="EL3694">
        <v>2019</v>
      </c>
      <c r="EM3694" t="s">
        <v>714</v>
      </c>
      <c r="EN3694" t="s">
        <v>852</v>
      </c>
      <c r="EO3694">
        <v>14.57</v>
      </c>
    </row>
    <row r="3695" spans="142:145" x14ac:dyDescent="0.25">
      <c r="EL3695">
        <v>2019</v>
      </c>
      <c r="EM3695" t="s">
        <v>705</v>
      </c>
      <c r="EN3695" t="s">
        <v>852</v>
      </c>
      <c r="EO3695">
        <v>13.2</v>
      </c>
    </row>
    <row r="3696" spans="142:145" x14ac:dyDescent="0.25">
      <c r="EL3696">
        <v>2019</v>
      </c>
      <c r="EM3696" t="s">
        <v>715</v>
      </c>
      <c r="EN3696" t="s">
        <v>852</v>
      </c>
      <c r="EO3696">
        <v>14.57</v>
      </c>
    </row>
    <row r="3697" spans="142:145" x14ac:dyDescent="0.25">
      <c r="EL3697">
        <v>2019</v>
      </c>
      <c r="EM3697" t="s">
        <v>718</v>
      </c>
      <c r="EN3697" t="s">
        <v>852</v>
      </c>
      <c r="EO3697">
        <v>13.5</v>
      </c>
    </row>
    <row r="3698" spans="142:145" x14ac:dyDescent="0.25">
      <c r="EL3698">
        <v>2019</v>
      </c>
      <c r="EM3698" t="s">
        <v>716</v>
      </c>
      <c r="EN3698" t="s">
        <v>852</v>
      </c>
      <c r="EO3698">
        <v>13.64</v>
      </c>
    </row>
    <row r="3699" spans="142:145" x14ac:dyDescent="0.25">
      <c r="EL3699">
        <v>2019</v>
      </c>
      <c r="EM3699" t="s">
        <v>708</v>
      </c>
      <c r="EN3699" t="s">
        <v>852</v>
      </c>
      <c r="EO3699">
        <v>13.33</v>
      </c>
    </row>
    <row r="3700" spans="142:145" x14ac:dyDescent="0.25">
      <c r="EL3700">
        <v>2019</v>
      </c>
      <c r="EM3700" t="s">
        <v>709</v>
      </c>
      <c r="EN3700" t="s">
        <v>852</v>
      </c>
      <c r="EO3700">
        <v>12.3</v>
      </c>
    </row>
    <row r="3701" spans="142:145" x14ac:dyDescent="0.25">
      <c r="EL3701">
        <v>2019</v>
      </c>
      <c r="EM3701" t="s">
        <v>710</v>
      </c>
      <c r="EN3701" t="s">
        <v>852</v>
      </c>
      <c r="EO3701">
        <v>13.02</v>
      </c>
    </row>
    <row r="3702" spans="142:145" x14ac:dyDescent="0.25">
      <c r="EL3702">
        <v>2019</v>
      </c>
      <c r="EM3702" t="s">
        <v>711</v>
      </c>
      <c r="EN3702" t="s">
        <v>852</v>
      </c>
      <c r="EO3702">
        <v>11.7</v>
      </c>
    </row>
    <row r="3703" spans="142:145" x14ac:dyDescent="0.25">
      <c r="EL3703">
        <v>2019</v>
      </c>
      <c r="EM3703" t="s">
        <v>712</v>
      </c>
      <c r="EN3703" t="s">
        <v>852</v>
      </c>
      <c r="EO3703">
        <v>12.09</v>
      </c>
    </row>
    <row r="3704" spans="142:145" x14ac:dyDescent="0.25">
      <c r="EL3704">
        <v>2020</v>
      </c>
      <c r="EM3704" t="s">
        <v>719</v>
      </c>
      <c r="EN3704" t="s">
        <v>852</v>
      </c>
      <c r="EO3704">
        <v>12.4</v>
      </c>
    </row>
    <row r="3705" spans="142:145" x14ac:dyDescent="0.25">
      <c r="EL3705">
        <v>2020</v>
      </c>
      <c r="EM3705" t="s">
        <v>713</v>
      </c>
      <c r="EN3705" t="s">
        <v>852</v>
      </c>
      <c r="EO3705">
        <v>10.73</v>
      </c>
    </row>
    <row r="3706" spans="142:145" x14ac:dyDescent="0.25">
      <c r="EL3706">
        <v>2020</v>
      </c>
      <c r="EM3706" t="s">
        <v>714</v>
      </c>
      <c r="EN3706" t="s">
        <v>852</v>
      </c>
      <c r="EO3706">
        <v>12.71</v>
      </c>
    </row>
    <row r="3707" spans="142:145" x14ac:dyDescent="0.25">
      <c r="EL3707">
        <v>2020</v>
      </c>
      <c r="EM3707" t="s">
        <v>705</v>
      </c>
      <c r="EN3707" t="s">
        <v>852</v>
      </c>
      <c r="EO3707">
        <v>12.3</v>
      </c>
    </row>
    <row r="3708" spans="142:145" x14ac:dyDescent="0.25">
      <c r="EL3708">
        <v>2020</v>
      </c>
      <c r="EM3708" t="s">
        <v>715</v>
      </c>
      <c r="EN3708" t="s">
        <v>852</v>
      </c>
      <c r="EO3708">
        <v>13.02</v>
      </c>
    </row>
    <row r="3709" spans="142:145" x14ac:dyDescent="0.25">
      <c r="EL3709">
        <v>2020</v>
      </c>
      <c r="EM3709" t="s">
        <v>718</v>
      </c>
      <c r="EN3709" t="s">
        <v>852</v>
      </c>
      <c r="EO3709">
        <v>12.6</v>
      </c>
    </row>
    <row r="3710" spans="142:145" x14ac:dyDescent="0.25">
      <c r="EL3710">
        <v>2020</v>
      </c>
      <c r="EM3710" t="s">
        <v>716</v>
      </c>
      <c r="EN3710" t="s">
        <v>852</v>
      </c>
      <c r="EO3710">
        <v>15.19</v>
      </c>
    </row>
    <row r="3711" spans="142:145" x14ac:dyDescent="0.25">
      <c r="EL3711">
        <v>2020</v>
      </c>
      <c r="EM3711" t="s">
        <v>708</v>
      </c>
      <c r="EN3711" t="s">
        <v>852</v>
      </c>
      <c r="EO3711">
        <v>14.26</v>
      </c>
    </row>
    <row r="3712" spans="142:145" x14ac:dyDescent="0.25">
      <c r="EL3712">
        <v>2020</v>
      </c>
      <c r="EM3712" t="s">
        <v>709</v>
      </c>
      <c r="EN3712" t="s">
        <v>852</v>
      </c>
      <c r="EO3712">
        <v>14.4</v>
      </c>
    </row>
    <row r="3713" spans="142:145" x14ac:dyDescent="0.25">
      <c r="EL3713">
        <v>2020</v>
      </c>
      <c r="EM3713" t="s">
        <v>710</v>
      </c>
      <c r="EN3713" t="s">
        <v>852</v>
      </c>
      <c r="EO3713">
        <v>13.02</v>
      </c>
    </row>
    <row r="3714" spans="142:145" x14ac:dyDescent="0.25">
      <c r="EL3714">
        <v>2020</v>
      </c>
      <c r="EM3714" t="s">
        <v>711</v>
      </c>
      <c r="EN3714" t="s">
        <v>852</v>
      </c>
      <c r="EO3714">
        <v>12</v>
      </c>
    </row>
    <row r="3715" spans="142:145" x14ac:dyDescent="0.25">
      <c r="EL3715">
        <v>2020</v>
      </c>
      <c r="EM3715" t="s">
        <v>712</v>
      </c>
      <c r="EN3715" t="s">
        <v>852</v>
      </c>
      <c r="EO3715">
        <v>12.4</v>
      </c>
    </row>
    <row r="3716" spans="142:145" x14ac:dyDescent="0.25">
      <c r="EL3716">
        <v>2021</v>
      </c>
      <c r="EM3716" t="s">
        <v>719</v>
      </c>
      <c r="EN3716" t="s">
        <v>852</v>
      </c>
      <c r="EO3716">
        <v>10.54</v>
      </c>
    </row>
    <row r="3717" spans="142:145" x14ac:dyDescent="0.25">
      <c r="EL3717">
        <v>2021</v>
      </c>
      <c r="EM3717" t="s">
        <v>713</v>
      </c>
      <c r="EN3717" t="s">
        <v>852</v>
      </c>
      <c r="EO3717">
        <v>10.08</v>
      </c>
    </row>
    <row r="3718" spans="142:145" x14ac:dyDescent="0.25">
      <c r="EL3718">
        <v>2021</v>
      </c>
      <c r="EM3718" t="s">
        <v>714</v>
      </c>
      <c r="EN3718" t="s">
        <v>852</v>
      </c>
      <c r="EO3718">
        <v>10.54</v>
      </c>
    </row>
    <row r="3719" spans="142:145" x14ac:dyDescent="0.25">
      <c r="EL3719">
        <v>2021</v>
      </c>
      <c r="EM3719" t="s">
        <v>705</v>
      </c>
      <c r="EN3719" t="s">
        <v>852</v>
      </c>
      <c r="EO3719">
        <v>9.9</v>
      </c>
    </row>
    <row r="3720" spans="142:145" x14ac:dyDescent="0.25">
      <c r="EL3720">
        <v>2021</v>
      </c>
      <c r="EM3720" t="s">
        <v>715</v>
      </c>
      <c r="EN3720" t="s">
        <v>852</v>
      </c>
      <c r="EO3720">
        <v>10.85</v>
      </c>
    </row>
    <row r="3721" spans="142:145" x14ac:dyDescent="0.25">
      <c r="EL3721">
        <v>2021</v>
      </c>
      <c r="EM3721" t="s">
        <v>718</v>
      </c>
      <c r="EN3721" t="s">
        <v>852</v>
      </c>
      <c r="EO3721">
        <v>10.5</v>
      </c>
    </row>
    <row r="3722" spans="142:145" x14ac:dyDescent="0.25">
      <c r="EL3722">
        <v>2021</v>
      </c>
      <c r="EM3722" t="s">
        <v>716</v>
      </c>
      <c r="EN3722" t="s">
        <v>852</v>
      </c>
      <c r="EO3722">
        <v>10.23</v>
      </c>
    </row>
    <row r="3723" spans="142:145" x14ac:dyDescent="0.25">
      <c r="EL3723">
        <v>2021</v>
      </c>
      <c r="EM3723" t="s">
        <v>708</v>
      </c>
      <c r="EN3723" t="s">
        <v>852</v>
      </c>
      <c r="EO3723">
        <v>12.09</v>
      </c>
    </row>
    <row r="3724" spans="142:145" x14ac:dyDescent="0.25">
      <c r="EL3724">
        <v>2021</v>
      </c>
      <c r="EM3724" t="s">
        <v>709</v>
      </c>
      <c r="EN3724" t="s">
        <v>852</v>
      </c>
      <c r="EO3724">
        <v>12.6</v>
      </c>
    </row>
    <row r="3725" spans="142:145" x14ac:dyDescent="0.25">
      <c r="EL3725">
        <v>2021</v>
      </c>
      <c r="EM3725" t="s">
        <v>710</v>
      </c>
      <c r="EN3725" t="s">
        <v>852</v>
      </c>
      <c r="EO3725">
        <v>11.78</v>
      </c>
    </row>
    <row r="3726" spans="142:145" x14ac:dyDescent="0.25">
      <c r="EL3726">
        <v>2021</v>
      </c>
      <c r="EM3726" t="s">
        <v>711</v>
      </c>
      <c r="EN3726" t="s">
        <v>852</v>
      </c>
      <c r="EO3726">
        <v>12</v>
      </c>
    </row>
    <row r="3727" spans="142:145" x14ac:dyDescent="0.25">
      <c r="EL3727">
        <v>2021</v>
      </c>
      <c r="EM3727" t="s">
        <v>712</v>
      </c>
      <c r="EN3727" t="s">
        <v>852</v>
      </c>
      <c r="EO3727">
        <v>11.16</v>
      </c>
    </row>
    <row r="3728" spans="142:145" x14ac:dyDescent="0.25">
      <c r="EL3728">
        <v>2022</v>
      </c>
      <c r="EM3728" t="s">
        <v>719</v>
      </c>
      <c r="EN3728" t="s">
        <v>852</v>
      </c>
      <c r="EO3728">
        <v>11.47</v>
      </c>
    </row>
    <row r="3729" spans="142:145" x14ac:dyDescent="0.25">
      <c r="EL3729">
        <v>2022</v>
      </c>
      <c r="EM3729" t="s">
        <v>713</v>
      </c>
      <c r="EN3729" t="s">
        <v>852</v>
      </c>
      <c r="EO3729">
        <v>9.24</v>
      </c>
    </row>
    <row r="3730" spans="142:145" x14ac:dyDescent="0.25">
      <c r="EL3730">
        <v>2022</v>
      </c>
      <c r="EM3730" t="s">
        <v>714</v>
      </c>
      <c r="EN3730" t="s">
        <v>852</v>
      </c>
      <c r="EO3730">
        <v>10.85</v>
      </c>
    </row>
    <row r="3731" spans="142:145" x14ac:dyDescent="0.25">
      <c r="EL3731">
        <v>2022</v>
      </c>
      <c r="EM3731" t="s">
        <v>705</v>
      </c>
      <c r="EN3731" t="s">
        <v>852</v>
      </c>
      <c r="EO3731">
        <v>11.7</v>
      </c>
    </row>
    <row r="3732" spans="142:145" x14ac:dyDescent="0.25">
      <c r="EL3732">
        <v>2022</v>
      </c>
      <c r="EM3732" t="s">
        <v>715</v>
      </c>
      <c r="EN3732" t="s">
        <v>852</v>
      </c>
      <c r="EO3732">
        <v>12.09</v>
      </c>
    </row>
    <row r="3733" spans="142:145" x14ac:dyDescent="0.25">
      <c r="EL3733">
        <v>2022</v>
      </c>
      <c r="EM3733" t="s">
        <v>718</v>
      </c>
      <c r="EN3733" t="s">
        <v>852</v>
      </c>
      <c r="EO3733">
        <v>11.4</v>
      </c>
    </row>
    <row r="3734" spans="142:145" x14ac:dyDescent="0.25">
      <c r="EL3734">
        <v>2022</v>
      </c>
      <c r="EM3734" t="s">
        <v>716</v>
      </c>
      <c r="EN3734" t="s">
        <v>852</v>
      </c>
      <c r="EO3734">
        <v>12.4</v>
      </c>
    </row>
    <row r="3735" spans="142:145" x14ac:dyDescent="0.25">
      <c r="EL3735">
        <v>2022</v>
      </c>
      <c r="EM3735" t="s">
        <v>708</v>
      </c>
      <c r="EN3735" t="s">
        <v>852</v>
      </c>
      <c r="EO3735">
        <v>11.78</v>
      </c>
    </row>
    <row r="3736" spans="142:145" x14ac:dyDescent="0.25">
      <c r="EL3736">
        <v>2022</v>
      </c>
      <c r="EM3736" t="s">
        <v>709</v>
      </c>
      <c r="EN3736" t="s">
        <v>852</v>
      </c>
      <c r="EO3736">
        <v>11.4</v>
      </c>
    </row>
    <row r="3737" spans="142:145" x14ac:dyDescent="0.25">
      <c r="EL3737">
        <v>2022</v>
      </c>
      <c r="EM3737" t="s">
        <v>710</v>
      </c>
      <c r="EN3737" t="s">
        <v>852</v>
      </c>
      <c r="EO3737">
        <v>11.16</v>
      </c>
    </row>
    <row r="3738" spans="142:145" x14ac:dyDescent="0.25">
      <c r="EL3738">
        <v>2022</v>
      </c>
      <c r="EM3738" t="s">
        <v>711</v>
      </c>
      <c r="EN3738" t="s">
        <v>852</v>
      </c>
      <c r="EO3738">
        <v>10.8</v>
      </c>
    </row>
    <row r="3739" spans="142:145" x14ac:dyDescent="0.25">
      <c r="EL3739">
        <v>2022</v>
      </c>
      <c r="EM3739" t="s">
        <v>712</v>
      </c>
      <c r="EN3739" t="s">
        <v>852</v>
      </c>
      <c r="EO3739">
        <v>10.85</v>
      </c>
    </row>
    <row r="3740" spans="142:145" x14ac:dyDescent="0.25">
      <c r="EL3740">
        <v>2023</v>
      </c>
      <c r="EM3740" t="s">
        <v>719</v>
      </c>
      <c r="EN3740" t="s">
        <v>852</v>
      </c>
      <c r="EO3740">
        <v>11.78</v>
      </c>
    </row>
    <row r="3741" spans="142:145" x14ac:dyDescent="0.25">
      <c r="EL3741">
        <v>2023</v>
      </c>
      <c r="EM3741" t="s">
        <v>713</v>
      </c>
      <c r="EN3741" t="s">
        <v>852</v>
      </c>
      <c r="EO3741">
        <v>10.64</v>
      </c>
    </row>
    <row r="3742" spans="142:145" x14ac:dyDescent="0.25">
      <c r="EL3742">
        <v>2023</v>
      </c>
      <c r="EM3742" t="s">
        <v>714</v>
      </c>
      <c r="EN3742" t="s">
        <v>852</v>
      </c>
      <c r="EO3742">
        <v>10.85</v>
      </c>
    </row>
    <row r="3743" spans="142:145" x14ac:dyDescent="0.25">
      <c r="EL3743">
        <v>2023</v>
      </c>
      <c r="EM3743" t="s">
        <v>705</v>
      </c>
      <c r="EN3743" t="s">
        <v>852</v>
      </c>
      <c r="EO3743">
        <v>10.8</v>
      </c>
    </row>
    <row r="3744" spans="142:145" x14ac:dyDescent="0.25">
      <c r="EL3744">
        <v>2023</v>
      </c>
      <c r="EM3744" t="s">
        <v>715</v>
      </c>
      <c r="EN3744" t="s">
        <v>852</v>
      </c>
      <c r="EO3744">
        <v>14.88</v>
      </c>
    </row>
    <row r="3745" spans="142:145" x14ac:dyDescent="0.25">
      <c r="EL3745">
        <v>2023</v>
      </c>
      <c r="EM3745" t="s">
        <v>718</v>
      </c>
      <c r="EN3745" t="s">
        <v>852</v>
      </c>
      <c r="EO3745">
        <v>14.4</v>
      </c>
    </row>
    <row r="3746" spans="142:145" x14ac:dyDescent="0.25">
      <c r="EL3746">
        <v>2023</v>
      </c>
      <c r="EM3746" t="s">
        <v>716</v>
      </c>
      <c r="EN3746" t="s">
        <v>852</v>
      </c>
      <c r="EO3746">
        <v>15.81</v>
      </c>
    </row>
    <row r="3747" spans="142:145" x14ac:dyDescent="0.25">
      <c r="EL3747">
        <v>2023</v>
      </c>
      <c r="EM3747" t="s">
        <v>708</v>
      </c>
      <c r="EN3747" t="s">
        <v>852</v>
      </c>
      <c r="EO3747">
        <v>15.19</v>
      </c>
    </row>
    <row r="3748" spans="142:145" x14ac:dyDescent="0.25">
      <c r="EL3748">
        <v>2023</v>
      </c>
      <c r="EM3748" t="s">
        <v>709</v>
      </c>
      <c r="EN3748" t="s">
        <v>852</v>
      </c>
      <c r="EO3748">
        <v>14.7</v>
      </c>
    </row>
    <row r="3749" spans="142:145" x14ac:dyDescent="0.25">
      <c r="EL3749">
        <v>1997</v>
      </c>
      <c r="EM3749" t="s">
        <v>760</v>
      </c>
      <c r="EN3749" t="s">
        <v>853</v>
      </c>
      <c r="EO3749">
        <v>6.7270000000000003</v>
      </c>
    </row>
    <row r="3750" spans="142:145" x14ac:dyDescent="0.25">
      <c r="EL3750">
        <v>1997</v>
      </c>
      <c r="EM3750" t="s">
        <v>761</v>
      </c>
      <c r="EN3750" t="s">
        <v>853</v>
      </c>
      <c r="EO3750">
        <v>8.2800000000000011</v>
      </c>
    </row>
    <row r="3751" spans="142:145" x14ac:dyDescent="0.25">
      <c r="EL3751">
        <v>1997</v>
      </c>
      <c r="EM3751" t="s">
        <v>762</v>
      </c>
      <c r="EN3751" t="s">
        <v>853</v>
      </c>
      <c r="EO3751">
        <v>6.0449999999999999</v>
      </c>
    </row>
    <row r="3752" spans="142:145" x14ac:dyDescent="0.25">
      <c r="EL3752">
        <v>1998</v>
      </c>
      <c r="EM3752" t="s">
        <v>763</v>
      </c>
      <c r="EN3752" t="s">
        <v>853</v>
      </c>
      <c r="EO3752">
        <v>9.4239999999999995</v>
      </c>
    </row>
    <row r="3753" spans="142:145" x14ac:dyDescent="0.25">
      <c r="EL3753">
        <v>1998</v>
      </c>
      <c r="EM3753" t="s">
        <v>764</v>
      </c>
      <c r="EN3753" t="s">
        <v>853</v>
      </c>
      <c r="EO3753">
        <v>12.46</v>
      </c>
    </row>
    <row r="3754" spans="142:145" x14ac:dyDescent="0.25">
      <c r="EL3754">
        <v>1998</v>
      </c>
      <c r="EM3754" t="s">
        <v>765</v>
      </c>
      <c r="EN3754" t="s">
        <v>853</v>
      </c>
      <c r="EO3754">
        <v>13.144</v>
      </c>
    </row>
    <row r="3755" spans="142:145" x14ac:dyDescent="0.25">
      <c r="EL3755">
        <v>1998</v>
      </c>
      <c r="EM3755" t="s">
        <v>767</v>
      </c>
      <c r="EN3755" t="s">
        <v>853</v>
      </c>
      <c r="EO3755">
        <v>6.75</v>
      </c>
    </row>
    <row r="3756" spans="142:145" x14ac:dyDescent="0.25">
      <c r="EL3756">
        <v>1998</v>
      </c>
      <c r="EM3756" t="s">
        <v>715</v>
      </c>
      <c r="EN3756" t="s">
        <v>853</v>
      </c>
      <c r="EO3756">
        <v>9.8889999999999993</v>
      </c>
    </row>
    <row r="3757" spans="142:145" x14ac:dyDescent="0.25">
      <c r="EL3757">
        <v>1998</v>
      </c>
      <c r="EM3757" t="s">
        <v>718</v>
      </c>
      <c r="EN3757" t="s">
        <v>853</v>
      </c>
      <c r="EO3757">
        <v>6.84</v>
      </c>
    </row>
    <row r="3758" spans="142:145" x14ac:dyDescent="0.25">
      <c r="EL3758">
        <v>1998</v>
      </c>
      <c r="EM3758" t="s">
        <v>716</v>
      </c>
      <c r="EN3758" t="s">
        <v>853</v>
      </c>
      <c r="EO3758">
        <v>6.7889999999999997</v>
      </c>
    </row>
    <row r="3759" spans="142:145" x14ac:dyDescent="0.25">
      <c r="EL3759">
        <v>1998</v>
      </c>
      <c r="EM3759" t="s">
        <v>768</v>
      </c>
      <c r="EN3759" t="s">
        <v>853</v>
      </c>
      <c r="EO3759">
        <v>7.0060000000000002</v>
      </c>
    </row>
    <row r="3760" spans="142:145" x14ac:dyDescent="0.25">
      <c r="EL3760">
        <v>1998</v>
      </c>
      <c r="EM3760" t="s">
        <v>769</v>
      </c>
      <c r="EN3760" t="s">
        <v>853</v>
      </c>
      <c r="EO3760">
        <v>6.3599999999999994</v>
      </c>
    </row>
    <row r="3761" spans="142:145" x14ac:dyDescent="0.25">
      <c r="EL3761">
        <v>1998</v>
      </c>
      <c r="EM3761" t="s">
        <v>760</v>
      </c>
      <c r="EN3761" t="s">
        <v>853</v>
      </c>
      <c r="EO3761">
        <v>6.8819999999999997</v>
      </c>
    </row>
    <row r="3762" spans="142:145" x14ac:dyDescent="0.25">
      <c r="EL3762">
        <v>1998</v>
      </c>
      <c r="EM3762" t="s">
        <v>771</v>
      </c>
      <c r="EN3762" t="s">
        <v>853</v>
      </c>
      <c r="EO3762">
        <v>6.54</v>
      </c>
    </row>
    <row r="3763" spans="142:145" x14ac:dyDescent="0.25">
      <c r="EL3763">
        <v>1998</v>
      </c>
      <c r="EM3763" t="s">
        <v>762</v>
      </c>
      <c r="EN3763" t="s">
        <v>853</v>
      </c>
      <c r="EO3763">
        <v>6.6029999999999998</v>
      </c>
    </row>
    <row r="3764" spans="142:145" x14ac:dyDescent="0.25">
      <c r="EL3764">
        <v>1999</v>
      </c>
      <c r="EM3764" t="s">
        <v>763</v>
      </c>
      <c r="EN3764" t="s">
        <v>853</v>
      </c>
      <c r="EO3764">
        <v>8.06</v>
      </c>
    </row>
    <row r="3765" spans="142:145" x14ac:dyDescent="0.25">
      <c r="EL3765">
        <v>1999</v>
      </c>
      <c r="EM3765" t="s">
        <v>772</v>
      </c>
      <c r="EN3765" t="s">
        <v>853</v>
      </c>
      <c r="EO3765">
        <v>7.0839999999999996</v>
      </c>
    </row>
    <row r="3766" spans="142:145" x14ac:dyDescent="0.25">
      <c r="EL3766">
        <v>1999</v>
      </c>
      <c r="EM3766" t="s">
        <v>773</v>
      </c>
      <c r="EN3766" t="s">
        <v>853</v>
      </c>
      <c r="EO3766">
        <v>9.0830000000000002</v>
      </c>
    </row>
    <row r="3767" spans="142:145" x14ac:dyDescent="0.25">
      <c r="EL3767">
        <v>1999</v>
      </c>
      <c r="EM3767" t="s">
        <v>774</v>
      </c>
      <c r="EN3767" t="s">
        <v>853</v>
      </c>
      <c r="EO3767">
        <v>5.76</v>
      </c>
    </row>
    <row r="3768" spans="142:145" x14ac:dyDescent="0.25">
      <c r="EL3768">
        <v>1999</v>
      </c>
      <c r="EM3768" t="s">
        <v>715</v>
      </c>
      <c r="EN3768" t="s">
        <v>853</v>
      </c>
      <c r="EO3768">
        <v>5.5489999999999995</v>
      </c>
    </row>
    <row r="3769" spans="142:145" x14ac:dyDescent="0.25">
      <c r="EL3769">
        <v>1999</v>
      </c>
      <c r="EM3769" t="s">
        <v>718</v>
      </c>
      <c r="EN3769" t="s">
        <v>853</v>
      </c>
      <c r="EO3769">
        <v>7.05</v>
      </c>
    </row>
    <row r="3770" spans="142:145" x14ac:dyDescent="0.25">
      <c r="EL3770">
        <v>1999</v>
      </c>
      <c r="EM3770" t="s">
        <v>716</v>
      </c>
      <c r="EN3770" t="s">
        <v>853</v>
      </c>
      <c r="EO3770">
        <v>7.3159999999999998</v>
      </c>
    </row>
    <row r="3771" spans="142:145" x14ac:dyDescent="0.25">
      <c r="EL3771">
        <v>1999</v>
      </c>
      <c r="EM3771" t="s">
        <v>708</v>
      </c>
      <c r="EN3771" t="s">
        <v>853</v>
      </c>
      <c r="EO3771">
        <v>10.943</v>
      </c>
    </row>
    <row r="3772" spans="142:145" x14ac:dyDescent="0.25">
      <c r="EL3772">
        <v>1999</v>
      </c>
      <c r="EM3772" t="s">
        <v>709</v>
      </c>
      <c r="EN3772" t="s">
        <v>853</v>
      </c>
      <c r="EO3772">
        <v>9.51</v>
      </c>
    </row>
    <row r="3773" spans="142:145" x14ac:dyDescent="0.25">
      <c r="EL3773">
        <v>1999</v>
      </c>
      <c r="EM3773" t="s">
        <v>710</v>
      </c>
      <c r="EN3773" t="s">
        <v>853</v>
      </c>
      <c r="EO3773">
        <v>9.2379999999999995</v>
      </c>
    </row>
    <row r="3774" spans="142:145" x14ac:dyDescent="0.25">
      <c r="EL3774">
        <v>1999</v>
      </c>
      <c r="EM3774" t="s">
        <v>711</v>
      </c>
      <c r="EN3774" t="s">
        <v>853</v>
      </c>
      <c r="EO3774">
        <v>8.0400000000000009</v>
      </c>
    </row>
    <row r="3775" spans="142:145" x14ac:dyDescent="0.25">
      <c r="EL3775">
        <v>1999</v>
      </c>
      <c r="EM3775" t="s">
        <v>712</v>
      </c>
      <c r="EN3775" t="s">
        <v>853</v>
      </c>
      <c r="EO3775">
        <v>9.3929999999999989</v>
      </c>
    </row>
    <row r="3776" spans="142:145" x14ac:dyDescent="0.25">
      <c r="EL3776">
        <v>2000</v>
      </c>
      <c r="EM3776" t="s">
        <v>719</v>
      </c>
      <c r="EN3776" t="s">
        <v>853</v>
      </c>
      <c r="EO3776">
        <v>9.1760000000000002</v>
      </c>
    </row>
    <row r="3777" spans="142:145" x14ac:dyDescent="0.25">
      <c r="EL3777">
        <v>2000</v>
      </c>
      <c r="EM3777" t="s">
        <v>713</v>
      </c>
      <c r="EN3777" t="s">
        <v>853</v>
      </c>
      <c r="EO3777">
        <v>6.7860000000000005</v>
      </c>
    </row>
    <row r="3778" spans="142:145" x14ac:dyDescent="0.25">
      <c r="EL3778">
        <v>2000</v>
      </c>
      <c r="EM3778" t="s">
        <v>714</v>
      </c>
      <c r="EN3778" t="s">
        <v>853</v>
      </c>
      <c r="EO3778">
        <v>9.020999999999999</v>
      </c>
    </row>
    <row r="3779" spans="142:145" x14ac:dyDescent="0.25">
      <c r="EL3779">
        <v>2000</v>
      </c>
      <c r="EM3779" t="s">
        <v>705</v>
      </c>
      <c r="EN3779" t="s">
        <v>853</v>
      </c>
      <c r="EO3779">
        <v>10.110000000000001</v>
      </c>
    </row>
    <row r="3780" spans="142:145" x14ac:dyDescent="0.25">
      <c r="EL3780">
        <v>2000</v>
      </c>
      <c r="EM3780" t="s">
        <v>715</v>
      </c>
      <c r="EN3780" t="s">
        <v>853</v>
      </c>
      <c r="EO3780">
        <v>8.370000000000001</v>
      </c>
    </row>
    <row r="3781" spans="142:145" x14ac:dyDescent="0.25">
      <c r="EL3781">
        <v>2000</v>
      </c>
      <c r="EM3781" t="s">
        <v>718</v>
      </c>
      <c r="EN3781" t="s">
        <v>853</v>
      </c>
      <c r="EO3781">
        <v>8.4300000000000015</v>
      </c>
    </row>
    <row r="3782" spans="142:145" x14ac:dyDescent="0.25">
      <c r="EL3782">
        <v>2000</v>
      </c>
      <c r="EM3782" t="s">
        <v>716</v>
      </c>
      <c r="EN3782" t="s">
        <v>853</v>
      </c>
      <c r="EO3782">
        <v>6.665</v>
      </c>
    </row>
    <row r="3783" spans="142:145" x14ac:dyDescent="0.25">
      <c r="EL3783">
        <v>2000</v>
      </c>
      <c r="EM3783" t="s">
        <v>708</v>
      </c>
      <c r="EN3783" t="s">
        <v>853</v>
      </c>
      <c r="EO3783">
        <v>7.843</v>
      </c>
    </row>
    <row r="3784" spans="142:145" x14ac:dyDescent="0.25">
      <c r="EL3784">
        <v>2000</v>
      </c>
      <c r="EM3784" t="s">
        <v>709</v>
      </c>
      <c r="EN3784" t="s">
        <v>853</v>
      </c>
      <c r="EO3784">
        <v>8.61</v>
      </c>
    </row>
    <row r="3785" spans="142:145" x14ac:dyDescent="0.25">
      <c r="EL3785">
        <v>2000</v>
      </c>
      <c r="EM3785" t="s">
        <v>710</v>
      </c>
      <c r="EN3785" t="s">
        <v>853</v>
      </c>
      <c r="EO3785">
        <v>7.7190000000000003</v>
      </c>
    </row>
    <row r="3786" spans="142:145" x14ac:dyDescent="0.25">
      <c r="EL3786">
        <v>2000</v>
      </c>
      <c r="EM3786" t="s">
        <v>711</v>
      </c>
      <c r="EN3786" t="s">
        <v>853</v>
      </c>
      <c r="EO3786">
        <v>7.35</v>
      </c>
    </row>
    <row r="3787" spans="142:145" x14ac:dyDescent="0.25">
      <c r="EL3787">
        <v>2000</v>
      </c>
      <c r="EM3787" t="s">
        <v>712</v>
      </c>
      <c r="EN3787" t="s">
        <v>853</v>
      </c>
      <c r="EO3787">
        <v>7.5949999999999998</v>
      </c>
    </row>
    <row r="3788" spans="142:145" x14ac:dyDescent="0.25">
      <c r="EL3788">
        <v>2001</v>
      </c>
      <c r="EM3788" t="s">
        <v>719</v>
      </c>
      <c r="EN3788" t="s">
        <v>853</v>
      </c>
      <c r="EO3788">
        <v>7.5949999999999998</v>
      </c>
    </row>
    <row r="3789" spans="142:145" x14ac:dyDescent="0.25">
      <c r="EL3789">
        <v>2001</v>
      </c>
      <c r="EM3789" t="s">
        <v>713</v>
      </c>
      <c r="EN3789" t="s">
        <v>853</v>
      </c>
      <c r="EO3789">
        <v>6.8599999999999994</v>
      </c>
    </row>
    <row r="3790" spans="142:145" x14ac:dyDescent="0.25">
      <c r="EL3790">
        <v>2001</v>
      </c>
      <c r="EM3790" t="s">
        <v>714</v>
      </c>
      <c r="EN3790" t="s">
        <v>853</v>
      </c>
      <c r="EO3790">
        <v>8.8659999999999997</v>
      </c>
    </row>
    <row r="3791" spans="142:145" x14ac:dyDescent="0.25">
      <c r="EL3791">
        <v>2001</v>
      </c>
      <c r="EM3791" t="s">
        <v>705</v>
      </c>
      <c r="EN3791" t="s">
        <v>853</v>
      </c>
      <c r="EO3791">
        <v>7.9359999999999999</v>
      </c>
    </row>
    <row r="3792" spans="142:145" x14ac:dyDescent="0.25">
      <c r="EL3792">
        <v>2001</v>
      </c>
      <c r="EM3792" t="s">
        <v>715</v>
      </c>
      <c r="EN3792" t="s">
        <v>853</v>
      </c>
      <c r="EO3792">
        <v>8.06</v>
      </c>
    </row>
    <row r="3793" spans="142:145" x14ac:dyDescent="0.25">
      <c r="EL3793">
        <v>2001</v>
      </c>
      <c r="EM3793" t="s">
        <v>718</v>
      </c>
      <c r="EN3793" t="s">
        <v>853</v>
      </c>
      <c r="EO3793">
        <v>8.2800000000000011</v>
      </c>
    </row>
    <row r="3794" spans="142:145" x14ac:dyDescent="0.25">
      <c r="EL3794">
        <v>2001</v>
      </c>
      <c r="EM3794" t="s">
        <v>716</v>
      </c>
      <c r="EN3794" t="s">
        <v>853</v>
      </c>
      <c r="EO3794">
        <v>8.3079999999999998</v>
      </c>
    </row>
    <row r="3795" spans="142:145" x14ac:dyDescent="0.25">
      <c r="EL3795">
        <v>2001</v>
      </c>
      <c r="EM3795" t="s">
        <v>708</v>
      </c>
      <c r="EN3795" t="s">
        <v>853</v>
      </c>
      <c r="EO3795">
        <v>8.4320000000000004</v>
      </c>
    </row>
    <row r="3796" spans="142:145" x14ac:dyDescent="0.25">
      <c r="EL3796">
        <v>2001</v>
      </c>
      <c r="EM3796" t="s">
        <v>709</v>
      </c>
      <c r="EN3796" t="s">
        <v>853</v>
      </c>
      <c r="EO3796">
        <v>8.16</v>
      </c>
    </row>
    <row r="3797" spans="142:145" x14ac:dyDescent="0.25">
      <c r="EL3797">
        <v>2001</v>
      </c>
      <c r="EM3797" t="s">
        <v>710</v>
      </c>
      <c r="EN3797" t="s">
        <v>853</v>
      </c>
      <c r="EO3797">
        <v>8.4320000000000004</v>
      </c>
    </row>
    <row r="3798" spans="142:145" x14ac:dyDescent="0.25">
      <c r="EL3798">
        <v>2001</v>
      </c>
      <c r="EM3798" t="s">
        <v>711</v>
      </c>
      <c r="EN3798" t="s">
        <v>853</v>
      </c>
      <c r="EO3798">
        <v>8.16</v>
      </c>
    </row>
    <row r="3799" spans="142:145" x14ac:dyDescent="0.25">
      <c r="EL3799">
        <v>2001</v>
      </c>
      <c r="EM3799" t="s">
        <v>712</v>
      </c>
      <c r="EN3799" t="s">
        <v>853</v>
      </c>
      <c r="EO3799">
        <v>8.4320000000000004</v>
      </c>
    </row>
    <row r="3800" spans="142:145" x14ac:dyDescent="0.25">
      <c r="EL3800">
        <v>2002</v>
      </c>
      <c r="EM3800" t="s">
        <v>719</v>
      </c>
      <c r="EN3800" t="s">
        <v>853</v>
      </c>
      <c r="EO3800">
        <v>8.4320000000000004</v>
      </c>
    </row>
    <row r="3801" spans="142:145" x14ac:dyDescent="0.25">
      <c r="EL3801">
        <v>2002</v>
      </c>
      <c r="EM3801" t="s">
        <v>713</v>
      </c>
      <c r="EN3801" t="s">
        <v>853</v>
      </c>
      <c r="EO3801">
        <v>4.032</v>
      </c>
    </row>
    <row r="3802" spans="142:145" x14ac:dyDescent="0.25">
      <c r="EL3802">
        <v>2002</v>
      </c>
      <c r="EM3802" t="s">
        <v>714</v>
      </c>
      <c r="EN3802" t="s">
        <v>853</v>
      </c>
      <c r="EO3802">
        <v>5.766</v>
      </c>
    </row>
    <row r="3803" spans="142:145" x14ac:dyDescent="0.25">
      <c r="EL3803">
        <v>2002</v>
      </c>
      <c r="EM3803" t="s">
        <v>705</v>
      </c>
      <c r="EN3803" t="s">
        <v>853</v>
      </c>
      <c r="EO3803">
        <v>5.7</v>
      </c>
    </row>
    <row r="3804" spans="142:145" x14ac:dyDescent="0.25">
      <c r="EL3804">
        <v>2002</v>
      </c>
      <c r="EM3804" t="s">
        <v>715</v>
      </c>
      <c r="EN3804" t="s">
        <v>853</v>
      </c>
      <c r="EO3804">
        <v>6.5720000000000001</v>
      </c>
    </row>
    <row r="3805" spans="142:145" x14ac:dyDescent="0.25">
      <c r="EL3805">
        <v>2002</v>
      </c>
      <c r="EM3805" t="s">
        <v>718</v>
      </c>
      <c r="EN3805" t="s">
        <v>853</v>
      </c>
      <c r="EO3805">
        <v>6.27</v>
      </c>
    </row>
    <row r="3806" spans="142:145" x14ac:dyDescent="0.25">
      <c r="EL3806">
        <v>2002</v>
      </c>
      <c r="EM3806" t="s">
        <v>716</v>
      </c>
      <c r="EN3806" t="s">
        <v>853</v>
      </c>
      <c r="EO3806">
        <v>5.3319999999999999</v>
      </c>
    </row>
    <row r="3807" spans="142:145" x14ac:dyDescent="0.25">
      <c r="EL3807">
        <v>2002</v>
      </c>
      <c r="EM3807" t="s">
        <v>708</v>
      </c>
      <c r="EN3807" t="s">
        <v>853</v>
      </c>
      <c r="EO3807">
        <v>5.1150000000000002</v>
      </c>
    </row>
    <row r="3808" spans="142:145" x14ac:dyDescent="0.25">
      <c r="EL3808">
        <v>2002</v>
      </c>
      <c r="EM3808" t="s">
        <v>709</v>
      </c>
      <c r="EN3808" t="s">
        <v>853</v>
      </c>
      <c r="EO3808">
        <v>6.18</v>
      </c>
    </row>
    <row r="3809" spans="142:145" x14ac:dyDescent="0.25">
      <c r="EL3809">
        <v>2002</v>
      </c>
      <c r="EM3809" t="s">
        <v>710</v>
      </c>
      <c r="EN3809" t="s">
        <v>853</v>
      </c>
      <c r="EO3809">
        <v>6.63</v>
      </c>
    </row>
    <row r="3810" spans="142:145" x14ac:dyDescent="0.25">
      <c r="EL3810">
        <v>2002</v>
      </c>
      <c r="EM3810" t="s">
        <v>711</v>
      </c>
      <c r="EN3810" t="s">
        <v>853</v>
      </c>
      <c r="EO3810">
        <v>8.1000000000000014</v>
      </c>
    </row>
    <row r="3811" spans="142:145" x14ac:dyDescent="0.25">
      <c r="EL3811">
        <v>2002</v>
      </c>
      <c r="EM3811" t="s">
        <v>712</v>
      </c>
      <c r="EN3811" t="s">
        <v>853</v>
      </c>
      <c r="EO3811">
        <v>9.4239999999999995</v>
      </c>
    </row>
    <row r="3812" spans="142:145" x14ac:dyDescent="0.25">
      <c r="EL3812">
        <v>2003</v>
      </c>
      <c r="EM3812" t="s">
        <v>719</v>
      </c>
      <c r="EN3812" t="s">
        <v>853</v>
      </c>
      <c r="EO3812">
        <v>11.036</v>
      </c>
    </row>
    <row r="3813" spans="142:145" x14ac:dyDescent="0.25">
      <c r="EL3813">
        <v>2003</v>
      </c>
      <c r="EM3813" t="s">
        <v>713</v>
      </c>
      <c r="EN3813" t="s">
        <v>853</v>
      </c>
      <c r="EO3813">
        <v>6.2439999999999998</v>
      </c>
    </row>
    <row r="3814" spans="142:145" x14ac:dyDescent="0.25">
      <c r="EL3814">
        <v>2003</v>
      </c>
      <c r="EM3814" t="s">
        <v>714</v>
      </c>
      <c r="EN3814" t="s">
        <v>853</v>
      </c>
      <c r="EO3814">
        <v>7.4710000000000001</v>
      </c>
    </row>
    <row r="3815" spans="142:145" x14ac:dyDescent="0.25">
      <c r="EL3815">
        <v>2003</v>
      </c>
      <c r="EM3815" t="s">
        <v>705</v>
      </c>
      <c r="EN3815" t="s">
        <v>853</v>
      </c>
      <c r="EO3815">
        <v>7.2299999999999995</v>
      </c>
    </row>
    <row r="3816" spans="142:145" x14ac:dyDescent="0.25">
      <c r="EL3816">
        <v>2003</v>
      </c>
      <c r="EM3816" t="s">
        <v>715</v>
      </c>
      <c r="EN3816" t="s">
        <v>853</v>
      </c>
      <c r="EO3816">
        <v>8.0289999999999999</v>
      </c>
    </row>
    <row r="3817" spans="142:145" x14ac:dyDescent="0.25">
      <c r="EL3817">
        <v>2003</v>
      </c>
      <c r="EM3817" t="s">
        <v>718</v>
      </c>
      <c r="EN3817" t="s">
        <v>853</v>
      </c>
      <c r="EO3817">
        <v>6.57</v>
      </c>
    </row>
    <row r="3818" spans="142:145" x14ac:dyDescent="0.25">
      <c r="EL3818">
        <v>2003</v>
      </c>
      <c r="EM3818" t="s">
        <v>716</v>
      </c>
      <c r="EN3818" t="s">
        <v>853</v>
      </c>
      <c r="EO3818">
        <v>11.966000000000001</v>
      </c>
    </row>
    <row r="3819" spans="142:145" x14ac:dyDescent="0.25">
      <c r="EL3819">
        <v>2003</v>
      </c>
      <c r="EM3819" t="s">
        <v>708</v>
      </c>
      <c r="EN3819" t="s">
        <v>853</v>
      </c>
      <c r="EO3819">
        <v>5.7039999999999997</v>
      </c>
    </row>
    <row r="3820" spans="142:145" x14ac:dyDescent="0.25">
      <c r="EL3820">
        <v>2003</v>
      </c>
      <c r="EM3820" t="s">
        <v>709</v>
      </c>
      <c r="EN3820" t="s">
        <v>853</v>
      </c>
      <c r="EO3820">
        <v>5.52</v>
      </c>
    </row>
    <row r="3821" spans="142:145" x14ac:dyDescent="0.25">
      <c r="EL3821">
        <v>2003</v>
      </c>
      <c r="EM3821" t="s">
        <v>710</v>
      </c>
      <c r="EN3821" t="s">
        <v>853</v>
      </c>
      <c r="EO3821">
        <v>6.8730000000000002</v>
      </c>
    </row>
    <row r="3822" spans="142:145" x14ac:dyDescent="0.25">
      <c r="EL3822">
        <v>2003</v>
      </c>
      <c r="EM3822" t="s">
        <v>711</v>
      </c>
      <c r="EN3822" t="s">
        <v>853</v>
      </c>
      <c r="EO3822">
        <v>8.5549999999999997</v>
      </c>
    </row>
    <row r="3823" spans="142:145" x14ac:dyDescent="0.25">
      <c r="EL3823">
        <v>2003</v>
      </c>
      <c r="EM3823" t="s">
        <v>712</v>
      </c>
      <c r="EN3823" t="s">
        <v>853</v>
      </c>
      <c r="EO3823">
        <v>10.645</v>
      </c>
    </row>
    <row r="3824" spans="142:145" x14ac:dyDescent="0.25">
      <c r="EL3824">
        <v>2004</v>
      </c>
      <c r="EM3824" t="s">
        <v>719</v>
      </c>
      <c r="EN3824" t="s">
        <v>853</v>
      </c>
      <c r="EO3824">
        <v>6.0650000000000004</v>
      </c>
    </row>
    <row r="3825" spans="142:145" x14ac:dyDescent="0.25">
      <c r="EL3825">
        <v>2004</v>
      </c>
      <c r="EM3825" t="s">
        <v>713</v>
      </c>
      <c r="EN3825" t="s">
        <v>853</v>
      </c>
      <c r="EO3825">
        <v>8.9529999999999994</v>
      </c>
    </row>
    <row r="3826" spans="142:145" x14ac:dyDescent="0.25">
      <c r="EL3826">
        <v>2004</v>
      </c>
      <c r="EM3826" t="s">
        <v>714</v>
      </c>
      <c r="EN3826" t="s">
        <v>853</v>
      </c>
      <c r="EO3826">
        <v>5.9459999999999997</v>
      </c>
    </row>
    <row r="3827" spans="142:145" x14ac:dyDescent="0.25">
      <c r="EL3827">
        <v>2004</v>
      </c>
      <c r="EM3827" t="s">
        <v>705</v>
      </c>
      <c r="EN3827" t="s">
        <v>853</v>
      </c>
      <c r="EO3827">
        <v>6.8570000000000002</v>
      </c>
    </row>
    <row r="3828" spans="142:145" x14ac:dyDescent="0.25">
      <c r="EL3828">
        <v>2004</v>
      </c>
      <c r="EM3828" t="s">
        <v>715</v>
      </c>
      <c r="EN3828" t="s">
        <v>853</v>
      </c>
      <c r="EO3828">
        <v>6.4247500000000004</v>
      </c>
    </row>
    <row r="3829" spans="142:145" x14ac:dyDescent="0.25">
      <c r="EL3829">
        <v>2004</v>
      </c>
      <c r="EM3829" t="s">
        <v>718</v>
      </c>
      <c r="EN3829" t="s">
        <v>853</v>
      </c>
      <c r="EO3829">
        <v>5.6767741935483897</v>
      </c>
    </row>
    <row r="3830" spans="142:145" x14ac:dyDescent="0.25">
      <c r="EL3830">
        <v>2004</v>
      </c>
      <c r="EM3830" t="s">
        <v>716</v>
      </c>
      <c r="EN3830" t="s">
        <v>853</v>
      </c>
      <c r="EO3830">
        <v>7.5620000000000003</v>
      </c>
    </row>
    <row r="3831" spans="142:145" x14ac:dyDescent="0.25">
      <c r="EL3831">
        <v>2004</v>
      </c>
      <c r="EM3831" t="s">
        <v>708</v>
      </c>
      <c r="EN3831" t="s">
        <v>853</v>
      </c>
      <c r="EO3831">
        <v>7.2690000000000001</v>
      </c>
    </row>
    <row r="3832" spans="142:145" x14ac:dyDescent="0.25">
      <c r="EL3832">
        <v>2004</v>
      </c>
      <c r="EM3832" t="s">
        <v>709</v>
      </c>
      <c r="EN3832" t="s">
        <v>853</v>
      </c>
      <c r="EO3832">
        <v>5.2975862068900001</v>
      </c>
    </row>
    <row r="3833" spans="142:145" x14ac:dyDescent="0.25">
      <c r="EL3833">
        <v>2004</v>
      </c>
      <c r="EM3833" t="s">
        <v>710</v>
      </c>
      <c r="EN3833" t="s">
        <v>853</v>
      </c>
      <c r="EO3833">
        <v>11.5601818181</v>
      </c>
    </row>
    <row r="3834" spans="142:145" x14ac:dyDescent="0.25">
      <c r="EL3834">
        <v>2004</v>
      </c>
      <c r="EM3834" t="s">
        <v>711</v>
      </c>
      <c r="EN3834" t="s">
        <v>853</v>
      </c>
      <c r="EO3834">
        <v>6.1559999999999997</v>
      </c>
    </row>
    <row r="3835" spans="142:145" x14ac:dyDescent="0.25">
      <c r="EL3835">
        <v>2004</v>
      </c>
      <c r="EM3835" t="s">
        <v>712</v>
      </c>
      <c r="EN3835" t="s">
        <v>853</v>
      </c>
      <c r="EO3835">
        <v>7.1079999999999997</v>
      </c>
    </row>
    <row r="3836" spans="142:145" x14ac:dyDescent="0.25">
      <c r="EL3836">
        <v>2005</v>
      </c>
      <c r="EM3836" t="s">
        <v>719</v>
      </c>
      <c r="EN3836" t="s">
        <v>853</v>
      </c>
      <c r="EO3836">
        <v>7.1420000000000003</v>
      </c>
    </row>
    <row r="3837" spans="142:145" x14ac:dyDescent="0.25">
      <c r="EL3837">
        <v>2005</v>
      </c>
      <c r="EM3837" t="s">
        <v>713</v>
      </c>
      <c r="EN3837" t="s">
        <v>853</v>
      </c>
      <c r="EO3837">
        <v>5.3468799999999996</v>
      </c>
    </row>
    <row r="3838" spans="142:145" x14ac:dyDescent="0.25">
      <c r="EL3838">
        <v>2005</v>
      </c>
      <c r="EM3838" t="s">
        <v>714</v>
      </c>
      <c r="EN3838" t="s">
        <v>853</v>
      </c>
      <c r="EO3838">
        <v>8.1760000000000002</v>
      </c>
    </row>
    <row r="3839" spans="142:145" x14ac:dyDescent="0.25">
      <c r="EL3839">
        <v>2005</v>
      </c>
      <c r="EM3839" t="s">
        <v>705</v>
      </c>
      <c r="EN3839" t="s">
        <v>853</v>
      </c>
      <c r="EO3839">
        <v>7.5259999999999998</v>
      </c>
    </row>
    <row r="3840" spans="142:145" x14ac:dyDescent="0.25">
      <c r="EL3840">
        <v>2005</v>
      </c>
      <c r="EM3840" t="s">
        <v>715</v>
      </c>
      <c r="EN3840" t="s">
        <v>853</v>
      </c>
      <c r="EO3840">
        <v>6.7350000000000003</v>
      </c>
    </row>
    <row r="3841" spans="142:145" x14ac:dyDescent="0.25">
      <c r="EL3841">
        <v>2005</v>
      </c>
      <c r="EM3841" t="s">
        <v>718</v>
      </c>
      <c r="EN3841" t="s">
        <v>853</v>
      </c>
      <c r="EO3841">
        <v>5.2089999999999996</v>
      </c>
    </row>
    <row r="3842" spans="142:145" x14ac:dyDescent="0.25">
      <c r="EL3842">
        <v>2005</v>
      </c>
      <c r="EM3842" t="s">
        <v>716</v>
      </c>
      <c r="EN3842" t="s">
        <v>853</v>
      </c>
      <c r="EO3842">
        <v>5.73</v>
      </c>
    </row>
    <row r="3843" spans="142:145" x14ac:dyDescent="0.25">
      <c r="EL3843">
        <v>2005</v>
      </c>
      <c r="EM3843" t="s">
        <v>708</v>
      </c>
      <c r="EN3843" t="s">
        <v>853</v>
      </c>
      <c r="EO3843">
        <v>4.3029999999999999</v>
      </c>
    </row>
    <row r="3844" spans="142:145" x14ac:dyDescent="0.25">
      <c r="EL3844">
        <v>2005</v>
      </c>
      <c r="EM3844" t="s">
        <v>709</v>
      </c>
      <c r="EN3844" t="s">
        <v>853</v>
      </c>
      <c r="EO3844">
        <v>2.8860000000000001</v>
      </c>
    </row>
    <row r="3845" spans="142:145" x14ac:dyDescent="0.25">
      <c r="EL3845">
        <v>2005</v>
      </c>
      <c r="EM3845" t="s">
        <v>710</v>
      </c>
      <c r="EN3845" t="s">
        <v>853</v>
      </c>
      <c r="EO3845">
        <v>6.8650000000000002</v>
      </c>
    </row>
    <row r="3846" spans="142:145" x14ac:dyDescent="0.25">
      <c r="EL3846">
        <v>2005</v>
      </c>
      <c r="EM3846" t="s">
        <v>711</v>
      </c>
      <c r="EN3846" t="s">
        <v>853</v>
      </c>
      <c r="EO3846">
        <v>4.2270000000000003</v>
      </c>
    </row>
    <row r="3847" spans="142:145" x14ac:dyDescent="0.25">
      <c r="EL3847">
        <v>2005</v>
      </c>
      <c r="EM3847" t="s">
        <v>712</v>
      </c>
      <c r="EN3847" t="s">
        <v>853</v>
      </c>
      <c r="EO3847">
        <v>6.2549999999999999</v>
      </c>
    </row>
    <row r="3848" spans="142:145" x14ac:dyDescent="0.25">
      <c r="EL3848">
        <v>2006</v>
      </c>
      <c r="EM3848" t="s">
        <v>719</v>
      </c>
      <c r="EN3848" t="s">
        <v>853</v>
      </c>
      <c r="EO3848">
        <v>6.798</v>
      </c>
    </row>
    <row r="3849" spans="142:145" x14ac:dyDescent="0.25">
      <c r="EL3849">
        <v>2006</v>
      </c>
      <c r="EM3849" t="s">
        <v>713</v>
      </c>
      <c r="EN3849" t="s">
        <v>853</v>
      </c>
      <c r="EO3849">
        <v>6.8209999999999997</v>
      </c>
    </row>
    <row r="3850" spans="142:145" x14ac:dyDescent="0.25">
      <c r="EL3850">
        <v>2006</v>
      </c>
      <c r="EM3850" t="s">
        <v>714</v>
      </c>
      <c r="EN3850" t="s">
        <v>853</v>
      </c>
      <c r="EO3850">
        <v>7.5949999999999998</v>
      </c>
    </row>
    <row r="3851" spans="142:145" x14ac:dyDescent="0.25">
      <c r="EL3851">
        <v>2006</v>
      </c>
      <c r="EM3851" t="s">
        <v>705</v>
      </c>
      <c r="EN3851" t="s">
        <v>853</v>
      </c>
      <c r="EO3851">
        <v>7.14</v>
      </c>
    </row>
    <row r="3852" spans="142:145" x14ac:dyDescent="0.25">
      <c r="EL3852">
        <v>2006</v>
      </c>
      <c r="EM3852" t="s">
        <v>715</v>
      </c>
      <c r="EN3852" t="s">
        <v>853</v>
      </c>
      <c r="EO3852">
        <v>5.5439999999999996</v>
      </c>
    </row>
    <row r="3853" spans="142:145" x14ac:dyDescent="0.25">
      <c r="EL3853">
        <v>2006</v>
      </c>
      <c r="EM3853" t="s">
        <v>718</v>
      </c>
      <c r="EN3853" t="s">
        <v>853</v>
      </c>
      <c r="EO3853">
        <v>7.7779999999999996</v>
      </c>
    </row>
    <row r="3854" spans="142:145" x14ac:dyDescent="0.25">
      <c r="EL3854">
        <v>2006</v>
      </c>
      <c r="EM3854" t="s">
        <v>716</v>
      </c>
      <c r="EN3854" t="s">
        <v>853</v>
      </c>
      <c r="EO3854">
        <v>5.5629999999999997</v>
      </c>
    </row>
    <row r="3855" spans="142:145" x14ac:dyDescent="0.25">
      <c r="EL3855">
        <v>2006</v>
      </c>
      <c r="EM3855" t="s">
        <v>708</v>
      </c>
      <c r="EN3855" t="s">
        <v>853</v>
      </c>
      <c r="EO3855">
        <v>4.2889999999999997</v>
      </c>
    </row>
    <row r="3856" spans="142:145" x14ac:dyDescent="0.25">
      <c r="EL3856">
        <v>2006</v>
      </c>
      <c r="EM3856" t="s">
        <v>709</v>
      </c>
      <c r="EN3856" t="s">
        <v>853</v>
      </c>
      <c r="EO3856">
        <v>5.391</v>
      </c>
    </row>
    <row r="3857" spans="142:145" x14ac:dyDescent="0.25">
      <c r="EL3857">
        <v>2006</v>
      </c>
      <c r="EM3857" t="s">
        <v>710</v>
      </c>
      <c r="EN3857" t="s">
        <v>853</v>
      </c>
      <c r="EO3857">
        <v>5.673</v>
      </c>
    </row>
    <row r="3858" spans="142:145" x14ac:dyDescent="0.25">
      <c r="EL3858">
        <v>2006</v>
      </c>
      <c r="EM3858" t="s">
        <v>711</v>
      </c>
      <c r="EN3858" t="s">
        <v>853</v>
      </c>
      <c r="EO3858">
        <v>7.7519999999999998</v>
      </c>
    </row>
    <row r="3859" spans="142:145" x14ac:dyDescent="0.25">
      <c r="EL3859">
        <v>2006</v>
      </c>
      <c r="EM3859" t="s">
        <v>712</v>
      </c>
      <c r="EN3859" t="s">
        <v>853</v>
      </c>
      <c r="EO3859">
        <v>4.4820000000000002</v>
      </c>
    </row>
    <row r="3860" spans="142:145" x14ac:dyDescent="0.25">
      <c r="EL3860">
        <v>2007</v>
      </c>
      <c r="EM3860" t="s">
        <v>719</v>
      </c>
      <c r="EN3860" t="s">
        <v>853</v>
      </c>
      <c r="EO3860">
        <v>6.89</v>
      </c>
    </row>
    <row r="3861" spans="142:145" x14ac:dyDescent="0.25">
      <c r="EL3861">
        <v>2007</v>
      </c>
      <c r="EM3861" t="s">
        <v>713</v>
      </c>
      <c r="EN3861" t="s">
        <v>853</v>
      </c>
      <c r="EO3861">
        <v>5.5439999999999996</v>
      </c>
    </row>
    <row r="3862" spans="142:145" x14ac:dyDescent="0.25">
      <c r="EL3862">
        <v>2007</v>
      </c>
      <c r="EM3862" t="s">
        <v>714</v>
      </c>
      <c r="EN3862" t="s">
        <v>853</v>
      </c>
      <c r="EO3862">
        <v>8.7829999999999995</v>
      </c>
    </row>
    <row r="3863" spans="142:145" x14ac:dyDescent="0.25">
      <c r="EL3863">
        <v>2007</v>
      </c>
      <c r="EM3863" t="s">
        <v>705</v>
      </c>
      <c r="EN3863" t="s">
        <v>853</v>
      </c>
      <c r="EO3863">
        <v>8.7279999999999998</v>
      </c>
    </row>
    <row r="3864" spans="142:145" x14ac:dyDescent="0.25">
      <c r="EL3864">
        <v>2007</v>
      </c>
      <c r="EM3864" t="s">
        <v>715</v>
      </c>
      <c r="EN3864" t="s">
        <v>853</v>
      </c>
      <c r="EO3864">
        <v>4.407</v>
      </c>
    </row>
    <row r="3865" spans="142:145" x14ac:dyDescent="0.25">
      <c r="EL3865">
        <v>2007</v>
      </c>
      <c r="EM3865" t="s">
        <v>718</v>
      </c>
      <c r="EN3865" t="s">
        <v>853</v>
      </c>
      <c r="EO3865">
        <v>3.6749999999999998</v>
      </c>
    </row>
    <row r="3866" spans="142:145" x14ac:dyDescent="0.25">
      <c r="EL3866">
        <v>2007</v>
      </c>
      <c r="EM3866" t="s">
        <v>716</v>
      </c>
      <c r="EN3866" t="s">
        <v>853</v>
      </c>
      <c r="EO3866">
        <v>3.3759999999999999</v>
      </c>
    </row>
    <row r="3867" spans="142:145" x14ac:dyDescent="0.25">
      <c r="EL3867">
        <v>2007</v>
      </c>
      <c r="EM3867" t="s">
        <v>708</v>
      </c>
      <c r="EN3867" t="s">
        <v>853</v>
      </c>
      <c r="EO3867">
        <v>4.2160000000000002</v>
      </c>
    </row>
    <row r="3868" spans="142:145" x14ac:dyDescent="0.25">
      <c r="EL3868">
        <v>2007</v>
      </c>
      <c r="EM3868" t="s">
        <v>709</v>
      </c>
      <c r="EN3868" t="s">
        <v>853</v>
      </c>
      <c r="EO3868">
        <v>3.617</v>
      </c>
    </row>
    <row r="3869" spans="142:145" x14ac:dyDescent="0.25">
      <c r="EL3869">
        <v>2007</v>
      </c>
      <c r="EM3869" t="s">
        <v>710</v>
      </c>
      <c r="EN3869" t="s">
        <v>853</v>
      </c>
      <c r="EO3869">
        <v>5.3710000000000004</v>
      </c>
    </row>
    <row r="3870" spans="142:145" x14ac:dyDescent="0.25">
      <c r="EL3870">
        <v>2007</v>
      </c>
      <c r="EM3870" t="s">
        <v>711</v>
      </c>
      <c r="EN3870" t="s">
        <v>853</v>
      </c>
      <c r="EO3870">
        <v>10.6</v>
      </c>
    </row>
    <row r="3871" spans="142:145" x14ac:dyDescent="0.25">
      <c r="EL3871">
        <v>2007</v>
      </c>
      <c r="EM3871" t="s">
        <v>712</v>
      </c>
      <c r="EN3871" t="s">
        <v>853</v>
      </c>
      <c r="EO3871">
        <v>8.7680000000000007</v>
      </c>
    </row>
    <row r="3872" spans="142:145" x14ac:dyDescent="0.25">
      <c r="EL3872">
        <v>2008</v>
      </c>
      <c r="EM3872" t="s">
        <v>719</v>
      </c>
      <c r="EN3872" t="s">
        <v>853</v>
      </c>
      <c r="EO3872">
        <v>7.5949999999999998</v>
      </c>
    </row>
    <row r="3873" spans="142:145" x14ac:dyDescent="0.25">
      <c r="EL3873">
        <v>2008</v>
      </c>
      <c r="EM3873" t="s">
        <v>713</v>
      </c>
      <c r="EN3873" t="s">
        <v>853</v>
      </c>
      <c r="EO3873">
        <v>7.6870000000000003</v>
      </c>
    </row>
    <row r="3874" spans="142:145" x14ac:dyDescent="0.25">
      <c r="EL3874">
        <v>2008</v>
      </c>
      <c r="EM3874" t="s">
        <v>714</v>
      </c>
      <c r="EN3874" t="s">
        <v>853</v>
      </c>
      <c r="EO3874">
        <v>6.7729999999999997</v>
      </c>
    </row>
    <row r="3875" spans="142:145" x14ac:dyDescent="0.25">
      <c r="EL3875">
        <v>2008</v>
      </c>
      <c r="EM3875" t="s">
        <v>705</v>
      </c>
      <c r="EN3875" t="s">
        <v>853</v>
      </c>
      <c r="EO3875">
        <v>7.71</v>
      </c>
    </row>
    <row r="3876" spans="142:145" x14ac:dyDescent="0.25">
      <c r="EL3876">
        <v>2008</v>
      </c>
      <c r="EM3876" t="s">
        <v>715</v>
      </c>
      <c r="EN3876" t="s">
        <v>853</v>
      </c>
      <c r="EO3876">
        <v>16.274999999999999</v>
      </c>
    </row>
    <row r="3877" spans="142:145" x14ac:dyDescent="0.25">
      <c r="EL3877">
        <v>2008</v>
      </c>
      <c r="EM3877" t="s">
        <v>718</v>
      </c>
      <c r="EN3877" t="s">
        <v>853</v>
      </c>
      <c r="EO3877">
        <v>10.721</v>
      </c>
    </row>
    <row r="3878" spans="142:145" x14ac:dyDescent="0.25">
      <c r="EL3878">
        <v>2008</v>
      </c>
      <c r="EM3878" t="s">
        <v>716</v>
      </c>
      <c r="EN3878" t="s">
        <v>853</v>
      </c>
      <c r="EO3878">
        <v>3.22</v>
      </c>
    </row>
    <row r="3879" spans="142:145" x14ac:dyDescent="0.25">
      <c r="EL3879">
        <v>2008</v>
      </c>
      <c r="EM3879" t="s">
        <v>708</v>
      </c>
      <c r="EN3879" t="s">
        <v>853</v>
      </c>
      <c r="EO3879">
        <v>4.0469999999999997</v>
      </c>
    </row>
    <row r="3880" spans="142:145" x14ac:dyDescent="0.25">
      <c r="EL3880">
        <v>2008</v>
      </c>
      <c r="EM3880" t="s">
        <v>709</v>
      </c>
      <c r="EN3880" t="s">
        <v>853</v>
      </c>
      <c r="EO3880">
        <v>4.399</v>
      </c>
    </row>
    <row r="3881" spans="142:145" x14ac:dyDescent="0.25">
      <c r="EL3881">
        <v>2008</v>
      </c>
      <c r="EM3881" t="s">
        <v>710</v>
      </c>
      <c r="EN3881" t="s">
        <v>853</v>
      </c>
      <c r="EO3881">
        <v>4.1749999999999998</v>
      </c>
    </row>
    <row r="3882" spans="142:145" x14ac:dyDescent="0.25">
      <c r="EL3882">
        <v>2008</v>
      </c>
      <c r="EM3882" t="s">
        <v>711</v>
      </c>
      <c r="EN3882" t="s">
        <v>853</v>
      </c>
      <c r="EO3882">
        <v>3.923</v>
      </c>
    </row>
    <row r="3883" spans="142:145" x14ac:dyDescent="0.25">
      <c r="EL3883">
        <v>2008</v>
      </c>
      <c r="EM3883" t="s">
        <v>712</v>
      </c>
      <c r="EN3883" t="s">
        <v>853</v>
      </c>
      <c r="EO3883">
        <v>5.7869999999999999</v>
      </c>
    </row>
    <row r="3884" spans="142:145" x14ac:dyDescent="0.25">
      <c r="EL3884">
        <v>2009</v>
      </c>
      <c r="EM3884" t="s">
        <v>719</v>
      </c>
      <c r="EN3884" t="s">
        <v>853</v>
      </c>
      <c r="EO3884">
        <v>6.5839999999999996</v>
      </c>
    </row>
    <row r="3885" spans="142:145" x14ac:dyDescent="0.25">
      <c r="EL3885">
        <v>2009</v>
      </c>
      <c r="EM3885" t="s">
        <v>713</v>
      </c>
      <c r="EN3885" t="s">
        <v>853</v>
      </c>
      <c r="EO3885">
        <v>4.2699999999999996</v>
      </c>
    </row>
    <row r="3886" spans="142:145" x14ac:dyDescent="0.25">
      <c r="EL3886">
        <v>2009</v>
      </c>
      <c r="EM3886" t="s">
        <v>714</v>
      </c>
      <c r="EN3886" t="s">
        <v>853</v>
      </c>
      <c r="EO3886">
        <v>5.1870000000000003</v>
      </c>
    </row>
    <row r="3887" spans="142:145" x14ac:dyDescent="0.25">
      <c r="EL3887">
        <v>2009</v>
      </c>
      <c r="EM3887" t="s">
        <v>705</v>
      </c>
      <c r="EN3887" t="s">
        <v>853</v>
      </c>
      <c r="EO3887">
        <v>5.7450000000000001</v>
      </c>
    </row>
    <row r="3888" spans="142:145" x14ac:dyDescent="0.25">
      <c r="EL3888">
        <v>2009</v>
      </c>
      <c r="EM3888" t="s">
        <v>715</v>
      </c>
      <c r="EN3888" t="s">
        <v>853</v>
      </c>
      <c r="EO3888">
        <v>7.2850000000000001</v>
      </c>
    </row>
    <row r="3889" spans="142:145" x14ac:dyDescent="0.25">
      <c r="EL3889">
        <v>2009</v>
      </c>
      <c r="EM3889" t="s">
        <v>718</v>
      </c>
      <c r="EN3889" t="s">
        <v>853</v>
      </c>
      <c r="EO3889">
        <v>7.9160000000000004</v>
      </c>
    </row>
    <row r="3890" spans="142:145" x14ac:dyDescent="0.25">
      <c r="EL3890">
        <v>2009</v>
      </c>
      <c r="EM3890" t="s">
        <v>716</v>
      </c>
      <c r="EN3890" t="s">
        <v>853</v>
      </c>
      <c r="EO3890">
        <v>5.1920000000000002</v>
      </c>
    </row>
    <row r="3891" spans="142:145" x14ac:dyDescent="0.25">
      <c r="EL3891">
        <v>2009</v>
      </c>
      <c r="EM3891" t="s">
        <v>708</v>
      </c>
      <c r="EN3891" t="s">
        <v>853</v>
      </c>
      <c r="EO3891">
        <v>4.4480000000000004</v>
      </c>
    </row>
    <row r="3892" spans="142:145" x14ac:dyDescent="0.25">
      <c r="EL3892">
        <v>2009</v>
      </c>
      <c r="EM3892" t="s">
        <v>709</v>
      </c>
      <c r="EN3892" t="s">
        <v>853</v>
      </c>
      <c r="EO3892">
        <v>4.3659999999999997</v>
      </c>
    </row>
    <row r="3893" spans="142:145" x14ac:dyDescent="0.25">
      <c r="EL3893">
        <v>2009</v>
      </c>
      <c r="EM3893" t="s">
        <v>710</v>
      </c>
      <c r="EN3893" t="s">
        <v>853</v>
      </c>
      <c r="EO3893">
        <v>6.8360000000000003</v>
      </c>
    </row>
    <row r="3894" spans="142:145" x14ac:dyDescent="0.25">
      <c r="EL3894">
        <v>2009</v>
      </c>
      <c r="EM3894" t="s">
        <v>711</v>
      </c>
      <c r="EN3894" t="s">
        <v>853</v>
      </c>
      <c r="EO3894">
        <v>8.141</v>
      </c>
    </row>
    <row r="3895" spans="142:145" x14ac:dyDescent="0.25">
      <c r="EL3895">
        <v>2009</v>
      </c>
      <c r="EM3895" t="s">
        <v>712</v>
      </c>
      <c r="EN3895" t="s">
        <v>853</v>
      </c>
      <c r="EO3895">
        <v>11.872</v>
      </c>
    </row>
    <row r="3896" spans="142:145" x14ac:dyDescent="0.25">
      <c r="EL3896">
        <v>2010</v>
      </c>
      <c r="EM3896" t="s">
        <v>719</v>
      </c>
      <c r="EN3896" t="s">
        <v>853</v>
      </c>
      <c r="EO3896">
        <v>6.8150000000000004</v>
      </c>
    </row>
    <row r="3897" spans="142:145" x14ac:dyDescent="0.25">
      <c r="EL3897">
        <v>2010</v>
      </c>
      <c r="EM3897" t="s">
        <v>713</v>
      </c>
      <c r="EN3897" t="s">
        <v>853</v>
      </c>
      <c r="EO3897">
        <v>9.5690000000000008</v>
      </c>
    </row>
    <row r="3898" spans="142:145" x14ac:dyDescent="0.25">
      <c r="EL3898">
        <v>2010</v>
      </c>
      <c r="EM3898" t="s">
        <v>714</v>
      </c>
      <c r="EN3898" t="s">
        <v>853</v>
      </c>
      <c r="EO3898">
        <v>8.4190000000000005</v>
      </c>
    </row>
    <row r="3899" spans="142:145" x14ac:dyDescent="0.25">
      <c r="EL3899">
        <v>2010</v>
      </c>
      <c r="EM3899" t="s">
        <v>705</v>
      </c>
      <c r="EN3899" t="s">
        <v>853</v>
      </c>
      <c r="EO3899">
        <v>5.3650000000000002</v>
      </c>
    </row>
    <row r="3900" spans="142:145" x14ac:dyDescent="0.25">
      <c r="EL3900">
        <v>2010</v>
      </c>
      <c r="EM3900" t="s">
        <v>715</v>
      </c>
      <c r="EN3900" t="s">
        <v>853</v>
      </c>
      <c r="EO3900">
        <v>5.4409999999999998</v>
      </c>
    </row>
    <row r="3901" spans="142:145" x14ac:dyDescent="0.25">
      <c r="EL3901">
        <v>2010</v>
      </c>
      <c r="EM3901" t="s">
        <v>718</v>
      </c>
      <c r="EN3901" t="s">
        <v>853</v>
      </c>
      <c r="EO3901">
        <v>4.7249999999999996</v>
      </c>
    </row>
    <row r="3902" spans="142:145" x14ac:dyDescent="0.25">
      <c r="EL3902">
        <v>2010</v>
      </c>
      <c r="EM3902" t="s">
        <v>716</v>
      </c>
      <c r="EN3902" t="s">
        <v>853</v>
      </c>
      <c r="EO3902">
        <v>5.1749999999999998</v>
      </c>
    </row>
    <row r="3903" spans="142:145" x14ac:dyDescent="0.25">
      <c r="EL3903">
        <v>2010</v>
      </c>
      <c r="EM3903" t="s">
        <v>708</v>
      </c>
      <c r="EN3903" t="s">
        <v>853</v>
      </c>
      <c r="EO3903">
        <v>5.0119999999999996</v>
      </c>
    </row>
    <row r="3904" spans="142:145" x14ac:dyDescent="0.25">
      <c r="EL3904">
        <v>2010</v>
      </c>
      <c r="EM3904" t="s">
        <v>709</v>
      </c>
      <c r="EN3904" t="s">
        <v>853</v>
      </c>
      <c r="EO3904">
        <v>5.6719999999999997</v>
      </c>
    </row>
    <row r="3905" spans="142:145" x14ac:dyDescent="0.25">
      <c r="EL3905">
        <v>2010</v>
      </c>
      <c r="EM3905" t="s">
        <v>710</v>
      </c>
      <c r="EN3905" t="s">
        <v>853</v>
      </c>
      <c r="EO3905">
        <v>6.3869999999999996</v>
      </c>
    </row>
    <row r="3906" spans="142:145" x14ac:dyDescent="0.25">
      <c r="EL3906">
        <v>2010</v>
      </c>
      <c r="EM3906" t="s">
        <v>711</v>
      </c>
      <c r="EN3906" t="s">
        <v>853</v>
      </c>
      <c r="EO3906">
        <v>5.4710000000000001</v>
      </c>
    </row>
    <row r="3907" spans="142:145" x14ac:dyDescent="0.25">
      <c r="EL3907">
        <v>2010</v>
      </c>
      <c r="EM3907" t="s">
        <v>712</v>
      </c>
      <c r="EN3907" t="s">
        <v>853</v>
      </c>
      <c r="EO3907">
        <v>7.4349999999999996</v>
      </c>
    </row>
    <row r="3908" spans="142:145" x14ac:dyDescent="0.25">
      <c r="EL3908">
        <v>2011</v>
      </c>
      <c r="EM3908" t="s">
        <v>719</v>
      </c>
      <c r="EN3908" t="s">
        <v>853</v>
      </c>
      <c r="EO3908">
        <v>5.4960000000000004</v>
      </c>
    </row>
    <row r="3909" spans="142:145" x14ac:dyDescent="0.25">
      <c r="EL3909">
        <v>2011</v>
      </c>
      <c r="EM3909" t="s">
        <v>713</v>
      </c>
      <c r="EN3909" t="s">
        <v>853</v>
      </c>
      <c r="EO3909">
        <v>6.3730000000000002</v>
      </c>
    </row>
    <row r="3910" spans="142:145" x14ac:dyDescent="0.25">
      <c r="EL3910">
        <v>2011</v>
      </c>
      <c r="EM3910" t="s">
        <v>714</v>
      </c>
      <c r="EN3910" t="s">
        <v>853</v>
      </c>
      <c r="EO3910">
        <v>8.2240000000000002</v>
      </c>
    </row>
    <row r="3911" spans="142:145" x14ac:dyDescent="0.25">
      <c r="EL3911">
        <v>2011</v>
      </c>
      <c r="EM3911" t="s">
        <v>705</v>
      </c>
      <c r="EN3911" t="s">
        <v>853</v>
      </c>
      <c r="EO3911">
        <v>6.391</v>
      </c>
    </row>
    <row r="3912" spans="142:145" x14ac:dyDescent="0.25">
      <c r="EL3912">
        <v>2011</v>
      </c>
      <c r="EM3912" t="s">
        <v>715</v>
      </c>
      <c r="EN3912" t="s">
        <v>853</v>
      </c>
      <c r="EO3912">
        <v>4.7850000000000001</v>
      </c>
    </row>
    <row r="3913" spans="142:145" x14ac:dyDescent="0.25">
      <c r="EL3913">
        <v>2011</v>
      </c>
      <c r="EM3913" t="s">
        <v>718</v>
      </c>
      <c r="EN3913" t="s">
        <v>853</v>
      </c>
      <c r="EO3913">
        <v>4.5019999999999998</v>
      </c>
    </row>
    <row r="3914" spans="142:145" x14ac:dyDescent="0.25">
      <c r="EL3914">
        <v>2011</v>
      </c>
      <c r="EM3914" t="s">
        <v>716</v>
      </c>
      <c r="EN3914" t="s">
        <v>853</v>
      </c>
      <c r="EO3914">
        <v>4.43</v>
      </c>
    </row>
    <row r="3915" spans="142:145" x14ac:dyDescent="0.25">
      <c r="EL3915">
        <v>2011</v>
      </c>
      <c r="EM3915" t="s">
        <v>708</v>
      </c>
      <c r="EN3915" t="s">
        <v>853</v>
      </c>
      <c r="EO3915">
        <v>4.0309999999999997</v>
      </c>
    </row>
    <row r="3916" spans="142:145" x14ac:dyDescent="0.25">
      <c r="EL3916">
        <v>2011</v>
      </c>
      <c r="EM3916" t="s">
        <v>709</v>
      </c>
      <c r="EN3916" t="s">
        <v>853</v>
      </c>
      <c r="EO3916">
        <v>6.383</v>
      </c>
    </row>
    <row r="3917" spans="142:145" x14ac:dyDescent="0.25">
      <c r="EL3917">
        <v>2011</v>
      </c>
      <c r="EM3917" t="s">
        <v>710</v>
      </c>
      <c r="EN3917" t="s">
        <v>853</v>
      </c>
      <c r="EO3917">
        <v>6.0750000000000002</v>
      </c>
    </row>
    <row r="3918" spans="142:145" x14ac:dyDescent="0.25">
      <c r="EL3918">
        <v>2011</v>
      </c>
      <c r="EM3918" t="s">
        <v>711</v>
      </c>
      <c r="EN3918" t="s">
        <v>853</v>
      </c>
      <c r="EO3918">
        <v>5.1550000000000002</v>
      </c>
    </row>
    <row r="3919" spans="142:145" x14ac:dyDescent="0.25">
      <c r="EL3919">
        <v>2011</v>
      </c>
      <c r="EM3919" t="s">
        <v>712</v>
      </c>
      <c r="EN3919" t="s">
        <v>853</v>
      </c>
      <c r="EO3919">
        <v>9.3819999999999997</v>
      </c>
    </row>
    <row r="3920" spans="142:145" x14ac:dyDescent="0.25">
      <c r="EL3920">
        <v>2012</v>
      </c>
      <c r="EM3920" t="s">
        <v>719</v>
      </c>
      <c r="EN3920" t="s">
        <v>853</v>
      </c>
      <c r="EO3920">
        <v>5.1349999999999998</v>
      </c>
    </row>
    <row r="3921" spans="142:145" x14ac:dyDescent="0.25">
      <c r="EL3921">
        <v>2012</v>
      </c>
      <c r="EM3921" t="s">
        <v>713</v>
      </c>
      <c r="EN3921" t="s">
        <v>853</v>
      </c>
      <c r="EO3921">
        <v>3.3290000000000002</v>
      </c>
    </row>
    <row r="3922" spans="142:145" x14ac:dyDescent="0.25">
      <c r="EL3922">
        <v>2012</v>
      </c>
      <c r="EM3922" t="s">
        <v>714</v>
      </c>
      <c r="EN3922" t="s">
        <v>853</v>
      </c>
      <c r="EO3922">
        <v>3.4340000000000002</v>
      </c>
    </row>
    <row r="3923" spans="142:145" x14ac:dyDescent="0.25">
      <c r="EL3923">
        <v>2012</v>
      </c>
      <c r="EM3923" t="s">
        <v>705</v>
      </c>
      <c r="EN3923" t="s">
        <v>853</v>
      </c>
      <c r="EO3923">
        <v>3.8809999999999998</v>
      </c>
    </row>
    <row r="3924" spans="142:145" x14ac:dyDescent="0.25">
      <c r="EL3924">
        <v>2012</v>
      </c>
      <c r="EM3924" t="s">
        <v>715</v>
      </c>
      <c r="EN3924" t="s">
        <v>853</v>
      </c>
      <c r="EO3924">
        <v>5.5490000000000004</v>
      </c>
    </row>
    <row r="3925" spans="142:145" x14ac:dyDescent="0.25">
      <c r="EL3925">
        <v>2012</v>
      </c>
      <c r="EM3925" t="s">
        <v>718</v>
      </c>
      <c r="EN3925" t="s">
        <v>853</v>
      </c>
      <c r="EO3925">
        <v>4.26</v>
      </c>
    </row>
    <row r="3926" spans="142:145" x14ac:dyDescent="0.25">
      <c r="EL3926">
        <v>2012</v>
      </c>
      <c r="EM3926" t="s">
        <v>716</v>
      </c>
      <c r="EN3926" t="s">
        <v>853</v>
      </c>
      <c r="EO3926">
        <v>5.1829999999999998</v>
      </c>
    </row>
    <row r="3927" spans="142:145" x14ac:dyDescent="0.25">
      <c r="EL3927">
        <v>2012</v>
      </c>
      <c r="EM3927" t="s">
        <v>708</v>
      </c>
      <c r="EN3927" t="s">
        <v>853</v>
      </c>
      <c r="EO3927">
        <v>4.7320000000000002</v>
      </c>
    </row>
    <row r="3928" spans="142:145" x14ac:dyDescent="0.25">
      <c r="EL3928">
        <v>2012</v>
      </c>
      <c r="EM3928" t="s">
        <v>709</v>
      </c>
      <c r="EN3928" t="s">
        <v>853</v>
      </c>
      <c r="EO3928">
        <v>5.0999999999999996</v>
      </c>
    </row>
    <row r="3929" spans="142:145" x14ac:dyDescent="0.25">
      <c r="EL3929">
        <v>2012</v>
      </c>
      <c r="EM3929" t="s">
        <v>710</v>
      </c>
      <c r="EN3929" t="s">
        <v>853</v>
      </c>
      <c r="EO3929">
        <v>6.2309999999999999</v>
      </c>
    </row>
    <row r="3930" spans="142:145" x14ac:dyDescent="0.25">
      <c r="EL3930">
        <v>2012</v>
      </c>
      <c r="EM3930" t="s">
        <v>711</v>
      </c>
      <c r="EN3930" t="s">
        <v>853</v>
      </c>
      <c r="EO3930">
        <v>4.8099999999999996</v>
      </c>
    </row>
    <row r="3931" spans="142:145" x14ac:dyDescent="0.25">
      <c r="EL3931">
        <v>2012</v>
      </c>
      <c r="EM3931" t="s">
        <v>712</v>
      </c>
      <c r="EN3931" t="s">
        <v>853</v>
      </c>
      <c r="EO3931">
        <v>4.8109999999999999</v>
      </c>
    </row>
    <row r="3932" spans="142:145" x14ac:dyDescent="0.25">
      <c r="EL3932">
        <v>2013</v>
      </c>
      <c r="EM3932" t="s">
        <v>719</v>
      </c>
      <c r="EN3932" t="s">
        <v>853</v>
      </c>
      <c r="EO3932">
        <v>6.35</v>
      </c>
    </row>
    <row r="3933" spans="142:145" x14ac:dyDescent="0.25">
      <c r="EL3933">
        <v>2013</v>
      </c>
      <c r="EM3933" t="s">
        <v>713</v>
      </c>
      <c r="EN3933" t="s">
        <v>853</v>
      </c>
      <c r="EO3933">
        <v>5.4859999999999998</v>
      </c>
    </row>
    <row r="3934" spans="142:145" x14ac:dyDescent="0.25">
      <c r="EL3934">
        <v>2013</v>
      </c>
      <c r="EM3934" t="s">
        <v>714</v>
      </c>
      <c r="EN3934" t="s">
        <v>853</v>
      </c>
      <c r="EO3934">
        <v>5.7350000000000003</v>
      </c>
    </row>
    <row r="3935" spans="142:145" x14ac:dyDescent="0.25">
      <c r="EL3935">
        <v>2013</v>
      </c>
      <c r="EM3935" t="s">
        <v>705</v>
      </c>
      <c r="EN3935" t="s">
        <v>853</v>
      </c>
      <c r="EO3935">
        <v>6.1360000000000001</v>
      </c>
    </row>
    <row r="3936" spans="142:145" x14ac:dyDescent="0.25">
      <c r="EL3936">
        <v>2013</v>
      </c>
      <c r="EM3936" t="s">
        <v>715</v>
      </c>
      <c r="EN3936" t="s">
        <v>853</v>
      </c>
      <c r="EO3936">
        <v>5.774</v>
      </c>
    </row>
    <row r="3937" spans="142:145" x14ac:dyDescent="0.25">
      <c r="EL3937">
        <v>2013</v>
      </c>
      <c r="EM3937" t="s">
        <v>718</v>
      </c>
      <c r="EN3937" t="s">
        <v>853</v>
      </c>
      <c r="EO3937">
        <v>7.4880000000000004</v>
      </c>
    </row>
    <row r="3938" spans="142:145" x14ac:dyDescent="0.25">
      <c r="EL3938">
        <v>2013</v>
      </c>
      <c r="EM3938" t="s">
        <v>716</v>
      </c>
      <c r="EN3938" t="s">
        <v>853</v>
      </c>
      <c r="EO3938">
        <v>5.5490000000000004</v>
      </c>
    </row>
    <row r="3939" spans="142:145" x14ac:dyDescent="0.25">
      <c r="EL3939">
        <v>2013</v>
      </c>
      <c r="EM3939" t="s">
        <v>708</v>
      </c>
      <c r="EN3939" t="s">
        <v>853</v>
      </c>
      <c r="EO3939">
        <v>4.6550000000000002</v>
      </c>
    </row>
    <row r="3940" spans="142:145" x14ac:dyDescent="0.25">
      <c r="EL3940">
        <v>2013</v>
      </c>
      <c r="EM3940" t="s">
        <v>709</v>
      </c>
      <c r="EN3940" t="s">
        <v>853</v>
      </c>
      <c r="EO3940">
        <v>3.66</v>
      </c>
    </row>
    <row r="3941" spans="142:145" x14ac:dyDescent="0.25">
      <c r="EL3941">
        <v>2013</v>
      </c>
      <c r="EM3941" t="s">
        <v>710</v>
      </c>
      <c r="EN3941" t="s">
        <v>853</v>
      </c>
      <c r="EO3941">
        <v>6.0449999999999999</v>
      </c>
    </row>
    <row r="3942" spans="142:145" x14ac:dyDescent="0.25">
      <c r="EL3942">
        <v>2013</v>
      </c>
      <c r="EM3942" t="s">
        <v>711</v>
      </c>
      <c r="EN3942" t="s">
        <v>853</v>
      </c>
      <c r="EO3942">
        <v>5.0999999999999996</v>
      </c>
    </row>
    <row r="3943" spans="142:145" x14ac:dyDescent="0.25">
      <c r="EL3943">
        <v>2013</v>
      </c>
      <c r="EM3943" t="s">
        <v>712</v>
      </c>
      <c r="EN3943" t="s">
        <v>853</v>
      </c>
      <c r="EO3943">
        <v>8.4629999999999992</v>
      </c>
    </row>
    <row r="3944" spans="142:145" x14ac:dyDescent="0.25">
      <c r="EL3944">
        <v>2014</v>
      </c>
      <c r="EM3944" t="s">
        <v>719</v>
      </c>
      <c r="EN3944" t="s">
        <v>853</v>
      </c>
      <c r="EO3944">
        <v>8.6489999999999991</v>
      </c>
    </row>
    <row r="3945" spans="142:145" x14ac:dyDescent="0.25">
      <c r="EL3945">
        <v>2014</v>
      </c>
      <c r="EM3945" t="s">
        <v>713</v>
      </c>
      <c r="EN3945" t="s">
        <v>853</v>
      </c>
      <c r="EO3945">
        <v>8.26</v>
      </c>
    </row>
    <row r="3946" spans="142:145" x14ac:dyDescent="0.25">
      <c r="EL3946">
        <v>2014</v>
      </c>
      <c r="EM3946" t="s">
        <v>714</v>
      </c>
      <c r="EN3946" t="s">
        <v>853</v>
      </c>
      <c r="EO3946">
        <v>7.9980000000000002</v>
      </c>
    </row>
    <row r="3947" spans="142:145" x14ac:dyDescent="0.25">
      <c r="EL3947">
        <v>2014</v>
      </c>
      <c r="EM3947" t="s">
        <v>705</v>
      </c>
      <c r="EN3947" t="s">
        <v>853</v>
      </c>
      <c r="EO3947">
        <v>9.18</v>
      </c>
    </row>
    <row r="3948" spans="142:145" x14ac:dyDescent="0.25">
      <c r="EL3948">
        <v>2014</v>
      </c>
      <c r="EM3948" t="s">
        <v>715</v>
      </c>
      <c r="EN3948" t="s">
        <v>853</v>
      </c>
      <c r="EO3948">
        <v>8.2769999999999992</v>
      </c>
    </row>
    <row r="3949" spans="142:145" x14ac:dyDescent="0.25">
      <c r="EL3949">
        <v>2014</v>
      </c>
      <c r="EM3949" t="s">
        <v>718</v>
      </c>
      <c r="EN3949" t="s">
        <v>853</v>
      </c>
      <c r="EO3949">
        <v>5.25</v>
      </c>
    </row>
    <row r="3950" spans="142:145" x14ac:dyDescent="0.25">
      <c r="EL3950">
        <v>2014</v>
      </c>
      <c r="EM3950" t="s">
        <v>716</v>
      </c>
      <c r="EN3950" t="s">
        <v>853</v>
      </c>
      <c r="EO3950">
        <v>4.2469999999999999</v>
      </c>
    </row>
    <row r="3951" spans="142:145" x14ac:dyDescent="0.25">
      <c r="EL3951">
        <v>2014</v>
      </c>
      <c r="EM3951" t="s">
        <v>708</v>
      </c>
      <c r="EN3951" t="s">
        <v>853</v>
      </c>
      <c r="EO3951">
        <v>4.6189999999999998</v>
      </c>
    </row>
    <row r="3952" spans="142:145" x14ac:dyDescent="0.25">
      <c r="EL3952">
        <v>2014</v>
      </c>
      <c r="EM3952" t="s">
        <v>709</v>
      </c>
      <c r="EN3952" t="s">
        <v>853</v>
      </c>
      <c r="EO3952">
        <v>4.29</v>
      </c>
    </row>
    <row r="3953" spans="142:145" x14ac:dyDescent="0.25">
      <c r="EL3953">
        <v>2014</v>
      </c>
      <c r="EM3953" t="s">
        <v>710</v>
      </c>
      <c r="EN3953" t="s">
        <v>853</v>
      </c>
      <c r="EO3953">
        <v>4.96</v>
      </c>
    </row>
    <row r="3954" spans="142:145" x14ac:dyDescent="0.25">
      <c r="EL3954">
        <v>2014</v>
      </c>
      <c r="EM3954" t="s">
        <v>711</v>
      </c>
      <c r="EN3954" t="s">
        <v>853</v>
      </c>
      <c r="EO3954">
        <v>5.0999999999999996</v>
      </c>
    </row>
    <row r="3955" spans="142:145" x14ac:dyDescent="0.25">
      <c r="EL3955">
        <v>2014</v>
      </c>
      <c r="EM3955" t="s">
        <v>712</v>
      </c>
      <c r="EN3955" t="s">
        <v>853</v>
      </c>
      <c r="EO3955">
        <v>6.82</v>
      </c>
    </row>
    <row r="3956" spans="142:145" x14ac:dyDescent="0.25">
      <c r="EL3956">
        <v>2015</v>
      </c>
      <c r="EM3956" t="s">
        <v>719</v>
      </c>
      <c r="EN3956" t="s">
        <v>853</v>
      </c>
      <c r="EO3956">
        <v>7.75</v>
      </c>
    </row>
    <row r="3957" spans="142:145" x14ac:dyDescent="0.25">
      <c r="EL3957">
        <v>2015</v>
      </c>
      <c r="EM3957" t="s">
        <v>713</v>
      </c>
      <c r="EN3957" t="s">
        <v>853</v>
      </c>
      <c r="EO3957">
        <v>6.44</v>
      </c>
    </row>
    <row r="3958" spans="142:145" x14ac:dyDescent="0.25">
      <c r="EL3958">
        <v>2015</v>
      </c>
      <c r="EM3958" t="s">
        <v>714</v>
      </c>
      <c r="EN3958" t="s">
        <v>853</v>
      </c>
      <c r="EO3958">
        <v>10.85</v>
      </c>
    </row>
    <row r="3959" spans="142:145" x14ac:dyDescent="0.25">
      <c r="EL3959">
        <v>2015</v>
      </c>
      <c r="EM3959" t="s">
        <v>705</v>
      </c>
      <c r="EN3959" t="s">
        <v>853</v>
      </c>
      <c r="EO3959">
        <v>7.2</v>
      </c>
    </row>
    <row r="3960" spans="142:145" x14ac:dyDescent="0.25">
      <c r="EL3960">
        <v>2015</v>
      </c>
      <c r="EM3960" t="s">
        <v>715</v>
      </c>
      <c r="EN3960" t="s">
        <v>853</v>
      </c>
      <c r="EO3960">
        <v>4.6500000000000004</v>
      </c>
    </row>
    <row r="3961" spans="142:145" x14ac:dyDescent="0.25">
      <c r="EL3961">
        <v>2015</v>
      </c>
      <c r="EM3961" t="s">
        <v>718</v>
      </c>
      <c r="EN3961" t="s">
        <v>853</v>
      </c>
      <c r="EO3961">
        <v>7.2</v>
      </c>
    </row>
    <row r="3962" spans="142:145" x14ac:dyDescent="0.25">
      <c r="EL3962">
        <v>2015</v>
      </c>
      <c r="EM3962" t="s">
        <v>716</v>
      </c>
      <c r="EN3962" t="s">
        <v>853</v>
      </c>
      <c r="EO3962">
        <v>5.89</v>
      </c>
    </row>
    <row r="3963" spans="142:145" x14ac:dyDescent="0.25">
      <c r="EL3963">
        <v>2015</v>
      </c>
      <c r="EM3963" t="s">
        <v>708</v>
      </c>
      <c r="EN3963" t="s">
        <v>853</v>
      </c>
      <c r="EO3963">
        <v>4.03</v>
      </c>
    </row>
    <row r="3964" spans="142:145" x14ac:dyDescent="0.25">
      <c r="EL3964">
        <v>2015</v>
      </c>
      <c r="EM3964" t="s">
        <v>709</v>
      </c>
      <c r="EN3964" t="s">
        <v>853</v>
      </c>
      <c r="EO3964">
        <v>4.2</v>
      </c>
    </row>
    <row r="3965" spans="142:145" x14ac:dyDescent="0.25">
      <c r="EL3965">
        <v>2015</v>
      </c>
      <c r="EM3965" t="s">
        <v>710</v>
      </c>
      <c r="EN3965" t="s">
        <v>853</v>
      </c>
      <c r="EO3965">
        <v>4.96</v>
      </c>
    </row>
    <row r="3966" spans="142:145" x14ac:dyDescent="0.25">
      <c r="EL3966">
        <v>2015</v>
      </c>
      <c r="EM3966" t="s">
        <v>711</v>
      </c>
      <c r="EN3966" t="s">
        <v>853</v>
      </c>
      <c r="EO3966">
        <v>5.0999999999999996</v>
      </c>
    </row>
    <row r="3967" spans="142:145" x14ac:dyDescent="0.25">
      <c r="EL3967">
        <v>2015</v>
      </c>
      <c r="EM3967" t="s">
        <v>712</v>
      </c>
      <c r="EN3967" t="s">
        <v>853</v>
      </c>
      <c r="EO3967">
        <v>6.2</v>
      </c>
    </row>
    <row r="3968" spans="142:145" x14ac:dyDescent="0.25">
      <c r="EL3968">
        <v>2016</v>
      </c>
      <c r="EM3968" t="s">
        <v>719</v>
      </c>
      <c r="EN3968" t="s">
        <v>853</v>
      </c>
      <c r="EO3968">
        <v>7.13</v>
      </c>
    </row>
    <row r="3969" spans="142:145" x14ac:dyDescent="0.25">
      <c r="EL3969">
        <v>2016</v>
      </c>
      <c r="EM3969" t="s">
        <v>713</v>
      </c>
      <c r="EN3969" t="s">
        <v>853</v>
      </c>
      <c r="EO3969">
        <v>10.44</v>
      </c>
    </row>
    <row r="3970" spans="142:145" x14ac:dyDescent="0.25">
      <c r="EL3970">
        <v>2016</v>
      </c>
      <c r="EM3970" t="s">
        <v>714</v>
      </c>
      <c r="EN3970" t="s">
        <v>853</v>
      </c>
      <c r="EO3970">
        <v>4.96</v>
      </c>
    </row>
    <row r="3971" spans="142:145" x14ac:dyDescent="0.25">
      <c r="EL3971">
        <v>2016</v>
      </c>
      <c r="EM3971" t="s">
        <v>705</v>
      </c>
      <c r="EN3971" t="s">
        <v>853</v>
      </c>
      <c r="EO3971">
        <v>3.9</v>
      </c>
    </row>
    <row r="3972" spans="142:145" x14ac:dyDescent="0.25">
      <c r="EL3972">
        <v>2016</v>
      </c>
      <c r="EM3972" t="s">
        <v>715</v>
      </c>
      <c r="EN3972" t="s">
        <v>853</v>
      </c>
      <c r="EO3972">
        <v>7.44</v>
      </c>
    </row>
    <row r="3973" spans="142:145" x14ac:dyDescent="0.25">
      <c r="EL3973">
        <v>2016</v>
      </c>
      <c r="EM3973" t="s">
        <v>718</v>
      </c>
      <c r="EN3973" t="s">
        <v>853</v>
      </c>
      <c r="EO3973">
        <v>4.8</v>
      </c>
    </row>
    <row r="3974" spans="142:145" x14ac:dyDescent="0.25">
      <c r="EL3974">
        <v>2016</v>
      </c>
      <c r="EM3974" t="s">
        <v>716</v>
      </c>
      <c r="EN3974" t="s">
        <v>853</v>
      </c>
      <c r="EO3974">
        <v>6.51</v>
      </c>
    </row>
    <row r="3975" spans="142:145" x14ac:dyDescent="0.25">
      <c r="EL3975">
        <v>2016</v>
      </c>
      <c r="EM3975" t="s">
        <v>708</v>
      </c>
      <c r="EN3975" t="s">
        <v>853</v>
      </c>
      <c r="EO3975">
        <v>3.41</v>
      </c>
    </row>
    <row r="3976" spans="142:145" x14ac:dyDescent="0.25">
      <c r="EL3976">
        <v>2016</v>
      </c>
      <c r="EM3976" t="s">
        <v>709</v>
      </c>
      <c r="EN3976" t="s">
        <v>853</v>
      </c>
      <c r="EO3976">
        <v>7.5</v>
      </c>
    </row>
    <row r="3977" spans="142:145" x14ac:dyDescent="0.25">
      <c r="EL3977">
        <v>2016</v>
      </c>
      <c r="EM3977" t="s">
        <v>710</v>
      </c>
      <c r="EN3977" t="s">
        <v>853</v>
      </c>
      <c r="EO3977">
        <v>8.99</v>
      </c>
    </row>
    <row r="3978" spans="142:145" x14ac:dyDescent="0.25">
      <c r="EL3978">
        <v>2016</v>
      </c>
      <c r="EM3978" t="s">
        <v>711</v>
      </c>
      <c r="EN3978" t="s">
        <v>853</v>
      </c>
      <c r="EO3978">
        <v>9.9</v>
      </c>
    </row>
    <row r="3979" spans="142:145" x14ac:dyDescent="0.25">
      <c r="EL3979">
        <v>2016</v>
      </c>
      <c r="EM3979" t="s">
        <v>712</v>
      </c>
      <c r="EN3979" t="s">
        <v>853</v>
      </c>
      <c r="EO3979">
        <v>17.05</v>
      </c>
    </row>
    <row r="3980" spans="142:145" x14ac:dyDescent="0.25">
      <c r="EL3980">
        <v>2017</v>
      </c>
      <c r="EM3980" t="s">
        <v>719</v>
      </c>
      <c r="EN3980" t="s">
        <v>853</v>
      </c>
      <c r="EO3980">
        <v>16.739999999999998</v>
      </c>
    </row>
    <row r="3981" spans="142:145" x14ac:dyDescent="0.25">
      <c r="EL3981">
        <v>2017</v>
      </c>
      <c r="EM3981" t="s">
        <v>713</v>
      </c>
      <c r="EN3981" t="s">
        <v>853</v>
      </c>
      <c r="EO3981">
        <v>12.04</v>
      </c>
    </row>
    <row r="3982" spans="142:145" x14ac:dyDescent="0.25">
      <c r="EL3982">
        <v>2017</v>
      </c>
      <c r="EM3982" t="s">
        <v>714</v>
      </c>
      <c r="EN3982" t="s">
        <v>853</v>
      </c>
      <c r="EO3982">
        <v>16.12</v>
      </c>
    </row>
    <row r="3983" spans="142:145" x14ac:dyDescent="0.25">
      <c r="EL3983">
        <v>2017</v>
      </c>
      <c r="EM3983" t="s">
        <v>705</v>
      </c>
      <c r="EN3983" t="s">
        <v>853</v>
      </c>
      <c r="EO3983">
        <v>11.4</v>
      </c>
    </row>
    <row r="3984" spans="142:145" x14ac:dyDescent="0.25">
      <c r="EL3984">
        <v>2017</v>
      </c>
      <c r="EM3984" t="s">
        <v>715</v>
      </c>
      <c r="EN3984" t="s">
        <v>853</v>
      </c>
      <c r="EO3984">
        <v>13.02</v>
      </c>
    </row>
    <row r="3985" spans="142:145" x14ac:dyDescent="0.25">
      <c r="EL3985">
        <v>2017</v>
      </c>
      <c r="EM3985" t="s">
        <v>718</v>
      </c>
      <c r="EN3985" t="s">
        <v>853</v>
      </c>
      <c r="EO3985">
        <v>6.9</v>
      </c>
    </row>
    <row r="3986" spans="142:145" x14ac:dyDescent="0.25">
      <c r="EL3986">
        <v>2017</v>
      </c>
      <c r="EM3986" t="s">
        <v>716</v>
      </c>
      <c r="EN3986" t="s">
        <v>853</v>
      </c>
      <c r="EO3986">
        <v>8.06</v>
      </c>
    </row>
    <row r="3987" spans="142:145" x14ac:dyDescent="0.25">
      <c r="EL3987">
        <v>2017</v>
      </c>
      <c r="EM3987" t="s">
        <v>708</v>
      </c>
      <c r="EN3987" t="s">
        <v>853</v>
      </c>
      <c r="EO3987">
        <v>7.13</v>
      </c>
    </row>
    <row r="3988" spans="142:145" x14ac:dyDescent="0.25">
      <c r="EL3988">
        <v>2017</v>
      </c>
      <c r="EM3988" t="s">
        <v>709</v>
      </c>
      <c r="EN3988" t="s">
        <v>853</v>
      </c>
      <c r="EO3988">
        <v>3.9</v>
      </c>
    </row>
    <row r="3989" spans="142:145" x14ac:dyDescent="0.25">
      <c r="EL3989">
        <v>2017</v>
      </c>
      <c r="EM3989" t="s">
        <v>710</v>
      </c>
      <c r="EN3989" t="s">
        <v>853</v>
      </c>
      <c r="EO3989">
        <v>4.03</v>
      </c>
    </row>
    <row r="3990" spans="142:145" x14ac:dyDescent="0.25">
      <c r="EL3990">
        <v>2017</v>
      </c>
      <c r="EM3990" t="s">
        <v>711</v>
      </c>
      <c r="EN3990" t="s">
        <v>853</v>
      </c>
      <c r="EO3990">
        <v>7.5</v>
      </c>
    </row>
    <row r="3991" spans="142:145" x14ac:dyDescent="0.25">
      <c r="EL3991">
        <v>2017</v>
      </c>
      <c r="EM3991" t="s">
        <v>712</v>
      </c>
      <c r="EN3991" t="s">
        <v>853</v>
      </c>
      <c r="EO3991">
        <v>8.99</v>
      </c>
    </row>
    <row r="3992" spans="142:145" x14ac:dyDescent="0.25">
      <c r="EL3992">
        <v>2018</v>
      </c>
      <c r="EM3992" t="s">
        <v>719</v>
      </c>
      <c r="EN3992" t="s">
        <v>853</v>
      </c>
      <c r="EO3992">
        <v>7.44</v>
      </c>
    </row>
    <row r="3993" spans="142:145" x14ac:dyDescent="0.25">
      <c r="EL3993">
        <v>2018</v>
      </c>
      <c r="EM3993" t="s">
        <v>713</v>
      </c>
      <c r="EN3993" t="s">
        <v>853</v>
      </c>
      <c r="EO3993">
        <v>7.84</v>
      </c>
    </row>
    <row r="3994" spans="142:145" x14ac:dyDescent="0.25">
      <c r="EL3994">
        <v>2018</v>
      </c>
      <c r="EM3994" t="s">
        <v>714</v>
      </c>
      <c r="EN3994" t="s">
        <v>853</v>
      </c>
      <c r="EO3994">
        <v>4.34</v>
      </c>
    </row>
    <row r="3995" spans="142:145" x14ac:dyDescent="0.25">
      <c r="EL3995">
        <v>2018</v>
      </c>
      <c r="EM3995" t="s">
        <v>705</v>
      </c>
      <c r="EN3995" t="s">
        <v>853</v>
      </c>
      <c r="EO3995">
        <v>4.2</v>
      </c>
    </row>
    <row r="3996" spans="142:145" x14ac:dyDescent="0.25">
      <c r="EL3996">
        <v>2018</v>
      </c>
      <c r="EM3996" t="s">
        <v>715</v>
      </c>
      <c r="EN3996" t="s">
        <v>853</v>
      </c>
      <c r="EO3996">
        <v>7.75</v>
      </c>
    </row>
    <row r="3997" spans="142:145" x14ac:dyDescent="0.25">
      <c r="EL3997">
        <v>2018</v>
      </c>
      <c r="EM3997" t="s">
        <v>718</v>
      </c>
      <c r="EN3997" t="s">
        <v>853</v>
      </c>
      <c r="EO3997">
        <v>5.7</v>
      </c>
    </row>
    <row r="3998" spans="142:145" x14ac:dyDescent="0.25">
      <c r="EL3998">
        <v>2018</v>
      </c>
      <c r="EM3998" t="s">
        <v>716</v>
      </c>
      <c r="EN3998" t="s">
        <v>853</v>
      </c>
      <c r="EO3998">
        <v>7.13</v>
      </c>
    </row>
    <row r="3999" spans="142:145" x14ac:dyDescent="0.25">
      <c r="EL3999">
        <v>2018</v>
      </c>
      <c r="EM3999" t="s">
        <v>708</v>
      </c>
      <c r="EN3999" t="s">
        <v>853</v>
      </c>
      <c r="EO3999">
        <v>7.44</v>
      </c>
    </row>
    <row r="4000" spans="142:145" x14ac:dyDescent="0.25">
      <c r="EL4000">
        <v>2018</v>
      </c>
      <c r="EM4000" t="s">
        <v>709</v>
      </c>
      <c r="EN4000" t="s">
        <v>853</v>
      </c>
      <c r="EO4000">
        <v>9</v>
      </c>
    </row>
    <row r="4001" spans="142:145" x14ac:dyDescent="0.25">
      <c r="EL4001">
        <v>2018</v>
      </c>
      <c r="EM4001" t="s">
        <v>710</v>
      </c>
      <c r="EN4001" t="s">
        <v>853</v>
      </c>
      <c r="EO4001">
        <v>9.61</v>
      </c>
    </row>
    <row r="4002" spans="142:145" x14ac:dyDescent="0.25">
      <c r="EL4002">
        <v>2018</v>
      </c>
      <c r="EM4002" t="s">
        <v>711</v>
      </c>
      <c r="EN4002" t="s">
        <v>853</v>
      </c>
      <c r="EO4002">
        <v>8.4</v>
      </c>
    </row>
    <row r="4003" spans="142:145" x14ac:dyDescent="0.25">
      <c r="EL4003">
        <v>2018</v>
      </c>
      <c r="EM4003" t="s">
        <v>712</v>
      </c>
      <c r="EN4003" t="s">
        <v>853</v>
      </c>
      <c r="EO4003">
        <v>11.47</v>
      </c>
    </row>
    <row r="4004" spans="142:145" x14ac:dyDescent="0.25">
      <c r="EL4004">
        <v>2019</v>
      </c>
      <c r="EM4004" t="s">
        <v>719</v>
      </c>
      <c r="EN4004" t="s">
        <v>853</v>
      </c>
      <c r="EO4004">
        <v>8.06</v>
      </c>
    </row>
    <row r="4005" spans="142:145" x14ac:dyDescent="0.25">
      <c r="EL4005">
        <v>2019</v>
      </c>
      <c r="EM4005" t="s">
        <v>713</v>
      </c>
      <c r="EN4005" t="s">
        <v>853</v>
      </c>
      <c r="EO4005">
        <v>8.1199999999999992</v>
      </c>
    </row>
    <row r="4006" spans="142:145" x14ac:dyDescent="0.25">
      <c r="EL4006">
        <v>2019</v>
      </c>
      <c r="EM4006" t="s">
        <v>714</v>
      </c>
      <c r="EN4006" t="s">
        <v>853</v>
      </c>
      <c r="EO4006">
        <v>9.61</v>
      </c>
    </row>
    <row r="4007" spans="142:145" x14ac:dyDescent="0.25">
      <c r="EL4007">
        <v>2019</v>
      </c>
      <c r="EM4007" t="s">
        <v>705</v>
      </c>
      <c r="EN4007" t="s">
        <v>853</v>
      </c>
      <c r="EO4007">
        <v>3.9</v>
      </c>
    </row>
    <row r="4008" spans="142:145" x14ac:dyDescent="0.25">
      <c r="EL4008">
        <v>2019</v>
      </c>
      <c r="EM4008" t="s">
        <v>715</v>
      </c>
      <c r="EN4008" t="s">
        <v>853</v>
      </c>
      <c r="EO4008">
        <v>22.94</v>
      </c>
    </row>
    <row r="4009" spans="142:145" x14ac:dyDescent="0.25">
      <c r="EL4009">
        <v>2019</v>
      </c>
      <c r="EM4009" t="s">
        <v>718</v>
      </c>
      <c r="EN4009" t="s">
        <v>853</v>
      </c>
      <c r="EO4009">
        <v>17.100000000000001</v>
      </c>
    </row>
    <row r="4010" spans="142:145" x14ac:dyDescent="0.25">
      <c r="EL4010">
        <v>2019</v>
      </c>
      <c r="EM4010" t="s">
        <v>716</v>
      </c>
      <c r="EN4010" t="s">
        <v>853</v>
      </c>
      <c r="EO4010">
        <v>3.41</v>
      </c>
    </row>
    <row r="4011" spans="142:145" x14ac:dyDescent="0.25">
      <c r="EL4011">
        <v>2019</v>
      </c>
      <c r="EM4011" t="s">
        <v>708</v>
      </c>
      <c r="EN4011" t="s">
        <v>853</v>
      </c>
      <c r="EO4011">
        <v>6.2</v>
      </c>
    </row>
    <row r="4012" spans="142:145" x14ac:dyDescent="0.25">
      <c r="EL4012">
        <v>2019</v>
      </c>
      <c r="EM4012" t="s">
        <v>709</v>
      </c>
      <c r="EN4012" t="s">
        <v>853</v>
      </c>
      <c r="EO4012">
        <v>6.3</v>
      </c>
    </row>
    <row r="4013" spans="142:145" x14ac:dyDescent="0.25">
      <c r="EL4013">
        <v>2019</v>
      </c>
      <c r="EM4013" t="s">
        <v>710</v>
      </c>
      <c r="EN4013" t="s">
        <v>853</v>
      </c>
      <c r="EO4013">
        <v>14.26</v>
      </c>
    </row>
    <row r="4014" spans="142:145" x14ac:dyDescent="0.25">
      <c r="EL4014">
        <v>2019</v>
      </c>
      <c r="EM4014" t="s">
        <v>711</v>
      </c>
      <c r="EN4014" t="s">
        <v>853</v>
      </c>
      <c r="EO4014">
        <v>12.9</v>
      </c>
    </row>
    <row r="4015" spans="142:145" x14ac:dyDescent="0.25">
      <c r="EL4015">
        <v>2019</v>
      </c>
      <c r="EM4015" t="s">
        <v>712</v>
      </c>
      <c r="EN4015" t="s">
        <v>853</v>
      </c>
      <c r="EO4015">
        <v>14.88</v>
      </c>
    </row>
    <row r="4016" spans="142:145" x14ac:dyDescent="0.25">
      <c r="EL4016">
        <v>2020</v>
      </c>
      <c r="EM4016" t="s">
        <v>719</v>
      </c>
      <c r="EN4016" t="s">
        <v>853</v>
      </c>
      <c r="EO4016">
        <v>19.84</v>
      </c>
    </row>
    <row r="4017" spans="142:145" x14ac:dyDescent="0.25">
      <c r="EL4017">
        <v>2020</v>
      </c>
      <c r="EM4017" t="s">
        <v>713</v>
      </c>
      <c r="EN4017" t="s">
        <v>853</v>
      </c>
      <c r="EO4017">
        <v>13.05</v>
      </c>
    </row>
    <row r="4018" spans="142:145" x14ac:dyDescent="0.25">
      <c r="EL4018">
        <v>2020</v>
      </c>
      <c r="EM4018" t="s">
        <v>714</v>
      </c>
      <c r="EN4018" t="s">
        <v>853</v>
      </c>
      <c r="EO4018">
        <v>14.26</v>
      </c>
    </row>
    <row r="4019" spans="142:145" x14ac:dyDescent="0.25">
      <c r="EL4019">
        <v>2020</v>
      </c>
      <c r="EM4019" t="s">
        <v>705</v>
      </c>
      <c r="EN4019" t="s">
        <v>853</v>
      </c>
      <c r="EO4019">
        <v>10.5</v>
      </c>
    </row>
    <row r="4020" spans="142:145" x14ac:dyDescent="0.25">
      <c r="EL4020">
        <v>2020</v>
      </c>
      <c r="EM4020" t="s">
        <v>715</v>
      </c>
      <c r="EN4020" t="s">
        <v>853</v>
      </c>
      <c r="EO4020">
        <v>13.95</v>
      </c>
    </row>
    <row r="4021" spans="142:145" x14ac:dyDescent="0.25">
      <c r="EL4021">
        <v>2020</v>
      </c>
      <c r="EM4021" t="s">
        <v>718</v>
      </c>
      <c r="EN4021" t="s">
        <v>853</v>
      </c>
      <c r="EO4021">
        <v>14.4</v>
      </c>
    </row>
    <row r="4022" spans="142:145" x14ac:dyDescent="0.25">
      <c r="EL4022">
        <v>2020</v>
      </c>
      <c r="EM4022" t="s">
        <v>716</v>
      </c>
      <c r="EN4022" t="s">
        <v>853</v>
      </c>
      <c r="EO4022">
        <v>6.82</v>
      </c>
    </row>
    <row r="4023" spans="142:145" x14ac:dyDescent="0.25">
      <c r="EL4023">
        <v>2020</v>
      </c>
      <c r="EM4023" t="s">
        <v>708</v>
      </c>
      <c r="EN4023" t="s">
        <v>853</v>
      </c>
      <c r="EO4023">
        <v>7.13</v>
      </c>
    </row>
    <row r="4024" spans="142:145" x14ac:dyDescent="0.25">
      <c r="EL4024">
        <v>2020</v>
      </c>
      <c r="EM4024" t="s">
        <v>709</v>
      </c>
      <c r="EN4024" t="s">
        <v>853</v>
      </c>
      <c r="EO4024">
        <v>6</v>
      </c>
    </row>
    <row r="4025" spans="142:145" x14ac:dyDescent="0.25">
      <c r="EL4025">
        <v>2020</v>
      </c>
      <c r="EM4025" t="s">
        <v>710</v>
      </c>
      <c r="EN4025" t="s">
        <v>853</v>
      </c>
      <c r="EO4025">
        <v>6.2</v>
      </c>
    </row>
    <row r="4026" spans="142:145" x14ac:dyDescent="0.25">
      <c r="EL4026">
        <v>2020</v>
      </c>
      <c r="EM4026" t="s">
        <v>711</v>
      </c>
      <c r="EN4026" t="s">
        <v>853</v>
      </c>
      <c r="EO4026">
        <v>14.4</v>
      </c>
    </row>
    <row r="4027" spans="142:145" x14ac:dyDescent="0.25">
      <c r="EL4027">
        <v>2020</v>
      </c>
      <c r="EM4027" t="s">
        <v>712</v>
      </c>
      <c r="EN4027" t="s">
        <v>853</v>
      </c>
      <c r="EO4027">
        <v>6.2</v>
      </c>
    </row>
    <row r="4028" spans="142:145" x14ac:dyDescent="0.25">
      <c r="EL4028">
        <v>2021</v>
      </c>
      <c r="EM4028" t="s">
        <v>719</v>
      </c>
      <c r="EN4028" t="s">
        <v>853</v>
      </c>
      <c r="EO4028">
        <v>6.2</v>
      </c>
    </row>
    <row r="4029" spans="142:145" x14ac:dyDescent="0.25">
      <c r="EL4029">
        <v>2021</v>
      </c>
      <c r="EM4029" t="s">
        <v>713</v>
      </c>
      <c r="EN4029" t="s">
        <v>853</v>
      </c>
      <c r="EO4029">
        <v>7.56</v>
      </c>
    </row>
    <row r="4030" spans="142:145" x14ac:dyDescent="0.25">
      <c r="EL4030">
        <v>2021</v>
      </c>
      <c r="EM4030" t="s">
        <v>714</v>
      </c>
      <c r="EN4030" t="s">
        <v>853</v>
      </c>
      <c r="EO4030">
        <v>6.82</v>
      </c>
    </row>
    <row r="4031" spans="142:145" x14ac:dyDescent="0.25">
      <c r="EL4031">
        <v>2021</v>
      </c>
      <c r="EM4031" t="s">
        <v>705</v>
      </c>
      <c r="EN4031" t="s">
        <v>853</v>
      </c>
      <c r="EO4031">
        <v>5.4</v>
      </c>
    </row>
    <row r="4032" spans="142:145" x14ac:dyDescent="0.25">
      <c r="EL4032">
        <v>2021</v>
      </c>
      <c r="EM4032" t="s">
        <v>715</v>
      </c>
      <c r="EN4032" t="s">
        <v>853</v>
      </c>
      <c r="EO4032">
        <v>5.89</v>
      </c>
    </row>
    <row r="4033" spans="142:145" x14ac:dyDescent="0.25">
      <c r="EL4033">
        <v>2021</v>
      </c>
      <c r="EM4033" t="s">
        <v>718</v>
      </c>
      <c r="EN4033" t="s">
        <v>853</v>
      </c>
      <c r="EO4033">
        <v>5.4</v>
      </c>
    </row>
    <row r="4034" spans="142:145" x14ac:dyDescent="0.25">
      <c r="EL4034">
        <v>2021</v>
      </c>
      <c r="EM4034" t="s">
        <v>716</v>
      </c>
      <c r="EN4034" t="s">
        <v>853</v>
      </c>
      <c r="EO4034">
        <v>4.6500000000000004</v>
      </c>
    </row>
    <row r="4035" spans="142:145" x14ac:dyDescent="0.25">
      <c r="EL4035">
        <v>2021</v>
      </c>
      <c r="EM4035" t="s">
        <v>708</v>
      </c>
      <c r="EN4035" t="s">
        <v>853</v>
      </c>
      <c r="EO4035">
        <v>5.89</v>
      </c>
    </row>
    <row r="4036" spans="142:145" x14ac:dyDescent="0.25">
      <c r="EL4036">
        <v>2021</v>
      </c>
      <c r="EM4036" t="s">
        <v>709</v>
      </c>
      <c r="EN4036" t="s">
        <v>853</v>
      </c>
      <c r="EO4036">
        <v>4.8</v>
      </c>
    </row>
    <row r="4037" spans="142:145" x14ac:dyDescent="0.25">
      <c r="EL4037">
        <v>2021</v>
      </c>
      <c r="EM4037" t="s">
        <v>710</v>
      </c>
      <c r="EN4037" t="s">
        <v>853</v>
      </c>
      <c r="EO4037">
        <v>4.6500000000000004</v>
      </c>
    </row>
    <row r="4038" spans="142:145" x14ac:dyDescent="0.25">
      <c r="EL4038">
        <v>2021</v>
      </c>
      <c r="EM4038" t="s">
        <v>711</v>
      </c>
      <c r="EN4038" t="s">
        <v>853</v>
      </c>
      <c r="EO4038">
        <v>4.2</v>
      </c>
    </row>
    <row r="4039" spans="142:145" x14ac:dyDescent="0.25">
      <c r="EL4039">
        <v>2021</v>
      </c>
      <c r="EM4039" t="s">
        <v>712</v>
      </c>
      <c r="EN4039" t="s">
        <v>853</v>
      </c>
      <c r="EO4039">
        <v>4.03</v>
      </c>
    </row>
    <row r="4040" spans="142:145" x14ac:dyDescent="0.25">
      <c r="EL4040">
        <v>2022</v>
      </c>
      <c r="EM4040" t="s">
        <v>719</v>
      </c>
      <c r="EN4040" t="s">
        <v>853</v>
      </c>
      <c r="EO4040">
        <v>5.58</v>
      </c>
    </row>
    <row r="4041" spans="142:145" x14ac:dyDescent="0.25">
      <c r="EL4041">
        <v>2022</v>
      </c>
      <c r="EM4041" t="s">
        <v>713</v>
      </c>
      <c r="EN4041" t="s">
        <v>853</v>
      </c>
      <c r="EO4041">
        <v>4.76</v>
      </c>
    </row>
    <row r="4042" spans="142:145" x14ac:dyDescent="0.25">
      <c r="EL4042">
        <v>2022</v>
      </c>
      <c r="EM4042" t="s">
        <v>714</v>
      </c>
      <c r="EN4042" t="s">
        <v>853</v>
      </c>
      <c r="EO4042">
        <v>5.58</v>
      </c>
    </row>
    <row r="4043" spans="142:145" x14ac:dyDescent="0.25">
      <c r="EL4043">
        <v>2022</v>
      </c>
      <c r="EM4043" t="s">
        <v>705</v>
      </c>
      <c r="EN4043" t="s">
        <v>853</v>
      </c>
      <c r="EO4043">
        <v>6.6</v>
      </c>
    </row>
    <row r="4044" spans="142:145" x14ac:dyDescent="0.25">
      <c r="EL4044">
        <v>2022</v>
      </c>
      <c r="EM4044" t="s">
        <v>715</v>
      </c>
      <c r="EN4044" t="s">
        <v>853</v>
      </c>
      <c r="EO4044">
        <v>7.13</v>
      </c>
    </row>
    <row r="4045" spans="142:145" x14ac:dyDescent="0.25">
      <c r="EL4045">
        <v>2022</v>
      </c>
      <c r="EM4045" t="s">
        <v>718</v>
      </c>
      <c r="EN4045" t="s">
        <v>853</v>
      </c>
      <c r="EO4045">
        <v>5.4</v>
      </c>
    </row>
    <row r="4046" spans="142:145" x14ac:dyDescent="0.25">
      <c r="EL4046">
        <v>2022</v>
      </c>
      <c r="EM4046" t="s">
        <v>716</v>
      </c>
      <c r="EN4046" t="s">
        <v>853</v>
      </c>
      <c r="EO4046">
        <v>5.27</v>
      </c>
    </row>
    <row r="4047" spans="142:145" x14ac:dyDescent="0.25">
      <c r="EL4047">
        <v>2022</v>
      </c>
      <c r="EM4047" t="s">
        <v>708</v>
      </c>
      <c r="EN4047" t="s">
        <v>853</v>
      </c>
      <c r="EO4047">
        <v>5.58</v>
      </c>
    </row>
    <row r="4048" spans="142:145" x14ac:dyDescent="0.25">
      <c r="EL4048">
        <v>2022</v>
      </c>
      <c r="EM4048" t="s">
        <v>709</v>
      </c>
      <c r="EN4048" t="s">
        <v>853</v>
      </c>
      <c r="EO4048">
        <v>4.5</v>
      </c>
    </row>
    <row r="4049" spans="142:145" x14ac:dyDescent="0.25">
      <c r="EL4049">
        <v>2022</v>
      </c>
      <c r="EM4049" t="s">
        <v>710</v>
      </c>
      <c r="EN4049" t="s">
        <v>853</v>
      </c>
      <c r="EO4049">
        <v>4.6500000000000004</v>
      </c>
    </row>
    <row r="4050" spans="142:145" x14ac:dyDescent="0.25">
      <c r="EL4050">
        <v>2022</v>
      </c>
      <c r="EM4050" t="s">
        <v>711</v>
      </c>
      <c r="EN4050" t="s">
        <v>853</v>
      </c>
      <c r="EO4050">
        <v>4.5</v>
      </c>
    </row>
    <row r="4051" spans="142:145" x14ac:dyDescent="0.25">
      <c r="EL4051">
        <v>2022</v>
      </c>
      <c r="EM4051" t="s">
        <v>712</v>
      </c>
      <c r="EN4051" t="s">
        <v>853</v>
      </c>
      <c r="EO4051">
        <v>6.51</v>
      </c>
    </row>
    <row r="4052" spans="142:145" x14ac:dyDescent="0.25">
      <c r="EL4052">
        <v>2023</v>
      </c>
      <c r="EM4052" t="s">
        <v>719</v>
      </c>
      <c r="EN4052" t="s">
        <v>853</v>
      </c>
      <c r="EO4052">
        <v>6.2</v>
      </c>
    </row>
    <row r="4053" spans="142:145" x14ac:dyDescent="0.25">
      <c r="EL4053">
        <v>2023</v>
      </c>
      <c r="EM4053" t="s">
        <v>713</v>
      </c>
      <c r="EN4053" t="s">
        <v>853</v>
      </c>
      <c r="EO4053">
        <v>5.32</v>
      </c>
    </row>
    <row r="4054" spans="142:145" x14ac:dyDescent="0.25">
      <c r="EL4054">
        <v>2023</v>
      </c>
      <c r="EM4054" t="s">
        <v>714</v>
      </c>
      <c r="EN4054" t="s">
        <v>853</v>
      </c>
      <c r="EO4054">
        <v>5.27</v>
      </c>
    </row>
    <row r="4055" spans="142:145" x14ac:dyDescent="0.25">
      <c r="EL4055">
        <v>2023</v>
      </c>
      <c r="EM4055" t="s">
        <v>705</v>
      </c>
      <c r="EN4055" t="s">
        <v>853</v>
      </c>
      <c r="EO4055">
        <v>5.0999999999999996</v>
      </c>
    </row>
    <row r="4056" spans="142:145" x14ac:dyDescent="0.25">
      <c r="EL4056">
        <v>2023</v>
      </c>
      <c r="EM4056" t="s">
        <v>715</v>
      </c>
      <c r="EN4056" t="s">
        <v>853</v>
      </c>
      <c r="EO4056">
        <v>4.6500000000000004</v>
      </c>
    </row>
    <row r="4057" spans="142:145" x14ac:dyDescent="0.25">
      <c r="EL4057">
        <v>2023</v>
      </c>
      <c r="EM4057" t="s">
        <v>718</v>
      </c>
      <c r="EN4057" t="s">
        <v>853</v>
      </c>
      <c r="EO4057">
        <v>3.9</v>
      </c>
    </row>
    <row r="4058" spans="142:145" x14ac:dyDescent="0.25">
      <c r="EL4058">
        <v>2023</v>
      </c>
      <c r="EM4058" t="s">
        <v>716</v>
      </c>
      <c r="EN4058" t="s">
        <v>853</v>
      </c>
      <c r="EO4058">
        <v>4.03</v>
      </c>
    </row>
    <row r="4059" spans="142:145" x14ac:dyDescent="0.25">
      <c r="EL4059">
        <v>2023</v>
      </c>
      <c r="EM4059" t="s">
        <v>708</v>
      </c>
      <c r="EN4059" t="s">
        <v>853</v>
      </c>
      <c r="EO4059">
        <v>4.03</v>
      </c>
    </row>
    <row r="4060" spans="142:145" x14ac:dyDescent="0.25">
      <c r="EL4060">
        <v>2023</v>
      </c>
      <c r="EM4060" t="s">
        <v>709</v>
      </c>
      <c r="EN4060" t="s">
        <v>853</v>
      </c>
      <c r="EO4060">
        <v>5.7</v>
      </c>
    </row>
    <row r="4061" spans="142:145" x14ac:dyDescent="0.25">
      <c r="EL4061">
        <v>1997</v>
      </c>
      <c r="EM4061" t="s">
        <v>760</v>
      </c>
      <c r="EN4061" t="s">
        <v>854</v>
      </c>
    </row>
    <row r="4062" spans="142:145" x14ac:dyDescent="0.25">
      <c r="EL4062">
        <v>1997</v>
      </c>
      <c r="EM4062" t="s">
        <v>761</v>
      </c>
      <c r="EN4062" t="s">
        <v>854</v>
      </c>
    </row>
    <row r="4063" spans="142:145" x14ac:dyDescent="0.25">
      <c r="EL4063">
        <v>1997</v>
      </c>
      <c r="EM4063" t="s">
        <v>762</v>
      </c>
      <c r="EN4063" t="s">
        <v>854</v>
      </c>
    </row>
    <row r="4064" spans="142:145" x14ac:dyDescent="0.25">
      <c r="EL4064">
        <v>1998</v>
      </c>
      <c r="EM4064" t="s">
        <v>763</v>
      </c>
      <c r="EN4064" t="s">
        <v>854</v>
      </c>
    </row>
    <row r="4065" spans="142:144" x14ac:dyDescent="0.25">
      <c r="EL4065">
        <v>1998</v>
      </c>
      <c r="EM4065" t="s">
        <v>764</v>
      </c>
      <c r="EN4065" t="s">
        <v>854</v>
      </c>
    </row>
    <row r="4066" spans="142:144" x14ac:dyDescent="0.25">
      <c r="EL4066">
        <v>1998</v>
      </c>
      <c r="EM4066" t="s">
        <v>765</v>
      </c>
      <c r="EN4066" t="s">
        <v>854</v>
      </c>
    </row>
    <row r="4067" spans="142:144" x14ac:dyDescent="0.25">
      <c r="EL4067">
        <v>1998</v>
      </c>
      <c r="EM4067" t="s">
        <v>767</v>
      </c>
      <c r="EN4067" t="s">
        <v>854</v>
      </c>
    </row>
    <row r="4068" spans="142:144" x14ac:dyDescent="0.25">
      <c r="EL4068">
        <v>1998</v>
      </c>
      <c r="EM4068" t="s">
        <v>715</v>
      </c>
      <c r="EN4068" t="s">
        <v>854</v>
      </c>
    </row>
    <row r="4069" spans="142:144" x14ac:dyDescent="0.25">
      <c r="EL4069">
        <v>1998</v>
      </c>
      <c r="EM4069" t="s">
        <v>718</v>
      </c>
      <c r="EN4069" t="s">
        <v>854</v>
      </c>
    </row>
    <row r="4070" spans="142:144" x14ac:dyDescent="0.25">
      <c r="EL4070">
        <v>1998</v>
      </c>
      <c r="EM4070" t="s">
        <v>716</v>
      </c>
      <c r="EN4070" t="s">
        <v>854</v>
      </c>
    </row>
    <row r="4071" spans="142:144" x14ac:dyDescent="0.25">
      <c r="EL4071">
        <v>1998</v>
      </c>
      <c r="EM4071" t="s">
        <v>768</v>
      </c>
      <c r="EN4071" t="s">
        <v>854</v>
      </c>
    </row>
    <row r="4072" spans="142:144" x14ac:dyDescent="0.25">
      <c r="EL4072">
        <v>1998</v>
      </c>
      <c r="EM4072" t="s">
        <v>769</v>
      </c>
      <c r="EN4072" t="s">
        <v>854</v>
      </c>
    </row>
    <row r="4073" spans="142:144" x14ac:dyDescent="0.25">
      <c r="EL4073">
        <v>1998</v>
      </c>
      <c r="EM4073" t="s">
        <v>760</v>
      </c>
      <c r="EN4073" t="s">
        <v>854</v>
      </c>
    </row>
    <row r="4074" spans="142:144" x14ac:dyDescent="0.25">
      <c r="EL4074">
        <v>1998</v>
      </c>
      <c r="EM4074" t="s">
        <v>771</v>
      </c>
      <c r="EN4074" t="s">
        <v>854</v>
      </c>
    </row>
    <row r="4075" spans="142:144" x14ac:dyDescent="0.25">
      <c r="EL4075">
        <v>1998</v>
      </c>
      <c r="EM4075" t="s">
        <v>762</v>
      </c>
      <c r="EN4075" t="s">
        <v>854</v>
      </c>
    </row>
    <row r="4076" spans="142:144" x14ac:dyDescent="0.25">
      <c r="EL4076">
        <v>1999</v>
      </c>
      <c r="EM4076" t="s">
        <v>763</v>
      </c>
      <c r="EN4076" t="s">
        <v>854</v>
      </c>
    </row>
    <row r="4077" spans="142:144" x14ac:dyDescent="0.25">
      <c r="EL4077">
        <v>1999</v>
      </c>
      <c r="EM4077" t="s">
        <v>772</v>
      </c>
      <c r="EN4077" t="s">
        <v>854</v>
      </c>
    </row>
    <row r="4078" spans="142:144" x14ac:dyDescent="0.25">
      <c r="EL4078">
        <v>1999</v>
      </c>
      <c r="EM4078" t="s">
        <v>773</v>
      </c>
      <c r="EN4078" t="s">
        <v>854</v>
      </c>
    </row>
    <row r="4079" spans="142:144" x14ac:dyDescent="0.25">
      <c r="EL4079">
        <v>1999</v>
      </c>
      <c r="EM4079" t="s">
        <v>774</v>
      </c>
      <c r="EN4079" t="s">
        <v>854</v>
      </c>
    </row>
    <row r="4080" spans="142:144" x14ac:dyDescent="0.25">
      <c r="EL4080">
        <v>1999</v>
      </c>
      <c r="EM4080" t="s">
        <v>715</v>
      </c>
      <c r="EN4080" t="s">
        <v>854</v>
      </c>
    </row>
    <row r="4081" spans="142:144" x14ac:dyDescent="0.25">
      <c r="EL4081">
        <v>1999</v>
      </c>
      <c r="EM4081" t="s">
        <v>718</v>
      </c>
      <c r="EN4081" t="s">
        <v>854</v>
      </c>
    </row>
    <row r="4082" spans="142:144" x14ac:dyDescent="0.25">
      <c r="EL4082">
        <v>1999</v>
      </c>
      <c r="EM4082" t="s">
        <v>716</v>
      </c>
      <c r="EN4082" t="s">
        <v>854</v>
      </c>
    </row>
    <row r="4083" spans="142:144" x14ac:dyDescent="0.25">
      <c r="EL4083">
        <v>1999</v>
      </c>
      <c r="EM4083" t="s">
        <v>708</v>
      </c>
      <c r="EN4083" t="s">
        <v>854</v>
      </c>
    </row>
    <row r="4084" spans="142:144" x14ac:dyDescent="0.25">
      <c r="EL4084">
        <v>1999</v>
      </c>
      <c r="EM4084" t="s">
        <v>709</v>
      </c>
      <c r="EN4084" t="s">
        <v>854</v>
      </c>
    </row>
    <row r="4085" spans="142:144" x14ac:dyDescent="0.25">
      <c r="EL4085">
        <v>1999</v>
      </c>
      <c r="EM4085" t="s">
        <v>710</v>
      </c>
      <c r="EN4085" t="s">
        <v>854</v>
      </c>
    </row>
    <row r="4086" spans="142:144" x14ac:dyDescent="0.25">
      <c r="EL4086">
        <v>1999</v>
      </c>
      <c r="EM4086" t="s">
        <v>711</v>
      </c>
      <c r="EN4086" t="s">
        <v>854</v>
      </c>
    </row>
    <row r="4087" spans="142:144" x14ac:dyDescent="0.25">
      <c r="EL4087">
        <v>1999</v>
      </c>
      <c r="EM4087" t="s">
        <v>712</v>
      </c>
      <c r="EN4087" t="s">
        <v>854</v>
      </c>
    </row>
    <row r="4088" spans="142:144" x14ac:dyDescent="0.25">
      <c r="EL4088">
        <v>2000</v>
      </c>
      <c r="EM4088" t="s">
        <v>719</v>
      </c>
      <c r="EN4088" t="s">
        <v>854</v>
      </c>
    </row>
    <row r="4089" spans="142:144" x14ac:dyDescent="0.25">
      <c r="EL4089">
        <v>2000</v>
      </c>
      <c r="EM4089" t="s">
        <v>713</v>
      </c>
      <c r="EN4089" t="s">
        <v>854</v>
      </c>
    </row>
    <row r="4090" spans="142:144" x14ac:dyDescent="0.25">
      <c r="EL4090">
        <v>2000</v>
      </c>
      <c r="EM4090" t="s">
        <v>714</v>
      </c>
      <c r="EN4090" t="s">
        <v>854</v>
      </c>
    </row>
    <row r="4091" spans="142:144" x14ac:dyDescent="0.25">
      <c r="EL4091">
        <v>2000</v>
      </c>
      <c r="EM4091" t="s">
        <v>705</v>
      </c>
      <c r="EN4091" t="s">
        <v>854</v>
      </c>
    </row>
    <row r="4092" spans="142:144" x14ac:dyDescent="0.25">
      <c r="EL4092">
        <v>2000</v>
      </c>
      <c r="EM4092" t="s">
        <v>715</v>
      </c>
      <c r="EN4092" t="s">
        <v>854</v>
      </c>
    </row>
    <row r="4093" spans="142:144" x14ac:dyDescent="0.25">
      <c r="EL4093">
        <v>2000</v>
      </c>
      <c r="EM4093" t="s">
        <v>718</v>
      </c>
      <c r="EN4093" t="s">
        <v>854</v>
      </c>
    </row>
    <row r="4094" spans="142:144" x14ac:dyDescent="0.25">
      <c r="EL4094">
        <v>2000</v>
      </c>
      <c r="EM4094" t="s">
        <v>716</v>
      </c>
      <c r="EN4094" t="s">
        <v>854</v>
      </c>
    </row>
    <row r="4095" spans="142:144" x14ac:dyDescent="0.25">
      <c r="EL4095">
        <v>2000</v>
      </c>
      <c r="EM4095" t="s">
        <v>708</v>
      </c>
      <c r="EN4095" t="s">
        <v>854</v>
      </c>
    </row>
    <row r="4096" spans="142:144" x14ac:dyDescent="0.25">
      <c r="EL4096">
        <v>2000</v>
      </c>
      <c r="EM4096" t="s">
        <v>709</v>
      </c>
      <c r="EN4096" t="s">
        <v>854</v>
      </c>
    </row>
    <row r="4097" spans="142:144" x14ac:dyDescent="0.25">
      <c r="EL4097">
        <v>2000</v>
      </c>
      <c r="EM4097" t="s">
        <v>710</v>
      </c>
      <c r="EN4097" t="s">
        <v>854</v>
      </c>
    </row>
    <row r="4098" spans="142:144" x14ac:dyDescent="0.25">
      <c r="EL4098">
        <v>2000</v>
      </c>
      <c r="EM4098" t="s">
        <v>711</v>
      </c>
      <c r="EN4098" t="s">
        <v>854</v>
      </c>
    </row>
    <row r="4099" spans="142:144" x14ac:dyDescent="0.25">
      <c r="EL4099">
        <v>2000</v>
      </c>
      <c r="EM4099" t="s">
        <v>712</v>
      </c>
      <c r="EN4099" t="s">
        <v>854</v>
      </c>
    </row>
    <row r="4100" spans="142:144" x14ac:dyDescent="0.25">
      <c r="EL4100">
        <v>2001</v>
      </c>
      <c r="EM4100" t="s">
        <v>719</v>
      </c>
      <c r="EN4100" t="s">
        <v>854</v>
      </c>
    </row>
    <row r="4101" spans="142:144" x14ac:dyDescent="0.25">
      <c r="EL4101">
        <v>2001</v>
      </c>
      <c r="EM4101" t="s">
        <v>713</v>
      </c>
      <c r="EN4101" t="s">
        <v>854</v>
      </c>
    </row>
    <row r="4102" spans="142:144" x14ac:dyDescent="0.25">
      <c r="EL4102">
        <v>2001</v>
      </c>
      <c r="EM4102" t="s">
        <v>714</v>
      </c>
      <c r="EN4102" t="s">
        <v>854</v>
      </c>
    </row>
    <row r="4103" spans="142:144" x14ac:dyDescent="0.25">
      <c r="EL4103">
        <v>2001</v>
      </c>
      <c r="EM4103" t="s">
        <v>705</v>
      </c>
      <c r="EN4103" t="s">
        <v>854</v>
      </c>
    </row>
    <row r="4104" spans="142:144" x14ac:dyDescent="0.25">
      <c r="EL4104">
        <v>2001</v>
      </c>
      <c r="EM4104" t="s">
        <v>715</v>
      </c>
      <c r="EN4104" t="s">
        <v>854</v>
      </c>
    </row>
    <row r="4105" spans="142:144" x14ac:dyDescent="0.25">
      <c r="EL4105">
        <v>2001</v>
      </c>
      <c r="EM4105" t="s">
        <v>718</v>
      </c>
      <c r="EN4105" t="s">
        <v>854</v>
      </c>
    </row>
    <row r="4106" spans="142:144" x14ac:dyDescent="0.25">
      <c r="EL4106">
        <v>2001</v>
      </c>
      <c r="EM4106" t="s">
        <v>716</v>
      </c>
      <c r="EN4106" t="s">
        <v>854</v>
      </c>
    </row>
    <row r="4107" spans="142:144" x14ac:dyDescent="0.25">
      <c r="EL4107">
        <v>2001</v>
      </c>
      <c r="EM4107" t="s">
        <v>708</v>
      </c>
      <c r="EN4107" t="s">
        <v>854</v>
      </c>
    </row>
    <row r="4108" spans="142:144" x14ac:dyDescent="0.25">
      <c r="EL4108">
        <v>2001</v>
      </c>
      <c r="EM4108" t="s">
        <v>709</v>
      </c>
      <c r="EN4108" t="s">
        <v>854</v>
      </c>
    </row>
    <row r="4109" spans="142:144" x14ac:dyDescent="0.25">
      <c r="EL4109">
        <v>2001</v>
      </c>
      <c r="EM4109" t="s">
        <v>710</v>
      </c>
      <c r="EN4109" t="s">
        <v>854</v>
      </c>
    </row>
    <row r="4110" spans="142:144" x14ac:dyDescent="0.25">
      <c r="EL4110">
        <v>2001</v>
      </c>
      <c r="EM4110" t="s">
        <v>711</v>
      </c>
      <c r="EN4110" t="s">
        <v>854</v>
      </c>
    </row>
    <row r="4111" spans="142:144" x14ac:dyDescent="0.25">
      <c r="EL4111">
        <v>2001</v>
      </c>
      <c r="EM4111" t="s">
        <v>712</v>
      </c>
      <c r="EN4111" t="s">
        <v>854</v>
      </c>
    </row>
    <row r="4112" spans="142:144" x14ac:dyDescent="0.25">
      <c r="EL4112">
        <v>2002</v>
      </c>
      <c r="EM4112" t="s">
        <v>719</v>
      </c>
      <c r="EN4112" t="s">
        <v>854</v>
      </c>
    </row>
    <row r="4113" spans="142:144" x14ac:dyDescent="0.25">
      <c r="EL4113">
        <v>2002</v>
      </c>
      <c r="EM4113" t="s">
        <v>713</v>
      </c>
      <c r="EN4113" t="s">
        <v>854</v>
      </c>
    </row>
    <row r="4114" spans="142:144" x14ac:dyDescent="0.25">
      <c r="EL4114">
        <v>2002</v>
      </c>
      <c r="EM4114" t="s">
        <v>714</v>
      </c>
      <c r="EN4114" t="s">
        <v>854</v>
      </c>
    </row>
    <row r="4115" spans="142:144" x14ac:dyDescent="0.25">
      <c r="EL4115">
        <v>2002</v>
      </c>
      <c r="EM4115" t="s">
        <v>705</v>
      </c>
      <c r="EN4115" t="s">
        <v>854</v>
      </c>
    </row>
    <row r="4116" spans="142:144" x14ac:dyDescent="0.25">
      <c r="EL4116">
        <v>2002</v>
      </c>
      <c r="EM4116" t="s">
        <v>715</v>
      </c>
      <c r="EN4116" t="s">
        <v>854</v>
      </c>
    </row>
    <row r="4117" spans="142:144" x14ac:dyDescent="0.25">
      <c r="EL4117">
        <v>2002</v>
      </c>
      <c r="EM4117" t="s">
        <v>718</v>
      </c>
      <c r="EN4117" t="s">
        <v>854</v>
      </c>
    </row>
    <row r="4118" spans="142:144" x14ac:dyDescent="0.25">
      <c r="EL4118">
        <v>2002</v>
      </c>
      <c r="EM4118" t="s">
        <v>716</v>
      </c>
      <c r="EN4118" t="s">
        <v>854</v>
      </c>
    </row>
    <row r="4119" spans="142:144" x14ac:dyDescent="0.25">
      <c r="EL4119">
        <v>2002</v>
      </c>
      <c r="EM4119" t="s">
        <v>708</v>
      </c>
      <c r="EN4119" t="s">
        <v>854</v>
      </c>
    </row>
    <row r="4120" spans="142:144" x14ac:dyDescent="0.25">
      <c r="EL4120">
        <v>2002</v>
      </c>
      <c r="EM4120" t="s">
        <v>709</v>
      </c>
      <c r="EN4120" t="s">
        <v>854</v>
      </c>
    </row>
    <row r="4121" spans="142:144" x14ac:dyDescent="0.25">
      <c r="EL4121">
        <v>2002</v>
      </c>
      <c r="EM4121" t="s">
        <v>710</v>
      </c>
      <c r="EN4121" t="s">
        <v>854</v>
      </c>
    </row>
    <row r="4122" spans="142:144" x14ac:dyDescent="0.25">
      <c r="EL4122">
        <v>2002</v>
      </c>
      <c r="EM4122" t="s">
        <v>711</v>
      </c>
      <c r="EN4122" t="s">
        <v>854</v>
      </c>
    </row>
    <row r="4123" spans="142:144" x14ac:dyDescent="0.25">
      <c r="EL4123">
        <v>2002</v>
      </c>
      <c r="EM4123" t="s">
        <v>712</v>
      </c>
      <c r="EN4123" t="s">
        <v>854</v>
      </c>
    </row>
    <row r="4124" spans="142:144" x14ac:dyDescent="0.25">
      <c r="EL4124">
        <v>2003</v>
      </c>
      <c r="EM4124" t="s">
        <v>719</v>
      </c>
      <c r="EN4124" t="s">
        <v>854</v>
      </c>
    </row>
    <row r="4125" spans="142:144" x14ac:dyDescent="0.25">
      <c r="EL4125">
        <v>2003</v>
      </c>
      <c r="EM4125" t="s">
        <v>713</v>
      </c>
      <c r="EN4125" t="s">
        <v>854</v>
      </c>
    </row>
    <row r="4126" spans="142:144" x14ac:dyDescent="0.25">
      <c r="EL4126">
        <v>2003</v>
      </c>
      <c r="EM4126" t="s">
        <v>714</v>
      </c>
      <c r="EN4126" t="s">
        <v>854</v>
      </c>
    </row>
    <row r="4127" spans="142:144" x14ac:dyDescent="0.25">
      <c r="EL4127">
        <v>2003</v>
      </c>
      <c r="EM4127" t="s">
        <v>705</v>
      </c>
      <c r="EN4127" t="s">
        <v>854</v>
      </c>
    </row>
    <row r="4128" spans="142:144" x14ac:dyDescent="0.25">
      <c r="EL4128">
        <v>2003</v>
      </c>
      <c r="EM4128" t="s">
        <v>715</v>
      </c>
      <c r="EN4128" t="s">
        <v>854</v>
      </c>
    </row>
    <row r="4129" spans="142:144" x14ac:dyDescent="0.25">
      <c r="EL4129">
        <v>2003</v>
      </c>
      <c r="EM4129" t="s">
        <v>718</v>
      </c>
      <c r="EN4129" t="s">
        <v>854</v>
      </c>
    </row>
    <row r="4130" spans="142:144" x14ac:dyDescent="0.25">
      <c r="EL4130">
        <v>2003</v>
      </c>
      <c r="EM4130" t="s">
        <v>716</v>
      </c>
      <c r="EN4130" t="s">
        <v>854</v>
      </c>
    </row>
    <row r="4131" spans="142:144" x14ac:dyDescent="0.25">
      <c r="EL4131">
        <v>2003</v>
      </c>
      <c r="EM4131" t="s">
        <v>708</v>
      </c>
      <c r="EN4131" t="s">
        <v>854</v>
      </c>
    </row>
    <row r="4132" spans="142:144" x14ac:dyDescent="0.25">
      <c r="EL4132">
        <v>2003</v>
      </c>
      <c r="EM4132" t="s">
        <v>709</v>
      </c>
      <c r="EN4132" t="s">
        <v>854</v>
      </c>
    </row>
    <row r="4133" spans="142:144" x14ac:dyDescent="0.25">
      <c r="EL4133">
        <v>2003</v>
      </c>
      <c r="EM4133" t="s">
        <v>710</v>
      </c>
      <c r="EN4133" t="s">
        <v>854</v>
      </c>
    </row>
    <row r="4134" spans="142:144" x14ac:dyDescent="0.25">
      <c r="EL4134">
        <v>2003</v>
      </c>
      <c r="EM4134" t="s">
        <v>711</v>
      </c>
      <c r="EN4134" t="s">
        <v>854</v>
      </c>
    </row>
    <row r="4135" spans="142:144" x14ac:dyDescent="0.25">
      <c r="EL4135">
        <v>2003</v>
      </c>
      <c r="EM4135" t="s">
        <v>712</v>
      </c>
      <c r="EN4135" t="s">
        <v>854</v>
      </c>
    </row>
    <row r="4136" spans="142:144" x14ac:dyDescent="0.25">
      <c r="EL4136">
        <v>2004</v>
      </c>
      <c r="EM4136" t="s">
        <v>719</v>
      </c>
      <c r="EN4136" t="s">
        <v>854</v>
      </c>
    </row>
    <row r="4137" spans="142:144" x14ac:dyDescent="0.25">
      <c r="EL4137">
        <v>2004</v>
      </c>
      <c r="EM4137" t="s">
        <v>713</v>
      </c>
      <c r="EN4137" t="s">
        <v>854</v>
      </c>
    </row>
    <row r="4138" spans="142:144" x14ac:dyDescent="0.25">
      <c r="EL4138">
        <v>2004</v>
      </c>
      <c r="EM4138" t="s">
        <v>714</v>
      </c>
      <c r="EN4138" t="s">
        <v>854</v>
      </c>
    </row>
    <row r="4139" spans="142:144" x14ac:dyDescent="0.25">
      <c r="EL4139">
        <v>2004</v>
      </c>
      <c r="EM4139" t="s">
        <v>705</v>
      </c>
      <c r="EN4139" t="s">
        <v>854</v>
      </c>
    </row>
    <row r="4140" spans="142:144" x14ac:dyDescent="0.25">
      <c r="EL4140">
        <v>2004</v>
      </c>
      <c r="EM4140" t="s">
        <v>715</v>
      </c>
      <c r="EN4140" t="s">
        <v>854</v>
      </c>
    </row>
    <row r="4141" spans="142:144" x14ac:dyDescent="0.25">
      <c r="EL4141">
        <v>2004</v>
      </c>
      <c r="EM4141" t="s">
        <v>718</v>
      </c>
      <c r="EN4141" t="s">
        <v>854</v>
      </c>
    </row>
    <row r="4142" spans="142:144" x14ac:dyDescent="0.25">
      <c r="EL4142">
        <v>2004</v>
      </c>
      <c r="EM4142" t="s">
        <v>716</v>
      </c>
      <c r="EN4142" t="s">
        <v>854</v>
      </c>
    </row>
    <row r="4143" spans="142:144" x14ac:dyDescent="0.25">
      <c r="EL4143">
        <v>2004</v>
      </c>
      <c r="EM4143" t="s">
        <v>708</v>
      </c>
      <c r="EN4143" t="s">
        <v>854</v>
      </c>
    </row>
    <row r="4144" spans="142:144" x14ac:dyDescent="0.25">
      <c r="EL4144">
        <v>2004</v>
      </c>
      <c r="EM4144" t="s">
        <v>709</v>
      </c>
      <c r="EN4144" t="s">
        <v>854</v>
      </c>
    </row>
    <row r="4145" spans="142:144" x14ac:dyDescent="0.25">
      <c r="EL4145">
        <v>2004</v>
      </c>
      <c r="EM4145" t="s">
        <v>710</v>
      </c>
      <c r="EN4145" t="s">
        <v>854</v>
      </c>
    </row>
    <row r="4146" spans="142:144" x14ac:dyDescent="0.25">
      <c r="EL4146">
        <v>2004</v>
      </c>
      <c r="EM4146" t="s">
        <v>711</v>
      </c>
      <c r="EN4146" t="s">
        <v>854</v>
      </c>
    </row>
    <row r="4147" spans="142:144" x14ac:dyDescent="0.25">
      <c r="EL4147">
        <v>2004</v>
      </c>
      <c r="EM4147" t="s">
        <v>712</v>
      </c>
      <c r="EN4147" t="s">
        <v>854</v>
      </c>
    </row>
    <row r="4148" spans="142:144" x14ac:dyDescent="0.25">
      <c r="EL4148">
        <v>2005</v>
      </c>
      <c r="EM4148" t="s">
        <v>719</v>
      </c>
      <c r="EN4148" t="s">
        <v>854</v>
      </c>
    </row>
    <row r="4149" spans="142:144" x14ac:dyDescent="0.25">
      <c r="EL4149">
        <v>2005</v>
      </c>
      <c r="EM4149" t="s">
        <v>713</v>
      </c>
      <c r="EN4149" t="s">
        <v>854</v>
      </c>
    </row>
    <row r="4150" spans="142:144" x14ac:dyDescent="0.25">
      <c r="EL4150">
        <v>2005</v>
      </c>
      <c r="EM4150" t="s">
        <v>714</v>
      </c>
      <c r="EN4150" t="s">
        <v>854</v>
      </c>
    </row>
    <row r="4151" spans="142:144" x14ac:dyDescent="0.25">
      <c r="EL4151">
        <v>2005</v>
      </c>
      <c r="EM4151" t="s">
        <v>705</v>
      </c>
      <c r="EN4151" t="s">
        <v>854</v>
      </c>
    </row>
    <row r="4152" spans="142:144" x14ac:dyDescent="0.25">
      <c r="EL4152">
        <v>2005</v>
      </c>
      <c r="EM4152" t="s">
        <v>715</v>
      </c>
      <c r="EN4152" t="s">
        <v>854</v>
      </c>
    </row>
    <row r="4153" spans="142:144" x14ac:dyDescent="0.25">
      <c r="EL4153">
        <v>2005</v>
      </c>
      <c r="EM4153" t="s">
        <v>718</v>
      </c>
      <c r="EN4153" t="s">
        <v>854</v>
      </c>
    </row>
    <row r="4154" spans="142:144" x14ac:dyDescent="0.25">
      <c r="EL4154">
        <v>2005</v>
      </c>
      <c r="EM4154" t="s">
        <v>716</v>
      </c>
      <c r="EN4154" t="s">
        <v>854</v>
      </c>
    </row>
    <row r="4155" spans="142:144" x14ac:dyDescent="0.25">
      <c r="EL4155">
        <v>2005</v>
      </c>
      <c r="EM4155" t="s">
        <v>708</v>
      </c>
      <c r="EN4155" t="s">
        <v>854</v>
      </c>
    </row>
    <row r="4156" spans="142:144" x14ac:dyDescent="0.25">
      <c r="EL4156">
        <v>2005</v>
      </c>
      <c r="EM4156" t="s">
        <v>709</v>
      </c>
      <c r="EN4156" t="s">
        <v>854</v>
      </c>
    </row>
    <row r="4157" spans="142:144" x14ac:dyDescent="0.25">
      <c r="EL4157">
        <v>2005</v>
      </c>
      <c r="EM4157" t="s">
        <v>710</v>
      </c>
      <c r="EN4157" t="s">
        <v>854</v>
      </c>
    </row>
    <row r="4158" spans="142:144" x14ac:dyDescent="0.25">
      <c r="EL4158">
        <v>2005</v>
      </c>
      <c r="EM4158" t="s">
        <v>711</v>
      </c>
      <c r="EN4158" t="s">
        <v>854</v>
      </c>
    </row>
    <row r="4159" spans="142:144" x14ac:dyDescent="0.25">
      <c r="EL4159">
        <v>2005</v>
      </c>
      <c r="EM4159" t="s">
        <v>712</v>
      </c>
      <c r="EN4159" t="s">
        <v>854</v>
      </c>
    </row>
    <row r="4160" spans="142:144" x14ac:dyDescent="0.25">
      <c r="EL4160">
        <v>2006</v>
      </c>
      <c r="EM4160" t="s">
        <v>719</v>
      </c>
      <c r="EN4160" t="s">
        <v>854</v>
      </c>
    </row>
    <row r="4161" spans="142:144" x14ac:dyDescent="0.25">
      <c r="EL4161">
        <v>2006</v>
      </c>
      <c r="EM4161" t="s">
        <v>713</v>
      </c>
      <c r="EN4161" t="s">
        <v>854</v>
      </c>
    </row>
    <row r="4162" spans="142:144" x14ac:dyDescent="0.25">
      <c r="EL4162">
        <v>2006</v>
      </c>
      <c r="EM4162" t="s">
        <v>714</v>
      </c>
      <c r="EN4162" t="s">
        <v>854</v>
      </c>
    </row>
    <row r="4163" spans="142:144" x14ac:dyDescent="0.25">
      <c r="EL4163">
        <v>2006</v>
      </c>
      <c r="EM4163" t="s">
        <v>705</v>
      </c>
      <c r="EN4163" t="s">
        <v>854</v>
      </c>
    </row>
    <row r="4164" spans="142:144" x14ac:dyDescent="0.25">
      <c r="EL4164">
        <v>2006</v>
      </c>
      <c r="EM4164" t="s">
        <v>715</v>
      </c>
      <c r="EN4164" t="s">
        <v>854</v>
      </c>
    </row>
    <row r="4165" spans="142:144" x14ac:dyDescent="0.25">
      <c r="EL4165">
        <v>2006</v>
      </c>
      <c r="EM4165" t="s">
        <v>718</v>
      </c>
      <c r="EN4165" t="s">
        <v>854</v>
      </c>
    </row>
    <row r="4166" spans="142:144" x14ac:dyDescent="0.25">
      <c r="EL4166">
        <v>2006</v>
      </c>
      <c r="EM4166" t="s">
        <v>716</v>
      </c>
      <c r="EN4166" t="s">
        <v>854</v>
      </c>
    </row>
    <row r="4167" spans="142:144" x14ac:dyDescent="0.25">
      <c r="EL4167">
        <v>2006</v>
      </c>
      <c r="EM4167" t="s">
        <v>708</v>
      </c>
      <c r="EN4167" t="s">
        <v>854</v>
      </c>
    </row>
    <row r="4168" spans="142:144" x14ac:dyDescent="0.25">
      <c r="EL4168">
        <v>2006</v>
      </c>
      <c r="EM4168" t="s">
        <v>709</v>
      </c>
      <c r="EN4168" t="s">
        <v>854</v>
      </c>
    </row>
    <row r="4169" spans="142:144" x14ac:dyDescent="0.25">
      <c r="EL4169">
        <v>2006</v>
      </c>
      <c r="EM4169" t="s">
        <v>710</v>
      </c>
      <c r="EN4169" t="s">
        <v>854</v>
      </c>
    </row>
    <row r="4170" spans="142:144" x14ac:dyDescent="0.25">
      <c r="EL4170">
        <v>2006</v>
      </c>
      <c r="EM4170" t="s">
        <v>711</v>
      </c>
      <c r="EN4170" t="s">
        <v>854</v>
      </c>
    </row>
    <row r="4171" spans="142:144" x14ac:dyDescent="0.25">
      <c r="EL4171">
        <v>2006</v>
      </c>
      <c r="EM4171" t="s">
        <v>712</v>
      </c>
      <c r="EN4171" t="s">
        <v>854</v>
      </c>
    </row>
    <row r="4172" spans="142:144" x14ac:dyDescent="0.25">
      <c r="EL4172">
        <v>2007</v>
      </c>
      <c r="EM4172" t="s">
        <v>719</v>
      </c>
      <c r="EN4172" t="s">
        <v>854</v>
      </c>
    </row>
    <row r="4173" spans="142:144" x14ac:dyDescent="0.25">
      <c r="EL4173">
        <v>2007</v>
      </c>
      <c r="EM4173" t="s">
        <v>713</v>
      </c>
      <c r="EN4173" t="s">
        <v>854</v>
      </c>
    </row>
    <row r="4174" spans="142:144" x14ac:dyDescent="0.25">
      <c r="EL4174">
        <v>2007</v>
      </c>
      <c r="EM4174" t="s">
        <v>714</v>
      </c>
      <c r="EN4174" t="s">
        <v>854</v>
      </c>
    </row>
    <row r="4175" spans="142:144" x14ac:dyDescent="0.25">
      <c r="EL4175">
        <v>2007</v>
      </c>
      <c r="EM4175" t="s">
        <v>705</v>
      </c>
      <c r="EN4175" t="s">
        <v>854</v>
      </c>
    </row>
    <row r="4176" spans="142:144" x14ac:dyDescent="0.25">
      <c r="EL4176">
        <v>2007</v>
      </c>
      <c r="EM4176" t="s">
        <v>715</v>
      </c>
      <c r="EN4176" t="s">
        <v>854</v>
      </c>
    </row>
    <row r="4177" spans="142:144" x14ac:dyDescent="0.25">
      <c r="EL4177">
        <v>2007</v>
      </c>
      <c r="EM4177" t="s">
        <v>718</v>
      </c>
      <c r="EN4177" t="s">
        <v>854</v>
      </c>
    </row>
    <row r="4178" spans="142:144" x14ac:dyDescent="0.25">
      <c r="EL4178">
        <v>2007</v>
      </c>
      <c r="EM4178" t="s">
        <v>716</v>
      </c>
      <c r="EN4178" t="s">
        <v>854</v>
      </c>
    </row>
    <row r="4179" spans="142:144" x14ac:dyDescent="0.25">
      <c r="EL4179">
        <v>2007</v>
      </c>
      <c r="EM4179" t="s">
        <v>708</v>
      </c>
      <c r="EN4179" t="s">
        <v>854</v>
      </c>
    </row>
    <row r="4180" spans="142:144" x14ac:dyDescent="0.25">
      <c r="EL4180">
        <v>2007</v>
      </c>
      <c r="EM4180" t="s">
        <v>709</v>
      </c>
      <c r="EN4180" t="s">
        <v>854</v>
      </c>
    </row>
    <row r="4181" spans="142:144" x14ac:dyDescent="0.25">
      <c r="EL4181">
        <v>2007</v>
      </c>
      <c r="EM4181" t="s">
        <v>710</v>
      </c>
      <c r="EN4181" t="s">
        <v>854</v>
      </c>
    </row>
    <row r="4182" spans="142:144" x14ac:dyDescent="0.25">
      <c r="EL4182">
        <v>2007</v>
      </c>
      <c r="EM4182" t="s">
        <v>711</v>
      </c>
      <c r="EN4182" t="s">
        <v>854</v>
      </c>
    </row>
    <row r="4183" spans="142:144" x14ac:dyDescent="0.25">
      <c r="EL4183">
        <v>2007</v>
      </c>
      <c r="EM4183" t="s">
        <v>712</v>
      </c>
      <c r="EN4183" t="s">
        <v>854</v>
      </c>
    </row>
    <row r="4184" spans="142:144" x14ac:dyDescent="0.25">
      <c r="EL4184">
        <v>2008</v>
      </c>
      <c r="EM4184" t="s">
        <v>719</v>
      </c>
      <c r="EN4184" t="s">
        <v>854</v>
      </c>
    </row>
    <row r="4185" spans="142:144" x14ac:dyDescent="0.25">
      <c r="EL4185">
        <v>2008</v>
      </c>
      <c r="EM4185" t="s">
        <v>713</v>
      </c>
      <c r="EN4185" t="s">
        <v>854</v>
      </c>
    </row>
    <row r="4186" spans="142:144" x14ac:dyDescent="0.25">
      <c r="EL4186">
        <v>2008</v>
      </c>
      <c r="EM4186" t="s">
        <v>714</v>
      </c>
      <c r="EN4186" t="s">
        <v>854</v>
      </c>
    </row>
    <row r="4187" spans="142:144" x14ac:dyDescent="0.25">
      <c r="EL4187">
        <v>2008</v>
      </c>
      <c r="EM4187" t="s">
        <v>705</v>
      </c>
      <c r="EN4187" t="s">
        <v>854</v>
      </c>
    </row>
    <row r="4188" spans="142:144" x14ac:dyDescent="0.25">
      <c r="EL4188">
        <v>2008</v>
      </c>
      <c r="EM4188" t="s">
        <v>715</v>
      </c>
      <c r="EN4188" t="s">
        <v>854</v>
      </c>
    </row>
    <row r="4189" spans="142:144" x14ac:dyDescent="0.25">
      <c r="EL4189">
        <v>2008</v>
      </c>
      <c r="EM4189" t="s">
        <v>718</v>
      </c>
      <c r="EN4189" t="s">
        <v>854</v>
      </c>
    </row>
    <row r="4190" spans="142:144" x14ac:dyDescent="0.25">
      <c r="EL4190">
        <v>2008</v>
      </c>
      <c r="EM4190" t="s">
        <v>716</v>
      </c>
      <c r="EN4190" t="s">
        <v>854</v>
      </c>
    </row>
    <row r="4191" spans="142:144" x14ac:dyDescent="0.25">
      <c r="EL4191">
        <v>2008</v>
      </c>
      <c r="EM4191" t="s">
        <v>708</v>
      </c>
      <c r="EN4191" t="s">
        <v>854</v>
      </c>
    </row>
    <row r="4192" spans="142:144" x14ac:dyDescent="0.25">
      <c r="EL4192">
        <v>2008</v>
      </c>
      <c r="EM4192" t="s">
        <v>709</v>
      </c>
      <c r="EN4192" t="s">
        <v>854</v>
      </c>
    </row>
    <row r="4193" spans="142:144" x14ac:dyDescent="0.25">
      <c r="EL4193">
        <v>2008</v>
      </c>
      <c r="EM4193" t="s">
        <v>710</v>
      </c>
      <c r="EN4193" t="s">
        <v>854</v>
      </c>
    </row>
    <row r="4194" spans="142:144" x14ac:dyDescent="0.25">
      <c r="EL4194">
        <v>2008</v>
      </c>
      <c r="EM4194" t="s">
        <v>711</v>
      </c>
      <c r="EN4194" t="s">
        <v>854</v>
      </c>
    </row>
    <row r="4195" spans="142:144" x14ac:dyDescent="0.25">
      <c r="EL4195">
        <v>2008</v>
      </c>
      <c r="EM4195" t="s">
        <v>712</v>
      </c>
      <c r="EN4195" t="s">
        <v>854</v>
      </c>
    </row>
    <row r="4196" spans="142:144" x14ac:dyDescent="0.25">
      <c r="EL4196">
        <v>2009</v>
      </c>
      <c r="EM4196" t="s">
        <v>719</v>
      </c>
      <c r="EN4196" t="s">
        <v>854</v>
      </c>
    </row>
    <row r="4197" spans="142:144" x14ac:dyDescent="0.25">
      <c r="EL4197">
        <v>2009</v>
      </c>
      <c r="EM4197" t="s">
        <v>713</v>
      </c>
      <c r="EN4197" t="s">
        <v>854</v>
      </c>
    </row>
    <row r="4198" spans="142:144" x14ac:dyDescent="0.25">
      <c r="EL4198">
        <v>2009</v>
      </c>
      <c r="EM4198" t="s">
        <v>714</v>
      </c>
      <c r="EN4198" t="s">
        <v>854</v>
      </c>
    </row>
    <row r="4199" spans="142:144" x14ac:dyDescent="0.25">
      <c r="EL4199">
        <v>2009</v>
      </c>
      <c r="EM4199" t="s">
        <v>705</v>
      </c>
      <c r="EN4199" t="s">
        <v>854</v>
      </c>
    </row>
    <row r="4200" spans="142:144" x14ac:dyDescent="0.25">
      <c r="EL4200">
        <v>2009</v>
      </c>
      <c r="EM4200" t="s">
        <v>715</v>
      </c>
      <c r="EN4200" t="s">
        <v>854</v>
      </c>
    </row>
    <row r="4201" spans="142:144" x14ac:dyDescent="0.25">
      <c r="EL4201">
        <v>2009</v>
      </c>
      <c r="EM4201" t="s">
        <v>718</v>
      </c>
      <c r="EN4201" t="s">
        <v>854</v>
      </c>
    </row>
    <row r="4202" spans="142:144" x14ac:dyDescent="0.25">
      <c r="EL4202">
        <v>2009</v>
      </c>
      <c r="EM4202" t="s">
        <v>716</v>
      </c>
      <c r="EN4202" t="s">
        <v>854</v>
      </c>
    </row>
    <row r="4203" spans="142:144" x14ac:dyDescent="0.25">
      <c r="EL4203">
        <v>2009</v>
      </c>
      <c r="EM4203" t="s">
        <v>708</v>
      </c>
      <c r="EN4203" t="s">
        <v>854</v>
      </c>
    </row>
    <row r="4204" spans="142:144" x14ac:dyDescent="0.25">
      <c r="EL4204">
        <v>2009</v>
      </c>
      <c r="EM4204" t="s">
        <v>709</v>
      </c>
      <c r="EN4204" t="s">
        <v>854</v>
      </c>
    </row>
    <row r="4205" spans="142:144" x14ac:dyDescent="0.25">
      <c r="EL4205">
        <v>2009</v>
      </c>
      <c r="EM4205" t="s">
        <v>710</v>
      </c>
      <c r="EN4205" t="s">
        <v>854</v>
      </c>
    </row>
    <row r="4206" spans="142:144" x14ac:dyDescent="0.25">
      <c r="EL4206">
        <v>2009</v>
      </c>
      <c r="EM4206" t="s">
        <v>711</v>
      </c>
      <c r="EN4206" t="s">
        <v>854</v>
      </c>
    </row>
    <row r="4207" spans="142:144" x14ac:dyDescent="0.25">
      <c r="EL4207">
        <v>2009</v>
      </c>
      <c r="EM4207" t="s">
        <v>712</v>
      </c>
      <c r="EN4207" t="s">
        <v>854</v>
      </c>
    </row>
    <row r="4208" spans="142:144" x14ac:dyDescent="0.25">
      <c r="EL4208">
        <v>2010</v>
      </c>
      <c r="EM4208" t="s">
        <v>719</v>
      </c>
      <c r="EN4208" t="s">
        <v>854</v>
      </c>
    </row>
    <row r="4209" spans="142:144" x14ac:dyDescent="0.25">
      <c r="EL4209">
        <v>2010</v>
      </c>
      <c r="EM4209" t="s">
        <v>713</v>
      </c>
      <c r="EN4209" t="s">
        <v>854</v>
      </c>
    </row>
    <row r="4210" spans="142:144" x14ac:dyDescent="0.25">
      <c r="EL4210">
        <v>2010</v>
      </c>
      <c r="EM4210" t="s">
        <v>714</v>
      </c>
      <c r="EN4210" t="s">
        <v>854</v>
      </c>
    </row>
    <row r="4211" spans="142:144" x14ac:dyDescent="0.25">
      <c r="EL4211">
        <v>2010</v>
      </c>
      <c r="EM4211" t="s">
        <v>705</v>
      </c>
      <c r="EN4211" t="s">
        <v>854</v>
      </c>
    </row>
    <row r="4212" spans="142:144" x14ac:dyDescent="0.25">
      <c r="EL4212">
        <v>2010</v>
      </c>
      <c r="EM4212" t="s">
        <v>715</v>
      </c>
      <c r="EN4212" t="s">
        <v>854</v>
      </c>
    </row>
    <row r="4213" spans="142:144" x14ac:dyDescent="0.25">
      <c r="EL4213">
        <v>2010</v>
      </c>
      <c r="EM4213" t="s">
        <v>718</v>
      </c>
      <c r="EN4213" t="s">
        <v>854</v>
      </c>
    </row>
    <row r="4214" spans="142:144" x14ac:dyDescent="0.25">
      <c r="EL4214">
        <v>2010</v>
      </c>
      <c r="EM4214" t="s">
        <v>716</v>
      </c>
      <c r="EN4214" t="s">
        <v>854</v>
      </c>
    </row>
    <row r="4215" spans="142:144" x14ac:dyDescent="0.25">
      <c r="EL4215">
        <v>2010</v>
      </c>
      <c r="EM4215" t="s">
        <v>708</v>
      </c>
      <c r="EN4215" t="s">
        <v>854</v>
      </c>
    </row>
    <row r="4216" spans="142:144" x14ac:dyDescent="0.25">
      <c r="EL4216">
        <v>2010</v>
      </c>
      <c r="EM4216" t="s">
        <v>709</v>
      </c>
      <c r="EN4216" t="s">
        <v>854</v>
      </c>
    </row>
    <row r="4217" spans="142:144" x14ac:dyDescent="0.25">
      <c r="EL4217">
        <v>2010</v>
      </c>
      <c r="EM4217" t="s">
        <v>710</v>
      </c>
      <c r="EN4217" t="s">
        <v>854</v>
      </c>
    </row>
    <row r="4218" spans="142:144" x14ac:dyDescent="0.25">
      <c r="EL4218">
        <v>2010</v>
      </c>
      <c r="EM4218" t="s">
        <v>711</v>
      </c>
      <c r="EN4218" t="s">
        <v>854</v>
      </c>
    </row>
    <row r="4219" spans="142:144" x14ac:dyDescent="0.25">
      <c r="EL4219">
        <v>2010</v>
      </c>
      <c r="EM4219" t="s">
        <v>712</v>
      </c>
      <c r="EN4219" t="s">
        <v>854</v>
      </c>
    </row>
    <row r="4220" spans="142:144" x14ac:dyDescent="0.25">
      <c r="EL4220">
        <v>2011</v>
      </c>
      <c r="EM4220" t="s">
        <v>719</v>
      </c>
      <c r="EN4220" t="s">
        <v>854</v>
      </c>
    </row>
    <row r="4221" spans="142:144" x14ac:dyDescent="0.25">
      <c r="EL4221">
        <v>2011</v>
      </c>
      <c r="EM4221" t="s">
        <v>713</v>
      </c>
      <c r="EN4221" t="s">
        <v>854</v>
      </c>
    </row>
    <row r="4222" spans="142:144" x14ac:dyDescent="0.25">
      <c r="EL4222">
        <v>2011</v>
      </c>
      <c r="EM4222" t="s">
        <v>714</v>
      </c>
      <c r="EN4222" t="s">
        <v>854</v>
      </c>
    </row>
    <row r="4223" spans="142:144" x14ac:dyDescent="0.25">
      <c r="EL4223">
        <v>2011</v>
      </c>
      <c r="EM4223" t="s">
        <v>705</v>
      </c>
      <c r="EN4223" t="s">
        <v>854</v>
      </c>
    </row>
    <row r="4224" spans="142:144" x14ac:dyDescent="0.25">
      <c r="EL4224">
        <v>2011</v>
      </c>
      <c r="EM4224" t="s">
        <v>715</v>
      </c>
      <c r="EN4224" t="s">
        <v>854</v>
      </c>
    </row>
    <row r="4225" spans="142:144" x14ac:dyDescent="0.25">
      <c r="EL4225">
        <v>2011</v>
      </c>
      <c r="EM4225" t="s">
        <v>718</v>
      </c>
      <c r="EN4225" t="s">
        <v>854</v>
      </c>
    </row>
    <row r="4226" spans="142:144" x14ac:dyDescent="0.25">
      <c r="EL4226">
        <v>2011</v>
      </c>
      <c r="EM4226" t="s">
        <v>716</v>
      </c>
      <c r="EN4226" t="s">
        <v>854</v>
      </c>
    </row>
    <row r="4227" spans="142:144" x14ac:dyDescent="0.25">
      <c r="EL4227">
        <v>2011</v>
      </c>
      <c r="EM4227" t="s">
        <v>708</v>
      </c>
      <c r="EN4227" t="s">
        <v>854</v>
      </c>
    </row>
    <row r="4228" spans="142:144" x14ac:dyDescent="0.25">
      <c r="EL4228">
        <v>2011</v>
      </c>
      <c r="EM4228" t="s">
        <v>709</v>
      </c>
      <c r="EN4228" t="s">
        <v>854</v>
      </c>
    </row>
    <row r="4229" spans="142:144" x14ac:dyDescent="0.25">
      <c r="EL4229">
        <v>2011</v>
      </c>
      <c r="EM4229" t="s">
        <v>710</v>
      </c>
      <c r="EN4229" t="s">
        <v>854</v>
      </c>
    </row>
    <row r="4230" spans="142:144" x14ac:dyDescent="0.25">
      <c r="EL4230">
        <v>2011</v>
      </c>
      <c r="EM4230" t="s">
        <v>711</v>
      </c>
      <c r="EN4230" t="s">
        <v>854</v>
      </c>
    </row>
    <row r="4231" spans="142:144" x14ac:dyDescent="0.25">
      <c r="EL4231">
        <v>2011</v>
      </c>
      <c r="EM4231" t="s">
        <v>712</v>
      </c>
      <c r="EN4231" t="s">
        <v>854</v>
      </c>
    </row>
    <row r="4232" spans="142:144" x14ac:dyDescent="0.25">
      <c r="EL4232">
        <v>2012</v>
      </c>
      <c r="EM4232" t="s">
        <v>719</v>
      </c>
      <c r="EN4232" t="s">
        <v>854</v>
      </c>
    </row>
    <row r="4233" spans="142:144" x14ac:dyDescent="0.25">
      <c r="EL4233">
        <v>2012</v>
      </c>
      <c r="EM4233" t="s">
        <v>713</v>
      </c>
      <c r="EN4233" t="s">
        <v>854</v>
      </c>
    </row>
    <row r="4234" spans="142:144" x14ac:dyDescent="0.25">
      <c r="EL4234">
        <v>2012</v>
      </c>
      <c r="EM4234" t="s">
        <v>714</v>
      </c>
      <c r="EN4234" t="s">
        <v>854</v>
      </c>
    </row>
    <row r="4235" spans="142:144" x14ac:dyDescent="0.25">
      <c r="EL4235">
        <v>2012</v>
      </c>
      <c r="EM4235" t="s">
        <v>705</v>
      </c>
      <c r="EN4235" t="s">
        <v>854</v>
      </c>
    </row>
    <row r="4236" spans="142:144" x14ac:dyDescent="0.25">
      <c r="EL4236">
        <v>2012</v>
      </c>
      <c r="EM4236" t="s">
        <v>715</v>
      </c>
      <c r="EN4236" t="s">
        <v>854</v>
      </c>
    </row>
    <row r="4237" spans="142:144" x14ac:dyDescent="0.25">
      <c r="EL4237">
        <v>2012</v>
      </c>
      <c r="EM4237" t="s">
        <v>718</v>
      </c>
      <c r="EN4237" t="s">
        <v>854</v>
      </c>
    </row>
    <row r="4238" spans="142:144" x14ac:dyDescent="0.25">
      <c r="EL4238">
        <v>2012</v>
      </c>
      <c r="EM4238" t="s">
        <v>716</v>
      </c>
      <c r="EN4238" t="s">
        <v>854</v>
      </c>
    </row>
    <row r="4239" spans="142:144" x14ac:dyDescent="0.25">
      <c r="EL4239">
        <v>2012</v>
      </c>
      <c r="EM4239" t="s">
        <v>708</v>
      </c>
      <c r="EN4239" t="s">
        <v>854</v>
      </c>
    </row>
    <row r="4240" spans="142:144" x14ac:dyDescent="0.25">
      <c r="EL4240">
        <v>2012</v>
      </c>
      <c r="EM4240" t="s">
        <v>709</v>
      </c>
      <c r="EN4240" t="s">
        <v>854</v>
      </c>
    </row>
    <row r="4241" spans="142:145" x14ac:dyDescent="0.25">
      <c r="EL4241">
        <v>2012</v>
      </c>
      <c r="EM4241" t="s">
        <v>710</v>
      </c>
      <c r="EN4241" t="s">
        <v>854</v>
      </c>
    </row>
    <row r="4242" spans="142:145" x14ac:dyDescent="0.25">
      <c r="EL4242">
        <v>2012</v>
      </c>
      <c r="EM4242" t="s">
        <v>711</v>
      </c>
      <c r="EN4242" t="s">
        <v>854</v>
      </c>
    </row>
    <row r="4243" spans="142:145" x14ac:dyDescent="0.25">
      <c r="EL4243">
        <v>2012</v>
      </c>
      <c r="EM4243" t="s">
        <v>712</v>
      </c>
      <c r="EN4243" t="s">
        <v>854</v>
      </c>
    </row>
    <row r="4244" spans="142:145" x14ac:dyDescent="0.25">
      <c r="EL4244">
        <v>2013</v>
      </c>
      <c r="EM4244" t="s">
        <v>719</v>
      </c>
      <c r="EN4244" t="s">
        <v>854</v>
      </c>
    </row>
    <row r="4245" spans="142:145" x14ac:dyDescent="0.25">
      <c r="EL4245">
        <v>2013</v>
      </c>
      <c r="EM4245" t="s">
        <v>713</v>
      </c>
      <c r="EN4245" t="s">
        <v>854</v>
      </c>
    </row>
    <row r="4246" spans="142:145" x14ac:dyDescent="0.25">
      <c r="EL4246">
        <v>2013</v>
      </c>
      <c r="EM4246" t="s">
        <v>714</v>
      </c>
      <c r="EN4246" t="s">
        <v>854</v>
      </c>
    </row>
    <row r="4247" spans="142:145" x14ac:dyDescent="0.25">
      <c r="EL4247">
        <v>2013</v>
      </c>
      <c r="EM4247" t="s">
        <v>705</v>
      </c>
      <c r="EN4247" t="s">
        <v>854</v>
      </c>
    </row>
    <row r="4248" spans="142:145" x14ac:dyDescent="0.25">
      <c r="EL4248">
        <v>2013</v>
      </c>
      <c r="EM4248" t="s">
        <v>715</v>
      </c>
      <c r="EN4248" t="s">
        <v>854</v>
      </c>
    </row>
    <row r="4249" spans="142:145" x14ac:dyDescent="0.25">
      <c r="EL4249">
        <v>2013</v>
      </c>
      <c r="EM4249" t="s">
        <v>718</v>
      </c>
      <c r="EN4249" t="s">
        <v>854</v>
      </c>
    </row>
    <row r="4250" spans="142:145" x14ac:dyDescent="0.25">
      <c r="EL4250">
        <v>2013</v>
      </c>
      <c r="EM4250" t="s">
        <v>716</v>
      </c>
      <c r="EN4250" t="s">
        <v>854</v>
      </c>
    </row>
    <row r="4251" spans="142:145" x14ac:dyDescent="0.25">
      <c r="EL4251">
        <v>2013</v>
      </c>
      <c r="EM4251" t="s">
        <v>708</v>
      </c>
      <c r="EN4251" t="s">
        <v>854</v>
      </c>
    </row>
    <row r="4252" spans="142:145" x14ac:dyDescent="0.25">
      <c r="EL4252">
        <v>2013</v>
      </c>
      <c r="EM4252" t="s">
        <v>709</v>
      </c>
      <c r="EN4252" t="s">
        <v>854</v>
      </c>
    </row>
    <row r="4253" spans="142:145" x14ac:dyDescent="0.25">
      <c r="EL4253">
        <v>2013</v>
      </c>
      <c r="EM4253" t="s">
        <v>710</v>
      </c>
      <c r="EN4253" t="s">
        <v>854</v>
      </c>
      <c r="EO4253">
        <v>12.016</v>
      </c>
    </row>
    <row r="4254" spans="142:145" x14ac:dyDescent="0.25">
      <c r="EL4254">
        <v>2013</v>
      </c>
      <c r="EM4254" t="s">
        <v>711</v>
      </c>
      <c r="EN4254" t="s">
        <v>854</v>
      </c>
      <c r="EO4254">
        <v>11.5</v>
      </c>
    </row>
    <row r="4255" spans="142:145" x14ac:dyDescent="0.25">
      <c r="EL4255">
        <v>2013</v>
      </c>
      <c r="EM4255" t="s">
        <v>712</v>
      </c>
      <c r="EN4255" t="s">
        <v>854</v>
      </c>
      <c r="EO4255">
        <v>11.49</v>
      </c>
    </row>
    <row r="4256" spans="142:145" x14ac:dyDescent="0.25">
      <c r="EL4256">
        <v>2014</v>
      </c>
      <c r="EM4256" t="s">
        <v>719</v>
      </c>
      <c r="EN4256" t="s">
        <v>854</v>
      </c>
      <c r="EO4256">
        <v>11.98</v>
      </c>
    </row>
    <row r="4257" spans="142:145" x14ac:dyDescent="0.25">
      <c r="EL4257">
        <v>2014</v>
      </c>
      <c r="EM4257" t="s">
        <v>713</v>
      </c>
      <c r="EN4257" t="s">
        <v>854</v>
      </c>
      <c r="EO4257">
        <v>10.696999999999999</v>
      </c>
    </row>
    <row r="4258" spans="142:145" x14ac:dyDescent="0.25">
      <c r="EL4258">
        <v>2014</v>
      </c>
      <c r="EM4258" t="s">
        <v>714</v>
      </c>
      <c r="EN4258" t="s">
        <v>854</v>
      </c>
      <c r="EO4258">
        <v>11.803000000000001</v>
      </c>
    </row>
    <row r="4259" spans="142:145" x14ac:dyDescent="0.25">
      <c r="EL4259">
        <v>2014</v>
      </c>
      <c r="EM4259" t="s">
        <v>705</v>
      </c>
      <c r="EN4259" t="s">
        <v>854</v>
      </c>
      <c r="EO4259">
        <v>11.728999999999999</v>
      </c>
    </row>
    <row r="4260" spans="142:145" x14ac:dyDescent="0.25">
      <c r="EL4260">
        <v>2014</v>
      </c>
      <c r="EM4260" t="s">
        <v>715</v>
      </c>
      <c r="EN4260" t="s">
        <v>854</v>
      </c>
      <c r="EO4260">
        <v>12.486000000000001</v>
      </c>
    </row>
    <row r="4261" spans="142:145" x14ac:dyDescent="0.25">
      <c r="EL4261">
        <v>2014</v>
      </c>
      <c r="EM4261" t="s">
        <v>718</v>
      </c>
      <c r="EN4261" t="s">
        <v>854</v>
      </c>
      <c r="EO4261">
        <v>17.824000000000002</v>
      </c>
    </row>
    <row r="4262" spans="142:145" x14ac:dyDescent="0.25">
      <c r="EL4262">
        <v>2014</v>
      </c>
      <c r="EM4262" t="s">
        <v>716</v>
      </c>
      <c r="EN4262" t="s">
        <v>854</v>
      </c>
      <c r="EO4262">
        <v>18.262</v>
      </c>
    </row>
    <row r="4263" spans="142:145" x14ac:dyDescent="0.25">
      <c r="EL4263">
        <v>2014</v>
      </c>
      <c r="EM4263" t="s">
        <v>708</v>
      </c>
      <c r="EN4263" t="s">
        <v>854</v>
      </c>
      <c r="EO4263">
        <v>18.617000000000001</v>
      </c>
    </row>
    <row r="4264" spans="142:145" x14ac:dyDescent="0.25">
      <c r="EL4264">
        <v>2014</v>
      </c>
      <c r="EM4264" t="s">
        <v>709</v>
      </c>
      <c r="EN4264" t="s">
        <v>854</v>
      </c>
      <c r="EO4264">
        <v>17.126999999999999</v>
      </c>
    </row>
    <row r="4265" spans="142:145" x14ac:dyDescent="0.25">
      <c r="EL4265">
        <v>2014</v>
      </c>
      <c r="EM4265" t="s">
        <v>710</v>
      </c>
      <c r="EN4265" t="s">
        <v>854</v>
      </c>
      <c r="EO4265">
        <v>17.760000000000002</v>
      </c>
    </row>
    <row r="4266" spans="142:145" x14ac:dyDescent="0.25">
      <c r="EL4266">
        <v>2014</v>
      </c>
      <c r="EM4266" t="s">
        <v>711</v>
      </c>
      <c r="EN4266" t="s">
        <v>854</v>
      </c>
      <c r="EO4266">
        <v>17.489999999999998</v>
      </c>
    </row>
    <row r="4267" spans="142:145" x14ac:dyDescent="0.25">
      <c r="EL4267">
        <v>2014</v>
      </c>
      <c r="EM4267" t="s">
        <v>712</v>
      </c>
      <c r="EN4267" t="s">
        <v>854</v>
      </c>
      <c r="EO4267">
        <v>16.79</v>
      </c>
    </row>
    <row r="4268" spans="142:145" x14ac:dyDescent="0.25">
      <c r="EL4268">
        <v>2015</v>
      </c>
      <c r="EM4268" t="s">
        <v>719</v>
      </c>
      <c r="EN4268" t="s">
        <v>854</v>
      </c>
      <c r="EO4268">
        <v>17.600000000000001</v>
      </c>
    </row>
    <row r="4269" spans="142:145" x14ac:dyDescent="0.25">
      <c r="EL4269">
        <v>2015</v>
      </c>
      <c r="EM4269" t="s">
        <v>713</v>
      </c>
      <c r="EN4269" t="s">
        <v>854</v>
      </c>
      <c r="EO4269">
        <v>15.88</v>
      </c>
    </row>
    <row r="4270" spans="142:145" x14ac:dyDescent="0.25">
      <c r="EL4270">
        <v>2015</v>
      </c>
      <c r="EM4270" t="s">
        <v>714</v>
      </c>
      <c r="EN4270" t="s">
        <v>854</v>
      </c>
      <c r="EO4270">
        <v>18.28</v>
      </c>
    </row>
    <row r="4271" spans="142:145" x14ac:dyDescent="0.25">
      <c r="EL4271">
        <v>2015</v>
      </c>
      <c r="EM4271" t="s">
        <v>705</v>
      </c>
      <c r="EN4271" t="s">
        <v>854</v>
      </c>
      <c r="EO4271">
        <v>17.670000000000002</v>
      </c>
    </row>
    <row r="4272" spans="142:145" x14ac:dyDescent="0.25">
      <c r="EL4272">
        <v>2015</v>
      </c>
      <c r="EM4272" t="s">
        <v>715</v>
      </c>
      <c r="EN4272" t="s">
        <v>854</v>
      </c>
      <c r="EO4272">
        <v>18.3</v>
      </c>
    </row>
    <row r="4273" spans="142:145" x14ac:dyDescent="0.25">
      <c r="EL4273">
        <v>2015</v>
      </c>
      <c r="EM4273" t="s">
        <v>718</v>
      </c>
      <c r="EN4273" t="s">
        <v>854</v>
      </c>
      <c r="EO4273">
        <v>19.37</v>
      </c>
    </row>
    <row r="4274" spans="142:145" x14ac:dyDescent="0.25">
      <c r="EL4274">
        <v>2015</v>
      </c>
      <c r="EM4274" t="s">
        <v>716</v>
      </c>
      <c r="EN4274" t="s">
        <v>854</v>
      </c>
      <c r="EO4274">
        <v>17.850000000000001</v>
      </c>
    </row>
    <row r="4275" spans="142:145" x14ac:dyDescent="0.25">
      <c r="EL4275">
        <v>2015</v>
      </c>
      <c r="EM4275" t="s">
        <v>708</v>
      </c>
      <c r="EN4275" t="s">
        <v>854</v>
      </c>
      <c r="EO4275">
        <v>16.43</v>
      </c>
    </row>
    <row r="4276" spans="142:145" x14ac:dyDescent="0.25">
      <c r="EL4276">
        <v>2015</v>
      </c>
      <c r="EM4276" t="s">
        <v>709</v>
      </c>
      <c r="EN4276" t="s">
        <v>854</v>
      </c>
      <c r="EO4276">
        <v>13.77</v>
      </c>
    </row>
    <row r="4277" spans="142:145" x14ac:dyDescent="0.25">
      <c r="EL4277">
        <v>2015</v>
      </c>
      <c r="EM4277" t="s">
        <v>710</v>
      </c>
      <c r="EN4277" t="s">
        <v>854</v>
      </c>
      <c r="EO4277">
        <v>14.35</v>
      </c>
    </row>
    <row r="4278" spans="142:145" x14ac:dyDescent="0.25">
      <c r="EL4278">
        <v>2015</v>
      </c>
      <c r="EM4278" t="s">
        <v>711</v>
      </c>
      <c r="EN4278" t="s">
        <v>854</v>
      </c>
      <c r="EO4278">
        <v>14.72</v>
      </c>
    </row>
    <row r="4279" spans="142:145" x14ac:dyDescent="0.25">
      <c r="EL4279">
        <v>2015</v>
      </c>
      <c r="EM4279" t="s">
        <v>712</v>
      </c>
      <c r="EN4279" t="s">
        <v>854</v>
      </c>
      <c r="EO4279">
        <v>16.59</v>
      </c>
    </row>
    <row r="4280" spans="142:145" x14ac:dyDescent="0.25">
      <c r="EL4280">
        <v>2016</v>
      </c>
      <c r="EM4280" t="s">
        <v>719</v>
      </c>
      <c r="EN4280" t="s">
        <v>854</v>
      </c>
      <c r="EO4280">
        <v>16.100000000000001</v>
      </c>
    </row>
    <row r="4281" spans="142:145" x14ac:dyDescent="0.25">
      <c r="EL4281">
        <v>2016</v>
      </c>
      <c r="EM4281" t="s">
        <v>713</v>
      </c>
      <c r="EN4281" t="s">
        <v>854</v>
      </c>
      <c r="EO4281">
        <v>16.5</v>
      </c>
    </row>
    <row r="4282" spans="142:145" x14ac:dyDescent="0.25">
      <c r="EL4282">
        <v>2016</v>
      </c>
      <c r="EM4282" t="s">
        <v>714</v>
      </c>
      <c r="EN4282" t="s">
        <v>854</v>
      </c>
      <c r="EO4282">
        <v>16.5</v>
      </c>
    </row>
    <row r="4283" spans="142:145" x14ac:dyDescent="0.25">
      <c r="EL4283">
        <v>2016</v>
      </c>
      <c r="EM4283" t="s">
        <v>705</v>
      </c>
      <c r="EN4283" t="s">
        <v>854</v>
      </c>
      <c r="EO4283">
        <v>16.149999999999999</v>
      </c>
    </row>
    <row r="4284" spans="142:145" x14ac:dyDescent="0.25">
      <c r="EL4284">
        <v>2016</v>
      </c>
      <c r="EM4284" t="s">
        <v>715</v>
      </c>
      <c r="EN4284" t="s">
        <v>854</v>
      </c>
      <c r="EO4284">
        <v>16.93</v>
      </c>
    </row>
    <row r="4285" spans="142:145" x14ac:dyDescent="0.25">
      <c r="EL4285">
        <v>2016</v>
      </c>
      <c r="EM4285" t="s">
        <v>718</v>
      </c>
      <c r="EN4285" t="s">
        <v>854</v>
      </c>
      <c r="EO4285">
        <v>10.83</v>
      </c>
    </row>
    <row r="4286" spans="142:145" x14ac:dyDescent="0.25">
      <c r="EL4286">
        <v>2016</v>
      </c>
      <c r="EM4286" t="s">
        <v>716</v>
      </c>
      <c r="EN4286" t="s">
        <v>854</v>
      </c>
      <c r="EO4286">
        <v>15.06</v>
      </c>
    </row>
    <row r="4287" spans="142:145" x14ac:dyDescent="0.25">
      <c r="EL4287">
        <v>2016</v>
      </c>
      <c r="EM4287" t="s">
        <v>708</v>
      </c>
      <c r="EN4287" t="s">
        <v>854</v>
      </c>
      <c r="EO4287">
        <v>17.04</v>
      </c>
    </row>
    <row r="4288" spans="142:145" x14ac:dyDescent="0.25">
      <c r="EL4288">
        <v>2016</v>
      </c>
      <c r="EM4288" t="s">
        <v>709</v>
      </c>
      <c r="EN4288" t="s">
        <v>854</v>
      </c>
      <c r="EO4288">
        <v>16.239999999999998</v>
      </c>
    </row>
    <row r="4289" spans="142:145" x14ac:dyDescent="0.25">
      <c r="EL4289">
        <v>2016</v>
      </c>
      <c r="EM4289" t="s">
        <v>710</v>
      </c>
      <c r="EN4289" t="s">
        <v>854</v>
      </c>
      <c r="EO4289">
        <v>16.309999999999999</v>
      </c>
    </row>
    <row r="4290" spans="142:145" x14ac:dyDescent="0.25">
      <c r="EL4290">
        <v>2016</v>
      </c>
      <c r="EM4290" t="s">
        <v>711</v>
      </c>
      <c r="EN4290" t="s">
        <v>854</v>
      </c>
      <c r="EO4290">
        <v>17.22</v>
      </c>
    </row>
    <row r="4291" spans="142:145" x14ac:dyDescent="0.25">
      <c r="EL4291">
        <v>2016</v>
      </c>
      <c r="EM4291" t="s">
        <v>712</v>
      </c>
      <c r="EN4291" t="s">
        <v>854</v>
      </c>
      <c r="EO4291">
        <v>17.11</v>
      </c>
    </row>
    <row r="4292" spans="142:145" x14ac:dyDescent="0.25">
      <c r="EL4292">
        <v>2017</v>
      </c>
      <c r="EM4292" t="s">
        <v>719</v>
      </c>
      <c r="EN4292" t="s">
        <v>854</v>
      </c>
      <c r="EO4292">
        <v>16.57</v>
      </c>
    </row>
    <row r="4293" spans="142:145" x14ac:dyDescent="0.25">
      <c r="EL4293">
        <v>2017</v>
      </c>
      <c r="EM4293" t="s">
        <v>713</v>
      </c>
      <c r="EN4293" t="s">
        <v>854</v>
      </c>
      <c r="EO4293">
        <v>14.76</v>
      </c>
    </row>
    <row r="4294" spans="142:145" x14ac:dyDescent="0.25">
      <c r="EL4294">
        <v>2017</v>
      </c>
      <c r="EM4294" t="s">
        <v>714</v>
      </c>
      <c r="EN4294" t="s">
        <v>854</v>
      </c>
      <c r="EO4294">
        <v>16.39</v>
      </c>
    </row>
    <row r="4295" spans="142:145" x14ac:dyDescent="0.25">
      <c r="EL4295">
        <v>2017</v>
      </c>
      <c r="EM4295" t="s">
        <v>705</v>
      </c>
      <c r="EN4295" t="s">
        <v>854</v>
      </c>
      <c r="EO4295">
        <v>16.09</v>
      </c>
    </row>
    <row r="4296" spans="142:145" x14ac:dyDescent="0.25">
      <c r="EL4296">
        <v>2017</v>
      </c>
      <c r="EM4296" t="s">
        <v>715</v>
      </c>
      <c r="EN4296" t="s">
        <v>854</v>
      </c>
      <c r="EO4296">
        <v>17.73</v>
      </c>
    </row>
    <row r="4297" spans="142:145" x14ac:dyDescent="0.25">
      <c r="EL4297">
        <v>2017</v>
      </c>
      <c r="EM4297" t="s">
        <v>718</v>
      </c>
      <c r="EN4297" t="s">
        <v>854</v>
      </c>
      <c r="EO4297">
        <v>16.7</v>
      </c>
    </row>
    <row r="4298" spans="142:145" x14ac:dyDescent="0.25">
      <c r="EL4298">
        <v>2017</v>
      </c>
      <c r="EM4298" t="s">
        <v>716</v>
      </c>
      <c r="EN4298" t="s">
        <v>854</v>
      </c>
      <c r="EO4298">
        <v>18.39</v>
      </c>
    </row>
    <row r="4299" spans="142:145" x14ac:dyDescent="0.25">
      <c r="EL4299">
        <v>2017</v>
      </c>
      <c r="EM4299" t="s">
        <v>708</v>
      </c>
      <c r="EN4299" t="s">
        <v>854</v>
      </c>
      <c r="EO4299">
        <v>19.54</v>
      </c>
    </row>
    <row r="4300" spans="142:145" x14ac:dyDescent="0.25">
      <c r="EL4300">
        <v>2017</v>
      </c>
      <c r="EM4300" t="s">
        <v>709</v>
      </c>
      <c r="EN4300" t="s">
        <v>854</v>
      </c>
      <c r="EO4300">
        <v>19.18</v>
      </c>
    </row>
    <row r="4301" spans="142:145" x14ac:dyDescent="0.25">
      <c r="EL4301">
        <v>2017</v>
      </c>
      <c r="EM4301" t="s">
        <v>710</v>
      </c>
      <c r="EN4301" t="s">
        <v>854</v>
      </c>
      <c r="EO4301">
        <v>19.579999999999998</v>
      </c>
    </row>
    <row r="4302" spans="142:145" x14ac:dyDescent="0.25">
      <c r="EL4302">
        <v>2017</v>
      </c>
      <c r="EM4302" t="s">
        <v>711</v>
      </c>
      <c r="EN4302" t="s">
        <v>854</v>
      </c>
      <c r="EO4302">
        <v>18.579999999999998</v>
      </c>
    </row>
    <row r="4303" spans="142:145" x14ac:dyDescent="0.25">
      <c r="EL4303">
        <v>2017</v>
      </c>
      <c r="EM4303" t="s">
        <v>712</v>
      </c>
      <c r="EN4303" t="s">
        <v>854</v>
      </c>
      <c r="EO4303">
        <v>18.62</v>
      </c>
    </row>
    <row r="4304" spans="142:145" x14ac:dyDescent="0.25">
      <c r="EL4304">
        <v>2018</v>
      </c>
      <c r="EM4304" t="s">
        <v>719</v>
      </c>
      <c r="EN4304" t="s">
        <v>854</v>
      </c>
      <c r="EO4304">
        <v>17.87</v>
      </c>
    </row>
    <row r="4305" spans="142:145" x14ac:dyDescent="0.25">
      <c r="EL4305">
        <v>2018</v>
      </c>
      <c r="EM4305" t="s">
        <v>713</v>
      </c>
      <c r="EN4305" t="s">
        <v>854</v>
      </c>
      <c r="EO4305">
        <v>18.2</v>
      </c>
    </row>
    <row r="4306" spans="142:145" x14ac:dyDescent="0.25">
      <c r="EL4306">
        <v>2018</v>
      </c>
      <c r="EM4306" t="s">
        <v>714</v>
      </c>
      <c r="EN4306" t="s">
        <v>854</v>
      </c>
      <c r="EO4306">
        <v>18.920000000000002</v>
      </c>
    </row>
    <row r="4307" spans="142:145" x14ac:dyDescent="0.25">
      <c r="EL4307">
        <v>2018</v>
      </c>
      <c r="EM4307" t="s">
        <v>705</v>
      </c>
      <c r="EN4307" t="s">
        <v>854</v>
      </c>
      <c r="EO4307">
        <v>19.55</v>
      </c>
    </row>
    <row r="4308" spans="142:145" x14ac:dyDescent="0.25">
      <c r="EL4308">
        <v>2018</v>
      </c>
      <c r="EM4308" t="s">
        <v>715</v>
      </c>
      <c r="EN4308" t="s">
        <v>854</v>
      </c>
      <c r="EO4308">
        <v>20.99</v>
      </c>
    </row>
    <row r="4309" spans="142:145" x14ac:dyDescent="0.25">
      <c r="EL4309">
        <v>2018</v>
      </c>
      <c r="EM4309" t="s">
        <v>718</v>
      </c>
      <c r="EN4309" t="s">
        <v>854</v>
      </c>
      <c r="EO4309">
        <v>18.77</v>
      </c>
    </row>
    <row r="4310" spans="142:145" x14ac:dyDescent="0.25">
      <c r="EL4310">
        <v>2018</v>
      </c>
      <c r="EM4310" t="s">
        <v>716</v>
      </c>
      <c r="EN4310" t="s">
        <v>854</v>
      </c>
      <c r="EO4310">
        <v>19.78</v>
      </c>
    </row>
    <row r="4311" spans="142:145" x14ac:dyDescent="0.25">
      <c r="EL4311">
        <v>2018</v>
      </c>
      <c r="EM4311" t="s">
        <v>708</v>
      </c>
      <c r="EN4311" t="s">
        <v>854</v>
      </c>
      <c r="EO4311">
        <v>19.57</v>
      </c>
    </row>
    <row r="4312" spans="142:145" x14ac:dyDescent="0.25">
      <c r="EL4312">
        <v>2018</v>
      </c>
      <c r="EM4312" t="s">
        <v>709</v>
      </c>
      <c r="EN4312" t="s">
        <v>854</v>
      </c>
      <c r="EO4312">
        <v>20.8</v>
      </c>
    </row>
    <row r="4313" spans="142:145" x14ac:dyDescent="0.25">
      <c r="EL4313">
        <v>2018</v>
      </c>
      <c r="EM4313" t="s">
        <v>710</v>
      </c>
      <c r="EN4313" t="s">
        <v>854</v>
      </c>
      <c r="EO4313">
        <v>21.75</v>
      </c>
    </row>
    <row r="4314" spans="142:145" x14ac:dyDescent="0.25">
      <c r="EL4314">
        <v>2018</v>
      </c>
      <c r="EM4314" t="s">
        <v>711</v>
      </c>
      <c r="EN4314" t="s">
        <v>854</v>
      </c>
      <c r="EO4314">
        <v>21.9</v>
      </c>
    </row>
    <row r="4315" spans="142:145" x14ac:dyDescent="0.25">
      <c r="EL4315">
        <v>2018</v>
      </c>
      <c r="EM4315" t="s">
        <v>712</v>
      </c>
      <c r="EN4315" t="s">
        <v>854</v>
      </c>
      <c r="EO4315">
        <v>23.42</v>
      </c>
    </row>
    <row r="4316" spans="142:145" x14ac:dyDescent="0.25">
      <c r="EL4316">
        <v>2019</v>
      </c>
      <c r="EM4316" t="s">
        <v>719</v>
      </c>
      <c r="EN4316" t="s">
        <v>854</v>
      </c>
      <c r="EO4316">
        <v>24.24</v>
      </c>
    </row>
    <row r="4317" spans="142:145" x14ac:dyDescent="0.25">
      <c r="EL4317">
        <v>2019</v>
      </c>
      <c r="EM4317" t="s">
        <v>713</v>
      </c>
      <c r="EN4317" t="s">
        <v>854</v>
      </c>
      <c r="EO4317">
        <v>22.82</v>
      </c>
    </row>
    <row r="4318" spans="142:145" x14ac:dyDescent="0.25">
      <c r="EL4318">
        <v>2019</v>
      </c>
      <c r="EM4318" t="s">
        <v>714</v>
      </c>
      <c r="EN4318" t="s">
        <v>854</v>
      </c>
      <c r="EO4318">
        <v>23.79</v>
      </c>
    </row>
    <row r="4319" spans="142:145" x14ac:dyDescent="0.25">
      <c r="EL4319">
        <v>2019</v>
      </c>
      <c r="EM4319" t="s">
        <v>705</v>
      </c>
      <c r="EN4319" t="s">
        <v>854</v>
      </c>
      <c r="EO4319">
        <v>20.76</v>
      </c>
    </row>
    <row r="4320" spans="142:145" x14ac:dyDescent="0.25">
      <c r="EL4320">
        <v>2019</v>
      </c>
      <c r="EM4320" t="s">
        <v>715</v>
      </c>
      <c r="EN4320" t="s">
        <v>854</v>
      </c>
      <c r="EO4320">
        <v>20.82</v>
      </c>
    </row>
    <row r="4321" spans="142:145" x14ac:dyDescent="0.25">
      <c r="EL4321">
        <v>2019</v>
      </c>
      <c r="EM4321" t="s">
        <v>718</v>
      </c>
      <c r="EN4321" t="s">
        <v>854</v>
      </c>
      <c r="EO4321">
        <v>18.809999999999999</v>
      </c>
    </row>
    <row r="4322" spans="142:145" x14ac:dyDescent="0.25">
      <c r="EL4322">
        <v>2019</v>
      </c>
      <c r="EM4322" t="s">
        <v>716</v>
      </c>
      <c r="EN4322" t="s">
        <v>854</v>
      </c>
      <c r="EO4322">
        <v>19.46</v>
      </c>
    </row>
    <row r="4323" spans="142:145" x14ac:dyDescent="0.25">
      <c r="EL4323">
        <v>2019</v>
      </c>
      <c r="EM4323" t="s">
        <v>708</v>
      </c>
      <c r="EN4323" t="s">
        <v>854</v>
      </c>
      <c r="EO4323">
        <v>19.239999999999998</v>
      </c>
    </row>
    <row r="4324" spans="142:145" x14ac:dyDescent="0.25">
      <c r="EL4324">
        <v>2019</v>
      </c>
      <c r="EM4324" t="s">
        <v>709</v>
      </c>
      <c r="EN4324" t="s">
        <v>854</v>
      </c>
      <c r="EO4324">
        <v>18.350000000000001</v>
      </c>
    </row>
    <row r="4325" spans="142:145" x14ac:dyDescent="0.25">
      <c r="EL4325">
        <v>2019</v>
      </c>
      <c r="EM4325" t="s">
        <v>710</v>
      </c>
      <c r="EN4325" t="s">
        <v>854</v>
      </c>
      <c r="EO4325">
        <v>19.28</v>
      </c>
    </row>
    <row r="4326" spans="142:145" x14ac:dyDescent="0.25">
      <c r="EL4326">
        <v>2019</v>
      </c>
      <c r="EM4326" t="s">
        <v>711</v>
      </c>
      <c r="EN4326" t="s">
        <v>854</v>
      </c>
      <c r="EO4326">
        <v>18.52</v>
      </c>
    </row>
    <row r="4327" spans="142:145" x14ac:dyDescent="0.25">
      <c r="EL4327">
        <v>2019</v>
      </c>
      <c r="EM4327" t="s">
        <v>712</v>
      </c>
      <c r="EN4327" t="s">
        <v>854</v>
      </c>
      <c r="EO4327">
        <v>13.7</v>
      </c>
    </row>
    <row r="4328" spans="142:145" x14ac:dyDescent="0.25">
      <c r="EL4328">
        <v>2020</v>
      </c>
      <c r="EM4328" t="s">
        <v>719</v>
      </c>
      <c r="EN4328" t="s">
        <v>854</v>
      </c>
      <c r="EO4328">
        <v>19.989999999999998</v>
      </c>
    </row>
    <row r="4329" spans="142:145" x14ac:dyDescent="0.25">
      <c r="EL4329">
        <v>2020</v>
      </c>
      <c r="EM4329" t="s">
        <v>713</v>
      </c>
      <c r="EN4329" t="s">
        <v>854</v>
      </c>
      <c r="EO4329">
        <v>13.55</v>
      </c>
    </row>
    <row r="4330" spans="142:145" x14ac:dyDescent="0.25">
      <c r="EL4330">
        <v>2020</v>
      </c>
      <c r="EM4330" t="s">
        <v>714</v>
      </c>
      <c r="EN4330" t="s">
        <v>854</v>
      </c>
      <c r="EO4330">
        <v>13.47</v>
      </c>
    </row>
    <row r="4331" spans="142:145" x14ac:dyDescent="0.25">
      <c r="EL4331">
        <v>2020</v>
      </c>
      <c r="EM4331" t="s">
        <v>705</v>
      </c>
      <c r="EN4331" t="s">
        <v>854</v>
      </c>
      <c r="EO4331">
        <v>17.809999999999999</v>
      </c>
    </row>
    <row r="4332" spans="142:145" x14ac:dyDescent="0.25">
      <c r="EL4332">
        <v>2020</v>
      </c>
      <c r="EM4332" t="s">
        <v>715</v>
      </c>
      <c r="EN4332" t="s">
        <v>854</v>
      </c>
      <c r="EO4332">
        <v>12.08</v>
      </c>
    </row>
    <row r="4333" spans="142:145" x14ac:dyDescent="0.25">
      <c r="EL4333">
        <v>2020</v>
      </c>
      <c r="EM4333" t="s">
        <v>718</v>
      </c>
      <c r="EN4333" t="s">
        <v>854</v>
      </c>
      <c r="EO4333">
        <v>17.149999999999999</v>
      </c>
    </row>
    <row r="4334" spans="142:145" x14ac:dyDescent="0.25">
      <c r="EL4334">
        <v>2020</v>
      </c>
      <c r="EM4334" t="s">
        <v>716</v>
      </c>
      <c r="EN4334" t="s">
        <v>854</v>
      </c>
      <c r="EO4334">
        <v>17.88</v>
      </c>
    </row>
    <row r="4335" spans="142:145" x14ac:dyDescent="0.25">
      <c r="EL4335">
        <v>2020</v>
      </c>
      <c r="EM4335" t="s">
        <v>708</v>
      </c>
      <c r="EN4335" t="s">
        <v>854</v>
      </c>
      <c r="EO4335">
        <v>17.579999999999998</v>
      </c>
    </row>
    <row r="4336" spans="142:145" x14ac:dyDescent="0.25">
      <c r="EL4336">
        <v>2020</v>
      </c>
      <c r="EM4336" t="s">
        <v>709</v>
      </c>
      <c r="EN4336" t="s">
        <v>854</v>
      </c>
      <c r="EO4336">
        <v>12.19</v>
      </c>
    </row>
    <row r="4337" spans="142:145" x14ac:dyDescent="0.25">
      <c r="EL4337">
        <v>2020</v>
      </c>
      <c r="EM4337" t="s">
        <v>710</v>
      </c>
      <c r="EN4337" t="s">
        <v>854</v>
      </c>
      <c r="EO4337">
        <v>13.25</v>
      </c>
    </row>
    <row r="4338" spans="142:145" x14ac:dyDescent="0.25">
      <c r="EL4338">
        <v>2020</v>
      </c>
      <c r="EM4338" t="s">
        <v>711</v>
      </c>
      <c r="EN4338" t="s">
        <v>854</v>
      </c>
      <c r="EO4338">
        <v>12.3</v>
      </c>
    </row>
    <row r="4339" spans="142:145" x14ac:dyDescent="0.25">
      <c r="EL4339">
        <v>2020</v>
      </c>
      <c r="EM4339" t="s">
        <v>712</v>
      </c>
      <c r="EN4339" t="s">
        <v>854</v>
      </c>
      <c r="EO4339">
        <v>19.829999999999998</v>
      </c>
    </row>
    <row r="4340" spans="142:145" x14ac:dyDescent="0.25">
      <c r="EL4340">
        <v>2021</v>
      </c>
      <c r="EM4340" t="s">
        <v>719</v>
      </c>
      <c r="EN4340" t="s">
        <v>854</v>
      </c>
      <c r="EO4340">
        <v>20.059999999999999</v>
      </c>
    </row>
    <row r="4341" spans="142:145" x14ac:dyDescent="0.25">
      <c r="EL4341">
        <v>2021</v>
      </c>
      <c r="EM4341" t="s">
        <v>713</v>
      </c>
      <c r="EN4341" t="s">
        <v>854</v>
      </c>
      <c r="EO4341">
        <v>19.36</v>
      </c>
    </row>
    <row r="4342" spans="142:145" x14ac:dyDescent="0.25">
      <c r="EL4342">
        <v>2021</v>
      </c>
      <c r="EM4342" t="s">
        <v>714</v>
      </c>
      <c r="EN4342" t="s">
        <v>854</v>
      </c>
      <c r="EO4342">
        <v>18.239999999999998</v>
      </c>
    </row>
    <row r="4343" spans="142:145" x14ac:dyDescent="0.25">
      <c r="EL4343">
        <v>2021</v>
      </c>
      <c r="EM4343" t="s">
        <v>705</v>
      </c>
      <c r="EN4343" t="s">
        <v>854</v>
      </c>
      <c r="EO4343">
        <v>17</v>
      </c>
    </row>
    <row r="4344" spans="142:145" x14ac:dyDescent="0.25">
      <c r="EL4344">
        <v>2021</v>
      </c>
      <c r="EM4344" t="s">
        <v>715</v>
      </c>
      <c r="EN4344" t="s">
        <v>854</v>
      </c>
      <c r="EO4344">
        <v>20.190000000000001</v>
      </c>
    </row>
    <row r="4345" spans="142:145" x14ac:dyDescent="0.25">
      <c r="EL4345">
        <v>2021</v>
      </c>
      <c r="EM4345" t="s">
        <v>718</v>
      </c>
      <c r="EN4345" t="s">
        <v>854</v>
      </c>
      <c r="EO4345">
        <v>18.920000000000002</v>
      </c>
    </row>
    <row r="4346" spans="142:145" x14ac:dyDescent="0.25">
      <c r="EL4346">
        <v>2021</v>
      </c>
      <c r="EM4346" t="s">
        <v>716</v>
      </c>
      <c r="EN4346" t="s">
        <v>854</v>
      </c>
      <c r="EO4346">
        <v>19.079999999999998</v>
      </c>
    </row>
    <row r="4347" spans="142:145" x14ac:dyDescent="0.25">
      <c r="EL4347">
        <v>2021</v>
      </c>
      <c r="EM4347" t="s">
        <v>708</v>
      </c>
      <c r="EN4347" t="s">
        <v>854</v>
      </c>
      <c r="EO4347">
        <v>20.13</v>
      </c>
    </row>
    <row r="4348" spans="142:145" x14ac:dyDescent="0.25">
      <c r="EL4348">
        <v>2021</v>
      </c>
      <c r="EM4348" t="s">
        <v>709</v>
      </c>
      <c r="EN4348" t="s">
        <v>854</v>
      </c>
      <c r="EO4348">
        <v>19.02</v>
      </c>
    </row>
    <row r="4349" spans="142:145" x14ac:dyDescent="0.25">
      <c r="EL4349">
        <v>2021</v>
      </c>
      <c r="EM4349" t="s">
        <v>710</v>
      </c>
      <c r="EN4349" t="s">
        <v>854</v>
      </c>
      <c r="EO4349">
        <v>19.28</v>
      </c>
    </row>
    <row r="4350" spans="142:145" x14ac:dyDescent="0.25">
      <c r="EL4350">
        <v>2021</v>
      </c>
      <c r="EM4350" t="s">
        <v>711</v>
      </c>
      <c r="EN4350" t="s">
        <v>854</v>
      </c>
      <c r="EO4350">
        <v>17.89</v>
      </c>
    </row>
    <row r="4351" spans="142:145" x14ac:dyDescent="0.25">
      <c r="EL4351">
        <v>2021</v>
      </c>
      <c r="EM4351" t="s">
        <v>712</v>
      </c>
      <c r="EN4351" t="s">
        <v>854</v>
      </c>
      <c r="EO4351">
        <v>20.81</v>
      </c>
    </row>
    <row r="4352" spans="142:145" x14ac:dyDescent="0.25">
      <c r="EL4352">
        <v>2022</v>
      </c>
      <c r="EM4352" t="s">
        <v>719</v>
      </c>
      <c r="EN4352" t="s">
        <v>854</v>
      </c>
      <c r="EO4352">
        <v>21.51</v>
      </c>
    </row>
    <row r="4353" spans="142:145" x14ac:dyDescent="0.25">
      <c r="EL4353">
        <v>2022</v>
      </c>
      <c r="EM4353" t="s">
        <v>713</v>
      </c>
      <c r="EN4353" t="s">
        <v>854</v>
      </c>
      <c r="EO4353">
        <v>21.02</v>
      </c>
    </row>
    <row r="4354" spans="142:145" x14ac:dyDescent="0.25">
      <c r="EL4354">
        <v>2022</v>
      </c>
      <c r="EM4354" t="s">
        <v>714</v>
      </c>
      <c r="EN4354" t="s">
        <v>854</v>
      </c>
      <c r="EO4354">
        <v>21.94</v>
      </c>
    </row>
    <row r="4355" spans="142:145" x14ac:dyDescent="0.25">
      <c r="EL4355">
        <v>2022</v>
      </c>
      <c r="EM4355" t="s">
        <v>705</v>
      </c>
      <c r="EN4355" t="s">
        <v>854</v>
      </c>
      <c r="EO4355">
        <v>20.99</v>
      </c>
    </row>
    <row r="4356" spans="142:145" x14ac:dyDescent="0.25">
      <c r="EL4356">
        <v>2022</v>
      </c>
      <c r="EM4356" t="s">
        <v>715</v>
      </c>
      <c r="EN4356" t="s">
        <v>854</v>
      </c>
      <c r="EO4356">
        <v>23.28</v>
      </c>
    </row>
    <row r="4357" spans="142:145" x14ac:dyDescent="0.25">
      <c r="EL4357">
        <v>2022</v>
      </c>
      <c r="EM4357" t="s">
        <v>718</v>
      </c>
      <c r="EN4357" t="s">
        <v>854</v>
      </c>
      <c r="EO4357">
        <v>22.73</v>
      </c>
    </row>
    <row r="4358" spans="142:145" x14ac:dyDescent="0.25">
      <c r="EL4358">
        <v>2022</v>
      </c>
      <c r="EM4358" t="s">
        <v>716</v>
      </c>
      <c r="EN4358" t="s">
        <v>854</v>
      </c>
      <c r="EO4358">
        <v>23.36</v>
      </c>
    </row>
    <row r="4359" spans="142:145" x14ac:dyDescent="0.25">
      <c r="EL4359">
        <v>2022</v>
      </c>
      <c r="EM4359" t="s">
        <v>708</v>
      </c>
      <c r="EN4359" t="s">
        <v>854</v>
      </c>
      <c r="EO4359">
        <v>22.42</v>
      </c>
    </row>
    <row r="4360" spans="142:145" x14ac:dyDescent="0.25">
      <c r="EL4360">
        <v>2022</v>
      </c>
      <c r="EM4360" t="s">
        <v>709</v>
      </c>
      <c r="EN4360" t="s">
        <v>854</v>
      </c>
      <c r="EO4360">
        <v>21.24</v>
      </c>
    </row>
    <row r="4361" spans="142:145" x14ac:dyDescent="0.25">
      <c r="EL4361">
        <v>2022</v>
      </c>
      <c r="EM4361" t="s">
        <v>710</v>
      </c>
      <c r="EN4361" t="s">
        <v>854</v>
      </c>
      <c r="EO4361">
        <v>21.75</v>
      </c>
    </row>
    <row r="4362" spans="142:145" x14ac:dyDescent="0.25">
      <c r="EL4362">
        <v>2022</v>
      </c>
      <c r="EM4362" t="s">
        <v>711</v>
      </c>
      <c r="EN4362" t="s">
        <v>854</v>
      </c>
      <c r="EO4362">
        <v>20.82</v>
      </c>
    </row>
    <row r="4363" spans="142:145" x14ac:dyDescent="0.25">
      <c r="EL4363">
        <v>2022</v>
      </c>
      <c r="EM4363" t="s">
        <v>712</v>
      </c>
      <c r="EN4363" t="s">
        <v>854</v>
      </c>
      <c r="EO4363">
        <v>21.3</v>
      </c>
    </row>
    <row r="4364" spans="142:145" x14ac:dyDescent="0.25">
      <c r="EL4364">
        <v>2023</v>
      </c>
      <c r="EM4364" t="s">
        <v>719</v>
      </c>
      <c r="EN4364" t="s">
        <v>854</v>
      </c>
      <c r="EO4364">
        <v>21.21</v>
      </c>
    </row>
    <row r="4365" spans="142:145" x14ac:dyDescent="0.25">
      <c r="EL4365">
        <v>2023</v>
      </c>
      <c r="EM4365" t="s">
        <v>713</v>
      </c>
      <c r="EN4365" t="s">
        <v>854</v>
      </c>
      <c r="EO4365">
        <v>19.68</v>
      </c>
    </row>
    <row r="4366" spans="142:145" x14ac:dyDescent="0.25">
      <c r="EL4366">
        <v>2023</v>
      </c>
      <c r="EM4366" t="s">
        <v>714</v>
      </c>
      <c r="EN4366" t="s">
        <v>854</v>
      </c>
      <c r="EO4366">
        <v>21.19</v>
      </c>
    </row>
    <row r="4367" spans="142:145" x14ac:dyDescent="0.25">
      <c r="EL4367">
        <v>2023</v>
      </c>
      <c r="EM4367" t="s">
        <v>705</v>
      </c>
      <c r="EN4367" t="s">
        <v>854</v>
      </c>
      <c r="EO4367">
        <v>20.85</v>
      </c>
    </row>
    <row r="4368" spans="142:145" x14ac:dyDescent="0.25">
      <c r="EL4368">
        <v>2023</v>
      </c>
      <c r="EM4368" t="s">
        <v>715</v>
      </c>
      <c r="EN4368" t="s">
        <v>854</v>
      </c>
      <c r="EO4368">
        <v>21.48</v>
      </c>
    </row>
    <row r="4369" spans="142:145" x14ac:dyDescent="0.25">
      <c r="EL4369">
        <v>2023</v>
      </c>
      <c r="EM4369" t="s">
        <v>718</v>
      </c>
      <c r="EN4369" t="s">
        <v>854</v>
      </c>
      <c r="EO4369">
        <v>21.53</v>
      </c>
    </row>
    <row r="4370" spans="142:145" x14ac:dyDescent="0.25">
      <c r="EL4370">
        <v>2023</v>
      </c>
      <c r="EM4370" t="s">
        <v>716</v>
      </c>
      <c r="EN4370" t="s">
        <v>854</v>
      </c>
      <c r="EO4370">
        <v>22.43</v>
      </c>
    </row>
    <row r="4371" spans="142:145" x14ac:dyDescent="0.25">
      <c r="EL4371">
        <v>2023</v>
      </c>
      <c r="EM4371" t="s">
        <v>708</v>
      </c>
      <c r="EN4371" t="s">
        <v>854</v>
      </c>
      <c r="EO4371">
        <v>22.48</v>
      </c>
    </row>
    <row r="4372" spans="142:145" x14ac:dyDescent="0.25">
      <c r="EL4372">
        <v>2023</v>
      </c>
      <c r="EM4372" t="s">
        <v>709</v>
      </c>
      <c r="EN4372" t="s">
        <v>854</v>
      </c>
      <c r="EO4372">
        <v>21.49</v>
      </c>
    </row>
    <row r="4373" spans="142:145" x14ac:dyDescent="0.25">
      <c r="EL4373">
        <v>1997</v>
      </c>
      <c r="EM4373" t="s">
        <v>760</v>
      </c>
      <c r="EN4373" t="s">
        <v>855</v>
      </c>
      <c r="EO4373">
        <v>21.266000000000002</v>
      </c>
    </row>
    <row r="4374" spans="142:145" x14ac:dyDescent="0.25">
      <c r="EL4374">
        <v>1997</v>
      </c>
      <c r="EM4374" t="s">
        <v>761</v>
      </c>
      <c r="EN4374" t="s">
        <v>855</v>
      </c>
      <c r="EO4374">
        <v>17.399999999999999</v>
      </c>
    </row>
    <row r="4375" spans="142:145" x14ac:dyDescent="0.25">
      <c r="EL4375">
        <v>1997</v>
      </c>
      <c r="EM4375" t="s">
        <v>762</v>
      </c>
      <c r="EN4375" t="s">
        <v>855</v>
      </c>
      <c r="EO4375">
        <v>15.872</v>
      </c>
    </row>
    <row r="4376" spans="142:145" x14ac:dyDescent="0.25">
      <c r="EL4376">
        <v>1998</v>
      </c>
      <c r="EM4376" t="s">
        <v>763</v>
      </c>
      <c r="EN4376" t="s">
        <v>855</v>
      </c>
      <c r="EO4376">
        <v>18.166</v>
      </c>
    </row>
    <row r="4377" spans="142:145" x14ac:dyDescent="0.25">
      <c r="EL4377">
        <v>1998</v>
      </c>
      <c r="EM4377" t="s">
        <v>764</v>
      </c>
      <c r="EN4377" t="s">
        <v>855</v>
      </c>
      <c r="EO4377">
        <v>20.327999999999999</v>
      </c>
    </row>
    <row r="4378" spans="142:145" x14ac:dyDescent="0.25">
      <c r="EL4378">
        <v>1998</v>
      </c>
      <c r="EM4378" t="s">
        <v>765</v>
      </c>
      <c r="EN4378" t="s">
        <v>855</v>
      </c>
      <c r="EO4378">
        <v>20.832000000000001</v>
      </c>
    </row>
    <row r="4379" spans="142:145" x14ac:dyDescent="0.25">
      <c r="EL4379">
        <v>1998</v>
      </c>
      <c r="EM4379" t="s">
        <v>767</v>
      </c>
      <c r="EN4379" t="s">
        <v>855</v>
      </c>
      <c r="EO4379">
        <v>17.52</v>
      </c>
    </row>
    <row r="4380" spans="142:145" x14ac:dyDescent="0.25">
      <c r="EL4380">
        <v>1998</v>
      </c>
      <c r="EM4380" t="s">
        <v>715</v>
      </c>
      <c r="EN4380" t="s">
        <v>855</v>
      </c>
      <c r="EO4380">
        <v>18.631</v>
      </c>
    </row>
    <row r="4381" spans="142:145" x14ac:dyDescent="0.25">
      <c r="EL4381">
        <v>1998</v>
      </c>
      <c r="EM4381" t="s">
        <v>718</v>
      </c>
      <c r="EN4381" t="s">
        <v>855</v>
      </c>
      <c r="EO4381">
        <v>16.260000000000002</v>
      </c>
    </row>
    <row r="4382" spans="142:145" x14ac:dyDescent="0.25">
      <c r="EL4382">
        <v>1998</v>
      </c>
      <c r="EM4382" t="s">
        <v>716</v>
      </c>
      <c r="EN4382" t="s">
        <v>855</v>
      </c>
      <c r="EO4382">
        <v>15.717000000000001</v>
      </c>
    </row>
    <row r="4383" spans="142:145" x14ac:dyDescent="0.25">
      <c r="EL4383">
        <v>1998</v>
      </c>
      <c r="EM4383" t="s">
        <v>768</v>
      </c>
      <c r="EN4383" t="s">
        <v>855</v>
      </c>
      <c r="EO4383">
        <v>17.205000000000002</v>
      </c>
    </row>
    <row r="4384" spans="142:145" x14ac:dyDescent="0.25">
      <c r="EL4384">
        <v>1998</v>
      </c>
      <c r="EM4384" t="s">
        <v>769</v>
      </c>
      <c r="EN4384" t="s">
        <v>855</v>
      </c>
      <c r="EO4384">
        <v>14.61</v>
      </c>
    </row>
    <row r="4385" spans="142:145" x14ac:dyDescent="0.25">
      <c r="EL4385">
        <v>1998</v>
      </c>
      <c r="EM4385" t="s">
        <v>760</v>
      </c>
      <c r="EN4385" t="s">
        <v>855</v>
      </c>
      <c r="EO4385">
        <v>14.229000000000001</v>
      </c>
    </row>
    <row r="4386" spans="142:145" x14ac:dyDescent="0.25">
      <c r="EL4386">
        <v>1998</v>
      </c>
      <c r="EM4386" t="s">
        <v>771</v>
      </c>
      <c r="EN4386" t="s">
        <v>855</v>
      </c>
      <c r="EO4386">
        <v>13.950000000000001</v>
      </c>
    </row>
    <row r="4387" spans="142:145" x14ac:dyDescent="0.25">
      <c r="EL4387">
        <v>1998</v>
      </c>
      <c r="EM4387" t="s">
        <v>762</v>
      </c>
      <c r="EN4387" t="s">
        <v>855</v>
      </c>
      <c r="EO4387">
        <v>13.02</v>
      </c>
    </row>
    <row r="4388" spans="142:145" x14ac:dyDescent="0.25">
      <c r="EL4388">
        <v>1999</v>
      </c>
      <c r="EM4388" t="s">
        <v>763</v>
      </c>
      <c r="EN4388" t="s">
        <v>855</v>
      </c>
      <c r="EO4388">
        <v>12.927</v>
      </c>
    </row>
    <row r="4389" spans="142:145" x14ac:dyDescent="0.25">
      <c r="EL4389">
        <v>1999</v>
      </c>
      <c r="EM4389" t="s">
        <v>772</v>
      </c>
      <c r="EN4389" t="s">
        <v>855</v>
      </c>
      <c r="EO4389">
        <v>12.74</v>
      </c>
    </row>
    <row r="4390" spans="142:145" x14ac:dyDescent="0.25">
      <c r="EL4390">
        <v>1999</v>
      </c>
      <c r="EM4390" t="s">
        <v>773</v>
      </c>
      <c r="EN4390" t="s">
        <v>855</v>
      </c>
      <c r="EO4390">
        <v>16.523</v>
      </c>
    </row>
    <row r="4391" spans="142:145" x14ac:dyDescent="0.25">
      <c r="EL4391">
        <v>1999</v>
      </c>
      <c r="EM4391" t="s">
        <v>774</v>
      </c>
      <c r="EN4391" t="s">
        <v>855</v>
      </c>
      <c r="EO4391">
        <v>14.79</v>
      </c>
    </row>
    <row r="4392" spans="142:145" x14ac:dyDescent="0.25">
      <c r="EL4392">
        <v>1999</v>
      </c>
      <c r="EM4392" t="s">
        <v>715</v>
      </c>
      <c r="EN4392" t="s">
        <v>855</v>
      </c>
      <c r="EO4392">
        <v>14.600999999999999</v>
      </c>
    </row>
    <row r="4393" spans="142:145" x14ac:dyDescent="0.25">
      <c r="EL4393">
        <v>1999</v>
      </c>
      <c r="EM4393" t="s">
        <v>718</v>
      </c>
      <c r="EN4393" t="s">
        <v>855</v>
      </c>
      <c r="EO4393">
        <v>14.19</v>
      </c>
    </row>
    <row r="4394" spans="142:145" x14ac:dyDescent="0.25">
      <c r="EL4394">
        <v>1999</v>
      </c>
      <c r="EM4394" t="s">
        <v>716</v>
      </c>
      <c r="EN4394" t="s">
        <v>855</v>
      </c>
      <c r="EO4394">
        <v>14.26</v>
      </c>
    </row>
    <row r="4395" spans="142:145" x14ac:dyDescent="0.25">
      <c r="EL4395">
        <v>1999</v>
      </c>
      <c r="EM4395" t="s">
        <v>708</v>
      </c>
      <c r="EN4395" t="s">
        <v>855</v>
      </c>
      <c r="EO4395">
        <v>15.004</v>
      </c>
    </row>
    <row r="4396" spans="142:145" x14ac:dyDescent="0.25">
      <c r="EL4396">
        <v>1999</v>
      </c>
      <c r="EM4396" t="s">
        <v>709</v>
      </c>
      <c r="EN4396" t="s">
        <v>855</v>
      </c>
      <c r="EO4396">
        <v>14.549999999999999</v>
      </c>
    </row>
    <row r="4397" spans="142:145" x14ac:dyDescent="0.25">
      <c r="EL4397">
        <v>1999</v>
      </c>
      <c r="EM4397" t="s">
        <v>710</v>
      </c>
      <c r="EN4397" t="s">
        <v>855</v>
      </c>
      <c r="EO4397">
        <v>15.624000000000001</v>
      </c>
    </row>
    <row r="4398" spans="142:145" x14ac:dyDescent="0.25">
      <c r="EL4398">
        <v>1999</v>
      </c>
      <c r="EM4398" t="s">
        <v>711</v>
      </c>
      <c r="EN4398" t="s">
        <v>855</v>
      </c>
      <c r="EO4398">
        <v>9.6300000000000008</v>
      </c>
    </row>
    <row r="4399" spans="142:145" x14ac:dyDescent="0.25">
      <c r="EL4399">
        <v>1999</v>
      </c>
      <c r="EM4399" t="s">
        <v>712</v>
      </c>
      <c r="EN4399" t="s">
        <v>855</v>
      </c>
      <c r="EO4399">
        <v>13.64</v>
      </c>
    </row>
    <row r="4400" spans="142:145" x14ac:dyDescent="0.25">
      <c r="EL4400">
        <v>2000</v>
      </c>
      <c r="EM4400" t="s">
        <v>719</v>
      </c>
      <c r="EN4400" t="s">
        <v>855</v>
      </c>
      <c r="EO4400">
        <v>15.407</v>
      </c>
    </row>
    <row r="4401" spans="142:145" x14ac:dyDescent="0.25">
      <c r="EL4401">
        <v>2000</v>
      </c>
      <c r="EM4401" t="s">
        <v>713</v>
      </c>
      <c r="EN4401" t="s">
        <v>855</v>
      </c>
      <c r="EO4401">
        <v>14.413</v>
      </c>
    </row>
    <row r="4402" spans="142:145" x14ac:dyDescent="0.25">
      <c r="EL4402">
        <v>2000</v>
      </c>
      <c r="EM4402" t="s">
        <v>714</v>
      </c>
      <c r="EN4402" t="s">
        <v>855</v>
      </c>
      <c r="EO4402">
        <v>15.407</v>
      </c>
    </row>
    <row r="4403" spans="142:145" x14ac:dyDescent="0.25">
      <c r="EL4403">
        <v>2000</v>
      </c>
      <c r="EM4403" t="s">
        <v>705</v>
      </c>
      <c r="EN4403" t="s">
        <v>855</v>
      </c>
      <c r="EO4403">
        <v>14.91</v>
      </c>
    </row>
    <row r="4404" spans="142:145" x14ac:dyDescent="0.25">
      <c r="EL4404">
        <v>2000</v>
      </c>
      <c r="EM4404" t="s">
        <v>715</v>
      </c>
      <c r="EN4404" t="s">
        <v>855</v>
      </c>
      <c r="EO4404">
        <v>15.407</v>
      </c>
    </row>
    <row r="4405" spans="142:145" x14ac:dyDescent="0.25">
      <c r="EL4405">
        <v>2000</v>
      </c>
      <c r="EM4405" t="s">
        <v>718</v>
      </c>
      <c r="EN4405" t="s">
        <v>855</v>
      </c>
      <c r="EO4405">
        <v>14.91</v>
      </c>
    </row>
    <row r="4406" spans="142:145" x14ac:dyDescent="0.25">
      <c r="EL4406">
        <v>2000</v>
      </c>
      <c r="EM4406" t="s">
        <v>716</v>
      </c>
      <c r="EN4406" t="s">
        <v>855</v>
      </c>
      <c r="EO4406">
        <v>12.338000000000001</v>
      </c>
    </row>
    <row r="4407" spans="142:145" x14ac:dyDescent="0.25">
      <c r="EL4407">
        <v>2000</v>
      </c>
      <c r="EM4407" t="s">
        <v>708</v>
      </c>
      <c r="EN4407" t="s">
        <v>855</v>
      </c>
      <c r="EO4407">
        <v>14.972999999999999</v>
      </c>
    </row>
    <row r="4408" spans="142:145" x14ac:dyDescent="0.25">
      <c r="EL4408">
        <v>2000</v>
      </c>
      <c r="EM4408" t="s">
        <v>709</v>
      </c>
      <c r="EN4408" t="s">
        <v>855</v>
      </c>
      <c r="EO4408">
        <v>16.59</v>
      </c>
    </row>
    <row r="4409" spans="142:145" x14ac:dyDescent="0.25">
      <c r="EL4409">
        <v>2000</v>
      </c>
      <c r="EM4409" t="s">
        <v>710</v>
      </c>
      <c r="EN4409" t="s">
        <v>855</v>
      </c>
      <c r="EO4409">
        <v>15.841000000000001</v>
      </c>
    </row>
    <row r="4410" spans="142:145" x14ac:dyDescent="0.25">
      <c r="EL4410">
        <v>2000</v>
      </c>
      <c r="EM4410" t="s">
        <v>711</v>
      </c>
      <c r="EN4410" t="s">
        <v>855</v>
      </c>
      <c r="EO4410">
        <v>14.76</v>
      </c>
    </row>
    <row r="4411" spans="142:145" x14ac:dyDescent="0.25">
      <c r="EL4411">
        <v>2000</v>
      </c>
      <c r="EM4411" t="s">
        <v>712</v>
      </c>
      <c r="EN4411" t="s">
        <v>855</v>
      </c>
      <c r="EO4411">
        <v>15.468999999999999</v>
      </c>
    </row>
    <row r="4412" spans="142:145" x14ac:dyDescent="0.25">
      <c r="EL4412">
        <v>2001</v>
      </c>
      <c r="EM4412" t="s">
        <v>719</v>
      </c>
      <c r="EN4412" t="s">
        <v>855</v>
      </c>
      <c r="EO4412">
        <v>16.151</v>
      </c>
    </row>
    <row r="4413" spans="142:145" x14ac:dyDescent="0.25">
      <c r="EL4413">
        <v>2001</v>
      </c>
      <c r="EM4413" t="s">
        <v>713</v>
      </c>
      <c r="EN4413" t="s">
        <v>855</v>
      </c>
      <c r="EO4413">
        <v>14.924000000000001</v>
      </c>
    </row>
    <row r="4414" spans="142:145" x14ac:dyDescent="0.25">
      <c r="EL4414">
        <v>2001</v>
      </c>
      <c r="EM4414" t="s">
        <v>714</v>
      </c>
      <c r="EN4414" t="s">
        <v>855</v>
      </c>
      <c r="EO4414">
        <v>17.483999999999998</v>
      </c>
    </row>
    <row r="4415" spans="142:145" x14ac:dyDescent="0.25">
      <c r="EL4415">
        <v>2001</v>
      </c>
      <c r="EM4415" t="s">
        <v>705</v>
      </c>
      <c r="EN4415" t="s">
        <v>855</v>
      </c>
      <c r="EO4415">
        <v>17.452999999999999</v>
      </c>
    </row>
    <row r="4416" spans="142:145" x14ac:dyDescent="0.25">
      <c r="EL4416">
        <v>2001</v>
      </c>
      <c r="EM4416" t="s">
        <v>715</v>
      </c>
      <c r="EN4416" t="s">
        <v>855</v>
      </c>
      <c r="EO4416">
        <v>17.298000000000002</v>
      </c>
    </row>
    <row r="4417" spans="142:145" x14ac:dyDescent="0.25">
      <c r="EL4417">
        <v>2001</v>
      </c>
      <c r="EM4417" t="s">
        <v>718</v>
      </c>
      <c r="EN4417" t="s">
        <v>855</v>
      </c>
      <c r="EO4417">
        <v>16.260000000000002</v>
      </c>
    </row>
    <row r="4418" spans="142:145" x14ac:dyDescent="0.25">
      <c r="EL4418">
        <v>2001</v>
      </c>
      <c r="EM4418" t="s">
        <v>716</v>
      </c>
      <c r="EN4418" t="s">
        <v>855</v>
      </c>
      <c r="EO4418">
        <v>15.934000000000001</v>
      </c>
    </row>
    <row r="4419" spans="142:145" x14ac:dyDescent="0.25">
      <c r="EL4419">
        <v>2001</v>
      </c>
      <c r="EM4419" t="s">
        <v>708</v>
      </c>
      <c r="EN4419" t="s">
        <v>855</v>
      </c>
      <c r="EO4419">
        <v>15.965</v>
      </c>
    </row>
    <row r="4420" spans="142:145" x14ac:dyDescent="0.25">
      <c r="EL4420">
        <v>2001</v>
      </c>
      <c r="EM4420" t="s">
        <v>709</v>
      </c>
      <c r="EN4420" t="s">
        <v>855</v>
      </c>
      <c r="EO4420">
        <v>13.770000000000001</v>
      </c>
    </row>
    <row r="4421" spans="142:145" x14ac:dyDescent="0.25">
      <c r="EL4421">
        <v>2001</v>
      </c>
      <c r="EM4421" t="s">
        <v>710</v>
      </c>
      <c r="EN4421" t="s">
        <v>855</v>
      </c>
      <c r="EO4421">
        <v>13.981</v>
      </c>
    </row>
    <row r="4422" spans="142:145" x14ac:dyDescent="0.25">
      <c r="EL4422">
        <v>2001</v>
      </c>
      <c r="EM4422" t="s">
        <v>711</v>
      </c>
      <c r="EN4422" t="s">
        <v>855</v>
      </c>
      <c r="EO4422">
        <v>13.770000000000001</v>
      </c>
    </row>
    <row r="4423" spans="142:145" x14ac:dyDescent="0.25">
      <c r="EL4423">
        <v>2001</v>
      </c>
      <c r="EM4423" t="s">
        <v>712</v>
      </c>
      <c r="EN4423" t="s">
        <v>855</v>
      </c>
      <c r="EO4423">
        <v>14.167</v>
      </c>
    </row>
    <row r="4424" spans="142:145" x14ac:dyDescent="0.25">
      <c r="EL4424">
        <v>2002</v>
      </c>
      <c r="EM4424" t="s">
        <v>719</v>
      </c>
      <c r="EN4424" t="s">
        <v>855</v>
      </c>
      <c r="EO4424">
        <v>15.097</v>
      </c>
    </row>
    <row r="4425" spans="142:145" x14ac:dyDescent="0.25">
      <c r="EL4425">
        <v>2002</v>
      </c>
      <c r="EM4425" t="s">
        <v>713</v>
      </c>
      <c r="EN4425" t="s">
        <v>855</v>
      </c>
      <c r="EO4425">
        <v>11.368</v>
      </c>
    </row>
    <row r="4426" spans="142:145" x14ac:dyDescent="0.25">
      <c r="EL4426">
        <v>2002</v>
      </c>
      <c r="EM4426" t="s">
        <v>714</v>
      </c>
      <c r="EN4426" t="s">
        <v>855</v>
      </c>
      <c r="EO4426">
        <v>14.972999999999999</v>
      </c>
    </row>
    <row r="4427" spans="142:145" x14ac:dyDescent="0.25">
      <c r="EL4427">
        <v>2002</v>
      </c>
      <c r="EM4427" t="s">
        <v>705</v>
      </c>
      <c r="EN4427" t="s">
        <v>855</v>
      </c>
      <c r="EO4427">
        <v>12.719999999999999</v>
      </c>
    </row>
    <row r="4428" spans="142:145" x14ac:dyDescent="0.25">
      <c r="EL4428">
        <v>2002</v>
      </c>
      <c r="EM4428" t="s">
        <v>715</v>
      </c>
      <c r="EN4428" t="s">
        <v>855</v>
      </c>
      <c r="EO4428">
        <v>14.384</v>
      </c>
    </row>
    <row r="4429" spans="142:145" x14ac:dyDescent="0.25">
      <c r="EL4429">
        <v>2002</v>
      </c>
      <c r="EM4429" t="s">
        <v>718</v>
      </c>
      <c r="EN4429" t="s">
        <v>855</v>
      </c>
      <c r="EO4429">
        <v>13.83</v>
      </c>
    </row>
    <row r="4430" spans="142:145" x14ac:dyDescent="0.25">
      <c r="EL4430">
        <v>2002</v>
      </c>
      <c r="EM4430" t="s">
        <v>716</v>
      </c>
      <c r="EN4430" t="s">
        <v>855</v>
      </c>
      <c r="EO4430">
        <v>15.004</v>
      </c>
    </row>
    <row r="4431" spans="142:145" x14ac:dyDescent="0.25">
      <c r="EL4431">
        <v>2002</v>
      </c>
      <c r="EM4431" t="s">
        <v>708</v>
      </c>
      <c r="EN4431" t="s">
        <v>855</v>
      </c>
      <c r="EO4431">
        <v>14.879999999999999</v>
      </c>
    </row>
    <row r="4432" spans="142:145" x14ac:dyDescent="0.25">
      <c r="EL4432">
        <v>2002</v>
      </c>
      <c r="EM4432" t="s">
        <v>709</v>
      </c>
      <c r="EN4432" t="s">
        <v>855</v>
      </c>
      <c r="EO4432">
        <v>15.450000000000001</v>
      </c>
    </row>
    <row r="4433" spans="142:145" x14ac:dyDescent="0.25">
      <c r="EL4433">
        <v>2002</v>
      </c>
      <c r="EM4433" t="s">
        <v>710</v>
      </c>
      <c r="EN4433" t="s">
        <v>855</v>
      </c>
      <c r="EO4433">
        <v>17.267000000000003</v>
      </c>
    </row>
    <row r="4434" spans="142:145" x14ac:dyDescent="0.25">
      <c r="EL4434">
        <v>2002</v>
      </c>
      <c r="EM4434" t="s">
        <v>711</v>
      </c>
      <c r="EN4434" t="s">
        <v>855</v>
      </c>
      <c r="EO4434">
        <v>18.03</v>
      </c>
    </row>
    <row r="4435" spans="142:145" x14ac:dyDescent="0.25">
      <c r="EL4435">
        <v>2002</v>
      </c>
      <c r="EM4435" t="s">
        <v>712</v>
      </c>
      <c r="EN4435" t="s">
        <v>855</v>
      </c>
      <c r="EO4435">
        <v>19.437000000000001</v>
      </c>
    </row>
    <row r="4436" spans="142:145" x14ac:dyDescent="0.25">
      <c r="EL4436">
        <v>2003</v>
      </c>
      <c r="EM4436" t="s">
        <v>719</v>
      </c>
      <c r="EN4436" t="s">
        <v>855</v>
      </c>
      <c r="EO4436">
        <v>19.437000000000001</v>
      </c>
    </row>
    <row r="4437" spans="142:145" x14ac:dyDescent="0.25">
      <c r="EL4437">
        <v>2003</v>
      </c>
      <c r="EM4437" t="s">
        <v>713</v>
      </c>
      <c r="EN4437" t="s">
        <v>855</v>
      </c>
      <c r="EO4437">
        <v>18.368000000000002</v>
      </c>
    </row>
    <row r="4438" spans="142:145" x14ac:dyDescent="0.25">
      <c r="EL4438">
        <v>2003</v>
      </c>
      <c r="EM4438" t="s">
        <v>714</v>
      </c>
      <c r="EN4438" t="s">
        <v>855</v>
      </c>
      <c r="EO4438">
        <v>19.777999999999999</v>
      </c>
    </row>
    <row r="4439" spans="142:145" x14ac:dyDescent="0.25">
      <c r="EL4439">
        <v>2003</v>
      </c>
      <c r="EM4439" t="s">
        <v>705</v>
      </c>
      <c r="EN4439" t="s">
        <v>855</v>
      </c>
      <c r="EO4439">
        <v>18.475999999999999</v>
      </c>
    </row>
    <row r="4440" spans="142:145" x14ac:dyDescent="0.25">
      <c r="EL4440">
        <v>2003</v>
      </c>
      <c r="EM4440" t="s">
        <v>715</v>
      </c>
      <c r="EN4440" t="s">
        <v>855</v>
      </c>
      <c r="EO4440">
        <v>18.809999999999999</v>
      </c>
    </row>
    <row r="4441" spans="142:145" x14ac:dyDescent="0.25">
      <c r="EL4441">
        <v>2003</v>
      </c>
      <c r="EM4441" t="s">
        <v>718</v>
      </c>
      <c r="EN4441" t="s">
        <v>855</v>
      </c>
      <c r="EO4441">
        <v>20.82</v>
      </c>
    </row>
    <row r="4442" spans="142:145" x14ac:dyDescent="0.25">
      <c r="EL4442">
        <v>2003</v>
      </c>
      <c r="EM4442" t="s">
        <v>716</v>
      </c>
      <c r="EN4442" t="s">
        <v>855</v>
      </c>
      <c r="EO4442">
        <v>20.057000000000002</v>
      </c>
    </row>
    <row r="4443" spans="142:145" x14ac:dyDescent="0.25">
      <c r="EL4443">
        <v>2003</v>
      </c>
      <c r="EM4443" t="s">
        <v>708</v>
      </c>
      <c r="EN4443" t="s">
        <v>855</v>
      </c>
      <c r="EO4443">
        <v>16.957000000000001</v>
      </c>
    </row>
    <row r="4444" spans="142:145" x14ac:dyDescent="0.25">
      <c r="EL4444">
        <v>2003</v>
      </c>
      <c r="EM4444" t="s">
        <v>709</v>
      </c>
      <c r="EN4444" t="s">
        <v>855</v>
      </c>
      <c r="EO4444">
        <v>17.099999999999998</v>
      </c>
    </row>
    <row r="4445" spans="142:145" x14ac:dyDescent="0.25">
      <c r="EL4445">
        <v>2003</v>
      </c>
      <c r="EM4445" t="s">
        <v>710</v>
      </c>
      <c r="EN4445" t="s">
        <v>855</v>
      </c>
      <c r="EO4445">
        <v>18.273</v>
      </c>
    </row>
    <row r="4446" spans="142:145" x14ac:dyDescent="0.25">
      <c r="EL4446">
        <v>2003</v>
      </c>
      <c r="EM4446" t="s">
        <v>711</v>
      </c>
      <c r="EN4446" t="s">
        <v>855</v>
      </c>
      <c r="EO4446">
        <v>19.48</v>
      </c>
    </row>
    <row r="4447" spans="142:145" x14ac:dyDescent="0.25">
      <c r="EL4447">
        <v>2003</v>
      </c>
      <c r="EM4447" t="s">
        <v>712</v>
      </c>
      <c r="EN4447" t="s">
        <v>855</v>
      </c>
      <c r="EO4447">
        <v>21.308</v>
      </c>
    </row>
    <row r="4448" spans="142:145" x14ac:dyDescent="0.25">
      <c r="EL4448">
        <v>2004</v>
      </c>
      <c r="EM4448" t="s">
        <v>719</v>
      </c>
      <c r="EN4448" t="s">
        <v>855</v>
      </c>
      <c r="EO4448">
        <v>15.946</v>
      </c>
    </row>
    <row r="4449" spans="142:145" x14ac:dyDescent="0.25">
      <c r="EL4449">
        <v>2004</v>
      </c>
      <c r="EM4449" t="s">
        <v>713</v>
      </c>
      <c r="EN4449" t="s">
        <v>855</v>
      </c>
      <c r="EO4449">
        <v>18.504000000000001</v>
      </c>
    </row>
    <row r="4450" spans="142:145" x14ac:dyDescent="0.25">
      <c r="EL4450">
        <v>2004</v>
      </c>
      <c r="EM4450" t="s">
        <v>714</v>
      </c>
      <c r="EN4450" t="s">
        <v>855</v>
      </c>
      <c r="EO4450">
        <v>17.678000000000001</v>
      </c>
    </row>
    <row r="4451" spans="142:145" x14ac:dyDescent="0.25">
      <c r="EL4451">
        <v>2004</v>
      </c>
      <c r="EM4451" t="s">
        <v>705</v>
      </c>
      <c r="EN4451" t="s">
        <v>855</v>
      </c>
      <c r="EO4451">
        <v>18.885999999999999</v>
      </c>
    </row>
    <row r="4452" spans="142:145" x14ac:dyDescent="0.25">
      <c r="EL4452">
        <v>2004</v>
      </c>
      <c r="EM4452" t="s">
        <v>715</v>
      </c>
      <c r="EN4452" t="s">
        <v>855</v>
      </c>
      <c r="EO4452">
        <v>19.425928571428599</v>
      </c>
    </row>
    <row r="4453" spans="142:145" x14ac:dyDescent="0.25">
      <c r="EL4453">
        <v>2004</v>
      </c>
      <c r="EM4453" t="s">
        <v>718</v>
      </c>
      <c r="EN4453" t="s">
        <v>855</v>
      </c>
      <c r="EO4453">
        <v>15.615482999999999</v>
      </c>
    </row>
    <row r="4454" spans="142:145" x14ac:dyDescent="0.25">
      <c r="EL4454">
        <v>2004</v>
      </c>
      <c r="EM4454" t="s">
        <v>716</v>
      </c>
      <c r="EN4454" t="s">
        <v>855</v>
      </c>
      <c r="EO4454">
        <v>22.379093749999999</v>
      </c>
    </row>
    <row r="4455" spans="142:145" x14ac:dyDescent="0.25">
      <c r="EL4455">
        <v>2004</v>
      </c>
      <c r="EM4455" t="s">
        <v>708</v>
      </c>
      <c r="EN4455" t="s">
        <v>855</v>
      </c>
      <c r="EO4455">
        <v>23.549666666666699</v>
      </c>
    </row>
    <row r="4456" spans="142:145" x14ac:dyDescent="0.25">
      <c r="EL4456">
        <v>2004</v>
      </c>
      <c r="EM4456" t="s">
        <v>709</v>
      </c>
      <c r="EN4456" t="s">
        <v>855</v>
      </c>
      <c r="EO4456">
        <v>21.639310300000002</v>
      </c>
    </row>
    <row r="4457" spans="142:145" x14ac:dyDescent="0.25">
      <c r="EL4457">
        <v>2004</v>
      </c>
      <c r="EM4457" t="s">
        <v>710</v>
      </c>
      <c r="EN4457" t="s">
        <v>855</v>
      </c>
      <c r="EO4457">
        <v>19.897303030300002</v>
      </c>
    </row>
    <row r="4458" spans="142:145" x14ac:dyDescent="0.25">
      <c r="EL4458">
        <v>2004</v>
      </c>
      <c r="EM4458" t="s">
        <v>711</v>
      </c>
      <c r="EN4458" t="s">
        <v>855</v>
      </c>
      <c r="EO4458">
        <v>17.277000000000001</v>
      </c>
    </row>
    <row r="4459" spans="142:145" x14ac:dyDescent="0.25">
      <c r="EL4459">
        <v>2004</v>
      </c>
      <c r="EM4459" t="s">
        <v>712</v>
      </c>
      <c r="EN4459" t="s">
        <v>855</v>
      </c>
      <c r="EO4459">
        <v>18.190999999999999</v>
      </c>
    </row>
    <row r="4460" spans="142:145" x14ac:dyDescent="0.25">
      <c r="EL4460">
        <v>2005</v>
      </c>
      <c r="EM4460" t="s">
        <v>719</v>
      </c>
      <c r="EN4460" t="s">
        <v>855</v>
      </c>
      <c r="EO4460">
        <v>14.205</v>
      </c>
    </row>
    <row r="4461" spans="142:145" x14ac:dyDescent="0.25">
      <c r="EL4461">
        <v>2005</v>
      </c>
      <c r="EM4461" t="s">
        <v>713</v>
      </c>
      <c r="EN4461" t="s">
        <v>855</v>
      </c>
      <c r="EO4461">
        <v>12.097099999999999</v>
      </c>
    </row>
    <row r="4462" spans="142:145" x14ac:dyDescent="0.25">
      <c r="EL4462">
        <v>2005</v>
      </c>
      <c r="EM4462" t="s">
        <v>714</v>
      </c>
      <c r="EN4462" t="s">
        <v>855</v>
      </c>
      <c r="EO4462">
        <v>15.067</v>
      </c>
    </row>
    <row r="4463" spans="142:145" x14ac:dyDescent="0.25">
      <c r="EL4463">
        <v>2005</v>
      </c>
      <c r="EM4463" t="s">
        <v>705</v>
      </c>
      <c r="EN4463" t="s">
        <v>855</v>
      </c>
      <c r="EO4463">
        <v>17.324999999999999</v>
      </c>
    </row>
    <row r="4464" spans="142:145" x14ac:dyDescent="0.25">
      <c r="EL4464">
        <v>2005</v>
      </c>
      <c r="EM4464" t="s">
        <v>715</v>
      </c>
      <c r="EN4464" t="s">
        <v>855</v>
      </c>
      <c r="EO4464">
        <v>16.030999999999999</v>
      </c>
    </row>
    <row r="4465" spans="142:145" x14ac:dyDescent="0.25">
      <c r="EL4465">
        <v>2005</v>
      </c>
      <c r="EM4465" t="s">
        <v>718</v>
      </c>
      <c r="EN4465" t="s">
        <v>855</v>
      </c>
      <c r="EO4465">
        <v>14.769</v>
      </c>
    </row>
    <row r="4466" spans="142:145" x14ac:dyDescent="0.25">
      <c r="EL4466">
        <v>2005</v>
      </c>
      <c r="EM4466" t="s">
        <v>716</v>
      </c>
      <c r="EN4466" t="s">
        <v>855</v>
      </c>
      <c r="EO4466">
        <v>17.437999999999999</v>
      </c>
    </row>
    <row r="4467" spans="142:145" x14ac:dyDescent="0.25">
      <c r="EL4467">
        <v>2005</v>
      </c>
      <c r="EM4467" t="s">
        <v>708</v>
      </c>
      <c r="EN4467" t="s">
        <v>855</v>
      </c>
      <c r="EO4467">
        <v>15.552</v>
      </c>
    </row>
    <row r="4468" spans="142:145" x14ac:dyDescent="0.25">
      <c r="EL4468">
        <v>2005</v>
      </c>
      <c r="EM4468" t="s">
        <v>709</v>
      </c>
      <c r="EN4468" t="s">
        <v>855</v>
      </c>
      <c r="EO4468">
        <v>14.173999999999999</v>
      </c>
    </row>
    <row r="4469" spans="142:145" x14ac:dyDescent="0.25">
      <c r="EL4469">
        <v>2005</v>
      </c>
      <c r="EM4469" t="s">
        <v>710</v>
      </c>
      <c r="EN4469" t="s">
        <v>855</v>
      </c>
      <c r="EO4469">
        <v>17.102</v>
      </c>
    </row>
    <row r="4470" spans="142:145" x14ac:dyDescent="0.25">
      <c r="EL4470">
        <v>2005</v>
      </c>
      <c r="EM4470" t="s">
        <v>711</v>
      </c>
      <c r="EN4470" t="s">
        <v>855</v>
      </c>
      <c r="EO4470">
        <v>14.223000000000001</v>
      </c>
    </row>
    <row r="4471" spans="142:145" x14ac:dyDescent="0.25">
      <c r="EL4471">
        <v>2005</v>
      </c>
      <c r="EM4471" t="s">
        <v>712</v>
      </c>
      <c r="EN4471" t="s">
        <v>855</v>
      </c>
      <c r="EO4471">
        <v>16.521999999999998</v>
      </c>
    </row>
    <row r="4472" spans="142:145" x14ac:dyDescent="0.25">
      <c r="EL4472">
        <v>2006</v>
      </c>
      <c r="EM4472" t="s">
        <v>719</v>
      </c>
      <c r="EN4472" t="s">
        <v>855</v>
      </c>
      <c r="EO4472">
        <v>15.635999999999999</v>
      </c>
    </row>
    <row r="4473" spans="142:145" x14ac:dyDescent="0.25">
      <c r="EL4473">
        <v>2006</v>
      </c>
      <c r="EM4473" t="s">
        <v>713</v>
      </c>
      <c r="EN4473" t="s">
        <v>855</v>
      </c>
      <c r="EO4473">
        <v>13.005000000000001</v>
      </c>
    </row>
    <row r="4474" spans="142:145" x14ac:dyDescent="0.25">
      <c r="EL4474">
        <v>2006</v>
      </c>
      <c r="EM4474" t="s">
        <v>714</v>
      </c>
      <c r="EN4474" t="s">
        <v>855</v>
      </c>
      <c r="EO4474">
        <v>15.779</v>
      </c>
    </row>
    <row r="4475" spans="142:145" x14ac:dyDescent="0.25">
      <c r="EL4475">
        <v>2006</v>
      </c>
      <c r="EM4475" t="s">
        <v>705</v>
      </c>
      <c r="EN4475" t="s">
        <v>855</v>
      </c>
      <c r="EO4475">
        <v>15.958</v>
      </c>
    </row>
    <row r="4476" spans="142:145" x14ac:dyDescent="0.25">
      <c r="EL4476">
        <v>2006</v>
      </c>
      <c r="EM4476" t="s">
        <v>715</v>
      </c>
      <c r="EN4476" t="s">
        <v>855</v>
      </c>
      <c r="EO4476">
        <v>15.404999999999999</v>
      </c>
    </row>
    <row r="4477" spans="142:145" x14ac:dyDescent="0.25">
      <c r="EL4477">
        <v>2006</v>
      </c>
      <c r="EM4477" t="s">
        <v>718</v>
      </c>
      <c r="EN4477" t="s">
        <v>855</v>
      </c>
      <c r="EO4477">
        <v>14.651</v>
      </c>
    </row>
    <row r="4478" spans="142:145" x14ac:dyDescent="0.25">
      <c r="EL4478">
        <v>2006</v>
      </c>
      <c r="EM4478" t="s">
        <v>716</v>
      </c>
      <c r="EN4478" t="s">
        <v>855</v>
      </c>
      <c r="EO4478">
        <v>15.013</v>
      </c>
    </row>
    <row r="4479" spans="142:145" x14ac:dyDescent="0.25">
      <c r="EL4479">
        <v>2006</v>
      </c>
      <c r="EM4479" t="s">
        <v>708</v>
      </c>
      <c r="EN4479" t="s">
        <v>855</v>
      </c>
      <c r="EO4479">
        <v>13.244999999999999</v>
      </c>
    </row>
    <row r="4480" spans="142:145" x14ac:dyDescent="0.25">
      <c r="EL4480">
        <v>2006</v>
      </c>
      <c r="EM4480" t="s">
        <v>709</v>
      </c>
      <c r="EN4480" t="s">
        <v>855</v>
      </c>
      <c r="EO4480">
        <v>13.391999999999999</v>
      </c>
    </row>
    <row r="4481" spans="142:145" x14ac:dyDescent="0.25">
      <c r="EL4481">
        <v>2006</v>
      </c>
      <c r="EM4481" t="s">
        <v>710</v>
      </c>
      <c r="EN4481" t="s">
        <v>855</v>
      </c>
      <c r="EO4481">
        <v>14.074</v>
      </c>
    </row>
    <row r="4482" spans="142:145" x14ac:dyDescent="0.25">
      <c r="EL4482">
        <v>2006</v>
      </c>
      <c r="EM4482" t="s">
        <v>711</v>
      </c>
      <c r="EN4482" t="s">
        <v>855</v>
      </c>
      <c r="EO4482">
        <v>15.161</v>
      </c>
    </row>
    <row r="4483" spans="142:145" x14ac:dyDescent="0.25">
      <c r="EL4483">
        <v>2006</v>
      </c>
      <c r="EM4483" t="s">
        <v>712</v>
      </c>
      <c r="EN4483" t="s">
        <v>855</v>
      </c>
      <c r="EO4483">
        <v>11.717000000000001</v>
      </c>
    </row>
    <row r="4484" spans="142:145" x14ac:dyDescent="0.25">
      <c r="EL4484">
        <v>2007</v>
      </c>
      <c r="EM4484" t="s">
        <v>719</v>
      </c>
      <c r="EN4484" t="s">
        <v>855</v>
      </c>
      <c r="EO4484">
        <v>16.713000000000001</v>
      </c>
    </row>
    <row r="4485" spans="142:145" x14ac:dyDescent="0.25">
      <c r="EL4485">
        <v>2007</v>
      </c>
      <c r="EM4485" t="s">
        <v>713</v>
      </c>
      <c r="EN4485" t="s">
        <v>855</v>
      </c>
      <c r="EO4485">
        <v>11.816000000000001</v>
      </c>
    </row>
    <row r="4486" spans="142:145" x14ac:dyDescent="0.25">
      <c r="EL4486">
        <v>2007</v>
      </c>
      <c r="EM4486" t="s">
        <v>714</v>
      </c>
      <c r="EN4486" t="s">
        <v>855</v>
      </c>
      <c r="EO4486">
        <v>16.79</v>
      </c>
    </row>
    <row r="4487" spans="142:145" x14ac:dyDescent="0.25">
      <c r="EL4487">
        <v>2007</v>
      </c>
      <c r="EM4487" t="s">
        <v>705</v>
      </c>
      <c r="EN4487" t="s">
        <v>855</v>
      </c>
      <c r="EO4487">
        <v>16.353000000000002</v>
      </c>
    </row>
    <row r="4488" spans="142:145" x14ac:dyDescent="0.25">
      <c r="EL4488">
        <v>2007</v>
      </c>
      <c r="EM4488" t="s">
        <v>715</v>
      </c>
      <c r="EN4488" t="s">
        <v>855</v>
      </c>
      <c r="EO4488">
        <v>13.766999999999999</v>
      </c>
    </row>
    <row r="4489" spans="142:145" x14ac:dyDescent="0.25">
      <c r="EL4489">
        <v>2007</v>
      </c>
      <c r="EM4489" t="s">
        <v>718</v>
      </c>
      <c r="EN4489" t="s">
        <v>855</v>
      </c>
      <c r="EO4489">
        <v>12.593</v>
      </c>
    </row>
    <row r="4490" spans="142:145" x14ac:dyDescent="0.25">
      <c r="EL4490">
        <v>2007</v>
      </c>
      <c r="EM4490" t="s">
        <v>716</v>
      </c>
      <c r="EN4490" t="s">
        <v>855</v>
      </c>
      <c r="EO4490">
        <v>11.75</v>
      </c>
    </row>
    <row r="4491" spans="142:145" x14ac:dyDescent="0.25">
      <c r="EL4491">
        <v>2007</v>
      </c>
      <c r="EM4491" t="s">
        <v>708</v>
      </c>
      <c r="EN4491" t="s">
        <v>855</v>
      </c>
      <c r="EO4491">
        <v>12.833</v>
      </c>
    </row>
    <row r="4492" spans="142:145" x14ac:dyDescent="0.25">
      <c r="EL4492">
        <v>2007</v>
      </c>
      <c r="EM4492" t="s">
        <v>709</v>
      </c>
      <c r="EN4492" t="s">
        <v>855</v>
      </c>
      <c r="EO4492">
        <v>11.557</v>
      </c>
    </row>
    <row r="4493" spans="142:145" x14ac:dyDescent="0.25">
      <c r="EL4493">
        <v>2007</v>
      </c>
      <c r="EM4493" t="s">
        <v>710</v>
      </c>
      <c r="EN4493" t="s">
        <v>855</v>
      </c>
      <c r="EO4493">
        <v>14.196999999999999</v>
      </c>
    </row>
    <row r="4494" spans="142:145" x14ac:dyDescent="0.25">
      <c r="EL4494">
        <v>2007</v>
      </c>
      <c r="EM4494" t="s">
        <v>711</v>
      </c>
      <c r="EN4494" t="s">
        <v>855</v>
      </c>
      <c r="EO4494">
        <v>13.519</v>
      </c>
    </row>
    <row r="4495" spans="142:145" x14ac:dyDescent="0.25">
      <c r="EL4495">
        <v>2007</v>
      </c>
      <c r="EM4495" t="s">
        <v>712</v>
      </c>
      <c r="EN4495" t="s">
        <v>855</v>
      </c>
      <c r="EO4495">
        <v>13.491</v>
      </c>
    </row>
    <row r="4496" spans="142:145" x14ac:dyDescent="0.25">
      <c r="EL4496">
        <v>2008</v>
      </c>
      <c r="EM4496" t="s">
        <v>719</v>
      </c>
      <c r="EN4496" t="s">
        <v>855</v>
      </c>
      <c r="EO4496">
        <v>13.763999999999999</v>
      </c>
    </row>
    <row r="4497" spans="142:145" x14ac:dyDescent="0.25">
      <c r="EL4497">
        <v>2008</v>
      </c>
      <c r="EM4497" t="s">
        <v>713</v>
      </c>
      <c r="EN4497" t="s">
        <v>855</v>
      </c>
      <c r="EO4497">
        <v>14.268000000000001</v>
      </c>
    </row>
    <row r="4498" spans="142:145" x14ac:dyDescent="0.25">
      <c r="EL4498">
        <v>2008</v>
      </c>
      <c r="EM4498" t="s">
        <v>714</v>
      </c>
      <c r="EN4498" t="s">
        <v>855</v>
      </c>
      <c r="EO4498">
        <v>14.058999999999999</v>
      </c>
    </row>
    <row r="4499" spans="142:145" x14ac:dyDescent="0.25">
      <c r="EL4499">
        <v>2008</v>
      </c>
      <c r="EM4499" t="s">
        <v>705</v>
      </c>
      <c r="EN4499" t="s">
        <v>855</v>
      </c>
      <c r="EO4499">
        <v>15.454000000000001</v>
      </c>
    </row>
    <row r="4500" spans="142:145" x14ac:dyDescent="0.25">
      <c r="EL4500">
        <v>2008</v>
      </c>
      <c r="EM4500" t="s">
        <v>715</v>
      </c>
      <c r="EN4500" t="s">
        <v>855</v>
      </c>
      <c r="EO4500">
        <v>21.327999999999999</v>
      </c>
    </row>
    <row r="4501" spans="142:145" x14ac:dyDescent="0.25">
      <c r="EL4501">
        <v>2008</v>
      </c>
      <c r="EM4501" t="s">
        <v>718</v>
      </c>
      <c r="EN4501" t="s">
        <v>855</v>
      </c>
      <c r="EO4501">
        <v>14.141999999999999</v>
      </c>
    </row>
    <row r="4502" spans="142:145" x14ac:dyDescent="0.25">
      <c r="EL4502">
        <v>2008</v>
      </c>
      <c r="EM4502" t="s">
        <v>716</v>
      </c>
      <c r="EN4502" t="s">
        <v>855</v>
      </c>
      <c r="EO4502">
        <v>16.673999999999999</v>
      </c>
    </row>
    <row r="4503" spans="142:145" x14ac:dyDescent="0.25">
      <c r="EL4503">
        <v>2008</v>
      </c>
      <c r="EM4503" t="s">
        <v>708</v>
      </c>
      <c r="EN4503" t="s">
        <v>855</v>
      </c>
      <c r="EO4503">
        <v>11.516999999999999</v>
      </c>
    </row>
    <row r="4504" spans="142:145" x14ac:dyDescent="0.25">
      <c r="EL4504">
        <v>2008</v>
      </c>
      <c r="EM4504" t="s">
        <v>709</v>
      </c>
      <c r="EN4504" t="s">
        <v>855</v>
      </c>
      <c r="EO4504">
        <v>13.648</v>
      </c>
    </row>
    <row r="4505" spans="142:145" x14ac:dyDescent="0.25">
      <c r="EL4505">
        <v>2008</v>
      </c>
      <c r="EM4505" t="s">
        <v>710</v>
      </c>
      <c r="EN4505" t="s">
        <v>855</v>
      </c>
      <c r="EO4505">
        <v>12.87</v>
      </c>
    </row>
    <row r="4506" spans="142:145" x14ac:dyDescent="0.25">
      <c r="EL4506">
        <v>2008</v>
      </c>
      <c r="EM4506" t="s">
        <v>711</v>
      </c>
      <c r="EN4506" t="s">
        <v>855</v>
      </c>
      <c r="EO4506">
        <v>10.946999999999999</v>
      </c>
    </row>
    <row r="4507" spans="142:145" x14ac:dyDescent="0.25">
      <c r="EL4507">
        <v>2008</v>
      </c>
      <c r="EM4507" t="s">
        <v>712</v>
      </c>
      <c r="EN4507" t="s">
        <v>855</v>
      </c>
      <c r="EO4507">
        <v>12.923</v>
      </c>
    </row>
    <row r="4508" spans="142:145" x14ac:dyDescent="0.25">
      <c r="EL4508">
        <v>2009</v>
      </c>
      <c r="EM4508" t="s">
        <v>719</v>
      </c>
      <c r="EN4508" t="s">
        <v>855</v>
      </c>
      <c r="EO4508">
        <v>13.446</v>
      </c>
    </row>
    <row r="4509" spans="142:145" x14ac:dyDescent="0.25">
      <c r="EL4509">
        <v>2009</v>
      </c>
      <c r="EM4509" t="s">
        <v>713</v>
      </c>
      <c r="EN4509" t="s">
        <v>855</v>
      </c>
      <c r="EO4509">
        <v>10.946999999999999</v>
      </c>
    </row>
    <row r="4510" spans="142:145" x14ac:dyDescent="0.25">
      <c r="EL4510">
        <v>2009</v>
      </c>
      <c r="EM4510" t="s">
        <v>714</v>
      </c>
      <c r="EN4510" t="s">
        <v>855</v>
      </c>
      <c r="EO4510">
        <v>12.943</v>
      </c>
    </row>
    <row r="4511" spans="142:145" x14ac:dyDescent="0.25">
      <c r="EL4511">
        <v>2009</v>
      </c>
      <c r="EM4511" t="s">
        <v>705</v>
      </c>
      <c r="EN4511" t="s">
        <v>855</v>
      </c>
      <c r="EO4511">
        <v>13.131</v>
      </c>
    </row>
    <row r="4512" spans="142:145" x14ac:dyDescent="0.25">
      <c r="EL4512">
        <v>2009</v>
      </c>
      <c r="EM4512" t="s">
        <v>715</v>
      </c>
      <c r="EN4512" t="s">
        <v>855</v>
      </c>
      <c r="EO4512">
        <v>15.57</v>
      </c>
    </row>
    <row r="4513" spans="142:145" x14ac:dyDescent="0.25">
      <c r="EL4513">
        <v>2009</v>
      </c>
      <c r="EM4513" t="s">
        <v>718</v>
      </c>
      <c r="EN4513" t="s">
        <v>855</v>
      </c>
      <c r="EO4513">
        <v>15.016</v>
      </c>
    </row>
    <row r="4514" spans="142:145" x14ac:dyDescent="0.25">
      <c r="EL4514">
        <v>2009</v>
      </c>
      <c r="EM4514" t="s">
        <v>716</v>
      </c>
      <c r="EN4514" t="s">
        <v>855</v>
      </c>
      <c r="EO4514">
        <v>12.474</v>
      </c>
    </row>
    <row r="4515" spans="142:145" x14ac:dyDescent="0.25">
      <c r="EL4515">
        <v>2009</v>
      </c>
      <c r="EM4515" t="s">
        <v>708</v>
      </c>
      <c r="EN4515" t="s">
        <v>855</v>
      </c>
      <c r="EO4515">
        <v>11.554</v>
      </c>
    </row>
    <row r="4516" spans="142:145" x14ac:dyDescent="0.25">
      <c r="EL4516">
        <v>2009</v>
      </c>
      <c r="EM4516" t="s">
        <v>709</v>
      </c>
      <c r="EN4516" t="s">
        <v>855</v>
      </c>
      <c r="EO4516">
        <v>12.304</v>
      </c>
    </row>
    <row r="4517" spans="142:145" x14ac:dyDescent="0.25">
      <c r="EL4517">
        <v>2009</v>
      </c>
      <c r="EM4517" t="s">
        <v>710</v>
      </c>
      <c r="EN4517" t="s">
        <v>855</v>
      </c>
      <c r="EO4517">
        <v>14.521000000000001</v>
      </c>
    </row>
    <row r="4518" spans="142:145" x14ac:dyDescent="0.25">
      <c r="EL4518">
        <v>2009</v>
      </c>
      <c r="EM4518" t="s">
        <v>711</v>
      </c>
      <c r="EN4518" t="s">
        <v>855</v>
      </c>
      <c r="EO4518">
        <v>15.962999999999999</v>
      </c>
    </row>
    <row r="4519" spans="142:145" x14ac:dyDescent="0.25">
      <c r="EL4519">
        <v>2009</v>
      </c>
      <c r="EM4519" t="s">
        <v>712</v>
      </c>
      <c r="EN4519" t="s">
        <v>855</v>
      </c>
      <c r="EO4519">
        <v>19.349</v>
      </c>
    </row>
    <row r="4520" spans="142:145" x14ac:dyDescent="0.25">
      <c r="EL4520">
        <v>2010</v>
      </c>
      <c r="EM4520" t="s">
        <v>719</v>
      </c>
      <c r="EN4520" t="s">
        <v>855</v>
      </c>
      <c r="EO4520">
        <v>14.971</v>
      </c>
    </row>
    <row r="4521" spans="142:145" x14ac:dyDescent="0.25">
      <c r="EL4521">
        <v>2010</v>
      </c>
      <c r="EM4521" t="s">
        <v>713</v>
      </c>
      <c r="EN4521" t="s">
        <v>855</v>
      </c>
      <c r="EO4521">
        <v>15.807</v>
      </c>
    </row>
    <row r="4522" spans="142:145" x14ac:dyDescent="0.25">
      <c r="EL4522">
        <v>2010</v>
      </c>
      <c r="EM4522" t="s">
        <v>714</v>
      </c>
      <c r="EN4522" t="s">
        <v>855</v>
      </c>
      <c r="EO4522">
        <v>16.84</v>
      </c>
    </row>
    <row r="4523" spans="142:145" x14ac:dyDescent="0.25">
      <c r="EL4523">
        <v>2010</v>
      </c>
      <c r="EM4523" t="s">
        <v>705</v>
      </c>
      <c r="EN4523" t="s">
        <v>855</v>
      </c>
      <c r="EO4523">
        <v>13.914999999999999</v>
      </c>
    </row>
    <row r="4524" spans="142:145" x14ac:dyDescent="0.25">
      <c r="EL4524">
        <v>2010</v>
      </c>
      <c r="EM4524" t="s">
        <v>715</v>
      </c>
      <c r="EN4524" t="s">
        <v>855</v>
      </c>
      <c r="EO4524">
        <v>13.24</v>
      </c>
    </row>
    <row r="4525" spans="142:145" x14ac:dyDescent="0.25">
      <c r="EL4525">
        <v>2010</v>
      </c>
      <c r="EM4525" t="s">
        <v>718</v>
      </c>
      <c r="EN4525" t="s">
        <v>855</v>
      </c>
      <c r="EO4525">
        <v>11.776</v>
      </c>
    </row>
    <row r="4526" spans="142:145" x14ac:dyDescent="0.25">
      <c r="EL4526">
        <v>2010</v>
      </c>
      <c r="EM4526" t="s">
        <v>716</v>
      </c>
      <c r="EN4526" t="s">
        <v>855</v>
      </c>
      <c r="EO4526">
        <v>12.343</v>
      </c>
    </row>
    <row r="4527" spans="142:145" x14ac:dyDescent="0.25">
      <c r="EL4527">
        <v>2010</v>
      </c>
      <c r="EM4527" t="s">
        <v>708</v>
      </c>
      <c r="EN4527" t="s">
        <v>855</v>
      </c>
      <c r="EO4527">
        <v>11.121</v>
      </c>
    </row>
    <row r="4528" spans="142:145" x14ac:dyDescent="0.25">
      <c r="EL4528">
        <v>2010</v>
      </c>
      <c r="EM4528" t="s">
        <v>709</v>
      </c>
      <c r="EN4528" t="s">
        <v>855</v>
      </c>
      <c r="EO4528">
        <v>12.244</v>
      </c>
    </row>
    <row r="4529" spans="142:145" x14ac:dyDescent="0.25">
      <c r="EL4529">
        <v>2010</v>
      </c>
      <c r="EM4529" t="s">
        <v>710</v>
      </c>
      <c r="EN4529" t="s">
        <v>855</v>
      </c>
      <c r="EO4529">
        <v>11.538</v>
      </c>
    </row>
    <row r="4530" spans="142:145" x14ac:dyDescent="0.25">
      <c r="EL4530">
        <v>2010</v>
      </c>
      <c r="EM4530" t="s">
        <v>711</v>
      </c>
      <c r="EN4530" t="s">
        <v>855</v>
      </c>
      <c r="EO4530">
        <v>9.5579999999999998</v>
      </c>
    </row>
    <row r="4531" spans="142:145" x14ac:dyDescent="0.25">
      <c r="EL4531">
        <v>2010</v>
      </c>
      <c r="EM4531" t="s">
        <v>712</v>
      </c>
      <c r="EN4531" t="s">
        <v>855</v>
      </c>
      <c r="EO4531">
        <v>12.176</v>
      </c>
    </row>
    <row r="4532" spans="142:145" x14ac:dyDescent="0.25">
      <c r="EL4532">
        <v>2011</v>
      </c>
      <c r="EM4532" t="s">
        <v>719</v>
      </c>
      <c r="EN4532" t="s">
        <v>855</v>
      </c>
      <c r="EO4532">
        <v>14.121</v>
      </c>
    </row>
    <row r="4533" spans="142:145" x14ac:dyDescent="0.25">
      <c r="EL4533">
        <v>2011</v>
      </c>
      <c r="EM4533" t="s">
        <v>713</v>
      </c>
      <c r="EN4533" t="s">
        <v>855</v>
      </c>
      <c r="EO4533">
        <v>10.561</v>
      </c>
    </row>
    <row r="4534" spans="142:145" x14ac:dyDescent="0.25">
      <c r="EL4534">
        <v>2011</v>
      </c>
      <c r="EM4534" t="s">
        <v>714</v>
      </c>
      <c r="EN4534" t="s">
        <v>855</v>
      </c>
      <c r="EO4534">
        <v>13.234</v>
      </c>
    </row>
    <row r="4535" spans="142:145" x14ac:dyDescent="0.25">
      <c r="EL4535">
        <v>2011</v>
      </c>
      <c r="EM4535" t="s">
        <v>705</v>
      </c>
      <c r="EN4535" t="s">
        <v>855</v>
      </c>
      <c r="EO4535">
        <v>12.999000000000001</v>
      </c>
    </row>
    <row r="4536" spans="142:145" x14ac:dyDescent="0.25">
      <c r="EL4536">
        <v>2011</v>
      </c>
      <c r="EM4536" t="s">
        <v>715</v>
      </c>
      <c r="EN4536" t="s">
        <v>855</v>
      </c>
      <c r="EO4536">
        <v>12.301</v>
      </c>
    </row>
    <row r="4537" spans="142:145" x14ac:dyDescent="0.25">
      <c r="EL4537">
        <v>2011</v>
      </c>
      <c r="EM4537" t="s">
        <v>718</v>
      </c>
      <c r="EN4537" t="s">
        <v>855</v>
      </c>
      <c r="EO4537">
        <v>11.387</v>
      </c>
    </row>
    <row r="4538" spans="142:145" x14ac:dyDescent="0.25">
      <c r="EL4538">
        <v>2011</v>
      </c>
      <c r="EM4538" t="s">
        <v>716</v>
      </c>
      <c r="EN4538" t="s">
        <v>855</v>
      </c>
      <c r="EO4538">
        <v>11.529</v>
      </c>
    </row>
    <row r="4539" spans="142:145" x14ac:dyDescent="0.25">
      <c r="EL4539">
        <v>2011</v>
      </c>
      <c r="EM4539" t="s">
        <v>708</v>
      </c>
      <c r="EN4539" t="s">
        <v>855</v>
      </c>
      <c r="EO4539">
        <v>11.997</v>
      </c>
    </row>
    <row r="4540" spans="142:145" x14ac:dyDescent="0.25">
      <c r="EL4540">
        <v>2011</v>
      </c>
      <c r="EM4540" t="s">
        <v>709</v>
      </c>
      <c r="EN4540" t="s">
        <v>855</v>
      </c>
      <c r="EO4540">
        <v>17.437999999999999</v>
      </c>
    </row>
    <row r="4541" spans="142:145" x14ac:dyDescent="0.25">
      <c r="EL4541">
        <v>2011</v>
      </c>
      <c r="EM4541" t="s">
        <v>710</v>
      </c>
      <c r="EN4541" t="s">
        <v>855</v>
      </c>
      <c r="EO4541">
        <v>13.994</v>
      </c>
    </row>
    <row r="4542" spans="142:145" x14ac:dyDescent="0.25">
      <c r="EL4542">
        <v>2011</v>
      </c>
      <c r="EM4542" t="s">
        <v>711</v>
      </c>
      <c r="EN4542" t="s">
        <v>855</v>
      </c>
      <c r="EO4542">
        <v>11.632999999999999</v>
      </c>
    </row>
    <row r="4543" spans="142:145" x14ac:dyDescent="0.25">
      <c r="EL4543">
        <v>2011</v>
      </c>
      <c r="EM4543" t="s">
        <v>712</v>
      </c>
      <c r="EN4543" t="s">
        <v>855</v>
      </c>
      <c r="EO4543">
        <v>16.013999999999999</v>
      </c>
    </row>
    <row r="4544" spans="142:145" x14ac:dyDescent="0.25">
      <c r="EL4544">
        <v>2012</v>
      </c>
      <c r="EM4544" t="s">
        <v>719</v>
      </c>
      <c r="EN4544" t="s">
        <v>855</v>
      </c>
      <c r="EO4544">
        <v>12.986000000000001</v>
      </c>
    </row>
    <row r="4545" spans="142:145" x14ac:dyDescent="0.25">
      <c r="EL4545">
        <v>2012</v>
      </c>
      <c r="EM4545" t="s">
        <v>713</v>
      </c>
      <c r="EN4545" t="s">
        <v>855</v>
      </c>
      <c r="EO4545">
        <v>12.095000000000001</v>
      </c>
    </row>
    <row r="4546" spans="142:145" x14ac:dyDescent="0.25">
      <c r="EL4546">
        <v>2012</v>
      </c>
      <c r="EM4546" t="s">
        <v>714</v>
      </c>
      <c r="EN4546" t="s">
        <v>855</v>
      </c>
      <c r="EO4546">
        <v>11.967000000000001</v>
      </c>
    </row>
    <row r="4547" spans="142:145" x14ac:dyDescent="0.25">
      <c r="EL4547">
        <v>2012</v>
      </c>
      <c r="EM4547" t="s">
        <v>705</v>
      </c>
      <c r="EN4547" t="s">
        <v>855</v>
      </c>
      <c r="EO4547">
        <v>11.266</v>
      </c>
    </row>
    <row r="4548" spans="142:145" x14ac:dyDescent="0.25">
      <c r="EL4548">
        <v>2012</v>
      </c>
      <c r="EM4548" t="s">
        <v>715</v>
      </c>
      <c r="EN4548" t="s">
        <v>855</v>
      </c>
      <c r="EO4548">
        <v>13.177</v>
      </c>
    </row>
    <row r="4549" spans="142:145" x14ac:dyDescent="0.25">
      <c r="EL4549">
        <v>2012</v>
      </c>
      <c r="EM4549" t="s">
        <v>718</v>
      </c>
      <c r="EN4549" t="s">
        <v>855</v>
      </c>
      <c r="EO4549">
        <v>10.86</v>
      </c>
    </row>
    <row r="4550" spans="142:145" x14ac:dyDescent="0.25">
      <c r="EL4550">
        <v>2012</v>
      </c>
      <c r="EM4550" t="s">
        <v>716</v>
      </c>
      <c r="EN4550" t="s">
        <v>855</v>
      </c>
      <c r="EO4550">
        <v>10.977</v>
      </c>
    </row>
    <row r="4551" spans="142:145" x14ac:dyDescent="0.25">
      <c r="EL4551">
        <v>2012</v>
      </c>
      <c r="EM4551" t="s">
        <v>708</v>
      </c>
      <c r="EN4551" t="s">
        <v>855</v>
      </c>
      <c r="EO4551">
        <v>11.241</v>
      </c>
    </row>
    <row r="4552" spans="142:145" x14ac:dyDescent="0.25">
      <c r="EL4552">
        <v>2012</v>
      </c>
      <c r="EM4552" t="s">
        <v>709</v>
      </c>
      <c r="EN4552" t="s">
        <v>855</v>
      </c>
      <c r="EO4552">
        <v>12.42</v>
      </c>
    </row>
    <row r="4553" spans="142:145" x14ac:dyDescent="0.25">
      <c r="EL4553">
        <v>2012</v>
      </c>
      <c r="EM4553" t="s">
        <v>710</v>
      </c>
      <c r="EN4553" t="s">
        <v>855</v>
      </c>
      <c r="EO4553">
        <v>12.586</v>
      </c>
    </row>
    <row r="4554" spans="142:145" x14ac:dyDescent="0.25">
      <c r="EL4554">
        <v>2012</v>
      </c>
      <c r="EM4554" t="s">
        <v>711</v>
      </c>
      <c r="EN4554" t="s">
        <v>855</v>
      </c>
      <c r="EO4554">
        <v>11.943</v>
      </c>
    </row>
    <row r="4555" spans="142:145" x14ac:dyDescent="0.25">
      <c r="EL4555">
        <v>2012</v>
      </c>
      <c r="EM4555" t="s">
        <v>712</v>
      </c>
      <c r="EN4555" t="s">
        <v>855</v>
      </c>
      <c r="EO4555">
        <v>12.471</v>
      </c>
    </row>
    <row r="4556" spans="142:145" x14ac:dyDescent="0.25">
      <c r="EL4556">
        <v>2013</v>
      </c>
      <c r="EM4556" t="s">
        <v>719</v>
      </c>
      <c r="EN4556" t="s">
        <v>855</v>
      </c>
      <c r="EO4556">
        <v>12.792</v>
      </c>
    </row>
    <row r="4557" spans="142:145" x14ac:dyDescent="0.25">
      <c r="EL4557">
        <v>2013</v>
      </c>
      <c r="EM4557" t="s">
        <v>713</v>
      </c>
      <c r="EN4557" t="s">
        <v>855</v>
      </c>
      <c r="EO4557">
        <v>10.68</v>
      </c>
    </row>
    <row r="4558" spans="142:145" x14ac:dyDescent="0.25">
      <c r="EL4558">
        <v>2013</v>
      </c>
      <c r="EM4558" t="s">
        <v>714</v>
      </c>
      <c r="EN4558" t="s">
        <v>855</v>
      </c>
      <c r="EO4558">
        <v>13.02</v>
      </c>
    </row>
    <row r="4559" spans="142:145" x14ac:dyDescent="0.25">
      <c r="EL4559">
        <v>2013</v>
      </c>
      <c r="EM4559" t="s">
        <v>705</v>
      </c>
      <c r="EN4559" t="s">
        <v>855</v>
      </c>
      <c r="EO4559">
        <v>11.712999999999999</v>
      </c>
    </row>
    <row r="4560" spans="142:145" x14ac:dyDescent="0.25">
      <c r="EL4560">
        <v>2013</v>
      </c>
      <c r="EM4560" t="s">
        <v>715</v>
      </c>
      <c r="EN4560" t="s">
        <v>855</v>
      </c>
      <c r="EO4560">
        <v>12.105</v>
      </c>
    </row>
    <row r="4561" spans="142:145" x14ac:dyDescent="0.25">
      <c r="EL4561">
        <v>2013</v>
      </c>
      <c r="EM4561" t="s">
        <v>718</v>
      </c>
      <c r="EN4561" t="s">
        <v>855</v>
      </c>
      <c r="EO4561">
        <v>14.888999999999999</v>
      </c>
    </row>
    <row r="4562" spans="142:145" x14ac:dyDescent="0.25">
      <c r="EL4562">
        <v>2013</v>
      </c>
      <c r="EM4562" t="s">
        <v>716</v>
      </c>
      <c r="EN4562" t="s">
        <v>855</v>
      </c>
      <c r="EO4562">
        <v>12.71</v>
      </c>
    </row>
    <row r="4563" spans="142:145" x14ac:dyDescent="0.25">
      <c r="EL4563">
        <v>2013</v>
      </c>
      <c r="EM4563" t="s">
        <v>708</v>
      </c>
      <c r="EN4563" t="s">
        <v>855</v>
      </c>
      <c r="EO4563">
        <v>10.961</v>
      </c>
    </row>
    <row r="4564" spans="142:145" x14ac:dyDescent="0.25">
      <c r="EL4564">
        <v>2013</v>
      </c>
      <c r="EM4564" t="s">
        <v>709</v>
      </c>
      <c r="EN4564" t="s">
        <v>855</v>
      </c>
      <c r="EO4564">
        <v>9.75</v>
      </c>
    </row>
    <row r="4565" spans="142:145" x14ac:dyDescent="0.25">
      <c r="EL4565">
        <v>2013</v>
      </c>
      <c r="EM4565" t="s">
        <v>710</v>
      </c>
      <c r="EN4565" t="s">
        <v>855</v>
      </c>
      <c r="EO4565">
        <v>11.686999999999999</v>
      </c>
    </row>
    <row r="4566" spans="142:145" x14ac:dyDescent="0.25">
      <c r="EL4566">
        <v>2013</v>
      </c>
      <c r="EM4566" t="s">
        <v>711</v>
      </c>
      <c r="EN4566" t="s">
        <v>855</v>
      </c>
      <c r="EO4566">
        <v>11.85</v>
      </c>
    </row>
    <row r="4567" spans="142:145" x14ac:dyDescent="0.25">
      <c r="EL4567">
        <v>2013</v>
      </c>
      <c r="EM4567" t="s">
        <v>712</v>
      </c>
      <c r="EN4567" t="s">
        <v>855</v>
      </c>
      <c r="EO4567">
        <v>14.911</v>
      </c>
    </row>
    <row r="4568" spans="142:145" x14ac:dyDescent="0.25">
      <c r="EL4568">
        <v>2014</v>
      </c>
      <c r="EM4568" t="s">
        <v>719</v>
      </c>
      <c r="EN4568" t="s">
        <v>855</v>
      </c>
      <c r="EO4568">
        <v>14.446</v>
      </c>
    </row>
    <row r="4569" spans="142:145" x14ac:dyDescent="0.25">
      <c r="EL4569">
        <v>2014</v>
      </c>
      <c r="EM4569" t="s">
        <v>713</v>
      </c>
      <c r="EN4569" t="s">
        <v>855</v>
      </c>
      <c r="EO4569">
        <v>14.112</v>
      </c>
    </row>
    <row r="4570" spans="142:145" x14ac:dyDescent="0.25">
      <c r="EL4570">
        <v>2014</v>
      </c>
      <c r="EM4570" t="s">
        <v>714</v>
      </c>
      <c r="EN4570" t="s">
        <v>855</v>
      </c>
      <c r="EO4570">
        <v>14.601000000000001</v>
      </c>
    </row>
    <row r="4571" spans="142:145" x14ac:dyDescent="0.25">
      <c r="EL4571">
        <v>2014</v>
      </c>
      <c r="EM4571" t="s">
        <v>705</v>
      </c>
      <c r="EN4571" t="s">
        <v>855</v>
      </c>
      <c r="EO4571">
        <v>15.51</v>
      </c>
    </row>
    <row r="4572" spans="142:145" x14ac:dyDescent="0.25">
      <c r="EL4572">
        <v>2014</v>
      </c>
      <c r="EM4572" t="s">
        <v>715</v>
      </c>
      <c r="EN4572" t="s">
        <v>855</v>
      </c>
      <c r="EO4572">
        <v>16.802</v>
      </c>
    </row>
    <row r="4573" spans="142:145" x14ac:dyDescent="0.25">
      <c r="EL4573">
        <v>2014</v>
      </c>
      <c r="EM4573" t="s">
        <v>718</v>
      </c>
      <c r="EN4573" t="s">
        <v>855</v>
      </c>
      <c r="EO4573">
        <v>19.350000000000001</v>
      </c>
    </row>
    <row r="4574" spans="142:145" x14ac:dyDescent="0.25">
      <c r="EL4574">
        <v>2014</v>
      </c>
      <c r="EM4574" t="s">
        <v>716</v>
      </c>
      <c r="EN4574" t="s">
        <v>855</v>
      </c>
      <c r="EO4574">
        <v>14.911</v>
      </c>
    </row>
    <row r="4575" spans="142:145" x14ac:dyDescent="0.25">
      <c r="EL4575">
        <v>2014</v>
      </c>
      <c r="EM4575" t="s">
        <v>708</v>
      </c>
      <c r="EN4575" t="s">
        <v>855</v>
      </c>
      <c r="EO4575">
        <v>11.315</v>
      </c>
    </row>
    <row r="4576" spans="142:145" x14ac:dyDescent="0.25">
      <c r="EL4576">
        <v>2014</v>
      </c>
      <c r="EM4576" t="s">
        <v>709</v>
      </c>
      <c r="EN4576" t="s">
        <v>855</v>
      </c>
      <c r="EO4576">
        <v>10.68</v>
      </c>
    </row>
    <row r="4577" spans="142:145" x14ac:dyDescent="0.25">
      <c r="EL4577">
        <v>2014</v>
      </c>
      <c r="EM4577" t="s">
        <v>710</v>
      </c>
      <c r="EN4577" t="s">
        <v>855</v>
      </c>
      <c r="EO4577">
        <v>11.47</v>
      </c>
    </row>
    <row r="4578" spans="142:145" x14ac:dyDescent="0.25">
      <c r="EL4578">
        <v>2014</v>
      </c>
      <c r="EM4578" t="s">
        <v>711</v>
      </c>
      <c r="EN4578" t="s">
        <v>855</v>
      </c>
      <c r="EO4578">
        <v>10.8</v>
      </c>
    </row>
    <row r="4579" spans="142:145" x14ac:dyDescent="0.25">
      <c r="EL4579">
        <v>2014</v>
      </c>
      <c r="EM4579" t="s">
        <v>712</v>
      </c>
      <c r="EN4579" t="s">
        <v>855</v>
      </c>
      <c r="EO4579">
        <v>12.4</v>
      </c>
    </row>
    <row r="4580" spans="142:145" x14ac:dyDescent="0.25">
      <c r="EL4580">
        <v>2015</v>
      </c>
      <c r="EM4580" t="s">
        <v>719</v>
      </c>
      <c r="EN4580" t="s">
        <v>855</v>
      </c>
      <c r="EO4580">
        <v>13.64</v>
      </c>
    </row>
    <row r="4581" spans="142:145" x14ac:dyDescent="0.25">
      <c r="EL4581">
        <v>2015</v>
      </c>
      <c r="EM4581" t="s">
        <v>713</v>
      </c>
      <c r="EN4581" t="s">
        <v>855</v>
      </c>
      <c r="EO4581">
        <v>11.2</v>
      </c>
    </row>
    <row r="4582" spans="142:145" x14ac:dyDescent="0.25">
      <c r="EL4582">
        <v>2015</v>
      </c>
      <c r="EM4582" t="s">
        <v>714</v>
      </c>
      <c r="EN4582" t="s">
        <v>855</v>
      </c>
      <c r="EO4582">
        <v>14.57</v>
      </c>
    </row>
    <row r="4583" spans="142:145" x14ac:dyDescent="0.25">
      <c r="EL4583">
        <v>2015</v>
      </c>
      <c r="EM4583" t="s">
        <v>705</v>
      </c>
      <c r="EN4583" t="s">
        <v>855</v>
      </c>
      <c r="EO4583">
        <v>11.4</v>
      </c>
    </row>
    <row r="4584" spans="142:145" x14ac:dyDescent="0.25">
      <c r="EL4584">
        <v>2015</v>
      </c>
      <c r="EM4584" t="s">
        <v>715</v>
      </c>
      <c r="EN4584" t="s">
        <v>855</v>
      </c>
      <c r="EO4584">
        <v>10.23</v>
      </c>
    </row>
    <row r="4585" spans="142:145" x14ac:dyDescent="0.25">
      <c r="EL4585">
        <v>2015</v>
      </c>
      <c r="EM4585" t="s">
        <v>718</v>
      </c>
      <c r="EN4585" t="s">
        <v>855</v>
      </c>
      <c r="EO4585">
        <v>12.6</v>
      </c>
    </row>
    <row r="4586" spans="142:145" x14ac:dyDescent="0.25">
      <c r="EL4586">
        <v>2015</v>
      </c>
      <c r="EM4586" t="s">
        <v>716</v>
      </c>
      <c r="EN4586" t="s">
        <v>855</v>
      </c>
      <c r="EO4586">
        <v>12.71</v>
      </c>
    </row>
    <row r="4587" spans="142:145" x14ac:dyDescent="0.25">
      <c r="EL4587">
        <v>2015</v>
      </c>
      <c r="EM4587" t="s">
        <v>708</v>
      </c>
      <c r="EN4587" t="s">
        <v>855</v>
      </c>
      <c r="EO4587">
        <v>9.92</v>
      </c>
    </row>
    <row r="4588" spans="142:145" x14ac:dyDescent="0.25">
      <c r="EL4588">
        <v>2015</v>
      </c>
      <c r="EM4588" t="s">
        <v>709</v>
      </c>
      <c r="EN4588" t="s">
        <v>855</v>
      </c>
      <c r="EO4588">
        <v>10.199999999999999</v>
      </c>
    </row>
    <row r="4589" spans="142:145" x14ac:dyDescent="0.25">
      <c r="EL4589">
        <v>2015</v>
      </c>
      <c r="EM4589" t="s">
        <v>710</v>
      </c>
      <c r="EN4589" t="s">
        <v>855</v>
      </c>
      <c r="EO4589">
        <v>11.16</v>
      </c>
    </row>
    <row r="4590" spans="142:145" x14ac:dyDescent="0.25">
      <c r="EL4590">
        <v>2015</v>
      </c>
      <c r="EM4590" t="s">
        <v>711</v>
      </c>
      <c r="EN4590" t="s">
        <v>855</v>
      </c>
      <c r="EO4590">
        <v>9.9</v>
      </c>
    </row>
    <row r="4591" spans="142:145" x14ac:dyDescent="0.25">
      <c r="EL4591">
        <v>2015</v>
      </c>
      <c r="EM4591" t="s">
        <v>712</v>
      </c>
      <c r="EN4591" t="s">
        <v>855</v>
      </c>
      <c r="EO4591">
        <v>12.09</v>
      </c>
    </row>
    <row r="4592" spans="142:145" x14ac:dyDescent="0.25">
      <c r="EL4592">
        <v>2016</v>
      </c>
      <c r="EM4592" t="s">
        <v>719</v>
      </c>
      <c r="EN4592" t="s">
        <v>855</v>
      </c>
      <c r="EO4592">
        <v>13.02</v>
      </c>
    </row>
    <row r="4593" spans="142:145" x14ac:dyDescent="0.25">
      <c r="EL4593">
        <v>2016</v>
      </c>
      <c r="EM4593" t="s">
        <v>713</v>
      </c>
      <c r="EN4593" t="s">
        <v>855</v>
      </c>
      <c r="EO4593">
        <v>14.5</v>
      </c>
    </row>
    <row r="4594" spans="142:145" x14ac:dyDescent="0.25">
      <c r="EL4594">
        <v>2016</v>
      </c>
      <c r="EM4594" t="s">
        <v>714</v>
      </c>
      <c r="EN4594" t="s">
        <v>855</v>
      </c>
      <c r="EO4594">
        <v>12.71</v>
      </c>
    </row>
    <row r="4595" spans="142:145" x14ac:dyDescent="0.25">
      <c r="EL4595">
        <v>2016</v>
      </c>
      <c r="EM4595" t="s">
        <v>705</v>
      </c>
      <c r="EN4595" t="s">
        <v>855</v>
      </c>
      <c r="EO4595">
        <v>11.7</v>
      </c>
    </row>
    <row r="4596" spans="142:145" x14ac:dyDescent="0.25">
      <c r="EL4596">
        <v>2016</v>
      </c>
      <c r="EM4596" t="s">
        <v>715</v>
      </c>
      <c r="EN4596" t="s">
        <v>855</v>
      </c>
      <c r="EO4596">
        <v>14.57</v>
      </c>
    </row>
    <row r="4597" spans="142:145" x14ac:dyDescent="0.25">
      <c r="EL4597">
        <v>2016</v>
      </c>
      <c r="EM4597" t="s">
        <v>718</v>
      </c>
      <c r="EN4597" t="s">
        <v>855</v>
      </c>
      <c r="EO4597">
        <v>12.6</v>
      </c>
    </row>
    <row r="4598" spans="142:145" x14ac:dyDescent="0.25">
      <c r="EL4598">
        <v>2016</v>
      </c>
      <c r="EM4598" t="s">
        <v>716</v>
      </c>
      <c r="EN4598" t="s">
        <v>855</v>
      </c>
      <c r="EO4598">
        <v>15.81</v>
      </c>
    </row>
    <row r="4599" spans="142:145" x14ac:dyDescent="0.25">
      <c r="EL4599">
        <v>2016</v>
      </c>
      <c r="EM4599" t="s">
        <v>708</v>
      </c>
      <c r="EN4599" t="s">
        <v>855</v>
      </c>
      <c r="EO4599">
        <v>7.75</v>
      </c>
    </row>
    <row r="4600" spans="142:145" x14ac:dyDescent="0.25">
      <c r="EL4600">
        <v>2016</v>
      </c>
      <c r="EM4600" t="s">
        <v>709</v>
      </c>
      <c r="EN4600" t="s">
        <v>855</v>
      </c>
      <c r="EO4600">
        <v>11.4</v>
      </c>
    </row>
    <row r="4601" spans="142:145" x14ac:dyDescent="0.25">
      <c r="EL4601">
        <v>2016</v>
      </c>
      <c r="EM4601" t="s">
        <v>710</v>
      </c>
      <c r="EN4601" t="s">
        <v>855</v>
      </c>
      <c r="EO4601">
        <v>10.85</v>
      </c>
    </row>
    <row r="4602" spans="142:145" x14ac:dyDescent="0.25">
      <c r="EL4602">
        <v>2016</v>
      </c>
      <c r="EM4602" t="s">
        <v>711</v>
      </c>
      <c r="EN4602" t="s">
        <v>855</v>
      </c>
      <c r="EO4602">
        <v>9.6</v>
      </c>
    </row>
    <row r="4603" spans="142:145" x14ac:dyDescent="0.25">
      <c r="EL4603">
        <v>2016</v>
      </c>
      <c r="EM4603" t="s">
        <v>712</v>
      </c>
      <c r="EN4603" t="s">
        <v>855</v>
      </c>
      <c r="EO4603">
        <v>10.85</v>
      </c>
    </row>
    <row r="4604" spans="142:145" x14ac:dyDescent="0.25">
      <c r="EL4604">
        <v>2017</v>
      </c>
      <c r="EM4604" t="s">
        <v>719</v>
      </c>
      <c r="EN4604" t="s">
        <v>855</v>
      </c>
      <c r="EO4604">
        <v>10.85</v>
      </c>
    </row>
    <row r="4605" spans="142:145" x14ac:dyDescent="0.25">
      <c r="EL4605">
        <v>2017</v>
      </c>
      <c r="EM4605" t="s">
        <v>713</v>
      </c>
      <c r="EN4605" t="s">
        <v>855</v>
      </c>
      <c r="EO4605">
        <v>8.9600000000000009</v>
      </c>
    </row>
    <row r="4606" spans="142:145" x14ac:dyDescent="0.25">
      <c r="EL4606">
        <v>2017</v>
      </c>
      <c r="EM4606" t="s">
        <v>714</v>
      </c>
      <c r="EN4606" t="s">
        <v>855</v>
      </c>
      <c r="EO4606">
        <v>11.47</v>
      </c>
    </row>
    <row r="4607" spans="142:145" x14ac:dyDescent="0.25">
      <c r="EL4607">
        <v>2017</v>
      </c>
      <c r="EM4607" t="s">
        <v>705</v>
      </c>
      <c r="EN4607" t="s">
        <v>855</v>
      </c>
      <c r="EO4607">
        <v>11.7</v>
      </c>
    </row>
    <row r="4608" spans="142:145" x14ac:dyDescent="0.25">
      <c r="EL4608">
        <v>2017</v>
      </c>
      <c r="EM4608" t="s">
        <v>715</v>
      </c>
      <c r="EN4608" t="s">
        <v>855</v>
      </c>
      <c r="EO4608">
        <v>12.4</v>
      </c>
    </row>
    <row r="4609" spans="142:145" x14ac:dyDescent="0.25">
      <c r="EL4609">
        <v>2017</v>
      </c>
      <c r="EM4609" t="s">
        <v>718</v>
      </c>
      <c r="EN4609" t="s">
        <v>855</v>
      </c>
      <c r="EO4609">
        <v>11.4</v>
      </c>
    </row>
    <row r="4610" spans="142:145" x14ac:dyDescent="0.25">
      <c r="EL4610">
        <v>2017</v>
      </c>
      <c r="EM4610" t="s">
        <v>716</v>
      </c>
      <c r="EN4610" t="s">
        <v>855</v>
      </c>
      <c r="EO4610">
        <v>12.09</v>
      </c>
    </row>
    <row r="4611" spans="142:145" x14ac:dyDescent="0.25">
      <c r="EL4611">
        <v>2017</v>
      </c>
      <c r="EM4611" t="s">
        <v>708</v>
      </c>
      <c r="EN4611" t="s">
        <v>855</v>
      </c>
      <c r="EO4611">
        <v>13.02</v>
      </c>
    </row>
    <row r="4612" spans="142:145" x14ac:dyDescent="0.25">
      <c r="EL4612">
        <v>2017</v>
      </c>
      <c r="EM4612" t="s">
        <v>709</v>
      </c>
      <c r="EN4612" t="s">
        <v>855</v>
      </c>
      <c r="EO4612">
        <v>11.4</v>
      </c>
    </row>
    <row r="4613" spans="142:145" x14ac:dyDescent="0.25">
      <c r="EL4613">
        <v>2017</v>
      </c>
      <c r="EM4613" t="s">
        <v>710</v>
      </c>
      <c r="EN4613" t="s">
        <v>855</v>
      </c>
      <c r="EO4613">
        <v>11.16</v>
      </c>
    </row>
    <row r="4614" spans="142:145" x14ac:dyDescent="0.25">
      <c r="EL4614">
        <v>2017</v>
      </c>
      <c r="EM4614" t="s">
        <v>711</v>
      </c>
      <c r="EN4614" t="s">
        <v>855</v>
      </c>
      <c r="EO4614">
        <v>10.5</v>
      </c>
    </row>
    <row r="4615" spans="142:145" x14ac:dyDescent="0.25">
      <c r="EL4615">
        <v>2017</v>
      </c>
      <c r="EM4615" t="s">
        <v>712</v>
      </c>
      <c r="EN4615" t="s">
        <v>855</v>
      </c>
      <c r="EO4615">
        <v>12.09</v>
      </c>
    </row>
    <row r="4616" spans="142:145" x14ac:dyDescent="0.25">
      <c r="EL4616">
        <v>2018</v>
      </c>
      <c r="EM4616" t="s">
        <v>719</v>
      </c>
      <c r="EN4616" t="s">
        <v>855</v>
      </c>
      <c r="EO4616">
        <v>13.02</v>
      </c>
    </row>
    <row r="4617" spans="142:145" x14ac:dyDescent="0.25">
      <c r="EL4617">
        <v>2018</v>
      </c>
      <c r="EM4617" t="s">
        <v>713</v>
      </c>
      <c r="EN4617" t="s">
        <v>855</v>
      </c>
      <c r="EO4617">
        <v>10.92</v>
      </c>
    </row>
    <row r="4618" spans="142:145" x14ac:dyDescent="0.25">
      <c r="EL4618">
        <v>2018</v>
      </c>
      <c r="EM4618" t="s">
        <v>714</v>
      </c>
      <c r="EN4618" t="s">
        <v>855</v>
      </c>
      <c r="EO4618">
        <v>11.78</v>
      </c>
    </row>
    <row r="4619" spans="142:145" x14ac:dyDescent="0.25">
      <c r="EL4619">
        <v>2018</v>
      </c>
      <c r="EM4619" t="s">
        <v>705</v>
      </c>
      <c r="EN4619" t="s">
        <v>855</v>
      </c>
      <c r="EO4619">
        <v>10.5</v>
      </c>
    </row>
    <row r="4620" spans="142:145" x14ac:dyDescent="0.25">
      <c r="EL4620">
        <v>2018</v>
      </c>
      <c r="EM4620" t="s">
        <v>715</v>
      </c>
      <c r="EN4620" t="s">
        <v>855</v>
      </c>
      <c r="EO4620">
        <v>15.5</v>
      </c>
    </row>
    <row r="4621" spans="142:145" x14ac:dyDescent="0.25">
      <c r="EL4621">
        <v>2018</v>
      </c>
      <c r="EM4621" t="s">
        <v>718</v>
      </c>
      <c r="EN4621" t="s">
        <v>855</v>
      </c>
      <c r="EO4621">
        <v>11.7</v>
      </c>
    </row>
    <row r="4622" spans="142:145" x14ac:dyDescent="0.25">
      <c r="EL4622">
        <v>2018</v>
      </c>
      <c r="EM4622" t="s">
        <v>716</v>
      </c>
      <c r="EN4622" t="s">
        <v>855</v>
      </c>
      <c r="EO4622">
        <v>14.57</v>
      </c>
    </row>
    <row r="4623" spans="142:145" x14ac:dyDescent="0.25">
      <c r="EL4623">
        <v>2018</v>
      </c>
      <c r="EM4623" t="s">
        <v>708</v>
      </c>
      <c r="EN4623" t="s">
        <v>855</v>
      </c>
      <c r="EO4623">
        <v>15.19</v>
      </c>
    </row>
    <row r="4624" spans="142:145" x14ac:dyDescent="0.25">
      <c r="EL4624">
        <v>2018</v>
      </c>
      <c r="EM4624" t="s">
        <v>709</v>
      </c>
      <c r="EN4624" t="s">
        <v>855</v>
      </c>
      <c r="EO4624">
        <v>16.5</v>
      </c>
    </row>
    <row r="4625" spans="142:145" x14ac:dyDescent="0.25">
      <c r="EL4625">
        <v>2018</v>
      </c>
      <c r="EM4625" t="s">
        <v>710</v>
      </c>
      <c r="EN4625" t="s">
        <v>855</v>
      </c>
      <c r="EO4625">
        <v>17.05</v>
      </c>
    </row>
    <row r="4626" spans="142:145" x14ac:dyDescent="0.25">
      <c r="EL4626">
        <v>2018</v>
      </c>
      <c r="EM4626" t="s">
        <v>711</v>
      </c>
      <c r="EN4626" t="s">
        <v>855</v>
      </c>
      <c r="EO4626">
        <v>15.9</v>
      </c>
    </row>
    <row r="4627" spans="142:145" x14ac:dyDescent="0.25">
      <c r="EL4627">
        <v>2018</v>
      </c>
      <c r="EM4627" t="s">
        <v>712</v>
      </c>
      <c r="EN4627" t="s">
        <v>855</v>
      </c>
      <c r="EO4627">
        <v>17.670000000000002</v>
      </c>
    </row>
    <row r="4628" spans="142:145" x14ac:dyDescent="0.25">
      <c r="EL4628">
        <v>2019</v>
      </c>
      <c r="EM4628" t="s">
        <v>719</v>
      </c>
      <c r="EN4628" t="s">
        <v>855</v>
      </c>
      <c r="EO4628">
        <v>16.43</v>
      </c>
    </row>
    <row r="4629" spans="142:145" x14ac:dyDescent="0.25">
      <c r="EL4629">
        <v>2019</v>
      </c>
      <c r="EM4629" t="s">
        <v>713</v>
      </c>
      <c r="EN4629" t="s">
        <v>855</v>
      </c>
      <c r="EO4629">
        <v>15.12</v>
      </c>
    </row>
    <row r="4630" spans="142:145" x14ac:dyDescent="0.25">
      <c r="EL4630">
        <v>2019</v>
      </c>
      <c r="EM4630" t="s">
        <v>714</v>
      </c>
      <c r="EN4630" t="s">
        <v>855</v>
      </c>
      <c r="EO4630">
        <v>15.81</v>
      </c>
    </row>
    <row r="4631" spans="142:145" x14ac:dyDescent="0.25">
      <c r="EL4631">
        <v>2019</v>
      </c>
      <c r="EM4631" t="s">
        <v>705</v>
      </c>
      <c r="EN4631" t="s">
        <v>855</v>
      </c>
      <c r="EO4631">
        <v>12.9</v>
      </c>
    </row>
    <row r="4632" spans="142:145" x14ac:dyDescent="0.25">
      <c r="EL4632">
        <v>2019</v>
      </c>
      <c r="EM4632" t="s">
        <v>715</v>
      </c>
      <c r="EN4632" t="s">
        <v>855</v>
      </c>
      <c r="EO4632">
        <v>15.5</v>
      </c>
    </row>
    <row r="4633" spans="142:145" x14ac:dyDescent="0.25">
      <c r="EL4633">
        <v>2019</v>
      </c>
      <c r="EM4633" t="s">
        <v>718</v>
      </c>
      <c r="EN4633" t="s">
        <v>855</v>
      </c>
      <c r="EO4633">
        <v>12</v>
      </c>
    </row>
    <row r="4634" spans="142:145" x14ac:dyDescent="0.25">
      <c r="EL4634">
        <v>2019</v>
      </c>
      <c r="EM4634" t="s">
        <v>716</v>
      </c>
      <c r="EN4634" t="s">
        <v>855</v>
      </c>
      <c r="EO4634">
        <v>17.670000000000002</v>
      </c>
    </row>
    <row r="4635" spans="142:145" x14ac:dyDescent="0.25">
      <c r="EL4635">
        <v>2019</v>
      </c>
      <c r="EM4635" t="s">
        <v>708</v>
      </c>
      <c r="EN4635" t="s">
        <v>855</v>
      </c>
      <c r="EO4635">
        <v>26.66</v>
      </c>
    </row>
    <row r="4636" spans="142:145" x14ac:dyDescent="0.25">
      <c r="EL4636">
        <v>2019</v>
      </c>
      <c r="EM4636" t="s">
        <v>709</v>
      </c>
      <c r="EN4636" t="s">
        <v>855</v>
      </c>
      <c r="EO4636">
        <v>9.3000000000000007</v>
      </c>
    </row>
    <row r="4637" spans="142:145" x14ac:dyDescent="0.25">
      <c r="EL4637">
        <v>2019</v>
      </c>
      <c r="EM4637" t="s">
        <v>710</v>
      </c>
      <c r="EN4637" t="s">
        <v>855</v>
      </c>
      <c r="EO4637">
        <v>10.54</v>
      </c>
    </row>
    <row r="4638" spans="142:145" x14ac:dyDescent="0.25">
      <c r="EL4638">
        <v>2019</v>
      </c>
      <c r="EM4638" t="s">
        <v>711</v>
      </c>
      <c r="EN4638" t="s">
        <v>855</v>
      </c>
      <c r="EO4638">
        <v>10.199999999999999</v>
      </c>
    </row>
    <row r="4639" spans="142:145" x14ac:dyDescent="0.25">
      <c r="EL4639">
        <v>2019</v>
      </c>
      <c r="EM4639" t="s">
        <v>712</v>
      </c>
      <c r="EN4639" t="s">
        <v>855</v>
      </c>
      <c r="EO4639">
        <v>10.85</v>
      </c>
    </row>
    <row r="4640" spans="142:145" x14ac:dyDescent="0.25">
      <c r="EL4640">
        <v>2020</v>
      </c>
      <c r="EM4640" t="s">
        <v>719</v>
      </c>
      <c r="EN4640" t="s">
        <v>855</v>
      </c>
      <c r="EO4640">
        <v>11.78</v>
      </c>
    </row>
    <row r="4641" spans="142:145" x14ac:dyDescent="0.25">
      <c r="EL4641">
        <v>2020</v>
      </c>
      <c r="EM4641" t="s">
        <v>713</v>
      </c>
      <c r="EN4641" t="s">
        <v>855</v>
      </c>
      <c r="EO4641">
        <v>9.86</v>
      </c>
    </row>
    <row r="4642" spans="142:145" x14ac:dyDescent="0.25">
      <c r="EL4642">
        <v>2020</v>
      </c>
      <c r="EM4642" t="s">
        <v>714</v>
      </c>
      <c r="EN4642" t="s">
        <v>855</v>
      </c>
      <c r="EO4642">
        <v>11.78</v>
      </c>
    </row>
    <row r="4643" spans="142:145" x14ac:dyDescent="0.25">
      <c r="EL4643">
        <v>2020</v>
      </c>
      <c r="EM4643" t="s">
        <v>705</v>
      </c>
      <c r="EN4643" t="s">
        <v>855</v>
      </c>
      <c r="EO4643">
        <v>12</v>
      </c>
    </row>
    <row r="4644" spans="142:145" x14ac:dyDescent="0.25">
      <c r="EL4644">
        <v>2020</v>
      </c>
      <c r="EM4644" t="s">
        <v>715</v>
      </c>
      <c r="EN4644" t="s">
        <v>855</v>
      </c>
      <c r="EO4644">
        <v>10.85</v>
      </c>
    </row>
    <row r="4645" spans="142:145" x14ac:dyDescent="0.25">
      <c r="EL4645">
        <v>2020</v>
      </c>
      <c r="EM4645" t="s">
        <v>718</v>
      </c>
      <c r="EN4645" t="s">
        <v>855</v>
      </c>
      <c r="EO4645">
        <v>10.8</v>
      </c>
    </row>
    <row r="4646" spans="142:145" x14ac:dyDescent="0.25">
      <c r="EL4646">
        <v>2020</v>
      </c>
      <c r="EM4646" t="s">
        <v>716</v>
      </c>
      <c r="EN4646" t="s">
        <v>855</v>
      </c>
      <c r="EO4646">
        <v>12.09</v>
      </c>
    </row>
    <row r="4647" spans="142:145" x14ac:dyDescent="0.25">
      <c r="EL4647">
        <v>2020</v>
      </c>
      <c r="EM4647" t="s">
        <v>708</v>
      </c>
      <c r="EN4647" t="s">
        <v>855</v>
      </c>
      <c r="EO4647">
        <v>10.85</v>
      </c>
    </row>
    <row r="4648" spans="142:145" x14ac:dyDescent="0.25">
      <c r="EL4648">
        <v>2020</v>
      </c>
      <c r="EM4648" t="s">
        <v>709</v>
      </c>
      <c r="EN4648" t="s">
        <v>855</v>
      </c>
      <c r="EO4648">
        <v>9.9</v>
      </c>
    </row>
    <row r="4649" spans="142:145" x14ac:dyDescent="0.25">
      <c r="EL4649">
        <v>2020</v>
      </c>
      <c r="EM4649" t="s">
        <v>710</v>
      </c>
      <c r="EN4649" t="s">
        <v>855</v>
      </c>
      <c r="EO4649">
        <v>6.2</v>
      </c>
    </row>
    <row r="4650" spans="142:145" x14ac:dyDescent="0.25">
      <c r="EL4650">
        <v>2020</v>
      </c>
      <c r="EM4650" t="s">
        <v>711</v>
      </c>
      <c r="EN4650" t="s">
        <v>855</v>
      </c>
      <c r="EO4650">
        <v>18.600000000000001</v>
      </c>
    </row>
    <row r="4651" spans="142:145" x14ac:dyDescent="0.25">
      <c r="EL4651">
        <v>2020</v>
      </c>
      <c r="EM4651" t="s">
        <v>712</v>
      </c>
      <c r="EN4651" t="s">
        <v>855</v>
      </c>
      <c r="EO4651">
        <v>12.71</v>
      </c>
    </row>
    <row r="4652" spans="142:145" x14ac:dyDescent="0.25">
      <c r="EL4652">
        <v>2021</v>
      </c>
      <c r="EM4652" t="s">
        <v>719</v>
      </c>
      <c r="EN4652" t="s">
        <v>855</v>
      </c>
      <c r="EO4652">
        <v>9.3000000000000007</v>
      </c>
    </row>
    <row r="4653" spans="142:145" x14ac:dyDescent="0.25">
      <c r="EL4653">
        <v>2021</v>
      </c>
      <c r="EM4653" t="s">
        <v>713</v>
      </c>
      <c r="EN4653" t="s">
        <v>855</v>
      </c>
      <c r="EO4653">
        <v>10.08</v>
      </c>
    </row>
    <row r="4654" spans="142:145" x14ac:dyDescent="0.25">
      <c r="EL4654">
        <v>2021</v>
      </c>
      <c r="EM4654" t="s">
        <v>714</v>
      </c>
      <c r="EN4654" t="s">
        <v>855</v>
      </c>
      <c r="EO4654">
        <v>10.54</v>
      </c>
    </row>
    <row r="4655" spans="142:145" x14ac:dyDescent="0.25">
      <c r="EL4655">
        <v>2021</v>
      </c>
      <c r="EM4655" t="s">
        <v>705</v>
      </c>
      <c r="EN4655" t="s">
        <v>855</v>
      </c>
      <c r="EO4655">
        <v>9</v>
      </c>
    </row>
    <row r="4656" spans="142:145" x14ac:dyDescent="0.25">
      <c r="EL4656">
        <v>2021</v>
      </c>
      <c r="EM4656" t="s">
        <v>715</v>
      </c>
      <c r="EN4656" t="s">
        <v>855</v>
      </c>
      <c r="EO4656">
        <v>9.3000000000000007</v>
      </c>
    </row>
    <row r="4657" spans="142:145" x14ac:dyDescent="0.25">
      <c r="EL4657">
        <v>2021</v>
      </c>
      <c r="EM4657" t="s">
        <v>718</v>
      </c>
      <c r="EN4657" t="s">
        <v>855</v>
      </c>
      <c r="EO4657">
        <v>9.9</v>
      </c>
    </row>
    <row r="4658" spans="142:145" x14ac:dyDescent="0.25">
      <c r="EL4658">
        <v>2021</v>
      </c>
      <c r="EM4658" t="s">
        <v>716</v>
      </c>
      <c r="EN4658" t="s">
        <v>855</v>
      </c>
      <c r="EO4658">
        <v>8.99</v>
      </c>
    </row>
    <row r="4659" spans="142:145" x14ac:dyDescent="0.25">
      <c r="EL4659">
        <v>2021</v>
      </c>
      <c r="EM4659" t="s">
        <v>708</v>
      </c>
      <c r="EN4659" t="s">
        <v>855</v>
      </c>
      <c r="EO4659">
        <v>11.16</v>
      </c>
    </row>
    <row r="4660" spans="142:145" x14ac:dyDescent="0.25">
      <c r="EL4660">
        <v>2021</v>
      </c>
      <c r="EM4660" t="s">
        <v>709</v>
      </c>
      <c r="EN4660" t="s">
        <v>855</v>
      </c>
      <c r="EO4660">
        <v>11.7</v>
      </c>
    </row>
    <row r="4661" spans="142:145" x14ac:dyDescent="0.25">
      <c r="EL4661">
        <v>2021</v>
      </c>
      <c r="EM4661" t="s">
        <v>710</v>
      </c>
      <c r="EN4661" t="s">
        <v>855</v>
      </c>
      <c r="EO4661">
        <v>12.09</v>
      </c>
    </row>
    <row r="4662" spans="142:145" x14ac:dyDescent="0.25">
      <c r="EL4662">
        <v>2021</v>
      </c>
      <c r="EM4662" t="s">
        <v>711</v>
      </c>
      <c r="EN4662" t="s">
        <v>855</v>
      </c>
      <c r="EO4662">
        <v>11.1</v>
      </c>
    </row>
    <row r="4663" spans="142:145" x14ac:dyDescent="0.25">
      <c r="EL4663">
        <v>2021</v>
      </c>
      <c r="EM4663" t="s">
        <v>712</v>
      </c>
      <c r="EN4663" t="s">
        <v>855</v>
      </c>
      <c r="EO4663">
        <v>11.47</v>
      </c>
    </row>
    <row r="4664" spans="142:145" x14ac:dyDescent="0.25">
      <c r="EL4664">
        <v>2022</v>
      </c>
      <c r="EM4664" t="s">
        <v>719</v>
      </c>
      <c r="EN4664" t="s">
        <v>855</v>
      </c>
      <c r="EO4664">
        <v>13.33</v>
      </c>
    </row>
    <row r="4665" spans="142:145" x14ac:dyDescent="0.25">
      <c r="EL4665">
        <v>2022</v>
      </c>
      <c r="EM4665" t="s">
        <v>713</v>
      </c>
      <c r="EN4665" t="s">
        <v>855</v>
      </c>
      <c r="EO4665">
        <v>10.36</v>
      </c>
    </row>
    <row r="4666" spans="142:145" x14ac:dyDescent="0.25">
      <c r="EL4666">
        <v>2022</v>
      </c>
      <c r="EM4666" t="s">
        <v>714</v>
      </c>
      <c r="EN4666" t="s">
        <v>855</v>
      </c>
      <c r="EO4666">
        <v>11.78</v>
      </c>
    </row>
    <row r="4667" spans="142:145" x14ac:dyDescent="0.25">
      <c r="EL4667">
        <v>2022</v>
      </c>
      <c r="EM4667" t="s">
        <v>705</v>
      </c>
      <c r="EN4667" t="s">
        <v>855</v>
      </c>
      <c r="EO4667">
        <v>12.3</v>
      </c>
    </row>
    <row r="4668" spans="142:145" x14ac:dyDescent="0.25">
      <c r="EL4668">
        <v>2022</v>
      </c>
      <c r="EM4668" t="s">
        <v>715</v>
      </c>
      <c r="EN4668" t="s">
        <v>855</v>
      </c>
      <c r="EO4668">
        <v>13.02</v>
      </c>
    </row>
    <row r="4669" spans="142:145" x14ac:dyDescent="0.25">
      <c r="EL4669">
        <v>2022</v>
      </c>
      <c r="EM4669" t="s">
        <v>718</v>
      </c>
      <c r="EN4669" t="s">
        <v>855</v>
      </c>
      <c r="EO4669">
        <v>11.1</v>
      </c>
    </row>
    <row r="4670" spans="142:145" x14ac:dyDescent="0.25">
      <c r="EL4670">
        <v>2022</v>
      </c>
      <c r="EM4670" t="s">
        <v>716</v>
      </c>
      <c r="EN4670" t="s">
        <v>855</v>
      </c>
      <c r="EO4670">
        <v>12.4</v>
      </c>
    </row>
    <row r="4671" spans="142:145" x14ac:dyDescent="0.25">
      <c r="EL4671">
        <v>2022</v>
      </c>
      <c r="EM4671" t="s">
        <v>708</v>
      </c>
      <c r="EN4671" t="s">
        <v>855</v>
      </c>
      <c r="EO4671">
        <v>12.09</v>
      </c>
    </row>
    <row r="4672" spans="142:145" x14ac:dyDescent="0.25">
      <c r="EL4672">
        <v>2022</v>
      </c>
      <c r="EM4672" t="s">
        <v>709</v>
      </c>
      <c r="EN4672" t="s">
        <v>855</v>
      </c>
      <c r="EO4672">
        <v>11.7</v>
      </c>
    </row>
    <row r="4673" spans="142:145" x14ac:dyDescent="0.25">
      <c r="EL4673">
        <v>2022</v>
      </c>
      <c r="EM4673" t="s">
        <v>710</v>
      </c>
      <c r="EN4673" t="s">
        <v>855</v>
      </c>
      <c r="EO4673">
        <v>11.47</v>
      </c>
    </row>
    <row r="4674" spans="142:145" x14ac:dyDescent="0.25">
      <c r="EL4674">
        <v>2022</v>
      </c>
      <c r="EM4674" t="s">
        <v>711</v>
      </c>
      <c r="EN4674" t="s">
        <v>855</v>
      </c>
      <c r="EO4674">
        <v>11.4</v>
      </c>
    </row>
    <row r="4675" spans="142:145" x14ac:dyDescent="0.25">
      <c r="EL4675">
        <v>2022</v>
      </c>
      <c r="EM4675" t="s">
        <v>712</v>
      </c>
      <c r="EN4675" t="s">
        <v>855</v>
      </c>
      <c r="EO4675">
        <v>13.02</v>
      </c>
    </row>
    <row r="4676" spans="142:145" x14ac:dyDescent="0.25">
      <c r="EL4676">
        <v>2023</v>
      </c>
      <c r="EM4676" t="s">
        <v>719</v>
      </c>
      <c r="EN4676" t="s">
        <v>855</v>
      </c>
      <c r="EO4676">
        <v>12.09</v>
      </c>
    </row>
    <row r="4677" spans="142:145" x14ac:dyDescent="0.25">
      <c r="EL4677">
        <v>2023</v>
      </c>
      <c r="EM4677" t="s">
        <v>713</v>
      </c>
      <c r="EN4677" t="s">
        <v>855</v>
      </c>
      <c r="EO4677">
        <v>10.64</v>
      </c>
    </row>
    <row r="4678" spans="142:145" x14ac:dyDescent="0.25">
      <c r="EL4678">
        <v>2023</v>
      </c>
      <c r="EM4678" t="s">
        <v>714</v>
      </c>
      <c r="EN4678" t="s">
        <v>855</v>
      </c>
      <c r="EO4678">
        <v>11.47</v>
      </c>
    </row>
    <row r="4679" spans="142:145" x14ac:dyDescent="0.25">
      <c r="EL4679">
        <v>2023</v>
      </c>
      <c r="EM4679" t="s">
        <v>705</v>
      </c>
      <c r="EN4679" t="s">
        <v>855</v>
      </c>
      <c r="EO4679">
        <v>10.8</v>
      </c>
    </row>
    <row r="4680" spans="142:145" x14ac:dyDescent="0.25">
      <c r="EL4680">
        <v>2023</v>
      </c>
      <c r="EM4680" t="s">
        <v>715</v>
      </c>
      <c r="EN4680" t="s">
        <v>855</v>
      </c>
      <c r="EO4680">
        <v>10.85</v>
      </c>
    </row>
    <row r="4681" spans="142:145" x14ac:dyDescent="0.25">
      <c r="EL4681">
        <v>2023</v>
      </c>
      <c r="EM4681" t="s">
        <v>718</v>
      </c>
      <c r="EN4681" t="s">
        <v>855</v>
      </c>
      <c r="EO4681">
        <v>10.8</v>
      </c>
    </row>
    <row r="4682" spans="142:145" x14ac:dyDescent="0.25">
      <c r="EL4682">
        <v>2023</v>
      </c>
      <c r="EM4682" t="s">
        <v>716</v>
      </c>
      <c r="EN4682" t="s">
        <v>855</v>
      </c>
      <c r="EO4682">
        <v>12.09</v>
      </c>
    </row>
    <row r="4683" spans="142:145" x14ac:dyDescent="0.25">
      <c r="EL4683">
        <v>2023</v>
      </c>
      <c r="EM4683" t="s">
        <v>708</v>
      </c>
      <c r="EN4683" t="s">
        <v>855</v>
      </c>
      <c r="EO4683">
        <v>12.09</v>
      </c>
    </row>
    <row r="4684" spans="142:145" x14ac:dyDescent="0.25">
      <c r="EL4684">
        <v>2023</v>
      </c>
      <c r="EM4684" t="s">
        <v>709</v>
      </c>
      <c r="EN4684" t="s">
        <v>855</v>
      </c>
      <c r="EO4684">
        <v>11.4</v>
      </c>
    </row>
    <row r="4685" spans="142:145" x14ac:dyDescent="0.25">
      <c r="EL4685">
        <v>1997</v>
      </c>
      <c r="EM4685" t="s">
        <v>760</v>
      </c>
      <c r="EN4685" t="s">
        <v>856</v>
      </c>
      <c r="EO4685">
        <v>47.492000000000004</v>
      </c>
    </row>
    <row r="4686" spans="142:145" x14ac:dyDescent="0.25">
      <c r="EL4686">
        <v>1997</v>
      </c>
      <c r="EM4686" t="s">
        <v>761</v>
      </c>
      <c r="EN4686" t="s">
        <v>856</v>
      </c>
      <c r="EO4686">
        <v>45.96</v>
      </c>
    </row>
    <row r="4687" spans="142:145" x14ac:dyDescent="0.25">
      <c r="EL4687">
        <v>1997</v>
      </c>
      <c r="EM4687" t="s">
        <v>762</v>
      </c>
      <c r="EN4687" t="s">
        <v>856</v>
      </c>
      <c r="EO4687">
        <v>47.492000000000004</v>
      </c>
    </row>
    <row r="4688" spans="142:145" x14ac:dyDescent="0.25">
      <c r="EL4688">
        <v>1998</v>
      </c>
      <c r="EM4688" t="s">
        <v>763</v>
      </c>
      <c r="EN4688" t="s">
        <v>856</v>
      </c>
      <c r="EO4688">
        <v>47.492000000000004</v>
      </c>
    </row>
    <row r="4689" spans="142:145" x14ac:dyDescent="0.25">
      <c r="EL4689">
        <v>1998</v>
      </c>
      <c r="EM4689" t="s">
        <v>764</v>
      </c>
      <c r="EN4689" t="s">
        <v>856</v>
      </c>
      <c r="EO4689">
        <v>42.896000000000001</v>
      </c>
    </row>
    <row r="4690" spans="142:145" x14ac:dyDescent="0.25">
      <c r="EL4690">
        <v>1998</v>
      </c>
      <c r="EM4690" t="s">
        <v>765</v>
      </c>
      <c r="EN4690" t="s">
        <v>856</v>
      </c>
      <c r="EO4690">
        <v>47.492000000000004</v>
      </c>
    </row>
    <row r="4691" spans="142:145" x14ac:dyDescent="0.25">
      <c r="EL4691">
        <v>1998</v>
      </c>
      <c r="EM4691" t="s">
        <v>767</v>
      </c>
      <c r="EN4691" t="s">
        <v>856</v>
      </c>
      <c r="EO4691">
        <v>45.96</v>
      </c>
    </row>
    <row r="4692" spans="142:145" x14ac:dyDescent="0.25">
      <c r="EL4692">
        <v>1998</v>
      </c>
      <c r="EM4692" t="s">
        <v>715</v>
      </c>
      <c r="EN4692" t="s">
        <v>856</v>
      </c>
      <c r="EO4692">
        <v>47.492000000000004</v>
      </c>
    </row>
    <row r="4693" spans="142:145" x14ac:dyDescent="0.25">
      <c r="EL4693">
        <v>1998</v>
      </c>
      <c r="EM4693" t="s">
        <v>718</v>
      </c>
      <c r="EN4693" t="s">
        <v>856</v>
      </c>
      <c r="EO4693">
        <v>45.96</v>
      </c>
    </row>
    <row r="4694" spans="142:145" x14ac:dyDescent="0.25">
      <c r="EL4694">
        <v>1998</v>
      </c>
      <c r="EM4694" t="s">
        <v>716</v>
      </c>
      <c r="EN4694" t="s">
        <v>856</v>
      </c>
      <c r="EO4694">
        <v>47.492000000000004</v>
      </c>
    </row>
    <row r="4695" spans="142:145" x14ac:dyDescent="0.25">
      <c r="EL4695">
        <v>1998</v>
      </c>
      <c r="EM4695" t="s">
        <v>768</v>
      </c>
      <c r="EN4695" t="s">
        <v>856</v>
      </c>
      <c r="EO4695">
        <v>47.492000000000004</v>
      </c>
    </row>
    <row r="4696" spans="142:145" x14ac:dyDescent="0.25">
      <c r="EL4696">
        <v>1998</v>
      </c>
      <c r="EM4696" t="s">
        <v>769</v>
      </c>
      <c r="EN4696" t="s">
        <v>856</v>
      </c>
      <c r="EO4696">
        <v>45.96</v>
      </c>
    </row>
    <row r="4697" spans="142:145" x14ac:dyDescent="0.25">
      <c r="EL4697">
        <v>1998</v>
      </c>
      <c r="EM4697" t="s">
        <v>760</v>
      </c>
      <c r="EN4697" t="s">
        <v>856</v>
      </c>
      <c r="EO4697">
        <v>47.616</v>
      </c>
    </row>
    <row r="4698" spans="142:145" x14ac:dyDescent="0.25">
      <c r="EL4698">
        <v>1998</v>
      </c>
      <c r="EM4698" t="s">
        <v>771</v>
      </c>
      <c r="EN4698" t="s">
        <v>856</v>
      </c>
      <c r="EO4698">
        <v>46.08</v>
      </c>
    </row>
    <row r="4699" spans="142:145" x14ac:dyDescent="0.25">
      <c r="EL4699">
        <v>1998</v>
      </c>
      <c r="EM4699" t="s">
        <v>762</v>
      </c>
      <c r="EN4699" t="s">
        <v>856</v>
      </c>
      <c r="EO4699">
        <v>47.616</v>
      </c>
    </row>
    <row r="4700" spans="142:145" x14ac:dyDescent="0.25">
      <c r="EL4700">
        <v>1999</v>
      </c>
      <c r="EM4700" t="s">
        <v>763</v>
      </c>
      <c r="EN4700" t="s">
        <v>856</v>
      </c>
      <c r="EO4700">
        <v>47.616</v>
      </c>
    </row>
    <row r="4701" spans="142:145" x14ac:dyDescent="0.25">
      <c r="EL4701">
        <v>1999</v>
      </c>
      <c r="EM4701" t="s">
        <v>772</v>
      </c>
      <c r="EN4701" t="s">
        <v>856</v>
      </c>
      <c r="EO4701">
        <v>43.008000000000003</v>
      </c>
    </row>
    <row r="4702" spans="142:145" x14ac:dyDescent="0.25">
      <c r="EL4702">
        <v>1999</v>
      </c>
      <c r="EM4702" t="s">
        <v>773</v>
      </c>
      <c r="EN4702" t="s">
        <v>856</v>
      </c>
      <c r="EO4702">
        <v>47.616</v>
      </c>
    </row>
    <row r="4703" spans="142:145" x14ac:dyDescent="0.25">
      <c r="EL4703">
        <v>1999</v>
      </c>
      <c r="EM4703" t="s">
        <v>774</v>
      </c>
      <c r="EN4703" t="s">
        <v>856</v>
      </c>
      <c r="EO4703">
        <v>46.08</v>
      </c>
    </row>
    <row r="4704" spans="142:145" x14ac:dyDescent="0.25">
      <c r="EL4704">
        <v>1999</v>
      </c>
      <c r="EM4704" t="s">
        <v>715</v>
      </c>
      <c r="EN4704" t="s">
        <v>856</v>
      </c>
      <c r="EO4704">
        <v>47.616</v>
      </c>
    </row>
    <row r="4705" spans="142:145" x14ac:dyDescent="0.25">
      <c r="EL4705">
        <v>1999</v>
      </c>
      <c r="EM4705" t="s">
        <v>718</v>
      </c>
      <c r="EN4705" t="s">
        <v>856</v>
      </c>
      <c r="EO4705">
        <v>46.08</v>
      </c>
    </row>
    <row r="4706" spans="142:145" x14ac:dyDescent="0.25">
      <c r="EL4706">
        <v>1999</v>
      </c>
      <c r="EM4706" t="s">
        <v>716</v>
      </c>
      <c r="EN4706" t="s">
        <v>856</v>
      </c>
      <c r="EO4706">
        <v>47.616</v>
      </c>
    </row>
    <row r="4707" spans="142:145" x14ac:dyDescent="0.25">
      <c r="EL4707">
        <v>1999</v>
      </c>
      <c r="EM4707" t="s">
        <v>708</v>
      </c>
      <c r="EN4707" t="s">
        <v>856</v>
      </c>
      <c r="EO4707">
        <v>46.716999999999999</v>
      </c>
    </row>
    <row r="4708" spans="142:145" x14ac:dyDescent="0.25">
      <c r="EL4708">
        <v>1999</v>
      </c>
      <c r="EM4708" t="s">
        <v>709</v>
      </c>
      <c r="EN4708" t="s">
        <v>856</v>
      </c>
      <c r="EO4708">
        <v>45.209999999999994</v>
      </c>
    </row>
    <row r="4709" spans="142:145" x14ac:dyDescent="0.25">
      <c r="EL4709">
        <v>1999</v>
      </c>
      <c r="EM4709" t="s">
        <v>710</v>
      </c>
      <c r="EN4709" t="s">
        <v>856</v>
      </c>
      <c r="EO4709">
        <v>46.716999999999999</v>
      </c>
    </row>
    <row r="4710" spans="142:145" x14ac:dyDescent="0.25">
      <c r="EL4710">
        <v>1999</v>
      </c>
      <c r="EM4710" t="s">
        <v>711</v>
      </c>
      <c r="EN4710" t="s">
        <v>856</v>
      </c>
      <c r="EO4710">
        <v>45.209999999999994</v>
      </c>
    </row>
    <row r="4711" spans="142:145" x14ac:dyDescent="0.25">
      <c r="EL4711">
        <v>1999</v>
      </c>
      <c r="EM4711" t="s">
        <v>712</v>
      </c>
      <c r="EN4711" t="s">
        <v>856</v>
      </c>
      <c r="EO4711">
        <v>46.716999999999999</v>
      </c>
    </row>
    <row r="4712" spans="142:145" x14ac:dyDescent="0.25">
      <c r="EL4712">
        <v>2000</v>
      </c>
      <c r="EM4712" t="s">
        <v>719</v>
      </c>
      <c r="EN4712" t="s">
        <v>856</v>
      </c>
      <c r="EO4712">
        <v>46.716999999999999</v>
      </c>
    </row>
    <row r="4713" spans="142:145" x14ac:dyDescent="0.25">
      <c r="EL4713">
        <v>2000</v>
      </c>
      <c r="EM4713" t="s">
        <v>713</v>
      </c>
      <c r="EN4713" t="s">
        <v>856</v>
      </c>
      <c r="EO4713">
        <v>43.702999999999996</v>
      </c>
    </row>
    <row r="4714" spans="142:145" x14ac:dyDescent="0.25">
      <c r="EL4714">
        <v>2000</v>
      </c>
      <c r="EM4714" t="s">
        <v>714</v>
      </c>
      <c r="EN4714" t="s">
        <v>856</v>
      </c>
      <c r="EO4714">
        <v>46.716999999999999</v>
      </c>
    </row>
    <row r="4715" spans="142:145" x14ac:dyDescent="0.25">
      <c r="EL4715">
        <v>2000</v>
      </c>
      <c r="EM4715" t="s">
        <v>705</v>
      </c>
      <c r="EN4715" t="s">
        <v>856</v>
      </c>
      <c r="EO4715">
        <v>45.209999999999994</v>
      </c>
    </row>
    <row r="4716" spans="142:145" x14ac:dyDescent="0.25">
      <c r="EL4716">
        <v>2000</v>
      </c>
      <c r="EM4716" t="s">
        <v>715</v>
      </c>
      <c r="EN4716" t="s">
        <v>856</v>
      </c>
      <c r="EO4716">
        <v>46.716999999999999</v>
      </c>
    </row>
    <row r="4717" spans="142:145" x14ac:dyDescent="0.25">
      <c r="EL4717">
        <v>2000</v>
      </c>
      <c r="EM4717" t="s">
        <v>718</v>
      </c>
      <c r="EN4717" t="s">
        <v>856</v>
      </c>
      <c r="EO4717">
        <v>45.209999999999994</v>
      </c>
    </row>
    <row r="4718" spans="142:145" x14ac:dyDescent="0.25">
      <c r="EL4718">
        <v>2000</v>
      </c>
      <c r="EM4718" t="s">
        <v>716</v>
      </c>
      <c r="EN4718" t="s">
        <v>856</v>
      </c>
      <c r="EO4718">
        <v>47.616</v>
      </c>
    </row>
    <row r="4719" spans="142:145" x14ac:dyDescent="0.25">
      <c r="EL4719">
        <v>2000</v>
      </c>
      <c r="EM4719" t="s">
        <v>708</v>
      </c>
      <c r="EN4719" t="s">
        <v>856</v>
      </c>
      <c r="EO4719">
        <v>47.616</v>
      </c>
    </row>
    <row r="4720" spans="142:145" x14ac:dyDescent="0.25">
      <c r="EL4720">
        <v>2000</v>
      </c>
      <c r="EM4720" t="s">
        <v>709</v>
      </c>
      <c r="EN4720" t="s">
        <v>856</v>
      </c>
      <c r="EO4720">
        <v>46.08</v>
      </c>
    </row>
    <row r="4721" spans="142:145" x14ac:dyDescent="0.25">
      <c r="EL4721">
        <v>2000</v>
      </c>
      <c r="EM4721" t="s">
        <v>710</v>
      </c>
      <c r="EN4721" t="s">
        <v>856</v>
      </c>
      <c r="EO4721">
        <v>47.616</v>
      </c>
    </row>
    <row r="4722" spans="142:145" x14ac:dyDescent="0.25">
      <c r="EL4722">
        <v>2000</v>
      </c>
      <c r="EM4722" t="s">
        <v>711</v>
      </c>
      <c r="EN4722" t="s">
        <v>856</v>
      </c>
      <c r="EO4722">
        <v>46.08</v>
      </c>
    </row>
    <row r="4723" spans="142:145" x14ac:dyDescent="0.25">
      <c r="EL4723">
        <v>2000</v>
      </c>
      <c r="EM4723" t="s">
        <v>712</v>
      </c>
      <c r="EN4723" t="s">
        <v>856</v>
      </c>
      <c r="EO4723">
        <v>47.616</v>
      </c>
    </row>
    <row r="4724" spans="142:145" x14ac:dyDescent="0.25">
      <c r="EL4724">
        <v>2001</v>
      </c>
      <c r="EM4724" t="s">
        <v>719</v>
      </c>
      <c r="EN4724" t="s">
        <v>856</v>
      </c>
      <c r="EO4724">
        <v>47.616</v>
      </c>
    </row>
    <row r="4725" spans="142:145" x14ac:dyDescent="0.25">
      <c r="EL4725">
        <v>2001</v>
      </c>
      <c r="EM4725" t="s">
        <v>713</v>
      </c>
      <c r="EN4725" t="s">
        <v>856</v>
      </c>
      <c r="EO4725">
        <v>43.008000000000003</v>
      </c>
    </row>
    <row r="4726" spans="142:145" x14ac:dyDescent="0.25">
      <c r="EL4726">
        <v>2001</v>
      </c>
      <c r="EM4726" t="s">
        <v>714</v>
      </c>
      <c r="EN4726" t="s">
        <v>856</v>
      </c>
      <c r="EO4726">
        <v>47.616</v>
      </c>
    </row>
    <row r="4727" spans="142:145" x14ac:dyDescent="0.25">
      <c r="EL4727">
        <v>2001</v>
      </c>
      <c r="EM4727" t="s">
        <v>705</v>
      </c>
      <c r="EN4727" t="s">
        <v>856</v>
      </c>
      <c r="EO4727">
        <v>47.616</v>
      </c>
    </row>
    <row r="4728" spans="142:145" x14ac:dyDescent="0.25">
      <c r="EL4728">
        <v>2001</v>
      </c>
      <c r="EM4728" t="s">
        <v>715</v>
      </c>
      <c r="EN4728" t="s">
        <v>856</v>
      </c>
      <c r="EO4728">
        <v>47.616</v>
      </c>
    </row>
    <row r="4729" spans="142:145" x14ac:dyDescent="0.25">
      <c r="EL4729">
        <v>2001</v>
      </c>
      <c r="EM4729" t="s">
        <v>718</v>
      </c>
      <c r="EN4729" t="s">
        <v>856</v>
      </c>
      <c r="EO4729">
        <v>46.08</v>
      </c>
    </row>
    <row r="4730" spans="142:145" x14ac:dyDescent="0.25">
      <c r="EL4730">
        <v>2001</v>
      </c>
      <c r="EM4730" t="s">
        <v>716</v>
      </c>
      <c r="EN4730" t="s">
        <v>856</v>
      </c>
      <c r="EO4730">
        <v>47.616</v>
      </c>
    </row>
    <row r="4731" spans="142:145" x14ac:dyDescent="0.25">
      <c r="EL4731">
        <v>2001</v>
      </c>
      <c r="EM4731" t="s">
        <v>708</v>
      </c>
      <c r="EN4731" t="s">
        <v>856</v>
      </c>
      <c r="EO4731">
        <v>47.616</v>
      </c>
    </row>
    <row r="4732" spans="142:145" x14ac:dyDescent="0.25">
      <c r="EL4732">
        <v>2001</v>
      </c>
      <c r="EM4732" t="s">
        <v>709</v>
      </c>
      <c r="EN4732" t="s">
        <v>856</v>
      </c>
      <c r="EO4732">
        <v>46.08</v>
      </c>
    </row>
    <row r="4733" spans="142:145" x14ac:dyDescent="0.25">
      <c r="EL4733">
        <v>2001</v>
      </c>
      <c r="EM4733" t="s">
        <v>710</v>
      </c>
      <c r="EN4733" t="s">
        <v>856</v>
      </c>
      <c r="EO4733">
        <v>47.616</v>
      </c>
    </row>
    <row r="4734" spans="142:145" x14ac:dyDescent="0.25">
      <c r="EL4734">
        <v>2001</v>
      </c>
      <c r="EM4734" t="s">
        <v>711</v>
      </c>
      <c r="EN4734" t="s">
        <v>856</v>
      </c>
      <c r="EO4734">
        <v>46.08</v>
      </c>
    </row>
    <row r="4735" spans="142:145" x14ac:dyDescent="0.25">
      <c r="EL4735">
        <v>2001</v>
      </c>
      <c r="EM4735" t="s">
        <v>712</v>
      </c>
      <c r="EN4735" t="s">
        <v>856</v>
      </c>
      <c r="EO4735">
        <v>47.616</v>
      </c>
    </row>
    <row r="4736" spans="142:145" x14ac:dyDescent="0.25">
      <c r="EL4736">
        <v>2002</v>
      </c>
      <c r="EM4736" t="s">
        <v>719</v>
      </c>
      <c r="EN4736" t="s">
        <v>856</v>
      </c>
      <c r="EO4736">
        <v>47.616</v>
      </c>
    </row>
    <row r="4737" spans="142:145" x14ac:dyDescent="0.25">
      <c r="EL4737">
        <v>2002</v>
      </c>
      <c r="EM4737" t="s">
        <v>713</v>
      </c>
      <c r="EN4737" t="s">
        <v>856</v>
      </c>
      <c r="EO4737">
        <v>43.008000000000003</v>
      </c>
    </row>
    <row r="4738" spans="142:145" x14ac:dyDescent="0.25">
      <c r="EL4738">
        <v>2002</v>
      </c>
      <c r="EM4738" t="s">
        <v>714</v>
      </c>
      <c r="EN4738" t="s">
        <v>856</v>
      </c>
      <c r="EO4738">
        <v>47.616</v>
      </c>
    </row>
    <row r="4739" spans="142:145" x14ac:dyDescent="0.25">
      <c r="EL4739">
        <v>2002</v>
      </c>
      <c r="EM4739" t="s">
        <v>705</v>
      </c>
      <c r="EN4739" t="s">
        <v>856</v>
      </c>
      <c r="EO4739">
        <v>46.08</v>
      </c>
    </row>
    <row r="4740" spans="142:145" x14ac:dyDescent="0.25">
      <c r="EL4740">
        <v>2002</v>
      </c>
      <c r="EM4740" t="s">
        <v>715</v>
      </c>
      <c r="EN4740" t="s">
        <v>856</v>
      </c>
      <c r="EO4740">
        <v>47.616</v>
      </c>
    </row>
    <row r="4741" spans="142:145" x14ac:dyDescent="0.25">
      <c r="EL4741">
        <v>2002</v>
      </c>
      <c r="EM4741" t="s">
        <v>718</v>
      </c>
      <c r="EN4741" t="s">
        <v>856</v>
      </c>
      <c r="EO4741">
        <v>46.08</v>
      </c>
    </row>
    <row r="4742" spans="142:145" x14ac:dyDescent="0.25">
      <c r="EL4742">
        <v>2002</v>
      </c>
      <c r="EM4742" t="s">
        <v>716</v>
      </c>
      <c r="EN4742" t="s">
        <v>856</v>
      </c>
      <c r="EO4742">
        <v>47.616</v>
      </c>
    </row>
    <row r="4743" spans="142:145" x14ac:dyDescent="0.25">
      <c r="EL4743">
        <v>2002</v>
      </c>
      <c r="EM4743" t="s">
        <v>708</v>
      </c>
      <c r="EN4743" t="s">
        <v>856</v>
      </c>
      <c r="EO4743">
        <v>47.616</v>
      </c>
    </row>
    <row r="4744" spans="142:145" x14ac:dyDescent="0.25">
      <c r="EL4744">
        <v>2002</v>
      </c>
      <c r="EM4744" t="s">
        <v>709</v>
      </c>
      <c r="EN4744" t="s">
        <v>856</v>
      </c>
      <c r="EO4744">
        <v>46.08</v>
      </c>
    </row>
    <row r="4745" spans="142:145" x14ac:dyDescent="0.25">
      <c r="EL4745">
        <v>2002</v>
      </c>
      <c r="EM4745" t="s">
        <v>710</v>
      </c>
      <c r="EN4745" t="s">
        <v>856</v>
      </c>
      <c r="EO4745">
        <v>47.616</v>
      </c>
    </row>
    <row r="4746" spans="142:145" x14ac:dyDescent="0.25">
      <c r="EL4746">
        <v>2002</v>
      </c>
      <c r="EM4746" t="s">
        <v>711</v>
      </c>
      <c r="EN4746" t="s">
        <v>856</v>
      </c>
      <c r="EO4746">
        <v>46.08</v>
      </c>
    </row>
    <row r="4747" spans="142:145" x14ac:dyDescent="0.25">
      <c r="EL4747">
        <v>2002</v>
      </c>
      <c r="EM4747" t="s">
        <v>712</v>
      </c>
      <c r="EN4747" t="s">
        <v>856</v>
      </c>
      <c r="EO4747">
        <v>47.616</v>
      </c>
    </row>
    <row r="4748" spans="142:145" x14ac:dyDescent="0.25">
      <c r="EL4748">
        <v>2003</v>
      </c>
      <c r="EM4748" t="s">
        <v>719</v>
      </c>
      <c r="EN4748" t="s">
        <v>856</v>
      </c>
      <c r="EO4748">
        <v>47.616</v>
      </c>
    </row>
    <row r="4749" spans="142:145" x14ac:dyDescent="0.25">
      <c r="EL4749">
        <v>2003</v>
      </c>
      <c r="EM4749" t="s">
        <v>713</v>
      </c>
      <c r="EN4749" t="s">
        <v>856</v>
      </c>
      <c r="EO4749">
        <v>43.008000000000003</v>
      </c>
    </row>
    <row r="4750" spans="142:145" x14ac:dyDescent="0.25">
      <c r="EL4750">
        <v>2003</v>
      </c>
      <c r="EM4750" t="s">
        <v>714</v>
      </c>
      <c r="EN4750" t="s">
        <v>856</v>
      </c>
      <c r="EO4750">
        <v>47.616</v>
      </c>
    </row>
    <row r="4751" spans="142:145" x14ac:dyDescent="0.25">
      <c r="EL4751">
        <v>2003</v>
      </c>
      <c r="EM4751" t="s">
        <v>705</v>
      </c>
      <c r="EN4751" t="s">
        <v>856</v>
      </c>
      <c r="EO4751">
        <v>46.08</v>
      </c>
    </row>
    <row r="4752" spans="142:145" x14ac:dyDescent="0.25">
      <c r="EL4752">
        <v>2003</v>
      </c>
      <c r="EM4752" t="s">
        <v>715</v>
      </c>
      <c r="EN4752" t="s">
        <v>856</v>
      </c>
      <c r="EO4752">
        <v>47.616</v>
      </c>
    </row>
    <row r="4753" spans="142:145" x14ac:dyDescent="0.25">
      <c r="EL4753">
        <v>2003</v>
      </c>
      <c r="EM4753" t="s">
        <v>718</v>
      </c>
      <c r="EN4753" t="s">
        <v>856</v>
      </c>
      <c r="EO4753">
        <v>46.08</v>
      </c>
    </row>
    <row r="4754" spans="142:145" x14ac:dyDescent="0.25">
      <c r="EL4754">
        <v>2003</v>
      </c>
      <c r="EM4754" t="s">
        <v>716</v>
      </c>
      <c r="EN4754" t="s">
        <v>856</v>
      </c>
      <c r="EO4754">
        <v>47.616</v>
      </c>
    </row>
    <row r="4755" spans="142:145" x14ac:dyDescent="0.25">
      <c r="EL4755">
        <v>2003</v>
      </c>
      <c r="EM4755" t="s">
        <v>708</v>
      </c>
      <c r="EN4755" t="s">
        <v>856</v>
      </c>
      <c r="EO4755">
        <v>47.616</v>
      </c>
    </row>
    <row r="4756" spans="142:145" x14ac:dyDescent="0.25">
      <c r="EL4756">
        <v>2003</v>
      </c>
      <c r="EM4756" t="s">
        <v>709</v>
      </c>
      <c r="EN4756" t="s">
        <v>856</v>
      </c>
      <c r="EO4756">
        <v>46.08</v>
      </c>
    </row>
    <row r="4757" spans="142:145" x14ac:dyDescent="0.25">
      <c r="EL4757">
        <v>2003</v>
      </c>
      <c r="EM4757" t="s">
        <v>710</v>
      </c>
      <c r="EN4757" t="s">
        <v>856</v>
      </c>
      <c r="EO4757">
        <v>47.630137362637356</v>
      </c>
    </row>
    <row r="4758" spans="142:145" x14ac:dyDescent="0.25">
      <c r="EL4758">
        <v>2003</v>
      </c>
      <c r="EM4758" t="s">
        <v>711</v>
      </c>
      <c r="EN4758" t="s">
        <v>856</v>
      </c>
      <c r="EO4758">
        <v>46.093681318681313</v>
      </c>
    </row>
    <row r="4759" spans="142:145" x14ac:dyDescent="0.25">
      <c r="EL4759">
        <v>2003</v>
      </c>
      <c r="EM4759" t="s">
        <v>712</v>
      </c>
      <c r="EN4759" t="s">
        <v>856</v>
      </c>
      <c r="EO4759">
        <v>47.630137362637356</v>
      </c>
    </row>
    <row r="4760" spans="142:145" x14ac:dyDescent="0.25">
      <c r="EL4760">
        <v>2004</v>
      </c>
      <c r="EM4760" t="s">
        <v>719</v>
      </c>
      <c r="EN4760" t="s">
        <v>856</v>
      </c>
      <c r="EO4760">
        <v>47.630137362637356</v>
      </c>
    </row>
    <row r="4761" spans="142:145" x14ac:dyDescent="0.25">
      <c r="EL4761">
        <v>2004</v>
      </c>
      <c r="EM4761" t="s">
        <v>713</v>
      </c>
      <c r="EN4761" t="s">
        <v>856</v>
      </c>
      <c r="EO4761">
        <v>44.557225274725269</v>
      </c>
    </row>
    <row r="4762" spans="142:145" x14ac:dyDescent="0.25">
      <c r="EL4762">
        <v>2004</v>
      </c>
      <c r="EM4762" t="s">
        <v>714</v>
      </c>
      <c r="EN4762" t="s">
        <v>856</v>
      </c>
      <c r="EO4762">
        <v>47.630137362637356</v>
      </c>
    </row>
    <row r="4763" spans="142:145" x14ac:dyDescent="0.25">
      <c r="EL4763">
        <v>2004</v>
      </c>
      <c r="EM4763" t="s">
        <v>705</v>
      </c>
      <c r="EN4763" t="s">
        <v>856</v>
      </c>
      <c r="EO4763">
        <v>46.093681318681313</v>
      </c>
    </row>
    <row r="4764" spans="142:145" x14ac:dyDescent="0.25">
      <c r="EL4764">
        <v>2004</v>
      </c>
      <c r="EM4764" t="s">
        <v>715</v>
      </c>
      <c r="EN4764" t="s">
        <v>856</v>
      </c>
      <c r="EO4764">
        <v>47.630137362637356</v>
      </c>
    </row>
    <row r="4765" spans="142:145" x14ac:dyDescent="0.25">
      <c r="EL4765">
        <v>2004</v>
      </c>
      <c r="EM4765" t="s">
        <v>718</v>
      </c>
      <c r="EN4765" t="s">
        <v>856</v>
      </c>
      <c r="EO4765">
        <v>46.093681318681313</v>
      </c>
    </row>
    <row r="4766" spans="142:145" x14ac:dyDescent="0.25">
      <c r="EL4766">
        <v>2004</v>
      </c>
      <c r="EM4766" t="s">
        <v>716</v>
      </c>
      <c r="EN4766" t="s">
        <v>856</v>
      </c>
      <c r="EO4766">
        <v>47.630137362637356</v>
      </c>
    </row>
    <row r="4767" spans="142:145" x14ac:dyDescent="0.25">
      <c r="EL4767">
        <v>2004</v>
      </c>
      <c r="EM4767" t="s">
        <v>708</v>
      </c>
      <c r="EN4767" t="s">
        <v>856</v>
      </c>
      <c r="EO4767">
        <v>47.630137362637356</v>
      </c>
    </row>
    <row r="4768" spans="142:145" x14ac:dyDescent="0.25">
      <c r="EL4768">
        <v>2004</v>
      </c>
      <c r="EM4768" t="s">
        <v>709</v>
      </c>
      <c r="EN4768" t="s">
        <v>856</v>
      </c>
      <c r="EO4768">
        <v>46.093681318681313</v>
      </c>
    </row>
    <row r="4769" spans="142:145" x14ac:dyDescent="0.25">
      <c r="EL4769">
        <v>2004</v>
      </c>
      <c r="EM4769" t="s">
        <v>710</v>
      </c>
      <c r="EN4769" t="s">
        <v>856</v>
      </c>
      <c r="EO4769">
        <v>47.313643543956047</v>
      </c>
    </row>
    <row r="4770" spans="142:145" x14ac:dyDescent="0.25">
      <c r="EL4770">
        <v>2004</v>
      </c>
      <c r="EM4770" t="s">
        <v>711</v>
      </c>
      <c r="EN4770" t="s">
        <v>856</v>
      </c>
      <c r="EO4770">
        <v>45.787396978021981</v>
      </c>
    </row>
    <row r="4771" spans="142:145" x14ac:dyDescent="0.25">
      <c r="EL4771">
        <v>2004</v>
      </c>
      <c r="EM4771" t="s">
        <v>712</v>
      </c>
      <c r="EN4771" t="s">
        <v>856</v>
      </c>
      <c r="EO4771">
        <v>47.313643543956047</v>
      </c>
    </row>
    <row r="4772" spans="142:145" x14ac:dyDescent="0.25">
      <c r="EL4772">
        <v>2005</v>
      </c>
      <c r="EM4772" t="s">
        <v>719</v>
      </c>
      <c r="EN4772" t="s">
        <v>856</v>
      </c>
      <c r="EO4772">
        <v>47.313643543956047</v>
      </c>
    </row>
    <row r="4773" spans="142:145" x14ac:dyDescent="0.25">
      <c r="EL4773">
        <v>2005</v>
      </c>
      <c r="EM4773" t="s">
        <v>713</v>
      </c>
      <c r="EN4773" t="s">
        <v>856</v>
      </c>
      <c r="EO4773">
        <v>42.734903846153848</v>
      </c>
    </row>
    <row r="4774" spans="142:145" x14ac:dyDescent="0.25">
      <c r="EL4774">
        <v>2005</v>
      </c>
      <c r="EM4774" t="s">
        <v>714</v>
      </c>
      <c r="EN4774" t="s">
        <v>856</v>
      </c>
      <c r="EO4774">
        <v>47.313643543956047</v>
      </c>
    </row>
    <row r="4775" spans="142:145" x14ac:dyDescent="0.25">
      <c r="EL4775">
        <v>2005</v>
      </c>
      <c r="EM4775" t="s">
        <v>705</v>
      </c>
      <c r="EN4775" t="s">
        <v>856</v>
      </c>
      <c r="EO4775">
        <v>45.787396978021981</v>
      </c>
    </row>
    <row r="4776" spans="142:145" x14ac:dyDescent="0.25">
      <c r="EL4776">
        <v>2005</v>
      </c>
      <c r="EM4776" t="s">
        <v>715</v>
      </c>
      <c r="EN4776" t="s">
        <v>856</v>
      </c>
      <c r="EO4776">
        <v>47.313643543956047</v>
      </c>
    </row>
    <row r="4777" spans="142:145" x14ac:dyDescent="0.25">
      <c r="EL4777">
        <v>2005</v>
      </c>
      <c r="EM4777" t="s">
        <v>718</v>
      </c>
      <c r="EN4777" t="s">
        <v>856</v>
      </c>
      <c r="EO4777">
        <v>45.787396978021981</v>
      </c>
    </row>
    <row r="4778" spans="142:145" x14ac:dyDescent="0.25">
      <c r="EL4778">
        <v>2005</v>
      </c>
      <c r="EM4778" t="s">
        <v>716</v>
      </c>
      <c r="EN4778" t="s">
        <v>856</v>
      </c>
      <c r="EO4778">
        <v>47.313643543956047</v>
      </c>
    </row>
    <row r="4779" spans="142:145" x14ac:dyDescent="0.25">
      <c r="EL4779">
        <v>2005</v>
      </c>
      <c r="EM4779" t="s">
        <v>708</v>
      </c>
      <c r="EN4779" t="s">
        <v>856</v>
      </c>
      <c r="EO4779">
        <v>47.313643543956047</v>
      </c>
    </row>
    <row r="4780" spans="142:145" x14ac:dyDescent="0.25">
      <c r="EL4780">
        <v>2005</v>
      </c>
      <c r="EM4780" t="s">
        <v>709</v>
      </c>
      <c r="EN4780" t="s">
        <v>856</v>
      </c>
      <c r="EO4780">
        <v>45.787396978021981</v>
      </c>
    </row>
    <row r="4781" spans="142:145" x14ac:dyDescent="0.25">
      <c r="EL4781">
        <v>2005</v>
      </c>
      <c r="EM4781" t="s">
        <v>710</v>
      </c>
      <c r="EN4781" t="s">
        <v>856</v>
      </c>
      <c r="EO4781">
        <v>47.183999999999997</v>
      </c>
    </row>
    <row r="4782" spans="142:145" x14ac:dyDescent="0.25">
      <c r="EL4782">
        <v>2005</v>
      </c>
      <c r="EM4782" t="s">
        <v>711</v>
      </c>
      <c r="EN4782" t="s">
        <v>856</v>
      </c>
      <c r="EO4782">
        <v>45.661999999999999</v>
      </c>
    </row>
    <row r="4783" spans="142:145" x14ac:dyDescent="0.25">
      <c r="EL4783">
        <v>2005</v>
      </c>
      <c r="EM4783" t="s">
        <v>712</v>
      </c>
      <c r="EN4783" t="s">
        <v>856</v>
      </c>
      <c r="EO4783">
        <v>47.184017123287674</v>
      </c>
    </row>
    <row r="4784" spans="142:145" x14ac:dyDescent="0.25">
      <c r="EL4784">
        <v>2006</v>
      </c>
      <c r="EM4784" t="s">
        <v>719</v>
      </c>
      <c r="EN4784" t="s">
        <v>856</v>
      </c>
      <c r="EO4784">
        <v>47.184017123287674</v>
      </c>
    </row>
    <row r="4785" spans="142:145" x14ac:dyDescent="0.25">
      <c r="EL4785">
        <v>2006</v>
      </c>
      <c r="EM4785" t="s">
        <v>713</v>
      </c>
      <c r="EN4785" t="s">
        <v>856</v>
      </c>
      <c r="EO4785">
        <v>42.617821917808222</v>
      </c>
    </row>
    <row r="4786" spans="142:145" x14ac:dyDescent="0.25">
      <c r="EL4786">
        <v>2006</v>
      </c>
      <c r="EM4786" t="s">
        <v>714</v>
      </c>
      <c r="EN4786" t="s">
        <v>856</v>
      </c>
      <c r="EO4786">
        <v>47.184017123287674</v>
      </c>
    </row>
    <row r="4787" spans="142:145" x14ac:dyDescent="0.25">
      <c r="EL4787">
        <v>2006</v>
      </c>
      <c r="EM4787" t="s">
        <v>705</v>
      </c>
      <c r="EN4787" t="s">
        <v>856</v>
      </c>
      <c r="EO4787">
        <v>45.661952054794519</v>
      </c>
    </row>
    <row r="4788" spans="142:145" x14ac:dyDescent="0.25">
      <c r="EL4788">
        <v>2006</v>
      </c>
      <c r="EM4788" t="s">
        <v>715</v>
      </c>
      <c r="EN4788" t="s">
        <v>856</v>
      </c>
      <c r="EO4788">
        <v>47.184017123287674</v>
      </c>
    </row>
    <row r="4789" spans="142:145" x14ac:dyDescent="0.25">
      <c r="EL4789">
        <v>2006</v>
      </c>
      <c r="EM4789" t="s">
        <v>718</v>
      </c>
      <c r="EN4789" t="s">
        <v>856</v>
      </c>
      <c r="EO4789">
        <v>45.661952054794519</v>
      </c>
    </row>
    <row r="4790" spans="142:145" x14ac:dyDescent="0.25">
      <c r="EL4790">
        <v>2006</v>
      </c>
      <c r="EM4790" t="s">
        <v>716</v>
      </c>
      <c r="EN4790" t="s">
        <v>856</v>
      </c>
      <c r="EO4790">
        <v>47.184017123287674</v>
      </c>
    </row>
    <row r="4791" spans="142:145" x14ac:dyDescent="0.25">
      <c r="EL4791">
        <v>2006</v>
      </c>
      <c r="EM4791" t="s">
        <v>708</v>
      </c>
      <c r="EN4791" t="s">
        <v>856</v>
      </c>
      <c r="EO4791">
        <v>47.184017123287674</v>
      </c>
    </row>
    <row r="4792" spans="142:145" x14ac:dyDescent="0.25">
      <c r="EL4792">
        <v>2006</v>
      </c>
      <c r="EM4792" t="s">
        <v>709</v>
      </c>
      <c r="EN4792" t="s">
        <v>856</v>
      </c>
      <c r="EO4792">
        <v>45.661952054794519</v>
      </c>
    </row>
    <row r="4793" spans="142:145" x14ac:dyDescent="0.25">
      <c r="EL4793">
        <v>2006</v>
      </c>
      <c r="EM4793" t="s">
        <v>710</v>
      </c>
      <c r="EN4793" t="s">
        <v>856</v>
      </c>
      <c r="EO4793">
        <v>42.643684931506854</v>
      </c>
    </row>
    <row r="4794" spans="142:145" x14ac:dyDescent="0.25">
      <c r="EL4794">
        <v>2006</v>
      </c>
      <c r="EM4794" t="s">
        <v>711</v>
      </c>
      <c r="EN4794" t="s">
        <v>856</v>
      </c>
      <c r="EO4794">
        <v>44.350273972602743</v>
      </c>
    </row>
    <row r="4795" spans="142:145" x14ac:dyDescent="0.25">
      <c r="EL4795">
        <v>2006</v>
      </c>
      <c r="EM4795" t="s">
        <v>712</v>
      </c>
      <c r="EN4795" t="s">
        <v>856</v>
      </c>
      <c r="EO4795">
        <v>45.828616438356164</v>
      </c>
    </row>
    <row r="4796" spans="142:145" x14ac:dyDescent="0.25">
      <c r="EL4796">
        <v>2007</v>
      </c>
      <c r="EM4796" t="s">
        <v>719</v>
      </c>
      <c r="EN4796" t="s">
        <v>856</v>
      </c>
      <c r="EO4796">
        <v>45.828616438356164</v>
      </c>
    </row>
    <row r="4797" spans="142:145" x14ac:dyDescent="0.25">
      <c r="EL4797">
        <v>2007</v>
      </c>
      <c r="EM4797" t="s">
        <v>713</v>
      </c>
      <c r="EN4797" t="s">
        <v>856</v>
      </c>
      <c r="EO4797">
        <v>41.393589041095893</v>
      </c>
    </row>
    <row r="4798" spans="142:145" x14ac:dyDescent="0.25">
      <c r="EL4798">
        <v>2007</v>
      </c>
      <c r="EM4798" t="s">
        <v>714</v>
      </c>
      <c r="EN4798" t="s">
        <v>856</v>
      </c>
      <c r="EO4798">
        <v>45.828616438356164</v>
      </c>
    </row>
    <row r="4799" spans="142:145" x14ac:dyDescent="0.25">
      <c r="EL4799">
        <v>2007</v>
      </c>
      <c r="EM4799" t="s">
        <v>705</v>
      </c>
      <c r="EN4799" t="s">
        <v>856</v>
      </c>
      <c r="EO4799">
        <v>44.350273972602743</v>
      </c>
    </row>
    <row r="4800" spans="142:145" x14ac:dyDescent="0.25">
      <c r="EL4800">
        <v>2007</v>
      </c>
      <c r="EM4800" t="s">
        <v>715</v>
      </c>
      <c r="EN4800" t="s">
        <v>856</v>
      </c>
      <c r="EO4800">
        <v>45.828616438356164</v>
      </c>
    </row>
    <row r="4801" spans="142:145" x14ac:dyDescent="0.25">
      <c r="EL4801">
        <v>2007</v>
      </c>
      <c r="EM4801" t="s">
        <v>718</v>
      </c>
      <c r="EN4801" t="s">
        <v>856</v>
      </c>
      <c r="EO4801">
        <v>44.350273972602743</v>
      </c>
    </row>
    <row r="4802" spans="142:145" x14ac:dyDescent="0.25">
      <c r="EL4802">
        <v>2007</v>
      </c>
      <c r="EM4802" t="s">
        <v>716</v>
      </c>
      <c r="EN4802" t="s">
        <v>856</v>
      </c>
      <c r="EO4802">
        <v>45.828616438356164</v>
      </c>
    </row>
    <row r="4803" spans="142:145" x14ac:dyDescent="0.25">
      <c r="EL4803">
        <v>2007</v>
      </c>
      <c r="EM4803" t="s">
        <v>708</v>
      </c>
      <c r="EN4803" t="s">
        <v>856</v>
      </c>
      <c r="EO4803">
        <v>45.828616438356164</v>
      </c>
    </row>
    <row r="4804" spans="142:145" x14ac:dyDescent="0.25">
      <c r="EL4804">
        <v>2007</v>
      </c>
      <c r="EM4804" t="s">
        <v>709</v>
      </c>
      <c r="EN4804" t="s">
        <v>856</v>
      </c>
      <c r="EO4804">
        <v>44.350273972602743</v>
      </c>
    </row>
    <row r="4805" spans="142:145" x14ac:dyDescent="0.25">
      <c r="EL4805">
        <v>2007</v>
      </c>
      <c r="EM4805" t="s">
        <v>710</v>
      </c>
      <c r="EN4805" t="s">
        <v>856</v>
      </c>
      <c r="EO4805">
        <v>45.532721653005467</v>
      </c>
    </row>
    <row r="4806" spans="142:145" x14ac:dyDescent="0.25">
      <c r="EL4806">
        <v>2007</v>
      </c>
      <c r="EM4806" t="s">
        <v>711</v>
      </c>
      <c r="EN4806" t="s">
        <v>856</v>
      </c>
      <c r="EO4806">
        <v>44.063924180327867</v>
      </c>
    </row>
    <row r="4807" spans="142:145" x14ac:dyDescent="0.25">
      <c r="EL4807">
        <v>2007</v>
      </c>
      <c r="EM4807" t="s">
        <v>712</v>
      </c>
      <c r="EN4807" t="s">
        <v>856</v>
      </c>
      <c r="EO4807">
        <v>45.532721653005467</v>
      </c>
    </row>
    <row r="4808" spans="142:145" x14ac:dyDescent="0.25">
      <c r="EL4808">
        <v>2008</v>
      </c>
      <c r="EM4808" t="s">
        <v>719</v>
      </c>
      <c r="EN4808" t="s">
        <v>856</v>
      </c>
      <c r="EO4808">
        <v>45.532721653005467</v>
      </c>
    </row>
    <row r="4809" spans="142:145" x14ac:dyDescent="0.25">
      <c r="EL4809">
        <v>2008</v>
      </c>
      <c r="EM4809" t="s">
        <v>713</v>
      </c>
      <c r="EN4809" t="s">
        <v>856</v>
      </c>
      <c r="EO4809">
        <v>42.595126707650273</v>
      </c>
    </row>
    <row r="4810" spans="142:145" x14ac:dyDescent="0.25">
      <c r="EL4810">
        <v>2008</v>
      </c>
      <c r="EM4810" t="s">
        <v>714</v>
      </c>
      <c r="EN4810" t="s">
        <v>856</v>
      </c>
      <c r="EO4810">
        <v>45.532721653005467</v>
      </c>
    </row>
    <row r="4811" spans="142:145" x14ac:dyDescent="0.25">
      <c r="EL4811">
        <v>2008</v>
      </c>
      <c r="EM4811" t="s">
        <v>705</v>
      </c>
      <c r="EN4811" t="s">
        <v>856</v>
      </c>
      <c r="EO4811">
        <v>44.063924180327867</v>
      </c>
    </row>
    <row r="4812" spans="142:145" x14ac:dyDescent="0.25">
      <c r="EL4812">
        <v>2008</v>
      </c>
      <c r="EM4812" t="s">
        <v>715</v>
      </c>
      <c r="EN4812" t="s">
        <v>856</v>
      </c>
      <c r="EO4812">
        <v>45.532721653005467</v>
      </c>
    </row>
    <row r="4813" spans="142:145" x14ac:dyDescent="0.25">
      <c r="EL4813">
        <v>2008</v>
      </c>
      <c r="EM4813" t="s">
        <v>718</v>
      </c>
      <c r="EN4813" t="s">
        <v>856</v>
      </c>
      <c r="EO4813">
        <v>44.063924180327867</v>
      </c>
    </row>
    <row r="4814" spans="142:145" x14ac:dyDescent="0.25">
      <c r="EL4814">
        <v>2008</v>
      </c>
      <c r="EM4814" t="s">
        <v>716</v>
      </c>
      <c r="EN4814" t="s">
        <v>856</v>
      </c>
      <c r="EO4814">
        <v>45.532721653005467</v>
      </c>
    </row>
    <row r="4815" spans="142:145" x14ac:dyDescent="0.25">
      <c r="EL4815">
        <v>2008</v>
      </c>
      <c r="EM4815" t="s">
        <v>708</v>
      </c>
      <c r="EN4815" t="s">
        <v>856</v>
      </c>
      <c r="EO4815">
        <v>45.532721653005467</v>
      </c>
    </row>
    <row r="4816" spans="142:145" x14ac:dyDescent="0.25">
      <c r="EL4816">
        <v>2008</v>
      </c>
      <c r="EM4816" t="s">
        <v>709</v>
      </c>
      <c r="EN4816" t="s">
        <v>856</v>
      </c>
      <c r="EO4816">
        <v>44.063924180327867</v>
      </c>
    </row>
    <row r="4817" spans="142:145" x14ac:dyDescent="0.25">
      <c r="EL4817">
        <v>2008</v>
      </c>
      <c r="EM4817" t="s">
        <v>710</v>
      </c>
      <c r="EN4817" t="s">
        <v>856</v>
      </c>
      <c r="EO4817">
        <v>41.576509931506848</v>
      </c>
    </row>
    <row r="4818" spans="142:145" x14ac:dyDescent="0.25">
      <c r="EL4818">
        <v>2008</v>
      </c>
      <c r="EM4818" t="s">
        <v>711</v>
      </c>
      <c r="EN4818" t="s">
        <v>856</v>
      </c>
      <c r="EO4818">
        <v>40.23533219178082</v>
      </c>
    </row>
    <row r="4819" spans="142:145" x14ac:dyDescent="0.25">
      <c r="EL4819">
        <v>2008</v>
      </c>
      <c r="EM4819" t="s">
        <v>712</v>
      </c>
      <c r="EN4819" t="s">
        <v>856</v>
      </c>
      <c r="EO4819">
        <v>41.576509931506848</v>
      </c>
    </row>
    <row r="4820" spans="142:145" x14ac:dyDescent="0.25">
      <c r="EL4820">
        <v>2009</v>
      </c>
      <c r="EM4820" t="s">
        <v>719</v>
      </c>
      <c r="EN4820" t="s">
        <v>856</v>
      </c>
      <c r="EO4820">
        <v>41.576509931506848</v>
      </c>
    </row>
    <row r="4821" spans="142:145" x14ac:dyDescent="0.25">
      <c r="EL4821">
        <v>2009</v>
      </c>
      <c r="EM4821" t="s">
        <v>713</v>
      </c>
      <c r="EN4821" t="s">
        <v>856</v>
      </c>
      <c r="EO4821">
        <v>37.552976712328764</v>
      </c>
    </row>
    <row r="4822" spans="142:145" x14ac:dyDescent="0.25">
      <c r="EL4822">
        <v>2009</v>
      </c>
      <c r="EM4822" t="s">
        <v>714</v>
      </c>
      <c r="EN4822" t="s">
        <v>856</v>
      </c>
      <c r="EO4822">
        <v>41.576509931506848</v>
      </c>
    </row>
    <row r="4823" spans="142:145" x14ac:dyDescent="0.25">
      <c r="EL4823">
        <v>2009</v>
      </c>
      <c r="EM4823" t="s">
        <v>705</v>
      </c>
      <c r="EN4823" t="s">
        <v>856</v>
      </c>
      <c r="EO4823">
        <v>40.23533219178082</v>
      </c>
    </row>
    <row r="4824" spans="142:145" x14ac:dyDescent="0.25">
      <c r="EL4824">
        <v>2009</v>
      </c>
      <c r="EM4824" t="s">
        <v>715</v>
      </c>
      <c r="EN4824" t="s">
        <v>856</v>
      </c>
      <c r="EO4824">
        <v>41.576509931506848</v>
      </c>
    </row>
    <row r="4825" spans="142:145" x14ac:dyDescent="0.25">
      <c r="EL4825">
        <v>2009</v>
      </c>
      <c r="EM4825" t="s">
        <v>718</v>
      </c>
      <c r="EN4825" t="s">
        <v>856</v>
      </c>
      <c r="EO4825">
        <v>40.23533219178082</v>
      </c>
    </row>
    <row r="4826" spans="142:145" x14ac:dyDescent="0.25">
      <c r="EL4826">
        <v>2009</v>
      </c>
      <c r="EM4826" t="s">
        <v>716</v>
      </c>
      <c r="EN4826" t="s">
        <v>856</v>
      </c>
      <c r="EO4826">
        <v>41.576509931506848</v>
      </c>
    </row>
    <row r="4827" spans="142:145" x14ac:dyDescent="0.25">
      <c r="EL4827">
        <v>2009</v>
      </c>
      <c r="EM4827" t="s">
        <v>708</v>
      </c>
      <c r="EN4827" t="s">
        <v>856</v>
      </c>
      <c r="EO4827">
        <v>41.576509931506848</v>
      </c>
    </row>
    <row r="4828" spans="142:145" x14ac:dyDescent="0.25">
      <c r="EL4828">
        <v>2009</v>
      </c>
      <c r="EM4828" t="s">
        <v>709</v>
      </c>
      <c r="EN4828" t="s">
        <v>856</v>
      </c>
      <c r="EO4828">
        <v>40.23533219178082</v>
      </c>
    </row>
    <row r="4829" spans="142:145" x14ac:dyDescent="0.25">
      <c r="EL4829">
        <v>2009</v>
      </c>
      <c r="EM4829" t="s">
        <v>710</v>
      </c>
      <c r="EN4829" t="s">
        <v>856</v>
      </c>
      <c r="EO4829">
        <v>41.576509931506848</v>
      </c>
    </row>
    <row r="4830" spans="142:145" x14ac:dyDescent="0.25">
      <c r="EL4830">
        <v>2009</v>
      </c>
      <c r="EM4830" t="s">
        <v>711</v>
      </c>
      <c r="EN4830" t="s">
        <v>856</v>
      </c>
      <c r="EO4830">
        <v>40.23533219178082</v>
      </c>
    </row>
    <row r="4831" spans="142:145" x14ac:dyDescent="0.25">
      <c r="EL4831">
        <v>2009</v>
      </c>
      <c r="EM4831" t="s">
        <v>712</v>
      </c>
      <c r="EN4831" t="s">
        <v>856</v>
      </c>
      <c r="EO4831">
        <v>41.576509931506848</v>
      </c>
    </row>
    <row r="4832" spans="142:145" x14ac:dyDescent="0.25">
      <c r="EL4832">
        <v>2010</v>
      </c>
      <c r="EM4832" t="s">
        <v>719</v>
      </c>
      <c r="EN4832" t="s">
        <v>856</v>
      </c>
      <c r="EO4832">
        <v>41.576509931506848</v>
      </c>
    </row>
    <row r="4833" spans="142:145" x14ac:dyDescent="0.25">
      <c r="EL4833">
        <v>2010</v>
      </c>
      <c r="EM4833" t="s">
        <v>713</v>
      </c>
      <c r="EN4833" t="s">
        <v>856</v>
      </c>
      <c r="EO4833">
        <v>37.552976712328764</v>
      </c>
    </row>
    <row r="4834" spans="142:145" x14ac:dyDescent="0.25">
      <c r="EL4834">
        <v>2010</v>
      </c>
      <c r="EM4834" t="s">
        <v>714</v>
      </c>
      <c r="EN4834" t="s">
        <v>856</v>
      </c>
      <c r="EO4834">
        <v>41.576509931506848</v>
      </c>
    </row>
    <row r="4835" spans="142:145" x14ac:dyDescent="0.25">
      <c r="EL4835">
        <v>2010</v>
      </c>
      <c r="EM4835" t="s">
        <v>705</v>
      </c>
      <c r="EN4835" t="s">
        <v>856</v>
      </c>
      <c r="EO4835">
        <v>40.23533219178082</v>
      </c>
    </row>
    <row r="4836" spans="142:145" x14ac:dyDescent="0.25">
      <c r="EL4836">
        <v>2010</v>
      </c>
      <c r="EM4836" t="s">
        <v>715</v>
      </c>
      <c r="EN4836" t="s">
        <v>856</v>
      </c>
      <c r="EO4836">
        <v>41.576509931506848</v>
      </c>
    </row>
    <row r="4837" spans="142:145" x14ac:dyDescent="0.25">
      <c r="EL4837">
        <v>2010</v>
      </c>
      <c r="EM4837" t="s">
        <v>718</v>
      </c>
      <c r="EN4837" t="s">
        <v>856</v>
      </c>
      <c r="EO4837">
        <v>40.23533219178082</v>
      </c>
    </row>
    <row r="4838" spans="142:145" x14ac:dyDescent="0.25">
      <c r="EL4838">
        <v>2010</v>
      </c>
      <c r="EM4838" t="s">
        <v>716</v>
      </c>
      <c r="EN4838" t="s">
        <v>856</v>
      </c>
      <c r="EO4838">
        <v>41.576509931506848</v>
      </c>
    </row>
    <row r="4839" spans="142:145" x14ac:dyDescent="0.25">
      <c r="EL4839">
        <v>2010</v>
      </c>
      <c r="EM4839" t="s">
        <v>708</v>
      </c>
      <c r="EN4839" t="s">
        <v>856</v>
      </c>
      <c r="EO4839">
        <v>41.576509931506848</v>
      </c>
    </row>
    <row r="4840" spans="142:145" x14ac:dyDescent="0.25">
      <c r="EL4840">
        <v>2010</v>
      </c>
      <c r="EM4840" t="s">
        <v>709</v>
      </c>
      <c r="EN4840" t="s">
        <v>856</v>
      </c>
      <c r="EO4840">
        <v>40.23533219178082</v>
      </c>
    </row>
    <row r="4841" spans="142:145" x14ac:dyDescent="0.25">
      <c r="EL4841">
        <v>2010</v>
      </c>
      <c r="EM4841" t="s">
        <v>710</v>
      </c>
      <c r="EN4841" t="s">
        <v>856</v>
      </c>
      <c r="EO4841">
        <v>41.576509931506848</v>
      </c>
    </row>
    <row r="4842" spans="142:145" x14ac:dyDescent="0.25">
      <c r="EL4842">
        <v>2010</v>
      </c>
      <c r="EM4842" t="s">
        <v>711</v>
      </c>
      <c r="EN4842" t="s">
        <v>856</v>
      </c>
      <c r="EO4842">
        <v>40.23533219178082</v>
      </c>
    </row>
    <row r="4843" spans="142:145" x14ac:dyDescent="0.25">
      <c r="EL4843">
        <v>2010</v>
      </c>
      <c r="EM4843" t="s">
        <v>712</v>
      </c>
      <c r="EN4843" t="s">
        <v>856</v>
      </c>
      <c r="EO4843">
        <v>41.576509931506848</v>
      </c>
    </row>
    <row r="4844" spans="142:145" x14ac:dyDescent="0.25">
      <c r="EL4844">
        <v>2011</v>
      </c>
      <c r="EM4844" t="s">
        <v>719</v>
      </c>
      <c r="EN4844" t="s">
        <v>856</v>
      </c>
      <c r="EO4844">
        <v>41.576509931506848</v>
      </c>
    </row>
    <row r="4845" spans="142:145" x14ac:dyDescent="0.25">
      <c r="EL4845">
        <v>2011</v>
      </c>
      <c r="EM4845" t="s">
        <v>713</v>
      </c>
      <c r="EN4845" t="s">
        <v>856</v>
      </c>
      <c r="EO4845">
        <v>37.552976712328764</v>
      </c>
    </row>
    <row r="4846" spans="142:145" x14ac:dyDescent="0.25">
      <c r="EL4846">
        <v>2011</v>
      </c>
      <c r="EM4846" t="s">
        <v>714</v>
      </c>
      <c r="EN4846" t="s">
        <v>856</v>
      </c>
      <c r="EO4846">
        <v>41.576509931506848</v>
      </c>
    </row>
    <row r="4847" spans="142:145" x14ac:dyDescent="0.25">
      <c r="EL4847">
        <v>2011</v>
      </c>
      <c r="EM4847" t="s">
        <v>705</v>
      </c>
      <c r="EN4847" t="s">
        <v>856</v>
      </c>
      <c r="EO4847">
        <v>40.23533219178082</v>
      </c>
    </row>
    <row r="4848" spans="142:145" x14ac:dyDescent="0.25">
      <c r="EL4848">
        <v>2011</v>
      </c>
      <c r="EM4848" t="s">
        <v>715</v>
      </c>
      <c r="EN4848" t="s">
        <v>856</v>
      </c>
      <c r="EO4848">
        <v>41.576509931506848</v>
      </c>
    </row>
    <row r="4849" spans="142:145" x14ac:dyDescent="0.25">
      <c r="EL4849">
        <v>2011</v>
      </c>
      <c r="EM4849" t="s">
        <v>718</v>
      </c>
      <c r="EN4849" t="s">
        <v>856</v>
      </c>
      <c r="EO4849">
        <v>40.23533219178082</v>
      </c>
    </row>
    <row r="4850" spans="142:145" x14ac:dyDescent="0.25">
      <c r="EL4850">
        <v>2011</v>
      </c>
      <c r="EM4850" t="s">
        <v>716</v>
      </c>
      <c r="EN4850" t="s">
        <v>856</v>
      </c>
      <c r="EO4850">
        <v>41.576509931506848</v>
      </c>
    </row>
    <row r="4851" spans="142:145" x14ac:dyDescent="0.25">
      <c r="EL4851">
        <v>2011</v>
      </c>
      <c r="EM4851" t="s">
        <v>708</v>
      </c>
      <c r="EN4851" t="s">
        <v>856</v>
      </c>
      <c r="EO4851">
        <v>41.576509931506848</v>
      </c>
    </row>
    <row r="4852" spans="142:145" x14ac:dyDescent="0.25">
      <c r="EL4852">
        <v>2011</v>
      </c>
      <c r="EM4852" t="s">
        <v>709</v>
      </c>
      <c r="EN4852" t="s">
        <v>856</v>
      </c>
      <c r="EO4852">
        <v>40.23533219178082</v>
      </c>
    </row>
    <row r="4853" spans="142:145" x14ac:dyDescent="0.25">
      <c r="EL4853">
        <v>2011</v>
      </c>
      <c r="EM4853" t="s">
        <v>710</v>
      </c>
      <c r="EN4853" t="s">
        <v>856</v>
      </c>
      <c r="EO4853">
        <v>41.462912909836064</v>
      </c>
    </row>
    <row r="4854" spans="142:145" x14ac:dyDescent="0.25">
      <c r="EL4854">
        <v>2011</v>
      </c>
      <c r="EM4854" t="s">
        <v>711</v>
      </c>
      <c r="EN4854" t="s">
        <v>856</v>
      </c>
      <c r="EO4854">
        <v>40.125399590163937</v>
      </c>
    </row>
    <row r="4855" spans="142:145" x14ac:dyDescent="0.25">
      <c r="EL4855">
        <v>2011</v>
      </c>
      <c r="EM4855" t="s">
        <v>712</v>
      </c>
      <c r="EN4855" t="s">
        <v>856</v>
      </c>
      <c r="EO4855">
        <v>41.462912909836064</v>
      </c>
    </row>
    <row r="4856" spans="142:145" x14ac:dyDescent="0.25">
      <c r="EL4856">
        <v>2012</v>
      </c>
      <c r="EM4856" t="s">
        <v>719</v>
      </c>
      <c r="EN4856" t="s">
        <v>856</v>
      </c>
      <c r="EO4856">
        <v>41.462912909836064</v>
      </c>
    </row>
    <row r="4857" spans="142:145" x14ac:dyDescent="0.25">
      <c r="EL4857">
        <v>2012</v>
      </c>
      <c r="EM4857" t="s">
        <v>713</v>
      </c>
      <c r="EN4857" t="s">
        <v>856</v>
      </c>
      <c r="EO4857">
        <v>38.787886270491803</v>
      </c>
    </row>
    <row r="4858" spans="142:145" x14ac:dyDescent="0.25">
      <c r="EL4858">
        <v>2012</v>
      </c>
      <c r="EM4858" t="s">
        <v>714</v>
      </c>
      <c r="EN4858" t="s">
        <v>856</v>
      </c>
      <c r="EO4858">
        <v>41.462912909836064</v>
      </c>
    </row>
    <row r="4859" spans="142:145" x14ac:dyDescent="0.25">
      <c r="EL4859">
        <v>2012</v>
      </c>
      <c r="EM4859" t="s">
        <v>705</v>
      </c>
      <c r="EN4859" t="s">
        <v>856</v>
      </c>
      <c r="EO4859">
        <v>40.125399590163937</v>
      </c>
    </row>
    <row r="4860" spans="142:145" x14ac:dyDescent="0.25">
      <c r="EL4860">
        <v>2012</v>
      </c>
      <c r="EM4860" t="s">
        <v>715</v>
      </c>
      <c r="EN4860" t="s">
        <v>856</v>
      </c>
      <c r="EO4860">
        <v>41.462912909836064</v>
      </c>
    </row>
    <row r="4861" spans="142:145" x14ac:dyDescent="0.25">
      <c r="EL4861">
        <v>2012</v>
      </c>
      <c r="EM4861" t="s">
        <v>718</v>
      </c>
      <c r="EN4861" t="s">
        <v>856</v>
      </c>
      <c r="EO4861">
        <v>40.125</v>
      </c>
    </row>
    <row r="4862" spans="142:145" x14ac:dyDescent="0.25">
      <c r="EL4862">
        <v>2012</v>
      </c>
      <c r="EM4862" t="s">
        <v>716</v>
      </c>
      <c r="EN4862" t="s">
        <v>856</v>
      </c>
      <c r="EO4862">
        <v>41.462912909836064</v>
      </c>
    </row>
    <row r="4863" spans="142:145" x14ac:dyDescent="0.25">
      <c r="EL4863">
        <v>2012</v>
      </c>
      <c r="EM4863" t="s">
        <v>708</v>
      </c>
      <c r="EN4863" t="s">
        <v>856</v>
      </c>
      <c r="EO4863">
        <v>41.463000000000001</v>
      </c>
    </row>
    <row r="4864" spans="142:145" x14ac:dyDescent="0.25">
      <c r="EL4864">
        <v>2012</v>
      </c>
      <c r="EM4864" t="s">
        <v>709</v>
      </c>
      <c r="EN4864" t="s">
        <v>856</v>
      </c>
      <c r="EO4864">
        <v>40.125</v>
      </c>
    </row>
    <row r="4865" spans="142:145" x14ac:dyDescent="0.25">
      <c r="EL4865">
        <v>2012</v>
      </c>
      <c r="EM4865" t="s">
        <v>710</v>
      </c>
      <c r="EN4865" t="s">
        <v>856</v>
      </c>
      <c r="EO4865">
        <v>41.463000000000001</v>
      </c>
    </row>
    <row r="4866" spans="142:145" x14ac:dyDescent="0.25">
      <c r="EL4866">
        <v>2012</v>
      </c>
      <c r="EM4866" t="s">
        <v>711</v>
      </c>
      <c r="EN4866" t="s">
        <v>856</v>
      </c>
      <c r="EO4866">
        <v>40.125</v>
      </c>
    </row>
    <row r="4867" spans="142:145" x14ac:dyDescent="0.25">
      <c r="EL4867">
        <v>2012</v>
      </c>
      <c r="EM4867" t="s">
        <v>712</v>
      </c>
      <c r="EN4867" t="s">
        <v>856</v>
      </c>
      <c r="EO4867">
        <v>41.462912909836064</v>
      </c>
    </row>
    <row r="4868" spans="142:145" x14ac:dyDescent="0.25">
      <c r="EL4868">
        <v>2013</v>
      </c>
      <c r="EM4868" t="s">
        <v>719</v>
      </c>
      <c r="EN4868" t="s">
        <v>856</v>
      </c>
      <c r="EO4868">
        <v>41.463000000000001</v>
      </c>
    </row>
    <row r="4869" spans="142:145" x14ac:dyDescent="0.25">
      <c r="EL4869">
        <v>2013</v>
      </c>
      <c r="EM4869" t="s">
        <v>713</v>
      </c>
      <c r="EN4869" t="s">
        <v>856</v>
      </c>
      <c r="EO4869">
        <v>37.450000000000003</v>
      </c>
    </row>
    <row r="4870" spans="142:145" x14ac:dyDescent="0.25">
      <c r="EL4870">
        <v>2013</v>
      </c>
      <c r="EM4870" t="s">
        <v>714</v>
      </c>
      <c r="EN4870" t="s">
        <v>856</v>
      </c>
      <c r="EO4870">
        <v>41.463000000000001</v>
      </c>
    </row>
    <row r="4871" spans="142:145" x14ac:dyDescent="0.25">
      <c r="EL4871">
        <v>2013</v>
      </c>
      <c r="EM4871" t="s">
        <v>705</v>
      </c>
      <c r="EN4871" t="s">
        <v>856</v>
      </c>
      <c r="EO4871">
        <v>40.125</v>
      </c>
    </row>
    <row r="4872" spans="142:145" x14ac:dyDescent="0.25">
      <c r="EL4872">
        <v>2013</v>
      </c>
      <c r="EM4872" t="s">
        <v>715</v>
      </c>
      <c r="EN4872" t="s">
        <v>856</v>
      </c>
      <c r="EO4872">
        <v>41.463000000000001</v>
      </c>
    </row>
    <row r="4873" spans="142:145" x14ac:dyDescent="0.25">
      <c r="EL4873">
        <v>2013</v>
      </c>
      <c r="EM4873" t="s">
        <v>718</v>
      </c>
      <c r="EN4873" t="s">
        <v>856</v>
      </c>
      <c r="EO4873">
        <v>40.125</v>
      </c>
    </row>
    <row r="4874" spans="142:145" x14ac:dyDescent="0.25">
      <c r="EL4874">
        <v>2013</v>
      </c>
      <c r="EM4874" t="s">
        <v>716</v>
      </c>
      <c r="EN4874" t="s">
        <v>856</v>
      </c>
      <c r="EO4874">
        <v>41.463000000000001</v>
      </c>
    </row>
    <row r="4875" spans="142:145" x14ac:dyDescent="0.25">
      <c r="EL4875">
        <v>2013</v>
      </c>
      <c r="EM4875" t="s">
        <v>708</v>
      </c>
      <c r="EN4875" t="s">
        <v>856</v>
      </c>
      <c r="EO4875">
        <v>41.463000000000001</v>
      </c>
    </row>
    <row r="4876" spans="142:145" x14ac:dyDescent="0.25">
      <c r="EL4876">
        <v>2013</v>
      </c>
      <c r="EM4876" t="s">
        <v>709</v>
      </c>
      <c r="EN4876" t="s">
        <v>856</v>
      </c>
      <c r="EO4876">
        <v>40.125</v>
      </c>
    </row>
    <row r="4877" spans="142:145" x14ac:dyDescent="0.25">
      <c r="EL4877">
        <v>2013</v>
      </c>
      <c r="EM4877" t="s">
        <v>710</v>
      </c>
      <c r="EN4877" t="s">
        <v>856</v>
      </c>
      <c r="EO4877">
        <v>45.689</v>
      </c>
    </row>
    <row r="4878" spans="142:145" x14ac:dyDescent="0.25">
      <c r="EL4878">
        <v>2013</v>
      </c>
      <c r="EM4878" t="s">
        <v>711</v>
      </c>
      <c r="EN4878" t="s">
        <v>856</v>
      </c>
      <c r="EO4878">
        <v>44.215000000000003</v>
      </c>
    </row>
    <row r="4879" spans="142:145" x14ac:dyDescent="0.25">
      <c r="EL4879">
        <v>2013</v>
      </c>
      <c r="EM4879" t="s">
        <v>712</v>
      </c>
      <c r="EN4879" t="s">
        <v>856</v>
      </c>
      <c r="EO4879">
        <v>45.689</v>
      </c>
    </row>
    <row r="4880" spans="142:145" x14ac:dyDescent="0.25">
      <c r="EL4880">
        <v>2014</v>
      </c>
      <c r="EM4880" t="s">
        <v>719</v>
      </c>
      <c r="EN4880" t="s">
        <v>856</v>
      </c>
      <c r="EO4880">
        <v>45.689</v>
      </c>
    </row>
    <row r="4881" spans="142:145" x14ac:dyDescent="0.25">
      <c r="EL4881">
        <v>2014</v>
      </c>
      <c r="EM4881" t="s">
        <v>713</v>
      </c>
      <c r="EN4881" t="s">
        <v>856</v>
      </c>
      <c r="EO4881">
        <v>41.268000000000001</v>
      </c>
    </row>
    <row r="4882" spans="142:145" x14ac:dyDescent="0.25">
      <c r="EL4882">
        <v>2014</v>
      </c>
      <c r="EM4882" t="s">
        <v>714</v>
      </c>
      <c r="EN4882" t="s">
        <v>856</v>
      </c>
      <c r="EO4882">
        <v>45.689</v>
      </c>
    </row>
    <row r="4883" spans="142:145" x14ac:dyDescent="0.25">
      <c r="EL4883">
        <v>2014</v>
      </c>
      <c r="EM4883" t="s">
        <v>705</v>
      </c>
      <c r="EN4883" t="s">
        <v>856</v>
      </c>
      <c r="EO4883">
        <v>44.215000000000003</v>
      </c>
    </row>
    <row r="4884" spans="142:145" x14ac:dyDescent="0.25">
      <c r="EL4884">
        <v>2014</v>
      </c>
      <c r="EM4884" t="s">
        <v>715</v>
      </c>
      <c r="EN4884" t="s">
        <v>856</v>
      </c>
      <c r="EO4884">
        <v>45.689</v>
      </c>
    </row>
    <row r="4885" spans="142:145" x14ac:dyDescent="0.25">
      <c r="EL4885">
        <v>2014</v>
      </c>
      <c r="EM4885" t="s">
        <v>718</v>
      </c>
      <c r="EN4885" t="s">
        <v>856</v>
      </c>
      <c r="EO4885">
        <v>44.215000000000003</v>
      </c>
    </row>
    <row r="4886" spans="142:145" x14ac:dyDescent="0.25">
      <c r="EL4886">
        <v>2014</v>
      </c>
      <c r="EM4886" t="s">
        <v>716</v>
      </c>
      <c r="EN4886" t="s">
        <v>856</v>
      </c>
      <c r="EO4886">
        <v>45.689</v>
      </c>
    </row>
    <row r="4887" spans="142:145" x14ac:dyDescent="0.25">
      <c r="EL4887">
        <v>2014</v>
      </c>
      <c r="EM4887" t="s">
        <v>708</v>
      </c>
      <c r="EN4887" t="s">
        <v>856</v>
      </c>
      <c r="EO4887">
        <v>45.689</v>
      </c>
    </row>
    <row r="4888" spans="142:145" x14ac:dyDescent="0.25">
      <c r="EL4888">
        <v>2014</v>
      </c>
      <c r="EM4888" t="s">
        <v>709</v>
      </c>
      <c r="EN4888" t="s">
        <v>856</v>
      </c>
      <c r="EO4888">
        <v>44.215000000000003</v>
      </c>
    </row>
    <row r="4889" spans="142:145" x14ac:dyDescent="0.25">
      <c r="EL4889">
        <v>2014</v>
      </c>
      <c r="EM4889" t="s">
        <v>710</v>
      </c>
      <c r="EN4889" t="s">
        <v>856</v>
      </c>
      <c r="EO4889">
        <v>45.69</v>
      </c>
    </row>
    <row r="4890" spans="142:145" x14ac:dyDescent="0.25">
      <c r="EL4890">
        <v>2014</v>
      </c>
      <c r="EM4890" t="s">
        <v>711</v>
      </c>
      <c r="EN4890" t="s">
        <v>856</v>
      </c>
      <c r="EO4890">
        <v>44.22</v>
      </c>
    </row>
    <row r="4891" spans="142:145" x14ac:dyDescent="0.25">
      <c r="EL4891">
        <v>2014</v>
      </c>
      <c r="EM4891" t="s">
        <v>712</v>
      </c>
      <c r="EN4891" t="s">
        <v>856</v>
      </c>
      <c r="EO4891">
        <v>45.69</v>
      </c>
    </row>
    <row r="4892" spans="142:145" x14ac:dyDescent="0.25">
      <c r="EL4892">
        <v>2015</v>
      </c>
      <c r="EM4892" t="s">
        <v>719</v>
      </c>
      <c r="EN4892" t="s">
        <v>856</v>
      </c>
      <c r="EO4892">
        <v>45.69</v>
      </c>
    </row>
    <row r="4893" spans="142:145" x14ac:dyDescent="0.25">
      <c r="EL4893">
        <v>2015</v>
      </c>
      <c r="EM4893" t="s">
        <v>713</v>
      </c>
      <c r="EN4893" t="s">
        <v>856</v>
      </c>
      <c r="EO4893">
        <v>41.27</v>
      </c>
    </row>
    <row r="4894" spans="142:145" x14ac:dyDescent="0.25">
      <c r="EL4894">
        <v>2015</v>
      </c>
      <c r="EM4894" t="s">
        <v>714</v>
      </c>
      <c r="EN4894" t="s">
        <v>856</v>
      </c>
      <c r="EO4894">
        <v>45.69</v>
      </c>
    </row>
    <row r="4895" spans="142:145" x14ac:dyDescent="0.25">
      <c r="EL4895">
        <v>2015</v>
      </c>
      <c r="EM4895" t="s">
        <v>705</v>
      </c>
      <c r="EN4895" t="s">
        <v>856</v>
      </c>
      <c r="EO4895">
        <v>44.22</v>
      </c>
    </row>
    <row r="4896" spans="142:145" x14ac:dyDescent="0.25">
      <c r="EL4896">
        <v>2015</v>
      </c>
      <c r="EM4896" t="s">
        <v>715</v>
      </c>
      <c r="EN4896" t="s">
        <v>856</v>
      </c>
      <c r="EO4896">
        <v>45.69</v>
      </c>
    </row>
    <row r="4897" spans="142:145" x14ac:dyDescent="0.25">
      <c r="EL4897">
        <v>2015</v>
      </c>
      <c r="EM4897" t="s">
        <v>718</v>
      </c>
      <c r="EN4897" t="s">
        <v>856</v>
      </c>
      <c r="EO4897">
        <v>44.22</v>
      </c>
    </row>
    <row r="4898" spans="142:145" x14ac:dyDescent="0.25">
      <c r="EL4898">
        <v>2015</v>
      </c>
      <c r="EM4898" t="s">
        <v>716</v>
      </c>
      <c r="EN4898" t="s">
        <v>856</v>
      </c>
      <c r="EO4898">
        <v>45.69</v>
      </c>
    </row>
    <row r="4899" spans="142:145" x14ac:dyDescent="0.25">
      <c r="EL4899">
        <v>2015</v>
      </c>
      <c r="EM4899" t="s">
        <v>708</v>
      </c>
      <c r="EN4899" t="s">
        <v>856</v>
      </c>
      <c r="EO4899">
        <v>45.69</v>
      </c>
    </row>
    <row r="4900" spans="142:145" x14ac:dyDescent="0.25">
      <c r="EL4900">
        <v>2015</v>
      </c>
      <c r="EM4900" t="s">
        <v>709</v>
      </c>
      <c r="EN4900" t="s">
        <v>856</v>
      </c>
      <c r="EO4900">
        <v>44.22</v>
      </c>
    </row>
    <row r="4901" spans="142:145" x14ac:dyDescent="0.25">
      <c r="EL4901">
        <v>2015</v>
      </c>
      <c r="EM4901" t="s">
        <v>710</v>
      </c>
      <c r="EN4901" t="s">
        <v>856</v>
      </c>
      <c r="EO4901">
        <v>45.69</v>
      </c>
    </row>
    <row r="4902" spans="142:145" x14ac:dyDescent="0.25">
      <c r="EL4902">
        <v>2015</v>
      </c>
      <c r="EM4902" t="s">
        <v>711</v>
      </c>
      <c r="EN4902" t="s">
        <v>856</v>
      </c>
      <c r="EO4902">
        <v>44.22</v>
      </c>
    </row>
    <row r="4903" spans="142:145" x14ac:dyDescent="0.25">
      <c r="EL4903">
        <v>2015</v>
      </c>
      <c r="EM4903" t="s">
        <v>712</v>
      </c>
      <c r="EN4903" t="s">
        <v>856</v>
      </c>
      <c r="EO4903">
        <v>45.69</v>
      </c>
    </row>
    <row r="4904" spans="142:145" x14ac:dyDescent="0.25">
      <c r="EL4904">
        <v>2016</v>
      </c>
      <c r="EM4904" t="s">
        <v>719</v>
      </c>
      <c r="EN4904" t="s">
        <v>856</v>
      </c>
      <c r="EO4904">
        <v>45.69</v>
      </c>
    </row>
    <row r="4905" spans="142:145" x14ac:dyDescent="0.25">
      <c r="EL4905">
        <v>2016</v>
      </c>
      <c r="EM4905" t="s">
        <v>713</v>
      </c>
      <c r="EN4905" t="s">
        <v>856</v>
      </c>
      <c r="EO4905">
        <v>42.74</v>
      </c>
    </row>
    <row r="4906" spans="142:145" x14ac:dyDescent="0.25">
      <c r="EL4906">
        <v>2016</v>
      </c>
      <c r="EM4906" t="s">
        <v>714</v>
      </c>
      <c r="EN4906" t="s">
        <v>856</v>
      </c>
      <c r="EO4906">
        <v>45.69</v>
      </c>
    </row>
    <row r="4907" spans="142:145" x14ac:dyDescent="0.25">
      <c r="EL4907">
        <v>2016</v>
      </c>
      <c r="EM4907" t="s">
        <v>705</v>
      </c>
      <c r="EN4907" t="s">
        <v>856</v>
      </c>
      <c r="EO4907">
        <v>44.22</v>
      </c>
    </row>
    <row r="4908" spans="142:145" x14ac:dyDescent="0.25">
      <c r="EL4908">
        <v>2016</v>
      </c>
      <c r="EM4908" t="s">
        <v>715</v>
      </c>
      <c r="EN4908" t="s">
        <v>856</v>
      </c>
      <c r="EO4908">
        <v>45.56</v>
      </c>
    </row>
    <row r="4909" spans="142:145" x14ac:dyDescent="0.25">
      <c r="EL4909">
        <v>2016</v>
      </c>
      <c r="EM4909" t="s">
        <v>718</v>
      </c>
      <c r="EN4909" t="s">
        <v>856</v>
      </c>
      <c r="EO4909">
        <v>44.09</v>
      </c>
    </row>
    <row r="4910" spans="142:145" x14ac:dyDescent="0.25">
      <c r="EL4910">
        <v>2016</v>
      </c>
      <c r="EM4910" t="s">
        <v>716</v>
      </c>
      <c r="EN4910" t="s">
        <v>856</v>
      </c>
      <c r="EO4910">
        <v>45.56</v>
      </c>
    </row>
    <row r="4911" spans="142:145" x14ac:dyDescent="0.25">
      <c r="EL4911">
        <v>2016</v>
      </c>
      <c r="EM4911" t="s">
        <v>708</v>
      </c>
      <c r="EN4911" t="s">
        <v>856</v>
      </c>
      <c r="EO4911">
        <v>45.56</v>
      </c>
    </row>
    <row r="4912" spans="142:145" x14ac:dyDescent="0.25">
      <c r="EL4912">
        <v>2016</v>
      </c>
      <c r="EM4912" t="s">
        <v>709</v>
      </c>
      <c r="EN4912" t="s">
        <v>856</v>
      </c>
      <c r="EO4912">
        <v>44.09</v>
      </c>
    </row>
    <row r="4913" spans="142:145" x14ac:dyDescent="0.25">
      <c r="EL4913">
        <v>2016</v>
      </c>
      <c r="EM4913" t="s">
        <v>710</v>
      </c>
      <c r="EN4913" t="s">
        <v>856</v>
      </c>
      <c r="EO4913">
        <v>45.56</v>
      </c>
    </row>
    <row r="4914" spans="142:145" x14ac:dyDescent="0.25">
      <c r="EL4914">
        <v>2016</v>
      </c>
      <c r="EM4914" t="s">
        <v>711</v>
      </c>
      <c r="EN4914" t="s">
        <v>856</v>
      </c>
      <c r="EO4914">
        <v>44.09</v>
      </c>
    </row>
    <row r="4915" spans="142:145" x14ac:dyDescent="0.25">
      <c r="EL4915">
        <v>2016</v>
      </c>
      <c r="EM4915" t="s">
        <v>712</v>
      </c>
      <c r="EN4915" t="s">
        <v>856</v>
      </c>
      <c r="EO4915">
        <v>45.56</v>
      </c>
    </row>
    <row r="4916" spans="142:145" x14ac:dyDescent="0.25">
      <c r="EL4916">
        <v>2017</v>
      </c>
      <c r="EM4916" t="s">
        <v>719</v>
      </c>
      <c r="EN4916" t="s">
        <v>856</v>
      </c>
      <c r="EO4916">
        <v>45.56</v>
      </c>
    </row>
    <row r="4917" spans="142:145" x14ac:dyDescent="0.25">
      <c r="EL4917">
        <v>2017</v>
      </c>
      <c r="EM4917" t="s">
        <v>713</v>
      </c>
      <c r="EN4917" t="s">
        <v>856</v>
      </c>
      <c r="EO4917">
        <v>41.16</v>
      </c>
    </row>
    <row r="4918" spans="142:145" x14ac:dyDescent="0.25">
      <c r="EL4918">
        <v>2017</v>
      </c>
      <c r="EM4918" t="s">
        <v>714</v>
      </c>
      <c r="EN4918" t="s">
        <v>856</v>
      </c>
      <c r="EO4918">
        <v>45.56</v>
      </c>
    </row>
    <row r="4919" spans="142:145" x14ac:dyDescent="0.25">
      <c r="EL4919">
        <v>2017</v>
      </c>
      <c r="EM4919" t="s">
        <v>705</v>
      </c>
      <c r="EN4919" t="s">
        <v>856</v>
      </c>
      <c r="EO4919">
        <v>44.09</v>
      </c>
    </row>
    <row r="4920" spans="142:145" x14ac:dyDescent="0.25">
      <c r="EL4920">
        <v>2017</v>
      </c>
      <c r="EM4920" t="s">
        <v>715</v>
      </c>
      <c r="EN4920" t="s">
        <v>856</v>
      </c>
      <c r="EO4920">
        <v>45.56</v>
      </c>
    </row>
    <row r="4921" spans="142:145" x14ac:dyDescent="0.25">
      <c r="EL4921">
        <v>2017</v>
      </c>
      <c r="EM4921" t="s">
        <v>718</v>
      </c>
      <c r="EN4921" t="s">
        <v>856</v>
      </c>
      <c r="EO4921">
        <v>44.09</v>
      </c>
    </row>
    <row r="4922" spans="142:145" x14ac:dyDescent="0.25">
      <c r="EL4922">
        <v>2017</v>
      </c>
      <c r="EM4922" t="s">
        <v>716</v>
      </c>
      <c r="EN4922" t="s">
        <v>856</v>
      </c>
      <c r="EO4922">
        <v>45.56</v>
      </c>
    </row>
    <row r="4923" spans="142:145" x14ac:dyDescent="0.25">
      <c r="EL4923">
        <v>2017</v>
      </c>
      <c r="EM4923" t="s">
        <v>708</v>
      </c>
      <c r="EN4923" t="s">
        <v>856</v>
      </c>
      <c r="EO4923">
        <v>45.56</v>
      </c>
    </row>
    <row r="4924" spans="142:145" x14ac:dyDescent="0.25">
      <c r="EL4924">
        <v>2017</v>
      </c>
      <c r="EM4924" t="s">
        <v>709</v>
      </c>
      <c r="EN4924" t="s">
        <v>856</v>
      </c>
      <c r="EO4924">
        <v>44.09</v>
      </c>
    </row>
    <row r="4925" spans="142:145" x14ac:dyDescent="0.25">
      <c r="EL4925">
        <v>2017</v>
      </c>
      <c r="EM4925" t="s">
        <v>710</v>
      </c>
      <c r="EN4925" t="s">
        <v>856</v>
      </c>
      <c r="EO4925">
        <v>45.69</v>
      </c>
    </row>
    <row r="4926" spans="142:145" x14ac:dyDescent="0.25">
      <c r="EL4926">
        <v>2017</v>
      </c>
      <c r="EM4926" t="s">
        <v>711</v>
      </c>
      <c r="EN4926" t="s">
        <v>856</v>
      </c>
      <c r="EO4926">
        <v>44.22</v>
      </c>
    </row>
    <row r="4927" spans="142:145" x14ac:dyDescent="0.25">
      <c r="EL4927">
        <v>2017</v>
      </c>
      <c r="EM4927" t="s">
        <v>712</v>
      </c>
      <c r="EN4927" t="s">
        <v>856</v>
      </c>
      <c r="EO4927">
        <v>45.69</v>
      </c>
    </row>
    <row r="4928" spans="142:145" x14ac:dyDescent="0.25">
      <c r="EL4928">
        <v>2018</v>
      </c>
      <c r="EM4928" t="s">
        <v>719</v>
      </c>
      <c r="EN4928" t="s">
        <v>856</v>
      </c>
      <c r="EO4928">
        <v>45.69</v>
      </c>
    </row>
    <row r="4929" spans="142:145" x14ac:dyDescent="0.25">
      <c r="EL4929">
        <v>2018</v>
      </c>
      <c r="EM4929" t="s">
        <v>713</v>
      </c>
      <c r="EN4929" t="s">
        <v>856</v>
      </c>
      <c r="EO4929">
        <v>41.27</v>
      </c>
    </row>
    <row r="4930" spans="142:145" x14ac:dyDescent="0.25">
      <c r="EL4930">
        <v>2018</v>
      </c>
      <c r="EM4930" t="s">
        <v>714</v>
      </c>
      <c r="EN4930" t="s">
        <v>856</v>
      </c>
      <c r="EO4930">
        <v>45.69</v>
      </c>
    </row>
    <row r="4931" spans="142:145" x14ac:dyDescent="0.25">
      <c r="EL4931">
        <v>2018</v>
      </c>
      <c r="EM4931" t="s">
        <v>705</v>
      </c>
      <c r="EN4931" t="s">
        <v>856</v>
      </c>
      <c r="EO4931">
        <v>44.22</v>
      </c>
    </row>
    <row r="4932" spans="142:145" x14ac:dyDescent="0.25">
      <c r="EL4932">
        <v>2018</v>
      </c>
      <c r="EM4932" t="s">
        <v>715</v>
      </c>
      <c r="EN4932" t="s">
        <v>856</v>
      </c>
      <c r="EO4932">
        <v>45.69</v>
      </c>
    </row>
    <row r="4933" spans="142:145" x14ac:dyDescent="0.25">
      <c r="EL4933">
        <v>2018</v>
      </c>
      <c r="EM4933" t="s">
        <v>718</v>
      </c>
      <c r="EN4933" t="s">
        <v>856</v>
      </c>
      <c r="EO4933">
        <v>44.22</v>
      </c>
    </row>
    <row r="4934" spans="142:145" x14ac:dyDescent="0.25">
      <c r="EL4934">
        <v>2018</v>
      </c>
      <c r="EM4934" t="s">
        <v>716</v>
      </c>
      <c r="EN4934" t="s">
        <v>856</v>
      </c>
      <c r="EO4934">
        <v>45.69</v>
      </c>
    </row>
    <row r="4935" spans="142:145" x14ac:dyDescent="0.25">
      <c r="EL4935">
        <v>2018</v>
      </c>
      <c r="EM4935" t="s">
        <v>708</v>
      </c>
      <c r="EN4935" t="s">
        <v>856</v>
      </c>
      <c r="EO4935">
        <v>45.69</v>
      </c>
    </row>
    <row r="4936" spans="142:145" x14ac:dyDescent="0.25">
      <c r="EL4936">
        <v>2018</v>
      </c>
      <c r="EM4936" t="s">
        <v>709</v>
      </c>
      <c r="EN4936" t="s">
        <v>856</v>
      </c>
      <c r="EO4936">
        <v>44.22</v>
      </c>
    </row>
    <row r="4937" spans="142:145" x14ac:dyDescent="0.25">
      <c r="EL4937">
        <v>2018</v>
      </c>
      <c r="EM4937" t="s">
        <v>710</v>
      </c>
      <c r="EN4937" t="s">
        <v>856</v>
      </c>
      <c r="EO4937">
        <v>45.69</v>
      </c>
    </row>
    <row r="4938" spans="142:145" x14ac:dyDescent="0.25">
      <c r="EL4938">
        <v>2018</v>
      </c>
      <c r="EM4938" t="s">
        <v>711</v>
      </c>
      <c r="EN4938" t="s">
        <v>856</v>
      </c>
      <c r="EO4938">
        <v>44.22</v>
      </c>
    </row>
    <row r="4939" spans="142:145" x14ac:dyDescent="0.25">
      <c r="EL4939">
        <v>2018</v>
      </c>
      <c r="EM4939" t="s">
        <v>712</v>
      </c>
      <c r="EN4939" t="s">
        <v>856</v>
      </c>
      <c r="EO4939">
        <v>45.69</v>
      </c>
    </row>
    <row r="4940" spans="142:145" x14ac:dyDescent="0.25">
      <c r="EL4940">
        <v>2019</v>
      </c>
      <c r="EM4940" t="s">
        <v>719</v>
      </c>
      <c r="EN4940" t="s">
        <v>856</v>
      </c>
      <c r="EO4940">
        <v>45.69</v>
      </c>
    </row>
    <row r="4941" spans="142:145" x14ac:dyDescent="0.25">
      <c r="EL4941">
        <v>2019</v>
      </c>
      <c r="EM4941" t="s">
        <v>713</v>
      </c>
      <c r="EN4941" t="s">
        <v>856</v>
      </c>
      <c r="EO4941">
        <v>41.27</v>
      </c>
    </row>
    <row r="4942" spans="142:145" x14ac:dyDescent="0.25">
      <c r="EL4942">
        <v>2019</v>
      </c>
      <c r="EM4942" t="s">
        <v>714</v>
      </c>
      <c r="EN4942" t="s">
        <v>856</v>
      </c>
      <c r="EO4942">
        <v>45.69</v>
      </c>
    </row>
    <row r="4943" spans="142:145" x14ac:dyDescent="0.25">
      <c r="EL4943">
        <v>2019</v>
      </c>
      <c r="EM4943" t="s">
        <v>705</v>
      </c>
      <c r="EN4943" t="s">
        <v>856</v>
      </c>
      <c r="EO4943">
        <v>44.22</v>
      </c>
    </row>
    <row r="4944" spans="142:145" x14ac:dyDescent="0.25">
      <c r="EL4944">
        <v>2019</v>
      </c>
      <c r="EM4944" t="s">
        <v>715</v>
      </c>
      <c r="EN4944" t="s">
        <v>856</v>
      </c>
      <c r="EO4944">
        <v>45.69</v>
      </c>
    </row>
    <row r="4945" spans="142:145" x14ac:dyDescent="0.25">
      <c r="EL4945">
        <v>2019</v>
      </c>
      <c r="EM4945" t="s">
        <v>718</v>
      </c>
      <c r="EN4945" t="s">
        <v>856</v>
      </c>
      <c r="EO4945">
        <v>44.22</v>
      </c>
    </row>
    <row r="4946" spans="142:145" x14ac:dyDescent="0.25">
      <c r="EL4946">
        <v>2019</v>
      </c>
      <c r="EM4946" t="s">
        <v>716</v>
      </c>
      <c r="EN4946" t="s">
        <v>856</v>
      </c>
      <c r="EO4946">
        <v>45.69</v>
      </c>
    </row>
    <row r="4947" spans="142:145" x14ac:dyDescent="0.25">
      <c r="EL4947">
        <v>2019</v>
      </c>
      <c r="EM4947" t="s">
        <v>708</v>
      </c>
      <c r="EN4947" t="s">
        <v>856</v>
      </c>
      <c r="EO4947">
        <v>45.69</v>
      </c>
    </row>
    <row r="4948" spans="142:145" x14ac:dyDescent="0.25">
      <c r="EL4948">
        <v>2019</v>
      </c>
      <c r="EM4948" t="s">
        <v>709</v>
      </c>
      <c r="EN4948" t="s">
        <v>856</v>
      </c>
      <c r="EO4948">
        <v>44.22</v>
      </c>
    </row>
    <row r="4949" spans="142:145" x14ac:dyDescent="0.25">
      <c r="EL4949">
        <v>2019</v>
      </c>
      <c r="EM4949" t="s">
        <v>710</v>
      </c>
      <c r="EN4949" t="s">
        <v>856</v>
      </c>
      <c r="EO4949">
        <v>45.69</v>
      </c>
    </row>
    <row r="4950" spans="142:145" x14ac:dyDescent="0.25">
      <c r="EL4950">
        <v>2019</v>
      </c>
      <c r="EM4950" t="s">
        <v>711</v>
      </c>
      <c r="EN4950" t="s">
        <v>856</v>
      </c>
      <c r="EO4950">
        <v>44.22</v>
      </c>
    </row>
    <row r="4951" spans="142:145" x14ac:dyDescent="0.25">
      <c r="EL4951">
        <v>2019</v>
      </c>
      <c r="EM4951" t="s">
        <v>712</v>
      </c>
      <c r="EN4951" t="s">
        <v>856</v>
      </c>
      <c r="EO4951">
        <v>45.69</v>
      </c>
    </row>
    <row r="4952" spans="142:145" x14ac:dyDescent="0.25">
      <c r="EL4952">
        <v>2020</v>
      </c>
      <c r="EM4952" t="s">
        <v>719</v>
      </c>
      <c r="EN4952" t="s">
        <v>856</v>
      </c>
      <c r="EO4952">
        <v>45.69</v>
      </c>
    </row>
    <row r="4953" spans="142:145" x14ac:dyDescent="0.25">
      <c r="EL4953">
        <v>2020</v>
      </c>
      <c r="EM4953" t="s">
        <v>713</v>
      </c>
      <c r="EN4953" t="s">
        <v>856</v>
      </c>
      <c r="EO4953">
        <v>42.74</v>
      </c>
    </row>
    <row r="4954" spans="142:145" x14ac:dyDescent="0.25">
      <c r="EL4954">
        <v>2020</v>
      </c>
      <c r="EM4954" t="s">
        <v>714</v>
      </c>
      <c r="EN4954" t="s">
        <v>856</v>
      </c>
      <c r="EO4954">
        <v>45.69</v>
      </c>
    </row>
    <row r="4955" spans="142:145" x14ac:dyDescent="0.25">
      <c r="EL4955">
        <v>2020</v>
      </c>
      <c r="EM4955" t="s">
        <v>705</v>
      </c>
      <c r="EN4955" t="s">
        <v>856</v>
      </c>
      <c r="EO4955">
        <v>44.22</v>
      </c>
    </row>
    <row r="4956" spans="142:145" x14ac:dyDescent="0.25">
      <c r="EL4956">
        <v>2020</v>
      </c>
      <c r="EM4956" t="s">
        <v>715</v>
      </c>
      <c r="EN4956" t="s">
        <v>856</v>
      </c>
      <c r="EO4956">
        <v>45.69</v>
      </c>
    </row>
    <row r="4957" spans="142:145" x14ac:dyDescent="0.25">
      <c r="EL4957">
        <v>2020</v>
      </c>
      <c r="EM4957" t="s">
        <v>718</v>
      </c>
      <c r="EN4957" t="s">
        <v>856</v>
      </c>
      <c r="EO4957">
        <v>44.22</v>
      </c>
    </row>
    <row r="4958" spans="142:145" x14ac:dyDescent="0.25">
      <c r="EL4958">
        <v>2020</v>
      </c>
      <c r="EM4958" t="s">
        <v>716</v>
      </c>
      <c r="EN4958" t="s">
        <v>856</v>
      </c>
      <c r="EO4958">
        <v>45.69</v>
      </c>
    </row>
    <row r="4959" spans="142:145" x14ac:dyDescent="0.25">
      <c r="EL4959">
        <v>2020</v>
      </c>
      <c r="EM4959" t="s">
        <v>708</v>
      </c>
      <c r="EN4959" t="s">
        <v>856</v>
      </c>
      <c r="EO4959">
        <v>45.69</v>
      </c>
    </row>
    <row r="4960" spans="142:145" x14ac:dyDescent="0.25">
      <c r="EL4960">
        <v>2020</v>
      </c>
      <c r="EM4960" t="s">
        <v>709</v>
      </c>
      <c r="EN4960" t="s">
        <v>856</v>
      </c>
      <c r="EO4960">
        <v>44.22</v>
      </c>
    </row>
    <row r="4961" spans="142:145" x14ac:dyDescent="0.25">
      <c r="EL4961">
        <v>2020</v>
      </c>
      <c r="EM4961" t="s">
        <v>710</v>
      </c>
      <c r="EN4961" t="s">
        <v>856</v>
      </c>
      <c r="EO4961">
        <v>45.56</v>
      </c>
    </row>
    <row r="4962" spans="142:145" x14ac:dyDescent="0.25">
      <c r="EL4962">
        <v>2020</v>
      </c>
      <c r="EM4962" t="s">
        <v>711</v>
      </c>
      <c r="EN4962" t="s">
        <v>856</v>
      </c>
      <c r="EO4962">
        <v>44.09</v>
      </c>
    </row>
    <row r="4963" spans="142:145" x14ac:dyDescent="0.25">
      <c r="EL4963">
        <v>2020</v>
      </c>
      <c r="EM4963" t="s">
        <v>712</v>
      </c>
      <c r="EN4963" t="s">
        <v>856</v>
      </c>
      <c r="EO4963">
        <v>45.56</v>
      </c>
    </row>
    <row r="4964" spans="142:145" x14ac:dyDescent="0.25">
      <c r="EL4964">
        <v>2021</v>
      </c>
      <c r="EM4964" t="s">
        <v>719</v>
      </c>
      <c r="EN4964" t="s">
        <v>856</v>
      </c>
      <c r="EO4964">
        <v>45.56</v>
      </c>
    </row>
    <row r="4965" spans="142:145" x14ac:dyDescent="0.25">
      <c r="EL4965">
        <v>2021</v>
      </c>
      <c r="EM4965" t="s">
        <v>713</v>
      </c>
      <c r="EN4965" t="s">
        <v>856</v>
      </c>
      <c r="EO4965">
        <v>41.16</v>
      </c>
    </row>
    <row r="4966" spans="142:145" x14ac:dyDescent="0.25">
      <c r="EL4966">
        <v>2021</v>
      </c>
      <c r="EM4966" t="s">
        <v>714</v>
      </c>
      <c r="EN4966" t="s">
        <v>856</v>
      </c>
      <c r="EO4966">
        <v>45.56</v>
      </c>
    </row>
    <row r="4967" spans="142:145" x14ac:dyDescent="0.25">
      <c r="EL4967">
        <v>2021</v>
      </c>
      <c r="EM4967" t="s">
        <v>705</v>
      </c>
      <c r="EN4967" t="s">
        <v>856</v>
      </c>
      <c r="EO4967">
        <v>44.09</v>
      </c>
    </row>
    <row r="4968" spans="142:145" x14ac:dyDescent="0.25">
      <c r="EL4968">
        <v>2021</v>
      </c>
      <c r="EM4968" t="s">
        <v>715</v>
      </c>
      <c r="EN4968" t="s">
        <v>856</v>
      </c>
      <c r="EO4968">
        <v>45.56</v>
      </c>
    </row>
    <row r="4969" spans="142:145" x14ac:dyDescent="0.25">
      <c r="EL4969">
        <v>2021</v>
      </c>
      <c r="EM4969" t="s">
        <v>718</v>
      </c>
      <c r="EN4969" t="s">
        <v>856</v>
      </c>
      <c r="EO4969">
        <v>44.09</v>
      </c>
    </row>
    <row r="4970" spans="142:145" x14ac:dyDescent="0.25">
      <c r="EL4970">
        <v>2021</v>
      </c>
      <c r="EM4970" t="s">
        <v>716</v>
      </c>
      <c r="EN4970" t="s">
        <v>856</v>
      </c>
      <c r="EO4970">
        <v>45.56</v>
      </c>
    </row>
    <row r="4971" spans="142:145" x14ac:dyDescent="0.25">
      <c r="EL4971">
        <v>2021</v>
      </c>
      <c r="EM4971" t="s">
        <v>708</v>
      </c>
      <c r="EN4971" t="s">
        <v>856</v>
      </c>
      <c r="EO4971">
        <v>45.56</v>
      </c>
    </row>
    <row r="4972" spans="142:145" x14ac:dyDescent="0.25">
      <c r="EL4972">
        <v>2021</v>
      </c>
      <c r="EM4972" t="s">
        <v>709</v>
      </c>
      <c r="EN4972" t="s">
        <v>856</v>
      </c>
      <c r="EO4972">
        <v>44.09</v>
      </c>
    </row>
    <row r="4973" spans="142:145" x14ac:dyDescent="0.25">
      <c r="EL4973">
        <v>2021</v>
      </c>
      <c r="EM4973" t="s">
        <v>710</v>
      </c>
      <c r="EN4973" t="s">
        <v>856</v>
      </c>
      <c r="EO4973">
        <v>45.69</v>
      </c>
    </row>
    <row r="4974" spans="142:145" x14ac:dyDescent="0.25">
      <c r="EL4974">
        <v>2021</v>
      </c>
      <c r="EM4974" t="s">
        <v>711</v>
      </c>
      <c r="EN4974" t="s">
        <v>856</v>
      </c>
      <c r="EO4974">
        <v>44.22</v>
      </c>
    </row>
    <row r="4975" spans="142:145" x14ac:dyDescent="0.25">
      <c r="EL4975">
        <v>2021</v>
      </c>
      <c r="EM4975" t="s">
        <v>712</v>
      </c>
      <c r="EN4975" t="s">
        <v>856</v>
      </c>
      <c r="EO4975">
        <v>45.69</v>
      </c>
    </row>
    <row r="4976" spans="142:145" x14ac:dyDescent="0.25">
      <c r="EL4976">
        <v>2022</v>
      </c>
      <c r="EM4976" t="s">
        <v>719</v>
      </c>
      <c r="EN4976" t="s">
        <v>856</v>
      </c>
      <c r="EO4976">
        <v>45.69</v>
      </c>
    </row>
    <row r="4977" spans="142:145" x14ac:dyDescent="0.25">
      <c r="EL4977">
        <v>2022</v>
      </c>
      <c r="EM4977" t="s">
        <v>713</v>
      </c>
      <c r="EN4977" t="s">
        <v>856</v>
      </c>
      <c r="EO4977">
        <v>41.27</v>
      </c>
    </row>
    <row r="4978" spans="142:145" x14ac:dyDescent="0.25">
      <c r="EL4978">
        <v>2022</v>
      </c>
      <c r="EM4978" t="s">
        <v>714</v>
      </c>
      <c r="EN4978" t="s">
        <v>856</v>
      </c>
      <c r="EO4978">
        <v>45.69</v>
      </c>
    </row>
    <row r="4979" spans="142:145" x14ac:dyDescent="0.25">
      <c r="EL4979">
        <v>2022</v>
      </c>
      <c r="EM4979" t="s">
        <v>705</v>
      </c>
      <c r="EN4979" t="s">
        <v>856</v>
      </c>
      <c r="EO4979">
        <v>44.22</v>
      </c>
    </row>
    <row r="4980" spans="142:145" x14ac:dyDescent="0.25">
      <c r="EL4980">
        <v>2022</v>
      </c>
      <c r="EM4980" t="s">
        <v>715</v>
      </c>
      <c r="EN4980" t="s">
        <v>856</v>
      </c>
      <c r="EO4980">
        <v>45.69</v>
      </c>
    </row>
    <row r="4981" spans="142:145" x14ac:dyDescent="0.25">
      <c r="EL4981">
        <v>2022</v>
      </c>
      <c r="EM4981" t="s">
        <v>718</v>
      </c>
      <c r="EN4981" t="s">
        <v>856</v>
      </c>
      <c r="EO4981">
        <v>44.22</v>
      </c>
    </row>
    <row r="4982" spans="142:145" x14ac:dyDescent="0.25">
      <c r="EL4982">
        <v>2022</v>
      </c>
      <c r="EM4982" t="s">
        <v>716</v>
      </c>
      <c r="EN4982" t="s">
        <v>856</v>
      </c>
      <c r="EO4982">
        <v>45.69</v>
      </c>
    </row>
    <row r="4983" spans="142:145" x14ac:dyDescent="0.25">
      <c r="EL4983">
        <v>2022</v>
      </c>
      <c r="EM4983" t="s">
        <v>708</v>
      </c>
      <c r="EN4983" t="s">
        <v>856</v>
      </c>
      <c r="EO4983">
        <v>45.69</v>
      </c>
    </row>
    <row r="4984" spans="142:145" x14ac:dyDescent="0.25">
      <c r="EL4984">
        <v>2022</v>
      </c>
      <c r="EM4984" t="s">
        <v>709</v>
      </c>
      <c r="EN4984" t="s">
        <v>856</v>
      </c>
      <c r="EO4984">
        <v>44.22</v>
      </c>
    </row>
    <row r="4985" spans="142:145" x14ac:dyDescent="0.25">
      <c r="EL4985">
        <v>2022</v>
      </c>
      <c r="EM4985" t="s">
        <v>710</v>
      </c>
      <c r="EN4985" t="s">
        <v>856</v>
      </c>
      <c r="EO4985">
        <v>45.69</v>
      </c>
    </row>
    <row r="4986" spans="142:145" x14ac:dyDescent="0.25">
      <c r="EL4986">
        <v>2022</v>
      </c>
      <c r="EM4986" t="s">
        <v>711</v>
      </c>
      <c r="EN4986" t="s">
        <v>856</v>
      </c>
      <c r="EO4986">
        <v>44.22</v>
      </c>
    </row>
    <row r="4987" spans="142:145" x14ac:dyDescent="0.25">
      <c r="EL4987">
        <v>2022</v>
      </c>
      <c r="EM4987" t="s">
        <v>712</v>
      </c>
      <c r="EN4987" t="s">
        <v>856</v>
      </c>
      <c r="EO4987">
        <v>45.69</v>
      </c>
    </row>
    <row r="4988" spans="142:145" x14ac:dyDescent="0.25">
      <c r="EL4988">
        <v>2023</v>
      </c>
      <c r="EM4988" t="s">
        <v>719</v>
      </c>
      <c r="EN4988" t="s">
        <v>856</v>
      </c>
      <c r="EO4988">
        <v>45.69</v>
      </c>
    </row>
    <row r="4989" spans="142:145" x14ac:dyDescent="0.25">
      <c r="EL4989">
        <v>2023</v>
      </c>
      <c r="EM4989" t="s">
        <v>713</v>
      </c>
      <c r="EN4989" t="s">
        <v>856</v>
      </c>
      <c r="EO4989">
        <v>41.27</v>
      </c>
    </row>
    <row r="4990" spans="142:145" x14ac:dyDescent="0.25">
      <c r="EL4990">
        <v>2023</v>
      </c>
      <c r="EM4990" t="s">
        <v>714</v>
      </c>
      <c r="EN4990" t="s">
        <v>856</v>
      </c>
      <c r="EO4990">
        <v>45.69</v>
      </c>
    </row>
    <row r="4991" spans="142:145" x14ac:dyDescent="0.25">
      <c r="EL4991">
        <v>2023</v>
      </c>
      <c r="EM4991" t="s">
        <v>705</v>
      </c>
      <c r="EN4991" t="s">
        <v>856</v>
      </c>
      <c r="EO4991">
        <v>44.22</v>
      </c>
    </row>
    <row r="4992" spans="142:145" x14ac:dyDescent="0.25">
      <c r="EL4992">
        <v>2023</v>
      </c>
      <c r="EM4992" t="s">
        <v>715</v>
      </c>
      <c r="EN4992" t="s">
        <v>856</v>
      </c>
      <c r="EO4992">
        <v>45.69</v>
      </c>
    </row>
    <row r="4993" spans="142:145" x14ac:dyDescent="0.25">
      <c r="EL4993">
        <v>2023</v>
      </c>
      <c r="EM4993" t="s">
        <v>718</v>
      </c>
      <c r="EN4993" t="s">
        <v>856</v>
      </c>
      <c r="EO4993">
        <v>44.22</v>
      </c>
    </row>
    <row r="4994" spans="142:145" x14ac:dyDescent="0.25">
      <c r="EL4994">
        <v>2023</v>
      </c>
      <c r="EM4994" t="s">
        <v>716</v>
      </c>
      <c r="EN4994" t="s">
        <v>856</v>
      </c>
      <c r="EO4994">
        <v>45.69</v>
      </c>
    </row>
    <row r="4995" spans="142:145" x14ac:dyDescent="0.25">
      <c r="EL4995">
        <v>2023</v>
      </c>
      <c r="EM4995" t="s">
        <v>708</v>
      </c>
      <c r="EN4995" t="s">
        <v>856</v>
      </c>
      <c r="EO4995">
        <v>45.69</v>
      </c>
    </row>
    <row r="4996" spans="142:145" x14ac:dyDescent="0.25">
      <c r="EL4996">
        <v>2023</v>
      </c>
      <c r="EM4996" t="s">
        <v>709</v>
      </c>
      <c r="EN4996" t="s">
        <v>856</v>
      </c>
      <c r="EO4996">
        <v>44.22</v>
      </c>
    </row>
    <row r="4997" spans="142:145" x14ac:dyDescent="0.25">
      <c r="EL4997">
        <v>1997</v>
      </c>
      <c r="EM4997" t="s">
        <v>760</v>
      </c>
      <c r="EN4997" t="s">
        <v>857</v>
      </c>
      <c r="EO4997">
        <v>368.09399999999999</v>
      </c>
    </row>
    <row r="4998" spans="142:145" x14ac:dyDescent="0.25">
      <c r="EL4998">
        <v>1997</v>
      </c>
      <c r="EM4998" t="s">
        <v>761</v>
      </c>
      <c r="EN4998" t="s">
        <v>857</v>
      </c>
      <c r="EO4998">
        <v>400.74</v>
      </c>
    </row>
    <row r="4999" spans="142:145" x14ac:dyDescent="0.25">
      <c r="EL4999">
        <v>1997</v>
      </c>
      <c r="EM4999" t="s">
        <v>762</v>
      </c>
      <c r="EN4999" t="s">
        <v>857</v>
      </c>
      <c r="EO4999">
        <v>390.166</v>
      </c>
    </row>
    <row r="5000" spans="142:145" x14ac:dyDescent="0.25">
      <c r="EL5000">
        <v>1998</v>
      </c>
      <c r="EM5000" t="s">
        <v>763</v>
      </c>
      <c r="EN5000" t="s">
        <v>857</v>
      </c>
      <c r="EO5000">
        <v>431.27200000000005</v>
      </c>
    </row>
    <row r="5001" spans="142:145" x14ac:dyDescent="0.25">
      <c r="EL5001">
        <v>1998</v>
      </c>
      <c r="EM5001" t="s">
        <v>764</v>
      </c>
      <c r="EN5001" t="s">
        <v>857</v>
      </c>
      <c r="EO5001">
        <v>431.11599999999999</v>
      </c>
    </row>
    <row r="5002" spans="142:145" x14ac:dyDescent="0.25">
      <c r="EL5002">
        <v>1998</v>
      </c>
      <c r="EM5002" t="s">
        <v>765</v>
      </c>
      <c r="EN5002" t="s">
        <v>857</v>
      </c>
      <c r="EO5002">
        <v>495.75200000000001</v>
      </c>
    </row>
    <row r="5003" spans="142:145" x14ac:dyDescent="0.25">
      <c r="EL5003">
        <v>1998</v>
      </c>
      <c r="EM5003" t="s">
        <v>767</v>
      </c>
      <c r="EN5003" t="s">
        <v>857</v>
      </c>
      <c r="EO5003">
        <v>439.26</v>
      </c>
    </row>
    <row r="5004" spans="142:145" x14ac:dyDescent="0.25">
      <c r="EL5004">
        <v>1998</v>
      </c>
      <c r="EM5004" t="s">
        <v>715</v>
      </c>
      <c r="EN5004" t="s">
        <v>857</v>
      </c>
      <c r="EO5004">
        <v>483.53800000000001</v>
      </c>
    </row>
    <row r="5005" spans="142:145" x14ac:dyDescent="0.25">
      <c r="EL5005">
        <v>1998</v>
      </c>
      <c r="EM5005" t="s">
        <v>718</v>
      </c>
      <c r="EN5005" t="s">
        <v>857</v>
      </c>
      <c r="EO5005">
        <v>449.67</v>
      </c>
    </row>
    <row r="5006" spans="142:145" x14ac:dyDescent="0.25">
      <c r="EL5006">
        <v>1998</v>
      </c>
      <c r="EM5006" t="s">
        <v>716</v>
      </c>
      <c r="EN5006" t="s">
        <v>857</v>
      </c>
      <c r="EO5006">
        <v>435.55</v>
      </c>
    </row>
    <row r="5007" spans="142:145" x14ac:dyDescent="0.25">
      <c r="EL5007">
        <v>1998</v>
      </c>
      <c r="EM5007" t="s">
        <v>768</v>
      </c>
      <c r="EN5007" t="s">
        <v>857</v>
      </c>
      <c r="EO5007">
        <v>426.09499999999997</v>
      </c>
    </row>
    <row r="5008" spans="142:145" x14ac:dyDescent="0.25">
      <c r="EL5008">
        <v>1998</v>
      </c>
      <c r="EM5008" t="s">
        <v>769</v>
      </c>
      <c r="EN5008" t="s">
        <v>857</v>
      </c>
      <c r="EO5008">
        <v>393.29999999999995</v>
      </c>
    </row>
    <row r="5009" spans="142:145" x14ac:dyDescent="0.25">
      <c r="EL5009">
        <v>1998</v>
      </c>
      <c r="EM5009" t="s">
        <v>760</v>
      </c>
      <c r="EN5009" t="s">
        <v>857</v>
      </c>
      <c r="EO5009">
        <v>399.55899999999997</v>
      </c>
    </row>
    <row r="5010" spans="142:145" x14ac:dyDescent="0.25">
      <c r="EL5010">
        <v>1998</v>
      </c>
      <c r="EM5010" t="s">
        <v>771</v>
      </c>
      <c r="EN5010" t="s">
        <v>857</v>
      </c>
      <c r="EO5010">
        <v>374.76000000000005</v>
      </c>
    </row>
    <row r="5011" spans="142:145" x14ac:dyDescent="0.25">
      <c r="EL5011">
        <v>1998</v>
      </c>
      <c r="EM5011" t="s">
        <v>762</v>
      </c>
      <c r="EN5011" t="s">
        <v>857</v>
      </c>
      <c r="EO5011">
        <v>395.18799999999999</v>
      </c>
    </row>
    <row r="5012" spans="142:145" x14ac:dyDescent="0.25">
      <c r="EL5012">
        <v>1999</v>
      </c>
      <c r="EM5012" t="s">
        <v>763</v>
      </c>
      <c r="EN5012" t="s">
        <v>857</v>
      </c>
      <c r="EO5012">
        <v>395.56</v>
      </c>
    </row>
    <row r="5013" spans="142:145" x14ac:dyDescent="0.25">
      <c r="EL5013">
        <v>1999</v>
      </c>
      <c r="EM5013" t="s">
        <v>772</v>
      </c>
      <c r="EN5013" t="s">
        <v>857</v>
      </c>
      <c r="EO5013">
        <v>339.38800000000003</v>
      </c>
    </row>
    <row r="5014" spans="142:145" x14ac:dyDescent="0.25">
      <c r="EL5014">
        <v>1999</v>
      </c>
      <c r="EM5014" t="s">
        <v>773</v>
      </c>
      <c r="EN5014" t="s">
        <v>857</v>
      </c>
      <c r="EO5014">
        <v>452.25900000000001</v>
      </c>
    </row>
    <row r="5015" spans="142:145" x14ac:dyDescent="0.25">
      <c r="EL5015">
        <v>1999</v>
      </c>
      <c r="EM5015" t="s">
        <v>774</v>
      </c>
      <c r="EN5015" t="s">
        <v>857</v>
      </c>
      <c r="EO5015">
        <v>393.29999999999995</v>
      </c>
    </row>
    <row r="5016" spans="142:145" x14ac:dyDescent="0.25">
      <c r="EL5016">
        <v>1999</v>
      </c>
      <c r="EM5016" t="s">
        <v>715</v>
      </c>
      <c r="EN5016" t="s">
        <v>857</v>
      </c>
      <c r="EO5016">
        <v>416.423</v>
      </c>
    </row>
    <row r="5017" spans="142:145" x14ac:dyDescent="0.25">
      <c r="EL5017">
        <v>1999</v>
      </c>
      <c r="EM5017" t="s">
        <v>718</v>
      </c>
      <c r="EN5017" t="s">
        <v>857</v>
      </c>
      <c r="EO5017">
        <v>378.81</v>
      </c>
    </row>
    <row r="5018" spans="142:145" x14ac:dyDescent="0.25">
      <c r="EL5018">
        <v>1999</v>
      </c>
      <c r="EM5018" t="s">
        <v>716</v>
      </c>
      <c r="EN5018" t="s">
        <v>857</v>
      </c>
      <c r="EO5018">
        <v>357.73999999999995</v>
      </c>
    </row>
    <row r="5019" spans="142:145" x14ac:dyDescent="0.25">
      <c r="EL5019">
        <v>1999</v>
      </c>
      <c r="EM5019" t="s">
        <v>708</v>
      </c>
      <c r="EN5019" t="s">
        <v>857</v>
      </c>
      <c r="EO5019">
        <v>315.42500000000001</v>
      </c>
    </row>
    <row r="5020" spans="142:145" x14ac:dyDescent="0.25">
      <c r="EL5020">
        <v>1999</v>
      </c>
      <c r="EM5020" t="s">
        <v>709</v>
      </c>
      <c r="EN5020" t="s">
        <v>857</v>
      </c>
      <c r="EO5020">
        <v>371.84999999999997</v>
      </c>
    </row>
    <row r="5021" spans="142:145" x14ac:dyDescent="0.25">
      <c r="EL5021">
        <v>1999</v>
      </c>
      <c r="EM5021" t="s">
        <v>710</v>
      </c>
      <c r="EN5021" t="s">
        <v>857</v>
      </c>
      <c r="EO5021">
        <v>368.59000000000003</v>
      </c>
    </row>
    <row r="5022" spans="142:145" x14ac:dyDescent="0.25">
      <c r="EL5022">
        <v>1999</v>
      </c>
      <c r="EM5022" t="s">
        <v>711</v>
      </c>
      <c r="EN5022" t="s">
        <v>857</v>
      </c>
      <c r="EO5022">
        <v>325.62</v>
      </c>
    </row>
    <row r="5023" spans="142:145" x14ac:dyDescent="0.25">
      <c r="EL5023">
        <v>1999</v>
      </c>
      <c r="EM5023" t="s">
        <v>712</v>
      </c>
      <c r="EN5023" t="s">
        <v>857</v>
      </c>
      <c r="EO5023">
        <v>359.44499999999999</v>
      </c>
    </row>
    <row r="5024" spans="142:145" x14ac:dyDescent="0.25">
      <c r="EL5024">
        <v>2000</v>
      </c>
      <c r="EM5024" t="s">
        <v>719</v>
      </c>
      <c r="EN5024" t="s">
        <v>857</v>
      </c>
      <c r="EO5024">
        <v>351.78800000000001</v>
      </c>
    </row>
    <row r="5025" spans="142:145" x14ac:dyDescent="0.25">
      <c r="EL5025">
        <v>2000</v>
      </c>
      <c r="EM5025" t="s">
        <v>713</v>
      </c>
      <c r="EN5025" t="s">
        <v>857</v>
      </c>
      <c r="EO5025">
        <v>361.31099999999998</v>
      </c>
    </row>
    <row r="5026" spans="142:145" x14ac:dyDescent="0.25">
      <c r="EL5026">
        <v>2000</v>
      </c>
      <c r="EM5026" t="s">
        <v>714</v>
      </c>
      <c r="EN5026" t="s">
        <v>857</v>
      </c>
      <c r="EO5026">
        <v>377.45600000000002</v>
      </c>
    </row>
    <row r="5027" spans="142:145" x14ac:dyDescent="0.25">
      <c r="EL5027">
        <v>2000</v>
      </c>
      <c r="EM5027" t="s">
        <v>705</v>
      </c>
      <c r="EN5027" t="s">
        <v>857</v>
      </c>
      <c r="EO5027">
        <v>397.95000000000005</v>
      </c>
    </row>
    <row r="5028" spans="142:145" x14ac:dyDescent="0.25">
      <c r="EL5028">
        <v>2000</v>
      </c>
      <c r="EM5028" t="s">
        <v>715</v>
      </c>
      <c r="EN5028" t="s">
        <v>857</v>
      </c>
      <c r="EO5028">
        <v>385.20600000000002</v>
      </c>
    </row>
    <row r="5029" spans="142:145" x14ac:dyDescent="0.25">
      <c r="EL5029">
        <v>2000</v>
      </c>
      <c r="EM5029" t="s">
        <v>718</v>
      </c>
      <c r="EN5029" t="s">
        <v>857</v>
      </c>
      <c r="EO5029">
        <v>374.58000000000004</v>
      </c>
    </row>
    <row r="5030" spans="142:145" x14ac:dyDescent="0.25">
      <c r="EL5030">
        <v>2000</v>
      </c>
      <c r="EM5030" t="s">
        <v>716</v>
      </c>
      <c r="EN5030" t="s">
        <v>857</v>
      </c>
      <c r="EO5030">
        <v>384.803</v>
      </c>
    </row>
    <row r="5031" spans="142:145" x14ac:dyDescent="0.25">
      <c r="EL5031">
        <v>2000</v>
      </c>
      <c r="EM5031" t="s">
        <v>708</v>
      </c>
      <c r="EN5031" t="s">
        <v>857</v>
      </c>
      <c r="EO5031">
        <v>385.76400000000001</v>
      </c>
    </row>
    <row r="5032" spans="142:145" x14ac:dyDescent="0.25">
      <c r="EL5032">
        <v>2000</v>
      </c>
      <c r="EM5032" t="s">
        <v>709</v>
      </c>
      <c r="EN5032" t="s">
        <v>857</v>
      </c>
      <c r="EO5032">
        <v>380.67</v>
      </c>
    </row>
    <row r="5033" spans="142:145" x14ac:dyDescent="0.25">
      <c r="EL5033">
        <v>2000</v>
      </c>
      <c r="EM5033" t="s">
        <v>710</v>
      </c>
      <c r="EN5033" t="s">
        <v>857</v>
      </c>
      <c r="EO5033">
        <v>360.964</v>
      </c>
    </row>
    <row r="5034" spans="142:145" x14ac:dyDescent="0.25">
      <c r="EL5034">
        <v>2000</v>
      </c>
      <c r="EM5034" t="s">
        <v>711</v>
      </c>
      <c r="EN5034" t="s">
        <v>857</v>
      </c>
      <c r="EO5034">
        <v>347.94</v>
      </c>
    </row>
    <row r="5035" spans="142:145" x14ac:dyDescent="0.25">
      <c r="EL5035">
        <v>2000</v>
      </c>
      <c r="EM5035" t="s">
        <v>712</v>
      </c>
      <c r="EN5035" t="s">
        <v>857</v>
      </c>
      <c r="EO5035">
        <v>339.791</v>
      </c>
    </row>
    <row r="5036" spans="142:145" x14ac:dyDescent="0.25">
      <c r="EL5036">
        <v>2001</v>
      </c>
      <c r="EM5036" t="s">
        <v>719</v>
      </c>
      <c r="EN5036" t="s">
        <v>857</v>
      </c>
      <c r="EO5036">
        <v>345.34000000000003</v>
      </c>
    </row>
    <row r="5037" spans="142:145" x14ac:dyDescent="0.25">
      <c r="EL5037">
        <v>2001</v>
      </c>
      <c r="EM5037" t="s">
        <v>713</v>
      </c>
      <c r="EN5037" t="s">
        <v>857</v>
      </c>
      <c r="EO5037">
        <v>332.08</v>
      </c>
    </row>
    <row r="5038" spans="142:145" x14ac:dyDescent="0.25">
      <c r="EL5038">
        <v>2001</v>
      </c>
      <c r="EM5038" t="s">
        <v>714</v>
      </c>
      <c r="EN5038" t="s">
        <v>857</v>
      </c>
      <c r="EO5038">
        <v>398.815</v>
      </c>
    </row>
    <row r="5039" spans="142:145" x14ac:dyDescent="0.25">
      <c r="EL5039">
        <v>2001</v>
      </c>
      <c r="EM5039" t="s">
        <v>705</v>
      </c>
      <c r="EN5039" t="s">
        <v>857</v>
      </c>
      <c r="EO5039">
        <v>397.66800000000001</v>
      </c>
    </row>
    <row r="5040" spans="142:145" x14ac:dyDescent="0.25">
      <c r="EL5040">
        <v>2001</v>
      </c>
      <c r="EM5040" t="s">
        <v>715</v>
      </c>
      <c r="EN5040" t="s">
        <v>857</v>
      </c>
      <c r="EO5040">
        <v>396.738</v>
      </c>
    </row>
    <row r="5041" spans="142:145" x14ac:dyDescent="0.25">
      <c r="EL5041">
        <v>2001</v>
      </c>
      <c r="EM5041" t="s">
        <v>718</v>
      </c>
      <c r="EN5041" t="s">
        <v>857</v>
      </c>
      <c r="EO5041">
        <v>413.25</v>
      </c>
    </row>
    <row r="5042" spans="142:145" x14ac:dyDescent="0.25">
      <c r="EL5042">
        <v>2001</v>
      </c>
      <c r="EM5042" t="s">
        <v>716</v>
      </c>
      <c r="EN5042" t="s">
        <v>857</v>
      </c>
      <c r="EO5042">
        <v>395.40500000000003</v>
      </c>
    </row>
    <row r="5043" spans="142:145" x14ac:dyDescent="0.25">
      <c r="EL5043">
        <v>2001</v>
      </c>
      <c r="EM5043" t="s">
        <v>708</v>
      </c>
      <c r="EN5043" t="s">
        <v>857</v>
      </c>
      <c r="EO5043">
        <v>391.87099999999998</v>
      </c>
    </row>
    <row r="5044" spans="142:145" x14ac:dyDescent="0.25">
      <c r="EL5044">
        <v>2001</v>
      </c>
      <c r="EM5044" t="s">
        <v>709</v>
      </c>
      <c r="EN5044" t="s">
        <v>857</v>
      </c>
      <c r="EO5044">
        <v>348.96</v>
      </c>
    </row>
    <row r="5045" spans="142:145" x14ac:dyDescent="0.25">
      <c r="EL5045">
        <v>2001</v>
      </c>
      <c r="EM5045" t="s">
        <v>710</v>
      </c>
      <c r="EN5045" t="s">
        <v>857</v>
      </c>
      <c r="EO5045">
        <v>348.161</v>
      </c>
    </row>
    <row r="5046" spans="142:145" x14ac:dyDescent="0.25">
      <c r="EL5046">
        <v>2001</v>
      </c>
      <c r="EM5046" t="s">
        <v>711</v>
      </c>
      <c r="EN5046" t="s">
        <v>857</v>
      </c>
      <c r="EO5046">
        <v>403.21699999999998</v>
      </c>
    </row>
    <row r="5047" spans="142:145" x14ac:dyDescent="0.25">
      <c r="EL5047">
        <v>2001</v>
      </c>
      <c r="EM5047" t="s">
        <v>712</v>
      </c>
      <c r="EN5047" t="s">
        <v>857</v>
      </c>
      <c r="EO5047">
        <v>403.34099999999995</v>
      </c>
    </row>
    <row r="5048" spans="142:145" x14ac:dyDescent="0.25">
      <c r="EL5048">
        <v>2002</v>
      </c>
      <c r="EM5048" t="s">
        <v>719</v>
      </c>
      <c r="EN5048" t="s">
        <v>857</v>
      </c>
      <c r="EO5048">
        <v>407.27800000000002</v>
      </c>
    </row>
    <row r="5049" spans="142:145" x14ac:dyDescent="0.25">
      <c r="EL5049">
        <v>2002</v>
      </c>
      <c r="EM5049" t="s">
        <v>713</v>
      </c>
      <c r="EN5049" t="s">
        <v>857</v>
      </c>
      <c r="EO5049">
        <v>357.64400000000001</v>
      </c>
    </row>
    <row r="5050" spans="142:145" x14ac:dyDescent="0.25">
      <c r="EL5050">
        <v>2002</v>
      </c>
      <c r="EM5050" t="s">
        <v>714</v>
      </c>
      <c r="EN5050" t="s">
        <v>857</v>
      </c>
      <c r="EO5050">
        <v>419.58499999999998</v>
      </c>
    </row>
    <row r="5051" spans="142:145" x14ac:dyDescent="0.25">
      <c r="EL5051">
        <v>2002</v>
      </c>
      <c r="EM5051" t="s">
        <v>705</v>
      </c>
      <c r="EN5051" t="s">
        <v>857</v>
      </c>
      <c r="EO5051">
        <v>405.48</v>
      </c>
    </row>
    <row r="5052" spans="142:145" x14ac:dyDescent="0.25">
      <c r="EL5052">
        <v>2002</v>
      </c>
      <c r="EM5052" t="s">
        <v>715</v>
      </c>
      <c r="EN5052" t="s">
        <v>857</v>
      </c>
      <c r="EO5052">
        <v>430.80700000000002</v>
      </c>
    </row>
    <row r="5053" spans="142:145" x14ac:dyDescent="0.25">
      <c r="EL5053">
        <v>2002</v>
      </c>
      <c r="EM5053" t="s">
        <v>718</v>
      </c>
      <c r="EN5053" t="s">
        <v>857</v>
      </c>
      <c r="EO5053">
        <v>390.27</v>
      </c>
    </row>
    <row r="5054" spans="142:145" x14ac:dyDescent="0.25">
      <c r="EL5054">
        <v>2002</v>
      </c>
      <c r="EM5054" t="s">
        <v>716</v>
      </c>
      <c r="EN5054" t="s">
        <v>857</v>
      </c>
      <c r="EO5054">
        <v>384.09000000000003</v>
      </c>
    </row>
    <row r="5055" spans="142:145" x14ac:dyDescent="0.25">
      <c r="EL5055">
        <v>2002</v>
      </c>
      <c r="EM5055" t="s">
        <v>708</v>
      </c>
      <c r="EN5055" t="s">
        <v>857</v>
      </c>
      <c r="EO5055">
        <v>355.72499999999997</v>
      </c>
    </row>
    <row r="5056" spans="142:145" x14ac:dyDescent="0.25">
      <c r="EL5056">
        <v>2002</v>
      </c>
      <c r="EM5056" t="s">
        <v>709</v>
      </c>
      <c r="EN5056" t="s">
        <v>857</v>
      </c>
      <c r="EO5056">
        <v>371.96999999999997</v>
      </c>
    </row>
    <row r="5057" spans="142:145" x14ac:dyDescent="0.25">
      <c r="EL5057">
        <v>2002</v>
      </c>
      <c r="EM5057" t="s">
        <v>710</v>
      </c>
      <c r="EN5057" t="s">
        <v>857</v>
      </c>
      <c r="EO5057">
        <v>389.267</v>
      </c>
    </row>
    <row r="5058" spans="142:145" x14ac:dyDescent="0.25">
      <c r="EL5058">
        <v>2002</v>
      </c>
      <c r="EM5058" t="s">
        <v>711</v>
      </c>
      <c r="EN5058" t="s">
        <v>857</v>
      </c>
      <c r="EO5058">
        <v>368.88</v>
      </c>
    </row>
    <row r="5059" spans="142:145" x14ac:dyDescent="0.25">
      <c r="EL5059">
        <v>2002</v>
      </c>
      <c r="EM5059" t="s">
        <v>712</v>
      </c>
      <c r="EN5059" t="s">
        <v>857</v>
      </c>
      <c r="EO5059">
        <v>438.30899999999997</v>
      </c>
    </row>
    <row r="5060" spans="142:145" x14ac:dyDescent="0.25">
      <c r="EL5060">
        <v>2003</v>
      </c>
      <c r="EM5060" t="s">
        <v>719</v>
      </c>
      <c r="EN5060" t="s">
        <v>857</v>
      </c>
      <c r="EO5060">
        <v>441.09899999999999</v>
      </c>
    </row>
    <row r="5061" spans="142:145" x14ac:dyDescent="0.25">
      <c r="EL5061">
        <v>2003</v>
      </c>
      <c r="EM5061" t="s">
        <v>713</v>
      </c>
      <c r="EN5061" t="s">
        <v>857</v>
      </c>
      <c r="EO5061">
        <v>369.37599999999998</v>
      </c>
    </row>
    <row r="5062" spans="142:145" x14ac:dyDescent="0.25">
      <c r="EL5062">
        <v>2003</v>
      </c>
      <c r="EM5062" t="s">
        <v>714</v>
      </c>
      <c r="EN5062" t="s">
        <v>857</v>
      </c>
      <c r="EO5062">
        <v>527.31000000000006</v>
      </c>
    </row>
    <row r="5063" spans="142:145" x14ac:dyDescent="0.25">
      <c r="EL5063">
        <v>2003</v>
      </c>
      <c r="EM5063" t="s">
        <v>705</v>
      </c>
      <c r="EN5063" t="s">
        <v>857</v>
      </c>
      <c r="EO5063">
        <v>487.65</v>
      </c>
    </row>
    <row r="5064" spans="142:145" x14ac:dyDescent="0.25">
      <c r="EL5064">
        <v>2003</v>
      </c>
      <c r="EM5064" t="s">
        <v>715</v>
      </c>
      <c r="EN5064" t="s">
        <v>857</v>
      </c>
      <c r="EO5064">
        <v>508.18299999999999</v>
      </c>
    </row>
    <row r="5065" spans="142:145" x14ac:dyDescent="0.25">
      <c r="EL5065">
        <v>2003</v>
      </c>
      <c r="EM5065" t="s">
        <v>718</v>
      </c>
      <c r="EN5065" t="s">
        <v>857</v>
      </c>
      <c r="EO5065">
        <v>606.99</v>
      </c>
    </row>
    <row r="5066" spans="142:145" x14ac:dyDescent="0.25">
      <c r="EL5066">
        <v>2003</v>
      </c>
      <c r="EM5066" t="s">
        <v>716</v>
      </c>
      <c r="EN5066" t="s">
        <v>857</v>
      </c>
      <c r="EO5066">
        <v>530.28600000000006</v>
      </c>
    </row>
    <row r="5067" spans="142:145" x14ac:dyDescent="0.25">
      <c r="EL5067">
        <v>2003</v>
      </c>
      <c r="EM5067" t="s">
        <v>708</v>
      </c>
      <c r="EN5067" t="s">
        <v>857</v>
      </c>
      <c r="EO5067">
        <v>402.28700000000003</v>
      </c>
    </row>
    <row r="5068" spans="142:145" x14ac:dyDescent="0.25">
      <c r="EL5068">
        <v>2003</v>
      </c>
      <c r="EM5068" t="s">
        <v>709</v>
      </c>
      <c r="EN5068" t="s">
        <v>857</v>
      </c>
      <c r="EO5068">
        <v>360.59999999999997</v>
      </c>
    </row>
    <row r="5069" spans="142:145" x14ac:dyDescent="0.25">
      <c r="EL5069">
        <v>2003</v>
      </c>
      <c r="EM5069" t="s">
        <v>710</v>
      </c>
      <c r="EN5069" t="s">
        <v>857</v>
      </c>
      <c r="EO5069">
        <v>336.38299999999998</v>
      </c>
    </row>
    <row r="5070" spans="142:145" x14ac:dyDescent="0.25">
      <c r="EL5070">
        <v>2003</v>
      </c>
      <c r="EM5070" t="s">
        <v>711</v>
      </c>
      <c r="EN5070" t="s">
        <v>857</v>
      </c>
      <c r="EO5070">
        <v>337.93</v>
      </c>
    </row>
    <row r="5071" spans="142:145" x14ac:dyDescent="0.25">
      <c r="EL5071">
        <v>2003</v>
      </c>
      <c r="EM5071" t="s">
        <v>712</v>
      </c>
      <c r="EN5071" t="s">
        <v>857</v>
      </c>
      <c r="EO5071">
        <v>382.774</v>
      </c>
    </row>
    <row r="5072" spans="142:145" x14ac:dyDescent="0.25">
      <c r="EL5072">
        <v>2004</v>
      </c>
      <c r="EM5072" t="s">
        <v>719</v>
      </c>
      <c r="EN5072" t="s">
        <v>857</v>
      </c>
      <c r="EO5072">
        <v>339.84399999999999</v>
      </c>
    </row>
    <row r="5073" spans="142:145" x14ac:dyDescent="0.25">
      <c r="EL5073">
        <v>2004</v>
      </c>
      <c r="EM5073" t="s">
        <v>713</v>
      </c>
      <c r="EN5073" t="s">
        <v>857</v>
      </c>
      <c r="EO5073">
        <v>336.166</v>
      </c>
    </row>
    <row r="5074" spans="142:145" x14ac:dyDescent="0.25">
      <c r="EL5074">
        <v>2004</v>
      </c>
      <c r="EM5074" t="s">
        <v>714</v>
      </c>
      <c r="EN5074" t="s">
        <v>857</v>
      </c>
      <c r="EO5074">
        <v>342.09</v>
      </c>
    </row>
    <row r="5075" spans="142:145" x14ac:dyDescent="0.25">
      <c r="EL5075">
        <v>2004</v>
      </c>
      <c r="EM5075" t="s">
        <v>705</v>
      </c>
      <c r="EN5075" t="s">
        <v>857</v>
      </c>
      <c r="EO5075">
        <v>311.63099999999997</v>
      </c>
    </row>
    <row r="5076" spans="142:145" x14ac:dyDescent="0.25">
      <c r="EL5076">
        <v>2004</v>
      </c>
      <c r="EM5076" t="s">
        <v>715</v>
      </c>
      <c r="EN5076" t="s">
        <v>857</v>
      </c>
      <c r="EO5076">
        <v>222.50800000000001</v>
      </c>
    </row>
    <row r="5077" spans="142:145" x14ac:dyDescent="0.25">
      <c r="EL5077">
        <v>2004</v>
      </c>
      <c r="EM5077" t="s">
        <v>718</v>
      </c>
      <c r="EN5077" t="s">
        <v>857</v>
      </c>
      <c r="EO5077">
        <v>210.22800000000001</v>
      </c>
    </row>
    <row r="5078" spans="142:145" x14ac:dyDescent="0.25">
      <c r="EL5078">
        <v>2004</v>
      </c>
      <c r="EM5078" t="s">
        <v>716</v>
      </c>
      <c r="EN5078" t="s">
        <v>857</v>
      </c>
      <c r="EO5078">
        <v>207.316</v>
      </c>
    </row>
    <row r="5079" spans="142:145" x14ac:dyDescent="0.25">
      <c r="EL5079">
        <v>2004</v>
      </c>
      <c r="EM5079" t="s">
        <v>708</v>
      </c>
      <c r="EN5079" t="s">
        <v>857</v>
      </c>
      <c r="EO5079">
        <v>191.63890000000001</v>
      </c>
    </row>
    <row r="5080" spans="142:145" x14ac:dyDescent="0.25">
      <c r="EL5080">
        <v>2004</v>
      </c>
      <c r="EM5080" t="s">
        <v>709</v>
      </c>
      <c r="EN5080" t="s">
        <v>857</v>
      </c>
      <c r="EO5080">
        <v>188.65799999999999</v>
      </c>
    </row>
    <row r="5081" spans="142:145" x14ac:dyDescent="0.25">
      <c r="EL5081">
        <v>2004</v>
      </c>
      <c r="EM5081" t="s">
        <v>710</v>
      </c>
      <c r="EN5081" t="s">
        <v>857</v>
      </c>
      <c r="EO5081">
        <v>173.53899999999999</v>
      </c>
    </row>
    <row r="5082" spans="142:145" x14ac:dyDescent="0.25">
      <c r="EL5082">
        <v>2004</v>
      </c>
      <c r="EM5082" t="s">
        <v>711</v>
      </c>
      <c r="EN5082" t="s">
        <v>857</v>
      </c>
      <c r="EO5082">
        <v>177.70699999999999</v>
      </c>
    </row>
    <row r="5083" spans="142:145" x14ac:dyDescent="0.25">
      <c r="EL5083">
        <v>2004</v>
      </c>
      <c r="EM5083" t="s">
        <v>712</v>
      </c>
      <c r="EN5083" t="s">
        <v>857</v>
      </c>
      <c r="EO5083">
        <v>192.661</v>
      </c>
    </row>
    <row r="5084" spans="142:145" x14ac:dyDescent="0.25">
      <c r="EL5084">
        <v>2005</v>
      </c>
      <c r="EM5084" t="s">
        <v>719</v>
      </c>
      <c r="EN5084" t="s">
        <v>857</v>
      </c>
      <c r="EO5084">
        <v>187.99600000000001</v>
      </c>
    </row>
    <row r="5085" spans="142:145" x14ac:dyDescent="0.25">
      <c r="EL5085">
        <v>2005</v>
      </c>
      <c r="EM5085" t="s">
        <v>713</v>
      </c>
      <c r="EN5085" t="s">
        <v>857</v>
      </c>
      <c r="EO5085">
        <v>145.11699999999999</v>
      </c>
    </row>
    <row r="5086" spans="142:145" x14ac:dyDescent="0.25">
      <c r="EL5086">
        <v>2005</v>
      </c>
      <c r="EM5086" t="s">
        <v>714</v>
      </c>
      <c r="EN5086" t="s">
        <v>857</v>
      </c>
      <c r="EO5086">
        <v>158.071</v>
      </c>
    </row>
    <row r="5087" spans="142:145" x14ac:dyDescent="0.25">
      <c r="EL5087">
        <v>2005</v>
      </c>
      <c r="EM5087" t="s">
        <v>705</v>
      </c>
      <c r="EN5087" t="s">
        <v>857</v>
      </c>
      <c r="EO5087">
        <v>157.155</v>
      </c>
    </row>
    <row r="5088" spans="142:145" x14ac:dyDescent="0.25">
      <c r="EL5088">
        <v>2005</v>
      </c>
      <c r="EM5088" t="s">
        <v>715</v>
      </c>
      <c r="EN5088" t="s">
        <v>857</v>
      </c>
      <c r="EO5088">
        <v>154.553</v>
      </c>
    </row>
    <row r="5089" spans="142:145" x14ac:dyDescent="0.25">
      <c r="EL5089">
        <v>2005</v>
      </c>
      <c r="EM5089" t="s">
        <v>718</v>
      </c>
      <c r="EN5089" t="s">
        <v>857</v>
      </c>
      <c r="EO5089">
        <v>150.58500000000001</v>
      </c>
    </row>
    <row r="5090" spans="142:145" x14ac:dyDescent="0.25">
      <c r="EL5090">
        <v>2005</v>
      </c>
      <c r="EM5090" t="s">
        <v>716</v>
      </c>
      <c r="EN5090" t="s">
        <v>857</v>
      </c>
      <c r="EO5090">
        <v>175.33600000000001</v>
      </c>
    </row>
    <row r="5091" spans="142:145" x14ac:dyDescent="0.25">
      <c r="EL5091">
        <v>2005</v>
      </c>
      <c r="EM5091" t="s">
        <v>708</v>
      </c>
      <c r="EN5091" t="s">
        <v>857</v>
      </c>
      <c r="EO5091">
        <v>167.60300000000001</v>
      </c>
    </row>
    <row r="5092" spans="142:145" x14ac:dyDescent="0.25">
      <c r="EL5092">
        <v>2005</v>
      </c>
      <c r="EM5092" t="s">
        <v>709</v>
      </c>
      <c r="EN5092" t="s">
        <v>857</v>
      </c>
      <c r="EO5092">
        <v>158.464</v>
      </c>
    </row>
    <row r="5093" spans="142:145" x14ac:dyDescent="0.25">
      <c r="EL5093">
        <v>2005</v>
      </c>
      <c r="EM5093" t="s">
        <v>710</v>
      </c>
      <c r="EN5093" t="s">
        <v>857</v>
      </c>
      <c r="EO5093">
        <v>188.785</v>
      </c>
    </row>
    <row r="5094" spans="142:145" x14ac:dyDescent="0.25">
      <c r="EL5094">
        <v>2005</v>
      </c>
      <c r="EM5094" t="s">
        <v>711</v>
      </c>
      <c r="EN5094" t="s">
        <v>857</v>
      </c>
      <c r="EO5094">
        <v>196.209</v>
      </c>
    </row>
    <row r="5095" spans="142:145" x14ac:dyDescent="0.25">
      <c r="EL5095">
        <v>2005</v>
      </c>
      <c r="EM5095" t="s">
        <v>712</v>
      </c>
      <c r="EN5095" t="s">
        <v>857</v>
      </c>
      <c r="EO5095">
        <v>202.53700000000001</v>
      </c>
    </row>
    <row r="5096" spans="142:145" x14ac:dyDescent="0.25">
      <c r="EL5096">
        <v>2006</v>
      </c>
      <c r="EM5096" t="s">
        <v>719</v>
      </c>
      <c r="EN5096" t="s">
        <v>857</v>
      </c>
      <c r="EO5096">
        <v>205.524</v>
      </c>
    </row>
    <row r="5097" spans="142:145" x14ac:dyDescent="0.25">
      <c r="EL5097">
        <v>2006</v>
      </c>
      <c r="EM5097" t="s">
        <v>713</v>
      </c>
      <c r="EN5097" t="s">
        <v>857</v>
      </c>
      <c r="EO5097">
        <v>197.857</v>
      </c>
    </row>
    <row r="5098" spans="142:145" x14ac:dyDescent="0.25">
      <c r="EL5098">
        <v>2006</v>
      </c>
      <c r="EM5098" t="s">
        <v>714</v>
      </c>
      <c r="EN5098" t="s">
        <v>857</v>
      </c>
      <c r="EO5098">
        <v>197.953</v>
      </c>
    </row>
    <row r="5099" spans="142:145" x14ac:dyDescent="0.25">
      <c r="EL5099">
        <v>2006</v>
      </c>
      <c r="EM5099" t="s">
        <v>705</v>
      </c>
      <c r="EN5099" t="s">
        <v>857</v>
      </c>
      <c r="EO5099">
        <v>193.43199999999999</v>
      </c>
    </row>
    <row r="5100" spans="142:145" x14ac:dyDescent="0.25">
      <c r="EL5100">
        <v>2006</v>
      </c>
      <c r="EM5100" t="s">
        <v>715</v>
      </c>
      <c r="EN5100" t="s">
        <v>857</v>
      </c>
      <c r="EO5100">
        <v>195.61199999999999</v>
      </c>
    </row>
    <row r="5101" spans="142:145" x14ac:dyDescent="0.25">
      <c r="EL5101">
        <v>2006</v>
      </c>
      <c r="EM5101" t="s">
        <v>718</v>
      </c>
      <c r="EN5101" t="s">
        <v>857</v>
      </c>
      <c r="EO5101">
        <v>202.12</v>
      </c>
    </row>
    <row r="5102" spans="142:145" x14ac:dyDescent="0.25">
      <c r="EL5102">
        <v>2006</v>
      </c>
      <c r="EM5102" t="s">
        <v>716</v>
      </c>
      <c r="EN5102" t="s">
        <v>857</v>
      </c>
      <c r="EO5102">
        <v>213.107</v>
      </c>
    </row>
    <row r="5103" spans="142:145" x14ac:dyDescent="0.25">
      <c r="EL5103">
        <v>2006</v>
      </c>
      <c r="EM5103" t="s">
        <v>708</v>
      </c>
      <c r="EN5103" t="s">
        <v>857</v>
      </c>
      <c r="EO5103">
        <v>196.99600000000001</v>
      </c>
    </row>
    <row r="5104" spans="142:145" x14ac:dyDescent="0.25">
      <c r="EL5104">
        <v>2006</v>
      </c>
      <c r="EM5104" t="s">
        <v>709</v>
      </c>
      <c r="EN5104" t="s">
        <v>857</v>
      </c>
      <c r="EO5104">
        <v>192.97</v>
      </c>
    </row>
    <row r="5105" spans="142:145" x14ac:dyDescent="0.25">
      <c r="EL5105">
        <v>2006</v>
      </c>
      <c r="EM5105" t="s">
        <v>710</v>
      </c>
      <c r="EN5105" t="s">
        <v>857</v>
      </c>
      <c r="EO5105">
        <v>191.28700000000001</v>
      </c>
    </row>
    <row r="5106" spans="142:145" x14ac:dyDescent="0.25">
      <c r="EL5106">
        <v>2006</v>
      </c>
      <c r="EM5106" t="s">
        <v>711</v>
      </c>
      <c r="EN5106" t="s">
        <v>857</v>
      </c>
      <c r="EO5106">
        <v>184.833</v>
      </c>
    </row>
    <row r="5107" spans="142:145" x14ac:dyDescent="0.25">
      <c r="EL5107">
        <v>2006</v>
      </c>
      <c r="EM5107" t="s">
        <v>712</v>
      </c>
      <c r="EN5107" t="s">
        <v>857</v>
      </c>
      <c r="EO5107">
        <v>189.70400000000001</v>
      </c>
    </row>
    <row r="5108" spans="142:145" x14ac:dyDescent="0.25">
      <c r="EL5108">
        <v>2007</v>
      </c>
      <c r="EM5108" t="s">
        <v>719</v>
      </c>
      <c r="EN5108" t="s">
        <v>857</v>
      </c>
      <c r="EO5108">
        <v>202.40700000000001</v>
      </c>
    </row>
    <row r="5109" spans="142:145" x14ac:dyDescent="0.25">
      <c r="EL5109">
        <v>2007</v>
      </c>
      <c r="EM5109" t="s">
        <v>713</v>
      </c>
      <c r="EN5109" t="s">
        <v>857</v>
      </c>
      <c r="EO5109">
        <v>184.56399999999999</v>
      </c>
    </row>
    <row r="5110" spans="142:145" x14ac:dyDescent="0.25">
      <c r="EL5110">
        <v>2007</v>
      </c>
      <c r="EM5110" t="s">
        <v>714</v>
      </c>
      <c r="EN5110" t="s">
        <v>857</v>
      </c>
      <c r="EO5110">
        <v>222.374</v>
      </c>
    </row>
    <row r="5111" spans="142:145" x14ac:dyDescent="0.25">
      <c r="EL5111">
        <v>2007</v>
      </c>
      <c r="EM5111" t="s">
        <v>705</v>
      </c>
      <c r="EN5111" t="s">
        <v>857</v>
      </c>
      <c r="EO5111">
        <v>206.85400000000001</v>
      </c>
    </row>
    <row r="5112" spans="142:145" x14ac:dyDescent="0.25">
      <c r="EL5112">
        <v>2007</v>
      </c>
      <c r="EM5112" t="s">
        <v>715</v>
      </c>
      <c r="EN5112" t="s">
        <v>857</v>
      </c>
      <c r="EO5112">
        <v>205.78399999999999</v>
      </c>
    </row>
    <row r="5113" spans="142:145" x14ac:dyDescent="0.25">
      <c r="EL5113">
        <v>2007</v>
      </c>
      <c r="EM5113" t="s">
        <v>718</v>
      </c>
      <c r="EN5113" t="s">
        <v>857</v>
      </c>
      <c r="EO5113">
        <v>193.93700000000001</v>
      </c>
    </row>
    <row r="5114" spans="142:145" x14ac:dyDescent="0.25">
      <c r="EL5114">
        <v>2007</v>
      </c>
      <c r="EM5114" t="s">
        <v>716</v>
      </c>
      <c r="EN5114" t="s">
        <v>857</v>
      </c>
      <c r="EO5114">
        <v>176.298</v>
      </c>
    </row>
    <row r="5115" spans="142:145" x14ac:dyDescent="0.25">
      <c r="EL5115">
        <v>2007</v>
      </c>
      <c r="EM5115" t="s">
        <v>708</v>
      </c>
      <c r="EN5115" t="s">
        <v>857</v>
      </c>
      <c r="EO5115">
        <v>184.56800000000001</v>
      </c>
    </row>
    <row r="5116" spans="142:145" x14ac:dyDescent="0.25">
      <c r="EL5116">
        <v>2007</v>
      </c>
      <c r="EM5116" t="s">
        <v>709</v>
      </c>
      <c r="EN5116" t="s">
        <v>857</v>
      </c>
      <c r="EO5116">
        <v>167.029</v>
      </c>
    </row>
    <row r="5117" spans="142:145" x14ac:dyDescent="0.25">
      <c r="EL5117">
        <v>2007</v>
      </c>
      <c r="EM5117" t="s">
        <v>710</v>
      </c>
      <c r="EN5117" t="s">
        <v>857</v>
      </c>
      <c r="EO5117">
        <v>176.13399999999999</v>
      </c>
    </row>
    <row r="5118" spans="142:145" x14ac:dyDescent="0.25">
      <c r="EL5118">
        <v>2007</v>
      </c>
      <c r="EM5118" t="s">
        <v>711</v>
      </c>
      <c r="EN5118" t="s">
        <v>857</v>
      </c>
      <c r="EO5118">
        <v>189.47</v>
      </c>
    </row>
    <row r="5119" spans="142:145" x14ac:dyDescent="0.25">
      <c r="EL5119">
        <v>2007</v>
      </c>
      <c r="EM5119" t="s">
        <v>712</v>
      </c>
      <c r="EN5119" t="s">
        <v>857</v>
      </c>
      <c r="EO5119">
        <v>186.01499999999999</v>
      </c>
    </row>
    <row r="5120" spans="142:145" x14ac:dyDescent="0.25">
      <c r="EL5120">
        <v>2008</v>
      </c>
      <c r="EM5120" t="s">
        <v>719</v>
      </c>
      <c r="EN5120" t="s">
        <v>857</v>
      </c>
      <c r="EO5120">
        <v>186.922</v>
      </c>
    </row>
    <row r="5121" spans="142:145" x14ac:dyDescent="0.25">
      <c r="EL5121">
        <v>2008</v>
      </c>
      <c r="EM5121" t="s">
        <v>713</v>
      </c>
      <c r="EN5121" t="s">
        <v>857</v>
      </c>
      <c r="EO5121">
        <v>181.19300000000001</v>
      </c>
    </row>
    <row r="5122" spans="142:145" x14ac:dyDescent="0.25">
      <c r="EL5122">
        <v>2008</v>
      </c>
      <c r="EM5122" t="s">
        <v>714</v>
      </c>
      <c r="EN5122" t="s">
        <v>857</v>
      </c>
      <c r="EO5122">
        <v>198.06399999999999</v>
      </c>
    </row>
    <row r="5123" spans="142:145" x14ac:dyDescent="0.25">
      <c r="EL5123">
        <v>2008</v>
      </c>
      <c r="EM5123" t="s">
        <v>705</v>
      </c>
      <c r="EN5123" t="s">
        <v>857</v>
      </c>
      <c r="EO5123">
        <v>203.309</v>
      </c>
    </row>
    <row r="5124" spans="142:145" x14ac:dyDescent="0.25">
      <c r="EL5124">
        <v>2008</v>
      </c>
      <c r="EM5124" t="s">
        <v>715</v>
      </c>
      <c r="EN5124" t="s">
        <v>857</v>
      </c>
      <c r="EO5124">
        <v>205.578</v>
      </c>
    </row>
    <row r="5125" spans="142:145" x14ac:dyDescent="0.25">
      <c r="EL5125">
        <v>2008</v>
      </c>
      <c r="EM5125" t="s">
        <v>718</v>
      </c>
      <c r="EN5125" t="s">
        <v>857</v>
      </c>
      <c r="EO5125">
        <v>197.66</v>
      </c>
    </row>
    <row r="5126" spans="142:145" x14ac:dyDescent="0.25">
      <c r="EL5126">
        <v>2008</v>
      </c>
      <c r="EM5126" t="s">
        <v>716</v>
      </c>
      <c r="EN5126" t="s">
        <v>857</v>
      </c>
      <c r="EO5126">
        <v>198.79499999999999</v>
      </c>
    </row>
    <row r="5127" spans="142:145" x14ac:dyDescent="0.25">
      <c r="EL5127">
        <v>2008</v>
      </c>
      <c r="EM5127" t="s">
        <v>708</v>
      </c>
      <c r="EN5127" t="s">
        <v>857</v>
      </c>
      <c r="EO5127">
        <v>192.184</v>
      </c>
    </row>
    <row r="5128" spans="142:145" x14ac:dyDescent="0.25">
      <c r="EL5128">
        <v>2008</v>
      </c>
      <c r="EM5128" t="s">
        <v>709</v>
      </c>
      <c r="EN5128" t="s">
        <v>857</v>
      </c>
      <c r="EO5128">
        <v>194.20699999999999</v>
      </c>
    </row>
    <row r="5129" spans="142:145" x14ac:dyDescent="0.25">
      <c r="EL5129">
        <v>2008</v>
      </c>
      <c r="EM5129" t="s">
        <v>710</v>
      </c>
      <c r="EN5129" t="s">
        <v>857</v>
      </c>
      <c r="EO5129">
        <v>192.05699999999999</v>
      </c>
    </row>
    <row r="5130" spans="142:145" x14ac:dyDescent="0.25">
      <c r="EL5130">
        <v>2008</v>
      </c>
      <c r="EM5130" t="s">
        <v>711</v>
      </c>
      <c r="EN5130" t="s">
        <v>857</v>
      </c>
      <c r="EO5130">
        <v>174.298</v>
      </c>
    </row>
    <row r="5131" spans="142:145" x14ac:dyDescent="0.25">
      <c r="EL5131">
        <v>2008</v>
      </c>
      <c r="EM5131" t="s">
        <v>712</v>
      </c>
      <c r="EN5131" t="s">
        <v>857</v>
      </c>
      <c r="EO5131">
        <v>196.685</v>
      </c>
    </row>
    <row r="5132" spans="142:145" x14ac:dyDescent="0.25">
      <c r="EL5132">
        <v>2009</v>
      </c>
      <c r="EM5132" t="s">
        <v>719</v>
      </c>
      <c r="EN5132" t="s">
        <v>857</v>
      </c>
      <c r="EO5132">
        <v>197.53899999999999</v>
      </c>
    </row>
    <row r="5133" spans="142:145" x14ac:dyDescent="0.25">
      <c r="EL5133">
        <v>2009</v>
      </c>
      <c r="EM5133" t="s">
        <v>713</v>
      </c>
      <c r="EN5133" t="s">
        <v>857</v>
      </c>
      <c r="EO5133">
        <v>181.77199999999999</v>
      </c>
    </row>
    <row r="5134" spans="142:145" x14ac:dyDescent="0.25">
      <c r="EL5134">
        <v>2009</v>
      </c>
      <c r="EM5134" t="s">
        <v>714</v>
      </c>
      <c r="EN5134" t="s">
        <v>857</v>
      </c>
      <c r="EO5134">
        <v>198.017</v>
      </c>
    </row>
    <row r="5135" spans="142:145" x14ac:dyDescent="0.25">
      <c r="EL5135">
        <v>2009</v>
      </c>
      <c r="EM5135" t="s">
        <v>705</v>
      </c>
      <c r="EN5135" t="s">
        <v>857</v>
      </c>
      <c r="EO5135">
        <v>247.30799999999999</v>
      </c>
    </row>
    <row r="5136" spans="142:145" x14ac:dyDescent="0.25">
      <c r="EL5136">
        <v>2009</v>
      </c>
      <c r="EM5136" t="s">
        <v>715</v>
      </c>
      <c r="EN5136" t="s">
        <v>857</v>
      </c>
      <c r="EO5136">
        <v>275.053</v>
      </c>
    </row>
    <row r="5137" spans="142:145" x14ac:dyDescent="0.25">
      <c r="EL5137">
        <v>2009</v>
      </c>
      <c r="EM5137" t="s">
        <v>718</v>
      </c>
      <c r="EN5137" t="s">
        <v>857</v>
      </c>
      <c r="EO5137">
        <v>272.036</v>
      </c>
    </row>
    <row r="5138" spans="142:145" x14ac:dyDescent="0.25">
      <c r="EL5138">
        <v>2009</v>
      </c>
      <c r="EM5138" t="s">
        <v>716</v>
      </c>
      <c r="EN5138" t="s">
        <v>857</v>
      </c>
      <c r="EO5138">
        <v>247.51300000000001</v>
      </c>
    </row>
    <row r="5139" spans="142:145" x14ac:dyDescent="0.25">
      <c r="EL5139">
        <v>2009</v>
      </c>
      <c r="EM5139" t="s">
        <v>708</v>
      </c>
      <c r="EN5139" t="s">
        <v>857</v>
      </c>
      <c r="EO5139">
        <v>247.75800000000001</v>
      </c>
    </row>
    <row r="5140" spans="142:145" x14ac:dyDescent="0.25">
      <c r="EL5140">
        <v>2009</v>
      </c>
      <c r="EM5140" t="s">
        <v>709</v>
      </c>
      <c r="EN5140" t="s">
        <v>857</v>
      </c>
      <c r="EO5140">
        <v>233.083</v>
      </c>
    </row>
    <row r="5141" spans="142:145" x14ac:dyDescent="0.25">
      <c r="EL5141">
        <v>2009</v>
      </c>
      <c r="EM5141" t="s">
        <v>710</v>
      </c>
      <c r="EN5141" t="s">
        <v>857</v>
      </c>
      <c r="EO5141">
        <v>247.922</v>
      </c>
    </row>
    <row r="5142" spans="142:145" x14ac:dyDescent="0.25">
      <c r="EL5142">
        <v>2009</v>
      </c>
      <c r="EM5142" t="s">
        <v>711</v>
      </c>
      <c r="EN5142" t="s">
        <v>857</v>
      </c>
      <c r="EO5142">
        <v>248.28800000000001</v>
      </c>
    </row>
    <row r="5143" spans="142:145" x14ac:dyDescent="0.25">
      <c r="EL5143">
        <v>2009</v>
      </c>
      <c r="EM5143" t="s">
        <v>712</v>
      </c>
      <c r="EN5143" t="s">
        <v>857</v>
      </c>
      <c r="EO5143">
        <v>274.03199999999998</v>
      </c>
    </row>
    <row r="5144" spans="142:145" x14ac:dyDescent="0.25">
      <c r="EL5144">
        <v>2010</v>
      </c>
      <c r="EM5144" t="s">
        <v>719</v>
      </c>
      <c r="EN5144" t="s">
        <v>857</v>
      </c>
      <c r="EO5144">
        <v>252.45400000000001</v>
      </c>
    </row>
    <row r="5145" spans="142:145" x14ac:dyDescent="0.25">
      <c r="EL5145">
        <v>2010</v>
      </c>
      <c r="EM5145" t="s">
        <v>713</v>
      </c>
      <c r="EN5145" t="s">
        <v>857</v>
      </c>
      <c r="EO5145">
        <v>245.90799999999999</v>
      </c>
    </row>
    <row r="5146" spans="142:145" x14ac:dyDescent="0.25">
      <c r="EL5146">
        <v>2010</v>
      </c>
      <c r="EM5146" t="s">
        <v>714</v>
      </c>
      <c r="EN5146" t="s">
        <v>857</v>
      </c>
      <c r="EO5146">
        <v>289.66000000000003</v>
      </c>
    </row>
    <row r="5147" spans="142:145" x14ac:dyDescent="0.25">
      <c r="EL5147">
        <v>2010</v>
      </c>
      <c r="EM5147" t="s">
        <v>705</v>
      </c>
      <c r="EN5147" t="s">
        <v>857</v>
      </c>
      <c r="EO5147">
        <v>251.85300000000001</v>
      </c>
    </row>
    <row r="5148" spans="142:145" x14ac:dyDescent="0.25">
      <c r="EL5148">
        <v>2010</v>
      </c>
      <c r="EM5148" t="s">
        <v>715</v>
      </c>
      <c r="EN5148" t="s">
        <v>857</v>
      </c>
      <c r="EO5148">
        <v>255.15199999999999</v>
      </c>
    </row>
    <row r="5149" spans="142:145" x14ac:dyDescent="0.25">
      <c r="EL5149">
        <v>2010</v>
      </c>
      <c r="EM5149" t="s">
        <v>718</v>
      </c>
      <c r="EN5149" t="s">
        <v>857</v>
      </c>
      <c r="EO5149">
        <v>245.98099999999999</v>
      </c>
    </row>
    <row r="5150" spans="142:145" x14ac:dyDescent="0.25">
      <c r="EL5150">
        <v>2010</v>
      </c>
      <c r="EM5150" t="s">
        <v>716</v>
      </c>
      <c r="EN5150" t="s">
        <v>857</v>
      </c>
      <c r="EO5150">
        <v>262.39600000000002</v>
      </c>
    </row>
    <row r="5151" spans="142:145" x14ac:dyDescent="0.25">
      <c r="EL5151">
        <v>2010</v>
      </c>
      <c r="EM5151" t="s">
        <v>708</v>
      </c>
      <c r="EN5151" t="s">
        <v>857</v>
      </c>
      <c r="EO5151">
        <v>239.208</v>
      </c>
    </row>
    <row r="5152" spans="142:145" x14ac:dyDescent="0.25">
      <c r="EL5152">
        <v>2010</v>
      </c>
      <c r="EM5152" t="s">
        <v>709</v>
      </c>
      <c r="EN5152" t="s">
        <v>857</v>
      </c>
      <c r="EO5152">
        <v>230.46899999999999</v>
      </c>
    </row>
    <row r="5153" spans="142:145" x14ac:dyDescent="0.25">
      <c r="EL5153">
        <v>2010</v>
      </c>
      <c r="EM5153" t="s">
        <v>710</v>
      </c>
      <c r="EN5153" t="s">
        <v>857</v>
      </c>
      <c r="EO5153">
        <v>186.72800000000001</v>
      </c>
    </row>
    <row r="5154" spans="142:145" x14ac:dyDescent="0.25">
      <c r="EL5154">
        <v>2010</v>
      </c>
      <c r="EM5154" t="s">
        <v>711</v>
      </c>
      <c r="EN5154" t="s">
        <v>857</v>
      </c>
      <c r="EO5154">
        <v>171.91900000000001</v>
      </c>
    </row>
    <row r="5155" spans="142:145" x14ac:dyDescent="0.25">
      <c r="EL5155">
        <v>2010</v>
      </c>
      <c r="EM5155" t="s">
        <v>712</v>
      </c>
      <c r="EN5155" t="s">
        <v>857</v>
      </c>
      <c r="EO5155">
        <v>176.46899999999999</v>
      </c>
    </row>
    <row r="5156" spans="142:145" x14ac:dyDescent="0.25">
      <c r="EL5156">
        <v>2011</v>
      </c>
      <c r="EM5156" t="s">
        <v>719</v>
      </c>
      <c r="EN5156" t="s">
        <v>857</v>
      </c>
      <c r="EO5156">
        <v>172.643</v>
      </c>
    </row>
    <row r="5157" spans="142:145" x14ac:dyDescent="0.25">
      <c r="EL5157">
        <v>2011</v>
      </c>
      <c r="EM5157" t="s">
        <v>713</v>
      </c>
      <c r="EN5157" t="s">
        <v>857</v>
      </c>
      <c r="EO5157">
        <v>171.18700000000001</v>
      </c>
    </row>
    <row r="5158" spans="142:145" x14ac:dyDescent="0.25">
      <c r="EL5158">
        <v>2011</v>
      </c>
      <c r="EM5158" t="s">
        <v>714</v>
      </c>
      <c r="EN5158" t="s">
        <v>857</v>
      </c>
      <c r="EO5158">
        <v>209.19900000000001</v>
      </c>
    </row>
    <row r="5159" spans="142:145" x14ac:dyDescent="0.25">
      <c r="EL5159">
        <v>2011</v>
      </c>
      <c r="EM5159" t="s">
        <v>705</v>
      </c>
      <c r="EN5159" t="s">
        <v>857</v>
      </c>
      <c r="EO5159">
        <v>200.94200000000001</v>
      </c>
    </row>
    <row r="5160" spans="142:145" x14ac:dyDescent="0.25">
      <c r="EL5160">
        <v>2011</v>
      </c>
      <c r="EM5160" t="s">
        <v>715</v>
      </c>
      <c r="EN5160" t="s">
        <v>857</v>
      </c>
      <c r="EO5160">
        <v>200.309</v>
      </c>
    </row>
    <row r="5161" spans="142:145" x14ac:dyDescent="0.25">
      <c r="EL5161">
        <v>2011</v>
      </c>
      <c r="EM5161" t="s">
        <v>718</v>
      </c>
      <c r="EN5161" t="s">
        <v>857</v>
      </c>
      <c r="EO5161">
        <v>181.18799999999999</v>
      </c>
    </row>
    <row r="5162" spans="142:145" x14ac:dyDescent="0.25">
      <c r="EL5162">
        <v>2011</v>
      </c>
      <c r="EM5162" t="s">
        <v>716</v>
      </c>
      <c r="EN5162" t="s">
        <v>857</v>
      </c>
      <c r="EO5162">
        <v>177.58799999999999</v>
      </c>
    </row>
    <row r="5163" spans="142:145" x14ac:dyDescent="0.25">
      <c r="EL5163">
        <v>2011</v>
      </c>
      <c r="EM5163" t="s">
        <v>708</v>
      </c>
      <c r="EN5163" t="s">
        <v>857</v>
      </c>
      <c r="EO5163">
        <v>168.75200000000001</v>
      </c>
    </row>
    <row r="5164" spans="142:145" x14ac:dyDescent="0.25">
      <c r="EL5164">
        <v>2011</v>
      </c>
      <c r="EM5164" t="s">
        <v>709</v>
      </c>
      <c r="EN5164" t="s">
        <v>857</v>
      </c>
      <c r="EO5164">
        <v>190.25399999999999</v>
      </c>
    </row>
    <row r="5165" spans="142:145" x14ac:dyDescent="0.25">
      <c r="EL5165">
        <v>2011</v>
      </c>
      <c r="EM5165" t="s">
        <v>710</v>
      </c>
      <c r="EN5165" t="s">
        <v>857</v>
      </c>
      <c r="EO5165">
        <v>190.35400000000001</v>
      </c>
    </row>
    <row r="5166" spans="142:145" x14ac:dyDescent="0.25">
      <c r="EL5166">
        <v>2011</v>
      </c>
      <c r="EM5166" t="s">
        <v>711</v>
      </c>
      <c r="EN5166" t="s">
        <v>857</v>
      </c>
      <c r="EO5166">
        <v>177.762</v>
      </c>
    </row>
    <row r="5167" spans="142:145" x14ac:dyDescent="0.25">
      <c r="EL5167">
        <v>2011</v>
      </c>
      <c r="EM5167" t="s">
        <v>712</v>
      </c>
      <c r="EN5167" t="s">
        <v>857</v>
      </c>
      <c r="EO5167">
        <v>190.767</v>
      </c>
    </row>
    <row r="5168" spans="142:145" x14ac:dyDescent="0.25">
      <c r="EL5168">
        <v>2012</v>
      </c>
      <c r="EM5168" t="s">
        <v>719</v>
      </c>
      <c r="EN5168" t="s">
        <v>857</v>
      </c>
      <c r="EO5168">
        <v>183.71299999999999</v>
      </c>
    </row>
    <row r="5169" spans="142:145" x14ac:dyDescent="0.25">
      <c r="EL5169">
        <v>2012</v>
      </c>
      <c r="EM5169" t="s">
        <v>713</v>
      </c>
      <c r="EN5169" t="s">
        <v>857</v>
      </c>
      <c r="EO5169">
        <v>163.715</v>
      </c>
    </row>
    <row r="5170" spans="142:145" x14ac:dyDescent="0.25">
      <c r="EL5170">
        <v>2012</v>
      </c>
      <c r="EM5170" t="s">
        <v>714</v>
      </c>
      <c r="EN5170" t="s">
        <v>857</v>
      </c>
      <c r="EO5170">
        <v>182.548</v>
      </c>
    </row>
    <row r="5171" spans="142:145" x14ac:dyDescent="0.25">
      <c r="EL5171">
        <v>2012</v>
      </c>
      <c r="EM5171" t="s">
        <v>705</v>
      </c>
      <c r="EN5171" t="s">
        <v>857</v>
      </c>
      <c r="EO5171">
        <v>164.65</v>
      </c>
    </row>
    <row r="5172" spans="142:145" x14ac:dyDescent="0.25">
      <c r="EL5172">
        <v>2012</v>
      </c>
      <c r="EM5172" t="s">
        <v>715</v>
      </c>
      <c r="EN5172" t="s">
        <v>857</v>
      </c>
      <c r="EO5172">
        <v>175.19900000000001</v>
      </c>
    </row>
    <row r="5173" spans="142:145" x14ac:dyDescent="0.25">
      <c r="EL5173">
        <v>2012</v>
      </c>
      <c r="EM5173" t="s">
        <v>718</v>
      </c>
      <c r="EN5173" t="s">
        <v>857</v>
      </c>
      <c r="EO5173">
        <v>164.41800000000001</v>
      </c>
    </row>
    <row r="5174" spans="142:145" x14ac:dyDescent="0.25">
      <c r="EL5174">
        <v>2012</v>
      </c>
      <c r="EM5174" t="s">
        <v>716</v>
      </c>
      <c r="EN5174" t="s">
        <v>857</v>
      </c>
      <c r="EO5174">
        <v>172.45400000000001</v>
      </c>
    </row>
    <row r="5175" spans="142:145" x14ac:dyDescent="0.25">
      <c r="EL5175">
        <v>2012</v>
      </c>
      <c r="EM5175" t="s">
        <v>708</v>
      </c>
      <c r="EN5175" t="s">
        <v>857</v>
      </c>
      <c r="EO5175">
        <v>166.55099999999999</v>
      </c>
    </row>
    <row r="5176" spans="142:145" x14ac:dyDescent="0.25">
      <c r="EL5176">
        <v>2012</v>
      </c>
      <c r="EM5176" t="s">
        <v>709</v>
      </c>
      <c r="EN5176" t="s">
        <v>857</v>
      </c>
      <c r="EO5176">
        <v>178.43700000000001</v>
      </c>
    </row>
    <row r="5177" spans="142:145" x14ac:dyDescent="0.25">
      <c r="EL5177">
        <v>2012</v>
      </c>
      <c r="EM5177" t="s">
        <v>710</v>
      </c>
      <c r="EN5177" t="s">
        <v>857</v>
      </c>
      <c r="EO5177">
        <v>203.88900000000001</v>
      </c>
    </row>
    <row r="5178" spans="142:145" x14ac:dyDescent="0.25">
      <c r="EL5178">
        <v>2012</v>
      </c>
      <c r="EM5178" t="s">
        <v>711</v>
      </c>
      <c r="EN5178" t="s">
        <v>857</v>
      </c>
      <c r="EO5178">
        <v>200.28899999999999</v>
      </c>
    </row>
    <row r="5179" spans="142:145" x14ac:dyDescent="0.25">
      <c r="EL5179">
        <v>2012</v>
      </c>
      <c r="EM5179" t="s">
        <v>712</v>
      </c>
      <c r="EN5179" t="s">
        <v>857</v>
      </c>
      <c r="EO5179">
        <v>211.78800000000001</v>
      </c>
    </row>
    <row r="5180" spans="142:145" x14ac:dyDescent="0.25">
      <c r="EL5180">
        <v>2013</v>
      </c>
      <c r="EM5180" t="s">
        <v>719</v>
      </c>
      <c r="EN5180" t="s">
        <v>857</v>
      </c>
      <c r="EO5180">
        <v>209.386</v>
      </c>
    </row>
    <row r="5181" spans="142:145" x14ac:dyDescent="0.25">
      <c r="EL5181">
        <v>2013</v>
      </c>
      <c r="EM5181" t="s">
        <v>713</v>
      </c>
      <c r="EN5181" t="s">
        <v>857</v>
      </c>
      <c r="EO5181">
        <v>198.34200000000001</v>
      </c>
    </row>
    <row r="5182" spans="142:145" x14ac:dyDescent="0.25">
      <c r="EL5182">
        <v>2013</v>
      </c>
      <c r="EM5182" t="s">
        <v>714</v>
      </c>
      <c r="EN5182" t="s">
        <v>857</v>
      </c>
      <c r="EO5182">
        <v>246.661</v>
      </c>
    </row>
    <row r="5183" spans="142:145" x14ac:dyDescent="0.25">
      <c r="EL5183">
        <v>2013</v>
      </c>
      <c r="EM5183" t="s">
        <v>705</v>
      </c>
      <c r="EN5183" t="s">
        <v>857</v>
      </c>
      <c r="EO5183">
        <v>231.173</v>
      </c>
    </row>
    <row r="5184" spans="142:145" x14ac:dyDescent="0.25">
      <c r="EL5184">
        <v>2013</v>
      </c>
      <c r="EM5184" t="s">
        <v>715</v>
      </c>
      <c r="EN5184" t="s">
        <v>857</v>
      </c>
      <c r="EO5184">
        <v>246.94800000000001</v>
      </c>
    </row>
    <row r="5185" spans="142:145" x14ac:dyDescent="0.25">
      <c r="EL5185">
        <v>2013</v>
      </c>
      <c r="EM5185" t="s">
        <v>718</v>
      </c>
      <c r="EN5185" t="s">
        <v>857</v>
      </c>
      <c r="EO5185">
        <v>240.102</v>
      </c>
    </row>
    <row r="5186" spans="142:145" x14ac:dyDescent="0.25">
      <c r="EL5186">
        <v>2013</v>
      </c>
      <c r="EM5186" t="s">
        <v>716</v>
      </c>
      <c r="EN5186" t="s">
        <v>857</v>
      </c>
      <c r="EO5186">
        <v>222.73099999999999</v>
      </c>
    </row>
    <row r="5187" spans="142:145" x14ac:dyDescent="0.25">
      <c r="EL5187">
        <v>2013</v>
      </c>
      <c r="EM5187" t="s">
        <v>708</v>
      </c>
      <c r="EN5187" t="s">
        <v>857</v>
      </c>
      <c r="EO5187">
        <v>206.607</v>
      </c>
    </row>
    <row r="5188" spans="142:145" x14ac:dyDescent="0.25">
      <c r="EL5188">
        <v>2013</v>
      </c>
      <c r="EM5188" t="s">
        <v>709</v>
      </c>
      <c r="EN5188" t="s">
        <v>857</v>
      </c>
      <c r="EO5188">
        <v>188.72300000000001</v>
      </c>
    </row>
    <row r="5189" spans="142:145" x14ac:dyDescent="0.25">
      <c r="EL5189">
        <v>2013</v>
      </c>
      <c r="EM5189" t="s">
        <v>710</v>
      </c>
      <c r="EN5189" t="s">
        <v>857</v>
      </c>
      <c r="EO5189">
        <v>199.16499999999999</v>
      </c>
    </row>
    <row r="5190" spans="142:145" x14ac:dyDescent="0.25">
      <c r="EL5190">
        <v>2013</v>
      </c>
      <c r="EM5190" t="s">
        <v>711</v>
      </c>
      <c r="EN5190" t="s">
        <v>857</v>
      </c>
      <c r="EO5190">
        <v>184.93</v>
      </c>
    </row>
    <row r="5191" spans="142:145" x14ac:dyDescent="0.25">
      <c r="EL5191">
        <v>2013</v>
      </c>
      <c r="EM5191" t="s">
        <v>712</v>
      </c>
      <c r="EN5191" t="s">
        <v>857</v>
      </c>
      <c r="EO5191">
        <v>192.887</v>
      </c>
    </row>
    <row r="5192" spans="142:145" x14ac:dyDescent="0.25">
      <c r="EL5192">
        <v>2014</v>
      </c>
      <c r="EM5192" t="s">
        <v>719</v>
      </c>
      <c r="EN5192" t="s">
        <v>857</v>
      </c>
      <c r="EO5192">
        <v>201.43799999999999</v>
      </c>
    </row>
    <row r="5193" spans="142:145" x14ac:dyDescent="0.25">
      <c r="EL5193">
        <v>2014</v>
      </c>
      <c r="EM5193" t="s">
        <v>713</v>
      </c>
      <c r="EN5193" t="s">
        <v>857</v>
      </c>
      <c r="EO5193">
        <v>196.405</v>
      </c>
    </row>
    <row r="5194" spans="142:145" x14ac:dyDescent="0.25">
      <c r="EL5194">
        <v>2014</v>
      </c>
      <c r="EM5194" t="s">
        <v>714</v>
      </c>
      <c r="EN5194" t="s">
        <v>857</v>
      </c>
      <c r="EO5194">
        <v>224.39</v>
      </c>
    </row>
    <row r="5195" spans="142:145" x14ac:dyDescent="0.25">
      <c r="EL5195">
        <v>2014</v>
      </c>
      <c r="EM5195" t="s">
        <v>705</v>
      </c>
      <c r="EN5195" t="s">
        <v>857</v>
      </c>
      <c r="EO5195">
        <v>230.93299999999999</v>
      </c>
    </row>
    <row r="5196" spans="142:145" x14ac:dyDescent="0.25">
      <c r="EL5196">
        <v>2014</v>
      </c>
      <c r="EM5196" t="s">
        <v>715</v>
      </c>
      <c r="EN5196" t="s">
        <v>857</v>
      </c>
      <c r="EO5196">
        <v>206.7</v>
      </c>
    </row>
    <row r="5197" spans="142:145" x14ac:dyDescent="0.25">
      <c r="EL5197">
        <v>2014</v>
      </c>
      <c r="EM5197" t="s">
        <v>718</v>
      </c>
      <c r="EN5197" t="s">
        <v>857</v>
      </c>
      <c r="EO5197">
        <v>189.29</v>
      </c>
    </row>
    <row r="5198" spans="142:145" x14ac:dyDescent="0.25">
      <c r="EL5198">
        <v>2014</v>
      </c>
      <c r="EM5198" t="s">
        <v>716</v>
      </c>
      <c r="EN5198" t="s">
        <v>857</v>
      </c>
      <c r="EO5198">
        <v>186.209</v>
      </c>
    </row>
    <row r="5199" spans="142:145" x14ac:dyDescent="0.25">
      <c r="EL5199">
        <v>2014</v>
      </c>
      <c r="EM5199" t="s">
        <v>708</v>
      </c>
      <c r="EN5199" t="s">
        <v>857</v>
      </c>
      <c r="EO5199">
        <v>193.66800000000001</v>
      </c>
    </row>
    <row r="5200" spans="142:145" x14ac:dyDescent="0.25">
      <c r="EL5200">
        <v>2014</v>
      </c>
      <c r="EM5200" t="s">
        <v>709</v>
      </c>
      <c r="EN5200" t="s">
        <v>857</v>
      </c>
      <c r="EO5200">
        <v>190.489</v>
      </c>
    </row>
    <row r="5201" spans="142:145" x14ac:dyDescent="0.25">
      <c r="EL5201">
        <v>2014</v>
      </c>
      <c r="EM5201" t="s">
        <v>710</v>
      </c>
      <c r="EN5201" t="s">
        <v>857</v>
      </c>
      <c r="EO5201">
        <v>195.16</v>
      </c>
    </row>
    <row r="5202" spans="142:145" x14ac:dyDescent="0.25">
      <c r="EL5202">
        <v>2014</v>
      </c>
      <c r="EM5202" t="s">
        <v>711</v>
      </c>
      <c r="EN5202" t="s">
        <v>857</v>
      </c>
      <c r="EO5202">
        <v>191.66</v>
      </c>
    </row>
    <row r="5203" spans="142:145" x14ac:dyDescent="0.25">
      <c r="EL5203">
        <v>2014</v>
      </c>
      <c r="EM5203" t="s">
        <v>712</v>
      </c>
      <c r="EN5203" t="s">
        <v>857</v>
      </c>
      <c r="EO5203">
        <v>209.56</v>
      </c>
    </row>
    <row r="5204" spans="142:145" x14ac:dyDescent="0.25">
      <c r="EL5204">
        <v>2015</v>
      </c>
      <c r="EM5204" t="s">
        <v>719</v>
      </c>
      <c r="EN5204" t="s">
        <v>857</v>
      </c>
      <c r="EO5204">
        <v>223.55</v>
      </c>
    </row>
    <row r="5205" spans="142:145" x14ac:dyDescent="0.25">
      <c r="EL5205">
        <v>2015</v>
      </c>
      <c r="EM5205" t="s">
        <v>713</v>
      </c>
      <c r="EN5205" t="s">
        <v>857</v>
      </c>
      <c r="EO5205">
        <v>194.12</v>
      </c>
    </row>
    <row r="5206" spans="142:145" x14ac:dyDescent="0.25">
      <c r="EL5206">
        <v>2015</v>
      </c>
      <c r="EM5206" t="s">
        <v>714</v>
      </c>
      <c r="EN5206" t="s">
        <v>857</v>
      </c>
      <c r="EO5206">
        <v>260.76</v>
      </c>
    </row>
    <row r="5207" spans="142:145" x14ac:dyDescent="0.25">
      <c r="EL5207">
        <v>2015</v>
      </c>
      <c r="EM5207" t="s">
        <v>705</v>
      </c>
      <c r="EN5207" t="s">
        <v>857</v>
      </c>
      <c r="EO5207">
        <v>244.36</v>
      </c>
    </row>
    <row r="5208" spans="142:145" x14ac:dyDescent="0.25">
      <c r="EL5208">
        <v>2015</v>
      </c>
      <c r="EM5208" t="s">
        <v>715</v>
      </c>
      <c r="EN5208" t="s">
        <v>857</v>
      </c>
      <c r="EO5208">
        <v>241.94</v>
      </c>
    </row>
    <row r="5209" spans="142:145" x14ac:dyDescent="0.25">
      <c r="EL5209">
        <v>2015</v>
      </c>
      <c r="EM5209" t="s">
        <v>718</v>
      </c>
      <c r="EN5209" t="s">
        <v>857</v>
      </c>
      <c r="EO5209">
        <v>251.34</v>
      </c>
    </row>
    <row r="5210" spans="142:145" x14ac:dyDescent="0.25">
      <c r="EL5210">
        <v>2015</v>
      </c>
      <c r="EM5210" t="s">
        <v>716</v>
      </c>
      <c r="EN5210" t="s">
        <v>857</v>
      </c>
      <c r="EO5210">
        <v>256.22000000000003</v>
      </c>
    </row>
    <row r="5211" spans="142:145" x14ac:dyDescent="0.25">
      <c r="EL5211">
        <v>2015</v>
      </c>
      <c r="EM5211" t="s">
        <v>708</v>
      </c>
      <c r="EN5211" t="s">
        <v>857</v>
      </c>
      <c r="EO5211">
        <v>247.4</v>
      </c>
    </row>
    <row r="5212" spans="142:145" x14ac:dyDescent="0.25">
      <c r="EL5212">
        <v>2015</v>
      </c>
      <c r="EM5212" t="s">
        <v>709</v>
      </c>
      <c r="EN5212" t="s">
        <v>857</v>
      </c>
      <c r="EO5212">
        <v>221.47</v>
      </c>
    </row>
    <row r="5213" spans="142:145" x14ac:dyDescent="0.25">
      <c r="EL5213">
        <v>2015</v>
      </c>
      <c r="EM5213" t="s">
        <v>710</v>
      </c>
      <c r="EN5213" t="s">
        <v>857</v>
      </c>
      <c r="EO5213">
        <v>226.62</v>
      </c>
    </row>
    <row r="5214" spans="142:145" x14ac:dyDescent="0.25">
      <c r="EL5214">
        <v>2015</v>
      </c>
      <c r="EM5214" t="s">
        <v>711</v>
      </c>
      <c r="EN5214" t="s">
        <v>857</v>
      </c>
      <c r="EO5214">
        <v>225.55</v>
      </c>
    </row>
    <row r="5215" spans="142:145" x14ac:dyDescent="0.25">
      <c r="EL5215">
        <v>2015</v>
      </c>
      <c r="EM5215" t="s">
        <v>712</v>
      </c>
      <c r="EN5215" t="s">
        <v>857</v>
      </c>
      <c r="EO5215">
        <v>228.22</v>
      </c>
    </row>
    <row r="5216" spans="142:145" x14ac:dyDescent="0.25">
      <c r="EL5216">
        <v>2016</v>
      </c>
      <c r="EM5216" t="s">
        <v>719</v>
      </c>
      <c r="EN5216" t="s">
        <v>857</v>
      </c>
      <c r="EO5216">
        <v>223.55</v>
      </c>
    </row>
    <row r="5217" spans="142:145" x14ac:dyDescent="0.25">
      <c r="EL5217">
        <v>2016</v>
      </c>
      <c r="EM5217" t="s">
        <v>713</v>
      </c>
      <c r="EN5217" t="s">
        <v>857</v>
      </c>
      <c r="EO5217">
        <v>267.69</v>
      </c>
    </row>
    <row r="5218" spans="142:145" x14ac:dyDescent="0.25">
      <c r="EL5218">
        <v>2016</v>
      </c>
      <c r="EM5218" t="s">
        <v>714</v>
      </c>
      <c r="EN5218" t="s">
        <v>857</v>
      </c>
      <c r="EO5218">
        <v>258</v>
      </c>
    </row>
    <row r="5219" spans="142:145" x14ac:dyDescent="0.25">
      <c r="EL5219">
        <v>2016</v>
      </c>
      <c r="EM5219" t="s">
        <v>705</v>
      </c>
      <c r="EN5219" t="s">
        <v>857</v>
      </c>
      <c r="EO5219">
        <v>238.07</v>
      </c>
    </row>
    <row r="5220" spans="142:145" x14ac:dyDescent="0.25">
      <c r="EL5220">
        <v>2016</v>
      </c>
      <c r="EM5220" t="s">
        <v>715</v>
      </c>
      <c r="EN5220" t="s">
        <v>857</v>
      </c>
      <c r="EO5220">
        <v>250.6</v>
      </c>
    </row>
    <row r="5221" spans="142:145" x14ac:dyDescent="0.25">
      <c r="EL5221">
        <v>2016</v>
      </c>
      <c r="EM5221" t="s">
        <v>718</v>
      </c>
      <c r="EN5221" t="s">
        <v>857</v>
      </c>
      <c r="EO5221">
        <v>219.36</v>
      </c>
    </row>
    <row r="5222" spans="142:145" x14ac:dyDescent="0.25">
      <c r="EL5222">
        <v>2016</v>
      </c>
      <c r="EM5222" t="s">
        <v>716</v>
      </c>
      <c r="EN5222" t="s">
        <v>857</v>
      </c>
      <c r="EO5222">
        <v>222.33</v>
      </c>
    </row>
    <row r="5223" spans="142:145" x14ac:dyDescent="0.25">
      <c r="EL5223">
        <v>2016</v>
      </c>
      <c r="EM5223" t="s">
        <v>708</v>
      </c>
      <c r="EN5223" t="s">
        <v>857</v>
      </c>
      <c r="EO5223">
        <v>208.33</v>
      </c>
    </row>
    <row r="5224" spans="142:145" x14ac:dyDescent="0.25">
      <c r="EL5224">
        <v>2016</v>
      </c>
      <c r="EM5224" t="s">
        <v>709</v>
      </c>
      <c r="EN5224" t="s">
        <v>857</v>
      </c>
      <c r="EO5224">
        <v>189.42</v>
      </c>
    </row>
    <row r="5225" spans="142:145" x14ac:dyDescent="0.25">
      <c r="EL5225">
        <v>2016</v>
      </c>
      <c r="EM5225" t="s">
        <v>710</v>
      </c>
      <c r="EN5225" t="s">
        <v>857</v>
      </c>
      <c r="EO5225">
        <v>186.93</v>
      </c>
    </row>
    <row r="5226" spans="142:145" x14ac:dyDescent="0.25">
      <c r="EL5226">
        <v>2016</v>
      </c>
      <c r="EM5226" t="s">
        <v>711</v>
      </c>
      <c r="EN5226" t="s">
        <v>857</v>
      </c>
      <c r="EO5226">
        <v>176.61</v>
      </c>
    </row>
    <row r="5227" spans="142:145" x14ac:dyDescent="0.25">
      <c r="EL5227">
        <v>2016</v>
      </c>
      <c r="EM5227" t="s">
        <v>712</v>
      </c>
      <c r="EN5227" t="s">
        <v>857</v>
      </c>
      <c r="EO5227">
        <v>192.63</v>
      </c>
    </row>
    <row r="5228" spans="142:145" x14ac:dyDescent="0.25">
      <c r="EL5228">
        <v>2017</v>
      </c>
      <c r="EM5228" t="s">
        <v>719</v>
      </c>
      <c r="EN5228" t="s">
        <v>857</v>
      </c>
      <c r="EO5228">
        <v>193.02</v>
      </c>
    </row>
    <row r="5229" spans="142:145" x14ac:dyDescent="0.25">
      <c r="EL5229">
        <v>2017</v>
      </c>
      <c r="EM5229" t="s">
        <v>713</v>
      </c>
      <c r="EN5229" t="s">
        <v>857</v>
      </c>
      <c r="EO5229">
        <v>176.14</v>
      </c>
    </row>
    <row r="5230" spans="142:145" x14ac:dyDescent="0.25">
      <c r="EL5230">
        <v>2017</v>
      </c>
      <c r="EM5230" t="s">
        <v>714</v>
      </c>
      <c r="EN5230" t="s">
        <v>857</v>
      </c>
      <c r="EO5230">
        <v>193.96</v>
      </c>
    </row>
    <row r="5231" spans="142:145" x14ac:dyDescent="0.25">
      <c r="EL5231">
        <v>2017</v>
      </c>
      <c r="EM5231" t="s">
        <v>705</v>
      </c>
      <c r="EN5231" t="s">
        <v>857</v>
      </c>
      <c r="EO5231">
        <v>191.82</v>
      </c>
    </row>
    <row r="5232" spans="142:145" x14ac:dyDescent="0.25">
      <c r="EL5232">
        <v>2017</v>
      </c>
      <c r="EM5232" t="s">
        <v>715</v>
      </c>
      <c r="EN5232" t="s">
        <v>857</v>
      </c>
      <c r="EO5232">
        <v>200.77</v>
      </c>
    </row>
    <row r="5233" spans="142:145" x14ac:dyDescent="0.25">
      <c r="EL5233">
        <v>2017</v>
      </c>
      <c r="EM5233" t="s">
        <v>718</v>
      </c>
      <c r="EN5233" t="s">
        <v>857</v>
      </c>
      <c r="EO5233">
        <v>183.8</v>
      </c>
    </row>
    <row r="5234" spans="142:145" x14ac:dyDescent="0.25">
      <c r="EL5234">
        <v>2017</v>
      </c>
      <c r="EM5234" t="s">
        <v>716</v>
      </c>
      <c r="EN5234" t="s">
        <v>857</v>
      </c>
      <c r="EO5234">
        <v>186.93</v>
      </c>
    </row>
    <row r="5235" spans="142:145" x14ac:dyDescent="0.25">
      <c r="EL5235">
        <v>2017</v>
      </c>
      <c r="EM5235" t="s">
        <v>708</v>
      </c>
      <c r="EN5235" t="s">
        <v>857</v>
      </c>
      <c r="EO5235">
        <v>189.79</v>
      </c>
    </row>
    <row r="5236" spans="142:145" x14ac:dyDescent="0.25">
      <c r="EL5236">
        <v>2017</v>
      </c>
      <c r="EM5236" t="s">
        <v>709</v>
      </c>
      <c r="EN5236" t="s">
        <v>857</v>
      </c>
      <c r="EO5236">
        <v>176.61</v>
      </c>
    </row>
    <row r="5237" spans="142:145" x14ac:dyDescent="0.25">
      <c r="EL5237">
        <v>2017</v>
      </c>
      <c r="EM5237" t="s">
        <v>710</v>
      </c>
      <c r="EN5237" t="s">
        <v>857</v>
      </c>
      <c r="EO5237">
        <v>182.53</v>
      </c>
    </row>
    <row r="5238" spans="142:145" x14ac:dyDescent="0.25">
      <c r="EL5238">
        <v>2017</v>
      </c>
      <c r="EM5238" t="s">
        <v>711</v>
      </c>
      <c r="EN5238" t="s">
        <v>857</v>
      </c>
      <c r="EO5238">
        <v>176.61</v>
      </c>
    </row>
    <row r="5239" spans="142:145" x14ac:dyDescent="0.25">
      <c r="EL5239">
        <v>2017</v>
      </c>
      <c r="EM5239" t="s">
        <v>712</v>
      </c>
      <c r="EN5239" t="s">
        <v>857</v>
      </c>
      <c r="EO5239">
        <v>182.53</v>
      </c>
    </row>
    <row r="5240" spans="142:145" x14ac:dyDescent="0.25">
      <c r="EL5240">
        <v>2018</v>
      </c>
      <c r="EM5240" t="s">
        <v>719</v>
      </c>
      <c r="EN5240" t="s">
        <v>857</v>
      </c>
      <c r="EO5240">
        <v>164.38</v>
      </c>
    </row>
    <row r="5241" spans="142:145" x14ac:dyDescent="0.25">
      <c r="EL5241">
        <v>2018</v>
      </c>
      <c r="EM5241" t="s">
        <v>713</v>
      </c>
      <c r="EN5241" t="s">
        <v>857</v>
      </c>
      <c r="EO5241">
        <v>157.57</v>
      </c>
    </row>
    <row r="5242" spans="142:145" x14ac:dyDescent="0.25">
      <c r="EL5242">
        <v>2018</v>
      </c>
      <c r="EM5242" t="s">
        <v>714</v>
      </c>
      <c r="EN5242" t="s">
        <v>857</v>
      </c>
      <c r="EO5242">
        <v>173.77</v>
      </c>
    </row>
    <row r="5243" spans="142:145" x14ac:dyDescent="0.25">
      <c r="EL5243">
        <v>2018</v>
      </c>
      <c r="EM5243" t="s">
        <v>705</v>
      </c>
      <c r="EN5243" t="s">
        <v>857</v>
      </c>
      <c r="EO5243">
        <v>166.94</v>
      </c>
    </row>
    <row r="5244" spans="142:145" x14ac:dyDescent="0.25">
      <c r="EL5244">
        <v>2018</v>
      </c>
      <c r="EM5244" t="s">
        <v>715</v>
      </c>
      <c r="EN5244" t="s">
        <v>857</v>
      </c>
      <c r="EO5244">
        <v>190.62</v>
      </c>
    </row>
    <row r="5245" spans="142:145" x14ac:dyDescent="0.25">
      <c r="EL5245">
        <v>2018</v>
      </c>
      <c r="EM5245" t="s">
        <v>718</v>
      </c>
      <c r="EN5245" t="s">
        <v>857</v>
      </c>
      <c r="EO5245">
        <v>173.48</v>
      </c>
    </row>
    <row r="5246" spans="142:145" x14ac:dyDescent="0.25">
      <c r="EL5246">
        <v>2018</v>
      </c>
      <c r="EM5246" t="s">
        <v>716</v>
      </c>
      <c r="EN5246" t="s">
        <v>857</v>
      </c>
      <c r="EO5246">
        <v>171.11</v>
      </c>
    </row>
    <row r="5247" spans="142:145" x14ac:dyDescent="0.25">
      <c r="EL5247">
        <v>2018</v>
      </c>
      <c r="EM5247" t="s">
        <v>708</v>
      </c>
      <c r="EN5247" t="s">
        <v>857</v>
      </c>
      <c r="EO5247">
        <v>191.42</v>
      </c>
    </row>
    <row r="5248" spans="142:145" x14ac:dyDescent="0.25">
      <c r="EL5248">
        <v>2018</v>
      </c>
      <c r="EM5248" t="s">
        <v>709</v>
      </c>
      <c r="EN5248" t="s">
        <v>857</v>
      </c>
      <c r="EO5248">
        <v>204.92</v>
      </c>
    </row>
    <row r="5249" spans="142:145" x14ac:dyDescent="0.25">
      <c r="EL5249">
        <v>2018</v>
      </c>
      <c r="EM5249" t="s">
        <v>710</v>
      </c>
      <c r="EN5249" t="s">
        <v>857</v>
      </c>
      <c r="EO5249">
        <v>189.18</v>
      </c>
    </row>
    <row r="5250" spans="142:145" x14ac:dyDescent="0.25">
      <c r="EL5250">
        <v>2018</v>
      </c>
      <c r="EM5250" t="s">
        <v>711</v>
      </c>
      <c r="EN5250" t="s">
        <v>857</v>
      </c>
      <c r="EO5250">
        <v>237.88</v>
      </c>
    </row>
    <row r="5251" spans="142:145" x14ac:dyDescent="0.25">
      <c r="EL5251">
        <v>2018</v>
      </c>
      <c r="EM5251" t="s">
        <v>712</v>
      </c>
      <c r="EN5251" t="s">
        <v>857</v>
      </c>
      <c r="EO5251">
        <v>238.15</v>
      </c>
    </row>
    <row r="5252" spans="142:145" x14ac:dyDescent="0.25">
      <c r="EL5252">
        <v>2019</v>
      </c>
      <c r="EM5252" t="s">
        <v>719</v>
      </c>
      <c r="EN5252" t="s">
        <v>857</v>
      </c>
      <c r="EO5252">
        <v>268.49</v>
      </c>
    </row>
    <row r="5253" spans="142:145" x14ac:dyDescent="0.25">
      <c r="EL5253">
        <v>2019</v>
      </c>
      <c r="EM5253" t="s">
        <v>713</v>
      </c>
      <c r="EN5253" t="s">
        <v>857</v>
      </c>
      <c r="EO5253">
        <v>229.63</v>
      </c>
    </row>
    <row r="5254" spans="142:145" x14ac:dyDescent="0.25">
      <c r="EL5254">
        <v>2019</v>
      </c>
      <c r="EM5254" t="s">
        <v>714</v>
      </c>
      <c r="EN5254" t="s">
        <v>857</v>
      </c>
      <c r="EO5254">
        <v>248.61</v>
      </c>
    </row>
    <row r="5255" spans="142:145" x14ac:dyDescent="0.25">
      <c r="EL5255">
        <v>2019</v>
      </c>
      <c r="EM5255" t="s">
        <v>705</v>
      </c>
      <c r="EN5255" t="s">
        <v>857</v>
      </c>
      <c r="EO5255">
        <v>220.05</v>
      </c>
    </row>
    <row r="5256" spans="142:145" x14ac:dyDescent="0.25">
      <c r="EL5256">
        <v>2019</v>
      </c>
      <c r="EM5256" t="s">
        <v>715</v>
      </c>
      <c r="EN5256" t="s">
        <v>857</v>
      </c>
      <c r="EO5256">
        <v>234.57</v>
      </c>
    </row>
    <row r="5257" spans="142:145" x14ac:dyDescent="0.25">
      <c r="EL5257">
        <v>2019</v>
      </c>
      <c r="EM5257" t="s">
        <v>718</v>
      </c>
      <c r="EN5257" t="s">
        <v>857</v>
      </c>
      <c r="EO5257">
        <v>218.49</v>
      </c>
    </row>
    <row r="5258" spans="142:145" x14ac:dyDescent="0.25">
      <c r="EL5258">
        <v>2019</v>
      </c>
      <c r="EM5258" t="s">
        <v>716</v>
      </c>
      <c r="EN5258" t="s">
        <v>857</v>
      </c>
      <c r="EO5258">
        <v>229.58</v>
      </c>
    </row>
    <row r="5259" spans="142:145" x14ac:dyDescent="0.25">
      <c r="EL5259">
        <v>2019</v>
      </c>
      <c r="EM5259" t="s">
        <v>708</v>
      </c>
      <c r="EN5259" t="s">
        <v>857</v>
      </c>
      <c r="EO5259">
        <v>227.44</v>
      </c>
    </row>
    <row r="5260" spans="142:145" x14ac:dyDescent="0.25">
      <c r="EL5260">
        <v>2019</v>
      </c>
      <c r="EM5260" t="s">
        <v>709</v>
      </c>
      <c r="EN5260" t="s">
        <v>857</v>
      </c>
      <c r="EO5260">
        <v>193.12</v>
      </c>
    </row>
    <row r="5261" spans="142:145" x14ac:dyDescent="0.25">
      <c r="EL5261">
        <v>2019</v>
      </c>
      <c r="EM5261" t="s">
        <v>710</v>
      </c>
      <c r="EN5261" t="s">
        <v>857</v>
      </c>
      <c r="EO5261">
        <v>206.8</v>
      </c>
    </row>
    <row r="5262" spans="142:145" x14ac:dyDescent="0.25">
      <c r="EL5262">
        <v>2019</v>
      </c>
      <c r="EM5262" t="s">
        <v>711</v>
      </c>
      <c r="EN5262" t="s">
        <v>857</v>
      </c>
      <c r="EO5262">
        <v>194.9</v>
      </c>
    </row>
    <row r="5263" spans="142:145" x14ac:dyDescent="0.25">
      <c r="EL5263">
        <v>2019</v>
      </c>
      <c r="EM5263" t="s">
        <v>712</v>
      </c>
      <c r="EN5263" t="s">
        <v>857</v>
      </c>
      <c r="EO5263">
        <v>192.77</v>
      </c>
    </row>
    <row r="5264" spans="142:145" x14ac:dyDescent="0.25">
      <c r="EL5264">
        <v>2020</v>
      </c>
      <c r="EM5264" t="s">
        <v>719</v>
      </c>
      <c r="EN5264" t="s">
        <v>857</v>
      </c>
      <c r="EO5264">
        <v>214.35</v>
      </c>
    </row>
    <row r="5265" spans="142:145" x14ac:dyDescent="0.25">
      <c r="EL5265">
        <v>2020</v>
      </c>
      <c r="EM5265" t="s">
        <v>713</v>
      </c>
      <c r="EN5265" t="s">
        <v>857</v>
      </c>
      <c r="EO5265">
        <v>209.56</v>
      </c>
    </row>
    <row r="5266" spans="142:145" x14ac:dyDescent="0.25">
      <c r="EL5266">
        <v>2020</v>
      </c>
      <c r="EM5266" t="s">
        <v>714</v>
      </c>
      <c r="EN5266" t="s">
        <v>857</v>
      </c>
      <c r="EO5266">
        <v>216.3</v>
      </c>
    </row>
    <row r="5267" spans="142:145" x14ac:dyDescent="0.25">
      <c r="EL5267">
        <v>2020</v>
      </c>
      <c r="EM5267" t="s">
        <v>705</v>
      </c>
      <c r="EN5267" t="s">
        <v>857</v>
      </c>
      <c r="EO5267">
        <v>222.51</v>
      </c>
    </row>
    <row r="5268" spans="142:145" x14ac:dyDescent="0.25">
      <c r="EL5268">
        <v>2020</v>
      </c>
      <c r="EM5268" t="s">
        <v>715</v>
      </c>
      <c r="EN5268" t="s">
        <v>857</v>
      </c>
      <c r="EO5268">
        <v>221.42</v>
      </c>
    </row>
    <row r="5269" spans="142:145" x14ac:dyDescent="0.25">
      <c r="EL5269">
        <v>2020</v>
      </c>
      <c r="EM5269" t="s">
        <v>718</v>
      </c>
      <c r="EN5269" t="s">
        <v>857</v>
      </c>
      <c r="EO5269">
        <v>303.39</v>
      </c>
    </row>
    <row r="5270" spans="142:145" x14ac:dyDescent="0.25">
      <c r="EL5270">
        <v>2020</v>
      </c>
      <c r="EM5270" t="s">
        <v>716</v>
      </c>
      <c r="EN5270" t="s">
        <v>857</v>
      </c>
      <c r="EO5270">
        <v>181.65</v>
      </c>
    </row>
    <row r="5271" spans="142:145" x14ac:dyDescent="0.25">
      <c r="EL5271">
        <v>2020</v>
      </c>
      <c r="EM5271" t="s">
        <v>708</v>
      </c>
      <c r="EN5271" t="s">
        <v>857</v>
      </c>
      <c r="EO5271">
        <v>170.7</v>
      </c>
    </row>
    <row r="5272" spans="142:145" x14ac:dyDescent="0.25">
      <c r="EL5272">
        <v>2020</v>
      </c>
      <c r="EM5272" t="s">
        <v>709</v>
      </c>
      <c r="EN5272" t="s">
        <v>857</v>
      </c>
      <c r="EO5272">
        <v>160.13999999999999</v>
      </c>
    </row>
    <row r="5273" spans="142:145" x14ac:dyDescent="0.25">
      <c r="EL5273">
        <v>2020</v>
      </c>
      <c r="EM5273" t="s">
        <v>710</v>
      </c>
      <c r="EN5273" t="s">
        <v>857</v>
      </c>
      <c r="EO5273">
        <v>179.35</v>
      </c>
    </row>
    <row r="5274" spans="142:145" x14ac:dyDescent="0.25">
      <c r="EL5274">
        <v>2020</v>
      </c>
      <c r="EM5274" t="s">
        <v>711</v>
      </c>
      <c r="EN5274" t="s">
        <v>857</v>
      </c>
      <c r="EO5274">
        <v>175.07</v>
      </c>
    </row>
    <row r="5275" spans="142:145" x14ac:dyDescent="0.25">
      <c r="EL5275">
        <v>2020</v>
      </c>
      <c r="EM5275" t="s">
        <v>712</v>
      </c>
      <c r="EN5275" t="s">
        <v>857</v>
      </c>
      <c r="EO5275">
        <v>206.65</v>
      </c>
    </row>
    <row r="5276" spans="142:145" x14ac:dyDescent="0.25">
      <c r="EL5276">
        <v>2021</v>
      </c>
      <c r="EM5276" t="s">
        <v>719</v>
      </c>
      <c r="EN5276" t="s">
        <v>857</v>
      </c>
      <c r="EO5276">
        <v>186.61</v>
      </c>
    </row>
    <row r="5277" spans="142:145" x14ac:dyDescent="0.25">
      <c r="EL5277">
        <v>2021</v>
      </c>
      <c r="EM5277" t="s">
        <v>713</v>
      </c>
      <c r="EN5277" t="s">
        <v>857</v>
      </c>
      <c r="EO5277">
        <v>165.29</v>
      </c>
    </row>
    <row r="5278" spans="142:145" x14ac:dyDescent="0.25">
      <c r="EL5278">
        <v>2021</v>
      </c>
      <c r="EM5278" t="s">
        <v>714</v>
      </c>
      <c r="EN5278" t="s">
        <v>857</v>
      </c>
      <c r="EO5278">
        <v>191.82</v>
      </c>
    </row>
    <row r="5279" spans="142:145" x14ac:dyDescent="0.25">
      <c r="EL5279">
        <v>2021</v>
      </c>
      <c r="EM5279" t="s">
        <v>705</v>
      </c>
      <c r="EN5279" t="s">
        <v>857</v>
      </c>
      <c r="EO5279">
        <v>185.39</v>
      </c>
    </row>
    <row r="5280" spans="142:145" x14ac:dyDescent="0.25">
      <c r="EL5280">
        <v>2021</v>
      </c>
      <c r="EM5280" t="s">
        <v>715</v>
      </c>
      <c r="EN5280" t="s">
        <v>857</v>
      </c>
      <c r="EO5280">
        <v>201.66</v>
      </c>
    </row>
    <row r="5281" spans="142:145" x14ac:dyDescent="0.25">
      <c r="EL5281">
        <v>2021</v>
      </c>
      <c r="EM5281" t="s">
        <v>718</v>
      </c>
      <c r="EN5281" t="s">
        <v>857</v>
      </c>
      <c r="EO5281">
        <v>198.43</v>
      </c>
    </row>
    <row r="5282" spans="142:145" x14ac:dyDescent="0.25">
      <c r="EL5282">
        <v>2021</v>
      </c>
      <c r="EM5282" t="s">
        <v>716</v>
      </c>
      <c r="EN5282" t="s">
        <v>857</v>
      </c>
      <c r="EO5282">
        <v>204.39</v>
      </c>
    </row>
    <row r="5283" spans="142:145" x14ac:dyDescent="0.25">
      <c r="EL5283">
        <v>2021</v>
      </c>
      <c r="EM5283" t="s">
        <v>708</v>
      </c>
      <c r="EN5283" t="s">
        <v>857</v>
      </c>
      <c r="EO5283">
        <v>233.13</v>
      </c>
    </row>
    <row r="5284" spans="142:145" x14ac:dyDescent="0.25">
      <c r="EL5284">
        <v>2021</v>
      </c>
      <c r="EM5284" t="s">
        <v>709</v>
      </c>
      <c r="EN5284" t="s">
        <v>857</v>
      </c>
      <c r="EO5284">
        <v>227.96</v>
      </c>
    </row>
    <row r="5285" spans="142:145" x14ac:dyDescent="0.25">
      <c r="EL5285">
        <v>2021</v>
      </c>
      <c r="EM5285" t="s">
        <v>710</v>
      </c>
      <c r="EN5285" t="s">
        <v>857</v>
      </c>
      <c r="EO5285">
        <v>217.03</v>
      </c>
    </row>
    <row r="5286" spans="142:145" x14ac:dyDescent="0.25">
      <c r="EL5286">
        <v>2021</v>
      </c>
      <c r="EM5286" t="s">
        <v>711</v>
      </c>
      <c r="EN5286" t="s">
        <v>857</v>
      </c>
      <c r="EO5286">
        <v>192.65</v>
      </c>
    </row>
    <row r="5287" spans="142:145" x14ac:dyDescent="0.25">
      <c r="EL5287">
        <v>2021</v>
      </c>
      <c r="EM5287" t="s">
        <v>712</v>
      </c>
      <c r="EN5287" t="s">
        <v>857</v>
      </c>
      <c r="EO5287">
        <v>167.15</v>
      </c>
    </row>
    <row r="5288" spans="142:145" x14ac:dyDescent="0.25">
      <c r="EL5288">
        <v>2022</v>
      </c>
      <c r="EM5288" t="s">
        <v>719</v>
      </c>
      <c r="EN5288" t="s">
        <v>857</v>
      </c>
      <c r="EO5288">
        <v>201.14</v>
      </c>
    </row>
    <row r="5289" spans="142:145" x14ac:dyDescent="0.25">
      <c r="EL5289">
        <v>2022</v>
      </c>
      <c r="EM5289" t="s">
        <v>713</v>
      </c>
      <c r="EN5289" t="s">
        <v>857</v>
      </c>
      <c r="EO5289">
        <v>194.27</v>
      </c>
    </row>
    <row r="5290" spans="142:145" x14ac:dyDescent="0.25">
      <c r="EL5290">
        <v>2022</v>
      </c>
      <c r="EM5290" t="s">
        <v>714</v>
      </c>
      <c r="EN5290" t="s">
        <v>857</v>
      </c>
      <c r="EO5290">
        <v>194.83</v>
      </c>
    </row>
    <row r="5291" spans="142:145" x14ac:dyDescent="0.25">
      <c r="EL5291">
        <v>2022</v>
      </c>
      <c r="EM5291" t="s">
        <v>705</v>
      </c>
      <c r="EN5291" t="s">
        <v>857</v>
      </c>
      <c r="EO5291">
        <v>176.86</v>
      </c>
    </row>
    <row r="5292" spans="142:145" x14ac:dyDescent="0.25">
      <c r="EL5292">
        <v>2022</v>
      </c>
      <c r="EM5292" t="s">
        <v>715</v>
      </c>
      <c r="EN5292" t="s">
        <v>857</v>
      </c>
      <c r="EO5292">
        <v>255.7</v>
      </c>
    </row>
    <row r="5293" spans="142:145" x14ac:dyDescent="0.25">
      <c r="EL5293">
        <v>2022</v>
      </c>
      <c r="EM5293" t="s">
        <v>718</v>
      </c>
      <c r="EN5293" t="s">
        <v>857</v>
      </c>
      <c r="EO5293">
        <v>153.08000000000001</v>
      </c>
    </row>
    <row r="5294" spans="142:145" x14ac:dyDescent="0.25">
      <c r="EL5294">
        <v>2022</v>
      </c>
      <c r="EM5294" t="s">
        <v>716</v>
      </c>
      <c r="EN5294" t="s">
        <v>857</v>
      </c>
      <c r="EO5294">
        <v>161.88999999999999</v>
      </c>
    </row>
    <row r="5295" spans="142:145" x14ac:dyDescent="0.25">
      <c r="EL5295">
        <v>2022</v>
      </c>
      <c r="EM5295" t="s">
        <v>708</v>
      </c>
      <c r="EN5295" t="s">
        <v>857</v>
      </c>
      <c r="EO5295">
        <v>187.01</v>
      </c>
    </row>
    <row r="5296" spans="142:145" x14ac:dyDescent="0.25">
      <c r="EL5296">
        <v>2022</v>
      </c>
      <c r="EM5296" t="s">
        <v>709</v>
      </c>
      <c r="EN5296" t="s">
        <v>857</v>
      </c>
      <c r="EO5296">
        <v>155.94</v>
      </c>
    </row>
    <row r="5297" spans="142:145" x14ac:dyDescent="0.25">
      <c r="EL5297">
        <v>2022</v>
      </c>
      <c r="EM5297" t="s">
        <v>710</v>
      </c>
      <c r="EN5297" t="s">
        <v>857</v>
      </c>
      <c r="EO5297">
        <v>221.76</v>
      </c>
    </row>
    <row r="5298" spans="142:145" x14ac:dyDescent="0.25">
      <c r="EL5298">
        <v>2022</v>
      </c>
      <c r="EM5298" t="s">
        <v>711</v>
      </c>
      <c r="EN5298" t="s">
        <v>857</v>
      </c>
      <c r="EO5298">
        <v>216.61</v>
      </c>
    </row>
    <row r="5299" spans="142:145" x14ac:dyDescent="0.25">
      <c r="EL5299">
        <v>2022</v>
      </c>
      <c r="EM5299" t="s">
        <v>712</v>
      </c>
      <c r="EN5299" t="s">
        <v>857</v>
      </c>
      <c r="EO5299">
        <v>199.43</v>
      </c>
    </row>
    <row r="5300" spans="142:145" x14ac:dyDescent="0.25">
      <c r="EL5300">
        <v>2023</v>
      </c>
      <c r="EM5300" t="s">
        <v>719</v>
      </c>
      <c r="EN5300" t="s">
        <v>857</v>
      </c>
      <c r="EO5300">
        <v>170.9</v>
      </c>
    </row>
    <row r="5301" spans="142:145" x14ac:dyDescent="0.25">
      <c r="EL5301">
        <v>2023</v>
      </c>
      <c r="EM5301" t="s">
        <v>713</v>
      </c>
      <c r="EN5301" t="s">
        <v>857</v>
      </c>
      <c r="EO5301">
        <v>172.21</v>
      </c>
    </row>
    <row r="5302" spans="142:145" x14ac:dyDescent="0.25">
      <c r="EL5302">
        <v>2023</v>
      </c>
      <c r="EM5302" t="s">
        <v>714</v>
      </c>
      <c r="EN5302" t="s">
        <v>857</v>
      </c>
      <c r="EO5302">
        <v>201.54</v>
      </c>
    </row>
    <row r="5303" spans="142:145" x14ac:dyDescent="0.25">
      <c r="EL5303">
        <v>2023</v>
      </c>
      <c r="EM5303" t="s">
        <v>705</v>
      </c>
      <c r="EN5303" t="s">
        <v>857</v>
      </c>
      <c r="EO5303">
        <v>201.88</v>
      </c>
    </row>
    <row r="5304" spans="142:145" x14ac:dyDescent="0.25">
      <c r="EL5304">
        <v>2023</v>
      </c>
      <c r="EM5304" t="s">
        <v>715</v>
      </c>
      <c r="EN5304" t="s">
        <v>857</v>
      </c>
      <c r="EO5304">
        <v>199.35</v>
      </c>
    </row>
    <row r="5305" spans="142:145" x14ac:dyDescent="0.25">
      <c r="EL5305">
        <v>2023</v>
      </c>
      <c r="EM5305" t="s">
        <v>718</v>
      </c>
      <c r="EN5305" t="s">
        <v>857</v>
      </c>
      <c r="EO5305">
        <v>192.44</v>
      </c>
    </row>
    <row r="5306" spans="142:145" x14ac:dyDescent="0.25">
      <c r="EL5306">
        <v>2023</v>
      </c>
      <c r="EM5306" t="s">
        <v>716</v>
      </c>
      <c r="EN5306" t="s">
        <v>857</v>
      </c>
      <c r="EO5306">
        <v>166.13</v>
      </c>
    </row>
    <row r="5307" spans="142:145" x14ac:dyDescent="0.25">
      <c r="EL5307">
        <v>2023</v>
      </c>
      <c r="EM5307" t="s">
        <v>708</v>
      </c>
      <c r="EN5307" t="s">
        <v>857</v>
      </c>
      <c r="EO5307">
        <v>195.6</v>
      </c>
    </row>
    <row r="5308" spans="142:145" x14ac:dyDescent="0.25">
      <c r="EL5308">
        <v>2023</v>
      </c>
      <c r="EM5308" t="s">
        <v>709</v>
      </c>
      <c r="EN5308" t="s">
        <v>857</v>
      </c>
      <c r="EO5308">
        <v>187.09</v>
      </c>
    </row>
    <row r="5309" spans="142:145" x14ac:dyDescent="0.25">
      <c r="EL5309">
        <v>1997</v>
      </c>
      <c r="EM5309" t="s">
        <v>760</v>
      </c>
      <c r="EN5309" t="s">
        <v>858</v>
      </c>
      <c r="EO5309">
        <v>107.322</v>
      </c>
    </row>
    <row r="5310" spans="142:145" x14ac:dyDescent="0.25">
      <c r="EL5310">
        <v>1997</v>
      </c>
      <c r="EM5310" t="s">
        <v>761</v>
      </c>
      <c r="EN5310" t="s">
        <v>858</v>
      </c>
      <c r="EO5310">
        <v>116.39999999999999</v>
      </c>
    </row>
    <row r="5311" spans="142:145" x14ac:dyDescent="0.25">
      <c r="EL5311">
        <v>1997</v>
      </c>
      <c r="EM5311" t="s">
        <v>762</v>
      </c>
      <c r="EN5311" t="s">
        <v>858</v>
      </c>
      <c r="EO5311">
        <v>116.002</v>
      </c>
    </row>
    <row r="5312" spans="142:145" x14ac:dyDescent="0.25">
      <c r="EL5312">
        <v>1998</v>
      </c>
      <c r="EM5312" t="s">
        <v>763</v>
      </c>
      <c r="EN5312" t="s">
        <v>858</v>
      </c>
      <c r="EO5312">
        <v>127.47200000000001</v>
      </c>
    </row>
    <row r="5313" spans="142:145" x14ac:dyDescent="0.25">
      <c r="EL5313">
        <v>1998</v>
      </c>
      <c r="EM5313" t="s">
        <v>764</v>
      </c>
      <c r="EN5313" t="s">
        <v>858</v>
      </c>
      <c r="EO5313">
        <v>132.72</v>
      </c>
    </row>
    <row r="5314" spans="142:145" x14ac:dyDescent="0.25">
      <c r="EL5314">
        <v>1998</v>
      </c>
      <c r="EM5314" t="s">
        <v>765</v>
      </c>
      <c r="EN5314" t="s">
        <v>858</v>
      </c>
      <c r="EO5314">
        <v>155.24799999999999</v>
      </c>
    </row>
    <row r="5315" spans="142:145" x14ac:dyDescent="0.25">
      <c r="EL5315">
        <v>1998</v>
      </c>
      <c r="EM5315" t="s">
        <v>767</v>
      </c>
      <c r="EN5315" t="s">
        <v>858</v>
      </c>
      <c r="EO5315">
        <v>135.81</v>
      </c>
    </row>
    <row r="5316" spans="142:145" x14ac:dyDescent="0.25">
      <c r="EL5316">
        <v>1998</v>
      </c>
      <c r="EM5316" t="s">
        <v>715</v>
      </c>
      <c r="EN5316" t="s">
        <v>858</v>
      </c>
      <c r="EO5316">
        <v>144.98699999999999</v>
      </c>
    </row>
    <row r="5317" spans="142:145" x14ac:dyDescent="0.25">
      <c r="EL5317">
        <v>1998</v>
      </c>
      <c r="EM5317" t="s">
        <v>718</v>
      </c>
      <c r="EN5317" t="s">
        <v>858</v>
      </c>
      <c r="EO5317">
        <v>126.74999999999999</v>
      </c>
    </row>
    <row r="5318" spans="142:145" x14ac:dyDescent="0.25">
      <c r="EL5318">
        <v>1998</v>
      </c>
      <c r="EM5318" t="s">
        <v>716</v>
      </c>
      <c r="EN5318" t="s">
        <v>858</v>
      </c>
      <c r="EO5318">
        <v>119.66</v>
      </c>
    </row>
    <row r="5319" spans="142:145" x14ac:dyDescent="0.25">
      <c r="EL5319">
        <v>1998</v>
      </c>
      <c r="EM5319" t="s">
        <v>768</v>
      </c>
      <c r="EN5319" t="s">
        <v>858</v>
      </c>
      <c r="EO5319">
        <v>111.259</v>
      </c>
    </row>
    <row r="5320" spans="142:145" x14ac:dyDescent="0.25">
      <c r="EL5320">
        <v>1998</v>
      </c>
      <c r="EM5320" t="s">
        <v>769</v>
      </c>
      <c r="EN5320" t="s">
        <v>858</v>
      </c>
      <c r="EO5320">
        <v>107.04</v>
      </c>
    </row>
    <row r="5321" spans="142:145" x14ac:dyDescent="0.25">
      <c r="EL5321">
        <v>1998</v>
      </c>
      <c r="EM5321" t="s">
        <v>760</v>
      </c>
      <c r="EN5321" t="s">
        <v>858</v>
      </c>
      <c r="EO5321">
        <v>108.779</v>
      </c>
    </row>
    <row r="5322" spans="142:145" x14ac:dyDescent="0.25">
      <c r="EL5322">
        <v>1998</v>
      </c>
      <c r="EM5322" t="s">
        <v>771</v>
      </c>
      <c r="EN5322" t="s">
        <v>858</v>
      </c>
      <c r="EO5322">
        <v>103.83</v>
      </c>
    </row>
    <row r="5323" spans="142:145" x14ac:dyDescent="0.25">
      <c r="EL5323">
        <v>1998</v>
      </c>
      <c r="EM5323" t="s">
        <v>762</v>
      </c>
      <c r="EN5323" t="s">
        <v>858</v>
      </c>
      <c r="EO5323">
        <v>108.46900000000001</v>
      </c>
    </row>
    <row r="5324" spans="142:145" x14ac:dyDescent="0.25">
      <c r="EL5324">
        <v>1999</v>
      </c>
      <c r="EM5324" t="s">
        <v>763</v>
      </c>
      <c r="EN5324" t="s">
        <v>858</v>
      </c>
      <c r="EO5324">
        <v>119.44300000000001</v>
      </c>
    </row>
    <row r="5325" spans="142:145" x14ac:dyDescent="0.25">
      <c r="EL5325">
        <v>1999</v>
      </c>
      <c r="EM5325" t="s">
        <v>772</v>
      </c>
      <c r="EN5325" t="s">
        <v>858</v>
      </c>
      <c r="EO5325">
        <v>107.072</v>
      </c>
    </row>
    <row r="5326" spans="142:145" x14ac:dyDescent="0.25">
      <c r="EL5326">
        <v>1999</v>
      </c>
      <c r="EM5326" t="s">
        <v>773</v>
      </c>
      <c r="EN5326" t="s">
        <v>858</v>
      </c>
      <c r="EO5326">
        <v>138.41499999999999</v>
      </c>
    </row>
    <row r="5327" spans="142:145" x14ac:dyDescent="0.25">
      <c r="EL5327">
        <v>1999</v>
      </c>
      <c r="EM5327" t="s">
        <v>774</v>
      </c>
      <c r="EN5327" t="s">
        <v>858</v>
      </c>
      <c r="EO5327">
        <v>120.9</v>
      </c>
    </row>
    <row r="5328" spans="142:145" x14ac:dyDescent="0.25">
      <c r="EL5328">
        <v>1999</v>
      </c>
      <c r="EM5328" t="s">
        <v>715</v>
      </c>
      <c r="EN5328" t="s">
        <v>858</v>
      </c>
      <c r="EO5328">
        <v>118.916</v>
      </c>
    </row>
    <row r="5329" spans="142:145" x14ac:dyDescent="0.25">
      <c r="EL5329">
        <v>1999</v>
      </c>
      <c r="EM5329" t="s">
        <v>718</v>
      </c>
      <c r="EN5329" t="s">
        <v>858</v>
      </c>
      <c r="EO5329">
        <v>111.99000000000001</v>
      </c>
    </row>
    <row r="5330" spans="142:145" x14ac:dyDescent="0.25">
      <c r="EL5330">
        <v>1999</v>
      </c>
      <c r="EM5330" t="s">
        <v>716</v>
      </c>
      <c r="EN5330" t="s">
        <v>858</v>
      </c>
      <c r="EO5330">
        <v>108.283</v>
      </c>
    </row>
    <row r="5331" spans="142:145" x14ac:dyDescent="0.25">
      <c r="EL5331">
        <v>1999</v>
      </c>
      <c r="EM5331" t="s">
        <v>708</v>
      </c>
      <c r="EN5331" t="s">
        <v>858</v>
      </c>
      <c r="EO5331">
        <v>104.377</v>
      </c>
    </row>
    <row r="5332" spans="142:145" x14ac:dyDescent="0.25">
      <c r="EL5332">
        <v>1999</v>
      </c>
      <c r="EM5332" t="s">
        <v>709</v>
      </c>
      <c r="EN5332" t="s">
        <v>858</v>
      </c>
      <c r="EO5332">
        <v>119.52</v>
      </c>
    </row>
    <row r="5333" spans="142:145" x14ac:dyDescent="0.25">
      <c r="EL5333">
        <v>1999</v>
      </c>
      <c r="EM5333" t="s">
        <v>710</v>
      </c>
      <c r="EN5333" t="s">
        <v>858</v>
      </c>
      <c r="EO5333">
        <v>123.194</v>
      </c>
    </row>
    <row r="5334" spans="142:145" x14ac:dyDescent="0.25">
      <c r="EL5334">
        <v>1999</v>
      </c>
      <c r="EM5334" t="s">
        <v>711</v>
      </c>
      <c r="EN5334" t="s">
        <v>858</v>
      </c>
      <c r="EO5334">
        <v>117.42</v>
      </c>
    </row>
    <row r="5335" spans="142:145" x14ac:dyDescent="0.25">
      <c r="EL5335">
        <v>1999</v>
      </c>
      <c r="EM5335" t="s">
        <v>712</v>
      </c>
      <c r="EN5335" t="s">
        <v>858</v>
      </c>
      <c r="EO5335">
        <v>126.04599999999999</v>
      </c>
    </row>
    <row r="5336" spans="142:145" x14ac:dyDescent="0.25">
      <c r="EL5336">
        <v>2000</v>
      </c>
      <c r="EM5336" t="s">
        <v>719</v>
      </c>
      <c r="EN5336" t="s">
        <v>858</v>
      </c>
      <c r="EO5336">
        <v>125.426</v>
      </c>
    </row>
    <row r="5337" spans="142:145" x14ac:dyDescent="0.25">
      <c r="EL5337">
        <v>2000</v>
      </c>
      <c r="EM5337" t="s">
        <v>713</v>
      </c>
      <c r="EN5337" t="s">
        <v>858</v>
      </c>
      <c r="EO5337">
        <v>124.41</v>
      </c>
    </row>
    <row r="5338" spans="142:145" x14ac:dyDescent="0.25">
      <c r="EL5338">
        <v>2000</v>
      </c>
      <c r="EM5338" t="s">
        <v>714</v>
      </c>
      <c r="EN5338" t="s">
        <v>858</v>
      </c>
      <c r="EO5338">
        <v>138.19800000000001</v>
      </c>
    </row>
    <row r="5339" spans="142:145" x14ac:dyDescent="0.25">
      <c r="EL5339">
        <v>2000</v>
      </c>
      <c r="EM5339" t="s">
        <v>705</v>
      </c>
      <c r="EN5339" t="s">
        <v>858</v>
      </c>
      <c r="EO5339">
        <v>141.06</v>
      </c>
    </row>
    <row r="5340" spans="142:145" x14ac:dyDescent="0.25">
      <c r="EL5340">
        <v>2000</v>
      </c>
      <c r="EM5340" t="s">
        <v>715</v>
      </c>
      <c r="EN5340" t="s">
        <v>858</v>
      </c>
      <c r="EO5340">
        <v>134.50900000000001</v>
      </c>
    </row>
    <row r="5341" spans="142:145" x14ac:dyDescent="0.25">
      <c r="EL5341">
        <v>2000</v>
      </c>
      <c r="EM5341" t="s">
        <v>718</v>
      </c>
      <c r="EN5341" t="s">
        <v>858</v>
      </c>
      <c r="EO5341">
        <v>127.17</v>
      </c>
    </row>
    <row r="5342" spans="142:145" x14ac:dyDescent="0.25">
      <c r="EL5342">
        <v>2000</v>
      </c>
      <c r="EM5342" t="s">
        <v>716</v>
      </c>
      <c r="EN5342" t="s">
        <v>858</v>
      </c>
      <c r="EO5342">
        <v>126.232</v>
      </c>
    </row>
    <row r="5343" spans="142:145" x14ac:dyDescent="0.25">
      <c r="EL5343">
        <v>2000</v>
      </c>
      <c r="EM5343" t="s">
        <v>708</v>
      </c>
      <c r="EN5343" t="s">
        <v>858</v>
      </c>
      <c r="EO5343">
        <v>126.69699999999999</v>
      </c>
    </row>
    <row r="5344" spans="142:145" x14ac:dyDescent="0.25">
      <c r="EL5344">
        <v>2000</v>
      </c>
      <c r="EM5344" t="s">
        <v>709</v>
      </c>
      <c r="EN5344" t="s">
        <v>858</v>
      </c>
      <c r="EO5344">
        <v>118.08</v>
      </c>
    </row>
    <row r="5345" spans="142:145" x14ac:dyDescent="0.25">
      <c r="EL5345">
        <v>2000</v>
      </c>
      <c r="EM5345" t="s">
        <v>710</v>
      </c>
      <c r="EN5345" t="s">
        <v>858</v>
      </c>
      <c r="EO5345">
        <v>118.66799999999999</v>
      </c>
    </row>
    <row r="5346" spans="142:145" x14ac:dyDescent="0.25">
      <c r="EL5346">
        <v>2000</v>
      </c>
      <c r="EM5346" t="s">
        <v>711</v>
      </c>
      <c r="EN5346" t="s">
        <v>858</v>
      </c>
      <c r="EO5346">
        <v>113.91000000000001</v>
      </c>
    </row>
    <row r="5347" spans="142:145" x14ac:dyDescent="0.25">
      <c r="EL5347">
        <v>2000</v>
      </c>
      <c r="EM5347" t="s">
        <v>712</v>
      </c>
      <c r="EN5347" t="s">
        <v>858</v>
      </c>
      <c r="EO5347">
        <v>125.76700000000001</v>
      </c>
    </row>
    <row r="5348" spans="142:145" x14ac:dyDescent="0.25">
      <c r="EL5348">
        <v>2001</v>
      </c>
      <c r="EM5348" t="s">
        <v>719</v>
      </c>
      <c r="EN5348" t="s">
        <v>858</v>
      </c>
      <c r="EO5348">
        <v>118.69900000000001</v>
      </c>
    </row>
    <row r="5349" spans="142:145" x14ac:dyDescent="0.25">
      <c r="EL5349">
        <v>2001</v>
      </c>
      <c r="EM5349" t="s">
        <v>713</v>
      </c>
      <c r="EN5349" t="s">
        <v>858</v>
      </c>
      <c r="EO5349">
        <v>116.452</v>
      </c>
    </row>
    <row r="5350" spans="142:145" x14ac:dyDescent="0.25">
      <c r="EL5350">
        <v>2001</v>
      </c>
      <c r="EM5350" t="s">
        <v>714</v>
      </c>
      <c r="EN5350" t="s">
        <v>858</v>
      </c>
      <c r="EO5350">
        <v>135.06700000000001</v>
      </c>
    </row>
    <row r="5351" spans="142:145" x14ac:dyDescent="0.25">
      <c r="EL5351">
        <v>2001</v>
      </c>
      <c r="EM5351" t="s">
        <v>705</v>
      </c>
      <c r="EN5351" t="s">
        <v>858</v>
      </c>
      <c r="EO5351">
        <v>136.15200000000002</v>
      </c>
    </row>
    <row r="5352" spans="142:145" x14ac:dyDescent="0.25">
      <c r="EL5352">
        <v>2001</v>
      </c>
      <c r="EM5352" t="s">
        <v>715</v>
      </c>
      <c r="EN5352" t="s">
        <v>858</v>
      </c>
      <c r="EO5352">
        <v>129.12</v>
      </c>
    </row>
    <row r="5353" spans="142:145" x14ac:dyDescent="0.25">
      <c r="EL5353">
        <v>2001</v>
      </c>
      <c r="EM5353" t="s">
        <v>718</v>
      </c>
      <c r="EN5353" t="s">
        <v>858</v>
      </c>
      <c r="EO5353">
        <v>134.13</v>
      </c>
    </row>
    <row r="5354" spans="142:145" x14ac:dyDescent="0.25">
      <c r="EL5354">
        <v>2001</v>
      </c>
      <c r="EM5354" t="s">
        <v>716</v>
      </c>
      <c r="EN5354" t="s">
        <v>858</v>
      </c>
      <c r="EO5354">
        <v>128.40200000000002</v>
      </c>
    </row>
    <row r="5355" spans="142:145" x14ac:dyDescent="0.25">
      <c r="EL5355">
        <v>2001</v>
      </c>
      <c r="EM5355" t="s">
        <v>708</v>
      </c>
      <c r="EN5355" t="s">
        <v>858</v>
      </c>
      <c r="EO5355">
        <v>124.86799999999998</v>
      </c>
    </row>
    <row r="5356" spans="142:145" x14ac:dyDescent="0.25">
      <c r="EL5356">
        <v>2001</v>
      </c>
      <c r="EM5356" t="s">
        <v>709</v>
      </c>
      <c r="EN5356" t="s">
        <v>858</v>
      </c>
      <c r="EO5356">
        <v>114.21</v>
      </c>
    </row>
    <row r="5357" spans="142:145" x14ac:dyDescent="0.25">
      <c r="EL5357">
        <v>2001</v>
      </c>
      <c r="EM5357" t="s">
        <v>710</v>
      </c>
      <c r="EN5357" t="s">
        <v>858</v>
      </c>
      <c r="EO5357">
        <v>118.97800000000001</v>
      </c>
    </row>
    <row r="5358" spans="142:145" x14ac:dyDescent="0.25">
      <c r="EL5358">
        <v>2001</v>
      </c>
      <c r="EM5358" t="s">
        <v>711</v>
      </c>
      <c r="EN5358" t="s">
        <v>858</v>
      </c>
      <c r="EO5358">
        <v>111.21</v>
      </c>
    </row>
    <row r="5359" spans="142:145" x14ac:dyDescent="0.25">
      <c r="EL5359">
        <v>2001</v>
      </c>
      <c r="EM5359" t="s">
        <v>712</v>
      </c>
      <c r="EN5359" t="s">
        <v>858</v>
      </c>
      <c r="EO5359">
        <v>114.886</v>
      </c>
    </row>
    <row r="5360" spans="142:145" x14ac:dyDescent="0.25">
      <c r="EL5360">
        <v>2002</v>
      </c>
      <c r="EM5360" t="s">
        <v>719</v>
      </c>
      <c r="EN5360" t="s">
        <v>858</v>
      </c>
      <c r="EO5360">
        <v>119.505</v>
      </c>
    </row>
    <row r="5361" spans="142:145" x14ac:dyDescent="0.25">
      <c r="EL5361">
        <v>2002</v>
      </c>
      <c r="EM5361" t="s">
        <v>713</v>
      </c>
      <c r="EN5361" t="s">
        <v>858</v>
      </c>
      <c r="EO5361">
        <v>101.92</v>
      </c>
    </row>
    <row r="5362" spans="142:145" x14ac:dyDescent="0.25">
      <c r="EL5362">
        <v>2002</v>
      </c>
      <c r="EM5362" t="s">
        <v>714</v>
      </c>
      <c r="EN5362" t="s">
        <v>858</v>
      </c>
      <c r="EO5362">
        <v>117.521</v>
      </c>
    </row>
    <row r="5363" spans="142:145" x14ac:dyDescent="0.25">
      <c r="EL5363">
        <v>2002</v>
      </c>
      <c r="EM5363" t="s">
        <v>705</v>
      </c>
      <c r="EN5363" t="s">
        <v>858</v>
      </c>
      <c r="EO5363">
        <v>112.38</v>
      </c>
    </row>
    <row r="5364" spans="142:145" x14ac:dyDescent="0.25">
      <c r="EL5364">
        <v>2002</v>
      </c>
      <c r="EM5364" t="s">
        <v>715</v>
      </c>
      <c r="EN5364" t="s">
        <v>858</v>
      </c>
      <c r="EO5364">
        <v>118.97800000000001</v>
      </c>
    </row>
    <row r="5365" spans="142:145" x14ac:dyDescent="0.25">
      <c r="EL5365">
        <v>2002</v>
      </c>
      <c r="EM5365" t="s">
        <v>718</v>
      </c>
      <c r="EN5365" t="s">
        <v>858</v>
      </c>
      <c r="EO5365">
        <v>108.80999999999999</v>
      </c>
    </row>
    <row r="5366" spans="142:145" x14ac:dyDescent="0.25">
      <c r="EL5366">
        <v>2002</v>
      </c>
      <c r="EM5366" t="s">
        <v>716</v>
      </c>
      <c r="EN5366" t="s">
        <v>858</v>
      </c>
      <c r="EO5366">
        <v>106.175</v>
      </c>
    </row>
    <row r="5367" spans="142:145" x14ac:dyDescent="0.25">
      <c r="EL5367">
        <v>2002</v>
      </c>
      <c r="EM5367" t="s">
        <v>708</v>
      </c>
      <c r="EN5367" t="s">
        <v>858</v>
      </c>
      <c r="EO5367">
        <v>94.673999999999992</v>
      </c>
    </row>
    <row r="5368" spans="142:145" x14ac:dyDescent="0.25">
      <c r="EL5368">
        <v>2002</v>
      </c>
      <c r="EM5368" t="s">
        <v>709</v>
      </c>
      <c r="EN5368" t="s">
        <v>858</v>
      </c>
      <c r="EO5368">
        <v>84.72</v>
      </c>
    </row>
    <row r="5369" spans="142:145" x14ac:dyDescent="0.25">
      <c r="EL5369">
        <v>2002</v>
      </c>
      <c r="EM5369" t="s">
        <v>710</v>
      </c>
      <c r="EN5369" t="s">
        <v>858</v>
      </c>
      <c r="EO5369">
        <v>84.350999999999999</v>
      </c>
    </row>
    <row r="5370" spans="142:145" x14ac:dyDescent="0.25">
      <c r="EL5370">
        <v>2002</v>
      </c>
      <c r="EM5370" t="s">
        <v>711</v>
      </c>
      <c r="EN5370" t="s">
        <v>858</v>
      </c>
      <c r="EO5370">
        <v>96.3</v>
      </c>
    </row>
    <row r="5371" spans="142:145" x14ac:dyDescent="0.25">
      <c r="EL5371">
        <v>2002</v>
      </c>
      <c r="EM5371" t="s">
        <v>712</v>
      </c>
      <c r="EN5371" t="s">
        <v>858</v>
      </c>
      <c r="EO5371">
        <v>109.80199999999999</v>
      </c>
    </row>
    <row r="5372" spans="142:145" x14ac:dyDescent="0.25">
      <c r="EL5372">
        <v>2003</v>
      </c>
      <c r="EM5372" t="s">
        <v>719</v>
      </c>
      <c r="EN5372" t="s">
        <v>858</v>
      </c>
      <c r="EO5372">
        <v>104.904</v>
      </c>
    </row>
    <row r="5373" spans="142:145" x14ac:dyDescent="0.25">
      <c r="EL5373">
        <v>2003</v>
      </c>
      <c r="EM5373" t="s">
        <v>713</v>
      </c>
      <c r="EN5373" t="s">
        <v>858</v>
      </c>
      <c r="EO5373">
        <v>105.50399999999999</v>
      </c>
    </row>
    <row r="5374" spans="142:145" x14ac:dyDescent="0.25">
      <c r="EL5374">
        <v>2003</v>
      </c>
      <c r="EM5374" t="s">
        <v>714</v>
      </c>
      <c r="EN5374" t="s">
        <v>858</v>
      </c>
      <c r="EO5374">
        <v>141.32900000000001</v>
      </c>
    </row>
    <row r="5375" spans="142:145" x14ac:dyDescent="0.25">
      <c r="EL5375">
        <v>2003</v>
      </c>
      <c r="EM5375" t="s">
        <v>705</v>
      </c>
      <c r="EN5375" t="s">
        <v>858</v>
      </c>
      <c r="EO5375">
        <v>127.68</v>
      </c>
    </row>
    <row r="5376" spans="142:145" x14ac:dyDescent="0.25">
      <c r="EL5376">
        <v>2003</v>
      </c>
      <c r="EM5376" t="s">
        <v>715</v>
      </c>
      <c r="EN5376" t="s">
        <v>858</v>
      </c>
      <c r="EO5376">
        <v>135.47</v>
      </c>
    </row>
    <row r="5377" spans="142:145" x14ac:dyDescent="0.25">
      <c r="EL5377">
        <v>2003</v>
      </c>
      <c r="EM5377" t="s">
        <v>718</v>
      </c>
      <c r="EN5377" t="s">
        <v>858</v>
      </c>
      <c r="EO5377">
        <v>148.35000000000002</v>
      </c>
    </row>
    <row r="5378" spans="142:145" x14ac:dyDescent="0.25">
      <c r="EL5378">
        <v>2003</v>
      </c>
      <c r="EM5378" t="s">
        <v>716</v>
      </c>
      <c r="EN5378" t="s">
        <v>858</v>
      </c>
      <c r="EO5378">
        <v>139.28300000000002</v>
      </c>
    </row>
    <row r="5379" spans="142:145" x14ac:dyDescent="0.25">
      <c r="EL5379">
        <v>2003</v>
      </c>
      <c r="EM5379" t="s">
        <v>708</v>
      </c>
      <c r="EN5379" t="s">
        <v>858</v>
      </c>
      <c r="EO5379">
        <v>125.82900000000001</v>
      </c>
    </row>
    <row r="5380" spans="142:145" x14ac:dyDescent="0.25">
      <c r="EL5380">
        <v>2003</v>
      </c>
      <c r="EM5380" t="s">
        <v>709</v>
      </c>
      <c r="EN5380" t="s">
        <v>858</v>
      </c>
      <c r="EO5380">
        <v>117.6</v>
      </c>
    </row>
    <row r="5381" spans="142:145" x14ac:dyDescent="0.25">
      <c r="EL5381">
        <v>2003</v>
      </c>
      <c r="EM5381" t="s">
        <v>710</v>
      </c>
      <c r="EN5381" t="s">
        <v>858</v>
      </c>
      <c r="EO5381">
        <v>132.28399999999999</v>
      </c>
    </row>
    <row r="5382" spans="142:145" x14ac:dyDescent="0.25">
      <c r="EL5382">
        <v>2003</v>
      </c>
      <c r="EM5382" t="s">
        <v>711</v>
      </c>
      <c r="EN5382" t="s">
        <v>858</v>
      </c>
      <c r="EO5382">
        <v>141.221</v>
      </c>
    </row>
    <row r="5383" spans="142:145" x14ac:dyDescent="0.25">
      <c r="EL5383">
        <v>2003</v>
      </c>
      <c r="EM5383" t="s">
        <v>712</v>
      </c>
      <c r="EN5383" t="s">
        <v>858</v>
      </c>
      <c r="EO5383">
        <v>161.12899999999999</v>
      </c>
    </row>
    <row r="5384" spans="142:145" x14ac:dyDescent="0.25">
      <c r="EL5384">
        <v>2004</v>
      </c>
      <c r="EM5384" t="s">
        <v>719</v>
      </c>
      <c r="EN5384" t="s">
        <v>858</v>
      </c>
      <c r="EO5384">
        <v>142.75299999999999</v>
      </c>
    </row>
    <row r="5385" spans="142:145" x14ac:dyDescent="0.25">
      <c r="EL5385">
        <v>2004</v>
      </c>
      <c r="EM5385" t="s">
        <v>713</v>
      </c>
      <c r="EN5385" t="s">
        <v>858</v>
      </c>
      <c r="EO5385">
        <v>138.75800000000001</v>
      </c>
    </row>
    <row r="5386" spans="142:145" x14ac:dyDescent="0.25">
      <c r="EL5386">
        <v>2004</v>
      </c>
      <c r="EM5386" t="s">
        <v>714</v>
      </c>
      <c r="EN5386" t="s">
        <v>858</v>
      </c>
      <c r="EO5386">
        <v>142.84299999999999</v>
      </c>
    </row>
    <row r="5387" spans="142:145" x14ac:dyDescent="0.25">
      <c r="EL5387">
        <v>2004</v>
      </c>
      <c r="EM5387" t="s">
        <v>705</v>
      </c>
      <c r="EN5387" t="s">
        <v>858</v>
      </c>
      <c r="EO5387">
        <v>144.697</v>
      </c>
    </row>
    <row r="5388" spans="142:145" x14ac:dyDescent="0.25">
      <c r="EL5388">
        <v>2004</v>
      </c>
      <c r="EM5388" t="s">
        <v>715</v>
      </c>
      <c r="EN5388" t="s">
        <v>858</v>
      </c>
      <c r="EO5388">
        <v>148.274</v>
      </c>
    </row>
    <row r="5389" spans="142:145" x14ac:dyDescent="0.25">
      <c r="EL5389">
        <v>2004</v>
      </c>
      <c r="EM5389" t="s">
        <v>718</v>
      </c>
      <c r="EN5389" t="s">
        <v>858</v>
      </c>
      <c r="EO5389">
        <v>139.47399999999999</v>
      </c>
    </row>
    <row r="5390" spans="142:145" x14ac:dyDescent="0.25">
      <c r="EL5390">
        <v>2004</v>
      </c>
      <c r="EM5390" t="s">
        <v>716</v>
      </c>
      <c r="EN5390" t="s">
        <v>858</v>
      </c>
      <c r="EO5390">
        <v>138.55500000000001</v>
      </c>
    </row>
    <row r="5391" spans="142:145" x14ac:dyDescent="0.25">
      <c r="EL5391">
        <v>2004</v>
      </c>
      <c r="EM5391" t="s">
        <v>708</v>
      </c>
      <c r="EN5391" t="s">
        <v>858</v>
      </c>
      <c r="EO5391">
        <v>130.39943333333301</v>
      </c>
    </row>
    <row r="5392" spans="142:145" x14ac:dyDescent="0.25">
      <c r="EL5392">
        <v>2004</v>
      </c>
      <c r="EM5392" t="s">
        <v>709</v>
      </c>
      <c r="EN5392" t="s">
        <v>858</v>
      </c>
      <c r="EO5392">
        <v>125.977</v>
      </c>
    </row>
    <row r="5393" spans="142:145" x14ac:dyDescent="0.25">
      <c r="EL5393">
        <v>2004</v>
      </c>
      <c r="EM5393" t="s">
        <v>710</v>
      </c>
      <c r="EN5393" t="s">
        <v>858</v>
      </c>
      <c r="EO5393">
        <v>120.714</v>
      </c>
    </row>
    <row r="5394" spans="142:145" x14ac:dyDescent="0.25">
      <c r="EL5394">
        <v>2004</v>
      </c>
      <c r="EM5394" t="s">
        <v>711</v>
      </c>
      <c r="EN5394" t="s">
        <v>858</v>
      </c>
      <c r="EO5394">
        <v>129.19300000000001</v>
      </c>
    </row>
    <row r="5395" spans="142:145" x14ac:dyDescent="0.25">
      <c r="EL5395">
        <v>2004</v>
      </c>
      <c r="EM5395" t="s">
        <v>712</v>
      </c>
      <c r="EN5395" t="s">
        <v>858</v>
      </c>
      <c r="EO5395">
        <v>134.126</v>
      </c>
    </row>
    <row r="5396" spans="142:145" x14ac:dyDescent="0.25">
      <c r="EL5396">
        <v>2005</v>
      </c>
      <c r="EM5396" t="s">
        <v>719</v>
      </c>
      <c r="EN5396" t="s">
        <v>858</v>
      </c>
      <c r="EO5396">
        <v>142.13800000000001</v>
      </c>
    </row>
    <row r="5397" spans="142:145" x14ac:dyDescent="0.25">
      <c r="EL5397">
        <v>2005</v>
      </c>
      <c r="EM5397" t="s">
        <v>713</v>
      </c>
      <c r="EN5397" t="s">
        <v>858</v>
      </c>
      <c r="EO5397">
        <v>125.03100000000001</v>
      </c>
    </row>
    <row r="5398" spans="142:145" x14ac:dyDescent="0.25">
      <c r="EL5398">
        <v>2005</v>
      </c>
      <c r="EM5398" t="s">
        <v>714</v>
      </c>
      <c r="EN5398" t="s">
        <v>858</v>
      </c>
      <c r="EO5398">
        <v>144.928</v>
      </c>
    </row>
    <row r="5399" spans="142:145" x14ac:dyDescent="0.25">
      <c r="EL5399">
        <v>2005</v>
      </c>
      <c r="EM5399" t="s">
        <v>705</v>
      </c>
      <c r="EN5399" t="s">
        <v>858</v>
      </c>
      <c r="EO5399">
        <v>153.029</v>
      </c>
    </row>
    <row r="5400" spans="142:145" x14ac:dyDescent="0.25">
      <c r="EL5400">
        <v>2005</v>
      </c>
      <c r="EM5400" t="s">
        <v>715</v>
      </c>
      <c r="EN5400" t="s">
        <v>858</v>
      </c>
      <c r="EO5400">
        <v>137.113</v>
      </c>
    </row>
    <row r="5401" spans="142:145" x14ac:dyDescent="0.25">
      <c r="EL5401">
        <v>2005</v>
      </c>
      <c r="EM5401" t="s">
        <v>718</v>
      </c>
      <c r="EN5401" t="s">
        <v>858</v>
      </c>
      <c r="EO5401">
        <v>139.089</v>
      </c>
    </row>
    <row r="5402" spans="142:145" x14ac:dyDescent="0.25">
      <c r="EL5402">
        <v>2005</v>
      </c>
      <c r="EM5402" t="s">
        <v>716</v>
      </c>
      <c r="EN5402" t="s">
        <v>858</v>
      </c>
      <c r="EO5402">
        <v>150.80199999999999</v>
      </c>
    </row>
    <row r="5403" spans="142:145" x14ac:dyDescent="0.25">
      <c r="EL5403">
        <v>2005</v>
      </c>
      <c r="EM5403" t="s">
        <v>708</v>
      </c>
      <c r="EN5403" t="s">
        <v>858</v>
      </c>
      <c r="EO5403">
        <v>134.577</v>
      </c>
    </row>
    <row r="5404" spans="142:145" x14ac:dyDescent="0.25">
      <c r="EL5404">
        <v>2005</v>
      </c>
      <c r="EM5404" t="s">
        <v>709</v>
      </c>
      <c r="EN5404" t="s">
        <v>858</v>
      </c>
      <c r="EO5404">
        <v>121.075</v>
      </c>
    </row>
    <row r="5405" spans="142:145" x14ac:dyDescent="0.25">
      <c r="EL5405">
        <v>2005</v>
      </c>
      <c r="EM5405" t="s">
        <v>710</v>
      </c>
      <c r="EN5405" t="s">
        <v>858</v>
      </c>
      <c r="EO5405">
        <v>144.441</v>
      </c>
    </row>
    <row r="5406" spans="142:145" x14ac:dyDescent="0.25">
      <c r="EL5406">
        <v>2005</v>
      </c>
      <c r="EM5406" t="s">
        <v>711</v>
      </c>
      <c r="EN5406" t="s">
        <v>858</v>
      </c>
      <c r="EO5406">
        <v>135.19499999999999</v>
      </c>
    </row>
    <row r="5407" spans="142:145" x14ac:dyDescent="0.25">
      <c r="EL5407">
        <v>2005</v>
      </c>
      <c r="EM5407" t="s">
        <v>712</v>
      </c>
      <c r="EN5407" t="s">
        <v>858</v>
      </c>
      <c r="EO5407">
        <v>144.857</v>
      </c>
    </row>
    <row r="5408" spans="142:145" x14ac:dyDescent="0.25">
      <c r="EL5408">
        <v>2006</v>
      </c>
      <c r="EM5408" t="s">
        <v>719</v>
      </c>
      <c r="EN5408" t="s">
        <v>858</v>
      </c>
      <c r="EO5408">
        <v>150.535</v>
      </c>
    </row>
    <row r="5409" spans="142:145" x14ac:dyDescent="0.25">
      <c r="EL5409">
        <v>2006</v>
      </c>
      <c r="EM5409" t="s">
        <v>713</v>
      </c>
      <c r="EN5409" t="s">
        <v>858</v>
      </c>
      <c r="EO5409">
        <v>140.18299999999999</v>
      </c>
    </row>
    <row r="5410" spans="142:145" x14ac:dyDescent="0.25">
      <c r="EL5410">
        <v>2006</v>
      </c>
      <c r="EM5410" t="s">
        <v>714</v>
      </c>
      <c r="EN5410" t="s">
        <v>858</v>
      </c>
      <c r="EO5410">
        <v>141.6</v>
      </c>
    </row>
    <row r="5411" spans="142:145" x14ac:dyDescent="0.25">
      <c r="EL5411">
        <v>2006</v>
      </c>
      <c r="EM5411" t="s">
        <v>705</v>
      </c>
      <c r="EN5411" t="s">
        <v>858</v>
      </c>
      <c r="EO5411">
        <v>136.15299999999999</v>
      </c>
    </row>
    <row r="5412" spans="142:145" x14ac:dyDescent="0.25">
      <c r="EL5412">
        <v>2006</v>
      </c>
      <c r="EM5412" t="s">
        <v>715</v>
      </c>
      <c r="EN5412" t="s">
        <v>858</v>
      </c>
      <c r="EO5412">
        <v>135.82</v>
      </c>
    </row>
    <row r="5413" spans="142:145" x14ac:dyDescent="0.25">
      <c r="EL5413">
        <v>2006</v>
      </c>
      <c r="EM5413" t="s">
        <v>718</v>
      </c>
      <c r="EN5413" t="s">
        <v>858</v>
      </c>
      <c r="EO5413">
        <v>142.434</v>
      </c>
    </row>
    <row r="5414" spans="142:145" x14ac:dyDescent="0.25">
      <c r="EL5414">
        <v>2006</v>
      </c>
      <c r="EM5414" t="s">
        <v>716</v>
      </c>
      <c r="EN5414" t="s">
        <v>858</v>
      </c>
      <c r="EO5414">
        <v>140.702</v>
      </c>
    </row>
    <row r="5415" spans="142:145" x14ac:dyDescent="0.25">
      <c r="EL5415">
        <v>2006</v>
      </c>
      <c r="EM5415" t="s">
        <v>708</v>
      </c>
      <c r="EN5415" t="s">
        <v>858</v>
      </c>
      <c r="EO5415">
        <v>122.117</v>
      </c>
    </row>
    <row r="5416" spans="142:145" x14ac:dyDescent="0.25">
      <c r="EL5416">
        <v>2006</v>
      </c>
      <c r="EM5416" t="s">
        <v>709</v>
      </c>
      <c r="EN5416" t="s">
        <v>858</v>
      </c>
      <c r="EO5416">
        <v>124.155</v>
      </c>
    </row>
    <row r="5417" spans="142:145" x14ac:dyDescent="0.25">
      <c r="EL5417">
        <v>2006</v>
      </c>
      <c r="EM5417" t="s">
        <v>710</v>
      </c>
      <c r="EN5417" t="s">
        <v>858</v>
      </c>
      <c r="EO5417">
        <v>134.49</v>
      </c>
    </row>
    <row r="5418" spans="142:145" x14ac:dyDescent="0.25">
      <c r="EL5418">
        <v>2006</v>
      </c>
      <c r="EM5418" t="s">
        <v>711</v>
      </c>
      <c r="EN5418" t="s">
        <v>858</v>
      </c>
      <c r="EO5418">
        <v>148.745</v>
      </c>
    </row>
    <row r="5419" spans="142:145" x14ac:dyDescent="0.25">
      <c r="EL5419">
        <v>2006</v>
      </c>
      <c r="EM5419" t="s">
        <v>712</v>
      </c>
      <c r="EN5419" t="s">
        <v>858</v>
      </c>
      <c r="EO5419">
        <v>140.34100000000001</v>
      </c>
    </row>
    <row r="5420" spans="142:145" x14ac:dyDescent="0.25">
      <c r="EL5420">
        <v>2007</v>
      </c>
      <c r="EM5420" t="s">
        <v>719</v>
      </c>
      <c r="EN5420" t="s">
        <v>858</v>
      </c>
      <c r="EO5420">
        <v>151.77000000000001</v>
      </c>
    </row>
    <row r="5421" spans="142:145" x14ac:dyDescent="0.25">
      <c r="EL5421">
        <v>2007</v>
      </c>
      <c r="EM5421" t="s">
        <v>713</v>
      </c>
      <c r="EN5421" t="s">
        <v>858</v>
      </c>
      <c r="EO5421">
        <v>118.41500000000001</v>
      </c>
    </row>
    <row r="5422" spans="142:145" x14ac:dyDescent="0.25">
      <c r="EL5422">
        <v>2007</v>
      </c>
      <c r="EM5422" t="s">
        <v>714</v>
      </c>
      <c r="EN5422" t="s">
        <v>858</v>
      </c>
      <c r="EO5422">
        <v>151.54300000000001</v>
      </c>
    </row>
    <row r="5423" spans="142:145" x14ac:dyDescent="0.25">
      <c r="EL5423">
        <v>2007</v>
      </c>
      <c r="EM5423" t="s">
        <v>705</v>
      </c>
      <c r="EN5423" t="s">
        <v>858</v>
      </c>
      <c r="EO5423">
        <v>125.465</v>
      </c>
    </row>
    <row r="5424" spans="142:145" x14ac:dyDescent="0.25">
      <c r="EL5424">
        <v>2007</v>
      </c>
      <c r="EM5424" t="s">
        <v>715</v>
      </c>
      <c r="EN5424" t="s">
        <v>858</v>
      </c>
      <c r="EO5424">
        <v>117.94499999999999</v>
      </c>
    </row>
    <row r="5425" spans="142:145" x14ac:dyDescent="0.25">
      <c r="EL5425">
        <v>2007</v>
      </c>
      <c r="EM5425" t="s">
        <v>718</v>
      </c>
      <c r="EN5425" t="s">
        <v>858</v>
      </c>
      <c r="EO5425">
        <v>114.398</v>
      </c>
    </row>
    <row r="5426" spans="142:145" x14ac:dyDescent="0.25">
      <c r="EL5426">
        <v>2007</v>
      </c>
      <c r="EM5426" t="s">
        <v>716</v>
      </c>
      <c r="EN5426" t="s">
        <v>858</v>
      </c>
      <c r="EO5426">
        <v>111.907</v>
      </c>
    </row>
    <row r="5427" spans="142:145" x14ac:dyDescent="0.25">
      <c r="EL5427">
        <v>2007</v>
      </c>
      <c r="EM5427" t="s">
        <v>708</v>
      </c>
      <c r="EN5427" t="s">
        <v>858</v>
      </c>
      <c r="EO5427">
        <v>117.77200000000001</v>
      </c>
    </row>
    <row r="5428" spans="142:145" x14ac:dyDescent="0.25">
      <c r="EL5428">
        <v>2007</v>
      </c>
      <c r="EM5428" t="s">
        <v>709</v>
      </c>
      <c r="EN5428" t="s">
        <v>858</v>
      </c>
      <c r="EO5428">
        <v>109.178</v>
      </c>
    </row>
    <row r="5429" spans="142:145" x14ac:dyDescent="0.25">
      <c r="EL5429">
        <v>2007</v>
      </c>
      <c r="EM5429" t="s">
        <v>710</v>
      </c>
      <c r="EN5429" t="s">
        <v>858</v>
      </c>
      <c r="EO5429">
        <v>112.806</v>
      </c>
    </row>
    <row r="5430" spans="142:145" x14ac:dyDescent="0.25">
      <c r="EL5430">
        <v>2007</v>
      </c>
      <c r="EM5430" t="s">
        <v>711</v>
      </c>
      <c r="EN5430" t="s">
        <v>858</v>
      </c>
      <c r="EO5430">
        <v>109.128</v>
      </c>
    </row>
    <row r="5431" spans="142:145" x14ac:dyDescent="0.25">
      <c r="EL5431">
        <v>2007</v>
      </c>
      <c r="EM5431" t="s">
        <v>712</v>
      </c>
      <c r="EN5431" t="s">
        <v>858</v>
      </c>
      <c r="EO5431">
        <v>112.47</v>
      </c>
    </row>
    <row r="5432" spans="142:145" x14ac:dyDescent="0.25">
      <c r="EL5432">
        <v>2008</v>
      </c>
      <c r="EM5432" t="s">
        <v>719</v>
      </c>
      <c r="EN5432" t="s">
        <v>858</v>
      </c>
      <c r="EO5432">
        <v>114.908</v>
      </c>
    </row>
    <row r="5433" spans="142:145" x14ac:dyDescent="0.25">
      <c r="EL5433">
        <v>2008</v>
      </c>
      <c r="EM5433" t="s">
        <v>713</v>
      </c>
      <c r="EN5433" t="s">
        <v>858</v>
      </c>
      <c r="EO5433">
        <v>149.76</v>
      </c>
    </row>
    <row r="5434" spans="142:145" x14ac:dyDescent="0.25">
      <c r="EL5434">
        <v>2008</v>
      </c>
      <c r="EM5434" t="s">
        <v>714</v>
      </c>
      <c r="EN5434" t="s">
        <v>858</v>
      </c>
      <c r="EO5434">
        <v>145.21100000000001</v>
      </c>
    </row>
    <row r="5435" spans="142:145" x14ac:dyDescent="0.25">
      <c r="EL5435">
        <v>2008</v>
      </c>
      <c r="EM5435" t="s">
        <v>705</v>
      </c>
      <c r="EN5435" t="s">
        <v>858</v>
      </c>
      <c r="EO5435">
        <v>175.566</v>
      </c>
    </row>
    <row r="5436" spans="142:145" x14ac:dyDescent="0.25">
      <c r="EL5436">
        <v>2008</v>
      </c>
      <c r="EM5436" t="s">
        <v>715</v>
      </c>
      <c r="EN5436" t="s">
        <v>858</v>
      </c>
      <c r="EO5436">
        <v>202.18</v>
      </c>
    </row>
    <row r="5437" spans="142:145" x14ac:dyDescent="0.25">
      <c r="EL5437">
        <v>2008</v>
      </c>
      <c r="EM5437" t="s">
        <v>718</v>
      </c>
      <c r="EN5437" t="s">
        <v>858</v>
      </c>
      <c r="EO5437">
        <v>181.00200000000001</v>
      </c>
    </row>
    <row r="5438" spans="142:145" x14ac:dyDescent="0.25">
      <c r="EL5438">
        <v>2008</v>
      </c>
      <c r="EM5438" t="s">
        <v>716</v>
      </c>
      <c r="EN5438" t="s">
        <v>858</v>
      </c>
      <c r="EO5438">
        <v>166.601</v>
      </c>
    </row>
    <row r="5439" spans="142:145" x14ac:dyDescent="0.25">
      <c r="EL5439">
        <v>2008</v>
      </c>
      <c r="EM5439" t="s">
        <v>708</v>
      </c>
      <c r="EN5439" t="s">
        <v>858</v>
      </c>
      <c r="EO5439">
        <v>154.38800000000001</v>
      </c>
    </row>
    <row r="5440" spans="142:145" x14ac:dyDescent="0.25">
      <c r="EL5440">
        <v>2008</v>
      </c>
      <c r="EM5440" t="s">
        <v>709</v>
      </c>
      <c r="EN5440" t="s">
        <v>858</v>
      </c>
      <c r="EO5440">
        <v>166.773</v>
      </c>
    </row>
    <row r="5441" spans="142:145" x14ac:dyDescent="0.25">
      <c r="EL5441">
        <v>2008</v>
      </c>
      <c r="EM5441" t="s">
        <v>710</v>
      </c>
      <c r="EN5441" t="s">
        <v>858</v>
      </c>
      <c r="EO5441">
        <v>161.65100000000001</v>
      </c>
    </row>
    <row r="5442" spans="142:145" x14ac:dyDescent="0.25">
      <c r="EL5442">
        <v>2008</v>
      </c>
      <c r="EM5442" t="s">
        <v>711</v>
      </c>
      <c r="EN5442" t="s">
        <v>858</v>
      </c>
      <c r="EO5442">
        <v>151.24100000000001</v>
      </c>
    </row>
    <row r="5443" spans="142:145" x14ac:dyDescent="0.25">
      <c r="EL5443">
        <v>2008</v>
      </c>
      <c r="EM5443" t="s">
        <v>712</v>
      </c>
      <c r="EN5443" t="s">
        <v>858</v>
      </c>
      <c r="EO5443">
        <v>162.84800000000001</v>
      </c>
    </row>
    <row r="5444" spans="142:145" x14ac:dyDescent="0.25">
      <c r="EL5444">
        <v>2009</v>
      </c>
      <c r="EM5444" t="s">
        <v>719</v>
      </c>
      <c r="EN5444" t="s">
        <v>858</v>
      </c>
      <c r="EO5444">
        <v>166.614</v>
      </c>
    </row>
    <row r="5445" spans="142:145" x14ac:dyDescent="0.25">
      <c r="EL5445">
        <v>2009</v>
      </c>
      <c r="EM5445" t="s">
        <v>713</v>
      </c>
      <c r="EN5445" t="s">
        <v>858</v>
      </c>
      <c r="EO5445">
        <v>142.90299999999999</v>
      </c>
    </row>
    <row r="5446" spans="142:145" x14ac:dyDescent="0.25">
      <c r="EL5446">
        <v>2009</v>
      </c>
      <c r="EM5446" t="s">
        <v>714</v>
      </c>
      <c r="EN5446" t="s">
        <v>858</v>
      </c>
      <c r="EO5446">
        <v>162.90899999999999</v>
      </c>
    </row>
    <row r="5447" spans="142:145" x14ac:dyDescent="0.25">
      <c r="EL5447">
        <v>2009</v>
      </c>
      <c r="EM5447" t="s">
        <v>705</v>
      </c>
      <c r="EN5447" t="s">
        <v>858</v>
      </c>
      <c r="EO5447">
        <v>172.714</v>
      </c>
    </row>
    <row r="5448" spans="142:145" x14ac:dyDescent="0.25">
      <c r="EL5448">
        <v>2009</v>
      </c>
      <c r="EM5448" t="s">
        <v>715</v>
      </c>
      <c r="EN5448" t="s">
        <v>858</v>
      </c>
      <c r="EO5448">
        <v>198.565</v>
      </c>
    </row>
    <row r="5449" spans="142:145" x14ac:dyDescent="0.25">
      <c r="EL5449">
        <v>2009</v>
      </c>
      <c r="EM5449" t="s">
        <v>718</v>
      </c>
      <c r="EN5449" t="s">
        <v>858</v>
      </c>
      <c r="EO5449">
        <v>210.42400000000001</v>
      </c>
    </row>
    <row r="5450" spans="142:145" x14ac:dyDescent="0.25">
      <c r="EL5450">
        <v>2009</v>
      </c>
      <c r="EM5450" t="s">
        <v>716</v>
      </c>
      <c r="EN5450" t="s">
        <v>858</v>
      </c>
      <c r="EO5450">
        <v>184.51400000000001</v>
      </c>
    </row>
    <row r="5451" spans="142:145" x14ac:dyDescent="0.25">
      <c r="EL5451">
        <v>2009</v>
      </c>
      <c r="EM5451" t="s">
        <v>708</v>
      </c>
      <c r="EN5451" t="s">
        <v>858</v>
      </c>
      <c r="EO5451">
        <v>190.88800000000001</v>
      </c>
    </row>
    <row r="5452" spans="142:145" x14ac:dyDescent="0.25">
      <c r="EL5452">
        <v>2009</v>
      </c>
      <c r="EM5452" t="s">
        <v>709</v>
      </c>
      <c r="EN5452" t="s">
        <v>858</v>
      </c>
      <c r="EO5452">
        <v>177.08799999999999</v>
      </c>
    </row>
    <row r="5453" spans="142:145" x14ac:dyDescent="0.25">
      <c r="EL5453">
        <v>2009</v>
      </c>
      <c r="EM5453" t="s">
        <v>710</v>
      </c>
      <c r="EN5453" t="s">
        <v>858</v>
      </c>
      <c r="EO5453">
        <v>181.054</v>
      </c>
    </row>
    <row r="5454" spans="142:145" x14ac:dyDescent="0.25">
      <c r="EL5454">
        <v>2009</v>
      </c>
      <c r="EM5454" t="s">
        <v>711</v>
      </c>
      <c r="EN5454" t="s">
        <v>858</v>
      </c>
      <c r="EO5454">
        <v>187.00899999999999</v>
      </c>
    </row>
    <row r="5455" spans="142:145" x14ac:dyDescent="0.25">
      <c r="EL5455">
        <v>2009</v>
      </c>
      <c r="EM5455" t="s">
        <v>712</v>
      </c>
      <c r="EN5455" t="s">
        <v>858</v>
      </c>
      <c r="EO5455">
        <v>215.42500000000001</v>
      </c>
    </row>
    <row r="5456" spans="142:145" x14ac:dyDescent="0.25">
      <c r="EL5456">
        <v>2010</v>
      </c>
      <c r="EM5456" t="s">
        <v>719</v>
      </c>
      <c r="EN5456" t="s">
        <v>858</v>
      </c>
      <c r="EO5456">
        <v>201.97200000000001</v>
      </c>
    </row>
    <row r="5457" spans="142:145" x14ac:dyDescent="0.25">
      <c r="EL5457">
        <v>2010</v>
      </c>
      <c r="EM5457" t="s">
        <v>713</v>
      </c>
      <c r="EN5457" t="s">
        <v>858</v>
      </c>
      <c r="EO5457">
        <v>185.71700000000001</v>
      </c>
    </row>
    <row r="5458" spans="142:145" x14ac:dyDescent="0.25">
      <c r="EL5458">
        <v>2010</v>
      </c>
      <c r="EM5458" t="s">
        <v>714</v>
      </c>
      <c r="EN5458" t="s">
        <v>858</v>
      </c>
      <c r="EO5458">
        <v>223.26400000000001</v>
      </c>
    </row>
    <row r="5459" spans="142:145" x14ac:dyDescent="0.25">
      <c r="EL5459">
        <v>2010</v>
      </c>
      <c r="EM5459" t="s">
        <v>705</v>
      </c>
      <c r="EN5459" t="s">
        <v>858</v>
      </c>
      <c r="EO5459">
        <v>203.66399999999999</v>
      </c>
    </row>
    <row r="5460" spans="142:145" x14ac:dyDescent="0.25">
      <c r="EL5460">
        <v>2010</v>
      </c>
      <c r="EM5460" t="s">
        <v>715</v>
      </c>
      <c r="EN5460" t="s">
        <v>858</v>
      </c>
      <c r="EO5460">
        <v>200.47900000000001</v>
      </c>
    </row>
    <row r="5461" spans="142:145" x14ac:dyDescent="0.25">
      <c r="EL5461">
        <v>2010</v>
      </c>
      <c r="EM5461" t="s">
        <v>718</v>
      </c>
      <c r="EN5461" t="s">
        <v>858</v>
      </c>
      <c r="EO5461">
        <v>195.715</v>
      </c>
    </row>
    <row r="5462" spans="142:145" x14ac:dyDescent="0.25">
      <c r="EL5462">
        <v>2010</v>
      </c>
      <c r="EM5462" t="s">
        <v>716</v>
      </c>
      <c r="EN5462" t="s">
        <v>858</v>
      </c>
      <c r="EO5462">
        <v>185.07599999999999</v>
      </c>
    </row>
    <row r="5463" spans="142:145" x14ac:dyDescent="0.25">
      <c r="EL5463">
        <v>2010</v>
      </c>
      <c r="EM5463" t="s">
        <v>708</v>
      </c>
      <c r="EN5463" t="s">
        <v>858</v>
      </c>
      <c r="EO5463">
        <v>187.71</v>
      </c>
    </row>
    <row r="5464" spans="142:145" x14ac:dyDescent="0.25">
      <c r="EL5464">
        <v>2010</v>
      </c>
      <c r="EM5464" t="s">
        <v>709</v>
      </c>
      <c r="EN5464" t="s">
        <v>858</v>
      </c>
      <c r="EO5464">
        <v>166.952</v>
      </c>
    </row>
    <row r="5465" spans="142:145" x14ac:dyDescent="0.25">
      <c r="EL5465">
        <v>2010</v>
      </c>
      <c r="EM5465" t="s">
        <v>710</v>
      </c>
      <c r="EN5465" t="s">
        <v>858</v>
      </c>
      <c r="EO5465">
        <v>193.52199999999999</v>
      </c>
    </row>
    <row r="5466" spans="142:145" x14ac:dyDescent="0.25">
      <c r="EL5466">
        <v>2010</v>
      </c>
      <c r="EM5466" t="s">
        <v>711</v>
      </c>
      <c r="EN5466" t="s">
        <v>858</v>
      </c>
      <c r="EO5466">
        <v>271.86</v>
      </c>
    </row>
    <row r="5467" spans="142:145" x14ac:dyDescent="0.25">
      <c r="EL5467">
        <v>2010</v>
      </c>
      <c r="EM5467" t="s">
        <v>712</v>
      </c>
      <c r="EN5467" t="s">
        <v>858</v>
      </c>
      <c r="EO5467">
        <v>282.33</v>
      </c>
    </row>
    <row r="5468" spans="142:145" x14ac:dyDescent="0.25">
      <c r="EL5468">
        <v>2011</v>
      </c>
      <c r="EM5468" t="s">
        <v>719</v>
      </c>
      <c r="EN5468" t="s">
        <v>858</v>
      </c>
      <c r="EO5468">
        <v>225.393</v>
      </c>
    </row>
    <row r="5469" spans="142:145" x14ac:dyDescent="0.25">
      <c r="EL5469">
        <v>2011</v>
      </c>
      <c r="EM5469" t="s">
        <v>713</v>
      </c>
      <c r="EN5469" t="s">
        <v>858</v>
      </c>
      <c r="EO5469">
        <v>186.87200000000001</v>
      </c>
    </row>
    <row r="5470" spans="142:145" x14ac:dyDescent="0.25">
      <c r="EL5470">
        <v>2011</v>
      </c>
      <c r="EM5470" t="s">
        <v>714</v>
      </c>
      <c r="EN5470" t="s">
        <v>858</v>
      </c>
      <c r="EO5470">
        <v>223.102</v>
      </c>
    </row>
    <row r="5471" spans="142:145" x14ac:dyDescent="0.25">
      <c r="EL5471">
        <v>2011</v>
      </c>
      <c r="EM5471" t="s">
        <v>705</v>
      </c>
      <c r="EN5471" t="s">
        <v>858</v>
      </c>
      <c r="EO5471">
        <v>205.92599999999999</v>
      </c>
    </row>
    <row r="5472" spans="142:145" x14ac:dyDescent="0.25">
      <c r="EL5472">
        <v>2011</v>
      </c>
      <c r="EM5472" t="s">
        <v>715</v>
      </c>
      <c r="EN5472" t="s">
        <v>858</v>
      </c>
      <c r="EO5472">
        <v>206.57300000000001</v>
      </c>
    </row>
    <row r="5473" spans="142:145" x14ac:dyDescent="0.25">
      <c r="EL5473">
        <v>2011</v>
      </c>
      <c r="EM5473" t="s">
        <v>718</v>
      </c>
      <c r="EN5473" t="s">
        <v>858</v>
      </c>
      <c r="EO5473">
        <v>190.92099999999999</v>
      </c>
    </row>
    <row r="5474" spans="142:145" x14ac:dyDescent="0.25">
      <c r="EL5474">
        <v>2011</v>
      </c>
      <c r="EM5474" t="s">
        <v>716</v>
      </c>
      <c r="EN5474" t="s">
        <v>858</v>
      </c>
      <c r="EO5474">
        <v>190.96700000000001</v>
      </c>
    </row>
    <row r="5475" spans="142:145" x14ac:dyDescent="0.25">
      <c r="EL5475">
        <v>2011</v>
      </c>
      <c r="EM5475" t="s">
        <v>708</v>
      </c>
      <c r="EN5475" t="s">
        <v>858</v>
      </c>
      <c r="EO5475">
        <v>183.392</v>
      </c>
    </row>
    <row r="5476" spans="142:145" x14ac:dyDescent="0.25">
      <c r="EL5476">
        <v>2011</v>
      </c>
      <c r="EM5476" t="s">
        <v>709</v>
      </c>
      <c r="EN5476" t="s">
        <v>858</v>
      </c>
      <c r="EO5476">
        <v>190.423</v>
      </c>
    </row>
    <row r="5477" spans="142:145" x14ac:dyDescent="0.25">
      <c r="EL5477">
        <v>2011</v>
      </c>
      <c r="EM5477" t="s">
        <v>710</v>
      </c>
      <c r="EN5477" t="s">
        <v>858</v>
      </c>
      <c r="EO5477">
        <v>193.292</v>
      </c>
    </row>
    <row r="5478" spans="142:145" x14ac:dyDescent="0.25">
      <c r="EL5478">
        <v>2011</v>
      </c>
      <c r="EM5478" t="s">
        <v>711</v>
      </c>
      <c r="EN5478" t="s">
        <v>858</v>
      </c>
      <c r="EO5478">
        <v>182.33199999999999</v>
      </c>
    </row>
    <row r="5479" spans="142:145" x14ac:dyDescent="0.25">
      <c r="EL5479">
        <v>2011</v>
      </c>
      <c r="EM5479" t="s">
        <v>712</v>
      </c>
      <c r="EN5479" t="s">
        <v>858</v>
      </c>
      <c r="EO5479">
        <v>200.28800000000001</v>
      </c>
    </row>
    <row r="5480" spans="142:145" x14ac:dyDescent="0.25">
      <c r="EL5480">
        <v>2012</v>
      </c>
      <c r="EM5480" t="s">
        <v>719</v>
      </c>
      <c r="EN5480" t="s">
        <v>858</v>
      </c>
      <c r="EO5480">
        <v>199.76599999999999</v>
      </c>
    </row>
    <row r="5481" spans="142:145" x14ac:dyDescent="0.25">
      <c r="EL5481">
        <v>2012</v>
      </c>
      <c r="EM5481" t="s">
        <v>713</v>
      </c>
      <c r="EN5481" t="s">
        <v>858</v>
      </c>
      <c r="EO5481">
        <v>177.94</v>
      </c>
    </row>
    <row r="5482" spans="142:145" x14ac:dyDescent="0.25">
      <c r="EL5482">
        <v>2012</v>
      </c>
      <c r="EM5482" t="s">
        <v>714</v>
      </c>
      <c r="EN5482" t="s">
        <v>858</v>
      </c>
      <c r="EO5482">
        <v>207.18100000000001</v>
      </c>
    </row>
    <row r="5483" spans="142:145" x14ac:dyDescent="0.25">
      <c r="EL5483">
        <v>2012</v>
      </c>
      <c r="EM5483" t="s">
        <v>705</v>
      </c>
      <c r="EN5483" t="s">
        <v>858</v>
      </c>
      <c r="EO5483">
        <v>178.43700000000001</v>
      </c>
    </row>
    <row r="5484" spans="142:145" x14ac:dyDescent="0.25">
      <c r="EL5484">
        <v>2012</v>
      </c>
      <c r="EM5484" t="s">
        <v>715</v>
      </c>
      <c r="EN5484" t="s">
        <v>858</v>
      </c>
      <c r="EO5484">
        <v>186.94399999999999</v>
      </c>
    </row>
    <row r="5485" spans="142:145" x14ac:dyDescent="0.25">
      <c r="EL5485">
        <v>2012</v>
      </c>
      <c r="EM5485" t="s">
        <v>718</v>
      </c>
      <c r="EN5485" t="s">
        <v>858</v>
      </c>
      <c r="EO5485">
        <v>170.626</v>
      </c>
    </row>
    <row r="5486" spans="142:145" x14ac:dyDescent="0.25">
      <c r="EL5486">
        <v>2012</v>
      </c>
      <c r="EM5486" t="s">
        <v>716</v>
      </c>
      <c r="EN5486" t="s">
        <v>858</v>
      </c>
      <c r="EO5486">
        <v>168.01900000000001</v>
      </c>
    </row>
    <row r="5487" spans="142:145" x14ac:dyDescent="0.25">
      <c r="EL5487">
        <v>2012</v>
      </c>
      <c r="EM5487" t="s">
        <v>708</v>
      </c>
      <c r="EN5487" t="s">
        <v>858</v>
      </c>
      <c r="EO5487">
        <v>186.94300000000001</v>
      </c>
    </row>
    <row r="5488" spans="142:145" x14ac:dyDescent="0.25">
      <c r="EL5488">
        <v>2012</v>
      </c>
      <c r="EM5488" t="s">
        <v>709</v>
      </c>
      <c r="EN5488" t="s">
        <v>858</v>
      </c>
      <c r="EO5488">
        <v>148.59700000000001</v>
      </c>
    </row>
    <row r="5489" spans="142:145" x14ac:dyDescent="0.25">
      <c r="EL5489">
        <v>2012</v>
      </c>
      <c r="EM5489" t="s">
        <v>710</v>
      </c>
      <c r="EN5489" t="s">
        <v>858</v>
      </c>
      <c r="EO5489">
        <v>170.38499999999999</v>
      </c>
    </row>
    <row r="5490" spans="142:145" x14ac:dyDescent="0.25">
      <c r="EL5490">
        <v>2012</v>
      </c>
      <c r="EM5490" t="s">
        <v>711</v>
      </c>
      <c r="EN5490" t="s">
        <v>858</v>
      </c>
      <c r="EO5490">
        <v>170.40600000000001</v>
      </c>
    </row>
    <row r="5491" spans="142:145" x14ac:dyDescent="0.25">
      <c r="EL5491">
        <v>2012</v>
      </c>
      <c r="EM5491" t="s">
        <v>712</v>
      </c>
      <c r="EN5491" t="s">
        <v>858</v>
      </c>
      <c r="EO5491">
        <v>179.584</v>
      </c>
    </row>
    <row r="5492" spans="142:145" x14ac:dyDescent="0.25">
      <c r="EL5492">
        <v>2013</v>
      </c>
      <c r="EM5492" t="s">
        <v>719</v>
      </c>
      <c r="EN5492" t="s">
        <v>858</v>
      </c>
      <c r="EO5492">
        <v>181.11799999999999</v>
      </c>
    </row>
    <row r="5493" spans="142:145" x14ac:dyDescent="0.25">
      <c r="EL5493">
        <v>2013</v>
      </c>
      <c r="EM5493" t="s">
        <v>713</v>
      </c>
      <c r="EN5493" t="s">
        <v>858</v>
      </c>
      <c r="EO5493">
        <v>166.48599999999999</v>
      </c>
    </row>
    <row r="5494" spans="142:145" x14ac:dyDescent="0.25">
      <c r="EL5494">
        <v>2013</v>
      </c>
      <c r="EM5494" t="s">
        <v>714</v>
      </c>
      <c r="EN5494" t="s">
        <v>858</v>
      </c>
      <c r="EO5494">
        <v>191.684</v>
      </c>
    </row>
    <row r="5495" spans="142:145" x14ac:dyDescent="0.25">
      <c r="EL5495">
        <v>2013</v>
      </c>
      <c r="EM5495" t="s">
        <v>705</v>
      </c>
      <c r="EN5495" t="s">
        <v>858</v>
      </c>
      <c r="EO5495">
        <v>178.79499999999999</v>
      </c>
    </row>
    <row r="5496" spans="142:145" x14ac:dyDescent="0.25">
      <c r="EL5496">
        <v>2013</v>
      </c>
      <c r="EM5496" t="s">
        <v>715</v>
      </c>
      <c r="EN5496" t="s">
        <v>858</v>
      </c>
      <c r="EO5496">
        <v>177.73599999999999</v>
      </c>
    </row>
    <row r="5497" spans="142:145" x14ac:dyDescent="0.25">
      <c r="EL5497">
        <v>2013</v>
      </c>
      <c r="EM5497" t="s">
        <v>718</v>
      </c>
      <c r="EN5497" t="s">
        <v>858</v>
      </c>
      <c r="EO5497">
        <v>186.792</v>
      </c>
    </row>
    <row r="5498" spans="142:145" x14ac:dyDescent="0.25">
      <c r="EL5498">
        <v>2013</v>
      </c>
      <c r="EM5498" t="s">
        <v>716</v>
      </c>
      <c r="EN5498" t="s">
        <v>858</v>
      </c>
      <c r="EO5498">
        <v>191.155</v>
      </c>
    </row>
    <row r="5499" spans="142:145" x14ac:dyDescent="0.25">
      <c r="EL5499">
        <v>2013</v>
      </c>
      <c r="EM5499" t="s">
        <v>708</v>
      </c>
      <c r="EN5499" t="s">
        <v>858</v>
      </c>
      <c r="EO5499">
        <v>158.92400000000001</v>
      </c>
    </row>
    <row r="5500" spans="142:145" x14ac:dyDescent="0.25">
      <c r="EL5500">
        <v>2013</v>
      </c>
      <c r="EM5500" t="s">
        <v>709</v>
      </c>
      <c r="EN5500" t="s">
        <v>858</v>
      </c>
      <c r="EO5500">
        <v>153.74100000000001</v>
      </c>
    </row>
    <row r="5501" spans="142:145" x14ac:dyDescent="0.25">
      <c r="EL5501">
        <v>2013</v>
      </c>
      <c r="EM5501" t="s">
        <v>710</v>
      </c>
      <c r="EN5501" t="s">
        <v>858</v>
      </c>
      <c r="EO5501">
        <v>171.90100000000001</v>
      </c>
    </row>
    <row r="5502" spans="142:145" x14ac:dyDescent="0.25">
      <c r="EL5502">
        <v>2013</v>
      </c>
      <c r="EM5502" t="s">
        <v>711</v>
      </c>
      <c r="EN5502" t="s">
        <v>858</v>
      </c>
      <c r="EO5502">
        <v>165.99600000000001</v>
      </c>
    </row>
    <row r="5503" spans="142:145" x14ac:dyDescent="0.25">
      <c r="EL5503">
        <v>2013</v>
      </c>
      <c r="EM5503" t="s">
        <v>712</v>
      </c>
      <c r="EN5503" t="s">
        <v>858</v>
      </c>
      <c r="EO5503">
        <v>192.86699999999999</v>
      </c>
    </row>
    <row r="5504" spans="142:145" x14ac:dyDescent="0.25">
      <c r="EL5504">
        <v>2014</v>
      </c>
      <c r="EM5504" t="s">
        <v>719</v>
      </c>
      <c r="EN5504" t="s">
        <v>858</v>
      </c>
      <c r="EO5504">
        <v>192.83699999999999</v>
      </c>
    </row>
    <row r="5505" spans="142:145" x14ac:dyDescent="0.25">
      <c r="EL5505">
        <v>2014</v>
      </c>
      <c r="EM5505" t="s">
        <v>713</v>
      </c>
      <c r="EN5505" t="s">
        <v>858</v>
      </c>
      <c r="EO5505">
        <v>179.42599999999999</v>
      </c>
    </row>
    <row r="5506" spans="142:145" x14ac:dyDescent="0.25">
      <c r="EL5506">
        <v>2014</v>
      </c>
      <c r="EM5506" t="s">
        <v>714</v>
      </c>
      <c r="EN5506" t="s">
        <v>858</v>
      </c>
      <c r="EO5506">
        <v>199.976</v>
      </c>
    </row>
    <row r="5507" spans="142:145" x14ac:dyDescent="0.25">
      <c r="EL5507">
        <v>2014</v>
      </c>
      <c r="EM5507" t="s">
        <v>705</v>
      </c>
      <c r="EN5507" t="s">
        <v>858</v>
      </c>
      <c r="EO5507">
        <v>198.846</v>
      </c>
    </row>
    <row r="5508" spans="142:145" x14ac:dyDescent="0.25">
      <c r="EL5508">
        <v>2014</v>
      </c>
      <c r="EM5508" t="s">
        <v>715</v>
      </c>
      <c r="EN5508" t="s">
        <v>858</v>
      </c>
      <c r="EO5508">
        <v>213.72200000000001</v>
      </c>
    </row>
    <row r="5509" spans="142:145" x14ac:dyDescent="0.25">
      <c r="EL5509">
        <v>2014</v>
      </c>
      <c r="EM5509" t="s">
        <v>718</v>
      </c>
      <c r="EN5509" t="s">
        <v>858</v>
      </c>
      <c r="EO5509">
        <v>184.06</v>
      </c>
    </row>
    <row r="5510" spans="142:145" x14ac:dyDescent="0.25">
      <c r="EL5510">
        <v>2014</v>
      </c>
      <c r="EM5510" t="s">
        <v>716</v>
      </c>
      <c r="EN5510" t="s">
        <v>858</v>
      </c>
      <c r="EO5510">
        <v>175.51900000000001</v>
      </c>
    </row>
    <row r="5511" spans="142:145" x14ac:dyDescent="0.25">
      <c r="EL5511">
        <v>2014</v>
      </c>
      <c r="EM5511" t="s">
        <v>708</v>
      </c>
      <c r="EN5511" t="s">
        <v>858</v>
      </c>
      <c r="EO5511">
        <v>166.124</v>
      </c>
    </row>
    <row r="5512" spans="142:145" x14ac:dyDescent="0.25">
      <c r="EL5512">
        <v>2014</v>
      </c>
      <c r="EM5512" t="s">
        <v>709</v>
      </c>
      <c r="EN5512" t="s">
        <v>858</v>
      </c>
      <c r="EO5512">
        <v>157.071</v>
      </c>
    </row>
    <row r="5513" spans="142:145" x14ac:dyDescent="0.25">
      <c r="EL5513">
        <v>2014</v>
      </c>
      <c r="EM5513" t="s">
        <v>710</v>
      </c>
      <c r="EN5513" t="s">
        <v>858</v>
      </c>
      <c r="EO5513">
        <v>162.03</v>
      </c>
    </row>
    <row r="5514" spans="142:145" x14ac:dyDescent="0.25">
      <c r="EL5514">
        <v>2014</v>
      </c>
      <c r="EM5514" t="s">
        <v>711</v>
      </c>
      <c r="EN5514" t="s">
        <v>858</v>
      </c>
      <c r="EO5514">
        <v>159.82</v>
      </c>
    </row>
    <row r="5515" spans="142:145" x14ac:dyDescent="0.25">
      <c r="EL5515">
        <v>2014</v>
      </c>
      <c r="EM5515" t="s">
        <v>712</v>
      </c>
      <c r="EN5515" t="s">
        <v>858</v>
      </c>
      <c r="EO5515">
        <v>176.77</v>
      </c>
    </row>
    <row r="5516" spans="142:145" x14ac:dyDescent="0.25">
      <c r="EL5516">
        <v>2015</v>
      </c>
      <c r="EM5516" t="s">
        <v>719</v>
      </c>
      <c r="EN5516" t="s">
        <v>858</v>
      </c>
      <c r="EO5516">
        <v>183.11</v>
      </c>
    </row>
    <row r="5517" spans="142:145" x14ac:dyDescent="0.25">
      <c r="EL5517">
        <v>2015</v>
      </c>
      <c r="EM5517" t="s">
        <v>713</v>
      </c>
      <c r="EN5517" t="s">
        <v>858</v>
      </c>
      <c r="EO5517">
        <v>157.84</v>
      </c>
    </row>
    <row r="5518" spans="142:145" x14ac:dyDescent="0.25">
      <c r="EL5518">
        <v>2015</v>
      </c>
      <c r="EM5518" t="s">
        <v>714</v>
      </c>
      <c r="EN5518" t="s">
        <v>858</v>
      </c>
      <c r="EO5518">
        <v>196.3</v>
      </c>
    </row>
    <row r="5519" spans="142:145" x14ac:dyDescent="0.25">
      <c r="EL5519">
        <v>2015</v>
      </c>
      <c r="EM5519" t="s">
        <v>705</v>
      </c>
      <c r="EN5519" t="s">
        <v>858</v>
      </c>
      <c r="EO5519">
        <v>183.58</v>
      </c>
    </row>
    <row r="5520" spans="142:145" x14ac:dyDescent="0.25">
      <c r="EL5520">
        <v>2015</v>
      </c>
      <c r="EM5520" t="s">
        <v>715</v>
      </c>
      <c r="EN5520" t="s">
        <v>858</v>
      </c>
      <c r="EO5520">
        <v>186.43</v>
      </c>
    </row>
    <row r="5521" spans="142:145" x14ac:dyDescent="0.25">
      <c r="EL5521">
        <v>2015</v>
      </c>
      <c r="EM5521" t="s">
        <v>718</v>
      </c>
      <c r="EN5521" t="s">
        <v>858</v>
      </c>
      <c r="EO5521">
        <v>177.76</v>
      </c>
    </row>
    <row r="5522" spans="142:145" x14ac:dyDescent="0.25">
      <c r="EL5522">
        <v>2015</v>
      </c>
      <c r="EM5522" t="s">
        <v>716</v>
      </c>
      <c r="EN5522" t="s">
        <v>858</v>
      </c>
      <c r="EO5522">
        <v>168.88</v>
      </c>
    </row>
    <row r="5523" spans="142:145" x14ac:dyDescent="0.25">
      <c r="EL5523">
        <v>2015</v>
      </c>
      <c r="EM5523" t="s">
        <v>708</v>
      </c>
      <c r="EN5523" t="s">
        <v>858</v>
      </c>
      <c r="EO5523">
        <v>148.80000000000001</v>
      </c>
    </row>
    <row r="5524" spans="142:145" x14ac:dyDescent="0.25">
      <c r="EL5524">
        <v>2015</v>
      </c>
      <c r="EM5524" t="s">
        <v>709</v>
      </c>
      <c r="EN5524" t="s">
        <v>858</v>
      </c>
      <c r="EO5524">
        <v>140.87</v>
      </c>
    </row>
    <row r="5525" spans="142:145" x14ac:dyDescent="0.25">
      <c r="EL5525">
        <v>2015</v>
      </c>
      <c r="EM5525" t="s">
        <v>710</v>
      </c>
      <c r="EN5525" t="s">
        <v>858</v>
      </c>
      <c r="EO5525">
        <v>152.38</v>
      </c>
    </row>
    <row r="5526" spans="142:145" x14ac:dyDescent="0.25">
      <c r="EL5526">
        <v>2015</v>
      </c>
      <c r="EM5526" t="s">
        <v>711</v>
      </c>
      <c r="EN5526" t="s">
        <v>858</v>
      </c>
      <c r="EO5526">
        <v>150.01</v>
      </c>
    </row>
    <row r="5527" spans="142:145" x14ac:dyDescent="0.25">
      <c r="EL5527">
        <v>2015</v>
      </c>
      <c r="EM5527" t="s">
        <v>712</v>
      </c>
      <c r="EN5527" t="s">
        <v>858</v>
      </c>
      <c r="EO5527">
        <v>164.38</v>
      </c>
    </row>
    <row r="5528" spans="142:145" x14ac:dyDescent="0.25">
      <c r="EL5528">
        <v>2016</v>
      </c>
      <c r="EM5528" t="s">
        <v>719</v>
      </c>
      <c r="EN5528" t="s">
        <v>858</v>
      </c>
      <c r="EO5528">
        <v>189.82</v>
      </c>
    </row>
    <row r="5529" spans="142:145" x14ac:dyDescent="0.25">
      <c r="EL5529">
        <v>2016</v>
      </c>
      <c r="EM5529" t="s">
        <v>713</v>
      </c>
      <c r="EN5529" t="s">
        <v>858</v>
      </c>
      <c r="EO5529">
        <v>188.78</v>
      </c>
    </row>
    <row r="5530" spans="142:145" x14ac:dyDescent="0.25">
      <c r="EL5530">
        <v>2016</v>
      </c>
      <c r="EM5530" t="s">
        <v>714</v>
      </c>
      <c r="EN5530" t="s">
        <v>858</v>
      </c>
      <c r="EO5530">
        <v>174.97</v>
      </c>
    </row>
    <row r="5531" spans="142:145" x14ac:dyDescent="0.25">
      <c r="EL5531">
        <v>2016</v>
      </c>
      <c r="EM5531" t="s">
        <v>705</v>
      </c>
      <c r="EN5531" t="s">
        <v>858</v>
      </c>
      <c r="EO5531">
        <v>166.06</v>
      </c>
    </row>
    <row r="5532" spans="142:145" x14ac:dyDescent="0.25">
      <c r="EL5532">
        <v>2016</v>
      </c>
      <c r="EM5532" t="s">
        <v>715</v>
      </c>
      <c r="EN5532" t="s">
        <v>858</v>
      </c>
      <c r="EO5532">
        <v>188.66</v>
      </c>
    </row>
    <row r="5533" spans="142:145" x14ac:dyDescent="0.25">
      <c r="EL5533">
        <v>2016</v>
      </c>
      <c r="EM5533" t="s">
        <v>718</v>
      </c>
      <c r="EN5533" t="s">
        <v>858</v>
      </c>
      <c r="EO5533">
        <v>164.59</v>
      </c>
    </row>
    <row r="5534" spans="142:145" x14ac:dyDescent="0.25">
      <c r="EL5534">
        <v>2016</v>
      </c>
      <c r="EM5534" t="s">
        <v>716</v>
      </c>
      <c r="EN5534" t="s">
        <v>858</v>
      </c>
      <c r="EO5534">
        <v>158.28</v>
      </c>
    </row>
    <row r="5535" spans="142:145" x14ac:dyDescent="0.25">
      <c r="EL5535">
        <v>2016</v>
      </c>
      <c r="EM5535" t="s">
        <v>708</v>
      </c>
      <c r="EN5535" t="s">
        <v>858</v>
      </c>
      <c r="EO5535">
        <v>157.81</v>
      </c>
    </row>
    <row r="5536" spans="142:145" x14ac:dyDescent="0.25">
      <c r="EL5536">
        <v>2016</v>
      </c>
      <c r="EM5536" t="s">
        <v>709</v>
      </c>
      <c r="EN5536" t="s">
        <v>858</v>
      </c>
      <c r="EO5536">
        <v>147.91</v>
      </c>
    </row>
    <row r="5537" spans="142:145" x14ac:dyDescent="0.25">
      <c r="EL5537">
        <v>2016</v>
      </c>
      <c r="EM5537" t="s">
        <v>710</v>
      </c>
      <c r="EN5537" t="s">
        <v>858</v>
      </c>
      <c r="EO5537">
        <v>154.18</v>
      </c>
    </row>
    <row r="5538" spans="142:145" x14ac:dyDescent="0.25">
      <c r="EL5538">
        <v>2016</v>
      </c>
      <c r="EM5538" t="s">
        <v>711</v>
      </c>
      <c r="EN5538" t="s">
        <v>858</v>
      </c>
      <c r="EO5538">
        <v>139.96</v>
      </c>
    </row>
    <row r="5539" spans="142:145" x14ac:dyDescent="0.25">
      <c r="EL5539">
        <v>2016</v>
      </c>
      <c r="EM5539" t="s">
        <v>712</v>
      </c>
      <c r="EN5539" t="s">
        <v>858</v>
      </c>
      <c r="EO5539">
        <v>157.16</v>
      </c>
    </row>
    <row r="5540" spans="142:145" x14ac:dyDescent="0.25">
      <c r="EL5540">
        <v>2017</v>
      </c>
      <c r="EM5540" t="s">
        <v>719</v>
      </c>
      <c r="EN5540" t="s">
        <v>858</v>
      </c>
      <c r="EO5540">
        <v>159.55000000000001</v>
      </c>
    </row>
    <row r="5541" spans="142:145" x14ac:dyDescent="0.25">
      <c r="EL5541">
        <v>2017</v>
      </c>
      <c r="EM5541" t="s">
        <v>713</v>
      </c>
      <c r="EN5541" t="s">
        <v>858</v>
      </c>
      <c r="EO5541">
        <v>131.63</v>
      </c>
    </row>
    <row r="5542" spans="142:145" x14ac:dyDescent="0.25">
      <c r="EL5542">
        <v>2017</v>
      </c>
      <c r="EM5542" t="s">
        <v>714</v>
      </c>
      <c r="EN5542" t="s">
        <v>858</v>
      </c>
      <c r="EO5542">
        <v>151.94</v>
      </c>
    </row>
    <row r="5543" spans="142:145" x14ac:dyDescent="0.25">
      <c r="EL5543">
        <v>2017</v>
      </c>
      <c r="EM5543" t="s">
        <v>705</v>
      </c>
      <c r="EN5543" t="s">
        <v>858</v>
      </c>
      <c r="EO5543">
        <v>158.31</v>
      </c>
    </row>
    <row r="5544" spans="142:145" x14ac:dyDescent="0.25">
      <c r="EL5544">
        <v>2017</v>
      </c>
      <c r="EM5544" t="s">
        <v>715</v>
      </c>
      <c r="EN5544" t="s">
        <v>858</v>
      </c>
      <c r="EO5544">
        <v>174.48</v>
      </c>
    </row>
    <row r="5545" spans="142:145" x14ac:dyDescent="0.25">
      <c r="EL5545">
        <v>2017</v>
      </c>
      <c r="EM5545" t="s">
        <v>718</v>
      </c>
      <c r="EN5545" t="s">
        <v>858</v>
      </c>
      <c r="EO5545">
        <v>152.07</v>
      </c>
    </row>
    <row r="5546" spans="142:145" x14ac:dyDescent="0.25">
      <c r="EL5546">
        <v>2017</v>
      </c>
      <c r="EM5546" t="s">
        <v>716</v>
      </c>
      <c r="EN5546" t="s">
        <v>858</v>
      </c>
      <c r="EO5546">
        <v>157.94999999999999</v>
      </c>
    </row>
    <row r="5547" spans="142:145" x14ac:dyDescent="0.25">
      <c r="EL5547">
        <v>2017</v>
      </c>
      <c r="EM5547" t="s">
        <v>708</v>
      </c>
      <c r="EN5547" t="s">
        <v>858</v>
      </c>
      <c r="EO5547">
        <v>162.58000000000001</v>
      </c>
    </row>
    <row r="5548" spans="142:145" x14ac:dyDescent="0.25">
      <c r="EL5548">
        <v>2017</v>
      </c>
      <c r="EM5548" t="s">
        <v>709</v>
      </c>
      <c r="EN5548" t="s">
        <v>858</v>
      </c>
      <c r="EO5548">
        <v>156.79</v>
      </c>
    </row>
    <row r="5549" spans="142:145" x14ac:dyDescent="0.25">
      <c r="EL5549">
        <v>2017</v>
      </c>
      <c r="EM5549" t="s">
        <v>710</v>
      </c>
      <c r="EN5549" t="s">
        <v>858</v>
      </c>
      <c r="EO5549">
        <v>160.9</v>
      </c>
    </row>
    <row r="5550" spans="142:145" x14ac:dyDescent="0.25">
      <c r="EL5550">
        <v>2017</v>
      </c>
      <c r="EM5550" t="s">
        <v>711</v>
      </c>
      <c r="EN5550" t="s">
        <v>858</v>
      </c>
      <c r="EO5550">
        <v>161.94</v>
      </c>
    </row>
    <row r="5551" spans="142:145" x14ac:dyDescent="0.25">
      <c r="EL5551">
        <v>2017</v>
      </c>
      <c r="EM5551" t="s">
        <v>712</v>
      </c>
      <c r="EN5551" t="s">
        <v>858</v>
      </c>
      <c r="EO5551">
        <v>156.43</v>
      </c>
    </row>
    <row r="5552" spans="142:145" x14ac:dyDescent="0.25">
      <c r="EL5552">
        <v>2018</v>
      </c>
      <c r="EM5552" t="s">
        <v>719</v>
      </c>
      <c r="EN5552" t="s">
        <v>858</v>
      </c>
      <c r="EO5552">
        <v>152.51</v>
      </c>
    </row>
    <row r="5553" spans="142:145" x14ac:dyDescent="0.25">
      <c r="EL5553">
        <v>2018</v>
      </c>
      <c r="EM5553" t="s">
        <v>713</v>
      </c>
      <c r="EN5553" t="s">
        <v>858</v>
      </c>
      <c r="EO5553">
        <v>154.86000000000001</v>
      </c>
    </row>
    <row r="5554" spans="142:145" x14ac:dyDescent="0.25">
      <c r="EL5554">
        <v>2018</v>
      </c>
      <c r="EM5554" t="s">
        <v>714</v>
      </c>
      <c r="EN5554" t="s">
        <v>858</v>
      </c>
      <c r="EO5554">
        <v>165.07</v>
      </c>
    </row>
    <row r="5555" spans="142:145" x14ac:dyDescent="0.25">
      <c r="EL5555">
        <v>2018</v>
      </c>
      <c r="EM5555" t="s">
        <v>705</v>
      </c>
      <c r="EN5555" t="s">
        <v>858</v>
      </c>
      <c r="EO5555">
        <v>161.28</v>
      </c>
    </row>
    <row r="5556" spans="142:145" x14ac:dyDescent="0.25">
      <c r="EL5556">
        <v>2018</v>
      </c>
      <c r="EM5556" t="s">
        <v>715</v>
      </c>
      <c r="EN5556" t="s">
        <v>858</v>
      </c>
      <c r="EO5556">
        <v>183.95</v>
      </c>
    </row>
    <row r="5557" spans="142:145" x14ac:dyDescent="0.25">
      <c r="EL5557">
        <v>2018</v>
      </c>
      <c r="EM5557" t="s">
        <v>718</v>
      </c>
      <c r="EN5557" t="s">
        <v>858</v>
      </c>
      <c r="EO5557">
        <v>173.59</v>
      </c>
    </row>
    <row r="5558" spans="142:145" x14ac:dyDescent="0.25">
      <c r="EL5558">
        <v>2018</v>
      </c>
      <c r="EM5558" t="s">
        <v>716</v>
      </c>
      <c r="EN5558" t="s">
        <v>858</v>
      </c>
      <c r="EO5558">
        <v>173.61</v>
      </c>
    </row>
    <row r="5559" spans="142:145" x14ac:dyDescent="0.25">
      <c r="EL5559">
        <v>2018</v>
      </c>
      <c r="EM5559" t="s">
        <v>708</v>
      </c>
      <c r="EN5559" t="s">
        <v>858</v>
      </c>
      <c r="EO5559">
        <v>187.31</v>
      </c>
    </row>
    <row r="5560" spans="142:145" x14ac:dyDescent="0.25">
      <c r="EL5560">
        <v>2018</v>
      </c>
      <c r="EM5560" t="s">
        <v>709</v>
      </c>
      <c r="EN5560" t="s">
        <v>858</v>
      </c>
      <c r="EO5560">
        <v>192.18</v>
      </c>
    </row>
    <row r="5561" spans="142:145" x14ac:dyDescent="0.25">
      <c r="EL5561">
        <v>2018</v>
      </c>
      <c r="EM5561" t="s">
        <v>710</v>
      </c>
      <c r="EN5561" t="s">
        <v>858</v>
      </c>
      <c r="EO5561">
        <v>186.56</v>
      </c>
    </row>
    <row r="5562" spans="142:145" x14ac:dyDescent="0.25">
      <c r="EL5562">
        <v>2018</v>
      </c>
      <c r="EM5562" t="s">
        <v>711</v>
      </c>
      <c r="EN5562" t="s">
        <v>858</v>
      </c>
      <c r="EO5562">
        <v>208.81</v>
      </c>
    </row>
    <row r="5563" spans="142:145" x14ac:dyDescent="0.25">
      <c r="EL5563">
        <v>2018</v>
      </c>
      <c r="EM5563" t="s">
        <v>712</v>
      </c>
      <c r="EN5563" t="s">
        <v>858</v>
      </c>
      <c r="EO5563">
        <v>212.01</v>
      </c>
    </row>
    <row r="5564" spans="142:145" x14ac:dyDescent="0.25">
      <c r="EL5564">
        <v>2019</v>
      </c>
      <c r="EM5564" t="s">
        <v>719</v>
      </c>
      <c r="EN5564" t="s">
        <v>858</v>
      </c>
      <c r="EO5564">
        <v>216.83</v>
      </c>
    </row>
    <row r="5565" spans="142:145" x14ac:dyDescent="0.25">
      <c r="EL5565">
        <v>2019</v>
      </c>
      <c r="EM5565" t="s">
        <v>713</v>
      </c>
      <c r="EN5565" t="s">
        <v>858</v>
      </c>
      <c r="EO5565">
        <v>191.5</v>
      </c>
    </row>
    <row r="5566" spans="142:145" x14ac:dyDescent="0.25">
      <c r="EL5566">
        <v>2019</v>
      </c>
      <c r="EM5566" t="s">
        <v>714</v>
      </c>
      <c r="EN5566" t="s">
        <v>858</v>
      </c>
      <c r="EO5566">
        <v>219.09</v>
      </c>
    </row>
    <row r="5567" spans="142:145" x14ac:dyDescent="0.25">
      <c r="EL5567">
        <v>2019</v>
      </c>
      <c r="EM5567" t="s">
        <v>705</v>
      </c>
      <c r="EN5567" t="s">
        <v>858</v>
      </c>
      <c r="EO5567">
        <v>189.86</v>
      </c>
    </row>
    <row r="5568" spans="142:145" x14ac:dyDescent="0.25">
      <c r="EL5568">
        <v>2019</v>
      </c>
      <c r="EM5568" t="s">
        <v>715</v>
      </c>
      <c r="EN5568" t="s">
        <v>858</v>
      </c>
      <c r="EO5568">
        <v>206.23</v>
      </c>
    </row>
    <row r="5569" spans="142:145" x14ac:dyDescent="0.25">
      <c r="EL5569">
        <v>2019</v>
      </c>
      <c r="EM5569" t="s">
        <v>718</v>
      </c>
      <c r="EN5569" t="s">
        <v>858</v>
      </c>
      <c r="EO5569">
        <v>177.42</v>
      </c>
    </row>
    <row r="5570" spans="142:145" x14ac:dyDescent="0.25">
      <c r="EL5570">
        <v>2019</v>
      </c>
      <c r="EM5570" t="s">
        <v>716</v>
      </c>
      <c r="EN5570" t="s">
        <v>858</v>
      </c>
      <c r="EO5570">
        <v>181.38</v>
      </c>
    </row>
    <row r="5571" spans="142:145" x14ac:dyDescent="0.25">
      <c r="EL5571">
        <v>2019</v>
      </c>
      <c r="EM5571" t="s">
        <v>708</v>
      </c>
      <c r="EN5571" t="s">
        <v>858</v>
      </c>
      <c r="EO5571">
        <v>169.86</v>
      </c>
    </row>
    <row r="5572" spans="142:145" x14ac:dyDescent="0.25">
      <c r="EL5572">
        <v>2019</v>
      </c>
      <c r="EM5572" t="s">
        <v>709</v>
      </c>
      <c r="EN5572" t="s">
        <v>858</v>
      </c>
      <c r="EO5572">
        <v>145.21</v>
      </c>
    </row>
    <row r="5573" spans="142:145" x14ac:dyDescent="0.25">
      <c r="EL5573">
        <v>2019</v>
      </c>
      <c r="EM5573" t="s">
        <v>710</v>
      </c>
      <c r="EN5573" t="s">
        <v>858</v>
      </c>
      <c r="EO5573">
        <v>155.94999999999999</v>
      </c>
    </row>
    <row r="5574" spans="142:145" x14ac:dyDescent="0.25">
      <c r="EL5574">
        <v>2019</v>
      </c>
      <c r="EM5574" t="s">
        <v>711</v>
      </c>
      <c r="EN5574" t="s">
        <v>858</v>
      </c>
      <c r="EO5574">
        <v>155.55000000000001</v>
      </c>
    </row>
    <row r="5575" spans="142:145" x14ac:dyDescent="0.25">
      <c r="EL5575">
        <v>2019</v>
      </c>
      <c r="EM5575" t="s">
        <v>712</v>
      </c>
      <c r="EN5575" t="s">
        <v>858</v>
      </c>
      <c r="EO5575">
        <v>165.41</v>
      </c>
    </row>
    <row r="5576" spans="142:145" x14ac:dyDescent="0.25">
      <c r="EL5576">
        <v>2020</v>
      </c>
      <c r="EM5576" t="s">
        <v>719</v>
      </c>
      <c r="EN5576" t="s">
        <v>858</v>
      </c>
      <c r="EO5576">
        <v>169.73</v>
      </c>
    </row>
    <row r="5577" spans="142:145" x14ac:dyDescent="0.25">
      <c r="EL5577">
        <v>2020</v>
      </c>
      <c r="EM5577" t="s">
        <v>713</v>
      </c>
      <c r="EN5577" t="s">
        <v>858</v>
      </c>
      <c r="EO5577">
        <v>163.61000000000001</v>
      </c>
    </row>
    <row r="5578" spans="142:145" x14ac:dyDescent="0.25">
      <c r="EL5578">
        <v>2020</v>
      </c>
      <c r="EM5578" t="s">
        <v>714</v>
      </c>
      <c r="EN5578" t="s">
        <v>858</v>
      </c>
      <c r="EO5578">
        <v>173.33</v>
      </c>
    </row>
    <row r="5579" spans="142:145" x14ac:dyDescent="0.25">
      <c r="EL5579">
        <v>2020</v>
      </c>
      <c r="EM5579" t="s">
        <v>705</v>
      </c>
      <c r="EN5579" t="s">
        <v>858</v>
      </c>
      <c r="EO5579">
        <v>177.99</v>
      </c>
    </row>
    <row r="5580" spans="142:145" x14ac:dyDescent="0.25">
      <c r="EL5580">
        <v>2020</v>
      </c>
      <c r="EM5580" t="s">
        <v>715</v>
      </c>
      <c r="EN5580" t="s">
        <v>858</v>
      </c>
      <c r="EO5580">
        <v>188.94</v>
      </c>
    </row>
    <row r="5581" spans="142:145" x14ac:dyDescent="0.25">
      <c r="EL5581">
        <v>2020</v>
      </c>
      <c r="EM5581" t="s">
        <v>718</v>
      </c>
      <c r="EN5581" t="s">
        <v>858</v>
      </c>
      <c r="EO5581">
        <v>173.15</v>
      </c>
    </row>
    <row r="5582" spans="142:145" x14ac:dyDescent="0.25">
      <c r="EL5582">
        <v>2020</v>
      </c>
      <c r="EM5582" t="s">
        <v>716</v>
      </c>
      <c r="EN5582" t="s">
        <v>858</v>
      </c>
      <c r="EO5582">
        <v>158.65</v>
      </c>
    </row>
    <row r="5583" spans="142:145" x14ac:dyDescent="0.25">
      <c r="EL5583">
        <v>2020</v>
      </c>
      <c r="EM5583" t="s">
        <v>708</v>
      </c>
      <c r="EN5583" t="s">
        <v>858</v>
      </c>
      <c r="EO5583">
        <v>168.61</v>
      </c>
    </row>
    <row r="5584" spans="142:145" x14ac:dyDescent="0.25">
      <c r="EL5584">
        <v>2020</v>
      </c>
      <c r="EM5584" t="s">
        <v>709</v>
      </c>
      <c r="EN5584" t="s">
        <v>858</v>
      </c>
      <c r="EO5584">
        <v>153.02000000000001</v>
      </c>
    </row>
    <row r="5585" spans="142:145" x14ac:dyDescent="0.25">
      <c r="EL5585">
        <v>2020</v>
      </c>
      <c r="EM5585" t="s">
        <v>710</v>
      </c>
      <c r="EN5585" t="s">
        <v>858</v>
      </c>
      <c r="EO5585">
        <v>152.02000000000001</v>
      </c>
    </row>
    <row r="5586" spans="142:145" x14ac:dyDescent="0.25">
      <c r="EL5586">
        <v>2020</v>
      </c>
      <c r="EM5586" t="s">
        <v>711</v>
      </c>
      <c r="EN5586" t="s">
        <v>858</v>
      </c>
      <c r="EO5586">
        <v>158.56</v>
      </c>
    </row>
    <row r="5587" spans="142:145" x14ac:dyDescent="0.25">
      <c r="EL5587">
        <v>2020</v>
      </c>
      <c r="EM5587" t="s">
        <v>712</v>
      </c>
      <c r="EN5587" t="s">
        <v>858</v>
      </c>
      <c r="EO5587">
        <v>183.13</v>
      </c>
    </row>
    <row r="5588" spans="142:145" x14ac:dyDescent="0.25">
      <c r="EL5588">
        <v>2021</v>
      </c>
      <c r="EM5588" t="s">
        <v>719</v>
      </c>
      <c r="EN5588" t="s">
        <v>858</v>
      </c>
      <c r="EO5588">
        <v>177.86</v>
      </c>
    </row>
    <row r="5589" spans="142:145" x14ac:dyDescent="0.25">
      <c r="EL5589">
        <v>2021</v>
      </c>
      <c r="EM5589" t="s">
        <v>713</v>
      </c>
      <c r="EN5589" t="s">
        <v>858</v>
      </c>
      <c r="EO5589">
        <v>165.57</v>
      </c>
    </row>
    <row r="5590" spans="142:145" x14ac:dyDescent="0.25">
      <c r="EL5590">
        <v>2021</v>
      </c>
      <c r="EM5590" t="s">
        <v>714</v>
      </c>
      <c r="EN5590" t="s">
        <v>858</v>
      </c>
      <c r="EO5590">
        <v>177.48</v>
      </c>
    </row>
    <row r="5591" spans="142:145" x14ac:dyDescent="0.25">
      <c r="EL5591">
        <v>2021</v>
      </c>
      <c r="EM5591" t="s">
        <v>705</v>
      </c>
      <c r="EN5591" t="s">
        <v>858</v>
      </c>
      <c r="EO5591">
        <v>168.77</v>
      </c>
    </row>
    <row r="5592" spans="142:145" x14ac:dyDescent="0.25">
      <c r="EL5592">
        <v>2021</v>
      </c>
      <c r="EM5592" t="s">
        <v>715</v>
      </c>
      <c r="EN5592" t="s">
        <v>858</v>
      </c>
      <c r="EO5592">
        <v>164.45</v>
      </c>
    </row>
    <row r="5593" spans="142:145" x14ac:dyDescent="0.25">
      <c r="EL5593">
        <v>2021</v>
      </c>
      <c r="EM5593" t="s">
        <v>718</v>
      </c>
      <c r="EN5593" t="s">
        <v>858</v>
      </c>
      <c r="EO5593">
        <v>162.12</v>
      </c>
    </row>
    <row r="5594" spans="142:145" x14ac:dyDescent="0.25">
      <c r="EL5594">
        <v>2021</v>
      </c>
      <c r="EM5594" t="s">
        <v>716</v>
      </c>
      <c r="EN5594" t="s">
        <v>858</v>
      </c>
      <c r="EO5594">
        <v>157.09</v>
      </c>
    </row>
    <row r="5595" spans="142:145" x14ac:dyDescent="0.25">
      <c r="EL5595">
        <v>2021</v>
      </c>
      <c r="EM5595" t="s">
        <v>708</v>
      </c>
      <c r="EN5595" t="s">
        <v>858</v>
      </c>
      <c r="EO5595">
        <v>158.75</v>
      </c>
    </row>
    <row r="5596" spans="142:145" x14ac:dyDescent="0.25">
      <c r="EL5596">
        <v>2021</v>
      </c>
      <c r="EM5596" t="s">
        <v>709</v>
      </c>
      <c r="EN5596" t="s">
        <v>858</v>
      </c>
      <c r="EO5596">
        <v>160.9</v>
      </c>
    </row>
    <row r="5597" spans="142:145" x14ac:dyDescent="0.25">
      <c r="EL5597">
        <v>2021</v>
      </c>
      <c r="EM5597" t="s">
        <v>710</v>
      </c>
      <c r="EN5597" t="s">
        <v>858</v>
      </c>
      <c r="EO5597">
        <v>155.79</v>
      </c>
    </row>
    <row r="5598" spans="142:145" x14ac:dyDescent="0.25">
      <c r="EL5598">
        <v>2021</v>
      </c>
      <c r="EM5598" t="s">
        <v>711</v>
      </c>
      <c r="EN5598" t="s">
        <v>858</v>
      </c>
      <c r="EO5598">
        <v>153.91999999999999</v>
      </c>
    </row>
    <row r="5599" spans="142:145" x14ac:dyDescent="0.25">
      <c r="EL5599">
        <v>2021</v>
      </c>
      <c r="EM5599" t="s">
        <v>712</v>
      </c>
      <c r="EN5599" t="s">
        <v>858</v>
      </c>
      <c r="EO5599">
        <v>150.5</v>
      </c>
    </row>
    <row r="5600" spans="142:145" x14ac:dyDescent="0.25">
      <c r="EL5600">
        <v>2022</v>
      </c>
      <c r="EM5600" t="s">
        <v>719</v>
      </c>
      <c r="EN5600" t="s">
        <v>858</v>
      </c>
      <c r="EO5600">
        <v>167.89</v>
      </c>
    </row>
    <row r="5601" spans="142:145" x14ac:dyDescent="0.25">
      <c r="EL5601">
        <v>2022</v>
      </c>
      <c r="EM5601" t="s">
        <v>713</v>
      </c>
      <c r="EN5601" t="s">
        <v>858</v>
      </c>
      <c r="EO5601">
        <v>147.04</v>
      </c>
    </row>
    <row r="5602" spans="142:145" x14ac:dyDescent="0.25">
      <c r="EL5602">
        <v>2022</v>
      </c>
      <c r="EM5602" t="s">
        <v>714</v>
      </c>
      <c r="EN5602" t="s">
        <v>858</v>
      </c>
      <c r="EO5602">
        <v>160.06</v>
      </c>
    </row>
    <row r="5603" spans="142:145" x14ac:dyDescent="0.25">
      <c r="EL5603">
        <v>2022</v>
      </c>
      <c r="EM5603" t="s">
        <v>705</v>
      </c>
      <c r="EN5603" t="s">
        <v>858</v>
      </c>
      <c r="EO5603">
        <v>166.75</v>
      </c>
    </row>
    <row r="5604" spans="142:145" x14ac:dyDescent="0.25">
      <c r="EL5604">
        <v>2022</v>
      </c>
      <c r="EM5604" t="s">
        <v>715</v>
      </c>
      <c r="EN5604" t="s">
        <v>858</v>
      </c>
      <c r="EO5604">
        <v>172.31</v>
      </c>
    </row>
    <row r="5605" spans="142:145" x14ac:dyDescent="0.25">
      <c r="EL5605">
        <v>2022</v>
      </c>
      <c r="EM5605" t="s">
        <v>718</v>
      </c>
      <c r="EN5605" t="s">
        <v>858</v>
      </c>
      <c r="EO5605">
        <v>159.36000000000001</v>
      </c>
    </row>
    <row r="5606" spans="142:145" x14ac:dyDescent="0.25">
      <c r="EL5606">
        <v>2022</v>
      </c>
      <c r="EM5606" t="s">
        <v>716</v>
      </c>
      <c r="EN5606" t="s">
        <v>858</v>
      </c>
      <c r="EO5606">
        <v>167.94</v>
      </c>
    </row>
    <row r="5607" spans="142:145" x14ac:dyDescent="0.25">
      <c r="EL5607">
        <v>2022</v>
      </c>
      <c r="EM5607" t="s">
        <v>708</v>
      </c>
      <c r="EN5607" t="s">
        <v>858</v>
      </c>
      <c r="EO5607">
        <v>154.72</v>
      </c>
    </row>
    <row r="5608" spans="142:145" x14ac:dyDescent="0.25">
      <c r="EL5608">
        <v>2022</v>
      </c>
      <c r="EM5608" t="s">
        <v>709</v>
      </c>
      <c r="EN5608" t="s">
        <v>858</v>
      </c>
      <c r="EO5608">
        <v>143.77000000000001</v>
      </c>
    </row>
    <row r="5609" spans="142:145" x14ac:dyDescent="0.25">
      <c r="EL5609">
        <v>2022</v>
      </c>
      <c r="EM5609" t="s">
        <v>710</v>
      </c>
      <c r="EN5609" t="s">
        <v>858</v>
      </c>
      <c r="EO5609">
        <v>142.78</v>
      </c>
    </row>
    <row r="5610" spans="142:145" x14ac:dyDescent="0.25">
      <c r="EL5610">
        <v>2022</v>
      </c>
      <c r="EM5610" t="s">
        <v>711</v>
      </c>
      <c r="EN5610" t="s">
        <v>858</v>
      </c>
      <c r="EO5610">
        <v>144.35</v>
      </c>
    </row>
    <row r="5611" spans="142:145" x14ac:dyDescent="0.25">
      <c r="EL5611">
        <v>2022</v>
      </c>
      <c r="EM5611" t="s">
        <v>712</v>
      </c>
      <c r="EN5611" t="s">
        <v>858</v>
      </c>
      <c r="EO5611">
        <v>159.26</v>
      </c>
    </row>
    <row r="5612" spans="142:145" x14ac:dyDescent="0.25">
      <c r="EL5612">
        <v>2023</v>
      </c>
      <c r="EM5612" t="s">
        <v>719</v>
      </c>
      <c r="EN5612" t="s">
        <v>858</v>
      </c>
      <c r="EO5612">
        <v>155.34</v>
      </c>
    </row>
    <row r="5613" spans="142:145" x14ac:dyDescent="0.25">
      <c r="EL5613">
        <v>2023</v>
      </c>
      <c r="EM5613" t="s">
        <v>713</v>
      </c>
      <c r="EN5613" t="s">
        <v>858</v>
      </c>
      <c r="EO5613">
        <v>144.56</v>
      </c>
    </row>
    <row r="5614" spans="142:145" x14ac:dyDescent="0.25">
      <c r="EL5614">
        <v>2023</v>
      </c>
      <c r="EM5614" t="s">
        <v>714</v>
      </c>
      <c r="EN5614" t="s">
        <v>858</v>
      </c>
      <c r="EO5614">
        <v>156.77000000000001</v>
      </c>
    </row>
    <row r="5615" spans="142:145" x14ac:dyDescent="0.25">
      <c r="EL5615">
        <v>2023</v>
      </c>
      <c r="EM5615" t="s">
        <v>705</v>
      </c>
      <c r="EN5615" t="s">
        <v>858</v>
      </c>
      <c r="EO5615">
        <v>147.9</v>
      </c>
    </row>
    <row r="5616" spans="142:145" x14ac:dyDescent="0.25">
      <c r="EL5616">
        <v>2023</v>
      </c>
      <c r="EM5616" t="s">
        <v>715</v>
      </c>
      <c r="EN5616" t="s">
        <v>858</v>
      </c>
      <c r="EO5616">
        <v>154.24</v>
      </c>
    </row>
    <row r="5617" spans="142:145" x14ac:dyDescent="0.25">
      <c r="EL5617">
        <v>2023</v>
      </c>
      <c r="EM5617" t="s">
        <v>718</v>
      </c>
      <c r="EN5617" t="s">
        <v>858</v>
      </c>
      <c r="EO5617">
        <v>140.35</v>
      </c>
    </row>
    <row r="5618" spans="142:145" x14ac:dyDescent="0.25">
      <c r="EL5618">
        <v>2023</v>
      </c>
      <c r="EM5618" t="s">
        <v>716</v>
      </c>
      <c r="EN5618" t="s">
        <v>858</v>
      </c>
      <c r="EO5618">
        <v>155.1</v>
      </c>
    </row>
    <row r="5619" spans="142:145" x14ac:dyDescent="0.25">
      <c r="EL5619">
        <v>2023</v>
      </c>
      <c r="EM5619" t="s">
        <v>708</v>
      </c>
      <c r="EN5619" t="s">
        <v>858</v>
      </c>
      <c r="EO5619">
        <v>150.02000000000001</v>
      </c>
    </row>
    <row r="5620" spans="142:145" x14ac:dyDescent="0.25">
      <c r="EL5620">
        <v>2023</v>
      </c>
      <c r="EM5620" t="s">
        <v>709</v>
      </c>
      <c r="EN5620" t="s">
        <v>858</v>
      </c>
      <c r="EO5620">
        <v>145.66999999999999</v>
      </c>
    </row>
    <row r="5621" spans="142:145" x14ac:dyDescent="0.25">
      <c r="EL5621">
        <v>1997</v>
      </c>
      <c r="EM5621" t="s">
        <v>760</v>
      </c>
      <c r="EN5621" t="s">
        <v>859</v>
      </c>
      <c r="EO5621">
        <v>20.305</v>
      </c>
    </row>
    <row r="5622" spans="142:145" x14ac:dyDescent="0.25">
      <c r="EL5622">
        <v>1997</v>
      </c>
      <c r="EM5622" t="s">
        <v>761</v>
      </c>
      <c r="EN5622" t="s">
        <v>859</v>
      </c>
      <c r="EO5622">
        <v>23.01</v>
      </c>
    </row>
    <row r="5623" spans="142:145" x14ac:dyDescent="0.25">
      <c r="EL5623">
        <v>1997</v>
      </c>
      <c r="EM5623" t="s">
        <v>762</v>
      </c>
      <c r="EN5623" t="s">
        <v>859</v>
      </c>
      <c r="EO5623">
        <v>22.536999999999999</v>
      </c>
    </row>
    <row r="5624" spans="142:145" x14ac:dyDescent="0.25">
      <c r="EL5624">
        <v>1998</v>
      </c>
      <c r="EM5624" t="s">
        <v>763</v>
      </c>
      <c r="EN5624" t="s">
        <v>859</v>
      </c>
      <c r="EO5624">
        <v>26.535999999999998</v>
      </c>
    </row>
    <row r="5625" spans="142:145" x14ac:dyDescent="0.25">
      <c r="EL5625">
        <v>1998</v>
      </c>
      <c r="EM5625" t="s">
        <v>764</v>
      </c>
      <c r="EN5625" t="s">
        <v>859</v>
      </c>
      <c r="EO5625">
        <v>30.184000000000001</v>
      </c>
    </row>
    <row r="5626" spans="142:145" x14ac:dyDescent="0.25">
      <c r="EL5626">
        <v>1998</v>
      </c>
      <c r="EM5626" t="s">
        <v>765</v>
      </c>
      <c r="EN5626" t="s">
        <v>859</v>
      </c>
      <c r="EO5626">
        <v>36.301000000000002</v>
      </c>
    </row>
    <row r="5627" spans="142:145" x14ac:dyDescent="0.25">
      <c r="EL5627">
        <v>1998</v>
      </c>
      <c r="EM5627" t="s">
        <v>767</v>
      </c>
      <c r="EN5627" t="s">
        <v>859</v>
      </c>
      <c r="EO5627">
        <v>31.32</v>
      </c>
    </row>
    <row r="5628" spans="142:145" x14ac:dyDescent="0.25">
      <c r="EL5628">
        <v>1998</v>
      </c>
      <c r="EM5628" t="s">
        <v>715</v>
      </c>
      <c r="EN5628" t="s">
        <v>859</v>
      </c>
      <c r="EO5628">
        <v>33.356000000000002</v>
      </c>
    </row>
    <row r="5629" spans="142:145" x14ac:dyDescent="0.25">
      <c r="EL5629">
        <v>1998</v>
      </c>
      <c r="EM5629" t="s">
        <v>718</v>
      </c>
      <c r="EN5629" t="s">
        <v>859</v>
      </c>
      <c r="EO5629">
        <v>26.52</v>
      </c>
    </row>
    <row r="5630" spans="142:145" x14ac:dyDescent="0.25">
      <c r="EL5630">
        <v>1998</v>
      </c>
      <c r="EM5630" t="s">
        <v>716</v>
      </c>
      <c r="EN5630" t="s">
        <v>859</v>
      </c>
      <c r="EO5630">
        <v>24.087</v>
      </c>
    </row>
    <row r="5631" spans="142:145" x14ac:dyDescent="0.25">
      <c r="EL5631">
        <v>1998</v>
      </c>
      <c r="EM5631" t="s">
        <v>768</v>
      </c>
      <c r="EN5631" t="s">
        <v>859</v>
      </c>
      <c r="EO5631">
        <v>21.018000000000001</v>
      </c>
    </row>
    <row r="5632" spans="142:145" x14ac:dyDescent="0.25">
      <c r="EL5632">
        <v>1998</v>
      </c>
      <c r="EM5632" t="s">
        <v>769</v>
      </c>
      <c r="EN5632" t="s">
        <v>859</v>
      </c>
      <c r="EO5632">
        <v>20.849999999999998</v>
      </c>
    </row>
    <row r="5633" spans="142:145" x14ac:dyDescent="0.25">
      <c r="EL5633">
        <v>1998</v>
      </c>
      <c r="EM5633" t="s">
        <v>760</v>
      </c>
      <c r="EN5633" t="s">
        <v>859</v>
      </c>
      <c r="EO5633">
        <v>21.297000000000001</v>
      </c>
    </row>
    <row r="5634" spans="142:145" x14ac:dyDescent="0.25">
      <c r="EL5634">
        <v>1998</v>
      </c>
      <c r="EM5634" t="s">
        <v>771</v>
      </c>
      <c r="EN5634" t="s">
        <v>859</v>
      </c>
      <c r="EO5634">
        <v>19.86</v>
      </c>
    </row>
    <row r="5635" spans="142:145" x14ac:dyDescent="0.25">
      <c r="EL5635">
        <v>1998</v>
      </c>
      <c r="EM5635" t="s">
        <v>762</v>
      </c>
      <c r="EN5635" t="s">
        <v>859</v>
      </c>
      <c r="EO5635">
        <v>20.057000000000002</v>
      </c>
    </row>
    <row r="5636" spans="142:145" x14ac:dyDescent="0.25">
      <c r="EL5636">
        <v>1999</v>
      </c>
      <c r="EM5636" t="s">
        <v>763</v>
      </c>
      <c r="EN5636" t="s">
        <v>859</v>
      </c>
      <c r="EO5636">
        <v>22.474999999999998</v>
      </c>
    </row>
    <row r="5637" spans="142:145" x14ac:dyDescent="0.25">
      <c r="EL5637">
        <v>1999</v>
      </c>
      <c r="EM5637" t="s">
        <v>772</v>
      </c>
      <c r="EN5637" t="s">
        <v>859</v>
      </c>
      <c r="EO5637">
        <v>20.187999999999999</v>
      </c>
    </row>
    <row r="5638" spans="142:145" x14ac:dyDescent="0.25">
      <c r="EL5638">
        <v>1999</v>
      </c>
      <c r="EM5638" t="s">
        <v>773</v>
      </c>
      <c r="EN5638" t="s">
        <v>859</v>
      </c>
      <c r="EO5638">
        <v>27.683</v>
      </c>
    </row>
    <row r="5639" spans="142:145" x14ac:dyDescent="0.25">
      <c r="EL5639">
        <v>1999</v>
      </c>
      <c r="EM5639" t="s">
        <v>774</v>
      </c>
      <c r="EN5639" t="s">
        <v>859</v>
      </c>
      <c r="EO5639">
        <v>24.18</v>
      </c>
    </row>
    <row r="5640" spans="142:145" x14ac:dyDescent="0.25">
      <c r="EL5640">
        <v>1999</v>
      </c>
      <c r="EM5640" t="s">
        <v>715</v>
      </c>
      <c r="EN5640" t="s">
        <v>859</v>
      </c>
      <c r="EO5640">
        <v>23.622</v>
      </c>
    </row>
    <row r="5641" spans="142:145" x14ac:dyDescent="0.25">
      <c r="EL5641">
        <v>1999</v>
      </c>
      <c r="EM5641" t="s">
        <v>718</v>
      </c>
      <c r="EN5641" t="s">
        <v>859</v>
      </c>
      <c r="EO5641">
        <v>21.209999999999997</v>
      </c>
    </row>
    <row r="5642" spans="142:145" x14ac:dyDescent="0.25">
      <c r="EL5642">
        <v>1999</v>
      </c>
      <c r="EM5642" t="s">
        <v>716</v>
      </c>
      <c r="EN5642" t="s">
        <v>859</v>
      </c>
      <c r="EO5642">
        <v>20.584</v>
      </c>
    </row>
    <row r="5643" spans="142:145" x14ac:dyDescent="0.25">
      <c r="EL5643">
        <v>1999</v>
      </c>
      <c r="EM5643" t="s">
        <v>708</v>
      </c>
      <c r="EN5643" t="s">
        <v>859</v>
      </c>
      <c r="EO5643">
        <v>18.847999999999999</v>
      </c>
    </row>
    <row r="5644" spans="142:145" x14ac:dyDescent="0.25">
      <c r="EL5644">
        <v>1999</v>
      </c>
      <c r="EM5644" t="s">
        <v>709</v>
      </c>
      <c r="EN5644" t="s">
        <v>859</v>
      </c>
      <c r="EO5644">
        <v>22.35</v>
      </c>
    </row>
    <row r="5645" spans="142:145" x14ac:dyDescent="0.25">
      <c r="EL5645">
        <v>1999</v>
      </c>
      <c r="EM5645" t="s">
        <v>710</v>
      </c>
      <c r="EN5645" t="s">
        <v>859</v>
      </c>
      <c r="EO5645">
        <v>16.957000000000001</v>
      </c>
    </row>
    <row r="5646" spans="142:145" x14ac:dyDescent="0.25">
      <c r="EL5646">
        <v>1999</v>
      </c>
      <c r="EM5646" t="s">
        <v>711</v>
      </c>
      <c r="EN5646" t="s">
        <v>859</v>
      </c>
      <c r="EO5646">
        <v>21.39</v>
      </c>
    </row>
    <row r="5647" spans="142:145" x14ac:dyDescent="0.25">
      <c r="EL5647">
        <v>1999</v>
      </c>
      <c r="EM5647" t="s">
        <v>712</v>
      </c>
      <c r="EN5647" t="s">
        <v>859</v>
      </c>
      <c r="EO5647">
        <v>23.343</v>
      </c>
    </row>
    <row r="5648" spans="142:145" x14ac:dyDescent="0.25">
      <c r="EL5648">
        <v>2000</v>
      </c>
      <c r="EM5648" t="s">
        <v>719</v>
      </c>
      <c r="EN5648" t="s">
        <v>859</v>
      </c>
      <c r="EO5648">
        <v>22.785</v>
      </c>
    </row>
    <row r="5649" spans="142:145" x14ac:dyDescent="0.25">
      <c r="EL5649">
        <v>2000</v>
      </c>
      <c r="EM5649" t="s">
        <v>713</v>
      </c>
      <c r="EN5649" t="s">
        <v>859</v>
      </c>
      <c r="EO5649">
        <v>23.142000000000003</v>
      </c>
    </row>
    <row r="5650" spans="142:145" x14ac:dyDescent="0.25">
      <c r="EL5650">
        <v>2000</v>
      </c>
      <c r="EM5650" t="s">
        <v>714</v>
      </c>
      <c r="EN5650" t="s">
        <v>859</v>
      </c>
      <c r="EO5650">
        <v>27.248999999999999</v>
      </c>
    </row>
    <row r="5651" spans="142:145" x14ac:dyDescent="0.25">
      <c r="EL5651">
        <v>2000</v>
      </c>
      <c r="EM5651" t="s">
        <v>705</v>
      </c>
      <c r="EN5651" t="s">
        <v>859</v>
      </c>
      <c r="EO5651">
        <v>29.099999999999998</v>
      </c>
    </row>
    <row r="5652" spans="142:145" x14ac:dyDescent="0.25">
      <c r="EL5652">
        <v>2000</v>
      </c>
      <c r="EM5652" t="s">
        <v>715</v>
      </c>
      <c r="EN5652" t="s">
        <v>859</v>
      </c>
      <c r="EO5652">
        <v>27.032</v>
      </c>
    </row>
    <row r="5653" spans="142:145" x14ac:dyDescent="0.25">
      <c r="EL5653">
        <v>2000</v>
      </c>
      <c r="EM5653" t="s">
        <v>718</v>
      </c>
      <c r="EN5653" t="s">
        <v>859</v>
      </c>
      <c r="EO5653">
        <v>23.790000000000003</v>
      </c>
    </row>
    <row r="5654" spans="142:145" x14ac:dyDescent="0.25">
      <c r="EL5654">
        <v>2000</v>
      </c>
      <c r="EM5654" t="s">
        <v>716</v>
      </c>
      <c r="EN5654" t="s">
        <v>859</v>
      </c>
      <c r="EO5654">
        <v>22.567999999999998</v>
      </c>
    </row>
    <row r="5655" spans="142:145" x14ac:dyDescent="0.25">
      <c r="EL5655">
        <v>2000</v>
      </c>
      <c r="EM5655" t="s">
        <v>708</v>
      </c>
      <c r="EN5655" t="s">
        <v>859</v>
      </c>
      <c r="EO5655">
        <v>22.164999999999999</v>
      </c>
    </row>
    <row r="5656" spans="142:145" x14ac:dyDescent="0.25">
      <c r="EL5656">
        <v>2000</v>
      </c>
      <c r="EM5656" t="s">
        <v>709</v>
      </c>
      <c r="EN5656" t="s">
        <v>859</v>
      </c>
      <c r="EO5656">
        <v>21.75</v>
      </c>
    </row>
    <row r="5657" spans="142:145" x14ac:dyDescent="0.25">
      <c r="EL5657">
        <v>2000</v>
      </c>
      <c r="EM5657" t="s">
        <v>710</v>
      </c>
      <c r="EN5657" t="s">
        <v>859</v>
      </c>
      <c r="EO5657">
        <v>21.358999999999998</v>
      </c>
    </row>
    <row r="5658" spans="142:145" x14ac:dyDescent="0.25">
      <c r="EL5658">
        <v>2000</v>
      </c>
      <c r="EM5658" t="s">
        <v>711</v>
      </c>
      <c r="EN5658" t="s">
        <v>859</v>
      </c>
      <c r="EO5658">
        <v>20.759999999999998</v>
      </c>
    </row>
    <row r="5659" spans="142:145" x14ac:dyDescent="0.25">
      <c r="EL5659">
        <v>2000</v>
      </c>
      <c r="EM5659" t="s">
        <v>712</v>
      </c>
      <c r="EN5659" t="s">
        <v>859</v>
      </c>
      <c r="EO5659">
        <v>23.25</v>
      </c>
    </row>
    <row r="5660" spans="142:145" x14ac:dyDescent="0.25">
      <c r="EL5660">
        <v>2001</v>
      </c>
      <c r="EM5660" t="s">
        <v>719</v>
      </c>
      <c r="EN5660" t="s">
        <v>859</v>
      </c>
      <c r="EO5660">
        <v>22.381999999999998</v>
      </c>
    </row>
    <row r="5661" spans="142:145" x14ac:dyDescent="0.25">
      <c r="EL5661">
        <v>2001</v>
      </c>
      <c r="EM5661" t="s">
        <v>713</v>
      </c>
      <c r="EN5661" t="s">
        <v>859</v>
      </c>
      <c r="EO5661">
        <v>21.896000000000001</v>
      </c>
    </row>
    <row r="5662" spans="142:145" x14ac:dyDescent="0.25">
      <c r="EL5662">
        <v>2001</v>
      </c>
      <c r="EM5662" t="s">
        <v>714</v>
      </c>
      <c r="EN5662" t="s">
        <v>859</v>
      </c>
      <c r="EO5662">
        <v>26.442999999999998</v>
      </c>
    </row>
    <row r="5663" spans="142:145" x14ac:dyDescent="0.25">
      <c r="EL5663">
        <v>2001</v>
      </c>
      <c r="EM5663" t="s">
        <v>705</v>
      </c>
      <c r="EN5663" t="s">
        <v>859</v>
      </c>
      <c r="EO5663">
        <v>27.062999999999999</v>
      </c>
    </row>
    <row r="5664" spans="142:145" x14ac:dyDescent="0.25">
      <c r="EL5664">
        <v>2001</v>
      </c>
      <c r="EM5664" t="s">
        <v>715</v>
      </c>
      <c r="EN5664" t="s">
        <v>859</v>
      </c>
      <c r="EO5664">
        <v>25.919999999999998</v>
      </c>
    </row>
    <row r="5665" spans="142:145" x14ac:dyDescent="0.25">
      <c r="EL5665">
        <v>2001</v>
      </c>
      <c r="EM5665" t="s">
        <v>718</v>
      </c>
      <c r="EN5665" t="s">
        <v>859</v>
      </c>
      <c r="EO5665">
        <v>25.259999999999998</v>
      </c>
    </row>
    <row r="5666" spans="142:145" x14ac:dyDescent="0.25">
      <c r="EL5666">
        <v>2001</v>
      </c>
      <c r="EM5666" t="s">
        <v>716</v>
      </c>
      <c r="EN5666" t="s">
        <v>859</v>
      </c>
      <c r="EO5666">
        <v>24.738</v>
      </c>
    </row>
    <row r="5667" spans="142:145" x14ac:dyDescent="0.25">
      <c r="EL5667">
        <v>2001</v>
      </c>
      <c r="EM5667" t="s">
        <v>708</v>
      </c>
      <c r="EN5667" t="s">
        <v>859</v>
      </c>
      <c r="EO5667">
        <v>22.785</v>
      </c>
    </row>
    <row r="5668" spans="142:145" x14ac:dyDescent="0.25">
      <c r="EL5668">
        <v>2001</v>
      </c>
      <c r="EM5668" t="s">
        <v>709</v>
      </c>
      <c r="EN5668" t="s">
        <v>859</v>
      </c>
      <c r="EO5668">
        <v>21.72</v>
      </c>
    </row>
    <row r="5669" spans="142:145" x14ac:dyDescent="0.25">
      <c r="EL5669">
        <v>2001</v>
      </c>
      <c r="EM5669" t="s">
        <v>710</v>
      </c>
      <c r="EN5669" t="s">
        <v>859</v>
      </c>
      <c r="EO5669">
        <v>22.474999999999998</v>
      </c>
    </row>
    <row r="5670" spans="142:145" x14ac:dyDescent="0.25">
      <c r="EL5670">
        <v>2001</v>
      </c>
      <c r="EM5670" t="s">
        <v>711</v>
      </c>
      <c r="EN5670" t="s">
        <v>859</v>
      </c>
      <c r="EO5670">
        <v>22.38</v>
      </c>
    </row>
    <row r="5671" spans="142:145" x14ac:dyDescent="0.25">
      <c r="EL5671">
        <v>2001</v>
      </c>
      <c r="EM5671" t="s">
        <v>712</v>
      </c>
      <c r="EN5671" t="s">
        <v>859</v>
      </c>
      <c r="EO5671">
        <v>23.280999999999999</v>
      </c>
    </row>
    <row r="5672" spans="142:145" x14ac:dyDescent="0.25">
      <c r="EL5672">
        <v>2002</v>
      </c>
      <c r="EM5672" t="s">
        <v>719</v>
      </c>
      <c r="EN5672" t="s">
        <v>859</v>
      </c>
      <c r="EO5672">
        <v>24.087</v>
      </c>
    </row>
    <row r="5673" spans="142:145" x14ac:dyDescent="0.25">
      <c r="EL5673">
        <v>2002</v>
      </c>
      <c r="EM5673" t="s">
        <v>713</v>
      </c>
      <c r="EN5673" t="s">
        <v>859</v>
      </c>
      <c r="EO5673">
        <v>20.3</v>
      </c>
    </row>
    <row r="5674" spans="142:145" x14ac:dyDescent="0.25">
      <c r="EL5674">
        <v>2002</v>
      </c>
      <c r="EM5674" t="s">
        <v>714</v>
      </c>
      <c r="EN5674" t="s">
        <v>859</v>
      </c>
      <c r="EO5674">
        <v>21.823999999999998</v>
      </c>
    </row>
    <row r="5675" spans="142:145" x14ac:dyDescent="0.25">
      <c r="EL5675">
        <v>2002</v>
      </c>
      <c r="EM5675" t="s">
        <v>705</v>
      </c>
      <c r="EN5675" t="s">
        <v>859</v>
      </c>
      <c r="EO5675">
        <v>21.87</v>
      </c>
    </row>
    <row r="5676" spans="142:145" x14ac:dyDescent="0.25">
      <c r="EL5676">
        <v>2002</v>
      </c>
      <c r="EM5676" t="s">
        <v>715</v>
      </c>
      <c r="EN5676" t="s">
        <v>859</v>
      </c>
      <c r="EO5676">
        <v>21.482999999999997</v>
      </c>
    </row>
    <row r="5677" spans="142:145" x14ac:dyDescent="0.25">
      <c r="EL5677">
        <v>2002</v>
      </c>
      <c r="EM5677" t="s">
        <v>718</v>
      </c>
      <c r="EN5677" t="s">
        <v>859</v>
      </c>
      <c r="EO5677">
        <v>20.400000000000002</v>
      </c>
    </row>
    <row r="5678" spans="142:145" x14ac:dyDescent="0.25">
      <c r="EL5678">
        <v>2002</v>
      </c>
      <c r="EM5678" t="s">
        <v>716</v>
      </c>
      <c r="EN5678" t="s">
        <v>859</v>
      </c>
      <c r="EO5678">
        <v>20.429000000000002</v>
      </c>
    </row>
    <row r="5679" spans="142:145" x14ac:dyDescent="0.25">
      <c r="EL5679">
        <v>2002</v>
      </c>
      <c r="EM5679" t="s">
        <v>708</v>
      </c>
      <c r="EN5679" t="s">
        <v>859</v>
      </c>
      <c r="EO5679">
        <v>22.195999999999998</v>
      </c>
    </row>
    <row r="5680" spans="142:145" x14ac:dyDescent="0.25">
      <c r="EL5680">
        <v>2002</v>
      </c>
      <c r="EM5680" t="s">
        <v>709</v>
      </c>
      <c r="EN5680" t="s">
        <v>859</v>
      </c>
      <c r="EO5680">
        <v>21</v>
      </c>
    </row>
    <row r="5681" spans="142:145" x14ac:dyDescent="0.25">
      <c r="EL5681">
        <v>2002</v>
      </c>
      <c r="EM5681" t="s">
        <v>710</v>
      </c>
      <c r="EN5681" t="s">
        <v>859</v>
      </c>
      <c r="EO5681">
        <v>22.63</v>
      </c>
    </row>
    <row r="5682" spans="142:145" x14ac:dyDescent="0.25">
      <c r="EL5682">
        <v>2002</v>
      </c>
      <c r="EM5682" t="s">
        <v>711</v>
      </c>
      <c r="EN5682" t="s">
        <v>859</v>
      </c>
      <c r="EO5682">
        <v>25.86</v>
      </c>
    </row>
    <row r="5683" spans="142:145" x14ac:dyDescent="0.25">
      <c r="EL5683">
        <v>2002</v>
      </c>
      <c r="EM5683" t="s">
        <v>712</v>
      </c>
      <c r="EN5683" t="s">
        <v>859</v>
      </c>
      <c r="EO5683">
        <v>27.683</v>
      </c>
    </row>
    <row r="5684" spans="142:145" x14ac:dyDescent="0.25">
      <c r="EL5684">
        <v>2003</v>
      </c>
      <c r="EM5684" t="s">
        <v>719</v>
      </c>
      <c r="EN5684" t="s">
        <v>859</v>
      </c>
      <c r="EO5684">
        <v>29.45</v>
      </c>
    </row>
    <row r="5685" spans="142:145" x14ac:dyDescent="0.25">
      <c r="EL5685">
        <v>2003</v>
      </c>
      <c r="EM5685" t="s">
        <v>713</v>
      </c>
      <c r="EN5685" t="s">
        <v>859</v>
      </c>
      <c r="EO5685">
        <v>30.66</v>
      </c>
    </row>
    <row r="5686" spans="142:145" x14ac:dyDescent="0.25">
      <c r="EL5686">
        <v>2003</v>
      </c>
      <c r="EM5686" t="s">
        <v>714</v>
      </c>
      <c r="EN5686" t="s">
        <v>859</v>
      </c>
      <c r="EO5686">
        <v>39.028999999999996</v>
      </c>
    </row>
    <row r="5687" spans="142:145" x14ac:dyDescent="0.25">
      <c r="EL5687">
        <v>2003</v>
      </c>
      <c r="EM5687" t="s">
        <v>705</v>
      </c>
      <c r="EN5687" t="s">
        <v>859</v>
      </c>
      <c r="EO5687">
        <v>35.79</v>
      </c>
    </row>
    <row r="5688" spans="142:145" x14ac:dyDescent="0.25">
      <c r="EL5688">
        <v>2003</v>
      </c>
      <c r="EM5688" t="s">
        <v>715</v>
      </c>
      <c r="EN5688" t="s">
        <v>859</v>
      </c>
      <c r="EO5688">
        <v>36.641999999999996</v>
      </c>
    </row>
    <row r="5689" spans="142:145" x14ac:dyDescent="0.25">
      <c r="EL5689">
        <v>2003</v>
      </c>
      <c r="EM5689" t="s">
        <v>718</v>
      </c>
      <c r="EN5689" t="s">
        <v>859</v>
      </c>
      <c r="EO5689">
        <v>42.75</v>
      </c>
    </row>
    <row r="5690" spans="142:145" x14ac:dyDescent="0.25">
      <c r="EL5690">
        <v>2003</v>
      </c>
      <c r="EM5690" t="s">
        <v>716</v>
      </c>
      <c r="EN5690" t="s">
        <v>859</v>
      </c>
      <c r="EO5690">
        <v>37.323999999999998</v>
      </c>
    </row>
    <row r="5691" spans="142:145" x14ac:dyDescent="0.25">
      <c r="EL5691">
        <v>2003</v>
      </c>
      <c r="EM5691" t="s">
        <v>708</v>
      </c>
      <c r="EN5691" t="s">
        <v>859</v>
      </c>
      <c r="EO5691">
        <v>30.844999999999999</v>
      </c>
    </row>
    <row r="5692" spans="142:145" x14ac:dyDescent="0.25">
      <c r="EL5692">
        <v>2003</v>
      </c>
      <c r="EM5692" t="s">
        <v>709</v>
      </c>
      <c r="EN5692" t="s">
        <v>859</v>
      </c>
      <c r="EO5692">
        <v>39.840000000000003</v>
      </c>
    </row>
    <row r="5693" spans="142:145" x14ac:dyDescent="0.25">
      <c r="EL5693">
        <v>2003</v>
      </c>
      <c r="EM5693" t="s">
        <v>710</v>
      </c>
      <c r="EN5693" t="s">
        <v>859</v>
      </c>
      <c r="EO5693">
        <v>31.103000000000002</v>
      </c>
    </row>
    <row r="5694" spans="142:145" x14ac:dyDescent="0.25">
      <c r="EL5694">
        <v>2003</v>
      </c>
      <c r="EM5694" t="s">
        <v>711</v>
      </c>
      <c r="EN5694" t="s">
        <v>859</v>
      </c>
      <c r="EO5694">
        <v>31.792000000000002</v>
      </c>
    </row>
    <row r="5695" spans="142:145" x14ac:dyDescent="0.25">
      <c r="EL5695">
        <v>2003</v>
      </c>
      <c r="EM5695" t="s">
        <v>712</v>
      </c>
      <c r="EN5695" t="s">
        <v>859</v>
      </c>
      <c r="EO5695">
        <v>41.228999999999999</v>
      </c>
    </row>
    <row r="5696" spans="142:145" x14ac:dyDescent="0.25">
      <c r="EL5696">
        <v>2004</v>
      </c>
      <c r="EM5696" t="s">
        <v>719</v>
      </c>
      <c r="EN5696" t="s">
        <v>859</v>
      </c>
      <c r="EO5696">
        <v>35.832999999999998</v>
      </c>
    </row>
    <row r="5697" spans="142:145" x14ac:dyDescent="0.25">
      <c r="EL5697">
        <v>2004</v>
      </c>
      <c r="EM5697" t="s">
        <v>713</v>
      </c>
      <c r="EN5697" t="s">
        <v>859</v>
      </c>
      <c r="EO5697">
        <v>35.203000000000003</v>
      </c>
    </row>
    <row r="5698" spans="142:145" x14ac:dyDescent="0.25">
      <c r="EL5698">
        <v>2004</v>
      </c>
      <c r="EM5698" t="s">
        <v>714</v>
      </c>
      <c r="EN5698" t="s">
        <v>859</v>
      </c>
      <c r="EO5698">
        <v>34.472000000000001</v>
      </c>
    </row>
    <row r="5699" spans="142:145" x14ac:dyDescent="0.25">
      <c r="EL5699">
        <v>2004</v>
      </c>
      <c r="EM5699" t="s">
        <v>705</v>
      </c>
      <c r="EN5699" t="s">
        <v>859</v>
      </c>
      <c r="EO5699">
        <v>37.01</v>
      </c>
    </row>
    <row r="5700" spans="142:145" x14ac:dyDescent="0.25">
      <c r="EL5700">
        <v>2004</v>
      </c>
      <c r="EM5700" t="s">
        <v>715</v>
      </c>
      <c r="EN5700" t="s">
        <v>859</v>
      </c>
      <c r="EO5700">
        <v>27.844000000000001</v>
      </c>
    </row>
    <row r="5701" spans="142:145" x14ac:dyDescent="0.25">
      <c r="EL5701">
        <v>2004</v>
      </c>
      <c r="EM5701" t="s">
        <v>718</v>
      </c>
      <c r="EN5701" t="s">
        <v>859</v>
      </c>
      <c r="EO5701">
        <v>31.74</v>
      </c>
    </row>
    <row r="5702" spans="142:145" x14ac:dyDescent="0.25">
      <c r="EL5702">
        <v>2004</v>
      </c>
      <c r="EM5702" t="s">
        <v>716</v>
      </c>
      <c r="EN5702" t="s">
        <v>859</v>
      </c>
      <c r="EO5702">
        <v>33.103000000000002</v>
      </c>
    </row>
    <row r="5703" spans="142:145" x14ac:dyDescent="0.25">
      <c r="EL5703">
        <v>2004</v>
      </c>
      <c r="EM5703" t="s">
        <v>708</v>
      </c>
      <c r="EN5703" t="s">
        <v>859</v>
      </c>
      <c r="EO5703">
        <v>19.991900000000001</v>
      </c>
    </row>
    <row r="5704" spans="142:145" x14ac:dyDescent="0.25">
      <c r="EL5704">
        <v>2004</v>
      </c>
      <c r="EM5704" t="s">
        <v>709</v>
      </c>
      <c r="EN5704" t="s">
        <v>859</v>
      </c>
      <c r="EO5704">
        <v>27.111000000000001</v>
      </c>
    </row>
    <row r="5705" spans="142:145" x14ac:dyDescent="0.25">
      <c r="EL5705">
        <v>2004</v>
      </c>
      <c r="EM5705" t="s">
        <v>710</v>
      </c>
      <c r="EN5705" t="s">
        <v>859</v>
      </c>
      <c r="EO5705">
        <v>26.048999999999999</v>
      </c>
    </row>
    <row r="5706" spans="142:145" x14ac:dyDescent="0.25">
      <c r="EL5706">
        <v>2004</v>
      </c>
      <c r="EM5706" t="s">
        <v>711</v>
      </c>
      <c r="EN5706" t="s">
        <v>859</v>
      </c>
      <c r="EO5706">
        <v>27.309000000000001</v>
      </c>
    </row>
    <row r="5707" spans="142:145" x14ac:dyDescent="0.25">
      <c r="EL5707">
        <v>2004</v>
      </c>
      <c r="EM5707" t="s">
        <v>712</v>
      </c>
      <c r="EN5707" t="s">
        <v>859</v>
      </c>
      <c r="EO5707">
        <v>30.353999999999999</v>
      </c>
    </row>
    <row r="5708" spans="142:145" x14ac:dyDescent="0.25">
      <c r="EL5708">
        <v>2005</v>
      </c>
      <c r="EM5708" t="s">
        <v>719</v>
      </c>
      <c r="EN5708" t="s">
        <v>859</v>
      </c>
      <c r="EO5708">
        <v>31.202999999999999</v>
      </c>
    </row>
    <row r="5709" spans="142:145" x14ac:dyDescent="0.25">
      <c r="EL5709">
        <v>2005</v>
      </c>
      <c r="EM5709" t="s">
        <v>713</v>
      </c>
      <c r="EN5709" t="s">
        <v>859</v>
      </c>
      <c r="EO5709">
        <v>28.603999999999999</v>
      </c>
    </row>
    <row r="5710" spans="142:145" x14ac:dyDescent="0.25">
      <c r="EL5710">
        <v>2005</v>
      </c>
      <c r="EM5710" t="s">
        <v>714</v>
      </c>
      <c r="EN5710" t="s">
        <v>859</v>
      </c>
      <c r="EO5710">
        <v>33.259</v>
      </c>
    </row>
    <row r="5711" spans="142:145" x14ac:dyDescent="0.25">
      <c r="EL5711">
        <v>2005</v>
      </c>
      <c r="EM5711" t="s">
        <v>705</v>
      </c>
      <c r="EN5711" t="s">
        <v>859</v>
      </c>
      <c r="EO5711">
        <v>35.603000000000002</v>
      </c>
    </row>
    <row r="5712" spans="142:145" x14ac:dyDescent="0.25">
      <c r="EL5712">
        <v>2005</v>
      </c>
      <c r="EM5712" t="s">
        <v>715</v>
      </c>
      <c r="EN5712" t="s">
        <v>859</v>
      </c>
      <c r="EO5712">
        <v>34.398000000000003</v>
      </c>
    </row>
    <row r="5713" spans="142:145" x14ac:dyDescent="0.25">
      <c r="EL5713">
        <v>2005</v>
      </c>
      <c r="EM5713" t="s">
        <v>718</v>
      </c>
      <c r="EN5713" t="s">
        <v>859</v>
      </c>
      <c r="EO5713">
        <v>30.048999999999999</v>
      </c>
    </row>
    <row r="5714" spans="142:145" x14ac:dyDescent="0.25">
      <c r="EL5714">
        <v>2005</v>
      </c>
      <c r="EM5714" t="s">
        <v>716</v>
      </c>
      <c r="EN5714" t="s">
        <v>859</v>
      </c>
      <c r="EO5714">
        <v>32.103999999999999</v>
      </c>
    </row>
    <row r="5715" spans="142:145" x14ac:dyDescent="0.25">
      <c r="EL5715">
        <v>2005</v>
      </c>
      <c r="EM5715" t="s">
        <v>708</v>
      </c>
      <c r="EN5715" t="s">
        <v>859</v>
      </c>
      <c r="EO5715">
        <v>26.940999999999999</v>
      </c>
    </row>
    <row r="5716" spans="142:145" x14ac:dyDescent="0.25">
      <c r="EL5716">
        <v>2005</v>
      </c>
      <c r="EM5716" t="s">
        <v>709</v>
      </c>
      <c r="EN5716" t="s">
        <v>859</v>
      </c>
      <c r="EO5716">
        <v>29.459</v>
      </c>
    </row>
    <row r="5717" spans="142:145" x14ac:dyDescent="0.25">
      <c r="EL5717">
        <v>2005</v>
      </c>
      <c r="EM5717" t="s">
        <v>710</v>
      </c>
      <c r="EN5717" t="s">
        <v>859</v>
      </c>
      <c r="EO5717">
        <v>34.401000000000003</v>
      </c>
    </row>
    <row r="5718" spans="142:145" x14ac:dyDescent="0.25">
      <c r="EL5718">
        <v>2005</v>
      </c>
      <c r="EM5718" t="s">
        <v>711</v>
      </c>
      <c r="EN5718" t="s">
        <v>859</v>
      </c>
      <c r="EO5718">
        <v>34.44</v>
      </c>
    </row>
    <row r="5719" spans="142:145" x14ac:dyDescent="0.25">
      <c r="EL5719">
        <v>2005</v>
      </c>
      <c r="EM5719" t="s">
        <v>712</v>
      </c>
      <c r="EN5719" t="s">
        <v>859</v>
      </c>
      <c r="EO5719">
        <v>37.527000000000001</v>
      </c>
    </row>
    <row r="5720" spans="142:145" x14ac:dyDescent="0.25">
      <c r="EL5720">
        <v>2006</v>
      </c>
      <c r="EM5720" t="s">
        <v>719</v>
      </c>
      <c r="EN5720" t="s">
        <v>859</v>
      </c>
      <c r="EO5720">
        <v>40.628999999999998</v>
      </c>
    </row>
    <row r="5721" spans="142:145" x14ac:dyDescent="0.25">
      <c r="EL5721">
        <v>2006</v>
      </c>
      <c r="EM5721" t="s">
        <v>713</v>
      </c>
      <c r="EN5721" t="s">
        <v>859</v>
      </c>
      <c r="EO5721">
        <v>39.337000000000003</v>
      </c>
    </row>
    <row r="5722" spans="142:145" x14ac:dyDescent="0.25">
      <c r="EL5722">
        <v>2006</v>
      </c>
      <c r="EM5722" t="s">
        <v>714</v>
      </c>
      <c r="EN5722" t="s">
        <v>859</v>
      </c>
      <c r="EO5722">
        <v>38.578000000000003</v>
      </c>
    </row>
    <row r="5723" spans="142:145" x14ac:dyDescent="0.25">
      <c r="EL5723">
        <v>2006</v>
      </c>
      <c r="EM5723" t="s">
        <v>705</v>
      </c>
      <c r="EN5723" t="s">
        <v>859</v>
      </c>
      <c r="EO5723">
        <v>36.899000000000001</v>
      </c>
    </row>
    <row r="5724" spans="142:145" x14ac:dyDescent="0.25">
      <c r="EL5724">
        <v>2006</v>
      </c>
      <c r="EM5724" t="s">
        <v>715</v>
      </c>
      <c r="EN5724" t="s">
        <v>859</v>
      </c>
      <c r="EO5724">
        <v>32.06</v>
      </c>
    </row>
    <row r="5725" spans="142:145" x14ac:dyDescent="0.25">
      <c r="EL5725">
        <v>2006</v>
      </c>
      <c r="EM5725" t="s">
        <v>718</v>
      </c>
      <c r="EN5725" t="s">
        <v>859</v>
      </c>
      <c r="EO5725">
        <v>36.168999999999997</v>
      </c>
    </row>
    <row r="5726" spans="142:145" x14ac:dyDescent="0.25">
      <c r="EL5726">
        <v>2006</v>
      </c>
      <c r="EM5726" t="s">
        <v>716</v>
      </c>
      <c r="EN5726" t="s">
        <v>859</v>
      </c>
      <c r="EO5726">
        <v>33.368000000000002</v>
      </c>
    </row>
    <row r="5727" spans="142:145" x14ac:dyDescent="0.25">
      <c r="EL5727">
        <v>2006</v>
      </c>
      <c r="EM5727" t="s">
        <v>708</v>
      </c>
      <c r="EN5727" t="s">
        <v>859</v>
      </c>
      <c r="EO5727">
        <v>26.847000000000001</v>
      </c>
    </row>
    <row r="5728" spans="142:145" x14ac:dyDescent="0.25">
      <c r="EL5728">
        <v>2006</v>
      </c>
      <c r="EM5728" t="s">
        <v>709</v>
      </c>
      <c r="EN5728" t="s">
        <v>859</v>
      </c>
      <c r="EO5728">
        <v>29.547999999999998</v>
      </c>
    </row>
    <row r="5729" spans="142:145" x14ac:dyDescent="0.25">
      <c r="EL5729">
        <v>2006</v>
      </c>
      <c r="EM5729" t="s">
        <v>710</v>
      </c>
      <c r="EN5729" t="s">
        <v>859</v>
      </c>
      <c r="EO5729">
        <v>26.992000000000001</v>
      </c>
    </row>
    <row r="5730" spans="142:145" x14ac:dyDescent="0.25">
      <c r="EL5730">
        <v>2006</v>
      </c>
      <c r="EM5730" t="s">
        <v>711</v>
      </c>
      <c r="EN5730" t="s">
        <v>859</v>
      </c>
      <c r="EO5730">
        <v>34.944000000000003</v>
      </c>
    </row>
    <row r="5731" spans="142:145" x14ac:dyDescent="0.25">
      <c r="EL5731">
        <v>2006</v>
      </c>
      <c r="EM5731" t="s">
        <v>712</v>
      </c>
      <c r="EN5731" t="s">
        <v>859</v>
      </c>
      <c r="EO5731">
        <v>26.847000000000001</v>
      </c>
    </row>
    <row r="5732" spans="142:145" x14ac:dyDescent="0.25">
      <c r="EL5732">
        <v>2007</v>
      </c>
      <c r="EM5732" t="s">
        <v>719</v>
      </c>
      <c r="EN5732" t="s">
        <v>859</v>
      </c>
      <c r="EO5732">
        <v>24.491</v>
      </c>
    </row>
    <row r="5733" spans="142:145" x14ac:dyDescent="0.25">
      <c r="EL5733">
        <v>2007</v>
      </c>
      <c r="EM5733" t="s">
        <v>713</v>
      </c>
      <c r="EN5733" t="s">
        <v>859</v>
      </c>
      <c r="EO5733">
        <v>21.513999999999999</v>
      </c>
    </row>
    <row r="5734" spans="142:145" x14ac:dyDescent="0.25">
      <c r="EL5734">
        <v>2007</v>
      </c>
      <c r="EM5734" t="s">
        <v>714</v>
      </c>
      <c r="EN5734" t="s">
        <v>859</v>
      </c>
      <c r="EO5734">
        <v>28.532</v>
      </c>
    </row>
    <row r="5735" spans="142:145" x14ac:dyDescent="0.25">
      <c r="EL5735">
        <v>2007</v>
      </c>
      <c r="EM5735" t="s">
        <v>705</v>
      </c>
      <c r="EN5735" t="s">
        <v>859</v>
      </c>
      <c r="EO5735">
        <v>25.786000000000001</v>
      </c>
    </row>
    <row r="5736" spans="142:145" x14ac:dyDescent="0.25">
      <c r="EL5736">
        <v>2007</v>
      </c>
      <c r="EM5736" t="s">
        <v>715</v>
      </c>
      <c r="EN5736" t="s">
        <v>859</v>
      </c>
      <c r="EO5736">
        <v>23.306000000000001</v>
      </c>
    </row>
    <row r="5737" spans="142:145" x14ac:dyDescent="0.25">
      <c r="EL5737">
        <v>2007</v>
      </c>
      <c r="EM5737" t="s">
        <v>718</v>
      </c>
      <c r="EN5737" t="s">
        <v>859</v>
      </c>
      <c r="EO5737">
        <v>19.076000000000001</v>
      </c>
    </row>
    <row r="5738" spans="142:145" x14ac:dyDescent="0.25">
      <c r="EL5738">
        <v>2007</v>
      </c>
      <c r="EM5738" t="s">
        <v>716</v>
      </c>
      <c r="EN5738" t="s">
        <v>859</v>
      </c>
      <c r="EO5738">
        <v>18.350000000000001</v>
      </c>
    </row>
    <row r="5739" spans="142:145" x14ac:dyDescent="0.25">
      <c r="EL5739">
        <v>2007</v>
      </c>
      <c r="EM5739" t="s">
        <v>708</v>
      </c>
      <c r="EN5739" t="s">
        <v>859</v>
      </c>
      <c r="EO5739">
        <v>19.943999999999999</v>
      </c>
    </row>
    <row r="5740" spans="142:145" x14ac:dyDescent="0.25">
      <c r="EL5740">
        <v>2007</v>
      </c>
      <c r="EM5740" t="s">
        <v>709</v>
      </c>
      <c r="EN5740" t="s">
        <v>859</v>
      </c>
      <c r="EO5740">
        <v>18.094999999999999</v>
      </c>
    </row>
    <row r="5741" spans="142:145" x14ac:dyDescent="0.25">
      <c r="EL5741">
        <v>2007</v>
      </c>
      <c r="EM5741" t="s">
        <v>710</v>
      </c>
      <c r="EN5741" t="s">
        <v>859</v>
      </c>
      <c r="EO5741">
        <v>15.569000000000001</v>
      </c>
    </row>
    <row r="5742" spans="142:145" x14ac:dyDescent="0.25">
      <c r="EL5742">
        <v>2007</v>
      </c>
      <c r="EM5742" t="s">
        <v>711</v>
      </c>
      <c r="EN5742" t="s">
        <v>859</v>
      </c>
      <c r="EO5742">
        <v>13.119</v>
      </c>
    </row>
    <row r="5743" spans="142:145" x14ac:dyDescent="0.25">
      <c r="EL5743">
        <v>2007</v>
      </c>
      <c r="EM5743" t="s">
        <v>712</v>
      </c>
      <c r="EN5743" t="s">
        <v>859</v>
      </c>
      <c r="EO5743">
        <v>16.599</v>
      </c>
    </row>
    <row r="5744" spans="142:145" x14ac:dyDescent="0.25">
      <c r="EL5744">
        <v>2008</v>
      </c>
      <c r="EM5744" t="s">
        <v>719</v>
      </c>
      <c r="EN5744" t="s">
        <v>859</v>
      </c>
      <c r="EO5744">
        <v>17.63</v>
      </c>
    </row>
    <row r="5745" spans="142:145" x14ac:dyDescent="0.25">
      <c r="EL5745">
        <v>2008</v>
      </c>
      <c r="EM5745" t="s">
        <v>713</v>
      </c>
      <c r="EN5745" t="s">
        <v>859</v>
      </c>
      <c r="EO5745">
        <v>53.699873934000003</v>
      </c>
    </row>
    <row r="5746" spans="142:145" x14ac:dyDescent="0.25">
      <c r="EL5746">
        <v>2008</v>
      </c>
      <c r="EM5746" t="s">
        <v>714</v>
      </c>
      <c r="EN5746" t="s">
        <v>859</v>
      </c>
      <c r="EO5746">
        <v>29</v>
      </c>
    </row>
    <row r="5747" spans="142:145" x14ac:dyDescent="0.25">
      <c r="EL5747">
        <v>2008</v>
      </c>
      <c r="EM5747" t="s">
        <v>705</v>
      </c>
      <c r="EN5747" t="s">
        <v>859</v>
      </c>
      <c r="EO5747">
        <v>27.61</v>
      </c>
    </row>
    <row r="5748" spans="142:145" x14ac:dyDescent="0.25">
      <c r="EL5748">
        <v>2008</v>
      </c>
      <c r="EM5748" t="s">
        <v>715</v>
      </c>
      <c r="EN5748" t="s">
        <v>859</v>
      </c>
      <c r="EO5748">
        <v>35.673999999999999</v>
      </c>
    </row>
    <row r="5749" spans="142:145" x14ac:dyDescent="0.25">
      <c r="EL5749">
        <v>2008</v>
      </c>
      <c r="EM5749" t="s">
        <v>718</v>
      </c>
      <c r="EN5749" t="s">
        <v>859</v>
      </c>
      <c r="EO5749">
        <v>35.113</v>
      </c>
    </row>
    <row r="5750" spans="142:145" x14ac:dyDescent="0.25">
      <c r="EL5750">
        <v>2008</v>
      </c>
      <c r="EM5750" t="s">
        <v>716</v>
      </c>
      <c r="EN5750" t="s">
        <v>859</v>
      </c>
      <c r="EO5750">
        <v>32.488</v>
      </c>
    </row>
    <row r="5751" spans="142:145" x14ac:dyDescent="0.25">
      <c r="EL5751">
        <v>2008</v>
      </c>
      <c r="EM5751" t="s">
        <v>708</v>
      </c>
      <c r="EN5751" t="s">
        <v>859</v>
      </c>
      <c r="EO5751">
        <v>17.63</v>
      </c>
    </row>
    <row r="5752" spans="142:145" x14ac:dyDescent="0.25">
      <c r="EL5752">
        <v>2008</v>
      </c>
      <c r="EM5752" t="s">
        <v>709</v>
      </c>
      <c r="EN5752" t="s">
        <v>859</v>
      </c>
      <c r="EO5752">
        <v>28.704999999999998</v>
      </c>
    </row>
    <row r="5753" spans="142:145" x14ac:dyDescent="0.25">
      <c r="EL5753">
        <v>2008</v>
      </c>
      <c r="EM5753" t="s">
        <v>710</v>
      </c>
      <c r="EN5753" t="s">
        <v>859</v>
      </c>
      <c r="EO5753">
        <v>17.202999999999999</v>
      </c>
    </row>
    <row r="5754" spans="142:145" x14ac:dyDescent="0.25">
      <c r="EL5754">
        <v>2008</v>
      </c>
      <c r="EM5754" t="s">
        <v>711</v>
      </c>
      <c r="EN5754" t="s">
        <v>859</v>
      </c>
      <c r="EO5754">
        <v>16.742000000000001</v>
      </c>
    </row>
    <row r="5755" spans="142:145" x14ac:dyDescent="0.25">
      <c r="EL5755">
        <v>2008</v>
      </c>
      <c r="EM5755" t="s">
        <v>712</v>
      </c>
      <c r="EN5755" t="s">
        <v>859</v>
      </c>
      <c r="EO5755">
        <v>22.177</v>
      </c>
    </row>
    <row r="5756" spans="142:145" x14ac:dyDescent="0.25">
      <c r="EL5756">
        <v>2009</v>
      </c>
      <c r="EM5756" t="s">
        <v>719</v>
      </c>
      <c r="EN5756" t="s">
        <v>859</v>
      </c>
      <c r="EO5756">
        <v>22.734000000000002</v>
      </c>
    </row>
    <row r="5757" spans="142:145" x14ac:dyDescent="0.25">
      <c r="EL5757">
        <v>2009</v>
      </c>
      <c r="EM5757" t="s">
        <v>713</v>
      </c>
      <c r="EN5757" t="s">
        <v>859</v>
      </c>
      <c r="EO5757">
        <v>19.006</v>
      </c>
    </row>
    <row r="5758" spans="142:145" x14ac:dyDescent="0.25">
      <c r="EL5758">
        <v>2009</v>
      </c>
      <c r="EM5758" t="s">
        <v>714</v>
      </c>
      <c r="EN5758" t="s">
        <v>859</v>
      </c>
      <c r="EO5758">
        <v>22.605</v>
      </c>
    </row>
    <row r="5759" spans="142:145" x14ac:dyDescent="0.25">
      <c r="EL5759">
        <v>2009</v>
      </c>
      <c r="EM5759" t="s">
        <v>705</v>
      </c>
      <c r="EN5759" t="s">
        <v>859</v>
      </c>
      <c r="EO5759">
        <v>23.788</v>
      </c>
    </row>
    <row r="5760" spans="142:145" x14ac:dyDescent="0.25">
      <c r="EL5760">
        <v>2009</v>
      </c>
      <c r="EM5760" t="s">
        <v>715</v>
      </c>
      <c r="EN5760" t="s">
        <v>859</v>
      </c>
      <c r="EO5760">
        <v>29.963000000000001</v>
      </c>
    </row>
    <row r="5761" spans="142:145" x14ac:dyDescent="0.25">
      <c r="EL5761">
        <v>2009</v>
      </c>
      <c r="EM5761" t="s">
        <v>718</v>
      </c>
      <c r="EN5761" t="s">
        <v>859</v>
      </c>
      <c r="EO5761">
        <v>30.818000000000001</v>
      </c>
    </row>
    <row r="5762" spans="142:145" x14ac:dyDescent="0.25">
      <c r="EL5762">
        <v>2009</v>
      </c>
      <c r="EM5762" t="s">
        <v>716</v>
      </c>
      <c r="EN5762" t="s">
        <v>859</v>
      </c>
      <c r="EO5762">
        <v>28.68</v>
      </c>
    </row>
    <row r="5763" spans="142:145" x14ac:dyDescent="0.25">
      <c r="EL5763">
        <v>2009</v>
      </c>
      <c r="EM5763" t="s">
        <v>708</v>
      </c>
      <c r="EN5763" t="s">
        <v>859</v>
      </c>
      <c r="EO5763">
        <v>18.3</v>
      </c>
    </row>
    <row r="5764" spans="142:145" x14ac:dyDescent="0.25">
      <c r="EL5764">
        <v>2009</v>
      </c>
      <c r="EM5764" t="s">
        <v>709</v>
      </c>
      <c r="EN5764" t="s">
        <v>859</v>
      </c>
      <c r="EO5764">
        <v>18.120999999999999</v>
      </c>
    </row>
    <row r="5765" spans="142:145" x14ac:dyDescent="0.25">
      <c r="EL5765">
        <v>2009</v>
      </c>
      <c r="EM5765" t="s">
        <v>710</v>
      </c>
      <c r="EN5765" t="s">
        <v>859</v>
      </c>
      <c r="EO5765">
        <v>19.981000000000002</v>
      </c>
    </row>
    <row r="5766" spans="142:145" x14ac:dyDescent="0.25">
      <c r="EL5766">
        <v>2009</v>
      </c>
      <c r="EM5766" t="s">
        <v>711</v>
      </c>
      <c r="EN5766" t="s">
        <v>859</v>
      </c>
      <c r="EO5766">
        <v>24.516999999999999</v>
      </c>
    </row>
    <row r="5767" spans="142:145" x14ac:dyDescent="0.25">
      <c r="EL5767">
        <v>2009</v>
      </c>
      <c r="EM5767" t="s">
        <v>712</v>
      </c>
      <c r="EN5767" t="s">
        <v>859</v>
      </c>
      <c r="EO5767">
        <v>33.976999999999997</v>
      </c>
    </row>
    <row r="5768" spans="142:145" x14ac:dyDescent="0.25">
      <c r="EL5768">
        <v>2010</v>
      </c>
      <c r="EM5768" t="s">
        <v>719</v>
      </c>
      <c r="EN5768" t="s">
        <v>859</v>
      </c>
      <c r="EO5768">
        <v>31.584</v>
      </c>
    </row>
    <row r="5769" spans="142:145" x14ac:dyDescent="0.25">
      <c r="EL5769">
        <v>2010</v>
      </c>
      <c r="EM5769" t="s">
        <v>713</v>
      </c>
      <c r="EN5769" t="s">
        <v>859</v>
      </c>
      <c r="EO5769">
        <v>32.637</v>
      </c>
    </row>
    <row r="5770" spans="142:145" x14ac:dyDescent="0.25">
      <c r="EL5770">
        <v>2010</v>
      </c>
      <c r="EM5770" t="s">
        <v>714</v>
      </c>
      <c r="EN5770" t="s">
        <v>859</v>
      </c>
      <c r="EO5770">
        <v>40.139000000000003</v>
      </c>
    </row>
    <row r="5771" spans="142:145" x14ac:dyDescent="0.25">
      <c r="EL5771">
        <v>2010</v>
      </c>
      <c r="EM5771" t="s">
        <v>705</v>
      </c>
      <c r="EN5771" t="s">
        <v>859</v>
      </c>
      <c r="EO5771">
        <v>30.367999999999999</v>
      </c>
    </row>
    <row r="5772" spans="142:145" x14ac:dyDescent="0.25">
      <c r="EL5772">
        <v>2010</v>
      </c>
      <c r="EM5772" t="s">
        <v>715</v>
      </c>
      <c r="EN5772" t="s">
        <v>859</v>
      </c>
      <c r="EO5772">
        <v>26.809000000000001</v>
      </c>
    </row>
    <row r="5773" spans="142:145" x14ac:dyDescent="0.25">
      <c r="EL5773">
        <v>2010</v>
      </c>
      <c r="EM5773" t="s">
        <v>718</v>
      </c>
      <c r="EN5773" t="s">
        <v>859</v>
      </c>
      <c r="EO5773">
        <v>21.794</v>
      </c>
    </row>
    <row r="5774" spans="142:145" x14ac:dyDescent="0.25">
      <c r="EL5774">
        <v>2010</v>
      </c>
      <c r="EM5774" t="s">
        <v>716</v>
      </c>
      <c r="EN5774" t="s">
        <v>859</v>
      </c>
      <c r="EO5774">
        <v>19.942</v>
      </c>
    </row>
    <row r="5775" spans="142:145" x14ac:dyDescent="0.25">
      <c r="EL5775">
        <v>2010</v>
      </c>
      <c r="EM5775" t="s">
        <v>708</v>
      </c>
      <c r="EN5775" t="s">
        <v>859</v>
      </c>
      <c r="EO5775">
        <v>19.91</v>
      </c>
    </row>
    <row r="5776" spans="142:145" x14ac:dyDescent="0.25">
      <c r="EL5776">
        <v>2010</v>
      </c>
      <c r="EM5776" t="s">
        <v>709</v>
      </c>
      <c r="EN5776" t="s">
        <v>859</v>
      </c>
      <c r="EO5776">
        <v>19.800999999999998</v>
      </c>
    </row>
    <row r="5777" spans="142:145" x14ac:dyDescent="0.25">
      <c r="EL5777">
        <v>2010</v>
      </c>
      <c r="EM5777" t="s">
        <v>710</v>
      </c>
      <c r="EN5777" t="s">
        <v>859</v>
      </c>
      <c r="EO5777">
        <v>21.875</v>
      </c>
    </row>
    <row r="5778" spans="142:145" x14ac:dyDescent="0.25">
      <c r="EL5778">
        <v>2010</v>
      </c>
      <c r="EM5778" t="s">
        <v>711</v>
      </c>
      <c r="EN5778" t="s">
        <v>859</v>
      </c>
      <c r="EO5778">
        <v>21.532</v>
      </c>
    </row>
    <row r="5779" spans="142:145" x14ac:dyDescent="0.25">
      <c r="EL5779">
        <v>2010</v>
      </c>
      <c r="EM5779" t="s">
        <v>712</v>
      </c>
      <c r="EN5779" t="s">
        <v>859</v>
      </c>
      <c r="EO5779">
        <v>22.087</v>
      </c>
    </row>
    <row r="5780" spans="142:145" x14ac:dyDescent="0.25">
      <c r="EL5780">
        <v>2011</v>
      </c>
      <c r="EM5780" t="s">
        <v>719</v>
      </c>
      <c r="EN5780" t="s">
        <v>859</v>
      </c>
      <c r="EO5780">
        <v>21.033000000000001</v>
      </c>
    </row>
    <row r="5781" spans="142:145" x14ac:dyDescent="0.25">
      <c r="EL5781">
        <v>2011</v>
      </c>
      <c r="EM5781" t="s">
        <v>713</v>
      </c>
      <c r="EN5781" t="s">
        <v>859</v>
      </c>
      <c r="EO5781">
        <v>22.635000000000002</v>
      </c>
    </row>
    <row r="5782" spans="142:145" x14ac:dyDescent="0.25">
      <c r="EL5782">
        <v>2011</v>
      </c>
      <c r="EM5782" t="s">
        <v>714</v>
      </c>
      <c r="EN5782" t="s">
        <v>859</v>
      </c>
      <c r="EO5782">
        <v>29.786000000000001</v>
      </c>
    </row>
    <row r="5783" spans="142:145" x14ac:dyDescent="0.25">
      <c r="EL5783">
        <v>2011</v>
      </c>
      <c r="EM5783" t="s">
        <v>705</v>
      </c>
      <c r="EN5783" t="s">
        <v>859</v>
      </c>
      <c r="EO5783">
        <v>29.472999999999999</v>
      </c>
    </row>
    <row r="5784" spans="142:145" x14ac:dyDescent="0.25">
      <c r="EL5784">
        <v>2011</v>
      </c>
      <c r="EM5784" t="s">
        <v>715</v>
      </c>
      <c r="EN5784" t="s">
        <v>859</v>
      </c>
      <c r="EO5784">
        <v>26.645</v>
      </c>
    </row>
    <row r="5785" spans="142:145" x14ac:dyDescent="0.25">
      <c r="EL5785">
        <v>2011</v>
      </c>
      <c r="EM5785" t="s">
        <v>718</v>
      </c>
      <c r="EN5785" t="s">
        <v>859</v>
      </c>
      <c r="EO5785">
        <v>21.716000000000001</v>
      </c>
    </row>
    <row r="5786" spans="142:145" x14ac:dyDescent="0.25">
      <c r="EL5786">
        <v>2011</v>
      </c>
      <c r="EM5786" t="s">
        <v>716</v>
      </c>
      <c r="EN5786" t="s">
        <v>859</v>
      </c>
      <c r="EO5786">
        <v>19.413</v>
      </c>
    </row>
    <row r="5787" spans="142:145" x14ac:dyDescent="0.25">
      <c r="EL5787">
        <v>2011</v>
      </c>
      <c r="EM5787" t="s">
        <v>708</v>
      </c>
      <c r="EN5787" t="s">
        <v>859</v>
      </c>
      <c r="EO5787">
        <v>18.013000000000002</v>
      </c>
    </row>
    <row r="5788" spans="142:145" x14ac:dyDescent="0.25">
      <c r="EL5788">
        <v>2011</v>
      </c>
      <c r="EM5788" t="s">
        <v>709</v>
      </c>
      <c r="EN5788" t="s">
        <v>859</v>
      </c>
      <c r="EO5788">
        <v>23.317</v>
      </c>
    </row>
    <row r="5789" spans="142:145" x14ac:dyDescent="0.25">
      <c r="EL5789">
        <v>2011</v>
      </c>
      <c r="EM5789" t="s">
        <v>710</v>
      </c>
      <c r="EN5789" t="s">
        <v>859</v>
      </c>
      <c r="EO5789">
        <v>24.68</v>
      </c>
    </row>
    <row r="5790" spans="142:145" x14ac:dyDescent="0.25">
      <c r="EL5790">
        <v>2011</v>
      </c>
      <c r="EM5790" t="s">
        <v>711</v>
      </c>
      <c r="EN5790" t="s">
        <v>859</v>
      </c>
      <c r="EO5790">
        <v>23.359000000000002</v>
      </c>
    </row>
    <row r="5791" spans="142:145" x14ac:dyDescent="0.25">
      <c r="EL5791">
        <v>2011</v>
      </c>
      <c r="EM5791" t="s">
        <v>712</v>
      </c>
      <c r="EN5791" t="s">
        <v>859</v>
      </c>
      <c r="EO5791">
        <v>26.768999999999998</v>
      </c>
    </row>
    <row r="5792" spans="142:145" x14ac:dyDescent="0.25">
      <c r="EL5792">
        <v>2012</v>
      </c>
      <c r="EM5792" t="s">
        <v>719</v>
      </c>
      <c r="EN5792" t="s">
        <v>859</v>
      </c>
      <c r="EO5792">
        <v>25.510999999999999</v>
      </c>
    </row>
    <row r="5793" spans="142:145" x14ac:dyDescent="0.25">
      <c r="EL5793">
        <v>2012</v>
      </c>
      <c r="EM5793" t="s">
        <v>713</v>
      </c>
      <c r="EN5793" t="s">
        <v>859</v>
      </c>
      <c r="EO5793">
        <v>23.548999999999999</v>
      </c>
    </row>
    <row r="5794" spans="142:145" x14ac:dyDescent="0.25">
      <c r="EL5794">
        <v>2012</v>
      </c>
      <c r="EM5794" t="s">
        <v>714</v>
      </c>
      <c r="EN5794" t="s">
        <v>859</v>
      </c>
      <c r="EO5794">
        <v>26.693999999999999</v>
      </c>
    </row>
    <row r="5795" spans="142:145" x14ac:dyDescent="0.25">
      <c r="EL5795">
        <v>2012</v>
      </c>
      <c r="EM5795" t="s">
        <v>705</v>
      </c>
      <c r="EN5795" t="s">
        <v>859</v>
      </c>
      <c r="EO5795">
        <v>25.798999999999999</v>
      </c>
    </row>
    <row r="5796" spans="142:145" x14ac:dyDescent="0.25">
      <c r="EL5796">
        <v>2012</v>
      </c>
      <c r="EM5796" t="s">
        <v>715</v>
      </c>
      <c r="EN5796" t="s">
        <v>859</v>
      </c>
      <c r="EO5796">
        <v>21.516999999999999</v>
      </c>
    </row>
    <row r="5797" spans="142:145" x14ac:dyDescent="0.25">
      <c r="EL5797">
        <v>2012</v>
      </c>
      <c r="EM5797" t="s">
        <v>718</v>
      </c>
      <c r="EN5797" t="s">
        <v>859</v>
      </c>
      <c r="EO5797">
        <v>19.785</v>
      </c>
    </row>
    <row r="5798" spans="142:145" x14ac:dyDescent="0.25">
      <c r="EL5798">
        <v>2012</v>
      </c>
      <c r="EM5798" t="s">
        <v>716</v>
      </c>
      <c r="EN5798" t="s">
        <v>859</v>
      </c>
      <c r="EO5798">
        <v>16.858000000000001</v>
      </c>
    </row>
    <row r="5799" spans="142:145" x14ac:dyDescent="0.25">
      <c r="EL5799">
        <v>2012</v>
      </c>
      <c r="EM5799" t="s">
        <v>708</v>
      </c>
      <c r="EN5799" t="s">
        <v>859</v>
      </c>
      <c r="EO5799">
        <v>15.907</v>
      </c>
    </row>
    <row r="5800" spans="142:145" x14ac:dyDescent="0.25">
      <c r="EL5800">
        <v>2012</v>
      </c>
      <c r="EM5800" t="s">
        <v>709</v>
      </c>
      <c r="EN5800" t="s">
        <v>859</v>
      </c>
      <c r="EO5800">
        <v>19.53</v>
      </c>
    </row>
    <row r="5801" spans="142:145" x14ac:dyDescent="0.25">
      <c r="EL5801">
        <v>2012</v>
      </c>
      <c r="EM5801" t="s">
        <v>710</v>
      </c>
      <c r="EN5801" t="s">
        <v>859</v>
      </c>
      <c r="EO5801">
        <v>22.324000000000002</v>
      </c>
    </row>
    <row r="5802" spans="142:145" x14ac:dyDescent="0.25">
      <c r="EL5802">
        <v>2012</v>
      </c>
      <c r="EM5802" t="s">
        <v>711</v>
      </c>
      <c r="EN5802" t="s">
        <v>859</v>
      </c>
      <c r="EO5802">
        <v>21.725000000000001</v>
      </c>
    </row>
    <row r="5803" spans="142:145" x14ac:dyDescent="0.25">
      <c r="EL5803">
        <v>2012</v>
      </c>
      <c r="EM5803" t="s">
        <v>712</v>
      </c>
      <c r="EN5803" t="s">
        <v>859</v>
      </c>
      <c r="EO5803">
        <v>22.972999999999999</v>
      </c>
    </row>
    <row r="5804" spans="142:145" x14ac:dyDescent="0.25">
      <c r="EL5804">
        <v>2013</v>
      </c>
      <c r="EM5804" t="s">
        <v>719</v>
      </c>
      <c r="EN5804" t="s">
        <v>859</v>
      </c>
      <c r="EO5804">
        <v>24.183</v>
      </c>
    </row>
    <row r="5805" spans="142:145" x14ac:dyDescent="0.25">
      <c r="EL5805">
        <v>2013</v>
      </c>
      <c r="EM5805" t="s">
        <v>713</v>
      </c>
      <c r="EN5805" t="s">
        <v>859</v>
      </c>
      <c r="EO5805">
        <v>23.835999999999999</v>
      </c>
    </row>
    <row r="5806" spans="142:145" x14ac:dyDescent="0.25">
      <c r="EL5806">
        <v>2013</v>
      </c>
      <c r="EM5806" t="s">
        <v>714</v>
      </c>
      <c r="EN5806" t="s">
        <v>859</v>
      </c>
      <c r="EO5806">
        <v>26.318000000000001</v>
      </c>
    </row>
    <row r="5807" spans="142:145" x14ac:dyDescent="0.25">
      <c r="EL5807">
        <v>2013</v>
      </c>
      <c r="EM5807" t="s">
        <v>705</v>
      </c>
      <c r="EN5807" t="s">
        <v>859</v>
      </c>
      <c r="EO5807">
        <v>23.991</v>
      </c>
    </row>
    <row r="5808" spans="142:145" x14ac:dyDescent="0.25">
      <c r="EL5808">
        <v>2013</v>
      </c>
      <c r="EM5808" t="s">
        <v>715</v>
      </c>
      <c r="EN5808" t="s">
        <v>859</v>
      </c>
      <c r="EO5808">
        <v>24.515999999999998</v>
      </c>
    </row>
    <row r="5809" spans="142:145" x14ac:dyDescent="0.25">
      <c r="EL5809">
        <v>2013</v>
      </c>
      <c r="EM5809" t="s">
        <v>718</v>
      </c>
      <c r="EN5809" t="s">
        <v>859</v>
      </c>
      <c r="EO5809">
        <v>23.69</v>
      </c>
    </row>
    <row r="5810" spans="142:145" x14ac:dyDescent="0.25">
      <c r="EL5810">
        <v>2013</v>
      </c>
      <c r="EM5810" t="s">
        <v>716</v>
      </c>
      <c r="EN5810" t="s">
        <v>859</v>
      </c>
      <c r="EO5810">
        <v>23.106999999999999</v>
      </c>
    </row>
    <row r="5811" spans="142:145" x14ac:dyDescent="0.25">
      <c r="EL5811">
        <v>2013</v>
      </c>
      <c r="EM5811" t="s">
        <v>708</v>
      </c>
      <c r="EN5811" t="s">
        <v>859</v>
      </c>
      <c r="EO5811">
        <v>19.114000000000001</v>
      </c>
    </row>
    <row r="5812" spans="142:145" x14ac:dyDescent="0.25">
      <c r="EL5812">
        <v>2013</v>
      </c>
      <c r="EM5812" t="s">
        <v>709</v>
      </c>
      <c r="EN5812" t="s">
        <v>859</v>
      </c>
      <c r="EO5812">
        <v>17.856999999999999</v>
      </c>
    </row>
    <row r="5813" spans="142:145" x14ac:dyDescent="0.25">
      <c r="EL5813">
        <v>2013</v>
      </c>
      <c r="EM5813" t="s">
        <v>710</v>
      </c>
      <c r="EN5813" t="s">
        <v>859</v>
      </c>
      <c r="EO5813">
        <v>21.202000000000002</v>
      </c>
    </row>
    <row r="5814" spans="142:145" x14ac:dyDescent="0.25">
      <c r="EL5814">
        <v>2013</v>
      </c>
      <c r="EM5814" t="s">
        <v>711</v>
      </c>
      <c r="EN5814" t="s">
        <v>859</v>
      </c>
      <c r="EO5814">
        <v>19.38</v>
      </c>
    </row>
    <row r="5815" spans="142:145" x14ac:dyDescent="0.25">
      <c r="EL5815">
        <v>2013</v>
      </c>
      <c r="EM5815" t="s">
        <v>712</v>
      </c>
      <c r="EN5815" t="s">
        <v>859</v>
      </c>
      <c r="EO5815">
        <v>25.844999999999999</v>
      </c>
    </row>
    <row r="5816" spans="142:145" x14ac:dyDescent="0.25">
      <c r="EL5816">
        <v>2014</v>
      </c>
      <c r="EM5816" t="s">
        <v>719</v>
      </c>
      <c r="EN5816" t="s">
        <v>859</v>
      </c>
      <c r="EO5816">
        <v>26.571000000000002</v>
      </c>
    </row>
    <row r="5817" spans="142:145" x14ac:dyDescent="0.25">
      <c r="EL5817">
        <v>2014</v>
      </c>
      <c r="EM5817" t="s">
        <v>713</v>
      </c>
      <c r="EN5817" t="s">
        <v>859</v>
      </c>
      <c r="EO5817">
        <v>28.792000000000002</v>
      </c>
    </row>
    <row r="5818" spans="142:145" x14ac:dyDescent="0.25">
      <c r="EL5818">
        <v>2014</v>
      </c>
      <c r="EM5818" t="s">
        <v>714</v>
      </c>
      <c r="EN5818" t="s">
        <v>859</v>
      </c>
      <c r="EO5818">
        <v>32.573</v>
      </c>
    </row>
    <row r="5819" spans="142:145" x14ac:dyDescent="0.25">
      <c r="EL5819">
        <v>2014</v>
      </c>
      <c r="EM5819" t="s">
        <v>705</v>
      </c>
      <c r="EN5819" t="s">
        <v>859</v>
      </c>
      <c r="EO5819">
        <v>34.149000000000001</v>
      </c>
    </row>
    <row r="5820" spans="142:145" x14ac:dyDescent="0.25">
      <c r="EL5820">
        <v>2014</v>
      </c>
      <c r="EM5820" t="s">
        <v>715</v>
      </c>
      <c r="EN5820" t="s">
        <v>859</v>
      </c>
      <c r="EO5820">
        <v>37.351999999999997</v>
      </c>
    </row>
    <row r="5821" spans="142:145" x14ac:dyDescent="0.25">
      <c r="EL5821">
        <v>2014</v>
      </c>
      <c r="EM5821" t="s">
        <v>718</v>
      </c>
      <c r="EN5821" t="s">
        <v>859</v>
      </c>
      <c r="EO5821">
        <v>31.713999999999999</v>
      </c>
    </row>
    <row r="5822" spans="142:145" x14ac:dyDescent="0.25">
      <c r="EL5822">
        <v>2014</v>
      </c>
      <c r="EM5822" t="s">
        <v>716</v>
      </c>
      <c r="EN5822" t="s">
        <v>859</v>
      </c>
      <c r="EO5822">
        <v>18.262</v>
      </c>
    </row>
    <row r="5823" spans="142:145" x14ac:dyDescent="0.25">
      <c r="EL5823">
        <v>2014</v>
      </c>
      <c r="EM5823" t="s">
        <v>708</v>
      </c>
      <c r="EN5823" t="s">
        <v>859</v>
      </c>
      <c r="EO5823">
        <v>23.170999999999999</v>
      </c>
    </row>
    <row r="5824" spans="142:145" x14ac:dyDescent="0.25">
      <c r="EL5824">
        <v>2014</v>
      </c>
      <c r="EM5824" t="s">
        <v>709</v>
      </c>
      <c r="EN5824" t="s">
        <v>859</v>
      </c>
      <c r="EO5824">
        <v>22.437999999999999</v>
      </c>
    </row>
    <row r="5825" spans="142:145" x14ac:dyDescent="0.25">
      <c r="EL5825">
        <v>2014</v>
      </c>
      <c r="EM5825" t="s">
        <v>710</v>
      </c>
      <c r="EN5825" t="s">
        <v>859</v>
      </c>
      <c r="EO5825">
        <v>22.41</v>
      </c>
    </row>
    <row r="5826" spans="142:145" x14ac:dyDescent="0.25">
      <c r="EL5826">
        <v>2014</v>
      </c>
      <c r="EM5826" t="s">
        <v>711</v>
      </c>
      <c r="EN5826" t="s">
        <v>859</v>
      </c>
      <c r="EO5826">
        <v>21.97</v>
      </c>
    </row>
    <row r="5827" spans="142:145" x14ac:dyDescent="0.25">
      <c r="EL5827">
        <v>2014</v>
      </c>
      <c r="EM5827" t="s">
        <v>712</v>
      </c>
      <c r="EN5827" t="s">
        <v>859</v>
      </c>
      <c r="EO5827">
        <v>26.72</v>
      </c>
    </row>
    <row r="5828" spans="142:145" x14ac:dyDescent="0.25">
      <c r="EL5828">
        <v>2015</v>
      </c>
      <c r="EM5828" t="s">
        <v>719</v>
      </c>
      <c r="EN5828" t="s">
        <v>859</v>
      </c>
      <c r="EO5828">
        <v>28.32</v>
      </c>
    </row>
    <row r="5829" spans="142:145" x14ac:dyDescent="0.25">
      <c r="EL5829">
        <v>2015</v>
      </c>
      <c r="EM5829" t="s">
        <v>713</v>
      </c>
      <c r="EN5829" t="s">
        <v>859</v>
      </c>
      <c r="EO5829">
        <v>25.55</v>
      </c>
    </row>
    <row r="5830" spans="142:145" x14ac:dyDescent="0.25">
      <c r="EL5830">
        <v>2015</v>
      </c>
      <c r="EM5830" t="s">
        <v>714</v>
      </c>
      <c r="EN5830" t="s">
        <v>859</v>
      </c>
      <c r="EO5830">
        <v>35.46</v>
      </c>
    </row>
    <row r="5831" spans="142:145" x14ac:dyDescent="0.25">
      <c r="EL5831">
        <v>2015</v>
      </c>
      <c r="EM5831" t="s">
        <v>705</v>
      </c>
      <c r="EN5831" t="s">
        <v>859</v>
      </c>
      <c r="EO5831">
        <v>30.97</v>
      </c>
    </row>
    <row r="5832" spans="142:145" x14ac:dyDescent="0.25">
      <c r="EL5832">
        <v>2015</v>
      </c>
      <c r="EM5832" t="s">
        <v>715</v>
      </c>
      <c r="EN5832" t="s">
        <v>859</v>
      </c>
      <c r="EO5832">
        <v>28.85</v>
      </c>
    </row>
    <row r="5833" spans="142:145" x14ac:dyDescent="0.25">
      <c r="EL5833">
        <v>2015</v>
      </c>
      <c r="EM5833" t="s">
        <v>718</v>
      </c>
      <c r="EN5833" t="s">
        <v>859</v>
      </c>
      <c r="EO5833">
        <v>26.84</v>
      </c>
    </row>
    <row r="5834" spans="142:145" x14ac:dyDescent="0.25">
      <c r="EL5834">
        <v>2015</v>
      </c>
      <c r="EM5834" t="s">
        <v>716</v>
      </c>
      <c r="EN5834" t="s">
        <v>859</v>
      </c>
      <c r="EO5834">
        <v>24.52</v>
      </c>
    </row>
    <row r="5835" spans="142:145" x14ac:dyDescent="0.25">
      <c r="EL5835">
        <v>2015</v>
      </c>
      <c r="EM5835" t="s">
        <v>708</v>
      </c>
      <c r="EN5835" t="s">
        <v>859</v>
      </c>
      <c r="EO5835">
        <v>21.23</v>
      </c>
    </row>
    <row r="5836" spans="142:145" x14ac:dyDescent="0.25">
      <c r="EL5836">
        <v>2015</v>
      </c>
      <c r="EM5836" t="s">
        <v>709</v>
      </c>
      <c r="EN5836" t="s">
        <v>859</v>
      </c>
      <c r="EO5836">
        <v>18.809999999999999</v>
      </c>
    </row>
    <row r="5837" spans="142:145" x14ac:dyDescent="0.25">
      <c r="EL5837">
        <v>2015</v>
      </c>
      <c r="EM5837" t="s">
        <v>710</v>
      </c>
      <c r="EN5837" t="s">
        <v>859</v>
      </c>
      <c r="EO5837">
        <v>20.85</v>
      </c>
    </row>
    <row r="5838" spans="142:145" x14ac:dyDescent="0.25">
      <c r="EL5838">
        <v>2015</v>
      </c>
      <c r="EM5838" t="s">
        <v>711</v>
      </c>
      <c r="EN5838" t="s">
        <v>859</v>
      </c>
      <c r="EO5838">
        <v>20.38</v>
      </c>
    </row>
    <row r="5839" spans="142:145" x14ac:dyDescent="0.25">
      <c r="EL5839">
        <v>2015</v>
      </c>
      <c r="EM5839" t="s">
        <v>712</v>
      </c>
      <c r="EN5839" t="s">
        <v>859</v>
      </c>
      <c r="EO5839">
        <v>23.45</v>
      </c>
    </row>
    <row r="5840" spans="142:145" x14ac:dyDescent="0.25">
      <c r="EL5840">
        <v>2016</v>
      </c>
      <c r="EM5840" t="s">
        <v>719</v>
      </c>
      <c r="EN5840" t="s">
        <v>859</v>
      </c>
      <c r="EO5840">
        <v>24.4</v>
      </c>
    </row>
    <row r="5841" spans="142:145" x14ac:dyDescent="0.25">
      <c r="EL5841">
        <v>2016</v>
      </c>
      <c r="EM5841" t="s">
        <v>713</v>
      </c>
      <c r="EN5841" t="s">
        <v>859</v>
      </c>
      <c r="EO5841">
        <v>30.54</v>
      </c>
    </row>
    <row r="5842" spans="142:145" x14ac:dyDescent="0.25">
      <c r="EL5842">
        <v>2016</v>
      </c>
      <c r="EM5842" t="s">
        <v>714</v>
      </c>
      <c r="EN5842" t="s">
        <v>859</v>
      </c>
      <c r="EO5842">
        <v>27.81</v>
      </c>
    </row>
    <row r="5843" spans="142:145" x14ac:dyDescent="0.25">
      <c r="EL5843">
        <v>2016</v>
      </c>
      <c r="EM5843" t="s">
        <v>705</v>
      </c>
      <c r="EN5843" t="s">
        <v>859</v>
      </c>
      <c r="EO5843">
        <v>25.61</v>
      </c>
    </row>
    <row r="5844" spans="142:145" x14ac:dyDescent="0.25">
      <c r="EL5844">
        <v>2016</v>
      </c>
      <c r="EM5844" t="s">
        <v>715</v>
      </c>
      <c r="EN5844" t="s">
        <v>859</v>
      </c>
      <c r="EO5844">
        <v>33.630000000000003</v>
      </c>
    </row>
    <row r="5845" spans="142:145" x14ac:dyDescent="0.25">
      <c r="EL5845">
        <v>2016</v>
      </c>
      <c r="EM5845" t="s">
        <v>718</v>
      </c>
      <c r="EN5845" t="s">
        <v>859</v>
      </c>
      <c r="EO5845">
        <v>24.92</v>
      </c>
    </row>
    <row r="5846" spans="142:145" x14ac:dyDescent="0.25">
      <c r="EL5846">
        <v>2016</v>
      </c>
      <c r="EM5846" t="s">
        <v>716</v>
      </c>
      <c r="EN5846" t="s">
        <v>859</v>
      </c>
      <c r="EO5846">
        <v>22.42</v>
      </c>
    </row>
    <row r="5847" spans="142:145" x14ac:dyDescent="0.25">
      <c r="EL5847">
        <v>2016</v>
      </c>
      <c r="EM5847" t="s">
        <v>708</v>
      </c>
      <c r="EN5847" t="s">
        <v>859</v>
      </c>
      <c r="EO5847">
        <v>22.52</v>
      </c>
    </row>
    <row r="5848" spans="142:145" x14ac:dyDescent="0.25">
      <c r="EL5848">
        <v>2016</v>
      </c>
      <c r="EM5848" t="s">
        <v>709</v>
      </c>
      <c r="EN5848" t="s">
        <v>859</v>
      </c>
      <c r="EO5848">
        <v>19.84</v>
      </c>
    </row>
    <row r="5849" spans="142:145" x14ac:dyDescent="0.25">
      <c r="EL5849">
        <v>2016</v>
      </c>
      <c r="EM5849" t="s">
        <v>710</v>
      </c>
      <c r="EN5849" t="s">
        <v>859</v>
      </c>
      <c r="EO5849">
        <v>19.73</v>
      </c>
    </row>
    <row r="5850" spans="142:145" x14ac:dyDescent="0.25">
      <c r="EL5850">
        <v>2016</v>
      </c>
      <c r="EM5850" t="s">
        <v>711</v>
      </c>
      <c r="EN5850" t="s">
        <v>859</v>
      </c>
      <c r="EO5850">
        <v>18.21</v>
      </c>
    </row>
    <row r="5851" spans="142:145" x14ac:dyDescent="0.25">
      <c r="EL5851">
        <v>2016</v>
      </c>
      <c r="EM5851" t="s">
        <v>712</v>
      </c>
      <c r="EN5851" t="s">
        <v>859</v>
      </c>
      <c r="EO5851">
        <v>20.05</v>
      </c>
    </row>
    <row r="5852" spans="142:145" x14ac:dyDescent="0.25">
      <c r="EL5852">
        <v>2017</v>
      </c>
      <c r="EM5852" t="s">
        <v>719</v>
      </c>
      <c r="EN5852" t="s">
        <v>859</v>
      </c>
      <c r="EO5852">
        <v>21.14</v>
      </c>
    </row>
    <row r="5853" spans="142:145" x14ac:dyDescent="0.25">
      <c r="EL5853">
        <v>2017</v>
      </c>
      <c r="EM5853" t="s">
        <v>713</v>
      </c>
      <c r="EN5853" t="s">
        <v>859</v>
      </c>
      <c r="EO5853">
        <v>18.309999999999999</v>
      </c>
    </row>
    <row r="5854" spans="142:145" x14ac:dyDescent="0.25">
      <c r="EL5854">
        <v>2017</v>
      </c>
      <c r="EM5854" t="s">
        <v>714</v>
      </c>
      <c r="EN5854" t="s">
        <v>859</v>
      </c>
      <c r="EO5854">
        <v>21.23</v>
      </c>
    </row>
    <row r="5855" spans="142:145" x14ac:dyDescent="0.25">
      <c r="EL5855">
        <v>2017</v>
      </c>
      <c r="EM5855" t="s">
        <v>705</v>
      </c>
      <c r="EN5855" t="s">
        <v>859</v>
      </c>
      <c r="EO5855">
        <v>21.1</v>
      </c>
    </row>
    <row r="5856" spans="142:145" x14ac:dyDescent="0.25">
      <c r="EL5856">
        <v>2017</v>
      </c>
      <c r="EM5856" t="s">
        <v>715</v>
      </c>
      <c r="EN5856" t="s">
        <v>859</v>
      </c>
      <c r="EO5856">
        <v>23.66</v>
      </c>
    </row>
    <row r="5857" spans="142:145" x14ac:dyDescent="0.25">
      <c r="EL5857">
        <v>2017</v>
      </c>
      <c r="EM5857" t="s">
        <v>718</v>
      </c>
      <c r="EN5857" t="s">
        <v>859</v>
      </c>
      <c r="EO5857">
        <v>20.350000000000001</v>
      </c>
    </row>
    <row r="5858" spans="142:145" x14ac:dyDescent="0.25">
      <c r="EL5858">
        <v>2017</v>
      </c>
      <c r="EM5858" t="s">
        <v>716</v>
      </c>
      <c r="EN5858" t="s">
        <v>859</v>
      </c>
      <c r="EO5858">
        <v>20.23</v>
      </c>
    </row>
    <row r="5859" spans="142:145" x14ac:dyDescent="0.25">
      <c r="EL5859">
        <v>2017</v>
      </c>
      <c r="EM5859" t="s">
        <v>708</v>
      </c>
      <c r="EN5859" t="s">
        <v>859</v>
      </c>
      <c r="EO5859">
        <v>19.559999999999999</v>
      </c>
    </row>
    <row r="5860" spans="142:145" x14ac:dyDescent="0.25">
      <c r="EL5860">
        <v>2017</v>
      </c>
      <c r="EM5860" t="s">
        <v>709</v>
      </c>
      <c r="EN5860" t="s">
        <v>859</v>
      </c>
      <c r="EO5860">
        <v>18.43</v>
      </c>
    </row>
    <row r="5861" spans="142:145" x14ac:dyDescent="0.25">
      <c r="EL5861">
        <v>2017</v>
      </c>
      <c r="EM5861" t="s">
        <v>710</v>
      </c>
      <c r="EN5861" t="s">
        <v>859</v>
      </c>
      <c r="EO5861">
        <v>17.79</v>
      </c>
    </row>
    <row r="5862" spans="142:145" x14ac:dyDescent="0.25">
      <c r="EL5862">
        <v>2017</v>
      </c>
      <c r="EM5862" t="s">
        <v>711</v>
      </c>
      <c r="EN5862" t="s">
        <v>859</v>
      </c>
      <c r="EO5862">
        <v>18.649999999999999</v>
      </c>
    </row>
    <row r="5863" spans="142:145" x14ac:dyDescent="0.25">
      <c r="EL5863">
        <v>2017</v>
      </c>
      <c r="EM5863" t="s">
        <v>712</v>
      </c>
      <c r="EN5863" t="s">
        <v>859</v>
      </c>
      <c r="EO5863">
        <v>18.600000000000001</v>
      </c>
    </row>
    <row r="5864" spans="142:145" x14ac:dyDescent="0.25">
      <c r="EL5864">
        <v>2018</v>
      </c>
      <c r="EM5864" t="s">
        <v>719</v>
      </c>
      <c r="EN5864" t="s">
        <v>859</v>
      </c>
      <c r="EO5864">
        <v>18.809999999999999</v>
      </c>
    </row>
    <row r="5865" spans="142:145" x14ac:dyDescent="0.25">
      <c r="EL5865">
        <v>2018</v>
      </c>
      <c r="EM5865" t="s">
        <v>713</v>
      </c>
      <c r="EN5865" t="s">
        <v>859</v>
      </c>
      <c r="EO5865">
        <v>20.95</v>
      </c>
    </row>
    <row r="5866" spans="142:145" x14ac:dyDescent="0.25">
      <c r="EL5866">
        <v>2018</v>
      </c>
      <c r="EM5866" t="s">
        <v>714</v>
      </c>
      <c r="EN5866" t="s">
        <v>859</v>
      </c>
      <c r="EO5866">
        <v>22.55</v>
      </c>
    </row>
    <row r="5867" spans="142:145" x14ac:dyDescent="0.25">
      <c r="EL5867">
        <v>2018</v>
      </c>
      <c r="EM5867" t="s">
        <v>705</v>
      </c>
      <c r="EN5867" t="s">
        <v>859</v>
      </c>
      <c r="EO5867">
        <v>23.15</v>
      </c>
    </row>
    <row r="5868" spans="142:145" x14ac:dyDescent="0.25">
      <c r="EL5868">
        <v>2018</v>
      </c>
      <c r="EM5868" t="s">
        <v>715</v>
      </c>
      <c r="EN5868" t="s">
        <v>859</v>
      </c>
      <c r="EO5868">
        <v>27.89</v>
      </c>
    </row>
    <row r="5869" spans="142:145" x14ac:dyDescent="0.25">
      <c r="EL5869">
        <v>2018</v>
      </c>
      <c r="EM5869" t="s">
        <v>718</v>
      </c>
      <c r="EN5869" t="s">
        <v>859</v>
      </c>
      <c r="EO5869">
        <v>25.99</v>
      </c>
    </row>
    <row r="5870" spans="142:145" x14ac:dyDescent="0.25">
      <c r="EL5870">
        <v>2018</v>
      </c>
      <c r="EM5870" t="s">
        <v>716</v>
      </c>
      <c r="EN5870" t="s">
        <v>859</v>
      </c>
      <c r="EO5870">
        <v>26.25</v>
      </c>
    </row>
    <row r="5871" spans="142:145" x14ac:dyDescent="0.25">
      <c r="EL5871">
        <v>2018</v>
      </c>
      <c r="EM5871" t="s">
        <v>708</v>
      </c>
      <c r="EN5871" t="s">
        <v>859</v>
      </c>
      <c r="EO5871">
        <v>26.1</v>
      </c>
    </row>
    <row r="5872" spans="142:145" x14ac:dyDescent="0.25">
      <c r="EL5872">
        <v>2018</v>
      </c>
      <c r="EM5872" t="s">
        <v>709</v>
      </c>
      <c r="EN5872" t="s">
        <v>859</v>
      </c>
      <c r="EO5872">
        <v>27.68</v>
      </c>
    </row>
    <row r="5873" spans="142:145" x14ac:dyDescent="0.25">
      <c r="EL5873">
        <v>2018</v>
      </c>
      <c r="EM5873" t="s">
        <v>710</v>
      </c>
      <c r="EN5873" t="s">
        <v>859</v>
      </c>
      <c r="EO5873">
        <v>26.65</v>
      </c>
    </row>
    <row r="5874" spans="142:145" x14ac:dyDescent="0.25">
      <c r="EL5874">
        <v>2018</v>
      </c>
      <c r="EM5874" t="s">
        <v>711</v>
      </c>
      <c r="EN5874" t="s">
        <v>859</v>
      </c>
      <c r="EO5874">
        <v>33.520000000000003</v>
      </c>
    </row>
    <row r="5875" spans="142:145" x14ac:dyDescent="0.25">
      <c r="EL5875">
        <v>2018</v>
      </c>
      <c r="EM5875" t="s">
        <v>712</v>
      </c>
      <c r="EN5875" t="s">
        <v>859</v>
      </c>
      <c r="EO5875">
        <v>35.74</v>
      </c>
    </row>
    <row r="5876" spans="142:145" x14ac:dyDescent="0.25">
      <c r="EL5876">
        <v>2019</v>
      </c>
      <c r="EM5876" t="s">
        <v>719</v>
      </c>
      <c r="EN5876" t="s">
        <v>859</v>
      </c>
      <c r="EO5876">
        <v>34.9</v>
      </c>
    </row>
    <row r="5877" spans="142:145" x14ac:dyDescent="0.25">
      <c r="EL5877">
        <v>2019</v>
      </c>
      <c r="EM5877" t="s">
        <v>713</v>
      </c>
      <c r="EN5877" t="s">
        <v>859</v>
      </c>
      <c r="EO5877">
        <v>32.96</v>
      </c>
    </row>
    <row r="5878" spans="142:145" x14ac:dyDescent="0.25">
      <c r="EL5878">
        <v>2019</v>
      </c>
      <c r="EM5878" t="s">
        <v>714</v>
      </c>
      <c r="EN5878" t="s">
        <v>859</v>
      </c>
      <c r="EO5878">
        <v>38.090000000000003</v>
      </c>
    </row>
    <row r="5879" spans="142:145" x14ac:dyDescent="0.25">
      <c r="EL5879">
        <v>2019</v>
      </c>
      <c r="EM5879" t="s">
        <v>705</v>
      </c>
      <c r="EN5879" t="s">
        <v>859</v>
      </c>
      <c r="EO5879">
        <v>32.380000000000003</v>
      </c>
    </row>
    <row r="5880" spans="142:145" x14ac:dyDescent="0.25">
      <c r="EL5880">
        <v>2019</v>
      </c>
      <c r="EM5880" t="s">
        <v>715</v>
      </c>
      <c r="EN5880" t="s">
        <v>859</v>
      </c>
      <c r="EO5880">
        <v>31.41</v>
      </c>
    </row>
    <row r="5881" spans="142:145" x14ac:dyDescent="0.25">
      <c r="EL5881">
        <v>2019</v>
      </c>
      <c r="EM5881" t="s">
        <v>718</v>
      </c>
      <c r="EN5881" t="s">
        <v>859</v>
      </c>
      <c r="EO5881">
        <v>23.8</v>
      </c>
    </row>
    <row r="5882" spans="142:145" x14ac:dyDescent="0.25">
      <c r="EL5882">
        <v>2019</v>
      </c>
      <c r="EM5882" t="s">
        <v>716</v>
      </c>
      <c r="EN5882" t="s">
        <v>859</v>
      </c>
      <c r="EO5882">
        <v>26.05</v>
      </c>
    </row>
    <row r="5883" spans="142:145" x14ac:dyDescent="0.25">
      <c r="EL5883">
        <v>2019</v>
      </c>
      <c r="EM5883" t="s">
        <v>708</v>
      </c>
      <c r="EN5883" t="s">
        <v>859</v>
      </c>
      <c r="EO5883">
        <v>24.46</v>
      </c>
    </row>
    <row r="5884" spans="142:145" x14ac:dyDescent="0.25">
      <c r="EL5884">
        <v>2019</v>
      </c>
      <c r="EM5884" t="s">
        <v>709</v>
      </c>
      <c r="EN5884" t="s">
        <v>859</v>
      </c>
      <c r="EO5884">
        <v>17.28</v>
      </c>
    </row>
    <row r="5885" spans="142:145" x14ac:dyDescent="0.25">
      <c r="EL5885">
        <v>2019</v>
      </c>
      <c r="EM5885" t="s">
        <v>710</v>
      </c>
      <c r="EN5885" t="s">
        <v>859</v>
      </c>
      <c r="EO5885">
        <v>18.809999999999999</v>
      </c>
    </row>
    <row r="5886" spans="142:145" x14ac:dyDescent="0.25">
      <c r="EL5886">
        <v>2019</v>
      </c>
      <c r="EM5886" t="s">
        <v>711</v>
      </c>
      <c r="EN5886" t="s">
        <v>859</v>
      </c>
      <c r="EO5886">
        <v>19.77</v>
      </c>
    </row>
    <row r="5887" spans="142:145" x14ac:dyDescent="0.25">
      <c r="EL5887">
        <v>2019</v>
      </c>
      <c r="EM5887" t="s">
        <v>712</v>
      </c>
      <c r="EN5887" t="s">
        <v>859</v>
      </c>
      <c r="EO5887">
        <v>23.29</v>
      </c>
    </row>
    <row r="5888" spans="142:145" x14ac:dyDescent="0.25">
      <c r="EL5888">
        <v>2020</v>
      </c>
      <c r="EM5888" t="s">
        <v>719</v>
      </c>
      <c r="EN5888" t="s">
        <v>859</v>
      </c>
      <c r="EO5888">
        <v>21.17</v>
      </c>
    </row>
    <row r="5889" spans="142:145" x14ac:dyDescent="0.25">
      <c r="EL5889">
        <v>2020</v>
      </c>
      <c r="EM5889" t="s">
        <v>713</v>
      </c>
      <c r="EN5889" t="s">
        <v>859</v>
      </c>
      <c r="EO5889">
        <v>26.13</v>
      </c>
    </row>
    <row r="5890" spans="142:145" x14ac:dyDescent="0.25">
      <c r="EL5890">
        <v>2020</v>
      </c>
      <c r="EM5890" t="s">
        <v>714</v>
      </c>
      <c r="EN5890" t="s">
        <v>859</v>
      </c>
      <c r="EO5890">
        <v>26.62</v>
      </c>
    </row>
    <row r="5891" spans="142:145" x14ac:dyDescent="0.25">
      <c r="EL5891">
        <v>2020</v>
      </c>
      <c r="EM5891" t="s">
        <v>705</v>
      </c>
      <c r="EN5891" t="s">
        <v>859</v>
      </c>
      <c r="EO5891">
        <v>28.56</v>
      </c>
    </row>
    <row r="5892" spans="142:145" x14ac:dyDescent="0.25">
      <c r="EL5892">
        <v>2020</v>
      </c>
      <c r="EM5892" t="s">
        <v>715</v>
      </c>
      <c r="EN5892" t="s">
        <v>859</v>
      </c>
      <c r="EO5892">
        <v>30.4</v>
      </c>
    </row>
    <row r="5893" spans="142:145" x14ac:dyDescent="0.25">
      <c r="EL5893">
        <v>2020</v>
      </c>
      <c r="EM5893" t="s">
        <v>718</v>
      </c>
      <c r="EN5893" t="s">
        <v>859</v>
      </c>
      <c r="EO5893">
        <v>24.8</v>
      </c>
    </row>
    <row r="5894" spans="142:145" x14ac:dyDescent="0.25">
      <c r="EL5894">
        <v>2020</v>
      </c>
      <c r="EM5894" t="s">
        <v>716</v>
      </c>
      <c r="EN5894" t="s">
        <v>859</v>
      </c>
      <c r="EO5894">
        <v>22.91</v>
      </c>
    </row>
    <row r="5895" spans="142:145" x14ac:dyDescent="0.25">
      <c r="EL5895">
        <v>2020</v>
      </c>
      <c r="EM5895" t="s">
        <v>708</v>
      </c>
      <c r="EN5895" t="s">
        <v>859</v>
      </c>
      <c r="EO5895">
        <v>25.59</v>
      </c>
    </row>
    <row r="5896" spans="142:145" x14ac:dyDescent="0.25">
      <c r="EL5896">
        <v>2020</v>
      </c>
      <c r="EM5896" t="s">
        <v>709</v>
      </c>
      <c r="EN5896" t="s">
        <v>859</v>
      </c>
      <c r="EO5896">
        <v>22.82</v>
      </c>
    </row>
    <row r="5897" spans="142:145" x14ac:dyDescent="0.25">
      <c r="EL5897">
        <v>2020</v>
      </c>
      <c r="EM5897" t="s">
        <v>710</v>
      </c>
      <c r="EN5897" t="s">
        <v>859</v>
      </c>
      <c r="EO5897">
        <v>21.44</v>
      </c>
    </row>
    <row r="5898" spans="142:145" x14ac:dyDescent="0.25">
      <c r="EL5898">
        <v>2020</v>
      </c>
      <c r="EM5898" t="s">
        <v>711</v>
      </c>
      <c r="EN5898" t="s">
        <v>859</v>
      </c>
      <c r="EO5898">
        <v>24.05</v>
      </c>
    </row>
    <row r="5899" spans="142:145" x14ac:dyDescent="0.25">
      <c r="EL5899">
        <v>2020</v>
      </c>
      <c r="EM5899" t="s">
        <v>712</v>
      </c>
      <c r="EN5899" t="s">
        <v>859</v>
      </c>
      <c r="EO5899">
        <v>29.01</v>
      </c>
    </row>
    <row r="5900" spans="142:145" x14ac:dyDescent="0.25">
      <c r="EL5900">
        <v>2021</v>
      </c>
      <c r="EM5900" t="s">
        <v>719</v>
      </c>
      <c r="EN5900" t="s">
        <v>859</v>
      </c>
      <c r="EO5900">
        <v>27.5</v>
      </c>
    </row>
    <row r="5901" spans="142:145" x14ac:dyDescent="0.25">
      <c r="EL5901">
        <v>2021</v>
      </c>
      <c r="EM5901" t="s">
        <v>713</v>
      </c>
      <c r="EN5901" t="s">
        <v>859</v>
      </c>
      <c r="EO5901">
        <v>28.87</v>
      </c>
    </row>
    <row r="5902" spans="142:145" x14ac:dyDescent="0.25">
      <c r="EL5902">
        <v>2021</v>
      </c>
      <c r="EM5902" t="s">
        <v>714</v>
      </c>
      <c r="EN5902" t="s">
        <v>859</v>
      </c>
      <c r="EO5902">
        <v>31.39</v>
      </c>
    </row>
    <row r="5903" spans="142:145" x14ac:dyDescent="0.25">
      <c r="EL5903">
        <v>2021</v>
      </c>
      <c r="EM5903" t="s">
        <v>705</v>
      </c>
      <c r="EN5903" t="s">
        <v>859</v>
      </c>
      <c r="EO5903">
        <v>30.06</v>
      </c>
    </row>
    <row r="5904" spans="142:145" x14ac:dyDescent="0.25">
      <c r="EL5904">
        <v>2021</v>
      </c>
      <c r="EM5904" t="s">
        <v>715</v>
      </c>
      <c r="EN5904" t="s">
        <v>859</v>
      </c>
      <c r="EO5904">
        <v>26.47</v>
      </c>
    </row>
    <row r="5905" spans="142:145" x14ac:dyDescent="0.25">
      <c r="EL5905">
        <v>2021</v>
      </c>
      <c r="EM5905" t="s">
        <v>718</v>
      </c>
      <c r="EN5905" t="s">
        <v>859</v>
      </c>
      <c r="EO5905">
        <v>24.04</v>
      </c>
    </row>
    <row r="5906" spans="142:145" x14ac:dyDescent="0.25">
      <c r="EL5906">
        <v>2021</v>
      </c>
      <c r="EM5906" t="s">
        <v>716</v>
      </c>
      <c r="EN5906" t="s">
        <v>859</v>
      </c>
      <c r="EO5906">
        <v>22.12</v>
      </c>
    </row>
    <row r="5907" spans="142:145" x14ac:dyDescent="0.25">
      <c r="EL5907">
        <v>2021</v>
      </c>
      <c r="EM5907" t="s">
        <v>708</v>
      </c>
      <c r="EN5907" t="s">
        <v>859</v>
      </c>
      <c r="EO5907">
        <v>22.05</v>
      </c>
    </row>
    <row r="5908" spans="142:145" x14ac:dyDescent="0.25">
      <c r="EL5908">
        <v>2021</v>
      </c>
      <c r="EM5908" t="s">
        <v>709</v>
      </c>
      <c r="EN5908" t="s">
        <v>859</v>
      </c>
      <c r="EO5908">
        <v>21.44</v>
      </c>
    </row>
    <row r="5909" spans="142:145" x14ac:dyDescent="0.25">
      <c r="EL5909">
        <v>2021</v>
      </c>
      <c r="EM5909" t="s">
        <v>710</v>
      </c>
      <c r="EN5909" t="s">
        <v>859</v>
      </c>
      <c r="EO5909">
        <v>21.11</v>
      </c>
    </row>
    <row r="5910" spans="142:145" x14ac:dyDescent="0.25">
      <c r="EL5910">
        <v>2021</v>
      </c>
      <c r="EM5910" t="s">
        <v>711</v>
      </c>
      <c r="EN5910" t="s">
        <v>859</v>
      </c>
      <c r="EO5910">
        <v>22.02</v>
      </c>
    </row>
    <row r="5911" spans="142:145" x14ac:dyDescent="0.25">
      <c r="EL5911">
        <v>2021</v>
      </c>
      <c r="EM5911" t="s">
        <v>712</v>
      </c>
      <c r="EN5911" t="s">
        <v>859</v>
      </c>
      <c r="EO5911">
        <v>21.15</v>
      </c>
    </row>
    <row r="5912" spans="142:145" x14ac:dyDescent="0.25">
      <c r="EL5912">
        <v>2022</v>
      </c>
      <c r="EM5912" t="s">
        <v>719</v>
      </c>
      <c r="EN5912" t="s">
        <v>859</v>
      </c>
      <c r="EO5912">
        <v>22.96</v>
      </c>
    </row>
    <row r="5913" spans="142:145" x14ac:dyDescent="0.25">
      <c r="EL5913">
        <v>2022</v>
      </c>
      <c r="EM5913" t="s">
        <v>713</v>
      </c>
      <c r="EN5913" t="s">
        <v>859</v>
      </c>
      <c r="EO5913">
        <v>23.47</v>
      </c>
    </row>
    <row r="5914" spans="142:145" x14ac:dyDescent="0.25">
      <c r="EL5914">
        <v>2022</v>
      </c>
      <c r="EM5914" t="s">
        <v>714</v>
      </c>
      <c r="EN5914" t="s">
        <v>859</v>
      </c>
      <c r="EO5914">
        <v>25.97</v>
      </c>
    </row>
    <row r="5915" spans="142:145" x14ac:dyDescent="0.25">
      <c r="EL5915">
        <v>2022</v>
      </c>
      <c r="EM5915" t="s">
        <v>705</v>
      </c>
      <c r="EN5915" t="s">
        <v>859</v>
      </c>
      <c r="EO5915">
        <v>27.5</v>
      </c>
    </row>
    <row r="5916" spans="142:145" x14ac:dyDescent="0.25">
      <c r="EL5916">
        <v>2022</v>
      </c>
      <c r="EM5916" t="s">
        <v>715</v>
      </c>
      <c r="EN5916" t="s">
        <v>859</v>
      </c>
      <c r="EO5916">
        <v>27.5</v>
      </c>
    </row>
    <row r="5917" spans="142:145" x14ac:dyDescent="0.25">
      <c r="EL5917">
        <v>2022</v>
      </c>
      <c r="EM5917" t="s">
        <v>718</v>
      </c>
      <c r="EN5917" t="s">
        <v>859</v>
      </c>
      <c r="EO5917">
        <v>25.15</v>
      </c>
    </row>
    <row r="5918" spans="142:145" x14ac:dyDescent="0.25">
      <c r="EL5918">
        <v>2022</v>
      </c>
      <c r="EM5918" t="s">
        <v>716</v>
      </c>
      <c r="EN5918" t="s">
        <v>859</v>
      </c>
      <c r="EO5918">
        <v>23.41</v>
      </c>
    </row>
    <row r="5919" spans="142:145" x14ac:dyDescent="0.25">
      <c r="EL5919">
        <v>2022</v>
      </c>
      <c r="EM5919" t="s">
        <v>708</v>
      </c>
      <c r="EN5919" t="s">
        <v>859</v>
      </c>
      <c r="EO5919">
        <v>17.5</v>
      </c>
    </row>
    <row r="5920" spans="142:145" x14ac:dyDescent="0.25">
      <c r="EL5920">
        <v>2022</v>
      </c>
      <c r="EM5920" t="s">
        <v>709</v>
      </c>
      <c r="EN5920" t="s">
        <v>859</v>
      </c>
      <c r="EO5920">
        <v>16.23</v>
      </c>
    </row>
    <row r="5921" spans="142:145" x14ac:dyDescent="0.25">
      <c r="EL5921">
        <v>2022</v>
      </c>
      <c r="EM5921" t="s">
        <v>710</v>
      </c>
      <c r="EN5921" t="s">
        <v>859</v>
      </c>
      <c r="EO5921">
        <v>17.04</v>
      </c>
    </row>
    <row r="5922" spans="142:145" x14ac:dyDescent="0.25">
      <c r="EL5922">
        <v>2022</v>
      </c>
      <c r="EM5922" t="s">
        <v>711</v>
      </c>
      <c r="EN5922" t="s">
        <v>859</v>
      </c>
      <c r="EO5922">
        <v>17.47</v>
      </c>
    </row>
    <row r="5923" spans="142:145" x14ac:dyDescent="0.25">
      <c r="EL5923">
        <v>2022</v>
      </c>
      <c r="EM5923" t="s">
        <v>712</v>
      </c>
      <c r="EN5923" t="s">
        <v>859</v>
      </c>
      <c r="EO5923">
        <v>20.21</v>
      </c>
    </row>
    <row r="5924" spans="142:145" x14ac:dyDescent="0.25">
      <c r="EL5924">
        <v>2023</v>
      </c>
      <c r="EM5924" t="s">
        <v>719</v>
      </c>
      <c r="EN5924" t="s">
        <v>859</v>
      </c>
      <c r="EO5924">
        <v>20.99</v>
      </c>
    </row>
    <row r="5925" spans="142:145" x14ac:dyDescent="0.25">
      <c r="EL5925">
        <v>2023</v>
      </c>
      <c r="EM5925" t="s">
        <v>713</v>
      </c>
      <c r="EN5925" t="s">
        <v>859</v>
      </c>
      <c r="EO5925">
        <v>19.920000000000002</v>
      </c>
    </row>
    <row r="5926" spans="142:145" x14ac:dyDescent="0.25">
      <c r="EL5926">
        <v>2023</v>
      </c>
      <c r="EM5926" t="s">
        <v>714</v>
      </c>
      <c r="EN5926" t="s">
        <v>859</v>
      </c>
      <c r="EO5926">
        <v>20.13</v>
      </c>
    </row>
    <row r="5927" spans="142:145" x14ac:dyDescent="0.25">
      <c r="EL5927">
        <v>2023</v>
      </c>
      <c r="EM5927" t="s">
        <v>705</v>
      </c>
      <c r="EN5927" t="s">
        <v>859</v>
      </c>
      <c r="EO5927">
        <v>20.91</v>
      </c>
    </row>
    <row r="5928" spans="142:145" x14ac:dyDescent="0.25">
      <c r="EL5928">
        <v>2023</v>
      </c>
      <c r="EM5928" t="s">
        <v>715</v>
      </c>
      <c r="EN5928" t="s">
        <v>859</v>
      </c>
      <c r="EO5928">
        <v>21.16</v>
      </c>
    </row>
    <row r="5929" spans="142:145" x14ac:dyDescent="0.25">
      <c r="EL5929">
        <v>2023</v>
      </c>
      <c r="EM5929" t="s">
        <v>718</v>
      </c>
      <c r="EN5929" t="s">
        <v>859</v>
      </c>
      <c r="EO5929">
        <v>18.53</v>
      </c>
    </row>
    <row r="5930" spans="142:145" x14ac:dyDescent="0.25">
      <c r="EL5930">
        <v>2023</v>
      </c>
      <c r="EM5930" t="s">
        <v>716</v>
      </c>
      <c r="EN5930" t="s">
        <v>859</v>
      </c>
      <c r="EO5930">
        <v>17.88</v>
      </c>
    </row>
    <row r="5931" spans="142:145" x14ac:dyDescent="0.25">
      <c r="EL5931">
        <v>2023</v>
      </c>
      <c r="EM5931" t="s">
        <v>708</v>
      </c>
      <c r="EN5931" t="s">
        <v>859</v>
      </c>
      <c r="EO5931">
        <v>19.78</v>
      </c>
    </row>
    <row r="5932" spans="142:145" x14ac:dyDescent="0.25">
      <c r="EL5932">
        <v>2023</v>
      </c>
      <c r="EM5932" t="s">
        <v>709</v>
      </c>
      <c r="EN5932" t="s">
        <v>859</v>
      </c>
      <c r="EO5932">
        <v>19.149999999999999</v>
      </c>
    </row>
    <row r="5933" spans="142:145" x14ac:dyDescent="0.25">
      <c r="EL5933">
        <v>1997</v>
      </c>
      <c r="EM5933" t="s">
        <v>760</v>
      </c>
      <c r="EN5933" t="s">
        <v>842</v>
      </c>
      <c r="EO5933">
        <v>11.500999999999999</v>
      </c>
    </row>
    <row r="5934" spans="142:145" x14ac:dyDescent="0.25">
      <c r="EL5934">
        <v>1997</v>
      </c>
      <c r="EM5934" t="s">
        <v>761</v>
      </c>
      <c r="EN5934" t="s">
        <v>842</v>
      </c>
      <c r="EO5934">
        <v>11.129999999999999</v>
      </c>
    </row>
    <row r="5935" spans="142:145" x14ac:dyDescent="0.25">
      <c r="EL5935">
        <v>1997</v>
      </c>
      <c r="EM5935" t="s">
        <v>762</v>
      </c>
      <c r="EN5935" t="s">
        <v>842</v>
      </c>
      <c r="EO5935">
        <v>11.500999999999999</v>
      </c>
    </row>
    <row r="5936" spans="142:145" x14ac:dyDescent="0.25">
      <c r="EL5936">
        <v>1998</v>
      </c>
      <c r="EM5936" t="s">
        <v>763</v>
      </c>
      <c r="EN5936" t="s">
        <v>842</v>
      </c>
      <c r="EO5936">
        <v>11.718</v>
      </c>
    </row>
    <row r="5937" spans="142:145" x14ac:dyDescent="0.25">
      <c r="EL5937">
        <v>1998</v>
      </c>
      <c r="EM5937" t="s">
        <v>764</v>
      </c>
      <c r="EN5937" t="s">
        <v>842</v>
      </c>
      <c r="EO5937">
        <v>10.584</v>
      </c>
    </row>
    <row r="5938" spans="142:145" x14ac:dyDescent="0.25">
      <c r="EL5938">
        <v>1998</v>
      </c>
      <c r="EM5938" t="s">
        <v>765</v>
      </c>
      <c r="EN5938" t="s">
        <v>842</v>
      </c>
      <c r="EO5938">
        <v>11.718</v>
      </c>
    </row>
    <row r="5939" spans="142:145" x14ac:dyDescent="0.25">
      <c r="EL5939">
        <v>1998</v>
      </c>
      <c r="EM5939" t="s">
        <v>767</v>
      </c>
      <c r="EN5939" t="s">
        <v>842</v>
      </c>
      <c r="EO5939">
        <v>11.34</v>
      </c>
    </row>
    <row r="5940" spans="142:145" x14ac:dyDescent="0.25">
      <c r="EL5940">
        <v>1998</v>
      </c>
      <c r="EM5940" t="s">
        <v>715</v>
      </c>
      <c r="EN5940" t="s">
        <v>842</v>
      </c>
      <c r="EO5940">
        <v>11.718</v>
      </c>
    </row>
    <row r="5941" spans="142:145" x14ac:dyDescent="0.25">
      <c r="EL5941">
        <v>1998</v>
      </c>
      <c r="EM5941" t="s">
        <v>718</v>
      </c>
      <c r="EN5941" t="s">
        <v>842</v>
      </c>
      <c r="EO5941">
        <v>11.34</v>
      </c>
    </row>
    <row r="5942" spans="142:145" x14ac:dyDescent="0.25">
      <c r="EL5942">
        <v>1998</v>
      </c>
      <c r="EM5942" t="s">
        <v>716</v>
      </c>
      <c r="EN5942" t="s">
        <v>842</v>
      </c>
      <c r="EO5942">
        <v>11.78</v>
      </c>
    </row>
    <row r="5943" spans="142:145" x14ac:dyDescent="0.25">
      <c r="EL5943">
        <v>1998</v>
      </c>
      <c r="EM5943" t="s">
        <v>768</v>
      </c>
      <c r="EN5943" t="s">
        <v>842</v>
      </c>
      <c r="EO5943">
        <v>11.78</v>
      </c>
    </row>
    <row r="5944" spans="142:145" x14ac:dyDescent="0.25">
      <c r="EL5944">
        <v>1998</v>
      </c>
      <c r="EM5944" t="s">
        <v>769</v>
      </c>
      <c r="EN5944" t="s">
        <v>842</v>
      </c>
      <c r="EO5944">
        <v>11.4</v>
      </c>
    </row>
    <row r="5945" spans="142:145" x14ac:dyDescent="0.25">
      <c r="EL5945">
        <v>1998</v>
      </c>
      <c r="EM5945" t="s">
        <v>760</v>
      </c>
      <c r="EN5945" t="s">
        <v>842</v>
      </c>
      <c r="EO5945">
        <v>11.78</v>
      </c>
    </row>
    <row r="5946" spans="142:145" x14ac:dyDescent="0.25">
      <c r="EL5946">
        <v>1998</v>
      </c>
      <c r="EM5946" t="s">
        <v>771</v>
      </c>
      <c r="EN5946" t="s">
        <v>842</v>
      </c>
      <c r="EO5946">
        <v>11.4</v>
      </c>
    </row>
    <row r="5947" spans="142:145" x14ac:dyDescent="0.25">
      <c r="EL5947">
        <v>1998</v>
      </c>
      <c r="EM5947" t="s">
        <v>762</v>
      </c>
      <c r="EN5947" t="s">
        <v>842</v>
      </c>
      <c r="EO5947">
        <v>11.78</v>
      </c>
    </row>
    <row r="5948" spans="142:145" x14ac:dyDescent="0.25">
      <c r="EL5948">
        <v>1999</v>
      </c>
      <c r="EM5948" t="s">
        <v>763</v>
      </c>
      <c r="EN5948" t="s">
        <v>842</v>
      </c>
      <c r="EO5948">
        <v>11.78</v>
      </c>
    </row>
    <row r="5949" spans="142:145" x14ac:dyDescent="0.25">
      <c r="EL5949">
        <v>1999</v>
      </c>
      <c r="EM5949" t="s">
        <v>772</v>
      </c>
      <c r="EN5949" t="s">
        <v>842</v>
      </c>
      <c r="EO5949">
        <v>10.64</v>
      </c>
    </row>
    <row r="5950" spans="142:145" x14ac:dyDescent="0.25">
      <c r="EL5950">
        <v>1999</v>
      </c>
      <c r="EM5950" t="s">
        <v>773</v>
      </c>
      <c r="EN5950" t="s">
        <v>842</v>
      </c>
      <c r="EO5950">
        <v>11.78</v>
      </c>
    </row>
    <row r="5951" spans="142:145" x14ac:dyDescent="0.25">
      <c r="EL5951">
        <v>1999</v>
      </c>
      <c r="EM5951" t="s">
        <v>774</v>
      </c>
      <c r="EN5951" t="s">
        <v>842</v>
      </c>
      <c r="EO5951">
        <v>11.4</v>
      </c>
    </row>
    <row r="5952" spans="142:145" x14ac:dyDescent="0.25">
      <c r="EL5952">
        <v>1999</v>
      </c>
      <c r="EM5952" t="s">
        <v>715</v>
      </c>
      <c r="EN5952" t="s">
        <v>842</v>
      </c>
      <c r="EO5952">
        <v>11.78</v>
      </c>
    </row>
    <row r="5953" spans="142:145" x14ac:dyDescent="0.25">
      <c r="EL5953">
        <v>1999</v>
      </c>
      <c r="EM5953" t="s">
        <v>718</v>
      </c>
      <c r="EN5953" t="s">
        <v>842</v>
      </c>
      <c r="EO5953">
        <v>11.4</v>
      </c>
    </row>
    <row r="5954" spans="142:145" x14ac:dyDescent="0.25">
      <c r="EL5954">
        <v>1999</v>
      </c>
      <c r="EM5954" t="s">
        <v>716</v>
      </c>
      <c r="EN5954" t="s">
        <v>842</v>
      </c>
      <c r="EO5954">
        <v>11.78</v>
      </c>
    </row>
    <row r="5955" spans="142:145" x14ac:dyDescent="0.25">
      <c r="EL5955">
        <v>1999</v>
      </c>
      <c r="EM5955" t="s">
        <v>708</v>
      </c>
      <c r="EN5955" t="s">
        <v>842</v>
      </c>
      <c r="EO5955">
        <v>11.563000000000001</v>
      </c>
    </row>
    <row r="5956" spans="142:145" x14ac:dyDescent="0.25">
      <c r="EL5956">
        <v>1999</v>
      </c>
      <c r="EM5956" t="s">
        <v>709</v>
      </c>
      <c r="EN5956" t="s">
        <v>842</v>
      </c>
      <c r="EO5956">
        <v>11.19</v>
      </c>
    </row>
    <row r="5957" spans="142:145" x14ac:dyDescent="0.25">
      <c r="EL5957">
        <v>1999</v>
      </c>
      <c r="EM5957" t="s">
        <v>710</v>
      </c>
      <c r="EN5957" t="s">
        <v>842</v>
      </c>
      <c r="EO5957">
        <v>11.563000000000001</v>
      </c>
    </row>
    <row r="5958" spans="142:145" x14ac:dyDescent="0.25">
      <c r="EL5958">
        <v>1999</v>
      </c>
      <c r="EM5958" t="s">
        <v>711</v>
      </c>
      <c r="EN5958" t="s">
        <v>842</v>
      </c>
      <c r="EO5958">
        <v>11.19</v>
      </c>
    </row>
    <row r="5959" spans="142:145" x14ac:dyDescent="0.25">
      <c r="EL5959">
        <v>1999</v>
      </c>
      <c r="EM5959" t="s">
        <v>712</v>
      </c>
      <c r="EN5959" t="s">
        <v>842</v>
      </c>
      <c r="EO5959">
        <v>11.563000000000001</v>
      </c>
    </row>
    <row r="5960" spans="142:145" x14ac:dyDescent="0.25">
      <c r="EL5960">
        <v>2000</v>
      </c>
      <c r="EM5960" t="s">
        <v>719</v>
      </c>
      <c r="EN5960" t="s">
        <v>842</v>
      </c>
      <c r="EO5960">
        <v>12.028</v>
      </c>
    </row>
    <row r="5961" spans="142:145" x14ac:dyDescent="0.25">
      <c r="EL5961">
        <v>2000</v>
      </c>
      <c r="EM5961" t="s">
        <v>713</v>
      </c>
      <c r="EN5961" t="s">
        <v>842</v>
      </c>
      <c r="EO5961">
        <v>11.252000000000001</v>
      </c>
    </row>
    <row r="5962" spans="142:145" x14ac:dyDescent="0.25">
      <c r="EL5962">
        <v>2000</v>
      </c>
      <c r="EM5962" t="s">
        <v>714</v>
      </c>
      <c r="EN5962" t="s">
        <v>842</v>
      </c>
      <c r="EO5962">
        <v>12.028</v>
      </c>
    </row>
    <row r="5963" spans="142:145" x14ac:dyDescent="0.25">
      <c r="EL5963">
        <v>2000</v>
      </c>
      <c r="EM5963" t="s">
        <v>705</v>
      </c>
      <c r="EN5963" t="s">
        <v>842</v>
      </c>
      <c r="EO5963">
        <v>11.64</v>
      </c>
    </row>
    <row r="5964" spans="142:145" x14ac:dyDescent="0.25">
      <c r="EL5964">
        <v>2000</v>
      </c>
      <c r="EM5964" t="s">
        <v>715</v>
      </c>
      <c r="EN5964" t="s">
        <v>842</v>
      </c>
      <c r="EO5964">
        <v>12.028</v>
      </c>
    </row>
    <row r="5965" spans="142:145" x14ac:dyDescent="0.25">
      <c r="EL5965">
        <v>2000</v>
      </c>
      <c r="EM5965" t="s">
        <v>718</v>
      </c>
      <c r="EN5965" t="s">
        <v>842</v>
      </c>
      <c r="EO5965">
        <v>11.64</v>
      </c>
    </row>
    <row r="5966" spans="142:145" x14ac:dyDescent="0.25">
      <c r="EL5966">
        <v>2000</v>
      </c>
      <c r="EM5966" t="s">
        <v>716</v>
      </c>
      <c r="EN5966" t="s">
        <v>842</v>
      </c>
      <c r="EO5966">
        <v>12.245000000000001</v>
      </c>
    </row>
    <row r="5967" spans="142:145" x14ac:dyDescent="0.25">
      <c r="EL5967">
        <v>2000</v>
      </c>
      <c r="EM5967" t="s">
        <v>708</v>
      </c>
      <c r="EN5967" t="s">
        <v>842</v>
      </c>
      <c r="EO5967">
        <v>12.245000000000001</v>
      </c>
    </row>
    <row r="5968" spans="142:145" x14ac:dyDescent="0.25">
      <c r="EL5968">
        <v>2000</v>
      </c>
      <c r="EM5968" t="s">
        <v>709</v>
      </c>
      <c r="EN5968" t="s">
        <v>842</v>
      </c>
      <c r="EO5968">
        <v>11.850000000000001</v>
      </c>
    </row>
    <row r="5969" spans="142:145" x14ac:dyDescent="0.25">
      <c r="EL5969">
        <v>2000</v>
      </c>
      <c r="EM5969" t="s">
        <v>710</v>
      </c>
      <c r="EN5969" t="s">
        <v>842</v>
      </c>
      <c r="EO5969">
        <v>12.245000000000001</v>
      </c>
    </row>
    <row r="5970" spans="142:145" x14ac:dyDescent="0.25">
      <c r="EL5970">
        <v>2000</v>
      </c>
      <c r="EM5970" t="s">
        <v>711</v>
      </c>
      <c r="EN5970" t="s">
        <v>842</v>
      </c>
      <c r="EO5970">
        <v>11.850000000000001</v>
      </c>
    </row>
    <row r="5971" spans="142:145" x14ac:dyDescent="0.25">
      <c r="EL5971">
        <v>2000</v>
      </c>
      <c r="EM5971" t="s">
        <v>712</v>
      </c>
      <c r="EN5971" t="s">
        <v>842</v>
      </c>
      <c r="EO5971">
        <v>12.245000000000001</v>
      </c>
    </row>
    <row r="5972" spans="142:145" x14ac:dyDescent="0.25">
      <c r="EL5972">
        <v>2001</v>
      </c>
      <c r="EM5972" t="s">
        <v>719</v>
      </c>
      <c r="EN5972" t="s">
        <v>842</v>
      </c>
      <c r="EO5972">
        <v>12.245000000000001</v>
      </c>
    </row>
    <row r="5973" spans="142:145" x14ac:dyDescent="0.25">
      <c r="EL5973">
        <v>2001</v>
      </c>
      <c r="EM5973" t="s">
        <v>713</v>
      </c>
      <c r="EN5973" t="s">
        <v>842</v>
      </c>
      <c r="EO5973">
        <v>11.06</v>
      </c>
    </row>
    <row r="5974" spans="142:145" x14ac:dyDescent="0.25">
      <c r="EL5974">
        <v>2001</v>
      </c>
      <c r="EM5974" t="s">
        <v>714</v>
      </c>
      <c r="EN5974" t="s">
        <v>842</v>
      </c>
      <c r="EO5974">
        <v>12.245000000000001</v>
      </c>
    </row>
    <row r="5975" spans="142:145" x14ac:dyDescent="0.25">
      <c r="EL5975">
        <v>2001</v>
      </c>
      <c r="EM5975" t="s">
        <v>705</v>
      </c>
      <c r="EN5975" t="s">
        <v>842</v>
      </c>
      <c r="EO5975">
        <v>12.245000000000001</v>
      </c>
    </row>
    <row r="5976" spans="142:145" x14ac:dyDescent="0.25">
      <c r="EL5976">
        <v>2001</v>
      </c>
      <c r="EM5976" t="s">
        <v>715</v>
      </c>
      <c r="EN5976" t="s">
        <v>842</v>
      </c>
      <c r="EO5976">
        <v>12.245000000000001</v>
      </c>
    </row>
    <row r="5977" spans="142:145" x14ac:dyDescent="0.25">
      <c r="EL5977">
        <v>2001</v>
      </c>
      <c r="EM5977" t="s">
        <v>718</v>
      </c>
      <c r="EN5977" t="s">
        <v>842</v>
      </c>
      <c r="EO5977">
        <v>11.850000000000001</v>
      </c>
    </row>
    <row r="5978" spans="142:145" x14ac:dyDescent="0.25">
      <c r="EL5978">
        <v>2001</v>
      </c>
      <c r="EM5978" t="s">
        <v>716</v>
      </c>
      <c r="EN5978" t="s">
        <v>842</v>
      </c>
      <c r="EO5978">
        <v>12.586</v>
      </c>
    </row>
    <row r="5979" spans="142:145" x14ac:dyDescent="0.25">
      <c r="EL5979">
        <v>2001</v>
      </c>
      <c r="EM5979" t="s">
        <v>708</v>
      </c>
      <c r="EN5979" t="s">
        <v>842</v>
      </c>
      <c r="EO5979">
        <v>12.586</v>
      </c>
    </row>
    <row r="5980" spans="142:145" x14ac:dyDescent="0.25">
      <c r="EL5980">
        <v>2001</v>
      </c>
      <c r="EM5980" t="s">
        <v>709</v>
      </c>
      <c r="EN5980" t="s">
        <v>842</v>
      </c>
      <c r="EO5980">
        <v>12.180000000000001</v>
      </c>
    </row>
    <row r="5981" spans="142:145" x14ac:dyDescent="0.25">
      <c r="EL5981">
        <v>2001</v>
      </c>
      <c r="EM5981" t="s">
        <v>710</v>
      </c>
      <c r="EN5981" t="s">
        <v>842</v>
      </c>
      <c r="EO5981">
        <v>12.586</v>
      </c>
    </row>
    <row r="5982" spans="142:145" x14ac:dyDescent="0.25">
      <c r="EL5982">
        <v>2001</v>
      </c>
      <c r="EM5982" t="s">
        <v>711</v>
      </c>
      <c r="EN5982" t="s">
        <v>842</v>
      </c>
      <c r="EO5982">
        <v>12.180000000000001</v>
      </c>
    </row>
    <row r="5983" spans="142:145" x14ac:dyDescent="0.25">
      <c r="EL5983">
        <v>2001</v>
      </c>
      <c r="EM5983" t="s">
        <v>712</v>
      </c>
      <c r="EN5983" t="s">
        <v>842</v>
      </c>
      <c r="EO5983">
        <v>12.586</v>
      </c>
    </row>
    <row r="5984" spans="142:145" x14ac:dyDescent="0.25">
      <c r="EL5984">
        <v>2002</v>
      </c>
      <c r="EM5984" t="s">
        <v>719</v>
      </c>
      <c r="EN5984" t="s">
        <v>842</v>
      </c>
      <c r="EO5984">
        <v>12.586</v>
      </c>
    </row>
    <row r="5985" spans="142:145" x14ac:dyDescent="0.25">
      <c r="EL5985">
        <v>2002</v>
      </c>
      <c r="EM5985" t="s">
        <v>713</v>
      </c>
      <c r="EN5985" t="s">
        <v>842</v>
      </c>
      <c r="EO5985">
        <v>11.368</v>
      </c>
    </row>
    <row r="5986" spans="142:145" x14ac:dyDescent="0.25">
      <c r="EL5986">
        <v>2002</v>
      </c>
      <c r="EM5986" t="s">
        <v>714</v>
      </c>
      <c r="EN5986" t="s">
        <v>842</v>
      </c>
      <c r="EO5986">
        <v>12.586</v>
      </c>
    </row>
    <row r="5987" spans="142:145" x14ac:dyDescent="0.25">
      <c r="EL5987">
        <v>2002</v>
      </c>
      <c r="EM5987" t="s">
        <v>705</v>
      </c>
      <c r="EN5987" t="s">
        <v>842</v>
      </c>
      <c r="EO5987">
        <v>12.180000000000001</v>
      </c>
    </row>
    <row r="5988" spans="142:145" x14ac:dyDescent="0.25">
      <c r="EL5988">
        <v>2002</v>
      </c>
      <c r="EM5988" t="s">
        <v>715</v>
      </c>
      <c r="EN5988" t="s">
        <v>842</v>
      </c>
      <c r="EO5988">
        <v>12.586</v>
      </c>
    </row>
    <row r="5989" spans="142:145" x14ac:dyDescent="0.25">
      <c r="EL5989">
        <v>2002</v>
      </c>
      <c r="EM5989" t="s">
        <v>718</v>
      </c>
      <c r="EN5989" t="s">
        <v>842</v>
      </c>
      <c r="EO5989">
        <v>12.180000000000001</v>
      </c>
    </row>
    <row r="5990" spans="142:145" x14ac:dyDescent="0.25">
      <c r="EL5990">
        <v>2002</v>
      </c>
      <c r="EM5990" t="s">
        <v>716</v>
      </c>
      <c r="EN5990" t="s">
        <v>842</v>
      </c>
      <c r="EO5990">
        <v>12.586</v>
      </c>
    </row>
    <row r="5991" spans="142:145" x14ac:dyDescent="0.25">
      <c r="EL5991">
        <v>2002</v>
      </c>
      <c r="EM5991" t="s">
        <v>708</v>
      </c>
      <c r="EN5991" t="s">
        <v>842</v>
      </c>
      <c r="EO5991">
        <v>12.586</v>
      </c>
    </row>
    <row r="5992" spans="142:145" x14ac:dyDescent="0.25">
      <c r="EL5992">
        <v>2002</v>
      </c>
      <c r="EM5992" t="s">
        <v>709</v>
      </c>
      <c r="EN5992" t="s">
        <v>842</v>
      </c>
      <c r="EO5992">
        <v>12.180000000000001</v>
      </c>
    </row>
    <row r="5993" spans="142:145" x14ac:dyDescent="0.25">
      <c r="EL5993">
        <v>2002</v>
      </c>
      <c r="EM5993" t="s">
        <v>710</v>
      </c>
      <c r="EN5993" t="s">
        <v>842</v>
      </c>
      <c r="EO5993">
        <v>12.586</v>
      </c>
    </row>
    <row r="5994" spans="142:145" x14ac:dyDescent="0.25">
      <c r="EL5994">
        <v>2002</v>
      </c>
      <c r="EM5994" t="s">
        <v>711</v>
      </c>
      <c r="EN5994" t="s">
        <v>842</v>
      </c>
      <c r="EO5994">
        <v>12.180000000000001</v>
      </c>
    </row>
    <row r="5995" spans="142:145" x14ac:dyDescent="0.25">
      <c r="EL5995">
        <v>2002</v>
      </c>
      <c r="EM5995" t="s">
        <v>712</v>
      </c>
      <c r="EN5995" t="s">
        <v>842</v>
      </c>
      <c r="EO5995">
        <v>12.586</v>
      </c>
    </row>
    <row r="5996" spans="142:145" x14ac:dyDescent="0.25">
      <c r="EL5996">
        <v>2003</v>
      </c>
      <c r="EM5996" t="s">
        <v>719</v>
      </c>
      <c r="EN5996" t="s">
        <v>842</v>
      </c>
      <c r="EO5996">
        <v>12.586</v>
      </c>
    </row>
    <row r="5997" spans="142:145" x14ac:dyDescent="0.25">
      <c r="EL5997">
        <v>2003</v>
      </c>
      <c r="EM5997" t="s">
        <v>713</v>
      </c>
      <c r="EN5997" t="s">
        <v>842</v>
      </c>
      <c r="EO5997">
        <v>11.368</v>
      </c>
    </row>
    <row r="5998" spans="142:145" x14ac:dyDescent="0.25">
      <c r="EL5998">
        <v>2003</v>
      </c>
      <c r="EM5998" t="s">
        <v>714</v>
      </c>
      <c r="EN5998" t="s">
        <v>842</v>
      </c>
      <c r="EO5998">
        <v>12.586</v>
      </c>
    </row>
    <row r="5999" spans="142:145" x14ac:dyDescent="0.25">
      <c r="EL5999">
        <v>2003</v>
      </c>
      <c r="EM5999" t="s">
        <v>705</v>
      </c>
      <c r="EN5999" t="s">
        <v>842</v>
      </c>
      <c r="EO5999">
        <v>12.180000000000001</v>
      </c>
    </row>
    <row r="6000" spans="142:145" x14ac:dyDescent="0.25">
      <c r="EL6000">
        <v>2003</v>
      </c>
      <c r="EM6000" t="s">
        <v>715</v>
      </c>
      <c r="EN6000" t="s">
        <v>842</v>
      </c>
      <c r="EO6000">
        <v>12.586</v>
      </c>
    </row>
    <row r="6001" spans="142:145" x14ac:dyDescent="0.25">
      <c r="EL6001">
        <v>2003</v>
      </c>
      <c r="EM6001" t="s">
        <v>718</v>
      </c>
      <c r="EN6001" t="s">
        <v>842</v>
      </c>
      <c r="EO6001">
        <v>12.180000000000001</v>
      </c>
    </row>
    <row r="6002" spans="142:145" x14ac:dyDescent="0.25">
      <c r="EL6002">
        <v>2003</v>
      </c>
      <c r="EM6002" t="s">
        <v>716</v>
      </c>
      <c r="EN6002" t="s">
        <v>842</v>
      </c>
      <c r="EO6002">
        <v>12.586</v>
      </c>
    </row>
    <row r="6003" spans="142:145" x14ac:dyDescent="0.25">
      <c r="EL6003">
        <v>2003</v>
      </c>
      <c r="EM6003" t="s">
        <v>708</v>
      </c>
      <c r="EN6003" t="s">
        <v>842</v>
      </c>
      <c r="EO6003">
        <v>12.586</v>
      </c>
    </row>
    <row r="6004" spans="142:145" x14ac:dyDescent="0.25">
      <c r="EL6004">
        <v>2003</v>
      </c>
      <c r="EM6004" t="s">
        <v>709</v>
      </c>
      <c r="EN6004" t="s">
        <v>842</v>
      </c>
      <c r="EO6004">
        <v>12.180000000000001</v>
      </c>
    </row>
    <row r="6005" spans="142:145" x14ac:dyDescent="0.25">
      <c r="EL6005">
        <v>2003</v>
      </c>
      <c r="EM6005" t="s">
        <v>710</v>
      </c>
      <c r="EN6005" t="s">
        <v>842</v>
      </c>
      <c r="EO6005">
        <v>12.583</v>
      </c>
    </row>
    <row r="6006" spans="142:145" x14ac:dyDescent="0.25">
      <c r="EL6006">
        <v>2003</v>
      </c>
      <c r="EM6006" t="s">
        <v>711</v>
      </c>
      <c r="EN6006" t="s">
        <v>842</v>
      </c>
      <c r="EO6006">
        <v>12.177</v>
      </c>
    </row>
    <row r="6007" spans="142:145" x14ac:dyDescent="0.25">
      <c r="EL6007">
        <v>2003</v>
      </c>
      <c r="EM6007" t="s">
        <v>712</v>
      </c>
      <c r="EN6007" t="s">
        <v>842</v>
      </c>
      <c r="EO6007">
        <v>12.583</v>
      </c>
    </row>
    <row r="6008" spans="142:145" x14ac:dyDescent="0.25">
      <c r="EL6008">
        <v>2004</v>
      </c>
      <c r="EM6008" t="s">
        <v>719</v>
      </c>
      <c r="EN6008" t="s">
        <v>842</v>
      </c>
      <c r="EO6008">
        <v>12.582678571428572</v>
      </c>
    </row>
    <row r="6009" spans="142:145" x14ac:dyDescent="0.25">
      <c r="EL6009">
        <v>2004</v>
      </c>
      <c r="EM6009" t="s">
        <v>713</v>
      </c>
      <c r="EN6009" t="s">
        <v>842</v>
      </c>
      <c r="EO6009">
        <v>11.770892857142858</v>
      </c>
    </row>
    <row r="6010" spans="142:145" x14ac:dyDescent="0.25">
      <c r="EL6010">
        <v>2004</v>
      </c>
      <c r="EM6010" t="s">
        <v>714</v>
      </c>
      <c r="EN6010" t="s">
        <v>842</v>
      </c>
      <c r="EO6010">
        <v>12.582678571428572</v>
      </c>
    </row>
    <row r="6011" spans="142:145" x14ac:dyDescent="0.25">
      <c r="EL6011">
        <v>2004</v>
      </c>
      <c r="EM6011" t="s">
        <v>705</v>
      </c>
      <c r="EN6011" t="s">
        <v>842</v>
      </c>
      <c r="EO6011">
        <v>12.176785714285716</v>
      </c>
    </row>
    <row r="6012" spans="142:145" x14ac:dyDescent="0.25">
      <c r="EL6012">
        <v>2004</v>
      </c>
      <c r="EM6012" t="s">
        <v>715</v>
      </c>
      <c r="EN6012" t="s">
        <v>842</v>
      </c>
      <c r="EO6012">
        <v>12.582678571428572</v>
      </c>
    </row>
    <row r="6013" spans="142:145" x14ac:dyDescent="0.25">
      <c r="EL6013">
        <v>2004</v>
      </c>
      <c r="EM6013" t="s">
        <v>718</v>
      </c>
      <c r="EN6013" t="s">
        <v>842</v>
      </c>
      <c r="EO6013">
        <v>12.176785714285716</v>
      </c>
    </row>
    <row r="6014" spans="142:145" x14ac:dyDescent="0.25">
      <c r="EL6014">
        <v>2004</v>
      </c>
      <c r="EM6014" t="s">
        <v>716</v>
      </c>
      <c r="EN6014" t="s">
        <v>842</v>
      </c>
      <c r="EO6014">
        <v>12.582678571428572</v>
      </c>
    </row>
    <row r="6015" spans="142:145" x14ac:dyDescent="0.25">
      <c r="EL6015">
        <v>2004</v>
      </c>
      <c r="EM6015" t="s">
        <v>708</v>
      </c>
      <c r="EN6015" t="s">
        <v>842</v>
      </c>
      <c r="EO6015">
        <v>12.582678571428572</v>
      </c>
    </row>
    <row r="6016" spans="142:145" x14ac:dyDescent="0.25">
      <c r="EL6016">
        <v>2004</v>
      </c>
      <c r="EM6016" t="s">
        <v>709</v>
      </c>
      <c r="EN6016" t="s">
        <v>842</v>
      </c>
      <c r="EO6016">
        <v>12.176785714285716</v>
      </c>
    </row>
    <row r="6017" spans="142:145" x14ac:dyDescent="0.25">
      <c r="EL6017">
        <v>2004</v>
      </c>
      <c r="EM6017" t="s">
        <v>710</v>
      </c>
      <c r="EN6017" t="s">
        <v>842</v>
      </c>
      <c r="EO6017">
        <v>12.940328296703298</v>
      </c>
    </row>
    <row r="6018" spans="142:145" x14ac:dyDescent="0.25">
      <c r="EL6018">
        <v>2004</v>
      </c>
      <c r="EM6018" t="s">
        <v>711</v>
      </c>
      <c r="EN6018" t="s">
        <v>842</v>
      </c>
      <c r="EO6018">
        <v>12.522898351648353</v>
      </c>
    </row>
    <row r="6019" spans="142:145" x14ac:dyDescent="0.25">
      <c r="EL6019">
        <v>2004</v>
      </c>
      <c r="EM6019" t="s">
        <v>712</v>
      </c>
      <c r="EN6019" t="s">
        <v>842</v>
      </c>
      <c r="EO6019">
        <v>12.940328296703298</v>
      </c>
    </row>
    <row r="6020" spans="142:145" x14ac:dyDescent="0.25">
      <c r="EL6020">
        <v>2005</v>
      </c>
      <c r="EM6020" t="s">
        <v>719</v>
      </c>
      <c r="EN6020" t="s">
        <v>842</v>
      </c>
      <c r="EO6020">
        <v>12.940328296703298</v>
      </c>
    </row>
    <row r="6021" spans="142:145" x14ac:dyDescent="0.25">
      <c r="EL6021">
        <v>2005</v>
      </c>
      <c r="EM6021" t="s">
        <v>713</v>
      </c>
      <c r="EN6021" t="s">
        <v>842</v>
      </c>
      <c r="EO6021">
        <v>11.688038461538461</v>
      </c>
    </row>
    <row r="6022" spans="142:145" x14ac:dyDescent="0.25">
      <c r="EL6022">
        <v>2005</v>
      </c>
      <c r="EM6022" t="s">
        <v>714</v>
      </c>
      <c r="EN6022" t="s">
        <v>842</v>
      </c>
      <c r="EO6022">
        <v>12.940328296703298</v>
      </c>
    </row>
    <row r="6023" spans="142:145" x14ac:dyDescent="0.25">
      <c r="EL6023">
        <v>2005</v>
      </c>
      <c r="EM6023" t="s">
        <v>705</v>
      </c>
      <c r="EN6023" t="s">
        <v>842</v>
      </c>
      <c r="EO6023">
        <v>12.522898351648353</v>
      </c>
    </row>
    <row r="6024" spans="142:145" x14ac:dyDescent="0.25">
      <c r="EL6024">
        <v>2005</v>
      </c>
      <c r="EM6024" t="s">
        <v>715</v>
      </c>
      <c r="EN6024" t="s">
        <v>842</v>
      </c>
      <c r="EO6024">
        <v>12.940328296703298</v>
      </c>
    </row>
    <row r="6025" spans="142:145" x14ac:dyDescent="0.25">
      <c r="EL6025">
        <v>2005</v>
      </c>
      <c r="EM6025" t="s">
        <v>718</v>
      </c>
      <c r="EN6025" t="s">
        <v>842</v>
      </c>
      <c r="EO6025">
        <v>12.522898351648353</v>
      </c>
    </row>
    <row r="6026" spans="142:145" x14ac:dyDescent="0.25">
      <c r="EL6026">
        <v>2005</v>
      </c>
      <c r="EM6026" t="s">
        <v>716</v>
      </c>
      <c r="EN6026" t="s">
        <v>842</v>
      </c>
      <c r="EO6026">
        <v>12.940328296703298</v>
      </c>
    </row>
    <row r="6027" spans="142:145" x14ac:dyDescent="0.25">
      <c r="EL6027">
        <v>2005</v>
      </c>
      <c r="EM6027" t="s">
        <v>708</v>
      </c>
      <c r="EN6027" t="s">
        <v>842</v>
      </c>
      <c r="EO6027">
        <v>12.940328296703298</v>
      </c>
    </row>
    <row r="6028" spans="142:145" x14ac:dyDescent="0.25">
      <c r="EL6028">
        <v>2005</v>
      </c>
      <c r="EM6028" t="s">
        <v>709</v>
      </c>
      <c r="EN6028" t="s">
        <v>842</v>
      </c>
      <c r="EO6028">
        <v>12.522898351648353</v>
      </c>
    </row>
    <row r="6029" spans="142:145" x14ac:dyDescent="0.25">
      <c r="EL6029">
        <v>2005</v>
      </c>
      <c r="EM6029" t="s">
        <v>710</v>
      </c>
      <c r="EN6029" t="s">
        <v>842</v>
      </c>
      <c r="EO6029">
        <v>13.141999999999999</v>
      </c>
    </row>
    <row r="6030" spans="142:145" x14ac:dyDescent="0.25">
      <c r="EL6030">
        <v>2005</v>
      </c>
      <c r="EM6030" t="s">
        <v>711</v>
      </c>
      <c r="EN6030" t="s">
        <v>842</v>
      </c>
      <c r="EO6030">
        <v>12.718</v>
      </c>
    </row>
    <row r="6031" spans="142:145" x14ac:dyDescent="0.25">
      <c r="EL6031">
        <v>2005</v>
      </c>
      <c r="EM6031" t="s">
        <v>712</v>
      </c>
      <c r="EN6031" t="s">
        <v>842</v>
      </c>
      <c r="EO6031">
        <v>13.141634657534246</v>
      </c>
    </row>
    <row r="6032" spans="142:145" x14ac:dyDescent="0.25">
      <c r="EL6032">
        <v>2006</v>
      </c>
      <c r="EM6032" t="s">
        <v>719</v>
      </c>
      <c r="EN6032" t="s">
        <v>842</v>
      </c>
      <c r="EO6032">
        <v>13.141634657534246</v>
      </c>
    </row>
    <row r="6033" spans="142:145" x14ac:dyDescent="0.25">
      <c r="EL6033">
        <v>2006</v>
      </c>
      <c r="EM6033" t="s">
        <v>713</v>
      </c>
      <c r="EN6033" t="s">
        <v>842</v>
      </c>
      <c r="EO6033">
        <v>11.869863561643834</v>
      </c>
    </row>
    <row r="6034" spans="142:145" x14ac:dyDescent="0.25">
      <c r="EL6034">
        <v>2006</v>
      </c>
      <c r="EM6034" t="s">
        <v>714</v>
      </c>
      <c r="EN6034" t="s">
        <v>842</v>
      </c>
      <c r="EO6034">
        <v>13.141634657534246</v>
      </c>
    </row>
    <row r="6035" spans="142:145" x14ac:dyDescent="0.25">
      <c r="EL6035">
        <v>2006</v>
      </c>
      <c r="EM6035" t="s">
        <v>705</v>
      </c>
      <c r="EN6035" t="s">
        <v>842</v>
      </c>
      <c r="EO6035">
        <v>12.717710958904108</v>
      </c>
    </row>
    <row r="6036" spans="142:145" x14ac:dyDescent="0.25">
      <c r="EL6036">
        <v>2006</v>
      </c>
      <c r="EM6036" t="s">
        <v>715</v>
      </c>
      <c r="EN6036" t="s">
        <v>842</v>
      </c>
      <c r="EO6036">
        <v>13.141634657534246</v>
      </c>
    </row>
    <row r="6037" spans="142:145" x14ac:dyDescent="0.25">
      <c r="EL6037">
        <v>2006</v>
      </c>
      <c r="EM6037" t="s">
        <v>718</v>
      </c>
      <c r="EN6037" t="s">
        <v>842</v>
      </c>
      <c r="EO6037">
        <v>12.717710958904108</v>
      </c>
    </row>
    <row r="6038" spans="142:145" x14ac:dyDescent="0.25">
      <c r="EL6038">
        <v>2006</v>
      </c>
      <c r="EM6038" t="s">
        <v>716</v>
      </c>
      <c r="EN6038" t="s">
        <v>842</v>
      </c>
      <c r="EO6038">
        <v>13.141634657534246</v>
      </c>
    </row>
    <row r="6039" spans="142:145" x14ac:dyDescent="0.25">
      <c r="EL6039">
        <v>2006</v>
      </c>
      <c r="EM6039" t="s">
        <v>708</v>
      </c>
      <c r="EN6039" t="s">
        <v>842</v>
      </c>
      <c r="EO6039">
        <v>13.141634657534246</v>
      </c>
    </row>
    <row r="6040" spans="142:145" x14ac:dyDescent="0.25">
      <c r="EL6040">
        <v>2006</v>
      </c>
      <c r="EM6040" t="s">
        <v>709</v>
      </c>
      <c r="EN6040" t="s">
        <v>842</v>
      </c>
      <c r="EO6040">
        <v>12.717710958904108</v>
      </c>
    </row>
    <row r="6041" spans="142:145" x14ac:dyDescent="0.25">
      <c r="EL6041">
        <v>2006</v>
      </c>
      <c r="EM6041" t="s">
        <v>710</v>
      </c>
      <c r="EN6041" t="s">
        <v>842</v>
      </c>
      <c r="EO6041">
        <v>13.798715753424659</v>
      </c>
    </row>
    <row r="6042" spans="142:145" x14ac:dyDescent="0.25">
      <c r="EL6042">
        <v>2006</v>
      </c>
      <c r="EM6042" t="s">
        <v>711</v>
      </c>
      <c r="EN6042" t="s">
        <v>842</v>
      </c>
      <c r="EO6042">
        <v>13.35359589041096</v>
      </c>
    </row>
    <row r="6043" spans="142:145" x14ac:dyDescent="0.25">
      <c r="EL6043">
        <v>2006</v>
      </c>
      <c r="EM6043" t="s">
        <v>712</v>
      </c>
      <c r="EN6043" t="s">
        <v>842</v>
      </c>
      <c r="EO6043">
        <v>13.798715753424659</v>
      </c>
    </row>
    <row r="6044" spans="142:145" x14ac:dyDescent="0.25">
      <c r="EL6044">
        <v>2007</v>
      </c>
      <c r="EM6044" t="s">
        <v>719</v>
      </c>
      <c r="EN6044" t="s">
        <v>842</v>
      </c>
      <c r="EO6044">
        <v>13.798715753424659</v>
      </c>
    </row>
    <row r="6045" spans="142:145" x14ac:dyDescent="0.25">
      <c r="EL6045">
        <v>2007</v>
      </c>
      <c r="EM6045" t="s">
        <v>713</v>
      </c>
      <c r="EN6045" t="s">
        <v>842</v>
      </c>
      <c r="EO6045">
        <v>12.463356164383562</v>
      </c>
    </row>
    <row r="6046" spans="142:145" x14ac:dyDescent="0.25">
      <c r="EL6046">
        <v>2007</v>
      </c>
      <c r="EM6046" t="s">
        <v>714</v>
      </c>
      <c r="EN6046" t="s">
        <v>842</v>
      </c>
      <c r="EO6046">
        <v>13.798715753424659</v>
      </c>
    </row>
    <row r="6047" spans="142:145" x14ac:dyDescent="0.25">
      <c r="EL6047">
        <v>2007</v>
      </c>
      <c r="EM6047" t="s">
        <v>705</v>
      </c>
      <c r="EN6047" t="s">
        <v>842</v>
      </c>
      <c r="EO6047">
        <v>13.35359589041096</v>
      </c>
    </row>
    <row r="6048" spans="142:145" x14ac:dyDescent="0.25">
      <c r="EL6048">
        <v>2007</v>
      </c>
      <c r="EM6048" t="s">
        <v>715</v>
      </c>
      <c r="EN6048" t="s">
        <v>842</v>
      </c>
      <c r="EO6048">
        <v>13.798715753424659</v>
      </c>
    </row>
    <row r="6049" spans="142:145" x14ac:dyDescent="0.25">
      <c r="EL6049">
        <v>2007</v>
      </c>
      <c r="EM6049" t="s">
        <v>718</v>
      </c>
      <c r="EN6049" t="s">
        <v>842</v>
      </c>
      <c r="EO6049">
        <v>13.35359589041096</v>
      </c>
    </row>
    <row r="6050" spans="142:145" x14ac:dyDescent="0.25">
      <c r="EL6050">
        <v>2007</v>
      </c>
      <c r="EM6050" t="s">
        <v>716</v>
      </c>
      <c r="EN6050" t="s">
        <v>842</v>
      </c>
      <c r="EO6050">
        <v>13.798715753424659</v>
      </c>
    </row>
    <row r="6051" spans="142:145" x14ac:dyDescent="0.25">
      <c r="EL6051">
        <v>2007</v>
      </c>
      <c r="EM6051" t="s">
        <v>708</v>
      </c>
      <c r="EN6051" t="s">
        <v>842</v>
      </c>
      <c r="EO6051">
        <v>13.798715753424659</v>
      </c>
    </row>
    <row r="6052" spans="142:145" x14ac:dyDescent="0.25">
      <c r="EL6052">
        <v>2007</v>
      </c>
      <c r="EM6052" t="s">
        <v>709</v>
      </c>
      <c r="EN6052" t="s">
        <v>842</v>
      </c>
      <c r="EO6052">
        <v>13.35359589041096</v>
      </c>
    </row>
    <row r="6053" spans="142:145" x14ac:dyDescent="0.25">
      <c r="EL6053">
        <v>2007</v>
      </c>
      <c r="EM6053" t="s">
        <v>710</v>
      </c>
      <c r="EN6053" t="s">
        <v>842</v>
      </c>
      <c r="EO6053">
        <v>13.625999999999999</v>
      </c>
    </row>
    <row r="6054" spans="142:145" x14ac:dyDescent="0.25">
      <c r="EL6054">
        <v>2007</v>
      </c>
      <c r="EM6054" t="s">
        <v>711</v>
      </c>
      <c r="EN6054" t="s">
        <v>842</v>
      </c>
      <c r="EO6054">
        <v>13.185983606557377</v>
      </c>
    </row>
    <row r="6055" spans="142:145" x14ac:dyDescent="0.25">
      <c r="EL6055">
        <v>2007</v>
      </c>
      <c r="EM6055" t="s">
        <v>712</v>
      </c>
      <c r="EN6055" t="s">
        <v>842</v>
      </c>
      <c r="EO6055">
        <v>13.625516393442622</v>
      </c>
    </row>
    <row r="6056" spans="142:145" x14ac:dyDescent="0.25">
      <c r="EL6056">
        <v>2008</v>
      </c>
      <c r="EM6056" t="s">
        <v>719</v>
      </c>
      <c r="EN6056" t="s">
        <v>842</v>
      </c>
      <c r="EO6056">
        <v>13.625516393442622</v>
      </c>
    </row>
    <row r="6057" spans="142:145" x14ac:dyDescent="0.25">
      <c r="EL6057">
        <v>2008</v>
      </c>
      <c r="EM6057" t="s">
        <v>713</v>
      </c>
      <c r="EN6057" t="s">
        <v>842</v>
      </c>
      <c r="EO6057">
        <v>12.74645081967213</v>
      </c>
    </row>
    <row r="6058" spans="142:145" x14ac:dyDescent="0.25">
      <c r="EL6058">
        <v>2008</v>
      </c>
      <c r="EM6058" t="s">
        <v>714</v>
      </c>
      <c r="EN6058" t="s">
        <v>842</v>
      </c>
      <c r="EO6058">
        <v>13.625516393442622</v>
      </c>
    </row>
    <row r="6059" spans="142:145" x14ac:dyDescent="0.25">
      <c r="EL6059">
        <v>2008</v>
      </c>
      <c r="EM6059" t="s">
        <v>705</v>
      </c>
      <c r="EN6059" t="s">
        <v>842</v>
      </c>
      <c r="EO6059">
        <v>13.185983606557377</v>
      </c>
    </row>
    <row r="6060" spans="142:145" x14ac:dyDescent="0.25">
      <c r="EL6060">
        <v>2008</v>
      </c>
      <c r="EM6060" t="s">
        <v>715</v>
      </c>
      <c r="EN6060" t="s">
        <v>842</v>
      </c>
      <c r="EO6060">
        <v>13.625516393442622</v>
      </c>
    </row>
    <row r="6061" spans="142:145" x14ac:dyDescent="0.25">
      <c r="EL6061">
        <v>2008</v>
      </c>
      <c r="EM6061" t="s">
        <v>718</v>
      </c>
      <c r="EN6061" t="s">
        <v>842</v>
      </c>
      <c r="EO6061">
        <v>13.185983606557377</v>
      </c>
    </row>
    <row r="6062" spans="142:145" x14ac:dyDescent="0.25">
      <c r="EL6062">
        <v>2008</v>
      </c>
      <c r="EM6062" t="s">
        <v>716</v>
      </c>
      <c r="EN6062" t="s">
        <v>842</v>
      </c>
      <c r="EO6062">
        <v>13.625516393442622</v>
      </c>
    </row>
    <row r="6063" spans="142:145" x14ac:dyDescent="0.25">
      <c r="EL6063">
        <v>2008</v>
      </c>
      <c r="EM6063" t="s">
        <v>708</v>
      </c>
      <c r="EN6063" t="s">
        <v>842</v>
      </c>
      <c r="EO6063">
        <v>13.625516393442622</v>
      </c>
    </row>
    <row r="6064" spans="142:145" x14ac:dyDescent="0.25">
      <c r="EL6064">
        <v>2008</v>
      </c>
      <c r="EM6064" t="s">
        <v>709</v>
      </c>
      <c r="EN6064" t="s">
        <v>842</v>
      </c>
      <c r="EO6064">
        <v>13.185983606557377</v>
      </c>
    </row>
    <row r="6065" spans="142:145" x14ac:dyDescent="0.25">
      <c r="EL6065">
        <v>2008</v>
      </c>
      <c r="EM6065" t="s">
        <v>710</v>
      </c>
      <c r="EN6065" t="s">
        <v>842</v>
      </c>
      <c r="EO6065">
        <v>13.563667808219178</v>
      </c>
    </row>
    <row r="6066" spans="142:145" x14ac:dyDescent="0.25">
      <c r="EL6066">
        <v>2008</v>
      </c>
      <c r="EM6066" t="s">
        <v>711</v>
      </c>
      <c r="EN6066" t="s">
        <v>842</v>
      </c>
      <c r="EO6066">
        <v>13.126150684931508</v>
      </c>
    </row>
    <row r="6067" spans="142:145" x14ac:dyDescent="0.25">
      <c r="EL6067">
        <v>2008</v>
      </c>
      <c r="EM6067" t="s">
        <v>712</v>
      </c>
      <c r="EN6067" t="s">
        <v>842</v>
      </c>
      <c r="EO6067">
        <v>13.563689041095891</v>
      </c>
    </row>
    <row r="6068" spans="142:145" x14ac:dyDescent="0.25">
      <c r="EL6068">
        <v>2009</v>
      </c>
      <c r="EM6068" t="s">
        <v>719</v>
      </c>
      <c r="EN6068" t="s">
        <v>842</v>
      </c>
      <c r="EO6068">
        <v>13.563689041095891</v>
      </c>
    </row>
    <row r="6069" spans="142:145" x14ac:dyDescent="0.25">
      <c r="EL6069">
        <v>2009</v>
      </c>
      <c r="EM6069" t="s">
        <v>713</v>
      </c>
      <c r="EN6069" t="s">
        <v>842</v>
      </c>
      <c r="EO6069">
        <v>12.25107397260274</v>
      </c>
    </row>
    <row r="6070" spans="142:145" x14ac:dyDescent="0.25">
      <c r="EL6070">
        <v>2009</v>
      </c>
      <c r="EM6070" t="s">
        <v>714</v>
      </c>
      <c r="EN6070" t="s">
        <v>842</v>
      </c>
      <c r="EO6070">
        <v>13.563689041095891</v>
      </c>
    </row>
    <row r="6071" spans="142:145" x14ac:dyDescent="0.25">
      <c r="EL6071">
        <v>2009</v>
      </c>
      <c r="EM6071" t="s">
        <v>705</v>
      </c>
      <c r="EN6071" t="s">
        <v>842</v>
      </c>
      <c r="EO6071">
        <v>13.126150684931508</v>
      </c>
    </row>
    <row r="6072" spans="142:145" x14ac:dyDescent="0.25">
      <c r="EL6072">
        <v>2009</v>
      </c>
      <c r="EM6072" t="s">
        <v>715</v>
      </c>
      <c r="EN6072" t="s">
        <v>842</v>
      </c>
      <c r="EO6072">
        <v>13.563689041095891</v>
      </c>
    </row>
    <row r="6073" spans="142:145" x14ac:dyDescent="0.25">
      <c r="EL6073">
        <v>2009</v>
      </c>
      <c r="EM6073" t="s">
        <v>718</v>
      </c>
      <c r="EN6073" t="s">
        <v>842</v>
      </c>
      <c r="EO6073">
        <v>13.126150684931508</v>
      </c>
    </row>
    <row r="6074" spans="142:145" x14ac:dyDescent="0.25">
      <c r="EL6074">
        <v>2009</v>
      </c>
      <c r="EM6074" t="s">
        <v>716</v>
      </c>
      <c r="EN6074" t="s">
        <v>842</v>
      </c>
      <c r="EO6074">
        <v>13.563689041095891</v>
      </c>
    </row>
    <row r="6075" spans="142:145" x14ac:dyDescent="0.25">
      <c r="EL6075">
        <v>2009</v>
      </c>
      <c r="EM6075" t="s">
        <v>708</v>
      </c>
      <c r="EN6075" t="s">
        <v>842</v>
      </c>
      <c r="EO6075">
        <v>13.563689041095891</v>
      </c>
    </row>
    <row r="6076" spans="142:145" x14ac:dyDescent="0.25">
      <c r="EL6076">
        <v>2009</v>
      </c>
      <c r="EM6076" t="s">
        <v>709</v>
      </c>
      <c r="EN6076" t="s">
        <v>842</v>
      </c>
      <c r="EO6076">
        <v>13.126150684931508</v>
      </c>
    </row>
    <row r="6077" spans="142:145" x14ac:dyDescent="0.25">
      <c r="EL6077">
        <v>2009</v>
      </c>
      <c r="EM6077" t="s">
        <v>710</v>
      </c>
      <c r="EN6077" t="s">
        <v>842</v>
      </c>
      <c r="EO6077">
        <v>13.586238356164385</v>
      </c>
    </row>
    <row r="6078" spans="142:145" x14ac:dyDescent="0.25">
      <c r="EL6078">
        <v>2009</v>
      </c>
      <c r="EM6078" t="s">
        <v>711</v>
      </c>
      <c r="EN6078" t="s">
        <v>842</v>
      </c>
      <c r="EO6078">
        <v>13.147972602739728</v>
      </c>
    </row>
    <row r="6079" spans="142:145" x14ac:dyDescent="0.25">
      <c r="EL6079">
        <v>2009</v>
      </c>
      <c r="EM6079" t="s">
        <v>712</v>
      </c>
      <c r="EN6079" t="s">
        <v>842</v>
      </c>
      <c r="EO6079">
        <v>13.586238356164385</v>
      </c>
    </row>
    <row r="6080" spans="142:145" x14ac:dyDescent="0.25">
      <c r="EL6080">
        <v>2010</v>
      </c>
      <c r="EM6080" t="s">
        <v>719</v>
      </c>
      <c r="EN6080" t="s">
        <v>842</v>
      </c>
      <c r="EO6080">
        <v>13.586238356164385</v>
      </c>
    </row>
    <row r="6081" spans="142:145" x14ac:dyDescent="0.25">
      <c r="EL6081">
        <v>2010</v>
      </c>
      <c r="EM6081" t="s">
        <v>713</v>
      </c>
      <c r="EN6081" t="s">
        <v>842</v>
      </c>
      <c r="EO6081">
        <v>12.271441095890411</v>
      </c>
    </row>
    <row r="6082" spans="142:145" x14ac:dyDescent="0.25">
      <c r="EL6082">
        <v>2010</v>
      </c>
      <c r="EM6082" t="s">
        <v>714</v>
      </c>
      <c r="EN6082" t="s">
        <v>842</v>
      </c>
      <c r="EO6082">
        <v>13.586238356164385</v>
      </c>
    </row>
    <row r="6083" spans="142:145" x14ac:dyDescent="0.25">
      <c r="EL6083">
        <v>2010</v>
      </c>
      <c r="EM6083" t="s">
        <v>705</v>
      </c>
      <c r="EN6083" t="s">
        <v>842</v>
      </c>
      <c r="EO6083">
        <v>13.147972602739728</v>
      </c>
    </row>
    <row r="6084" spans="142:145" x14ac:dyDescent="0.25">
      <c r="EL6084">
        <v>2010</v>
      </c>
      <c r="EM6084" t="s">
        <v>715</v>
      </c>
      <c r="EN6084" t="s">
        <v>842</v>
      </c>
      <c r="EO6084">
        <v>13.586238356164385</v>
      </c>
    </row>
    <row r="6085" spans="142:145" x14ac:dyDescent="0.25">
      <c r="EL6085">
        <v>2010</v>
      </c>
      <c r="EM6085" t="s">
        <v>718</v>
      </c>
      <c r="EN6085" t="s">
        <v>842</v>
      </c>
      <c r="EO6085">
        <v>13.147972602739728</v>
      </c>
    </row>
    <row r="6086" spans="142:145" x14ac:dyDescent="0.25">
      <c r="EL6086">
        <v>2010</v>
      </c>
      <c r="EM6086" t="s">
        <v>716</v>
      </c>
      <c r="EN6086" t="s">
        <v>842</v>
      </c>
      <c r="EO6086">
        <v>13.586238356164385</v>
      </c>
    </row>
    <row r="6087" spans="142:145" x14ac:dyDescent="0.25">
      <c r="EL6087">
        <v>2010</v>
      </c>
      <c r="EM6087" t="s">
        <v>708</v>
      </c>
      <c r="EN6087" t="s">
        <v>842</v>
      </c>
      <c r="EO6087">
        <v>13.586238356164385</v>
      </c>
    </row>
    <row r="6088" spans="142:145" x14ac:dyDescent="0.25">
      <c r="EL6088">
        <v>2010</v>
      </c>
      <c r="EM6088" t="s">
        <v>709</v>
      </c>
      <c r="EN6088" t="s">
        <v>842</v>
      </c>
      <c r="EO6088">
        <v>13.147972602739728</v>
      </c>
    </row>
    <row r="6089" spans="142:145" x14ac:dyDescent="0.25">
      <c r="EL6089">
        <v>2010</v>
      </c>
      <c r="EM6089" t="s">
        <v>710</v>
      </c>
      <c r="EN6089" t="s">
        <v>842</v>
      </c>
      <c r="EO6089">
        <v>13.329702739726025</v>
      </c>
    </row>
    <row r="6090" spans="142:145" x14ac:dyDescent="0.25">
      <c r="EL6090">
        <v>2010</v>
      </c>
      <c r="EM6090" t="s">
        <v>711</v>
      </c>
      <c r="EN6090" t="s">
        <v>842</v>
      </c>
      <c r="EO6090">
        <v>12.899712328767121</v>
      </c>
    </row>
    <row r="6091" spans="142:145" x14ac:dyDescent="0.25">
      <c r="EL6091">
        <v>2010</v>
      </c>
      <c r="EM6091" t="s">
        <v>712</v>
      </c>
      <c r="EN6091" t="s">
        <v>842</v>
      </c>
      <c r="EO6091">
        <v>13.329702739726025</v>
      </c>
    </row>
    <row r="6092" spans="142:145" x14ac:dyDescent="0.25">
      <c r="EL6092">
        <v>2011</v>
      </c>
      <c r="EM6092" t="s">
        <v>719</v>
      </c>
      <c r="EN6092" t="s">
        <v>842</v>
      </c>
      <c r="EO6092">
        <v>13.329702739726025</v>
      </c>
    </row>
    <row r="6093" spans="142:145" x14ac:dyDescent="0.25">
      <c r="EL6093">
        <v>2011</v>
      </c>
      <c r="EM6093" t="s">
        <v>713</v>
      </c>
      <c r="EN6093" t="s">
        <v>842</v>
      </c>
      <c r="EO6093">
        <v>12.039731506849314</v>
      </c>
    </row>
    <row r="6094" spans="142:145" x14ac:dyDescent="0.25">
      <c r="EL6094">
        <v>2011</v>
      </c>
      <c r="EM6094" t="s">
        <v>714</v>
      </c>
      <c r="EN6094" t="s">
        <v>842</v>
      </c>
      <c r="EO6094">
        <v>13.329702739726025</v>
      </c>
    </row>
    <row r="6095" spans="142:145" x14ac:dyDescent="0.25">
      <c r="EL6095">
        <v>2011</v>
      </c>
      <c r="EM6095" t="s">
        <v>705</v>
      </c>
      <c r="EN6095" t="s">
        <v>842</v>
      </c>
      <c r="EO6095">
        <v>12.899712328767121</v>
      </c>
    </row>
    <row r="6096" spans="142:145" x14ac:dyDescent="0.25">
      <c r="EL6096">
        <v>2011</v>
      </c>
      <c r="EM6096" t="s">
        <v>715</v>
      </c>
      <c r="EN6096" t="s">
        <v>842</v>
      </c>
      <c r="EO6096">
        <v>13.329702739726025</v>
      </c>
    </row>
    <row r="6097" spans="142:145" x14ac:dyDescent="0.25">
      <c r="EL6097">
        <v>2011</v>
      </c>
      <c r="EM6097" t="s">
        <v>718</v>
      </c>
      <c r="EN6097" t="s">
        <v>842</v>
      </c>
      <c r="EO6097">
        <v>12.899712328767121</v>
      </c>
    </row>
    <row r="6098" spans="142:145" x14ac:dyDescent="0.25">
      <c r="EL6098">
        <v>2011</v>
      </c>
      <c r="EM6098" t="s">
        <v>716</v>
      </c>
      <c r="EN6098" t="s">
        <v>842</v>
      </c>
      <c r="EO6098">
        <v>13.329702739726025</v>
      </c>
    </row>
    <row r="6099" spans="142:145" x14ac:dyDescent="0.25">
      <c r="EL6099">
        <v>2011</v>
      </c>
      <c r="EM6099" t="s">
        <v>708</v>
      </c>
      <c r="EN6099" t="s">
        <v>842</v>
      </c>
      <c r="EO6099">
        <v>13.329702739726025</v>
      </c>
    </row>
    <row r="6100" spans="142:145" x14ac:dyDescent="0.25">
      <c r="EL6100">
        <v>2011</v>
      </c>
      <c r="EM6100" t="s">
        <v>709</v>
      </c>
      <c r="EN6100" t="s">
        <v>842</v>
      </c>
      <c r="EO6100">
        <v>12.899712328767121</v>
      </c>
    </row>
    <row r="6101" spans="142:145" x14ac:dyDescent="0.25">
      <c r="EL6101">
        <v>2011</v>
      </c>
      <c r="EM6101" t="s">
        <v>710</v>
      </c>
      <c r="EN6101" t="s">
        <v>842</v>
      </c>
      <c r="EO6101">
        <v>13.601715846994535</v>
      </c>
    </row>
    <row r="6102" spans="142:145" x14ac:dyDescent="0.25">
      <c r="EL6102">
        <v>2011</v>
      </c>
      <c r="EM6102" t="s">
        <v>711</v>
      </c>
      <c r="EN6102" t="s">
        <v>842</v>
      </c>
      <c r="EO6102">
        <v>13.162950819672131</v>
      </c>
    </row>
    <row r="6103" spans="142:145" x14ac:dyDescent="0.25">
      <c r="EL6103">
        <v>2011</v>
      </c>
      <c r="EM6103" t="s">
        <v>712</v>
      </c>
      <c r="EN6103" t="s">
        <v>842</v>
      </c>
      <c r="EO6103">
        <v>13.601715846994535</v>
      </c>
    </row>
    <row r="6104" spans="142:145" x14ac:dyDescent="0.25">
      <c r="EL6104">
        <v>2012</v>
      </c>
      <c r="EM6104" t="s">
        <v>719</v>
      </c>
      <c r="EN6104" t="s">
        <v>842</v>
      </c>
      <c r="EO6104">
        <v>13.601715846994535</v>
      </c>
    </row>
    <row r="6105" spans="142:145" x14ac:dyDescent="0.25">
      <c r="EL6105">
        <v>2012</v>
      </c>
      <c r="EM6105" t="s">
        <v>713</v>
      </c>
      <c r="EN6105" t="s">
        <v>842</v>
      </c>
      <c r="EO6105">
        <v>12.724185792349726</v>
      </c>
    </row>
    <row r="6106" spans="142:145" x14ac:dyDescent="0.25">
      <c r="EL6106">
        <v>2012</v>
      </c>
      <c r="EM6106" t="s">
        <v>714</v>
      </c>
      <c r="EN6106" t="s">
        <v>842</v>
      </c>
      <c r="EO6106">
        <v>13.601715846994535</v>
      </c>
    </row>
    <row r="6107" spans="142:145" x14ac:dyDescent="0.25">
      <c r="EL6107">
        <v>2012</v>
      </c>
      <c r="EM6107" t="s">
        <v>705</v>
      </c>
      <c r="EN6107" t="s">
        <v>842</v>
      </c>
      <c r="EO6107">
        <v>13.162950819672131</v>
      </c>
    </row>
    <row r="6108" spans="142:145" x14ac:dyDescent="0.25">
      <c r="EL6108">
        <v>2012</v>
      </c>
      <c r="EM6108" t="s">
        <v>715</v>
      </c>
      <c r="EN6108" t="s">
        <v>842</v>
      </c>
      <c r="EO6108">
        <v>13.601715846994535</v>
      </c>
    </row>
    <row r="6109" spans="142:145" x14ac:dyDescent="0.25">
      <c r="EL6109">
        <v>2012</v>
      </c>
      <c r="EM6109" t="s">
        <v>718</v>
      </c>
      <c r="EN6109" t="s">
        <v>842</v>
      </c>
      <c r="EO6109">
        <v>13.163</v>
      </c>
    </row>
    <row r="6110" spans="142:145" x14ac:dyDescent="0.25">
      <c r="EL6110">
        <v>2012</v>
      </c>
      <c r="EM6110" t="s">
        <v>716</v>
      </c>
      <c r="EN6110" t="s">
        <v>842</v>
      </c>
      <c r="EO6110">
        <v>13.601715846994535</v>
      </c>
    </row>
    <row r="6111" spans="142:145" x14ac:dyDescent="0.25">
      <c r="EL6111">
        <v>2012</v>
      </c>
      <c r="EM6111" t="s">
        <v>708</v>
      </c>
      <c r="EN6111" t="s">
        <v>842</v>
      </c>
      <c r="EO6111">
        <v>13.602</v>
      </c>
    </row>
    <row r="6112" spans="142:145" x14ac:dyDescent="0.25">
      <c r="EL6112">
        <v>2012</v>
      </c>
      <c r="EM6112" t="s">
        <v>709</v>
      </c>
      <c r="EN6112" t="s">
        <v>842</v>
      </c>
      <c r="EO6112">
        <v>13.163</v>
      </c>
    </row>
    <row r="6113" spans="142:145" x14ac:dyDescent="0.25">
      <c r="EL6113">
        <v>2012</v>
      </c>
      <c r="EM6113" t="s">
        <v>710</v>
      </c>
      <c r="EN6113" t="s">
        <v>842</v>
      </c>
      <c r="EO6113">
        <v>13.43</v>
      </c>
    </row>
    <row r="6114" spans="142:145" x14ac:dyDescent="0.25">
      <c r="EL6114">
        <v>2012</v>
      </c>
      <c r="EM6114" t="s">
        <v>711</v>
      </c>
      <c r="EN6114" t="s">
        <v>842</v>
      </c>
      <c r="EO6114">
        <v>12.997</v>
      </c>
    </row>
    <row r="6115" spans="142:145" x14ac:dyDescent="0.25">
      <c r="EL6115">
        <v>2012</v>
      </c>
      <c r="EM6115" t="s">
        <v>712</v>
      </c>
      <c r="EN6115" t="s">
        <v>842</v>
      </c>
      <c r="EO6115">
        <v>13.430157103825136</v>
      </c>
    </row>
    <row r="6116" spans="142:145" x14ac:dyDescent="0.25">
      <c r="EL6116">
        <v>2013</v>
      </c>
      <c r="EM6116" t="s">
        <v>719</v>
      </c>
      <c r="EN6116" t="s">
        <v>842</v>
      </c>
      <c r="EO6116">
        <v>13.43</v>
      </c>
    </row>
    <row r="6117" spans="142:145" x14ac:dyDescent="0.25">
      <c r="EL6117">
        <v>2013</v>
      </c>
      <c r="EM6117" t="s">
        <v>713</v>
      </c>
      <c r="EN6117" t="s">
        <v>842</v>
      </c>
      <c r="EO6117">
        <v>12.13</v>
      </c>
    </row>
    <row r="6118" spans="142:145" x14ac:dyDescent="0.25">
      <c r="EL6118">
        <v>2013</v>
      </c>
      <c r="EM6118" t="s">
        <v>714</v>
      </c>
      <c r="EN6118" t="s">
        <v>842</v>
      </c>
      <c r="EO6118">
        <v>13.43</v>
      </c>
    </row>
    <row r="6119" spans="142:145" x14ac:dyDescent="0.25">
      <c r="EL6119">
        <v>2013</v>
      </c>
      <c r="EM6119" t="s">
        <v>705</v>
      </c>
      <c r="EN6119" t="s">
        <v>842</v>
      </c>
      <c r="EO6119">
        <v>12.997</v>
      </c>
    </row>
    <row r="6120" spans="142:145" x14ac:dyDescent="0.25">
      <c r="EL6120">
        <v>2013</v>
      </c>
      <c r="EM6120" t="s">
        <v>715</v>
      </c>
      <c r="EN6120" t="s">
        <v>842</v>
      </c>
      <c r="EO6120">
        <v>13.43</v>
      </c>
    </row>
    <row r="6121" spans="142:145" x14ac:dyDescent="0.25">
      <c r="EL6121">
        <v>2013</v>
      </c>
      <c r="EM6121" t="s">
        <v>718</v>
      </c>
      <c r="EN6121" t="s">
        <v>842</v>
      </c>
      <c r="EO6121">
        <v>12.997</v>
      </c>
    </row>
    <row r="6122" spans="142:145" x14ac:dyDescent="0.25">
      <c r="EL6122">
        <v>2013</v>
      </c>
      <c r="EM6122" t="s">
        <v>716</v>
      </c>
      <c r="EN6122" t="s">
        <v>842</v>
      </c>
      <c r="EO6122">
        <v>13.43</v>
      </c>
    </row>
    <row r="6123" spans="142:145" x14ac:dyDescent="0.25">
      <c r="EL6123">
        <v>2013</v>
      </c>
      <c r="EM6123" t="s">
        <v>708</v>
      </c>
      <c r="EN6123" t="s">
        <v>842</v>
      </c>
      <c r="EO6123">
        <v>13.43</v>
      </c>
    </row>
    <row r="6124" spans="142:145" x14ac:dyDescent="0.25">
      <c r="EL6124">
        <v>2013</v>
      </c>
      <c r="EM6124" t="s">
        <v>709</v>
      </c>
      <c r="EN6124" t="s">
        <v>842</v>
      </c>
      <c r="EO6124">
        <v>12.997</v>
      </c>
    </row>
    <row r="6125" spans="142:145" x14ac:dyDescent="0.25">
      <c r="EL6125">
        <v>2013</v>
      </c>
      <c r="EM6125" t="s">
        <v>710</v>
      </c>
      <c r="EN6125" t="s">
        <v>842</v>
      </c>
      <c r="EO6125">
        <v>13.614000000000001</v>
      </c>
    </row>
    <row r="6126" spans="142:145" x14ac:dyDescent="0.25">
      <c r="EL6126">
        <v>2013</v>
      </c>
      <c r="EM6126" t="s">
        <v>711</v>
      </c>
      <c r="EN6126" t="s">
        <v>842</v>
      </c>
      <c r="EO6126">
        <v>13.173999999999999</v>
      </c>
    </row>
    <row r="6127" spans="142:145" x14ac:dyDescent="0.25">
      <c r="EL6127">
        <v>2013</v>
      </c>
      <c r="EM6127" t="s">
        <v>712</v>
      </c>
      <c r="EN6127" t="s">
        <v>842</v>
      </c>
      <c r="EO6127">
        <v>13.614000000000001</v>
      </c>
    </row>
    <row r="6128" spans="142:145" x14ac:dyDescent="0.25">
      <c r="EL6128">
        <v>2014</v>
      </c>
      <c r="EM6128" t="s">
        <v>719</v>
      </c>
      <c r="EN6128" t="s">
        <v>842</v>
      </c>
      <c r="EO6128">
        <v>13.614000000000001</v>
      </c>
    </row>
    <row r="6129" spans="142:145" x14ac:dyDescent="0.25">
      <c r="EL6129">
        <v>2014</v>
      </c>
      <c r="EM6129" t="s">
        <v>713</v>
      </c>
      <c r="EN6129" t="s">
        <v>842</v>
      </c>
      <c r="EO6129">
        <v>12.295999999999999</v>
      </c>
    </row>
    <row r="6130" spans="142:145" x14ac:dyDescent="0.25">
      <c r="EL6130">
        <v>2014</v>
      </c>
      <c r="EM6130" t="s">
        <v>714</v>
      </c>
      <c r="EN6130" t="s">
        <v>842</v>
      </c>
      <c r="EO6130">
        <v>13.614000000000001</v>
      </c>
    </row>
    <row r="6131" spans="142:145" x14ac:dyDescent="0.25">
      <c r="EL6131">
        <v>2014</v>
      </c>
      <c r="EM6131" t="s">
        <v>705</v>
      </c>
      <c r="EN6131" t="s">
        <v>842</v>
      </c>
      <c r="EO6131">
        <v>13.173999999999999</v>
      </c>
    </row>
    <row r="6132" spans="142:145" x14ac:dyDescent="0.25">
      <c r="EL6132">
        <v>2014</v>
      </c>
      <c r="EM6132" t="s">
        <v>715</v>
      </c>
      <c r="EN6132" t="s">
        <v>842</v>
      </c>
      <c r="EO6132">
        <v>13.614000000000001</v>
      </c>
    </row>
    <row r="6133" spans="142:145" x14ac:dyDescent="0.25">
      <c r="EL6133">
        <v>2014</v>
      </c>
      <c r="EM6133" t="s">
        <v>718</v>
      </c>
      <c r="EN6133" t="s">
        <v>842</v>
      </c>
      <c r="EO6133">
        <v>13.173999999999999</v>
      </c>
    </row>
    <row r="6134" spans="142:145" x14ac:dyDescent="0.25">
      <c r="EL6134">
        <v>2014</v>
      </c>
      <c r="EM6134" t="s">
        <v>716</v>
      </c>
      <c r="EN6134" t="s">
        <v>842</v>
      </c>
      <c r="EO6134">
        <v>13.614000000000001</v>
      </c>
    </row>
    <row r="6135" spans="142:145" x14ac:dyDescent="0.25">
      <c r="EL6135">
        <v>2014</v>
      </c>
      <c r="EM6135" t="s">
        <v>708</v>
      </c>
      <c r="EN6135" t="s">
        <v>842</v>
      </c>
      <c r="EO6135">
        <v>13.614000000000001</v>
      </c>
    </row>
    <row r="6136" spans="142:145" x14ac:dyDescent="0.25">
      <c r="EL6136">
        <v>2014</v>
      </c>
      <c r="EM6136" t="s">
        <v>709</v>
      </c>
      <c r="EN6136" t="s">
        <v>842</v>
      </c>
      <c r="EO6136">
        <v>13.173999999999999</v>
      </c>
    </row>
    <row r="6137" spans="142:145" x14ac:dyDescent="0.25">
      <c r="EL6137">
        <v>2014</v>
      </c>
      <c r="EM6137" t="s">
        <v>710</v>
      </c>
      <c r="EN6137" t="s">
        <v>842</v>
      </c>
      <c r="EO6137">
        <v>14.06</v>
      </c>
    </row>
    <row r="6138" spans="142:145" x14ac:dyDescent="0.25">
      <c r="EL6138">
        <v>2014</v>
      </c>
      <c r="EM6138" t="s">
        <v>711</v>
      </c>
      <c r="EN6138" t="s">
        <v>842</v>
      </c>
      <c r="EO6138">
        <v>13.6</v>
      </c>
    </row>
    <row r="6139" spans="142:145" x14ac:dyDescent="0.25">
      <c r="EL6139">
        <v>2014</v>
      </c>
      <c r="EM6139" t="s">
        <v>712</v>
      </c>
      <c r="EN6139" t="s">
        <v>842</v>
      </c>
      <c r="EO6139">
        <v>14.06</v>
      </c>
    </row>
    <row r="6140" spans="142:145" x14ac:dyDescent="0.25">
      <c r="EL6140">
        <v>2015</v>
      </c>
      <c r="EM6140" t="s">
        <v>719</v>
      </c>
      <c r="EN6140" t="s">
        <v>842</v>
      </c>
      <c r="EO6140">
        <v>14.06</v>
      </c>
    </row>
    <row r="6141" spans="142:145" x14ac:dyDescent="0.25">
      <c r="EL6141">
        <v>2015</v>
      </c>
      <c r="EM6141" t="s">
        <v>713</v>
      </c>
      <c r="EN6141" t="s">
        <v>842</v>
      </c>
      <c r="EO6141">
        <v>12.7</v>
      </c>
    </row>
    <row r="6142" spans="142:145" x14ac:dyDescent="0.25">
      <c r="EL6142">
        <v>2015</v>
      </c>
      <c r="EM6142" t="s">
        <v>714</v>
      </c>
      <c r="EN6142" t="s">
        <v>842</v>
      </c>
      <c r="EO6142">
        <v>14.06</v>
      </c>
    </row>
    <row r="6143" spans="142:145" x14ac:dyDescent="0.25">
      <c r="EL6143">
        <v>2015</v>
      </c>
      <c r="EM6143" t="s">
        <v>705</v>
      </c>
      <c r="EN6143" t="s">
        <v>842</v>
      </c>
      <c r="EO6143">
        <v>13.6</v>
      </c>
    </row>
    <row r="6144" spans="142:145" x14ac:dyDescent="0.25">
      <c r="EL6144">
        <v>2015</v>
      </c>
      <c r="EM6144" t="s">
        <v>715</v>
      </c>
      <c r="EN6144" t="s">
        <v>842</v>
      </c>
      <c r="EO6144">
        <v>14.06</v>
      </c>
    </row>
    <row r="6145" spans="142:145" x14ac:dyDescent="0.25">
      <c r="EL6145">
        <v>2015</v>
      </c>
      <c r="EM6145" t="s">
        <v>718</v>
      </c>
      <c r="EN6145" t="s">
        <v>842</v>
      </c>
      <c r="EO6145">
        <v>13.6</v>
      </c>
    </row>
    <row r="6146" spans="142:145" x14ac:dyDescent="0.25">
      <c r="EL6146">
        <v>2015</v>
      </c>
      <c r="EM6146" t="s">
        <v>716</v>
      </c>
      <c r="EN6146" t="s">
        <v>842</v>
      </c>
      <c r="EO6146">
        <v>14.06</v>
      </c>
    </row>
    <row r="6147" spans="142:145" x14ac:dyDescent="0.25">
      <c r="EL6147">
        <v>2015</v>
      </c>
      <c r="EM6147" t="s">
        <v>708</v>
      </c>
      <c r="EN6147" t="s">
        <v>842</v>
      </c>
      <c r="EO6147">
        <v>14.06</v>
      </c>
    </row>
    <row r="6148" spans="142:145" x14ac:dyDescent="0.25">
      <c r="EL6148">
        <v>2015</v>
      </c>
      <c r="EM6148" t="s">
        <v>709</v>
      </c>
      <c r="EN6148" t="s">
        <v>842</v>
      </c>
      <c r="EO6148">
        <v>13.6</v>
      </c>
    </row>
    <row r="6149" spans="142:145" x14ac:dyDescent="0.25">
      <c r="EL6149">
        <v>2015</v>
      </c>
      <c r="EM6149" t="s">
        <v>710</v>
      </c>
      <c r="EN6149" t="s">
        <v>842</v>
      </c>
      <c r="EO6149">
        <v>21.6</v>
      </c>
    </row>
    <row r="6150" spans="142:145" x14ac:dyDescent="0.25">
      <c r="EL6150">
        <v>2015</v>
      </c>
      <c r="EM6150" t="s">
        <v>711</v>
      </c>
      <c r="EN6150" t="s">
        <v>842</v>
      </c>
      <c r="EO6150">
        <v>20.9</v>
      </c>
    </row>
    <row r="6151" spans="142:145" x14ac:dyDescent="0.25">
      <c r="EL6151">
        <v>2015</v>
      </c>
      <c r="EM6151" t="s">
        <v>712</v>
      </c>
      <c r="EN6151" t="s">
        <v>842</v>
      </c>
      <c r="EO6151">
        <v>21.6</v>
      </c>
    </row>
    <row r="6152" spans="142:145" x14ac:dyDescent="0.25">
      <c r="EL6152">
        <v>2016</v>
      </c>
      <c r="EM6152" t="s">
        <v>719</v>
      </c>
      <c r="EN6152" t="s">
        <v>842</v>
      </c>
      <c r="EO6152">
        <v>21.6</v>
      </c>
    </row>
    <row r="6153" spans="142:145" x14ac:dyDescent="0.25">
      <c r="EL6153">
        <v>2016</v>
      </c>
      <c r="EM6153" t="s">
        <v>713</v>
      </c>
      <c r="EN6153" t="s">
        <v>842</v>
      </c>
      <c r="EO6153">
        <v>20.2</v>
      </c>
    </row>
    <row r="6154" spans="142:145" x14ac:dyDescent="0.25">
      <c r="EL6154">
        <v>2016</v>
      </c>
      <c r="EM6154" t="s">
        <v>714</v>
      </c>
      <c r="EN6154" t="s">
        <v>842</v>
      </c>
      <c r="EO6154">
        <v>21.6</v>
      </c>
    </row>
    <row r="6155" spans="142:145" x14ac:dyDescent="0.25">
      <c r="EL6155">
        <v>2016</v>
      </c>
      <c r="EM6155" t="s">
        <v>705</v>
      </c>
      <c r="EN6155" t="s">
        <v>842</v>
      </c>
      <c r="EO6155">
        <v>20.9</v>
      </c>
    </row>
    <row r="6156" spans="142:145" x14ac:dyDescent="0.25">
      <c r="EL6156">
        <v>2016</v>
      </c>
      <c r="EM6156" t="s">
        <v>715</v>
      </c>
      <c r="EN6156" t="s">
        <v>842</v>
      </c>
      <c r="EO6156">
        <v>21.54</v>
      </c>
    </row>
    <row r="6157" spans="142:145" x14ac:dyDescent="0.25">
      <c r="EL6157">
        <v>2016</v>
      </c>
      <c r="EM6157" t="s">
        <v>718</v>
      </c>
      <c r="EN6157" t="s">
        <v>842</v>
      </c>
      <c r="EO6157">
        <v>20.84</v>
      </c>
    </row>
    <row r="6158" spans="142:145" x14ac:dyDescent="0.25">
      <c r="EL6158">
        <v>2016</v>
      </c>
      <c r="EM6158" t="s">
        <v>716</v>
      </c>
      <c r="EN6158" t="s">
        <v>842</v>
      </c>
      <c r="EO6158">
        <v>21.54</v>
      </c>
    </row>
    <row r="6159" spans="142:145" x14ac:dyDescent="0.25">
      <c r="EL6159">
        <v>2016</v>
      </c>
      <c r="EM6159" t="s">
        <v>708</v>
      </c>
      <c r="EN6159" t="s">
        <v>842</v>
      </c>
      <c r="EO6159">
        <v>21.54</v>
      </c>
    </row>
    <row r="6160" spans="142:145" x14ac:dyDescent="0.25">
      <c r="EL6160">
        <v>2016</v>
      </c>
      <c r="EM6160" t="s">
        <v>709</v>
      </c>
      <c r="EN6160" t="s">
        <v>842</v>
      </c>
      <c r="EO6160">
        <v>20.84</v>
      </c>
    </row>
    <row r="6161" spans="142:145" x14ac:dyDescent="0.25">
      <c r="EL6161">
        <v>2016</v>
      </c>
      <c r="EM6161" t="s">
        <v>710</v>
      </c>
      <c r="EN6161" t="s">
        <v>842</v>
      </c>
      <c r="EO6161">
        <v>24.91</v>
      </c>
    </row>
    <row r="6162" spans="142:145" x14ac:dyDescent="0.25">
      <c r="EL6162">
        <v>2016</v>
      </c>
      <c r="EM6162" t="s">
        <v>711</v>
      </c>
      <c r="EN6162" t="s">
        <v>842</v>
      </c>
      <c r="EO6162">
        <v>24.11</v>
      </c>
    </row>
    <row r="6163" spans="142:145" x14ac:dyDescent="0.25">
      <c r="EL6163">
        <v>2016</v>
      </c>
      <c r="EM6163" t="s">
        <v>712</v>
      </c>
      <c r="EN6163" t="s">
        <v>842</v>
      </c>
      <c r="EO6163">
        <v>24.91</v>
      </c>
    </row>
    <row r="6164" spans="142:145" x14ac:dyDescent="0.25">
      <c r="EL6164">
        <v>2017</v>
      </c>
      <c r="EM6164" t="s">
        <v>719</v>
      </c>
      <c r="EN6164" t="s">
        <v>842</v>
      </c>
      <c r="EO6164">
        <v>24.91</v>
      </c>
    </row>
    <row r="6165" spans="142:145" x14ac:dyDescent="0.25">
      <c r="EL6165">
        <v>2017</v>
      </c>
      <c r="EM6165" t="s">
        <v>713</v>
      </c>
      <c r="EN6165" t="s">
        <v>842</v>
      </c>
      <c r="EO6165">
        <v>22.5</v>
      </c>
    </row>
    <row r="6166" spans="142:145" x14ac:dyDescent="0.25">
      <c r="EL6166">
        <v>2017</v>
      </c>
      <c r="EM6166" t="s">
        <v>714</v>
      </c>
      <c r="EN6166" t="s">
        <v>842</v>
      </c>
      <c r="EO6166">
        <v>24.91</v>
      </c>
    </row>
    <row r="6167" spans="142:145" x14ac:dyDescent="0.25">
      <c r="EL6167">
        <v>2017</v>
      </c>
      <c r="EM6167" t="s">
        <v>705</v>
      </c>
      <c r="EN6167" t="s">
        <v>842</v>
      </c>
      <c r="EO6167">
        <v>24.11</v>
      </c>
    </row>
    <row r="6168" spans="142:145" x14ac:dyDescent="0.25">
      <c r="EL6168">
        <v>2017</v>
      </c>
      <c r="EM6168" t="s">
        <v>715</v>
      </c>
      <c r="EN6168" t="s">
        <v>842</v>
      </c>
      <c r="EO6168">
        <v>24.91</v>
      </c>
    </row>
    <row r="6169" spans="142:145" x14ac:dyDescent="0.25">
      <c r="EL6169">
        <v>2017</v>
      </c>
      <c r="EM6169" t="s">
        <v>718</v>
      </c>
      <c r="EN6169" t="s">
        <v>842</v>
      </c>
      <c r="EO6169">
        <v>24.11</v>
      </c>
    </row>
    <row r="6170" spans="142:145" x14ac:dyDescent="0.25">
      <c r="EL6170">
        <v>2017</v>
      </c>
      <c r="EM6170" t="s">
        <v>716</v>
      </c>
      <c r="EN6170" t="s">
        <v>842</v>
      </c>
      <c r="EO6170">
        <v>24.91</v>
      </c>
    </row>
    <row r="6171" spans="142:145" x14ac:dyDescent="0.25">
      <c r="EL6171">
        <v>2017</v>
      </c>
      <c r="EM6171" t="s">
        <v>708</v>
      </c>
      <c r="EN6171" t="s">
        <v>842</v>
      </c>
      <c r="EO6171">
        <v>24.91</v>
      </c>
    </row>
    <row r="6172" spans="142:145" x14ac:dyDescent="0.25">
      <c r="EL6172">
        <v>2017</v>
      </c>
      <c r="EM6172" t="s">
        <v>709</v>
      </c>
      <c r="EN6172" t="s">
        <v>842</v>
      </c>
      <c r="EO6172">
        <v>24.11</v>
      </c>
    </row>
    <row r="6173" spans="142:145" x14ac:dyDescent="0.25">
      <c r="EL6173">
        <v>2017</v>
      </c>
      <c r="EM6173" t="s">
        <v>710</v>
      </c>
      <c r="EN6173" t="s">
        <v>842</v>
      </c>
      <c r="EO6173">
        <v>26.3</v>
      </c>
    </row>
    <row r="6174" spans="142:145" x14ac:dyDescent="0.25">
      <c r="EL6174">
        <v>2017</v>
      </c>
      <c r="EM6174" t="s">
        <v>711</v>
      </c>
      <c r="EN6174" t="s">
        <v>842</v>
      </c>
      <c r="EO6174">
        <v>25.45</v>
      </c>
    </row>
    <row r="6175" spans="142:145" x14ac:dyDescent="0.25">
      <c r="EL6175">
        <v>2017</v>
      </c>
      <c r="EM6175" t="s">
        <v>712</v>
      </c>
      <c r="EN6175" t="s">
        <v>842</v>
      </c>
      <c r="EO6175">
        <v>26.3</v>
      </c>
    </row>
    <row r="6176" spans="142:145" x14ac:dyDescent="0.25">
      <c r="EL6176">
        <v>2018</v>
      </c>
      <c r="EM6176" t="s">
        <v>719</v>
      </c>
      <c r="EN6176" t="s">
        <v>842</v>
      </c>
      <c r="EO6176">
        <v>26.3</v>
      </c>
    </row>
    <row r="6177" spans="142:145" x14ac:dyDescent="0.25">
      <c r="EL6177">
        <v>2018</v>
      </c>
      <c r="EM6177" t="s">
        <v>713</v>
      </c>
      <c r="EN6177" t="s">
        <v>842</v>
      </c>
      <c r="EO6177">
        <v>23.76</v>
      </c>
    </row>
    <row r="6178" spans="142:145" x14ac:dyDescent="0.25">
      <c r="EL6178">
        <v>2018</v>
      </c>
      <c r="EM6178" t="s">
        <v>714</v>
      </c>
      <c r="EN6178" t="s">
        <v>842</v>
      </c>
      <c r="EO6178">
        <v>26.3</v>
      </c>
    </row>
    <row r="6179" spans="142:145" x14ac:dyDescent="0.25">
      <c r="EL6179">
        <v>2018</v>
      </c>
      <c r="EM6179" t="s">
        <v>705</v>
      </c>
      <c r="EN6179" t="s">
        <v>842</v>
      </c>
      <c r="EO6179">
        <v>25.45</v>
      </c>
    </row>
    <row r="6180" spans="142:145" x14ac:dyDescent="0.25">
      <c r="EL6180">
        <v>2018</v>
      </c>
      <c r="EM6180" t="s">
        <v>715</v>
      </c>
      <c r="EN6180" t="s">
        <v>842</v>
      </c>
      <c r="EO6180">
        <v>26.3</v>
      </c>
    </row>
    <row r="6181" spans="142:145" x14ac:dyDescent="0.25">
      <c r="EL6181">
        <v>2018</v>
      </c>
      <c r="EM6181" t="s">
        <v>718</v>
      </c>
      <c r="EN6181" t="s">
        <v>842</v>
      </c>
      <c r="EO6181">
        <v>25.45</v>
      </c>
    </row>
    <row r="6182" spans="142:145" x14ac:dyDescent="0.25">
      <c r="EL6182">
        <v>2018</v>
      </c>
      <c r="EM6182" t="s">
        <v>716</v>
      </c>
      <c r="EN6182" t="s">
        <v>842</v>
      </c>
      <c r="EO6182">
        <v>26.3</v>
      </c>
    </row>
    <row r="6183" spans="142:145" x14ac:dyDescent="0.25">
      <c r="EL6183">
        <v>2018</v>
      </c>
      <c r="EM6183" t="s">
        <v>708</v>
      </c>
      <c r="EN6183" t="s">
        <v>842</v>
      </c>
      <c r="EO6183">
        <v>26.3</v>
      </c>
    </row>
    <row r="6184" spans="142:145" x14ac:dyDescent="0.25">
      <c r="EL6184">
        <v>2018</v>
      </c>
      <c r="EM6184" t="s">
        <v>709</v>
      </c>
      <c r="EN6184" t="s">
        <v>842</v>
      </c>
      <c r="EO6184">
        <v>25.45</v>
      </c>
    </row>
    <row r="6185" spans="142:145" x14ac:dyDescent="0.25">
      <c r="EL6185">
        <v>2018</v>
      </c>
      <c r="EM6185" t="s">
        <v>710</v>
      </c>
      <c r="EN6185" t="s">
        <v>842</v>
      </c>
      <c r="EO6185">
        <v>26.13</v>
      </c>
    </row>
    <row r="6186" spans="142:145" x14ac:dyDescent="0.25">
      <c r="EL6186">
        <v>2018</v>
      </c>
      <c r="EM6186" t="s">
        <v>711</v>
      </c>
      <c r="EN6186" t="s">
        <v>842</v>
      </c>
      <c r="EO6186">
        <v>25.45</v>
      </c>
    </row>
    <row r="6187" spans="142:145" x14ac:dyDescent="0.25">
      <c r="EL6187">
        <v>2018</v>
      </c>
      <c r="EM6187" t="s">
        <v>712</v>
      </c>
      <c r="EN6187" t="s">
        <v>842</v>
      </c>
      <c r="EO6187">
        <v>26.3</v>
      </c>
    </row>
    <row r="6188" spans="142:145" x14ac:dyDescent="0.25">
      <c r="EL6188">
        <v>2019</v>
      </c>
      <c r="EM6188" t="s">
        <v>719</v>
      </c>
      <c r="EN6188" t="s">
        <v>842</v>
      </c>
      <c r="EO6188">
        <v>26.13</v>
      </c>
    </row>
    <row r="6189" spans="142:145" x14ac:dyDescent="0.25">
      <c r="EL6189">
        <v>2019</v>
      </c>
      <c r="EM6189" t="s">
        <v>713</v>
      </c>
      <c r="EN6189" t="s">
        <v>842</v>
      </c>
      <c r="EO6189">
        <v>23.6</v>
      </c>
    </row>
    <row r="6190" spans="142:145" x14ac:dyDescent="0.25">
      <c r="EL6190">
        <v>2019</v>
      </c>
      <c r="EM6190" t="s">
        <v>714</v>
      </c>
      <c r="EN6190" t="s">
        <v>842</v>
      </c>
      <c r="EO6190">
        <v>26.13</v>
      </c>
    </row>
    <row r="6191" spans="142:145" x14ac:dyDescent="0.25">
      <c r="EL6191">
        <v>2019</v>
      </c>
      <c r="EM6191" t="s">
        <v>705</v>
      </c>
      <c r="EN6191" t="s">
        <v>842</v>
      </c>
      <c r="EO6191">
        <v>25.29</v>
      </c>
    </row>
    <row r="6192" spans="142:145" x14ac:dyDescent="0.25">
      <c r="EL6192">
        <v>2019</v>
      </c>
      <c r="EM6192" t="s">
        <v>715</v>
      </c>
      <c r="EN6192" t="s">
        <v>842</v>
      </c>
      <c r="EO6192">
        <v>26.13</v>
      </c>
    </row>
    <row r="6193" spans="142:145" x14ac:dyDescent="0.25">
      <c r="EL6193">
        <v>2019</v>
      </c>
      <c r="EM6193" t="s">
        <v>718</v>
      </c>
      <c r="EN6193" t="s">
        <v>842</v>
      </c>
      <c r="EO6193">
        <v>25.29</v>
      </c>
    </row>
    <row r="6194" spans="142:145" x14ac:dyDescent="0.25">
      <c r="EL6194">
        <v>2019</v>
      </c>
      <c r="EM6194" t="s">
        <v>716</v>
      </c>
      <c r="EN6194" t="s">
        <v>842</v>
      </c>
      <c r="EO6194">
        <v>26.13</v>
      </c>
    </row>
    <row r="6195" spans="142:145" x14ac:dyDescent="0.25">
      <c r="EL6195">
        <v>2019</v>
      </c>
      <c r="EM6195" t="s">
        <v>708</v>
      </c>
      <c r="EN6195" t="s">
        <v>842</v>
      </c>
      <c r="EO6195">
        <v>26.13</v>
      </c>
    </row>
    <row r="6196" spans="142:145" x14ac:dyDescent="0.25">
      <c r="EL6196">
        <v>2019</v>
      </c>
      <c r="EM6196" t="s">
        <v>709</v>
      </c>
      <c r="EN6196" t="s">
        <v>842</v>
      </c>
      <c r="EO6196">
        <v>25.29</v>
      </c>
    </row>
    <row r="6197" spans="142:145" x14ac:dyDescent="0.25">
      <c r="EL6197">
        <v>2019</v>
      </c>
      <c r="EM6197" t="s">
        <v>710</v>
      </c>
      <c r="EN6197" t="s">
        <v>842</v>
      </c>
      <c r="EO6197">
        <v>30.22</v>
      </c>
    </row>
    <row r="6198" spans="142:145" x14ac:dyDescent="0.25">
      <c r="EL6198">
        <v>2019</v>
      </c>
      <c r="EM6198" t="s">
        <v>711</v>
      </c>
      <c r="EN6198" t="s">
        <v>842</v>
      </c>
      <c r="EO6198">
        <v>29.25</v>
      </c>
    </row>
    <row r="6199" spans="142:145" x14ac:dyDescent="0.25">
      <c r="EL6199">
        <v>2019</v>
      </c>
      <c r="EM6199" t="s">
        <v>712</v>
      </c>
      <c r="EN6199" t="s">
        <v>842</v>
      </c>
      <c r="EO6199">
        <v>30.22</v>
      </c>
    </row>
    <row r="6200" spans="142:145" x14ac:dyDescent="0.25">
      <c r="EL6200">
        <v>2020</v>
      </c>
      <c r="EM6200" t="s">
        <v>719</v>
      </c>
      <c r="EN6200" t="s">
        <v>842</v>
      </c>
      <c r="EO6200">
        <v>30.22</v>
      </c>
    </row>
    <row r="6201" spans="142:145" x14ac:dyDescent="0.25">
      <c r="EL6201">
        <v>2020</v>
      </c>
      <c r="EM6201" t="s">
        <v>713</v>
      </c>
      <c r="EN6201" t="s">
        <v>842</v>
      </c>
      <c r="EO6201">
        <v>28.27</v>
      </c>
    </row>
    <row r="6202" spans="142:145" x14ac:dyDescent="0.25">
      <c r="EL6202">
        <v>2020</v>
      </c>
      <c r="EM6202" t="s">
        <v>714</v>
      </c>
      <c r="EN6202" t="s">
        <v>842</v>
      </c>
      <c r="EO6202">
        <v>30.22</v>
      </c>
    </row>
    <row r="6203" spans="142:145" x14ac:dyDescent="0.25">
      <c r="EL6203">
        <v>2020</v>
      </c>
      <c r="EM6203" t="s">
        <v>705</v>
      </c>
      <c r="EN6203" t="s">
        <v>842</v>
      </c>
      <c r="EO6203">
        <v>29.25</v>
      </c>
    </row>
    <row r="6204" spans="142:145" x14ac:dyDescent="0.25">
      <c r="EL6204">
        <v>2020</v>
      </c>
      <c r="EM6204" t="s">
        <v>715</v>
      </c>
      <c r="EN6204" t="s">
        <v>842</v>
      </c>
      <c r="EO6204">
        <v>30.22</v>
      </c>
    </row>
    <row r="6205" spans="142:145" x14ac:dyDescent="0.25">
      <c r="EL6205">
        <v>2020</v>
      </c>
      <c r="EM6205" t="s">
        <v>718</v>
      </c>
      <c r="EN6205" t="s">
        <v>842</v>
      </c>
      <c r="EO6205">
        <v>29.25</v>
      </c>
    </row>
    <row r="6206" spans="142:145" x14ac:dyDescent="0.25">
      <c r="EL6206">
        <v>2020</v>
      </c>
      <c r="EM6206" t="s">
        <v>716</v>
      </c>
      <c r="EN6206" t="s">
        <v>842</v>
      </c>
      <c r="EO6206">
        <v>30.22</v>
      </c>
    </row>
    <row r="6207" spans="142:145" x14ac:dyDescent="0.25">
      <c r="EL6207">
        <v>2020</v>
      </c>
      <c r="EM6207" t="s">
        <v>708</v>
      </c>
      <c r="EN6207" t="s">
        <v>842</v>
      </c>
      <c r="EO6207">
        <v>30.22</v>
      </c>
    </row>
    <row r="6208" spans="142:145" x14ac:dyDescent="0.25">
      <c r="EL6208">
        <v>2020</v>
      </c>
      <c r="EM6208" t="s">
        <v>709</v>
      </c>
      <c r="EN6208" t="s">
        <v>842</v>
      </c>
      <c r="EO6208">
        <v>29.25</v>
      </c>
    </row>
    <row r="6209" spans="142:145" x14ac:dyDescent="0.25">
      <c r="EL6209">
        <v>2020</v>
      </c>
      <c r="EM6209" t="s">
        <v>710</v>
      </c>
      <c r="EN6209" t="s">
        <v>842</v>
      </c>
      <c r="EO6209">
        <v>29.1</v>
      </c>
    </row>
    <row r="6210" spans="142:145" x14ac:dyDescent="0.25">
      <c r="EL6210">
        <v>2020</v>
      </c>
      <c r="EM6210" t="s">
        <v>711</v>
      </c>
      <c r="EN6210" t="s">
        <v>842</v>
      </c>
      <c r="EO6210">
        <v>28.17</v>
      </c>
    </row>
    <row r="6211" spans="142:145" x14ac:dyDescent="0.25">
      <c r="EL6211">
        <v>2020</v>
      </c>
      <c r="EM6211" t="s">
        <v>712</v>
      </c>
      <c r="EN6211" t="s">
        <v>842</v>
      </c>
      <c r="EO6211">
        <v>29.1</v>
      </c>
    </row>
    <row r="6212" spans="142:145" x14ac:dyDescent="0.25">
      <c r="EL6212">
        <v>2021</v>
      </c>
      <c r="EM6212" t="s">
        <v>719</v>
      </c>
      <c r="EN6212" t="s">
        <v>842</v>
      </c>
      <c r="EO6212">
        <v>29.1</v>
      </c>
    </row>
    <row r="6213" spans="142:145" x14ac:dyDescent="0.25">
      <c r="EL6213">
        <v>2021</v>
      </c>
      <c r="EM6213" t="s">
        <v>713</v>
      </c>
      <c r="EN6213" t="s">
        <v>842</v>
      </c>
      <c r="EO6213">
        <v>26.29</v>
      </c>
    </row>
    <row r="6214" spans="142:145" x14ac:dyDescent="0.25">
      <c r="EL6214">
        <v>2021</v>
      </c>
      <c r="EM6214" t="s">
        <v>714</v>
      </c>
      <c r="EN6214" t="s">
        <v>842</v>
      </c>
      <c r="EO6214">
        <v>29.1</v>
      </c>
    </row>
    <row r="6215" spans="142:145" x14ac:dyDescent="0.25">
      <c r="EL6215">
        <v>2021</v>
      </c>
      <c r="EM6215" t="s">
        <v>705</v>
      </c>
      <c r="EN6215" t="s">
        <v>842</v>
      </c>
      <c r="EO6215">
        <v>28.17</v>
      </c>
    </row>
    <row r="6216" spans="142:145" x14ac:dyDescent="0.25">
      <c r="EL6216">
        <v>2021</v>
      </c>
      <c r="EM6216" t="s">
        <v>715</v>
      </c>
      <c r="EN6216" t="s">
        <v>842</v>
      </c>
      <c r="EO6216">
        <v>29.1</v>
      </c>
    </row>
    <row r="6217" spans="142:145" x14ac:dyDescent="0.25">
      <c r="EL6217">
        <v>2021</v>
      </c>
      <c r="EM6217" t="s">
        <v>718</v>
      </c>
      <c r="EN6217" t="s">
        <v>842</v>
      </c>
      <c r="EO6217">
        <v>28.17</v>
      </c>
    </row>
    <row r="6218" spans="142:145" x14ac:dyDescent="0.25">
      <c r="EL6218">
        <v>2021</v>
      </c>
      <c r="EM6218" t="s">
        <v>716</v>
      </c>
      <c r="EN6218" t="s">
        <v>842</v>
      </c>
      <c r="EO6218">
        <v>29.1</v>
      </c>
    </row>
    <row r="6219" spans="142:145" x14ac:dyDescent="0.25">
      <c r="EL6219">
        <v>2021</v>
      </c>
      <c r="EM6219" t="s">
        <v>708</v>
      </c>
      <c r="EN6219" t="s">
        <v>842</v>
      </c>
      <c r="EO6219">
        <v>29.1</v>
      </c>
    </row>
    <row r="6220" spans="142:145" x14ac:dyDescent="0.25">
      <c r="EL6220">
        <v>2021</v>
      </c>
      <c r="EM6220" t="s">
        <v>709</v>
      </c>
      <c r="EN6220" t="s">
        <v>842</v>
      </c>
      <c r="EO6220">
        <v>28.17</v>
      </c>
    </row>
    <row r="6221" spans="142:145" x14ac:dyDescent="0.25">
      <c r="EL6221">
        <v>2021</v>
      </c>
      <c r="EM6221" t="s">
        <v>710</v>
      </c>
      <c r="EN6221" t="s">
        <v>842</v>
      </c>
      <c r="EO6221">
        <v>26.34</v>
      </c>
    </row>
    <row r="6222" spans="142:145" x14ac:dyDescent="0.25">
      <c r="EL6222">
        <v>2021</v>
      </c>
      <c r="EM6222" t="s">
        <v>711</v>
      </c>
      <c r="EN6222" t="s">
        <v>842</v>
      </c>
      <c r="EO6222">
        <v>25.49</v>
      </c>
    </row>
    <row r="6223" spans="142:145" x14ac:dyDescent="0.25">
      <c r="EL6223">
        <v>2021</v>
      </c>
      <c r="EM6223" t="s">
        <v>712</v>
      </c>
      <c r="EN6223" t="s">
        <v>842</v>
      </c>
      <c r="EO6223">
        <v>26.34</v>
      </c>
    </row>
    <row r="6224" spans="142:145" x14ac:dyDescent="0.25">
      <c r="EL6224">
        <v>2022</v>
      </c>
      <c r="EM6224" t="s">
        <v>719</v>
      </c>
      <c r="EN6224" t="s">
        <v>842</v>
      </c>
      <c r="EO6224">
        <v>26.34</v>
      </c>
    </row>
    <row r="6225" spans="142:145" x14ac:dyDescent="0.25">
      <c r="EL6225">
        <v>2022</v>
      </c>
      <c r="EM6225" t="s">
        <v>713</v>
      </c>
      <c r="EN6225" t="s">
        <v>842</v>
      </c>
      <c r="EO6225">
        <v>23.79</v>
      </c>
    </row>
    <row r="6226" spans="142:145" x14ac:dyDescent="0.25">
      <c r="EL6226">
        <v>2022</v>
      </c>
      <c r="EM6226" t="s">
        <v>714</v>
      </c>
      <c r="EN6226" t="s">
        <v>842</v>
      </c>
      <c r="EO6226">
        <v>26.34</v>
      </c>
    </row>
    <row r="6227" spans="142:145" x14ac:dyDescent="0.25">
      <c r="EL6227">
        <v>2022</v>
      </c>
      <c r="EM6227" t="s">
        <v>705</v>
      </c>
      <c r="EN6227" t="s">
        <v>842</v>
      </c>
      <c r="EO6227">
        <v>25.49</v>
      </c>
    </row>
    <row r="6228" spans="142:145" x14ac:dyDescent="0.25">
      <c r="EL6228">
        <v>2022</v>
      </c>
      <c r="EM6228" t="s">
        <v>715</v>
      </c>
      <c r="EN6228" t="s">
        <v>842</v>
      </c>
      <c r="EO6228">
        <v>26.34</v>
      </c>
    </row>
    <row r="6229" spans="142:145" x14ac:dyDescent="0.25">
      <c r="EL6229">
        <v>2022</v>
      </c>
      <c r="EM6229" t="s">
        <v>718</v>
      </c>
      <c r="EN6229" t="s">
        <v>842</v>
      </c>
      <c r="EO6229">
        <v>25.49</v>
      </c>
    </row>
    <row r="6230" spans="142:145" x14ac:dyDescent="0.25">
      <c r="EL6230">
        <v>2022</v>
      </c>
      <c r="EM6230" t="s">
        <v>716</v>
      </c>
      <c r="EN6230" t="s">
        <v>842</v>
      </c>
      <c r="EO6230">
        <v>26.34</v>
      </c>
    </row>
    <row r="6231" spans="142:145" x14ac:dyDescent="0.25">
      <c r="EL6231">
        <v>2022</v>
      </c>
      <c r="EM6231" t="s">
        <v>708</v>
      </c>
      <c r="EN6231" t="s">
        <v>842</v>
      </c>
      <c r="EO6231">
        <v>26.34</v>
      </c>
    </row>
    <row r="6232" spans="142:145" x14ac:dyDescent="0.25">
      <c r="EL6232">
        <v>2022</v>
      </c>
      <c r="EM6232" t="s">
        <v>709</v>
      </c>
      <c r="EN6232" t="s">
        <v>842</v>
      </c>
      <c r="EO6232">
        <v>25.49</v>
      </c>
    </row>
    <row r="6233" spans="142:145" x14ac:dyDescent="0.25">
      <c r="EL6233">
        <v>2022</v>
      </c>
      <c r="EM6233" t="s">
        <v>710</v>
      </c>
      <c r="EN6233" t="s">
        <v>842</v>
      </c>
      <c r="EO6233">
        <v>26.43</v>
      </c>
    </row>
    <row r="6234" spans="142:145" x14ac:dyDescent="0.25">
      <c r="EL6234">
        <v>2022</v>
      </c>
      <c r="EM6234" t="s">
        <v>711</v>
      </c>
      <c r="EN6234" t="s">
        <v>842</v>
      </c>
      <c r="EO6234">
        <v>25.58</v>
      </c>
    </row>
    <row r="6235" spans="142:145" x14ac:dyDescent="0.25">
      <c r="EL6235">
        <v>2022</v>
      </c>
      <c r="EM6235" t="s">
        <v>712</v>
      </c>
      <c r="EN6235" t="s">
        <v>842</v>
      </c>
      <c r="EO6235">
        <v>26.43</v>
      </c>
    </row>
    <row r="6236" spans="142:145" x14ac:dyDescent="0.25">
      <c r="EL6236">
        <v>2023</v>
      </c>
      <c r="EM6236" t="s">
        <v>719</v>
      </c>
      <c r="EN6236" t="s">
        <v>842</v>
      </c>
      <c r="EO6236">
        <v>26.43</v>
      </c>
    </row>
    <row r="6237" spans="142:145" x14ac:dyDescent="0.25">
      <c r="EL6237">
        <v>2023</v>
      </c>
      <c r="EM6237" t="s">
        <v>713</v>
      </c>
      <c r="EN6237" t="s">
        <v>842</v>
      </c>
      <c r="EO6237">
        <v>23.87</v>
      </c>
    </row>
    <row r="6238" spans="142:145" x14ac:dyDescent="0.25">
      <c r="EL6238">
        <v>2023</v>
      </c>
      <c r="EM6238" t="s">
        <v>714</v>
      </c>
      <c r="EN6238" t="s">
        <v>842</v>
      </c>
      <c r="EO6238">
        <v>26.43</v>
      </c>
    </row>
    <row r="6239" spans="142:145" x14ac:dyDescent="0.25">
      <c r="EL6239">
        <v>2023</v>
      </c>
      <c r="EM6239" t="s">
        <v>705</v>
      </c>
      <c r="EN6239" t="s">
        <v>842</v>
      </c>
      <c r="EO6239">
        <v>25.58</v>
      </c>
    </row>
    <row r="6240" spans="142:145" x14ac:dyDescent="0.25">
      <c r="EL6240">
        <v>2023</v>
      </c>
      <c r="EM6240" t="s">
        <v>715</v>
      </c>
      <c r="EN6240" t="s">
        <v>842</v>
      </c>
      <c r="EO6240">
        <v>26.43</v>
      </c>
    </row>
    <row r="6241" spans="142:145" x14ac:dyDescent="0.25">
      <c r="EL6241">
        <v>2023</v>
      </c>
      <c r="EM6241" t="s">
        <v>718</v>
      </c>
      <c r="EN6241" t="s">
        <v>842</v>
      </c>
      <c r="EO6241">
        <v>25.58</v>
      </c>
    </row>
    <row r="6242" spans="142:145" x14ac:dyDescent="0.25">
      <c r="EL6242">
        <v>2023</v>
      </c>
      <c r="EM6242" t="s">
        <v>716</v>
      </c>
      <c r="EN6242" t="s">
        <v>842</v>
      </c>
      <c r="EO6242">
        <v>26.43</v>
      </c>
    </row>
    <row r="6243" spans="142:145" x14ac:dyDescent="0.25">
      <c r="EL6243">
        <v>2023</v>
      </c>
      <c r="EM6243" t="s">
        <v>708</v>
      </c>
      <c r="EN6243" t="s">
        <v>842</v>
      </c>
      <c r="EO6243">
        <v>26.43</v>
      </c>
    </row>
    <row r="6244" spans="142:145" x14ac:dyDescent="0.25">
      <c r="EL6244">
        <v>2023</v>
      </c>
      <c r="EM6244" t="s">
        <v>709</v>
      </c>
      <c r="EN6244" t="s">
        <v>842</v>
      </c>
      <c r="EO6244">
        <v>25.58</v>
      </c>
    </row>
    <row r="6245" spans="142:145" x14ac:dyDescent="0.25">
      <c r="EL6245">
        <v>1997</v>
      </c>
      <c r="EM6245" t="s">
        <v>760</v>
      </c>
      <c r="EN6245" t="s">
        <v>860</v>
      </c>
      <c r="EO6245">
        <v>93.960999999999999</v>
      </c>
    </row>
    <row r="6246" spans="142:145" x14ac:dyDescent="0.25">
      <c r="EL6246">
        <v>1997</v>
      </c>
      <c r="EM6246" t="s">
        <v>761</v>
      </c>
      <c r="EN6246" t="s">
        <v>860</v>
      </c>
      <c r="EO6246">
        <v>90.24</v>
      </c>
    </row>
    <row r="6247" spans="142:145" x14ac:dyDescent="0.25">
      <c r="EL6247">
        <v>1997</v>
      </c>
      <c r="EM6247" t="s">
        <v>762</v>
      </c>
      <c r="EN6247" t="s">
        <v>860</v>
      </c>
      <c r="EO6247">
        <v>87.450999999999993</v>
      </c>
    </row>
    <row r="6248" spans="142:145" x14ac:dyDescent="0.25">
      <c r="EL6248">
        <v>1998</v>
      </c>
      <c r="EM6248" t="s">
        <v>763</v>
      </c>
      <c r="EN6248" t="s">
        <v>860</v>
      </c>
      <c r="EO6248">
        <v>94.053999999999988</v>
      </c>
    </row>
    <row r="6249" spans="142:145" x14ac:dyDescent="0.25">
      <c r="EL6249">
        <v>1998</v>
      </c>
      <c r="EM6249" t="s">
        <v>764</v>
      </c>
      <c r="EN6249" t="s">
        <v>860</v>
      </c>
      <c r="EO6249">
        <v>91.25200000000001</v>
      </c>
    </row>
    <row r="6250" spans="142:145" x14ac:dyDescent="0.25">
      <c r="EL6250">
        <v>1998</v>
      </c>
      <c r="EM6250" t="s">
        <v>765</v>
      </c>
      <c r="EN6250" t="s">
        <v>860</v>
      </c>
      <c r="EO6250">
        <v>103.32300000000001</v>
      </c>
    </row>
    <row r="6251" spans="142:145" x14ac:dyDescent="0.25">
      <c r="EL6251">
        <v>1998</v>
      </c>
      <c r="EM6251" t="s">
        <v>767</v>
      </c>
      <c r="EN6251" t="s">
        <v>860</v>
      </c>
      <c r="EO6251">
        <v>90.6</v>
      </c>
    </row>
    <row r="6252" spans="142:145" x14ac:dyDescent="0.25">
      <c r="EL6252">
        <v>1998</v>
      </c>
      <c r="EM6252" t="s">
        <v>715</v>
      </c>
      <c r="EN6252" t="s">
        <v>860</v>
      </c>
      <c r="EO6252">
        <v>97.587999999999994</v>
      </c>
    </row>
    <row r="6253" spans="142:145" x14ac:dyDescent="0.25">
      <c r="EL6253">
        <v>1998</v>
      </c>
      <c r="EM6253" t="s">
        <v>718</v>
      </c>
      <c r="EN6253" t="s">
        <v>860</v>
      </c>
      <c r="EO6253">
        <v>89.31</v>
      </c>
    </row>
    <row r="6254" spans="142:145" x14ac:dyDescent="0.25">
      <c r="EL6254">
        <v>1998</v>
      </c>
      <c r="EM6254" t="s">
        <v>716</v>
      </c>
      <c r="EN6254" t="s">
        <v>860</v>
      </c>
      <c r="EO6254">
        <v>89.899999999999991</v>
      </c>
    </row>
    <row r="6255" spans="142:145" x14ac:dyDescent="0.25">
      <c r="EL6255">
        <v>1998</v>
      </c>
      <c r="EM6255" t="s">
        <v>768</v>
      </c>
      <c r="EN6255" t="s">
        <v>860</v>
      </c>
      <c r="EO6255">
        <v>90.891999999999996</v>
      </c>
    </row>
    <row r="6256" spans="142:145" x14ac:dyDescent="0.25">
      <c r="EL6256">
        <v>1998</v>
      </c>
      <c r="EM6256" t="s">
        <v>769</v>
      </c>
      <c r="EN6256" t="s">
        <v>860</v>
      </c>
      <c r="EO6256">
        <v>84.9</v>
      </c>
    </row>
    <row r="6257" spans="142:145" x14ac:dyDescent="0.25">
      <c r="EL6257">
        <v>1998</v>
      </c>
      <c r="EM6257" t="s">
        <v>760</v>
      </c>
      <c r="EN6257" t="s">
        <v>860</v>
      </c>
      <c r="EO6257">
        <v>87.853999999999999</v>
      </c>
    </row>
    <row r="6258" spans="142:145" x14ac:dyDescent="0.25">
      <c r="EL6258">
        <v>1998</v>
      </c>
      <c r="EM6258" t="s">
        <v>771</v>
      </c>
      <c r="EN6258" t="s">
        <v>860</v>
      </c>
      <c r="EO6258">
        <v>84.149999999999991</v>
      </c>
    </row>
    <row r="6259" spans="142:145" x14ac:dyDescent="0.25">
      <c r="EL6259">
        <v>1998</v>
      </c>
      <c r="EM6259" t="s">
        <v>762</v>
      </c>
      <c r="EN6259" t="s">
        <v>860</v>
      </c>
      <c r="EO6259">
        <v>86.396999999999991</v>
      </c>
    </row>
    <row r="6260" spans="142:145" x14ac:dyDescent="0.25">
      <c r="EL6260">
        <v>1999</v>
      </c>
      <c r="EM6260" t="s">
        <v>763</v>
      </c>
      <c r="EN6260" t="s">
        <v>860</v>
      </c>
      <c r="EO6260">
        <v>89.186999999999998</v>
      </c>
    </row>
    <row r="6261" spans="142:145" x14ac:dyDescent="0.25">
      <c r="EL6261">
        <v>1999</v>
      </c>
      <c r="EM6261" t="s">
        <v>772</v>
      </c>
      <c r="EN6261" t="s">
        <v>860</v>
      </c>
      <c r="EO6261">
        <v>80.695999999999998</v>
      </c>
    </row>
    <row r="6262" spans="142:145" x14ac:dyDescent="0.25">
      <c r="EL6262">
        <v>1999</v>
      </c>
      <c r="EM6262" t="s">
        <v>773</v>
      </c>
      <c r="EN6262" t="s">
        <v>860</v>
      </c>
      <c r="EO6262">
        <v>93.123999999999995</v>
      </c>
    </row>
    <row r="6263" spans="142:145" x14ac:dyDescent="0.25">
      <c r="EL6263">
        <v>1999</v>
      </c>
      <c r="EM6263" t="s">
        <v>774</v>
      </c>
      <c r="EN6263" t="s">
        <v>860</v>
      </c>
      <c r="EO6263">
        <v>83.4</v>
      </c>
    </row>
    <row r="6264" spans="142:145" x14ac:dyDescent="0.25">
      <c r="EL6264">
        <v>1999</v>
      </c>
      <c r="EM6264" t="s">
        <v>715</v>
      </c>
      <c r="EN6264" t="s">
        <v>860</v>
      </c>
      <c r="EO6264">
        <v>83.483000000000004</v>
      </c>
    </row>
    <row r="6265" spans="142:145" x14ac:dyDescent="0.25">
      <c r="EL6265">
        <v>1999</v>
      </c>
      <c r="EM6265" t="s">
        <v>718</v>
      </c>
      <c r="EN6265" t="s">
        <v>860</v>
      </c>
      <c r="EO6265">
        <v>82.89</v>
      </c>
    </row>
    <row r="6266" spans="142:145" x14ac:dyDescent="0.25">
      <c r="EL6266">
        <v>1999</v>
      </c>
      <c r="EM6266" t="s">
        <v>716</v>
      </c>
      <c r="EN6266" t="s">
        <v>860</v>
      </c>
      <c r="EO6266">
        <v>85.466999999999999</v>
      </c>
    </row>
    <row r="6267" spans="142:145" x14ac:dyDescent="0.25">
      <c r="EL6267">
        <v>1999</v>
      </c>
      <c r="EM6267" t="s">
        <v>708</v>
      </c>
      <c r="EN6267" t="s">
        <v>860</v>
      </c>
      <c r="EO6267">
        <v>89.125</v>
      </c>
    </row>
    <row r="6268" spans="142:145" x14ac:dyDescent="0.25">
      <c r="EL6268">
        <v>1999</v>
      </c>
      <c r="EM6268" t="s">
        <v>709</v>
      </c>
      <c r="EN6268" t="s">
        <v>860</v>
      </c>
      <c r="EO6268">
        <v>86.55</v>
      </c>
    </row>
    <row r="6269" spans="142:145" x14ac:dyDescent="0.25">
      <c r="EL6269">
        <v>1999</v>
      </c>
      <c r="EM6269" t="s">
        <v>710</v>
      </c>
      <c r="EN6269" t="s">
        <v>860</v>
      </c>
      <c r="EO6269">
        <v>89.062999999999988</v>
      </c>
    </row>
    <row r="6270" spans="142:145" x14ac:dyDescent="0.25">
      <c r="EL6270">
        <v>1999</v>
      </c>
      <c r="EM6270" t="s">
        <v>711</v>
      </c>
      <c r="EN6270" t="s">
        <v>860</v>
      </c>
      <c r="EO6270">
        <v>79.710000000000008</v>
      </c>
    </row>
    <row r="6271" spans="142:145" x14ac:dyDescent="0.25">
      <c r="EL6271">
        <v>1999</v>
      </c>
      <c r="EM6271" t="s">
        <v>712</v>
      </c>
      <c r="EN6271" t="s">
        <v>860</v>
      </c>
      <c r="EO6271">
        <v>87.853999999999985</v>
      </c>
    </row>
    <row r="6272" spans="142:145" x14ac:dyDescent="0.25">
      <c r="EL6272">
        <v>2000</v>
      </c>
      <c r="EM6272" t="s">
        <v>719</v>
      </c>
      <c r="EN6272" t="s">
        <v>860</v>
      </c>
      <c r="EO6272">
        <v>89.713999999999999</v>
      </c>
    </row>
    <row r="6273" spans="142:145" x14ac:dyDescent="0.25">
      <c r="EL6273">
        <v>2000</v>
      </c>
      <c r="EM6273" t="s">
        <v>713</v>
      </c>
      <c r="EN6273" t="s">
        <v>860</v>
      </c>
      <c r="EO6273">
        <v>82.330999999999989</v>
      </c>
    </row>
    <row r="6274" spans="142:145" x14ac:dyDescent="0.25">
      <c r="EL6274">
        <v>2000</v>
      </c>
      <c r="EM6274" t="s">
        <v>714</v>
      </c>
      <c r="EN6274" t="s">
        <v>860</v>
      </c>
      <c r="EO6274">
        <v>90.210000000000008</v>
      </c>
    </row>
    <row r="6275" spans="142:145" x14ac:dyDescent="0.25">
      <c r="EL6275">
        <v>2000</v>
      </c>
      <c r="EM6275" t="s">
        <v>705</v>
      </c>
      <c r="EN6275" t="s">
        <v>860</v>
      </c>
      <c r="EO6275">
        <v>89.13</v>
      </c>
    </row>
    <row r="6276" spans="142:145" x14ac:dyDescent="0.25">
      <c r="EL6276">
        <v>2000</v>
      </c>
      <c r="EM6276" t="s">
        <v>715</v>
      </c>
      <c r="EN6276" t="s">
        <v>860</v>
      </c>
      <c r="EO6276">
        <v>88.908000000000001</v>
      </c>
    </row>
    <row r="6277" spans="142:145" x14ac:dyDescent="0.25">
      <c r="EL6277">
        <v>2000</v>
      </c>
      <c r="EM6277" t="s">
        <v>718</v>
      </c>
      <c r="EN6277" t="s">
        <v>860</v>
      </c>
      <c r="EO6277">
        <v>86.699999999999989</v>
      </c>
    </row>
    <row r="6278" spans="142:145" x14ac:dyDescent="0.25">
      <c r="EL6278">
        <v>2000</v>
      </c>
      <c r="EM6278" t="s">
        <v>716</v>
      </c>
      <c r="EN6278" t="s">
        <v>860</v>
      </c>
      <c r="EO6278">
        <v>84.506</v>
      </c>
    </row>
    <row r="6279" spans="142:145" x14ac:dyDescent="0.25">
      <c r="EL6279">
        <v>2000</v>
      </c>
      <c r="EM6279" t="s">
        <v>708</v>
      </c>
      <c r="EN6279" t="s">
        <v>860</v>
      </c>
      <c r="EO6279">
        <v>87.978000000000009</v>
      </c>
    </row>
    <row r="6280" spans="142:145" x14ac:dyDescent="0.25">
      <c r="EL6280">
        <v>2000</v>
      </c>
      <c r="EM6280" t="s">
        <v>709</v>
      </c>
      <c r="EN6280" t="s">
        <v>860</v>
      </c>
      <c r="EO6280">
        <v>88.589999999999989</v>
      </c>
    </row>
    <row r="6281" spans="142:145" x14ac:dyDescent="0.25">
      <c r="EL6281">
        <v>2000</v>
      </c>
      <c r="EM6281" t="s">
        <v>710</v>
      </c>
      <c r="EN6281" t="s">
        <v>860</v>
      </c>
      <c r="EO6281">
        <v>90.396000000000001</v>
      </c>
    </row>
    <row r="6282" spans="142:145" x14ac:dyDescent="0.25">
      <c r="EL6282">
        <v>2000</v>
      </c>
      <c r="EM6282" t="s">
        <v>711</v>
      </c>
      <c r="EN6282" t="s">
        <v>860</v>
      </c>
      <c r="EO6282">
        <v>91.050000000000011</v>
      </c>
    </row>
    <row r="6283" spans="142:145" x14ac:dyDescent="0.25">
      <c r="EL6283">
        <v>2000</v>
      </c>
      <c r="EM6283" t="s">
        <v>712</v>
      </c>
      <c r="EN6283" t="s">
        <v>860</v>
      </c>
      <c r="EO6283">
        <v>100.03699999999999</v>
      </c>
    </row>
    <row r="6284" spans="142:145" x14ac:dyDescent="0.25">
      <c r="EL6284">
        <v>2001</v>
      </c>
      <c r="EM6284" t="s">
        <v>719</v>
      </c>
      <c r="EN6284" t="s">
        <v>860</v>
      </c>
      <c r="EO6284">
        <v>94.332999999999998</v>
      </c>
    </row>
    <row r="6285" spans="142:145" x14ac:dyDescent="0.25">
      <c r="EL6285">
        <v>2001</v>
      </c>
      <c r="EM6285" t="s">
        <v>713</v>
      </c>
      <c r="EN6285" t="s">
        <v>860</v>
      </c>
      <c r="EO6285">
        <v>81.032000000000011</v>
      </c>
    </row>
    <row r="6286" spans="142:145" x14ac:dyDescent="0.25">
      <c r="EL6286">
        <v>2001</v>
      </c>
      <c r="EM6286" t="s">
        <v>714</v>
      </c>
      <c r="EN6286" t="s">
        <v>860</v>
      </c>
      <c r="EO6286">
        <v>90.768000000000001</v>
      </c>
    </row>
    <row r="6287" spans="142:145" x14ac:dyDescent="0.25">
      <c r="EL6287">
        <v>2001</v>
      </c>
      <c r="EM6287" t="s">
        <v>705</v>
      </c>
      <c r="EN6287" t="s">
        <v>860</v>
      </c>
      <c r="EO6287">
        <v>90.891999999999996</v>
      </c>
    </row>
    <row r="6288" spans="142:145" x14ac:dyDescent="0.25">
      <c r="EL6288">
        <v>2001</v>
      </c>
      <c r="EM6288" t="s">
        <v>715</v>
      </c>
      <c r="EN6288" t="s">
        <v>860</v>
      </c>
      <c r="EO6288">
        <v>90.799000000000007</v>
      </c>
    </row>
    <row r="6289" spans="142:145" x14ac:dyDescent="0.25">
      <c r="EL6289">
        <v>2001</v>
      </c>
      <c r="EM6289" t="s">
        <v>718</v>
      </c>
      <c r="EN6289" t="s">
        <v>860</v>
      </c>
      <c r="EO6289">
        <v>89.88</v>
      </c>
    </row>
    <row r="6290" spans="142:145" x14ac:dyDescent="0.25">
      <c r="EL6290">
        <v>2001</v>
      </c>
      <c r="EM6290" t="s">
        <v>716</v>
      </c>
      <c r="EN6290" t="s">
        <v>860</v>
      </c>
      <c r="EO6290">
        <v>91.233000000000004</v>
      </c>
    </row>
    <row r="6291" spans="142:145" x14ac:dyDescent="0.25">
      <c r="EL6291">
        <v>2001</v>
      </c>
      <c r="EM6291" t="s">
        <v>708</v>
      </c>
      <c r="EN6291" t="s">
        <v>860</v>
      </c>
      <c r="EO6291">
        <v>91.698000000000008</v>
      </c>
    </row>
    <row r="6292" spans="142:145" x14ac:dyDescent="0.25">
      <c r="EL6292">
        <v>2001</v>
      </c>
      <c r="EM6292" t="s">
        <v>709</v>
      </c>
      <c r="EN6292" t="s">
        <v>860</v>
      </c>
      <c r="EO6292">
        <v>87.06</v>
      </c>
    </row>
    <row r="6293" spans="142:145" x14ac:dyDescent="0.25">
      <c r="EL6293">
        <v>2001</v>
      </c>
      <c r="EM6293" t="s">
        <v>710</v>
      </c>
      <c r="EN6293" t="s">
        <v>860</v>
      </c>
      <c r="EO6293">
        <v>89.713999999999999</v>
      </c>
    </row>
    <row r="6294" spans="142:145" x14ac:dyDescent="0.25">
      <c r="EL6294">
        <v>2001</v>
      </c>
      <c r="EM6294" t="s">
        <v>711</v>
      </c>
      <c r="EN6294" t="s">
        <v>860</v>
      </c>
      <c r="EO6294">
        <v>87.06</v>
      </c>
    </row>
    <row r="6295" spans="142:145" x14ac:dyDescent="0.25">
      <c r="EL6295">
        <v>2001</v>
      </c>
      <c r="EM6295" t="s">
        <v>712</v>
      </c>
      <c r="EN6295" t="s">
        <v>860</v>
      </c>
      <c r="EO6295">
        <v>89.9</v>
      </c>
    </row>
    <row r="6296" spans="142:145" x14ac:dyDescent="0.25">
      <c r="EL6296">
        <v>2002</v>
      </c>
      <c r="EM6296" t="s">
        <v>719</v>
      </c>
      <c r="EN6296" t="s">
        <v>860</v>
      </c>
      <c r="EO6296">
        <v>90.83</v>
      </c>
    </row>
    <row r="6297" spans="142:145" x14ac:dyDescent="0.25">
      <c r="EL6297">
        <v>2002</v>
      </c>
      <c r="EM6297" t="s">
        <v>713</v>
      </c>
      <c r="EN6297" t="s">
        <v>860</v>
      </c>
      <c r="EO6297">
        <v>70.42</v>
      </c>
    </row>
    <row r="6298" spans="142:145" x14ac:dyDescent="0.25">
      <c r="EL6298">
        <v>2002</v>
      </c>
      <c r="EM6298" t="s">
        <v>714</v>
      </c>
      <c r="EN6298" t="s">
        <v>860</v>
      </c>
      <c r="EO6298">
        <v>84.227000000000004</v>
      </c>
    </row>
    <row r="6299" spans="142:145" x14ac:dyDescent="0.25">
      <c r="EL6299">
        <v>2002</v>
      </c>
      <c r="EM6299" t="s">
        <v>705</v>
      </c>
      <c r="EN6299" t="s">
        <v>860</v>
      </c>
      <c r="EO6299">
        <v>78.510000000000005</v>
      </c>
    </row>
    <row r="6300" spans="142:145" x14ac:dyDescent="0.25">
      <c r="EL6300">
        <v>2002</v>
      </c>
      <c r="EM6300" t="s">
        <v>715</v>
      </c>
      <c r="EN6300" t="s">
        <v>860</v>
      </c>
      <c r="EO6300">
        <v>84.754000000000005</v>
      </c>
    </row>
    <row r="6301" spans="142:145" x14ac:dyDescent="0.25">
      <c r="EL6301">
        <v>2002</v>
      </c>
      <c r="EM6301" t="s">
        <v>718</v>
      </c>
      <c r="EN6301" t="s">
        <v>860</v>
      </c>
      <c r="EO6301">
        <v>81.990000000000009</v>
      </c>
    </row>
    <row r="6302" spans="142:145" x14ac:dyDescent="0.25">
      <c r="EL6302">
        <v>2002</v>
      </c>
      <c r="EM6302" t="s">
        <v>716</v>
      </c>
      <c r="EN6302" t="s">
        <v>860</v>
      </c>
      <c r="EO6302">
        <v>84.878</v>
      </c>
    </row>
    <row r="6303" spans="142:145" x14ac:dyDescent="0.25">
      <c r="EL6303">
        <v>2002</v>
      </c>
      <c r="EM6303" t="s">
        <v>708</v>
      </c>
      <c r="EN6303" t="s">
        <v>860</v>
      </c>
      <c r="EO6303">
        <v>83.948000000000008</v>
      </c>
    </row>
    <row r="6304" spans="142:145" x14ac:dyDescent="0.25">
      <c r="EL6304">
        <v>2002</v>
      </c>
      <c r="EM6304" t="s">
        <v>709</v>
      </c>
      <c r="EN6304" t="s">
        <v>860</v>
      </c>
      <c r="EO6304">
        <v>85.35</v>
      </c>
    </row>
    <row r="6305" spans="142:145" x14ac:dyDescent="0.25">
      <c r="EL6305">
        <v>2002</v>
      </c>
      <c r="EM6305" t="s">
        <v>710</v>
      </c>
      <c r="EN6305" t="s">
        <v>860</v>
      </c>
      <c r="EO6305">
        <v>86.738</v>
      </c>
    </row>
    <row r="6306" spans="142:145" x14ac:dyDescent="0.25">
      <c r="EL6306">
        <v>2002</v>
      </c>
      <c r="EM6306" t="s">
        <v>711</v>
      </c>
      <c r="EN6306" t="s">
        <v>860</v>
      </c>
      <c r="EO6306">
        <v>90.3</v>
      </c>
    </row>
    <row r="6307" spans="142:145" x14ac:dyDescent="0.25">
      <c r="EL6307">
        <v>2002</v>
      </c>
      <c r="EM6307" t="s">
        <v>712</v>
      </c>
      <c r="EN6307" t="s">
        <v>860</v>
      </c>
      <c r="EO6307">
        <v>95.448999999999998</v>
      </c>
    </row>
    <row r="6308" spans="142:145" x14ac:dyDescent="0.25">
      <c r="EL6308">
        <v>2003</v>
      </c>
      <c r="EM6308" t="s">
        <v>719</v>
      </c>
      <c r="EN6308" t="s">
        <v>860</v>
      </c>
      <c r="EO6308">
        <v>105.307</v>
      </c>
    </row>
    <row r="6309" spans="142:145" x14ac:dyDescent="0.25">
      <c r="EL6309">
        <v>2003</v>
      </c>
      <c r="EM6309" t="s">
        <v>713</v>
      </c>
      <c r="EN6309" t="s">
        <v>860</v>
      </c>
      <c r="EO6309">
        <v>105.81200000000001</v>
      </c>
    </row>
    <row r="6310" spans="142:145" x14ac:dyDescent="0.25">
      <c r="EL6310">
        <v>2003</v>
      </c>
      <c r="EM6310" t="s">
        <v>714</v>
      </c>
      <c r="EN6310" t="s">
        <v>860</v>
      </c>
      <c r="EO6310">
        <v>96.688999999999993</v>
      </c>
    </row>
    <row r="6311" spans="142:145" x14ac:dyDescent="0.25">
      <c r="EL6311">
        <v>2003</v>
      </c>
      <c r="EM6311" t="s">
        <v>705</v>
      </c>
      <c r="EN6311" t="s">
        <v>860</v>
      </c>
      <c r="EO6311">
        <v>88.92</v>
      </c>
    </row>
    <row r="6312" spans="142:145" x14ac:dyDescent="0.25">
      <c r="EL6312">
        <v>2003</v>
      </c>
      <c r="EM6312" t="s">
        <v>715</v>
      </c>
      <c r="EN6312" t="s">
        <v>860</v>
      </c>
      <c r="EO6312">
        <v>94.364000000000004</v>
      </c>
    </row>
    <row r="6313" spans="142:145" x14ac:dyDescent="0.25">
      <c r="EL6313">
        <v>2003</v>
      </c>
      <c r="EM6313" t="s">
        <v>718</v>
      </c>
      <c r="EN6313" t="s">
        <v>860</v>
      </c>
      <c r="EO6313">
        <v>93.600000000000009</v>
      </c>
    </row>
    <row r="6314" spans="142:145" x14ac:dyDescent="0.25">
      <c r="EL6314">
        <v>2003</v>
      </c>
      <c r="EM6314" t="s">
        <v>716</v>
      </c>
      <c r="EN6314" t="s">
        <v>860</v>
      </c>
      <c r="EO6314">
        <v>100.254</v>
      </c>
    </row>
    <row r="6315" spans="142:145" x14ac:dyDescent="0.25">
      <c r="EL6315">
        <v>2003</v>
      </c>
      <c r="EM6315" t="s">
        <v>708</v>
      </c>
      <c r="EN6315" t="s">
        <v>860</v>
      </c>
      <c r="EO6315">
        <v>89.899999999999991</v>
      </c>
    </row>
    <row r="6316" spans="142:145" x14ac:dyDescent="0.25">
      <c r="EL6316">
        <v>2003</v>
      </c>
      <c r="EM6316" t="s">
        <v>709</v>
      </c>
      <c r="EN6316" t="s">
        <v>860</v>
      </c>
      <c r="EO6316">
        <v>87</v>
      </c>
    </row>
    <row r="6317" spans="142:145" x14ac:dyDescent="0.25">
      <c r="EL6317">
        <v>2003</v>
      </c>
      <c r="EM6317" t="s">
        <v>710</v>
      </c>
      <c r="EN6317" t="s">
        <v>860</v>
      </c>
      <c r="EO6317">
        <v>92.016137362637352</v>
      </c>
    </row>
    <row r="6318" spans="142:145" x14ac:dyDescent="0.25">
      <c r="EL6318">
        <v>2003</v>
      </c>
      <c r="EM6318" t="s">
        <v>711</v>
      </c>
      <c r="EN6318" t="s">
        <v>860</v>
      </c>
      <c r="EO6318">
        <v>92.941681318681319</v>
      </c>
    </row>
    <row r="6319" spans="142:145" x14ac:dyDescent="0.25">
      <c r="EL6319">
        <v>2003</v>
      </c>
      <c r="EM6319" t="s">
        <v>712</v>
      </c>
      <c r="EN6319" t="s">
        <v>860</v>
      </c>
      <c r="EO6319">
        <v>99.594137362637355</v>
      </c>
    </row>
    <row r="6320" spans="142:145" x14ac:dyDescent="0.25">
      <c r="EL6320">
        <v>2004</v>
      </c>
      <c r="EM6320" t="s">
        <v>719</v>
      </c>
      <c r="EN6320" t="s">
        <v>860</v>
      </c>
      <c r="EO6320">
        <v>85.572137362637363</v>
      </c>
    </row>
    <row r="6321" spans="142:145" x14ac:dyDescent="0.25">
      <c r="EL6321">
        <v>2004</v>
      </c>
      <c r="EM6321" t="s">
        <v>713</v>
      </c>
      <c r="EN6321" t="s">
        <v>860</v>
      </c>
      <c r="EO6321">
        <v>95.269654604016665</v>
      </c>
    </row>
    <row r="6322" spans="142:145" x14ac:dyDescent="0.25">
      <c r="EL6322">
        <v>2004</v>
      </c>
      <c r="EM6322" t="s">
        <v>714</v>
      </c>
      <c r="EN6322" t="s">
        <v>860</v>
      </c>
      <c r="EO6322">
        <v>88.573137362637354</v>
      </c>
    </row>
    <row r="6323" spans="142:145" x14ac:dyDescent="0.25">
      <c r="EL6323">
        <v>2004</v>
      </c>
      <c r="EM6323" t="s">
        <v>705</v>
      </c>
      <c r="EN6323" t="s">
        <v>860</v>
      </c>
      <c r="EO6323">
        <v>92.204004029304016</v>
      </c>
    </row>
    <row r="6324" spans="142:145" x14ac:dyDescent="0.25">
      <c r="EL6324">
        <v>2004</v>
      </c>
      <c r="EM6324" t="s">
        <v>715</v>
      </c>
      <c r="EN6324" t="s">
        <v>860</v>
      </c>
      <c r="EO6324">
        <v>91.048958791208861</v>
      </c>
    </row>
    <row r="6325" spans="142:145" x14ac:dyDescent="0.25">
      <c r="EL6325">
        <v>2004</v>
      </c>
      <c r="EM6325" t="s">
        <v>718</v>
      </c>
      <c r="EN6325" t="s">
        <v>860</v>
      </c>
      <c r="EO6325">
        <v>87.350083129304025</v>
      </c>
    </row>
    <row r="6326" spans="142:145" x14ac:dyDescent="0.25">
      <c r="EL6326">
        <v>2004</v>
      </c>
      <c r="EM6326" t="s">
        <v>716</v>
      </c>
      <c r="EN6326" t="s">
        <v>860</v>
      </c>
      <c r="EO6326">
        <v>96.344231112637345</v>
      </c>
    </row>
    <row r="6327" spans="142:145" x14ac:dyDescent="0.25">
      <c r="EL6327">
        <v>2004</v>
      </c>
      <c r="EM6327" t="s">
        <v>708</v>
      </c>
      <c r="EN6327" t="s">
        <v>860</v>
      </c>
      <c r="EO6327">
        <v>96.434470695970063</v>
      </c>
    </row>
    <row r="6328" spans="142:145" x14ac:dyDescent="0.25">
      <c r="EL6328">
        <v>2004</v>
      </c>
      <c r="EM6328" t="s">
        <v>709</v>
      </c>
      <c r="EN6328" t="s">
        <v>860</v>
      </c>
      <c r="EO6328">
        <v>87.24493041975704</v>
      </c>
    </row>
    <row r="6329" spans="142:145" x14ac:dyDescent="0.25">
      <c r="EL6329">
        <v>2004</v>
      </c>
      <c r="EM6329" t="s">
        <v>710</v>
      </c>
      <c r="EN6329" t="s">
        <v>860</v>
      </c>
      <c r="EO6329">
        <v>99.740279892356043</v>
      </c>
    </row>
    <row r="6330" spans="142:145" x14ac:dyDescent="0.25">
      <c r="EL6330">
        <v>2004</v>
      </c>
      <c r="EM6330" t="s">
        <v>711</v>
      </c>
      <c r="EN6330" t="s">
        <v>860</v>
      </c>
      <c r="EO6330">
        <v>85.006396978021982</v>
      </c>
    </row>
    <row r="6331" spans="142:145" x14ac:dyDescent="0.25">
      <c r="EL6331">
        <v>2004</v>
      </c>
      <c r="EM6331" t="s">
        <v>712</v>
      </c>
      <c r="EN6331" t="s">
        <v>860</v>
      </c>
      <c r="EO6331">
        <v>91.515643543956045</v>
      </c>
    </row>
    <row r="6332" spans="142:145" x14ac:dyDescent="0.25">
      <c r="EL6332">
        <v>2005</v>
      </c>
      <c r="EM6332" t="s">
        <v>719</v>
      </c>
      <c r="EN6332" t="s">
        <v>860</v>
      </c>
      <c r="EO6332">
        <v>85.75464354395605</v>
      </c>
    </row>
    <row r="6333" spans="142:145" x14ac:dyDescent="0.25">
      <c r="EL6333">
        <v>2005</v>
      </c>
      <c r="EM6333" t="s">
        <v>713</v>
      </c>
      <c r="EN6333" t="s">
        <v>860</v>
      </c>
      <c r="EO6333">
        <v>74.810563846153855</v>
      </c>
    </row>
    <row r="6334" spans="142:145" x14ac:dyDescent="0.25">
      <c r="EL6334">
        <v>2005</v>
      </c>
      <c r="EM6334" t="s">
        <v>714</v>
      </c>
      <c r="EN6334" t="s">
        <v>860</v>
      </c>
      <c r="EO6334">
        <v>87.436643543956052</v>
      </c>
    </row>
    <row r="6335" spans="142:145" x14ac:dyDescent="0.25">
      <c r="EL6335">
        <v>2005</v>
      </c>
      <c r="EM6335" t="s">
        <v>705</v>
      </c>
      <c r="EN6335" t="s">
        <v>860</v>
      </c>
      <c r="EO6335">
        <v>87.346396978021986</v>
      </c>
    </row>
    <row r="6336" spans="142:145" x14ac:dyDescent="0.25">
      <c r="EL6336">
        <v>2005</v>
      </c>
      <c r="EM6336" t="s">
        <v>715</v>
      </c>
      <c r="EN6336" t="s">
        <v>860</v>
      </c>
      <c r="EO6336">
        <v>86.462643543956034</v>
      </c>
    </row>
    <row r="6337" spans="142:145" x14ac:dyDescent="0.25">
      <c r="EL6337">
        <v>2005</v>
      </c>
      <c r="EM6337" t="s">
        <v>718</v>
      </c>
      <c r="EN6337" t="s">
        <v>860</v>
      </c>
      <c r="EO6337">
        <v>81.547396978021979</v>
      </c>
    </row>
    <row r="6338" spans="142:145" x14ac:dyDescent="0.25">
      <c r="EL6338">
        <v>2005</v>
      </c>
      <c r="EM6338" t="s">
        <v>716</v>
      </c>
      <c r="EN6338" t="s">
        <v>860</v>
      </c>
      <c r="EO6338">
        <v>86.532643543956041</v>
      </c>
    </row>
    <row r="6339" spans="142:145" x14ac:dyDescent="0.25">
      <c r="EL6339">
        <v>2005</v>
      </c>
      <c r="EM6339" t="s">
        <v>708</v>
      </c>
      <c r="EN6339" t="s">
        <v>860</v>
      </c>
      <c r="EO6339">
        <v>83.344643543956039</v>
      </c>
    </row>
    <row r="6340" spans="142:145" x14ac:dyDescent="0.25">
      <c r="EL6340">
        <v>2005</v>
      </c>
      <c r="EM6340" t="s">
        <v>709</v>
      </c>
      <c r="EN6340" t="s">
        <v>860</v>
      </c>
      <c r="EO6340">
        <v>74.409396978021974</v>
      </c>
    </row>
    <row r="6341" spans="142:145" x14ac:dyDescent="0.25">
      <c r="EL6341">
        <v>2005</v>
      </c>
      <c r="EM6341" t="s">
        <v>710</v>
      </c>
      <c r="EN6341" t="s">
        <v>860</v>
      </c>
      <c r="EO6341">
        <v>87.74</v>
      </c>
    </row>
    <row r="6342" spans="142:145" x14ac:dyDescent="0.25">
      <c r="EL6342">
        <v>2005</v>
      </c>
      <c r="EM6342" t="s">
        <v>711</v>
      </c>
      <c r="EN6342" t="s">
        <v>860</v>
      </c>
      <c r="EO6342">
        <v>77.551000000000002</v>
      </c>
    </row>
    <row r="6343" spans="142:145" x14ac:dyDescent="0.25">
      <c r="EL6343">
        <v>2005</v>
      </c>
      <c r="EM6343" t="s">
        <v>712</v>
      </c>
      <c r="EN6343" t="s">
        <v>860</v>
      </c>
      <c r="EO6343">
        <v>85.053017123287674</v>
      </c>
    </row>
    <row r="6344" spans="142:145" x14ac:dyDescent="0.25">
      <c r="EL6344">
        <v>2006</v>
      </c>
      <c r="EM6344" t="s">
        <v>719</v>
      </c>
      <c r="EN6344" t="s">
        <v>860</v>
      </c>
      <c r="EO6344">
        <v>83.819017123287665</v>
      </c>
    </row>
    <row r="6345" spans="142:145" x14ac:dyDescent="0.25">
      <c r="EL6345">
        <v>2006</v>
      </c>
      <c r="EM6345" t="s">
        <v>713</v>
      </c>
      <c r="EN6345" t="s">
        <v>860</v>
      </c>
      <c r="EO6345">
        <v>76.635821917808229</v>
      </c>
    </row>
    <row r="6346" spans="142:145" x14ac:dyDescent="0.25">
      <c r="EL6346">
        <v>2006</v>
      </c>
      <c r="EM6346" t="s">
        <v>714</v>
      </c>
      <c r="EN6346" t="s">
        <v>860</v>
      </c>
      <c r="EO6346">
        <v>84.725017123287671</v>
      </c>
    </row>
    <row r="6347" spans="142:145" x14ac:dyDescent="0.25">
      <c r="EL6347">
        <v>2006</v>
      </c>
      <c r="EM6347" t="s">
        <v>705</v>
      </c>
      <c r="EN6347" t="s">
        <v>860</v>
      </c>
      <c r="EO6347">
        <v>85.088952054794532</v>
      </c>
    </row>
    <row r="6348" spans="142:145" x14ac:dyDescent="0.25">
      <c r="EL6348">
        <v>2006</v>
      </c>
      <c r="EM6348" t="s">
        <v>715</v>
      </c>
      <c r="EN6348" t="s">
        <v>860</v>
      </c>
      <c r="EO6348">
        <v>80.498017123287667</v>
      </c>
    </row>
    <row r="6349" spans="142:145" x14ac:dyDescent="0.25">
      <c r="EL6349">
        <v>2006</v>
      </c>
      <c r="EM6349" t="s">
        <v>718</v>
      </c>
      <c r="EN6349" t="s">
        <v>860</v>
      </c>
      <c r="EO6349">
        <v>82.620952054794515</v>
      </c>
    </row>
    <row r="6350" spans="142:145" x14ac:dyDescent="0.25">
      <c r="EL6350">
        <v>2006</v>
      </c>
      <c r="EM6350" t="s">
        <v>716</v>
      </c>
      <c r="EN6350" t="s">
        <v>860</v>
      </c>
      <c r="EO6350">
        <v>85.404017123287673</v>
      </c>
    </row>
    <row r="6351" spans="142:145" x14ac:dyDescent="0.25">
      <c r="EL6351">
        <v>2006</v>
      </c>
      <c r="EM6351" t="s">
        <v>708</v>
      </c>
      <c r="EN6351" t="s">
        <v>860</v>
      </c>
      <c r="EO6351">
        <v>76.512017123287677</v>
      </c>
    </row>
    <row r="6352" spans="142:145" x14ac:dyDescent="0.25">
      <c r="EL6352">
        <v>2006</v>
      </c>
      <c r="EM6352" t="s">
        <v>709</v>
      </c>
      <c r="EN6352" t="s">
        <v>860</v>
      </c>
      <c r="EO6352">
        <v>76.966952054794518</v>
      </c>
    </row>
    <row r="6353" spans="142:145" x14ac:dyDescent="0.25">
      <c r="EL6353">
        <v>2006</v>
      </c>
      <c r="EM6353" t="s">
        <v>710</v>
      </c>
      <c r="EN6353" t="s">
        <v>860</v>
      </c>
      <c r="EO6353">
        <v>78.616</v>
      </c>
    </row>
    <row r="6354" spans="142:145" x14ac:dyDescent="0.25">
      <c r="EL6354">
        <v>2006</v>
      </c>
      <c r="EM6354" t="s">
        <v>711</v>
      </c>
      <c r="EN6354" t="s">
        <v>860</v>
      </c>
      <c r="EO6354">
        <v>80.457273972602749</v>
      </c>
    </row>
    <row r="6355" spans="142:145" x14ac:dyDescent="0.25">
      <c r="EL6355">
        <v>2006</v>
      </c>
      <c r="EM6355" t="s">
        <v>712</v>
      </c>
      <c r="EN6355" t="s">
        <v>860</v>
      </c>
      <c r="EO6355">
        <v>73.206616438356164</v>
      </c>
    </row>
    <row r="6356" spans="142:145" x14ac:dyDescent="0.25">
      <c r="EL6356">
        <v>2007</v>
      </c>
      <c r="EM6356" t="s">
        <v>719</v>
      </c>
      <c r="EN6356" t="s">
        <v>860</v>
      </c>
      <c r="EO6356">
        <v>85.831616438356164</v>
      </c>
    </row>
    <row r="6357" spans="142:145" x14ac:dyDescent="0.25">
      <c r="EL6357">
        <v>2007</v>
      </c>
      <c r="EM6357" t="s">
        <v>713</v>
      </c>
      <c r="EN6357" t="s">
        <v>860</v>
      </c>
      <c r="EO6357">
        <v>68.904589041095903</v>
      </c>
    </row>
    <row r="6358" spans="142:145" x14ac:dyDescent="0.25">
      <c r="EL6358">
        <v>2007</v>
      </c>
      <c r="EM6358" t="s">
        <v>714</v>
      </c>
      <c r="EN6358" t="s">
        <v>860</v>
      </c>
      <c r="EO6358">
        <v>85.741616438356161</v>
      </c>
    </row>
    <row r="6359" spans="142:145" x14ac:dyDescent="0.25">
      <c r="EL6359">
        <v>2007</v>
      </c>
      <c r="EM6359" t="s">
        <v>705</v>
      </c>
      <c r="EN6359" t="s">
        <v>860</v>
      </c>
      <c r="EO6359">
        <v>82.663273972602738</v>
      </c>
    </row>
    <row r="6360" spans="142:145" x14ac:dyDescent="0.25">
      <c r="EL6360">
        <v>2007</v>
      </c>
      <c r="EM6360" t="s">
        <v>715</v>
      </c>
      <c r="EN6360" t="s">
        <v>860</v>
      </c>
      <c r="EO6360">
        <v>76.477616438356165</v>
      </c>
    </row>
    <row r="6361" spans="142:145" x14ac:dyDescent="0.25">
      <c r="EL6361">
        <v>2007</v>
      </c>
      <c r="EM6361" t="s">
        <v>718</v>
      </c>
      <c r="EN6361" t="s">
        <v>860</v>
      </c>
      <c r="EO6361">
        <v>72.838273972602749</v>
      </c>
    </row>
    <row r="6362" spans="142:145" x14ac:dyDescent="0.25">
      <c r="EL6362">
        <v>2007</v>
      </c>
      <c r="EM6362" t="s">
        <v>716</v>
      </c>
      <c r="EN6362" t="s">
        <v>860</v>
      </c>
      <c r="EO6362">
        <v>72.880616438356157</v>
      </c>
    </row>
    <row r="6363" spans="142:145" x14ac:dyDescent="0.25">
      <c r="EL6363">
        <v>2007</v>
      </c>
      <c r="EM6363" t="s">
        <v>708</v>
      </c>
      <c r="EN6363" t="s">
        <v>860</v>
      </c>
      <c r="EO6363">
        <v>75.508616438356157</v>
      </c>
    </row>
    <row r="6364" spans="142:145" x14ac:dyDescent="0.25">
      <c r="EL6364">
        <v>2007</v>
      </c>
      <c r="EM6364" t="s">
        <v>709</v>
      </c>
      <c r="EN6364" t="s">
        <v>860</v>
      </c>
      <c r="EO6364">
        <v>70.822273972602744</v>
      </c>
    </row>
    <row r="6365" spans="142:145" x14ac:dyDescent="0.25">
      <c r="EL6365">
        <v>2007</v>
      </c>
      <c r="EM6365" t="s">
        <v>710</v>
      </c>
      <c r="EN6365" t="s">
        <v>860</v>
      </c>
      <c r="EO6365">
        <v>79.894721653005476</v>
      </c>
    </row>
    <row r="6366" spans="142:145" x14ac:dyDescent="0.25">
      <c r="EL6366">
        <v>2007</v>
      </c>
      <c r="EM6366" t="s">
        <v>711</v>
      </c>
      <c r="EN6366" t="s">
        <v>860</v>
      </c>
      <c r="EO6366">
        <v>81.864924180327876</v>
      </c>
    </row>
    <row r="6367" spans="142:145" x14ac:dyDescent="0.25">
      <c r="EL6367">
        <v>2007</v>
      </c>
      <c r="EM6367" t="s">
        <v>712</v>
      </c>
      <c r="EN6367" t="s">
        <v>860</v>
      </c>
      <c r="EO6367">
        <v>82.36072165300547</v>
      </c>
    </row>
    <row r="6368" spans="142:145" x14ac:dyDescent="0.25">
      <c r="EL6368">
        <v>2008</v>
      </c>
      <c r="EM6368" t="s">
        <v>719</v>
      </c>
      <c r="EN6368" t="s">
        <v>860</v>
      </c>
      <c r="EO6368">
        <v>77.803721653005468</v>
      </c>
    </row>
    <row r="6369" spans="142:145" x14ac:dyDescent="0.25">
      <c r="EL6369">
        <v>2008</v>
      </c>
      <c r="EM6369" t="s">
        <v>713</v>
      </c>
      <c r="EN6369" t="s">
        <v>860</v>
      </c>
      <c r="EO6369">
        <v>75.070126707650275</v>
      </c>
    </row>
    <row r="6370" spans="142:145" x14ac:dyDescent="0.25">
      <c r="EL6370">
        <v>2008</v>
      </c>
      <c r="EM6370" t="s">
        <v>714</v>
      </c>
      <c r="EN6370" t="s">
        <v>860</v>
      </c>
      <c r="EO6370">
        <v>77.452721653005469</v>
      </c>
    </row>
    <row r="6371" spans="142:145" x14ac:dyDescent="0.25">
      <c r="EL6371">
        <v>2008</v>
      </c>
      <c r="EM6371" t="s">
        <v>705</v>
      </c>
      <c r="EN6371" t="s">
        <v>860</v>
      </c>
      <c r="EO6371">
        <v>79.032924180327882</v>
      </c>
    </row>
    <row r="6372" spans="142:145" x14ac:dyDescent="0.25">
      <c r="EL6372">
        <v>2008</v>
      </c>
      <c r="EM6372" t="s">
        <v>715</v>
      </c>
      <c r="EN6372" t="s">
        <v>860</v>
      </c>
      <c r="EO6372">
        <v>97.86072165300547</v>
      </c>
    </row>
    <row r="6373" spans="142:145" x14ac:dyDescent="0.25">
      <c r="EL6373">
        <v>2008</v>
      </c>
      <c r="EM6373" t="s">
        <v>718</v>
      </c>
      <c r="EN6373" t="s">
        <v>860</v>
      </c>
      <c r="EO6373">
        <v>81.877924180327867</v>
      </c>
    </row>
    <row r="6374" spans="142:145" x14ac:dyDescent="0.25">
      <c r="EL6374">
        <v>2008</v>
      </c>
      <c r="EM6374" t="s">
        <v>716</v>
      </c>
      <c r="EN6374" t="s">
        <v>860</v>
      </c>
      <c r="EO6374">
        <v>81.721721653005474</v>
      </c>
    </row>
    <row r="6375" spans="142:145" x14ac:dyDescent="0.25">
      <c r="EL6375">
        <v>2008</v>
      </c>
      <c r="EM6375" t="s">
        <v>708</v>
      </c>
      <c r="EN6375" t="s">
        <v>860</v>
      </c>
      <c r="EO6375">
        <v>71.854721653005456</v>
      </c>
    </row>
    <row r="6376" spans="142:145" x14ac:dyDescent="0.25">
      <c r="EL6376">
        <v>2008</v>
      </c>
      <c r="EM6376" t="s">
        <v>709</v>
      </c>
      <c r="EN6376" t="s">
        <v>860</v>
      </c>
      <c r="EO6376">
        <v>73.288924180327868</v>
      </c>
    </row>
    <row r="6377" spans="142:145" x14ac:dyDescent="0.25">
      <c r="EL6377">
        <v>2008</v>
      </c>
      <c r="EM6377" t="s">
        <v>710</v>
      </c>
      <c r="EN6377" t="s">
        <v>860</v>
      </c>
      <c r="EO6377">
        <v>70.607509931506854</v>
      </c>
    </row>
    <row r="6378" spans="142:145" x14ac:dyDescent="0.25">
      <c r="EL6378">
        <v>2008</v>
      </c>
      <c r="EM6378" t="s">
        <v>711</v>
      </c>
      <c r="EN6378" t="s">
        <v>860</v>
      </c>
      <c r="EO6378">
        <v>67.767376598173513</v>
      </c>
    </row>
    <row r="6379" spans="142:145" x14ac:dyDescent="0.25">
      <c r="EL6379">
        <v>2008</v>
      </c>
      <c r="EM6379" t="s">
        <v>712</v>
      </c>
      <c r="EN6379" t="s">
        <v>860</v>
      </c>
      <c r="EO6379">
        <v>71.638509931506846</v>
      </c>
    </row>
    <row r="6380" spans="142:145" x14ac:dyDescent="0.25">
      <c r="EL6380">
        <v>2009</v>
      </c>
      <c r="EM6380" t="s">
        <v>719</v>
      </c>
      <c r="EN6380" t="s">
        <v>860</v>
      </c>
      <c r="EO6380">
        <v>73.080509931506839</v>
      </c>
    </row>
    <row r="6381" spans="142:145" x14ac:dyDescent="0.25">
      <c r="EL6381">
        <v>2009</v>
      </c>
      <c r="EM6381" t="s">
        <v>713</v>
      </c>
      <c r="EN6381" t="s">
        <v>860</v>
      </c>
      <c r="EO6381">
        <v>61.767976712328775</v>
      </c>
    </row>
    <row r="6382" spans="142:145" x14ac:dyDescent="0.25">
      <c r="EL6382">
        <v>2009</v>
      </c>
      <c r="EM6382" t="s">
        <v>714</v>
      </c>
      <c r="EN6382" t="s">
        <v>860</v>
      </c>
      <c r="EO6382">
        <v>70.303509931506838</v>
      </c>
    </row>
    <row r="6383" spans="142:145" x14ac:dyDescent="0.25">
      <c r="EL6383">
        <v>2009</v>
      </c>
      <c r="EM6383" t="s">
        <v>705</v>
      </c>
      <c r="EN6383" t="s">
        <v>860</v>
      </c>
      <c r="EO6383">
        <v>69.647332191780833</v>
      </c>
    </row>
    <row r="6384" spans="142:145" x14ac:dyDescent="0.25">
      <c r="EL6384">
        <v>2009</v>
      </c>
      <c r="EM6384" t="s">
        <v>715</v>
      </c>
      <c r="EN6384" t="s">
        <v>860</v>
      </c>
      <c r="EO6384">
        <v>77.834509931506858</v>
      </c>
    </row>
    <row r="6385" spans="142:145" x14ac:dyDescent="0.25">
      <c r="EL6385">
        <v>2009</v>
      </c>
      <c r="EM6385" t="s">
        <v>718</v>
      </c>
      <c r="EN6385" t="s">
        <v>860</v>
      </c>
      <c r="EO6385">
        <v>76.065332191780826</v>
      </c>
    </row>
    <row r="6386" spans="142:145" x14ac:dyDescent="0.25">
      <c r="EL6386">
        <v>2009</v>
      </c>
      <c r="EM6386" t="s">
        <v>716</v>
      </c>
      <c r="EN6386" t="s">
        <v>860</v>
      </c>
      <c r="EO6386">
        <v>71.808509931506848</v>
      </c>
    </row>
    <row r="6387" spans="142:145" x14ac:dyDescent="0.25">
      <c r="EL6387">
        <v>2009</v>
      </c>
      <c r="EM6387" t="s">
        <v>708</v>
      </c>
      <c r="EN6387" t="s">
        <v>860</v>
      </c>
      <c r="EO6387">
        <v>69.074509931506853</v>
      </c>
    </row>
    <row r="6388" spans="142:145" x14ac:dyDescent="0.25">
      <c r="EL6388">
        <v>2009</v>
      </c>
      <c r="EM6388" t="s">
        <v>709</v>
      </c>
      <c r="EN6388" t="s">
        <v>860</v>
      </c>
      <c r="EO6388">
        <v>67.874332191780823</v>
      </c>
    </row>
    <row r="6389" spans="142:145" x14ac:dyDescent="0.25">
      <c r="EL6389">
        <v>2009</v>
      </c>
      <c r="EM6389" t="s">
        <v>710</v>
      </c>
      <c r="EN6389" t="s">
        <v>860</v>
      </c>
      <c r="EO6389">
        <v>74.205509931506853</v>
      </c>
    </row>
    <row r="6390" spans="142:145" x14ac:dyDescent="0.25">
      <c r="EL6390">
        <v>2009</v>
      </c>
      <c r="EM6390" t="s">
        <v>711</v>
      </c>
      <c r="EN6390" t="s">
        <v>860</v>
      </c>
      <c r="EO6390">
        <v>75.339332191780812</v>
      </c>
    </row>
    <row r="6391" spans="142:145" x14ac:dyDescent="0.25">
      <c r="EL6391">
        <v>2009</v>
      </c>
      <c r="EM6391" t="s">
        <v>712</v>
      </c>
      <c r="EN6391" t="s">
        <v>860</v>
      </c>
      <c r="EO6391">
        <v>85.467509931506854</v>
      </c>
    </row>
    <row r="6392" spans="142:145" x14ac:dyDescent="0.25">
      <c r="EL6392">
        <v>2010</v>
      </c>
      <c r="EM6392" t="s">
        <v>719</v>
      </c>
      <c r="EN6392" t="s">
        <v>860</v>
      </c>
      <c r="EO6392">
        <v>74.063509931506857</v>
      </c>
    </row>
    <row r="6393" spans="142:145" x14ac:dyDescent="0.25">
      <c r="EL6393">
        <v>2010</v>
      </c>
      <c r="EM6393" t="s">
        <v>713</v>
      </c>
      <c r="EN6393" t="s">
        <v>860</v>
      </c>
      <c r="EO6393">
        <v>73.485976712328778</v>
      </c>
    </row>
    <row r="6394" spans="142:145" x14ac:dyDescent="0.25">
      <c r="EL6394">
        <v>2010</v>
      </c>
      <c r="EM6394" t="s">
        <v>714</v>
      </c>
      <c r="EN6394" t="s">
        <v>860</v>
      </c>
      <c r="EO6394">
        <v>78.398509931506851</v>
      </c>
    </row>
    <row r="6395" spans="142:145" x14ac:dyDescent="0.25">
      <c r="EL6395">
        <v>2010</v>
      </c>
      <c r="EM6395" t="s">
        <v>705</v>
      </c>
      <c r="EN6395" t="s">
        <v>860</v>
      </c>
      <c r="EO6395">
        <v>70.209332191780831</v>
      </c>
    </row>
    <row r="6396" spans="142:145" x14ac:dyDescent="0.25">
      <c r="EL6396">
        <v>2010</v>
      </c>
      <c r="EM6396" t="s">
        <v>715</v>
      </c>
      <c r="EN6396" t="s">
        <v>860</v>
      </c>
      <c r="EO6396">
        <v>71.146509931506841</v>
      </c>
    </row>
    <row r="6397" spans="142:145" x14ac:dyDescent="0.25">
      <c r="EL6397">
        <v>2010</v>
      </c>
      <c r="EM6397" t="s">
        <v>718</v>
      </c>
      <c r="EN6397" t="s">
        <v>860</v>
      </c>
      <c r="EO6397">
        <v>67.251332191780818</v>
      </c>
    </row>
    <row r="6398" spans="142:145" x14ac:dyDescent="0.25">
      <c r="EL6398">
        <v>2010</v>
      </c>
      <c r="EM6398" t="s">
        <v>716</v>
      </c>
      <c r="EN6398" t="s">
        <v>860</v>
      </c>
      <c r="EO6398">
        <v>70.505509931506836</v>
      </c>
    </row>
    <row r="6399" spans="142:145" x14ac:dyDescent="0.25">
      <c r="EL6399">
        <v>2010</v>
      </c>
      <c r="EM6399" t="s">
        <v>708</v>
      </c>
      <c r="EN6399" t="s">
        <v>860</v>
      </c>
      <c r="EO6399">
        <v>68.724509931506859</v>
      </c>
    </row>
    <row r="6400" spans="142:145" x14ac:dyDescent="0.25">
      <c r="EL6400">
        <v>2010</v>
      </c>
      <c r="EM6400" t="s">
        <v>709</v>
      </c>
      <c r="EN6400" t="s">
        <v>860</v>
      </c>
      <c r="EO6400">
        <v>69.566332191780816</v>
      </c>
    </row>
    <row r="6401" spans="142:145" x14ac:dyDescent="0.25">
      <c r="EL6401">
        <v>2010</v>
      </c>
      <c r="EM6401" t="s">
        <v>710</v>
      </c>
      <c r="EN6401" t="s">
        <v>860</v>
      </c>
      <c r="EO6401">
        <v>70.347509931506849</v>
      </c>
    </row>
    <row r="6402" spans="142:145" x14ac:dyDescent="0.25">
      <c r="EL6402">
        <v>2010</v>
      </c>
      <c r="EM6402" t="s">
        <v>711</v>
      </c>
      <c r="EN6402" t="s">
        <v>860</v>
      </c>
      <c r="EO6402">
        <v>63.657332191780817</v>
      </c>
    </row>
    <row r="6403" spans="142:145" x14ac:dyDescent="0.25">
      <c r="EL6403">
        <v>2010</v>
      </c>
      <c r="EM6403" t="s">
        <v>712</v>
      </c>
      <c r="EN6403" t="s">
        <v>860</v>
      </c>
      <c r="EO6403">
        <v>72.742509931506845</v>
      </c>
    </row>
    <row r="6404" spans="142:145" x14ac:dyDescent="0.25">
      <c r="EL6404">
        <v>2011</v>
      </c>
      <c r="EM6404" t="s">
        <v>719</v>
      </c>
      <c r="EN6404" t="s">
        <v>860</v>
      </c>
      <c r="EO6404">
        <v>70.145509931506837</v>
      </c>
    </row>
    <row r="6405" spans="142:145" x14ac:dyDescent="0.25">
      <c r="EL6405">
        <v>2011</v>
      </c>
      <c r="EM6405" t="s">
        <v>713</v>
      </c>
      <c r="EN6405" t="s">
        <v>860</v>
      </c>
      <c r="EO6405">
        <v>63.175976712328762</v>
      </c>
    </row>
    <row r="6406" spans="142:145" x14ac:dyDescent="0.25">
      <c r="EL6406">
        <v>2011</v>
      </c>
      <c r="EM6406" t="s">
        <v>714</v>
      </c>
      <c r="EN6406" t="s">
        <v>860</v>
      </c>
      <c r="EO6406">
        <v>73.779509931506851</v>
      </c>
    </row>
    <row r="6407" spans="142:145" x14ac:dyDescent="0.25">
      <c r="EL6407">
        <v>2011</v>
      </c>
      <c r="EM6407" t="s">
        <v>705</v>
      </c>
      <c r="EN6407" t="s">
        <v>860</v>
      </c>
      <c r="EO6407">
        <v>69.765332191780828</v>
      </c>
    </row>
    <row r="6408" spans="142:145" x14ac:dyDescent="0.25">
      <c r="EL6408">
        <v>2011</v>
      </c>
      <c r="EM6408" t="s">
        <v>715</v>
      </c>
      <c r="EN6408" t="s">
        <v>860</v>
      </c>
      <c r="EO6408">
        <v>68.584509931506844</v>
      </c>
    </row>
    <row r="6409" spans="142:145" x14ac:dyDescent="0.25">
      <c r="EL6409">
        <v>2011</v>
      </c>
      <c r="EM6409" t="s">
        <v>718</v>
      </c>
      <c r="EN6409" t="s">
        <v>860</v>
      </c>
      <c r="EO6409">
        <v>65.761332191780809</v>
      </c>
    </row>
    <row r="6410" spans="142:145" x14ac:dyDescent="0.25">
      <c r="EL6410">
        <v>2011</v>
      </c>
      <c r="EM6410" t="s">
        <v>716</v>
      </c>
      <c r="EN6410" t="s">
        <v>860</v>
      </c>
      <c r="EO6410">
        <v>67.554509931506843</v>
      </c>
    </row>
    <row r="6411" spans="142:145" x14ac:dyDescent="0.25">
      <c r="EL6411">
        <v>2011</v>
      </c>
      <c r="EM6411" t="s">
        <v>708</v>
      </c>
      <c r="EN6411" t="s">
        <v>860</v>
      </c>
      <c r="EO6411">
        <v>66.913509931506852</v>
      </c>
    </row>
    <row r="6412" spans="142:145" x14ac:dyDescent="0.25">
      <c r="EL6412">
        <v>2011</v>
      </c>
      <c r="EM6412" t="s">
        <v>709</v>
      </c>
      <c r="EN6412" t="s">
        <v>860</v>
      </c>
      <c r="EO6412">
        <v>75.704332191780821</v>
      </c>
    </row>
    <row r="6413" spans="142:145" x14ac:dyDescent="0.25">
      <c r="EL6413">
        <v>2011</v>
      </c>
      <c r="EM6413" t="s">
        <v>710</v>
      </c>
      <c r="EN6413" t="s">
        <v>860</v>
      </c>
      <c r="EO6413">
        <v>72.085912909836068</v>
      </c>
    </row>
    <row r="6414" spans="142:145" x14ac:dyDescent="0.25">
      <c r="EL6414">
        <v>2011</v>
      </c>
      <c r="EM6414" t="s">
        <v>711</v>
      </c>
      <c r="EN6414" t="s">
        <v>860</v>
      </c>
      <c r="EO6414">
        <v>66.339399590163936</v>
      </c>
    </row>
    <row r="6415" spans="142:145" x14ac:dyDescent="0.25">
      <c r="EL6415">
        <v>2011</v>
      </c>
      <c r="EM6415" t="s">
        <v>712</v>
      </c>
      <c r="EN6415" t="s">
        <v>860</v>
      </c>
      <c r="EO6415">
        <v>78.242912909836065</v>
      </c>
    </row>
    <row r="6416" spans="142:145" x14ac:dyDescent="0.25">
      <c r="EL6416">
        <v>2012</v>
      </c>
      <c r="EM6416" t="s">
        <v>719</v>
      </c>
      <c r="EN6416" t="s">
        <v>860</v>
      </c>
      <c r="EO6416">
        <v>69.846912909836064</v>
      </c>
    </row>
    <row r="6417" spans="142:145" x14ac:dyDescent="0.25">
      <c r="EL6417">
        <v>2012</v>
      </c>
      <c r="EM6417" t="s">
        <v>713</v>
      </c>
      <c r="EN6417" t="s">
        <v>860</v>
      </c>
      <c r="EO6417">
        <v>63.531886270491803</v>
      </c>
    </row>
    <row r="6418" spans="142:145" x14ac:dyDescent="0.25">
      <c r="EL6418">
        <v>2012</v>
      </c>
      <c r="EM6418" t="s">
        <v>714</v>
      </c>
      <c r="EN6418" t="s">
        <v>860</v>
      </c>
      <c r="EO6418">
        <v>66.436912909836067</v>
      </c>
    </row>
    <row r="6419" spans="142:145" x14ac:dyDescent="0.25">
      <c r="EL6419">
        <v>2012</v>
      </c>
      <c r="EM6419" t="s">
        <v>705</v>
      </c>
      <c r="EN6419" t="s">
        <v>860</v>
      </c>
      <c r="EO6419">
        <v>65.020399590163919</v>
      </c>
    </row>
    <row r="6420" spans="142:145" x14ac:dyDescent="0.25">
      <c r="EL6420">
        <v>2012</v>
      </c>
      <c r="EM6420" t="s">
        <v>715</v>
      </c>
      <c r="EN6420" t="s">
        <v>860</v>
      </c>
      <c r="EO6420">
        <v>70.429912909836062</v>
      </c>
    </row>
    <row r="6421" spans="142:145" x14ac:dyDescent="0.25">
      <c r="EL6421">
        <v>2012</v>
      </c>
      <c r="EM6421" t="s">
        <v>718</v>
      </c>
      <c r="EN6421" t="s">
        <v>860</v>
      </c>
      <c r="EO6421">
        <v>66.510000000000005</v>
      </c>
    </row>
    <row r="6422" spans="142:145" x14ac:dyDescent="0.25">
      <c r="EL6422">
        <v>2012</v>
      </c>
      <c r="EM6422" t="s">
        <v>716</v>
      </c>
      <c r="EN6422" t="s">
        <v>860</v>
      </c>
      <c r="EO6422">
        <v>68.646912909836061</v>
      </c>
    </row>
    <row r="6423" spans="142:145" x14ac:dyDescent="0.25">
      <c r="EL6423">
        <v>2012</v>
      </c>
      <c r="EM6423" t="s">
        <v>708</v>
      </c>
      <c r="EN6423" t="s">
        <v>860</v>
      </c>
      <c r="EO6423">
        <v>67.456000000000003</v>
      </c>
    </row>
    <row r="6424" spans="142:145" x14ac:dyDescent="0.25">
      <c r="EL6424">
        <v>2012</v>
      </c>
      <c r="EM6424" t="s">
        <v>709</v>
      </c>
      <c r="EN6424" t="s">
        <v>860</v>
      </c>
      <c r="EO6424">
        <v>68.099999999999994</v>
      </c>
    </row>
    <row r="6425" spans="142:145" x14ac:dyDescent="0.25">
      <c r="EL6425">
        <v>2012</v>
      </c>
      <c r="EM6425" t="s">
        <v>710</v>
      </c>
      <c r="EN6425" t="s">
        <v>860</v>
      </c>
      <c r="EO6425">
        <v>70.989999999999995</v>
      </c>
    </row>
    <row r="6426" spans="142:145" x14ac:dyDescent="0.25">
      <c r="EL6426">
        <v>2012</v>
      </c>
      <c r="EM6426" t="s">
        <v>711</v>
      </c>
      <c r="EN6426" t="s">
        <v>860</v>
      </c>
      <c r="EO6426">
        <v>66.42</v>
      </c>
    </row>
    <row r="6427" spans="142:145" x14ac:dyDescent="0.25">
      <c r="EL6427">
        <v>2012</v>
      </c>
      <c r="EM6427" t="s">
        <v>712</v>
      </c>
      <c r="EN6427" t="s">
        <v>860</v>
      </c>
      <c r="EO6427">
        <v>68.515912909836075</v>
      </c>
    </row>
    <row r="6428" spans="142:145" x14ac:dyDescent="0.25">
      <c r="EL6428">
        <v>2013</v>
      </c>
      <c r="EM6428" t="s">
        <v>719</v>
      </c>
      <c r="EN6428" t="s">
        <v>860</v>
      </c>
      <c r="EO6428">
        <v>70.184000000000012</v>
      </c>
    </row>
    <row r="6429" spans="142:145" x14ac:dyDescent="0.25">
      <c r="EL6429">
        <v>2013</v>
      </c>
      <c r="EM6429" t="s">
        <v>713</v>
      </c>
      <c r="EN6429" t="s">
        <v>860</v>
      </c>
      <c r="EO6429">
        <v>62.216000000000001</v>
      </c>
    </row>
    <row r="6430" spans="142:145" x14ac:dyDescent="0.25">
      <c r="EL6430">
        <v>2013</v>
      </c>
      <c r="EM6430" t="s">
        <v>714</v>
      </c>
      <c r="EN6430" t="s">
        <v>860</v>
      </c>
      <c r="EO6430">
        <v>69.626000000000005</v>
      </c>
    </row>
    <row r="6431" spans="142:145" x14ac:dyDescent="0.25">
      <c r="EL6431">
        <v>2013</v>
      </c>
      <c r="EM6431" t="s">
        <v>705</v>
      </c>
      <c r="EN6431" t="s">
        <v>860</v>
      </c>
      <c r="EO6431">
        <v>66.72</v>
      </c>
    </row>
    <row r="6432" spans="142:145" x14ac:dyDescent="0.25">
      <c r="EL6432">
        <v>2013</v>
      </c>
      <c r="EM6432" t="s">
        <v>715</v>
      </c>
      <c r="EN6432" t="s">
        <v>860</v>
      </c>
      <c r="EO6432">
        <v>68.882000000000005</v>
      </c>
    </row>
    <row r="6433" spans="142:145" x14ac:dyDescent="0.25">
      <c r="EL6433">
        <v>2013</v>
      </c>
      <c r="EM6433" t="s">
        <v>718</v>
      </c>
      <c r="EN6433" t="s">
        <v>860</v>
      </c>
      <c r="EO6433">
        <v>73.05</v>
      </c>
    </row>
    <row r="6434" spans="142:145" x14ac:dyDescent="0.25">
      <c r="EL6434">
        <v>2013</v>
      </c>
      <c r="EM6434" t="s">
        <v>716</v>
      </c>
      <c r="EN6434" t="s">
        <v>860</v>
      </c>
      <c r="EO6434">
        <v>69.099000000000004</v>
      </c>
    </row>
    <row r="6435" spans="142:145" x14ac:dyDescent="0.25">
      <c r="EL6435">
        <v>2013</v>
      </c>
      <c r="EM6435" t="s">
        <v>708</v>
      </c>
      <c r="EN6435" t="s">
        <v>860</v>
      </c>
      <c r="EO6435">
        <v>66.588000000000008</v>
      </c>
    </row>
    <row r="6436" spans="142:145" x14ac:dyDescent="0.25">
      <c r="EL6436">
        <v>2013</v>
      </c>
      <c r="EM6436" t="s">
        <v>709</v>
      </c>
      <c r="EN6436" t="s">
        <v>860</v>
      </c>
      <c r="EO6436">
        <v>62.699999999999996</v>
      </c>
    </row>
    <row r="6437" spans="142:145" x14ac:dyDescent="0.25">
      <c r="EL6437">
        <v>2013</v>
      </c>
      <c r="EM6437" t="s">
        <v>710</v>
      </c>
      <c r="EN6437" t="s">
        <v>860</v>
      </c>
      <c r="EO6437">
        <v>73.47</v>
      </c>
    </row>
    <row r="6438" spans="142:145" x14ac:dyDescent="0.25">
      <c r="EL6438">
        <v>2013</v>
      </c>
      <c r="EM6438" t="s">
        <v>711</v>
      </c>
      <c r="EN6438" t="s">
        <v>860</v>
      </c>
      <c r="EO6438">
        <v>70.05</v>
      </c>
    </row>
    <row r="6439" spans="142:145" x14ac:dyDescent="0.25">
      <c r="EL6439">
        <v>2013</v>
      </c>
      <c r="EM6439" t="s">
        <v>712</v>
      </c>
      <c r="EN6439" t="s">
        <v>860</v>
      </c>
      <c r="EO6439">
        <v>78.86399999999999</v>
      </c>
    </row>
    <row r="6440" spans="142:145" x14ac:dyDescent="0.25">
      <c r="EL6440">
        <v>2014</v>
      </c>
      <c r="EM6440" t="s">
        <v>719</v>
      </c>
      <c r="EN6440" t="s">
        <v>860</v>
      </c>
      <c r="EO6440">
        <v>79.05</v>
      </c>
    </row>
    <row r="6441" spans="142:145" x14ac:dyDescent="0.25">
      <c r="EL6441">
        <v>2014</v>
      </c>
      <c r="EM6441" t="s">
        <v>713</v>
      </c>
      <c r="EN6441" t="s">
        <v>860</v>
      </c>
      <c r="EO6441">
        <v>73.051999999999992</v>
      </c>
    </row>
    <row r="6442" spans="142:145" x14ac:dyDescent="0.25">
      <c r="EL6442">
        <v>2014</v>
      </c>
      <c r="EM6442" t="s">
        <v>714</v>
      </c>
      <c r="EN6442" t="s">
        <v>860</v>
      </c>
      <c r="EO6442">
        <v>78.057999999999993</v>
      </c>
    </row>
    <row r="6443" spans="142:145" x14ac:dyDescent="0.25">
      <c r="EL6443">
        <v>2014</v>
      </c>
      <c r="EM6443" t="s">
        <v>705</v>
      </c>
      <c r="EN6443" t="s">
        <v>860</v>
      </c>
      <c r="EO6443">
        <v>79.95</v>
      </c>
    </row>
    <row r="6444" spans="142:145" x14ac:dyDescent="0.25">
      <c r="EL6444">
        <v>2014</v>
      </c>
      <c r="EM6444" t="s">
        <v>715</v>
      </c>
      <c r="EN6444" t="s">
        <v>860</v>
      </c>
      <c r="EO6444">
        <v>81.747</v>
      </c>
    </row>
    <row r="6445" spans="142:145" x14ac:dyDescent="0.25">
      <c r="EL6445">
        <v>2014</v>
      </c>
      <c r="EM6445" t="s">
        <v>718</v>
      </c>
      <c r="EN6445" t="s">
        <v>860</v>
      </c>
      <c r="EO6445">
        <v>78.66</v>
      </c>
    </row>
    <row r="6446" spans="142:145" x14ac:dyDescent="0.25">
      <c r="EL6446">
        <v>2014</v>
      </c>
      <c r="EM6446" t="s">
        <v>716</v>
      </c>
      <c r="EN6446" t="s">
        <v>860</v>
      </c>
      <c r="EO6446">
        <v>74.647999999999996</v>
      </c>
    </row>
    <row r="6447" spans="142:145" x14ac:dyDescent="0.25">
      <c r="EL6447">
        <v>2014</v>
      </c>
      <c r="EM6447" t="s">
        <v>708</v>
      </c>
      <c r="EN6447" t="s">
        <v>860</v>
      </c>
      <c r="EO6447">
        <v>73.501000000000005</v>
      </c>
    </row>
    <row r="6448" spans="142:145" x14ac:dyDescent="0.25">
      <c r="EL6448">
        <v>2014</v>
      </c>
      <c r="EM6448" t="s">
        <v>709</v>
      </c>
      <c r="EN6448" t="s">
        <v>860</v>
      </c>
      <c r="EO6448">
        <v>72.757000000000005</v>
      </c>
    </row>
    <row r="6449" spans="142:145" x14ac:dyDescent="0.25">
      <c r="EL6449">
        <v>2014</v>
      </c>
      <c r="EM6449" t="s">
        <v>710</v>
      </c>
      <c r="EN6449" t="s">
        <v>860</v>
      </c>
      <c r="EO6449">
        <v>71.92</v>
      </c>
    </row>
    <row r="6450" spans="142:145" x14ac:dyDescent="0.25">
      <c r="EL6450">
        <v>2014</v>
      </c>
      <c r="EM6450" t="s">
        <v>711</v>
      </c>
      <c r="EN6450" t="s">
        <v>860</v>
      </c>
      <c r="EO6450">
        <v>69.3</v>
      </c>
    </row>
    <row r="6451" spans="142:145" x14ac:dyDescent="0.25">
      <c r="EL6451">
        <v>2014</v>
      </c>
      <c r="EM6451" t="s">
        <v>712</v>
      </c>
      <c r="EN6451" t="s">
        <v>860</v>
      </c>
      <c r="EO6451">
        <v>74.09</v>
      </c>
    </row>
    <row r="6452" spans="142:145" x14ac:dyDescent="0.25">
      <c r="EL6452">
        <v>2015</v>
      </c>
      <c r="EM6452" t="s">
        <v>719</v>
      </c>
      <c r="EN6452" t="s">
        <v>860</v>
      </c>
      <c r="EO6452">
        <v>76.88</v>
      </c>
    </row>
    <row r="6453" spans="142:145" x14ac:dyDescent="0.25">
      <c r="EL6453">
        <v>2015</v>
      </c>
      <c r="EM6453" t="s">
        <v>713</v>
      </c>
      <c r="EN6453" t="s">
        <v>860</v>
      </c>
      <c r="EO6453">
        <v>67.759999999999991</v>
      </c>
    </row>
    <row r="6454" spans="142:145" x14ac:dyDescent="0.25">
      <c r="EL6454">
        <v>2015</v>
      </c>
      <c r="EM6454" t="s">
        <v>714</v>
      </c>
      <c r="EN6454" t="s">
        <v>860</v>
      </c>
      <c r="EO6454">
        <v>82.149999999999991</v>
      </c>
    </row>
    <row r="6455" spans="142:145" x14ac:dyDescent="0.25">
      <c r="EL6455">
        <v>2015</v>
      </c>
      <c r="EM6455" t="s">
        <v>705</v>
      </c>
      <c r="EN6455" t="s">
        <v>860</v>
      </c>
      <c r="EO6455">
        <v>74.399999999999991</v>
      </c>
    </row>
    <row r="6456" spans="142:145" x14ac:dyDescent="0.25">
      <c r="EL6456">
        <v>2015</v>
      </c>
      <c r="EM6456" t="s">
        <v>715</v>
      </c>
      <c r="EN6456" t="s">
        <v>860</v>
      </c>
      <c r="EO6456">
        <v>70.37</v>
      </c>
    </row>
    <row r="6457" spans="142:145" x14ac:dyDescent="0.25">
      <c r="EL6457">
        <v>2015</v>
      </c>
      <c r="EM6457" t="s">
        <v>718</v>
      </c>
      <c r="EN6457" t="s">
        <v>860</v>
      </c>
      <c r="EO6457">
        <v>74.7</v>
      </c>
    </row>
    <row r="6458" spans="142:145" x14ac:dyDescent="0.25">
      <c r="EL6458">
        <v>2015</v>
      </c>
      <c r="EM6458" t="s">
        <v>716</v>
      </c>
      <c r="EN6458" t="s">
        <v>860</v>
      </c>
      <c r="EO6458">
        <v>74.710000000000008</v>
      </c>
    </row>
    <row r="6459" spans="142:145" x14ac:dyDescent="0.25">
      <c r="EL6459">
        <v>2015</v>
      </c>
      <c r="EM6459" t="s">
        <v>708</v>
      </c>
      <c r="EN6459" t="s">
        <v>860</v>
      </c>
      <c r="EO6459">
        <v>70.680000000000007</v>
      </c>
    </row>
    <row r="6460" spans="142:145" x14ac:dyDescent="0.25">
      <c r="EL6460">
        <v>2015</v>
      </c>
      <c r="EM6460" t="s">
        <v>709</v>
      </c>
      <c r="EN6460" t="s">
        <v>860</v>
      </c>
      <c r="EO6460">
        <v>77.400000000000006</v>
      </c>
    </row>
    <row r="6461" spans="142:145" x14ac:dyDescent="0.25">
      <c r="EL6461">
        <v>2015</v>
      </c>
      <c r="EM6461" t="s">
        <v>710</v>
      </c>
      <c r="EN6461" t="s">
        <v>860</v>
      </c>
      <c r="EO6461">
        <v>71.100000000000009</v>
      </c>
    </row>
    <row r="6462" spans="142:145" x14ac:dyDescent="0.25">
      <c r="EL6462">
        <v>2015</v>
      </c>
      <c r="EM6462" t="s">
        <v>711</v>
      </c>
      <c r="EN6462" t="s">
        <v>860</v>
      </c>
      <c r="EO6462">
        <v>68.099999999999994</v>
      </c>
    </row>
    <row r="6463" spans="142:145" x14ac:dyDescent="0.25">
      <c r="EL6463">
        <v>2015</v>
      </c>
      <c r="EM6463" t="s">
        <v>712</v>
      </c>
      <c r="EN6463" t="s">
        <v>860</v>
      </c>
      <c r="EO6463">
        <v>71.100000000000009</v>
      </c>
    </row>
    <row r="6464" spans="142:145" x14ac:dyDescent="0.25">
      <c r="EL6464">
        <v>2016</v>
      </c>
      <c r="EM6464" t="s">
        <v>719</v>
      </c>
      <c r="EN6464" t="s">
        <v>860</v>
      </c>
      <c r="EO6464">
        <v>75.02</v>
      </c>
    </row>
    <row r="6465" spans="142:145" x14ac:dyDescent="0.25">
      <c r="EL6465">
        <v>2016</v>
      </c>
      <c r="EM6465" t="s">
        <v>713</v>
      </c>
      <c r="EN6465" t="s">
        <v>860</v>
      </c>
      <c r="EO6465">
        <v>85.84</v>
      </c>
    </row>
    <row r="6466" spans="142:145" x14ac:dyDescent="0.25">
      <c r="EL6466">
        <v>2016</v>
      </c>
      <c r="EM6466" t="s">
        <v>714</v>
      </c>
      <c r="EN6466" t="s">
        <v>860</v>
      </c>
      <c r="EO6466">
        <v>68.819999999999993</v>
      </c>
    </row>
    <row r="6467" spans="142:145" x14ac:dyDescent="0.25">
      <c r="EL6467">
        <v>2016</v>
      </c>
      <c r="EM6467" t="s">
        <v>705</v>
      </c>
      <c r="EN6467" t="s">
        <v>860</v>
      </c>
      <c r="EO6467">
        <v>63</v>
      </c>
    </row>
    <row r="6468" spans="142:145" x14ac:dyDescent="0.25">
      <c r="EL6468">
        <v>2016</v>
      </c>
      <c r="EM6468" t="s">
        <v>715</v>
      </c>
      <c r="EN6468" t="s">
        <v>860</v>
      </c>
      <c r="EO6468">
        <v>76.88</v>
      </c>
    </row>
    <row r="6469" spans="142:145" x14ac:dyDescent="0.25">
      <c r="EL6469">
        <v>2016</v>
      </c>
      <c r="EM6469" t="s">
        <v>718</v>
      </c>
      <c r="EN6469" t="s">
        <v>860</v>
      </c>
      <c r="EO6469">
        <v>70.8</v>
      </c>
    </row>
    <row r="6470" spans="142:145" x14ac:dyDescent="0.25">
      <c r="EL6470">
        <v>2016</v>
      </c>
      <c r="EM6470" t="s">
        <v>716</v>
      </c>
      <c r="EN6470" t="s">
        <v>860</v>
      </c>
      <c r="EO6470">
        <v>80.599999999999994</v>
      </c>
    </row>
    <row r="6471" spans="142:145" x14ac:dyDescent="0.25">
      <c r="EL6471">
        <v>2016</v>
      </c>
      <c r="EM6471" t="s">
        <v>708</v>
      </c>
      <c r="EN6471" t="s">
        <v>860</v>
      </c>
      <c r="EO6471">
        <v>63.24</v>
      </c>
    </row>
    <row r="6472" spans="142:145" x14ac:dyDescent="0.25">
      <c r="EL6472">
        <v>2016</v>
      </c>
      <c r="EM6472" t="s">
        <v>709</v>
      </c>
      <c r="EN6472" t="s">
        <v>860</v>
      </c>
      <c r="EO6472">
        <v>72.300000000000011</v>
      </c>
    </row>
    <row r="6473" spans="142:145" x14ac:dyDescent="0.25">
      <c r="EL6473">
        <v>2016</v>
      </c>
      <c r="EM6473" t="s">
        <v>710</v>
      </c>
      <c r="EN6473" t="s">
        <v>860</v>
      </c>
      <c r="EO6473">
        <v>74.710000000000008</v>
      </c>
    </row>
    <row r="6474" spans="142:145" x14ac:dyDescent="0.25">
      <c r="EL6474">
        <v>2016</v>
      </c>
      <c r="EM6474" t="s">
        <v>711</v>
      </c>
      <c r="EN6474" t="s">
        <v>860</v>
      </c>
      <c r="EO6474">
        <v>72.000000000000014</v>
      </c>
    </row>
    <row r="6475" spans="142:145" x14ac:dyDescent="0.25">
      <c r="EL6475">
        <v>2016</v>
      </c>
      <c r="EM6475" t="s">
        <v>712</v>
      </c>
      <c r="EN6475" t="s">
        <v>860</v>
      </c>
      <c r="EO6475">
        <v>82.460000000000008</v>
      </c>
    </row>
    <row r="6476" spans="142:145" x14ac:dyDescent="0.25">
      <c r="EL6476">
        <v>2017</v>
      </c>
      <c r="EM6476" t="s">
        <v>719</v>
      </c>
      <c r="EN6476" t="s">
        <v>860</v>
      </c>
      <c r="EO6476">
        <v>81.53</v>
      </c>
    </row>
    <row r="6477" spans="142:145" x14ac:dyDescent="0.25">
      <c r="EL6477">
        <v>2017</v>
      </c>
      <c r="EM6477" t="s">
        <v>713</v>
      </c>
      <c r="EN6477" t="s">
        <v>860</v>
      </c>
      <c r="EO6477">
        <v>69.72</v>
      </c>
    </row>
    <row r="6478" spans="142:145" x14ac:dyDescent="0.25">
      <c r="EL6478">
        <v>2017</v>
      </c>
      <c r="EM6478" t="s">
        <v>714</v>
      </c>
      <c r="EN6478" t="s">
        <v>860</v>
      </c>
      <c r="EO6478">
        <v>81.53</v>
      </c>
    </row>
    <row r="6479" spans="142:145" x14ac:dyDescent="0.25">
      <c r="EL6479">
        <v>2017</v>
      </c>
      <c r="EM6479" t="s">
        <v>705</v>
      </c>
      <c r="EN6479" t="s">
        <v>860</v>
      </c>
      <c r="EO6479">
        <v>75.900000000000006</v>
      </c>
    </row>
    <row r="6480" spans="142:145" x14ac:dyDescent="0.25">
      <c r="EL6480">
        <v>2017</v>
      </c>
      <c r="EM6480" t="s">
        <v>715</v>
      </c>
      <c r="EN6480" t="s">
        <v>860</v>
      </c>
      <c r="EO6480">
        <v>82.460000000000008</v>
      </c>
    </row>
    <row r="6481" spans="142:145" x14ac:dyDescent="0.25">
      <c r="EL6481">
        <v>2017</v>
      </c>
      <c r="EM6481" t="s">
        <v>718</v>
      </c>
      <c r="EN6481" t="s">
        <v>860</v>
      </c>
      <c r="EO6481">
        <v>71.100000000000009</v>
      </c>
    </row>
    <row r="6482" spans="142:145" x14ac:dyDescent="0.25">
      <c r="EL6482">
        <v>2017</v>
      </c>
      <c r="EM6482" t="s">
        <v>716</v>
      </c>
      <c r="EN6482" t="s">
        <v>860</v>
      </c>
      <c r="EO6482">
        <v>75.64</v>
      </c>
    </row>
    <row r="6483" spans="142:145" x14ac:dyDescent="0.25">
      <c r="EL6483">
        <v>2017</v>
      </c>
      <c r="EM6483" t="s">
        <v>708</v>
      </c>
      <c r="EN6483" t="s">
        <v>860</v>
      </c>
      <c r="EO6483">
        <v>75.02</v>
      </c>
    </row>
    <row r="6484" spans="142:145" x14ac:dyDescent="0.25">
      <c r="EL6484">
        <v>2017</v>
      </c>
      <c r="EM6484" t="s">
        <v>709</v>
      </c>
      <c r="EN6484" t="s">
        <v>860</v>
      </c>
      <c r="EO6484">
        <v>68.099999999999994</v>
      </c>
    </row>
    <row r="6485" spans="142:145" x14ac:dyDescent="0.25">
      <c r="EL6485">
        <v>2017</v>
      </c>
      <c r="EM6485" t="s">
        <v>710</v>
      </c>
      <c r="EN6485" t="s">
        <v>860</v>
      </c>
      <c r="EO6485">
        <v>69.440000000000012</v>
      </c>
    </row>
    <row r="6486" spans="142:145" x14ac:dyDescent="0.25">
      <c r="EL6486">
        <v>2017</v>
      </c>
      <c r="EM6486" t="s">
        <v>711</v>
      </c>
      <c r="EN6486" t="s">
        <v>860</v>
      </c>
      <c r="EO6486">
        <v>69.3</v>
      </c>
    </row>
    <row r="6487" spans="142:145" x14ac:dyDescent="0.25">
      <c r="EL6487">
        <v>2017</v>
      </c>
      <c r="EM6487" t="s">
        <v>712</v>
      </c>
      <c r="EN6487" t="s">
        <v>860</v>
      </c>
      <c r="EO6487">
        <v>74.710000000000008</v>
      </c>
    </row>
    <row r="6488" spans="142:145" x14ac:dyDescent="0.25">
      <c r="EL6488">
        <v>2018</v>
      </c>
      <c r="EM6488" t="s">
        <v>719</v>
      </c>
      <c r="EN6488" t="s">
        <v>860</v>
      </c>
      <c r="EO6488">
        <v>74.089999999999989</v>
      </c>
    </row>
    <row r="6489" spans="142:145" x14ac:dyDescent="0.25">
      <c r="EL6489">
        <v>2018</v>
      </c>
      <c r="EM6489" t="s">
        <v>713</v>
      </c>
      <c r="EN6489" t="s">
        <v>860</v>
      </c>
      <c r="EO6489">
        <v>66.64</v>
      </c>
    </row>
    <row r="6490" spans="142:145" x14ac:dyDescent="0.25">
      <c r="EL6490">
        <v>2018</v>
      </c>
      <c r="EM6490" t="s">
        <v>714</v>
      </c>
      <c r="EN6490" t="s">
        <v>860</v>
      </c>
      <c r="EO6490">
        <v>69.440000000000012</v>
      </c>
    </row>
    <row r="6491" spans="142:145" x14ac:dyDescent="0.25">
      <c r="EL6491">
        <v>2018</v>
      </c>
      <c r="EM6491" t="s">
        <v>705</v>
      </c>
      <c r="EN6491" t="s">
        <v>860</v>
      </c>
      <c r="EO6491">
        <v>68.400000000000006</v>
      </c>
    </row>
    <row r="6492" spans="142:145" x14ac:dyDescent="0.25">
      <c r="EL6492">
        <v>2018</v>
      </c>
      <c r="EM6492" t="s">
        <v>715</v>
      </c>
      <c r="EN6492" t="s">
        <v>860</v>
      </c>
      <c r="EO6492">
        <v>83.079999999999984</v>
      </c>
    </row>
    <row r="6493" spans="142:145" x14ac:dyDescent="0.25">
      <c r="EL6493">
        <v>2018</v>
      </c>
      <c r="EM6493" t="s">
        <v>718</v>
      </c>
      <c r="EN6493" t="s">
        <v>860</v>
      </c>
      <c r="EO6493">
        <v>74.099999999999994</v>
      </c>
    </row>
    <row r="6494" spans="142:145" x14ac:dyDescent="0.25">
      <c r="EL6494">
        <v>2018</v>
      </c>
      <c r="EM6494" t="s">
        <v>716</v>
      </c>
      <c r="EN6494" t="s">
        <v>860</v>
      </c>
      <c r="EO6494">
        <v>81.53</v>
      </c>
    </row>
    <row r="6495" spans="142:145" x14ac:dyDescent="0.25">
      <c r="EL6495">
        <v>2018</v>
      </c>
      <c r="EM6495" t="s">
        <v>708</v>
      </c>
      <c r="EN6495" t="s">
        <v>860</v>
      </c>
      <c r="EO6495">
        <v>89.899999999999991</v>
      </c>
    </row>
    <row r="6496" spans="142:145" x14ac:dyDescent="0.25">
      <c r="EL6496">
        <v>2018</v>
      </c>
      <c r="EM6496" t="s">
        <v>709</v>
      </c>
      <c r="EN6496" t="s">
        <v>860</v>
      </c>
      <c r="EO6496">
        <v>84.600000000000009</v>
      </c>
    </row>
    <row r="6497" spans="142:145" x14ac:dyDescent="0.25">
      <c r="EL6497">
        <v>2018</v>
      </c>
      <c r="EM6497" t="s">
        <v>710</v>
      </c>
      <c r="EN6497" t="s">
        <v>860</v>
      </c>
      <c r="EO6497">
        <v>84.3</v>
      </c>
    </row>
    <row r="6498" spans="142:145" x14ac:dyDescent="0.25">
      <c r="EL6498">
        <v>2018</v>
      </c>
      <c r="EM6498" t="s">
        <v>711</v>
      </c>
      <c r="EN6498" t="s">
        <v>860</v>
      </c>
      <c r="EO6498">
        <v>84</v>
      </c>
    </row>
    <row r="6499" spans="142:145" x14ac:dyDescent="0.25">
      <c r="EL6499">
        <v>2018</v>
      </c>
      <c r="EM6499" t="s">
        <v>712</v>
      </c>
      <c r="EN6499" t="s">
        <v>860</v>
      </c>
      <c r="EO6499">
        <v>90.829999999999984</v>
      </c>
    </row>
    <row r="6500" spans="142:145" x14ac:dyDescent="0.25">
      <c r="EL6500">
        <v>2019</v>
      </c>
      <c r="EM6500" t="s">
        <v>719</v>
      </c>
      <c r="EN6500" t="s">
        <v>860</v>
      </c>
      <c r="EO6500">
        <v>84.63</v>
      </c>
    </row>
    <row r="6501" spans="142:145" x14ac:dyDescent="0.25">
      <c r="EL6501">
        <v>2019</v>
      </c>
      <c r="EM6501" t="s">
        <v>713</v>
      </c>
      <c r="EN6501" t="s">
        <v>860</v>
      </c>
      <c r="EO6501">
        <v>77.56</v>
      </c>
    </row>
    <row r="6502" spans="142:145" x14ac:dyDescent="0.25">
      <c r="EL6502">
        <v>2019</v>
      </c>
      <c r="EM6502" t="s">
        <v>714</v>
      </c>
      <c r="EN6502" t="s">
        <v>860</v>
      </c>
      <c r="EO6502">
        <v>85.559999999999988</v>
      </c>
    </row>
    <row r="6503" spans="142:145" x14ac:dyDescent="0.25">
      <c r="EL6503">
        <v>2019</v>
      </c>
      <c r="EM6503" t="s">
        <v>705</v>
      </c>
      <c r="EN6503" t="s">
        <v>860</v>
      </c>
      <c r="EO6503">
        <v>74.099999999999994</v>
      </c>
    </row>
    <row r="6504" spans="142:145" x14ac:dyDescent="0.25">
      <c r="EL6504">
        <v>2019</v>
      </c>
      <c r="EM6504" t="s">
        <v>715</v>
      </c>
      <c r="EN6504" t="s">
        <v>860</v>
      </c>
      <c r="EO6504">
        <v>98.579999999999984</v>
      </c>
    </row>
    <row r="6505" spans="142:145" x14ac:dyDescent="0.25">
      <c r="EL6505">
        <v>2019</v>
      </c>
      <c r="EM6505" t="s">
        <v>718</v>
      </c>
      <c r="EN6505" t="s">
        <v>860</v>
      </c>
      <c r="EO6505">
        <v>86.699999999999989</v>
      </c>
    </row>
    <row r="6506" spans="142:145" x14ac:dyDescent="0.25">
      <c r="EL6506">
        <v>2019</v>
      </c>
      <c r="EM6506" t="s">
        <v>716</v>
      </c>
      <c r="EN6506" t="s">
        <v>860</v>
      </c>
      <c r="EO6506">
        <v>80.289999999999992</v>
      </c>
    </row>
    <row r="6507" spans="142:145" x14ac:dyDescent="0.25">
      <c r="EL6507">
        <v>2019</v>
      </c>
      <c r="EM6507" t="s">
        <v>708</v>
      </c>
      <c r="EN6507" t="s">
        <v>860</v>
      </c>
      <c r="EO6507">
        <v>91.76</v>
      </c>
    </row>
    <row r="6508" spans="142:145" x14ac:dyDescent="0.25">
      <c r="EL6508">
        <v>2019</v>
      </c>
      <c r="EM6508" t="s">
        <v>709</v>
      </c>
      <c r="EN6508" t="s">
        <v>860</v>
      </c>
      <c r="EO6508">
        <v>72</v>
      </c>
    </row>
    <row r="6509" spans="142:145" x14ac:dyDescent="0.25">
      <c r="EL6509">
        <v>2019</v>
      </c>
      <c r="EM6509" t="s">
        <v>710</v>
      </c>
      <c r="EN6509" t="s">
        <v>860</v>
      </c>
      <c r="EO6509">
        <v>83.39</v>
      </c>
    </row>
    <row r="6510" spans="142:145" x14ac:dyDescent="0.25">
      <c r="EL6510">
        <v>2019</v>
      </c>
      <c r="EM6510" t="s">
        <v>711</v>
      </c>
      <c r="EN6510" t="s">
        <v>860</v>
      </c>
      <c r="EO6510">
        <v>78.899999999999991</v>
      </c>
    </row>
    <row r="6511" spans="142:145" x14ac:dyDescent="0.25">
      <c r="EL6511">
        <v>2019</v>
      </c>
      <c r="EM6511" t="s">
        <v>712</v>
      </c>
      <c r="EN6511" t="s">
        <v>860</v>
      </c>
      <c r="EO6511">
        <v>83.39</v>
      </c>
    </row>
    <row r="6512" spans="142:145" x14ac:dyDescent="0.25">
      <c r="EL6512">
        <v>2020</v>
      </c>
      <c r="EM6512" t="s">
        <v>719</v>
      </c>
      <c r="EN6512" t="s">
        <v>860</v>
      </c>
      <c r="EO6512">
        <v>89.589999999999989</v>
      </c>
    </row>
    <row r="6513" spans="142:145" x14ac:dyDescent="0.25">
      <c r="EL6513">
        <v>2020</v>
      </c>
      <c r="EM6513" t="s">
        <v>713</v>
      </c>
      <c r="EN6513" t="s">
        <v>860</v>
      </c>
      <c r="EO6513">
        <v>76.27</v>
      </c>
    </row>
    <row r="6514" spans="142:145" x14ac:dyDescent="0.25">
      <c r="EL6514">
        <v>2020</v>
      </c>
      <c r="EM6514" t="s">
        <v>714</v>
      </c>
      <c r="EN6514" t="s">
        <v>860</v>
      </c>
      <c r="EO6514">
        <v>84.32</v>
      </c>
    </row>
    <row r="6515" spans="142:145" x14ac:dyDescent="0.25">
      <c r="EL6515">
        <v>2020</v>
      </c>
      <c r="EM6515" t="s">
        <v>705</v>
      </c>
      <c r="EN6515" t="s">
        <v>860</v>
      </c>
      <c r="EO6515">
        <v>78.899999999999991</v>
      </c>
    </row>
    <row r="6516" spans="142:145" x14ac:dyDescent="0.25">
      <c r="EL6516">
        <v>2020</v>
      </c>
      <c r="EM6516" t="s">
        <v>715</v>
      </c>
      <c r="EN6516" t="s">
        <v>860</v>
      </c>
      <c r="EO6516">
        <v>83.39</v>
      </c>
    </row>
    <row r="6517" spans="142:145" x14ac:dyDescent="0.25">
      <c r="EL6517">
        <v>2020</v>
      </c>
      <c r="EM6517" t="s">
        <v>718</v>
      </c>
      <c r="EN6517" t="s">
        <v>860</v>
      </c>
      <c r="EO6517">
        <v>81.899999999999991</v>
      </c>
    </row>
    <row r="6518" spans="142:145" x14ac:dyDescent="0.25">
      <c r="EL6518">
        <v>2020</v>
      </c>
      <c r="EM6518" t="s">
        <v>716</v>
      </c>
      <c r="EN6518" t="s">
        <v>860</v>
      </c>
      <c r="EO6518">
        <v>79.670000000000016</v>
      </c>
    </row>
    <row r="6519" spans="142:145" x14ac:dyDescent="0.25">
      <c r="EL6519">
        <v>2020</v>
      </c>
      <c r="EM6519" t="s">
        <v>708</v>
      </c>
      <c r="EN6519" t="s">
        <v>860</v>
      </c>
      <c r="EO6519">
        <v>77.809999999999988</v>
      </c>
    </row>
    <row r="6520" spans="142:145" x14ac:dyDescent="0.25">
      <c r="EL6520">
        <v>2020</v>
      </c>
      <c r="EM6520" t="s">
        <v>709</v>
      </c>
      <c r="EN6520" t="s">
        <v>860</v>
      </c>
      <c r="EO6520">
        <v>74.400000000000006</v>
      </c>
    </row>
    <row r="6521" spans="142:145" x14ac:dyDescent="0.25">
      <c r="EL6521">
        <v>2020</v>
      </c>
      <c r="EM6521" t="s">
        <v>710</v>
      </c>
      <c r="EN6521" t="s">
        <v>860</v>
      </c>
      <c r="EO6521">
        <v>70.989999999999995</v>
      </c>
    </row>
    <row r="6522" spans="142:145" x14ac:dyDescent="0.25">
      <c r="EL6522">
        <v>2020</v>
      </c>
      <c r="EM6522" t="s">
        <v>711</v>
      </c>
      <c r="EN6522" t="s">
        <v>860</v>
      </c>
      <c r="EO6522">
        <v>89.1</v>
      </c>
    </row>
    <row r="6523" spans="142:145" x14ac:dyDescent="0.25">
      <c r="EL6523">
        <v>2020</v>
      </c>
      <c r="EM6523" t="s">
        <v>712</v>
      </c>
      <c r="EN6523" t="s">
        <v>860</v>
      </c>
      <c r="EO6523">
        <v>76.88</v>
      </c>
    </row>
    <row r="6524" spans="142:145" x14ac:dyDescent="0.25">
      <c r="EL6524">
        <v>2021</v>
      </c>
      <c r="EM6524" t="s">
        <v>719</v>
      </c>
      <c r="EN6524" t="s">
        <v>860</v>
      </c>
      <c r="EO6524">
        <v>71.61</v>
      </c>
    </row>
    <row r="6525" spans="142:145" x14ac:dyDescent="0.25">
      <c r="EL6525">
        <v>2021</v>
      </c>
      <c r="EM6525" t="s">
        <v>713</v>
      </c>
      <c r="EN6525" t="s">
        <v>860</v>
      </c>
      <c r="EO6525">
        <v>68.88</v>
      </c>
    </row>
    <row r="6526" spans="142:145" x14ac:dyDescent="0.25">
      <c r="EL6526">
        <v>2021</v>
      </c>
      <c r="EM6526" t="s">
        <v>714</v>
      </c>
      <c r="EN6526" t="s">
        <v>860</v>
      </c>
      <c r="EO6526">
        <v>73.47</v>
      </c>
    </row>
    <row r="6527" spans="142:145" x14ac:dyDescent="0.25">
      <c r="EL6527">
        <v>2021</v>
      </c>
      <c r="EM6527" t="s">
        <v>705</v>
      </c>
      <c r="EN6527" t="s">
        <v>860</v>
      </c>
      <c r="EO6527">
        <v>68.400000000000006</v>
      </c>
    </row>
    <row r="6528" spans="142:145" x14ac:dyDescent="0.25">
      <c r="EL6528">
        <v>2021</v>
      </c>
      <c r="EM6528" t="s">
        <v>715</v>
      </c>
      <c r="EN6528" t="s">
        <v>860</v>
      </c>
      <c r="EO6528">
        <v>71.61</v>
      </c>
    </row>
    <row r="6529" spans="142:145" x14ac:dyDescent="0.25">
      <c r="EL6529">
        <v>2021</v>
      </c>
      <c r="EM6529" t="s">
        <v>718</v>
      </c>
      <c r="EN6529" t="s">
        <v>860</v>
      </c>
      <c r="EO6529">
        <v>69.900000000000006</v>
      </c>
    </row>
    <row r="6530" spans="142:145" x14ac:dyDescent="0.25">
      <c r="EL6530">
        <v>2021</v>
      </c>
      <c r="EM6530" t="s">
        <v>716</v>
      </c>
      <c r="EN6530" t="s">
        <v>860</v>
      </c>
      <c r="EO6530">
        <v>69.440000000000012</v>
      </c>
    </row>
    <row r="6531" spans="142:145" x14ac:dyDescent="0.25">
      <c r="EL6531">
        <v>2021</v>
      </c>
      <c r="EM6531" t="s">
        <v>708</v>
      </c>
      <c r="EN6531" t="s">
        <v>860</v>
      </c>
      <c r="EO6531">
        <v>74.710000000000008</v>
      </c>
    </row>
    <row r="6532" spans="142:145" x14ac:dyDescent="0.25">
      <c r="EL6532">
        <v>2021</v>
      </c>
      <c r="EM6532" t="s">
        <v>709</v>
      </c>
      <c r="EN6532" t="s">
        <v>860</v>
      </c>
      <c r="EO6532">
        <v>73.2</v>
      </c>
    </row>
    <row r="6533" spans="142:145" x14ac:dyDescent="0.25">
      <c r="EL6533">
        <v>2021</v>
      </c>
      <c r="EM6533" t="s">
        <v>710</v>
      </c>
      <c r="EN6533" t="s">
        <v>860</v>
      </c>
      <c r="EO6533">
        <v>74.09</v>
      </c>
    </row>
    <row r="6534" spans="142:145" x14ac:dyDescent="0.25">
      <c r="EL6534">
        <v>2021</v>
      </c>
      <c r="EM6534" t="s">
        <v>711</v>
      </c>
      <c r="EN6534" t="s">
        <v>860</v>
      </c>
      <c r="EO6534">
        <v>71.399999999999991</v>
      </c>
    </row>
    <row r="6535" spans="142:145" x14ac:dyDescent="0.25">
      <c r="EL6535">
        <v>2021</v>
      </c>
      <c r="EM6535" t="s">
        <v>712</v>
      </c>
      <c r="EN6535" t="s">
        <v>860</v>
      </c>
      <c r="EO6535">
        <v>72.23</v>
      </c>
    </row>
    <row r="6536" spans="142:145" x14ac:dyDescent="0.25">
      <c r="EL6536">
        <v>2022</v>
      </c>
      <c r="EM6536" t="s">
        <v>719</v>
      </c>
      <c r="EN6536" t="s">
        <v>860</v>
      </c>
      <c r="EO6536">
        <v>75.95</v>
      </c>
    </row>
    <row r="6537" spans="142:145" x14ac:dyDescent="0.25">
      <c r="EL6537">
        <v>2022</v>
      </c>
      <c r="EM6537" t="s">
        <v>713</v>
      </c>
      <c r="EN6537" t="s">
        <v>860</v>
      </c>
      <c r="EO6537">
        <v>65.52</v>
      </c>
    </row>
    <row r="6538" spans="142:145" x14ac:dyDescent="0.25">
      <c r="EL6538">
        <v>2022</v>
      </c>
      <c r="EM6538" t="s">
        <v>714</v>
      </c>
      <c r="EN6538" t="s">
        <v>860</v>
      </c>
      <c r="EO6538">
        <v>73.78</v>
      </c>
    </row>
    <row r="6539" spans="142:145" x14ac:dyDescent="0.25">
      <c r="EL6539">
        <v>2022</v>
      </c>
      <c r="EM6539" t="s">
        <v>705</v>
      </c>
      <c r="EN6539" t="s">
        <v>860</v>
      </c>
      <c r="EO6539">
        <v>74.7</v>
      </c>
    </row>
    <row r="6540" spans="142:145" x14ac:dyDescent="0.25">
      <c r="EL6540">
        <v>2022</v>
      </c>
      <c r="EM6540" t="s">
        <v>715</v>
      </c>
      <c r="EN6540" t="s">
        <v>860</v>
      </c>
      <c r="EO6540">
        <v>77.809999999999988</v>
      </c>
    </row>
    <row r="6541" spans="142:145" x14ac:dyDescent="0.25">
      <c r="EL6541">
        <v>2022</v>
      </c>
      <c r="EM6541" t="s">
        <v>718</v>
      </c>
      <c r="EN6541" t="s">
        <v>860</v>
      </c>
      <c r="EO6541">
        <v>72</v>
      </c>
    </row>
    <row r="6542" spans="142:145" x14ac:dyDescent="0.25">
      <c r="EL6542">
        <v>2022</v>
      </c>
      <c r="EM6542" t="s">
        <v>716</v>
      </c>
      <c r="EN6542" t="s">
        <v>860</v>
      </c>
      <c r="EO6542">
        <v>75.64</v>
      </c>
    </row>
    <row r="6543" spans="142:145" x14ac:dyDescent="0.25">
      <c r="EL6543">
        <v>2022</v>
      </c>
      <c r="EM6543" t="s">
        <v>708</v>
      </c>
      <c r="EN6543" t="s">
        <v>860</v>
      </c>
      <c r="EO6543">
        <v>75.02</v>
      </c>
    </row>
    <row r="6544" spans="142:145" x14ac:dyDescent="0.25">
      <c r="EL6544">
        <v>2022</v>
      </c>
      <c r="EM6544" t="s">
        <v>709</v>
      </c>
      <c r="EN6544" t="s">
        <v>860</v>
      </c>
      <c r="EO6544">
        <v>71.7</v>
      </c>
    </row>
    <row r="6545" spans="142:145" x14ac:dyDescent="0.25">
      <c r="EL6545">
        <v>2022</v>
      </c>
      <c r="EM6545" t="s">
        <v>710</v>
      </c>
      <c r="EN6545" t="s">
        <v>860</v>
      </c>
      <c r="EO6545">
        <v>72.850000000000009</v>
      </c>
    </row>
    <row r="6546" spans="142:145" x14ac:dyDescent="0.25">
      <c r="EL6546">
        <v>2022</v>
      </c>
      <c r="EM6546" t="s">
        <v>711</v>
      </c>
      <c r="EN6546" t="s">
        <v>860</v>
      </c>
      <c r="EO6546">
        <v>70.8</v>
      </c>
    </row>
    <row r="6547" spans="142:145" x14ac:dyDescent="0.25">
      <c r="EL6547">
        <v>2022</v>
      </c>
      <c r="EM6547" t="s">
        <v>712</v>
      </c>
      <c r="EN6547" t="s">
        <v>860</v>
      </c>
      <c r="EO6547">
        <v>75.95</v>
      </c>
    </row>
    <row r="6548" spans="142:145" x14ac:dyDescent="0.25">
      <c r="EL6548">
        <v>2023</v>
      </c>
      <c r="EM6548" t="s">
        <v>719</v>
      </c>
      <c r="EN6548" t="s">
        <v>860</v>
      </c>
      <c r="EO6548">
        <v>75.64</v>
      </c>
    </row>
    <row r="6549" spans="142:145" x14ac:dyDescent="0.25">
      <c r="EL6549">
        <v>2023</v>
      </c>
      <c r="EM6549" t="s">
        <v>713</v>
      </c>
      <c r="EN6549" t="s">
        <v>860</v>
      </c>
      <c r="EO6549">
        <v>67.759999999999991</v>
      </c>
    </row>
    <row r="6550" spans="142:145" x14ac:dyDescent="0.25">
      <c r="EL6550">
        <v>2023</v>
      </c>
      <c r="EM6550" t="s">
        <v>714</v>
      </c>
      <c r="EN6550" t="s">
        <v>860</v>
      </c>
      <c r="EO6550">
        <v>73.16</v>
      </c>
    </row>
    <row r="6551" spans="142:145" x14ac:dyDescent="0.25">
      <c r="EL6551">
        <v>2023</v>
      </c>
      <c r="EM6551" t="s">
        <v>705</v>
      </c>
      <c r="EN6551" t="s">
        <v>860</v>
      </c>
      <c r="EO6551">
        <v>70.8</v>
      </c>
    </row>
    <row r="6552" spans="142:145" x14ac:dyDescent="0.25">
      <c r="EL6552">
        <v>2023</v>
      </c>
      <c r="EM6552" t="s">
        <v>715</v>
      </c>
      <c r="EN6552" t="s">
        <v>860</v>
      </c>
      <c r="EO6552">
        <v>75.95</v>
      </c>
    </row>
    <row r="6553" spans="142:145" x14ac:dyDescent="0.25">
      <c r="EL6553">
        <v>2023</v>
      </c>
      <c r="EM6553" t="s">
        <v>718</v>
      </c>
      <c r="EN6553" t="s">
        <v>860</v>
      </c>
      <c r="EO6553">
        <v>73.2</v>
      </c>
    </row>
    <row r="6554" spans="142:145" x14ac:dyDescent="0.25">
      <c r="EL6554">
        <v>2023</v>
      </c>
      <c r="EM6554" t="s">
        <v>716</v>
      </c>
      <c r="EN6554" t="s">
        <v>860</v>
      </c>
      <c r="EO6554">
        <v>77.5</v>
      </c>
    </row>
    <row r="6555" spans="142:145" x14ac:dyDescent="0.25">
      <c r="EL6555">
        <v>2023</v>
      </c>
      <c r="EM6555" t="s">
        <v>708</v>
      </c>
      <c r="EN6555" t="s">
        <v>860</v>
      </c>
      <c r="EO6555">
        <v>76.88</v>
      </c>
    </row>
    <row r="6556" spans="142:145" x14ac:dyDescent="0.25">
      <c r="EL6556">
        <v>2023</v>
      </c>
      <c r="EM6556" t="s">
        <v>709</v>
      </c>
      <c r="EN6556" t="s">
        <v>860</v>
      </c>
      <c r="EO6556">
        <v>75.900000000000006</v>
      </c>
    </row>
    <row r="6557" spans="142:145" x14ac:dyDescent="0.25">
      <c r="EL6557">
        <v>1997</v>
      </c>
      <c r="EM6557" t="s">
        <v>760</v>
      </c>
      <c r="EN6557" t="s">
        <v>861</v>
      </c>
      <c r="EO6557">
        <v>2695.6049999999996</v>
      </c>
    </row>
    <row r="6558" spans="142:145" x14ac:dyDescent="0.25">
      <c r="EL6558">
        <v>1997</v>
      </c>
      <c r="EM6558" t="s">
        <v>761</v>
      </c>
      <c r="EN6558" t="s">
        <v>861</v>
      </c>
      <c r="EO6558">
        <v>2931.0600000000004</v>
      </c>
    </row>
    <row r="6559" spans="142:145" x14ac:dyDescent="0.25">
      <c r="EL6559">
        <v>1997</v>
      </c>
      <c r="EM6559" t="s">
        <v>762</v>
      </c>
      <c r="EN6559" t="s">
        <v>861</v>
      </c>
      <c r="EO6559">
        <v>2770.4080000000008</v>
      </c>
    </row>
    <row r="6560" spans="142:145" x14ac:dyDescent="0.25">
      <c r="EL6560">
        <v>1998</v>
      </c>
      <c r="EM6560" t="s">
        <v>763</v>
      </c>
      <c r="EN6560" t="s">
        <v>861</v>
      </c>
      <c r="EO6560">
        <v>3119.2509999999997</v>
      </c>
    </row>
    <row r="6561" spans="142:145" x14ac:dyDescent="0.25">
      <c r="EL6561">
        <v>1998</v>
      </c>
      <c r="EM6561" t="s">
        <v>764</v>
      </c>
      <c r="EN6561" t="s">
        <v>861</v>
      </c>
      <c r="EO6561">
        <v>3366.7479999999991</v>
      </c>
    </row>
    <row r="6562" spans="142:145" x14ac:dyDescent="0.25">
      <c r="EL6562">
        <v>1998</v>
      </c>
      <c r="EM6562" t="s">
        <v>765</v>
      </c>
      <c r="EN6562" t="s">
        <v>861</v>
      </c>
      <c r="EO6562">
        <v>3922.3369999999995</v>
      </c>
    </row>
    <row r="6563" spans="142:145" x14ac:dyDescent="0.25">
      <c r="EL6563">
        <v>1998</v>
      </c>
      <c r="EM6563" t="s">
        <v>767</v>
      </c>
      <c r="EN6563" t="s">
        <v>861</v>
      </c>
      <c r="EO6563">
        <v>3363.5400000000004</v>
      </c>
    </row>
    <row r="6564" spans="142:145" x14ac:dyDescent="0.25">
      <c r="EL6564">
        <v>1998</v>
      </c>
      <c r="EM6564" t="s">
        <v>715</v>
      </c>
      <c r="EN6564" t="s">
        <v>861</v>
      </c>
      <c r="EO6564">
        <v>3629.2630000000004</v>
      </c>
    </row>
    <row r="6565" spans="142:145" x14ac:dyDescent="0.25">
      <c r="EL6565">
        <v>1998</v>
      </c>
      <c r="EM6565" t="s">
        <v>718</v>
      </c>
      <c r="EN6565" t="s">
        <v>861</v>
      </c>
      <c r="EO6565">
        <v>2916.7799999999997</v>
      </c>
    </row>
    <row r="6566" spans="142:145" x14ac:dyDescent="0.25">
      <c r="EL6566">
        <v>1998</v>
      </c>
      <c r="EM6566" t="s">
        <v>716</v>
      </c>
      <c r="EN6566" t="s">
        <v>861</v>
      </c>
      <c r="EO6566">
        <v>2819.357</v>
      </c>
    </row>
    <row r="6567" spans="142:145" x14ac:dyDescent="0.25">
      <c r="EL6567">
        <v>1998</v>
      </c>
      <c r="EM6567" t="s">
        <v>768</v>
      </c>
      <c r="EN6567" t="s">
        <v>861</v>
      </c>
      <c r="EO6567">
        <v>2668.17</v>
      </c>
    </row>
    <row r="6568" spans="142:145" x14ac:dyDescent="0.25">
      <c r="EL6568">
        <v>1998</v>
      </c>
      <c r="EM6568" t="s">
        <v>769</v>
      </c>
      <c r="EN6568" t="s">
        <v>861</v>
      </c>
      <c r="EO6568">
        <v>2508.2700000000009</v>
      </c>
    </row>
    <row r="6569" spans="142:145" x14ac:dyDescent="0.25">
      <c r="EL6569">
        <v>1998</v>
      </c>
      <c r="EM6569" t="s">
        <v>760</v>
      </c>
      <c r="EN6569" t="s">
        <v>861</v>
      </c>
      <c r="EO6569">
        <v>2491.5319999999997</v>
      </c>
    </row>
    <row r="6570" spans="142:145" x14ac:dyDescent="0.25">
      <c r="EL6570">
        <v>1998</v>
      </c>
      <c r="EM6570" t="s">
        <v>771</v>
      </c>
      <c r="EN6570" t="s">
        <v>861</v>
      </c>
      <c r="EO6570">
        <v>2390.0100000000002</v>
      </c>
    </row>
    <row r="6571" spans="142:145" x14ac:dyDescent="0.25">
      <c r="EL6571">
        <v>1998</v>
      </c>
      <c r="EM6571" t="s">
        <v>762</v>
      </c>
      <c r="EN6571" t="s">
        <v>861</v>
      </c>
      <c r="EO6571">
        <v>2473.4279999999999</v>
      </c>
    </row>
    <row r="6572" spans="142:145" x14ac:dyDescent="0.25">
      <c r="EL6572">
        <v>1999</v>
      </c>
      <c r="EM6572" t="s">
        <v>763</v>
      </c>
      <c r="EN6572" t="s">
        <v>861</v>
      </c>
      <c r="EO6572">
        <v>2681.3759999999993</v>
      </c>
    </row>
    <row r="6573" spans="142:145" x14ac:dyDescent="0.25">
      <c r="EL6573">
        <v>1999</v>
      </c>
      <c r="EM6573" t="s">
        <v>772</v>
      </c>
      <c r="EN6573" t="s">
        <v>861</v>
      </c>
      <c r="EO6573">
        <v>2398.3679999999999</v>
      </c>
    </row>
    <row r="6574" spans="142:145" x14ac:dyDescent="0.25">
      <c r="EL6574">
        <v>1999</v>
      </c>
      <c r="EM6574" t="s">
        <v>773</v>
      </c>
      <c r="EN6574" t="s">
        <v>861</v>
      </c>
      <c r="EO6574">
        <v>2988.0589999999997</v>
      </c>
    </row>
    <row r="6575" spans="142:145" x14ac:dyDescent="0.25">
      <c r="EL6575">
        <v>1999</v>
      </c>
      <c r="EM6575" t="s">
        <v>774</v>
      </c>
      <c r="EN6575" t="s">
        <v>861</v>
      </c>
      <c r="EO6575">
        <v>2732.5499999999997</v>
      </c>
    </row>
    <row r="6576" spans="142:145" x14ac:dyDescent="0.25">
      <c r="EL6576">
        <v>1999</v>
      </c>
      <c r="EM6576" t="s">
        <v>715</v>
      </c>
      <c r="EN6576" t="s">
        <v>861</v>
      </c>
      <c r="EO6576">
        <v>2854.5420000000004</v>
      </c>
    </row>
    <row r="6577" spans="142:145" x14ac:dyDescent="0.25">
      <c r="EL6577">
        <v>1999</v>
      </c>
      <c r="EM6577" t="s">
        <v>718</v>
      </c>
      <c r="EN6577" t="s">
        <v>861</v>
      </c>
      <c r="EO6577">
        <v>2695.8</v>
      </c>
    </row>
    <row r="6578" spans="142:145" x14ac:dyDescent="0.25">
      <c r="EL6578">
        <v>1999</v>
      </c>
      <c r="EM6578" t="s">
        <v>716</v>
      </c>
      <c r="EN6578" t="s">
        <v>861</v>
      </c>
      <c r="EO6578">
        <v>2719.2580000000003</v>
      </c>
    </row>
    <row r="6579" spans="142:145" x14ac:dyDescent="0.25">
      <c r="EL6579">
        <v>1999</v>
      </c>
      <c r="EM6579" t="s">
        <v>708</v>
      </c>
      <c r="EN6579" t="s">
        <v>861</v>
      </c>
      <c r="EO6579">
        <v>2561.4679999999998</v>
      </c>
    </row>
    <row r="6580" spans="142:145" x14ac:dyDescent="0.25">
      <c r="EL6580">
        <v>1999</v>
      </c>
      <c r="EM6580" t="s">
        <v>709</v>
      </c>
      <c r="EN6580" t="s">
        <v>861</v>
      </c>
      <c r="EO6580">
        <v>2947.59</v>
      </c>
    </row>
    <row r="6581" spans="142:145" x14ac:dyDescent="0.25">
      <c r="EL6581">
        <v>1999</v>
      </c>
      <c r="EM6581" t="s">
        <v>710</v>
      </c>
      <c r="EN6581" t="s">
        <v>861</v>
      </c>
      <c r="EO6581">
        <v>3052.3220000000001</v>
      </c>
    </row>
    <row r="6582" spans="142:145" x14ac:dyDescent="0.25">
      <c r="EL6582">
        <v>1999</v>
      </c>
      <c r="EM6582" t="s">
        <v>711</v>
      </c>
      <c r="EN6582" t="s">
        <v>861</v>
      </c>
      <c r="EO6582">
        <v>2925.72</v>
      </c>
    </row>
    <row r="6583" spans="142:145" x14ac:dyDescent="0.25">
      <c r="EL6583">
        <v>1999</v>
      </c>
      <c r="EM6583" t="s">
        <v>712</v>
      </c>
      <c r="EN6583" t="s">
        <v>861</v>
      </c>
      <c r="EO6583">
        <v>3106.7890000000002</v>
      </c>
    </row>
    <row r="6584" spans="142:145" x14ac:dyDescent="0.25">
      <c r="EL6584">
        <v>2000</v>
      </c>
      <c r="EM6584" t="s">
        <v>719</v>
      </c>
      <c r="EN6584" t="s">
        <v>861</v>
      </c>
      <c r="EO6584">
        <v>3007.62</v>
      </c>
    </row>
    <row r="6585" spans="142:145" x14ac:dyDescent="0.25">
      <c r="EL6585">
        <v>2000</v>
      </c>
      <c r="EM6585" t="s">
        <v>713</v>
      </c>
      <c r="EN6585" t="s">
        <v>861</v>
      </c>
      <c r="EO6585">
        <v>3061.3849999999998</v>
      </c>
    </row>
    <row r="6586" spans="142:145" x14ac:dyDescent="0.25">
      <c r="EL6586">
        <v>2000</v>
      </c>
      <c r="EM6586" t="s">
        <v>714</v>
      </c>
      <c r="EN6586" t="s">
        <v>861</v>
      </c>
      <c r="EO6586">
        <v>3227.8750000000005</v>
      </c>
    </row>
    <row r="6587" spans="142:145" x14ac:dyDescent="0.25">
      <c r="EL6587">
        <v>2000</v>
      </c>
      <c r="EM6587" t="s">
        <v>705</v>
      </c>
      <c r="EN6587" t="s">
        <v>861</v>
      </c>
      <c r="EO6587">
        <v>3481.35</v>
      </c>
    </row>
    <row r="6588" spans="142:145" x14ac:dyDescent="0.25">
      <c r="EL6588">
        <v>2000</v>
      </c>
      <c r="EM6588" t="s">
        <v>715</v>
      </c>
      <c r="EN6588" t="s">
        <v>861</v>
      </c>
      <c r="EO6588">
        <v>3285.752</v>
      </c>
    </row>
    <row r="6589" spans="142:145" x14ac:dyDescent="0.25">
      <c r="EL6589">
        <v>2000</v>
      </c>
      <c r="EM6589" t="s">
        <v>718</v>
      </c>
      <c r="EN6589" t="s">
        <v>861</v>
      </c>
      <c r="EO6589">
        <v>3115.5000000000005</v>
      </c>
    </row>
    <row r="6590" spans="142:145" x14ac:dyDescent="0.25">
      <c r="EL6590">
        <v>2000</v>
      </c>
      <c r="EM6590" t="s">
        <v>716</v>
      </c>
      <c r="EN6590" t="s">
        <v>861</v>
      </c>
      <c r="EO6590">
        <v>3153.7540000000004</v>
      </c>
    </row>
    <row r="6591" spans="142:145" x14ac:dyDescent="0.25">
      <c r="EL6591">
        <v>2000</v>
      </c>
      <c r="EM6591" t="s">
        <v>708</v>
      </c>
      <c r="EN6591" t="s">
        <v>861</v>
      </c>
      <c r="EO6591">
        <v>3139.3079999999995</v>
      </c>
    </row>
    <row r="6592" spans="142:145" x14ac:dyDescent="0.25">
      <c r="EL6592">
        <v>2000</v>
      </c>
      <c r="EM6592" t="s">
        <v>709</v>
      </c>
      <c r="EN6592" t="s">
        <v>861</v>
      </c>
      <c r="EO6592">
        <v>3051.93</v>
      </c>
    </row>
    <row r="6593" spans="142:145" x14ac:dyDescent="0.25">
      <c r="EL6593">
        <v>2000</v>
      </c>
      <c r="EM6593" t="s">
        <v>710</v>
      </c>
      <c r="EN6593" t="s">
        <v>861</v>
      </c>
      <c r="EO6593">
        <v>3002.4740000000002</v>
      </c>
    </row>
    <row r="6594" spans="142:145" x14ac:dyDescent="0.25">
      <c r="EL6594">
        <v>2000</v>
      </c>
      <c r="EM6594" t="s">
        <v>711</v>
      </c>
      <c r="EN6594" t="s">
        <v>861</v>
      </c>
      <c r="EO6594">
        <v>2808.21</v>
      </c>
    </row>
    <row r="6595" spans="142:145" x14ac:dyDescent="0.25">
      <c r="EL6595">
        <v>2000</v>
      </c>
      <c r="EM6595" t="s">
        <v>712</v>
      </c>
      <c r="EN6595" t="s">
        <v>861</v>
      </c>
      <c r="EO6595">
        <v>2952.471</v>
      </c>
    </row>
    <row r="6596" spans="142:145" x14ac:dyDescent="0.25">
      <c r="EL6596">
        <v>2001</v>
      </c>
      <c r="EM6596" t="s">
        <v>719</v>
      </c>
      <c r="EN6596" t="s">
        <v>861</v>
      </c>
      <c r="EO6596">
        <v>2999.4360000000001</v>
      </c>
    </row>
    <row r="6597" spans="142:145" x14ac:dyDescent="0.25">
      <c r="EL6597">
        <v>2001</v>
      </c>
      <c r="EM6597" t="s">
        <v>713</v>
      </c>
      <c r="EN6597" t="s">
        <v>861</v>
      </c>
      <c r="EO6597">
        <v>2887.136</v>
      </c>
    </row>
    <row r="6598" spans="142:145" x14ac:dyDescent="0.25">
      <c r="EL6598">
        <v>2001</v>
      </c>
      <c r="EM6598" t="s">
        <v>714</v>
      </c>
      <c r="EN6598" t="s">
        <v>861</v>
      </c>
      <c r="EO6598">
        <v>3307.39</v>
      </c>
    </row>
    <row r="6599" spans="142:145" x14ac:dyDescent="0.25">
      <c r="EL6599">
        <v>2001</v>
      </c>
      <c r="EM6599" t="s">
        <v>705</v>
      </c>
      <c r="EN6599" t="s">
        <v>861</v>
      </c>
      <c r="EO6599">
        <v>3341.645</v>
      </c>
    </row>
    <row r="6600" spans="142:145" x14ac:dyDescent="0.25">
      <c r="EL6600">
        <v>2001</v>
      </c>
      <c r="EM6600" t="s">
        <v>715</v>
      </c>
      <c r="EN6600" t="s">
        <v>861</v>
      </c>
      <c r="EO6600">
        <v>3332.8099999999995</v>
      </c>
    </row>
    <row r="6601" spans="142:145" x14ac:dyDescent="0.25">
      <c r="EL6601">
        <v>2001</v>
      </c>
      <c r="EM6601" t="s">
        <v>718</v>
      </c>
      <c r="EN6601" t="s">
        <v>861</v>
      </c>
      <c r="EO6601">
        <v>3293.34</v>
      </c>
    </row>
    <row r="6602" spans="142:145" x14ac:dyDescent="0.25">
      <c r="EL6602">
        <v>2001</v>
      </c>
      <c r="EM6602" t="s">
        <v>716</v>
      </c>
      <c r="EN6602" t="s">
        <v>861</v>
      </c>
      <c r="EO6602">
        <v>3304.8790000000004</v>
      </c>
    </row>
    <row r="6603" spans="142:145" x14ac:dyDescent="0.25">
      <c r="EL6603">
        <v>2001</v>
      </c>
      <c r="EM6603" t="s">
        <v>708</v>
      </c>
      <c r="EN6603" t="s">
        <v>861</v>
      </c>
      <c r="EO6603">
        <v>3183.5449999999996</v>
      </c>
    </row>
    <row r="6604" spans="142:145" x14ac:dyDescent="0.25">
      <c r="EL6604">
        <v>2001</v>
      </c>
      <c r="EM6604" t="s">
        <v>709</v>
      </c>
      <c r="EN6604" t="s">
        <v>861</v>
      </c>
      <c r="EO6604">
        <v>2959.08</v>
      </c>
    </row>
    <row r="6605" spans="142:145" x14ac:dyDescent="0.25">
      <c r="EL6605">
        <v>2001</v>
      </c>
      <c r="EM6605" t="s">
        <v>710</v>
      </c>
      <c r="EN6605" t="s">
        <v>861</v>
      </c>
      <c r="EO6605">
        <v>2953.556</v>
      </c>
    </row>
    <row r="6606" spans="142:145" x14ac:dyDescent="0.25">
      <c r="EL6606">
        <v>2001</v>
      </c>
      <c r="EM6606" t="s">
        <v>711</v>
      </c>
      <c r="EN6606" t="s">
        <v>861</v>
      </c>
      <c r="EO6606">
        <v>2776.3199999999997</v>
      </c>
    </row>
    <row r="6607" spans="142:145" x14ac:dyDescent="0.25">
      <c r="EL6607">
        <v>2001</v>
      </c>
      <c r="EM6607" t="s">
        <v>712</v>
      </c>
      <c r="EN6607" t="s">
        <v>861</v>
      </c>
      <c r="EO6607">
        <v>2860.5249999999996</v>
      </c>
    </row>
    <row r="6608" spans="142:145" x14ac:dyDescent="0.25">
      <c r="EL6608">
        <v>2002</v>
      </c>
      <c r="EM6608" t="s">
        <v>719</v>
      </c>
      <c r="EN6608" t="s">
        <v>861</v>
      </c>
      <c r="EO6608">
        <v>2888.8899999999994</v>
      </c>
    </row>
    <row r="6609" spans="142:145" x14ac:dyDescent="0.25">
      <c r="EL6609">
        <v>2002</v>
      </c>
      <c r="EM6609" t="s">
        <v>713</v>
      </c>
      <c r="EN6609" t="s">
        <v>861</v>
      </c>
      <c r="EO6609">
        <v>2621.9759999999997</v>
      </c>
    </row>
    <row r="6610" spans="142:145" x14ac:dyDescent="0.25">
      <c r="EL6610">
        <v>2002</v>
      </c>
      <c r="EM6610" t="s">
        <v>714</v>
      </c>
      <c r="EN6610" t="s">
        <v>861</v>
      </c>
      <c r="EO6610">
        <v>3028.855</v>
      </c>
    </row>
    <row r="6611" spans="142:145" x14ac:dyDescent="0.25">
      <c r="EL6611">
        <v>2002</v>
      </c>
      <c r="EM6611" t="s">
        <v>705</v>
      </c>
      <c r="EN6611" t="s">
        <v>861</v>
      </c>
      <c r="EO6611">
        <v>2975.1000000000004</v>
      </c>
    </row>
    <row r="6612" spans="142:145" x14ac:dyDescent="0.25">
      <c r="EL6612">
        <v>2002</v>
      </c>
      <c r="EM6612" t="s">
        <v>715</v>
      </c>
      <c r="EN6612" t="s">
        <v>861</v>
      </c>
      <c r="EO6612">
        <v>3185.1880000000001</v>
      </c>
    </row>
    <row r="6613" spans="142:145" x14ac:dyDescent="0.25">
      <c r="EL6613">
        <v>2002</v>
      </c>
      <c r="EM6613" t="s">
        <v>718</v>
      </c>
      <c r="EN6613" t="s">
        <v>861</v>
      </c>
      <c r="EO6613">
        <v>2995.1399999999994</v>
      </c>
    </row>
    <row r="6614" spans="142:145" x14ac:dyDescent="0.25">
      <c r="EL6614">
        <v>2002</v>
      </c>
      <c r="EM6614" t="s">
        <v>716</v>
      </c>
      <c r="EN6614" t="s">
        <v>861</v>
      </c>
      <c r="EO6614">
        <v>3069.0620000000004</v>
      </c>
    </row>
    <row r="6615" spans="142:145" x14ac:dyDescent="0.25">
      <c r="EL6615">
        <v>2002</v>
      </c>
      <c r="EM6615" t="s">
        <v>708</v>
      </c>
      <c r="EN6615" t="s">
        <v>861</v>
      </c>
      <c r="EO6615">
        <v>3035.9849999999997</v>
      </c>
    </row>
    <row r="6616" spans="142:145" x14ac:dyDescent="0.25">
      <c r="EL6616">
        <v>2002</v>
      </c>
      <c r="EM6616" t="s">
        <v>709</v>
      </c>
      <c r="EN6616" t="s">
        <v>861</v>
      </c>
      <c r="EO6616">
        <v>2961.9599999999996</v>
      </c>
    </row>
    <row r="6617" spans="142:145" x14ac:dyDescent="0.25">
      <c r="EL6617">
        <v>2002</v>
      </c>
      <c r="EM6617" t="s">
        <v>710</v>
      </c>
      <c r="EN6617" t="s">
        <v>861</v>
      </c>
      <c r="EO6617">
        <v>3121.4210000000003</v>
      </c>
    </row>
    <row r="6618" spans="142:145" x14ac:dyDescent="0.25">
      <c r="EL6618">
        <v>2002</v>
      </c>
      <c r="EM6618" t="s">
        <v>711</v>
      </c>
      <c r="EN6618" t="s">
        <v>861</v>
      </c>
      <c r="EO6618">
        <v>3310.6200000000003</v>
      </c>
    </row>
    <row r="6619" spans="142:145" x14ac:dyDescent="0.25">
      <c r="EL6619">
        <v>2002</v>
      </c>
      <c r="EM6619" t="s">
        <v>712</v>
      </c>
      <c r="EN6619" t="s">
        <v>861</v>
      </c>
      <c r="EO6619">
        <v>3560.4119999999994</v>
      </c>
    </row>
    <row r="6620" spans="142:145" x14ac:dyDescent="0.25">
      <c r="EL6620">
        <v>2003</v>
      </c>
      <c r="EM6620" t="s">
        <v>719</v>
      </c>
      <c r="EN6620" t="s">
        <v>861</v>
      </c>
      <c r="EO6620">
        <v>3594.8839999999996</v>
      </c>
    </row>
    <row r="6621" spans="142:145" x14ac:dyDescent="0.25">
      <c r="EL6621">
        <v>2003</v>
      </c>
      <c r="EM6621" t="s">
        <v>713</v>
      </c>
      <c r="EN6621" t="s">
        <v>861</v>
      </c>
      <c r="EO6621">
        <v>3546.5080000000007</v>
      </c>
    </row>
    <row r="6622" spans="142:145" x14ac:dyDescent="0.25">
      <c r="EL6622">
        <v>2003</v>
      </c>
      <c r="EM6622" t="s">
        <v>714</v>
      </c>
      <c r="EN6622" t="s">
        <v>861</v>
      </c>
      <c r="EO6622">
        <v>4308.3490000000002</v>
      </c>
    </row>
    <row r="6623" spans="142:145" x14ac:dyDescent="0.25">
      <c r="EL6623">
        <v>2003</v>
      </c>
      <c r="EM6623" t="s">
        <v>705</v>
      </c>
      <c r="EN6623" t="s">
        <v>861</v>
      </c>
      <c r="EO6623">
        <v>3617.85</v>
      </c>
    </row>
    <row r="6624" spans="142:145" x14ac:dyDescent="0.25">
      <c r="EL6624">
        <v>2003</v>
      </c>
      <c r="EM6624" t="s">
        <v>715</v>
      </c>
      <c r="EN6624" t="s">
        <v>861</v>
      </c>
      <c r="EO6624">
        <v>3822.2070000000003</v>
      </c>
    </row>
    <row r="6625" spans="142:145" x14ac:dyDescent="0.25">
      <c r="EL6625">
        <v>2003</v>
      </c>
      <c r="EM6625" t="s">
        <v>718</v>
      </c>
      <c r="EN6625" t="s">
        <v>861</v>
      </c>
      <c r="EO6625">
        <v>4201.83</v>
      </c>
    </row>
    <row r="6626" spans="142:145" x14ac:dyDescent="0.25">
      <c r="EL6626">
        <v>2003</v>
      </c>
      <c r="EM6626" t="s">
        <v>716</v>
      </c>
      <c r="EN6626" t="s">
        <v>861</v>
      </c>
      <c r="EO6626">
        <v>3644.1429999999996</v>
      </c>
    </row>
    <row r="6627" spans="142:145" x14ac:dyDescent="0.25">
      <c r="EL6627">
        <v>2003</v>
      </c>
      <c r="EM6627" t="s">
        <v>708</v>
      </c>
      <c r="EN6627" t="s">
        <v>861</v>
      </c>
      <c r="EO6627">
        <v>3350.2629999999995</v>
      </c>
    </row>
    <row r="6628" spans="142:145" x14ac:dyDescent="0.25">
      <c r="EL6628">
        <v>2003</v>
      </c>
      <c r="EM6628" t="s">
        <v>709</v>
      </c>
      <c r="EN6628" t="s">
        <v>861</v>
      </c>
      <c r="EO6628">
        <v>3560.55</v>
      </c>
    </row>
    <row r="6629" spans="142:145" x14ac:dyDescent="0.25">
      <c r="EL6629">
        <v>2003</v>
      </c>
      <c r="EM6629" t="s">
        <v>710</v>
      </c>
      <c r="EN6629" t="s">
        <v>861</v>
      </c>
      <c r="EO6629">
        <v>3489.5823468406597</v>
      </c>
    </row>
    <row r="6630" spans="142:145" x14ac:dyDescent="0.25">
      <c r="EL6630">
        <v>2003</v>
      </c>
      <c r="EM6630" t="s">
        <v>711</v>
      </c>
      <c r="EN6630" t="s">
        <v>861</v>
      </c>
      <c r="EO6630">
        <v>3738.3160453296709</v>
      </c>
    </row>
    <row r="6631" spans="142:145" x14ac:dyDescent="0.25">
      <c r="EL6631">
        <v>2003</v>
      </c>
      <c r="EM6631" t="s">
        <v>712</v>
      </c>
      <c r="EN6631" t="s">
        <v>861</v>
      </c>
      <c r="EO6631">
        <v>4000.5589468406592</v>
      </c>
    </row>
    <row r="6632" spans="142:145" x14ac:dyDescent="0.25">
      <c r="EL6632">
        <v>2004</v>
      </c>
      <c r="EM6632" t="s">
        <v>719</v>
      </c>
      <c r="EN6632" t="s">
        <v>861</v>
      </c>
      <c r="EO6632">
        <v>3598.0993468406596</v>
      </c>
    </row>
    <row r="6633" spans="142:145" x14ac:dyDescent="0.25">
      <c r="EL6633">
        <v>2004</v>
      </c>
      <c r="EM6633" t="s">
        <v>713</v>
      </c>
      <c r="EN6633" t="s">
        <v>861</v>
      </c>
      <c r="EO6633">
        <v>3855.2547438186807</v>
      </c>
    </row>
    <row r="6634" spans="142:145" x14ac:dyDescent="0.25">
      <c r="EL6634">
        <v>2004</v>
      </c>
      <c r="EM6634" t="s">
        <v>714</v>
      </c>
      <c r="EN6634" t="s">
        <v>861</v>
      </c>
      <c r="EO6634">
        <v>3660.9693468406595</v>
      </c>
    </row>
    <row r="6635" spans="142:145" x14ac:dyDescent="0.25">
      <c r="EL6635">
        <v>2004</v>
      </c>
      <c r="EM6635" t="s">
        <v>705</v>
      </c>
      <c r="EN6635" t="s">
        <v>861</v>
      </c>
      <c r="EO6635">
        <v>3719.4500453296705</v>
      </c>
    </row>
    <row r="6636" spans="142:145" x14ac:dyDescent="0.25">
      <c r="EL6636">
        <v>2004</v>
      </c>
      <c r="EM6636" t="s">
        <v>715</v>
      </c>
      <c r="EN6636" t="s">
        <v>861</v>
      </c>
      <c r="EO6636">
        <v>3679.2626544722975</v>
      </c>
    </row>
    <row r="6637" spans="142:145" x14ac:dyDescent="0.25">
      <c r="EL6637">
        <v>2004</v>
      </c>
      <c r="EM6637" t="s">
        <v>718</v>
      </c>
      <c r="EN6637" t="s">
        <v>861</v>
      </c>
      <c r="EO6637">
        <v>3442.9155181361225</v>
      </c>
    </row>
    <row r="6638" spans="142:145" x14ac:dyDescent="0.25">
      <c r="EL6638">
        <v>2004</v>
      </c>
      <c r="EM6638" t="s">
        <v>716</v>
      </c>
      <c r="EN6638" t="s">
        <v>861</v>
      </c>
      <c r="EO6638">
        <v>3738.1764718406598</v>
      </c>
    </row>
    <row r="6639" spans="142:145" x14ac:dyDescent="0.25">
      <c r="EL6639">
        <v>2004</v>
      </c>
      <c r="EM6639" t="s">
        <v>708</v>
      </c>
      <c r="EN6639" t="s">
        <v>861</v>
      </c>
      <c r="EO6639">
        <v>3832.5620798406608</v>
      </c>
    </row>
    <row r="6640" spans="142:145" x14ac:dyDescent="0.25">
      <c r="EL6640">
        <v>2004</v>
      </c>
      <c r="EM6640" t="s">
        <v>709</v>
      </c>
      <c r="EN6640" t="s">
        <v>861</v>
      </c>
      <c r="EO6640">
        <v>3339.2762742897507</v>
      </c>
    </row>
    <row r="6641" spans="142:145" x14ac:dyDescent="0.25">
      <c r="EL6641">
        <v>2004</v>
      </c>
      <c r="EM6641" t="s">
        <v>710</v>
      </c>
      <c r="EN6641" t="s">
        <v>861</v>
      </c>
      <c r="EO6641">
        <v>3293.3500477169487</v>
      </c>
    </row>
    <row r="6642" spans="142:145" x14ac:dyDescent="0.25">
      <c r="EL6642">
        <v>2004</v>
      </c>
      <c r="EM6642" t="s">
        <v>711</v>
      </c>
      <c r="EN6642" t="s">
        <v>861</v>
      </c>
      <c r="EO6642">
        <v>3426.2119546703298</v>
      </c>
    </row>
    <row r="6643" spans="142:145" x14ac:dyDescent="0.25">
      <c r="EL6643">
        <v>2004</v>
      </c>
      <c r="EM6643" t="s">
        <v>712</v>
      </c>
      <c r="EN6643" t="s">
        <v>861</v>
      </c>
      <c r="EO6643">
        <v>3623.3701531593401</v>
      </c>
    </row>
    <row r="6644" spans="142:145" x14ac:dyDescent="0.25">
      <c r="EL6644">
        <v>2005</v>
      </c>
      <c r="EM6644" t="s">
        <v>719</v>
      </c>
      <c r="EN6644" t="s">
        <v>861</v>
      </c>
      <c r="EO6644">
        <v>3734.2161531593406</v>
      </c>
    </row>
    <row r="6645" spans="142:145" x14ac:dyDescent="0.25">
      <c r="EL6645">
        <v>2005</v>
      </c>
      <c r="EM6645" t="s">
        <v>713</v>
      </c>
      <c r="EN6645" t="s">
        <v>861</v>
      </c>
      <c r="EO6645">
        <v>3236.9022176923072</v>
      </c>
    </row>
    <row r="6646" spans="142:145" x14ac:dyDescent="0.25">
      <c r="EL6646">
        <v>2005</v>
      </c>
      <c r="EM6646" t="s">
        <v>714</v>
      </c>
      <c r="EN6646" t="s">
        <v>861</v>
      </c>
      <c r="EO6646">
        <v>3801.4351531593406</v>
      </c>
    </row>
    <row r="6647" spans="142:145" x14ac:dyDescent="0.25">
      <c r="EL6647">
        <v>2005</v>
      </c>
      <c r="EM6647" t="s">
        <v>705</v>
      </c>
      <c r="EN6647" t="s">
        <v>861</v>
      </c>
      <c r="EO6647">
        <v>3889.90495467033</v>
      </c>
    </row>
    <row r="6648" spans="142:145" x14ac:dyDescent="0.25">
      <c r="EL6648">
        <v>2005</v>
      </c>
      <c r="EM6648" t="s">
        <v>715</v>
      </c>
      <c r="EN6648" t="s">
        <v>861</v>
      </c>
      <c r="EO6648">
        <v>3734.1391531593399</v>
      </c>
    </row>
    <row r="6649" spans="142:145" x14ac:dyDescent="0.25">
      <c r="EL6649">
        <v>2005</v>
      </c>
      <c r="EM6649" t="s">
        <v>718</v>
      </c>
      <c r="EN6649" t="s">
        <v>861</v>
      </c>
      <c r="EO6649">
        <v>3453.1569546703295</v>
      </c>
    </row>
    <row r="6650" spans="142:145" x14ac:dyDescent="0.25">
      <c r="EL6650">
        <v>2005</v>
      </c>
      <c r="EM6650" t="s">
        <v>716</v>
      </c>
      <c r="EN6650" t="s">
        <v>861</v>
      </c>
      <c r="EO6650">
        <v>3600.6991531593403</v>
      </c>
    </row>
    <row r="6651" spans="142:145" x14ac:dyDescent="0.25">
      <c r="EL6651">
        <v>2005</v>
      </c>
      <c r="EM6651" t="s">
        <v>708</v>
      </c>
      <c r="EN6651" t="s">
        <v>861</v>
      </c>
      <c r="EO6651">
        <v>3287.5641531593405</v>
      </c>
    </row>
    <row r="6652" spans="142:145" x14ac:dyDescent="0.25">
      <c r="EL6652">
        <v>2005</v>
      </c>
      <c r="EM6652" t="s">
        <v>709</v>
      </c>
      <c r="EN6652" t="s">
        <v>861</v>
      </c>
      <c r="EO6652">
        <v>3103.4779546703289</v>
      </c>
    </row>
    <row r="6653" spans="142:145" x14ac:dyDescent="0.25">
      <c r="EL6653">
        <v>2005</v>
      </c>
      <c r="EM6653" t="s">
        <v>710</v>
      </c>
      <c r="EN6653" t="s">
        <v>861</v>
      </c>
      <c r="EO6653">
        <v>3430.7200000000003</v>
      </c>
    </row>
    <row r="6654" spans="142:145" x14ac:dyDescent="0.25">
      <c r="EL6654">
        <v>2005</v>
      </c>
      <c r="EM6654" t="s">
        <v>711</v>
      </c>
      <c r="EN6654" t="s">
        <v>861</v>
      </c>
      <c r="EO6654">
        <v>3249.2290000000003</v>
      </c>
    </row>
    <row r="6655" spans="142:145" x14ac:dyDescent="0.25">
      <c r="EL6655">
        <v>2005</v>
      </c>
      <c r="EM6655" t="s">
        <v>712</v>
      </c>
      <c r="EN6655" t="s">
        <v>861</v>
      </c>
      <c r="EO6655">
        <v>3430.9126663356164</v>
      </c>
    </row>
    <row r="6656" spans="142:145" x14ac:dyDescent="0.25">
      <c r="EL6656">
        <v>2006</v>
      </c>
      <c r="EM6656" t="s">
        <v>719</v>
      </c>
      <c r="EN6656" t="s">
        <v>861</v>
      </c>
      <c r="EO6656">
        <v>3636.1256663356162</v>
      </c>
    </row>
    <row r="6657" spans="142:145" x14ac:dyDescent="0.25">
      <c r="EL6657">
        <v>2006</v>
      </c>
      <c r="EM6657" t="s">
        <v>713</v>
      </c>
      <c r="EN6657" t="s">
        <v>861</v>
      </c>
      <c r="EO6657">
        <v>3276.2556341095888</v>
      </c>
    </row>
    <row r="6658" spans="142:145" x14ac:dyDescent="0.25">
      <c r="EL6658">
        <v>2006</v>
      </c>
      <c r="EM6658" t="s">
        <v>714</v>
      </c>
      <c r="EN6658" t="s">
        <v>861</v>
      </c>
      <c r="EO6658">
        <v>3262.1766663356161</v>
      </c>
    </row>
    <row r="6659" spans="142:145" x14ac:dyDescent="0.25">
      <c r="EL6659">
        <v>2006</v>
      </c>
      <c r="EM6659" t="s">
        <v>705</v>
      </c>
      <c r="EN6659" t="s">
        <v>861</v>
      </c>
      <c r="EO6659">
        <v>3210.6283222602742</v>
      </c>
    </row>
    <row r="6660" spans="142:145" x14ac:dyDescent="0.25">
      <c r="EL6660">
        <v>2006</v>
      </c>
      <c r="EM6660" t="s">
        <v>715</v>
      </c>
      <c r="EN6660" t="s">
        <v>861</v>
      </c>
      <c r="EO6660">
        <v>3257.153666335616</v>
      </c>
    </row>
    <row r="6661" spans="142:145" x14ac:dyDescent="0.25">
      <c r="EL6661">
        <v>2006</v>
      </c>
      <c r="EM6661" t="s">
        <v>718</v>
      </c>
      <c r="EN6661" t="s">
        <v>861</v>
      </c>
      <c r="EO6661">
        <v>3551.328322260274</v>
      </c>
    </row>
    <row r="6662" spans="142:145" x14ac:dyDescent="0.25">
      <c r="EL6662">
        <v>2006</v>
      </c>
      <c r="EM6662" t="s">
        <v>716</v>
      </c>
      <c r="EN6662" t="s">
        <v>861</v>
      </c>
      <c r="EO6662">
        <v>3373.1156663356164</v>
      </c>
    </row>
    <row r="6663" spans="142:145" x14ac:dyDescent="0.25">
      <c r="EL6663">
        <v>2006</v>
      </c>
      <c r="EM6663" t="s">
        <v>708</v>
      </c>
      <c r="EN6663" t="s">
        <v>861</v>
      </c>
      <c r="EO6663">
        <v>2984.3396663356157</v>
      </c>
    </row>
    <row r="6664" spans="142:145" x14ac:dyDescent="0.25">
      <c r="EL6664">
        <v>2006</v>
      </c>
      <c r="EM6664" t="s">
        <v>709</v>
      </c>
      <c r="EN6664" t="s">
        <v>861</v>
      </c>
      <c r="EO6664">
        <v>3091.991322260274</v>
      </c>
    </row>
    <row r="6665" spans="142:145" x14ac:dyDescent="0.25">
      <c r="EL6665">
        <v>2006</v>
      </c>
      <c r="EM6665" t="s">
        <v>710</v>
      </c>
      <c r="EN6665" t="s">
        <v>861</v>
      </c>
      <c r="EO6665">
        <v>3189.0297710308209</v>
      </c>
    </row>
    <row r="6666" spans="142:145" x14ac:dyDescent="0.25">
      <c r="EL6666">
        <v>2006</v>
      </c>
      <c r="EM6666" t="s">
        <v>711</v>
      </c>
      <c r="EN6666" t="s">
        <v>861</v>
      </c>
      <c r="EO6666">
        <v>3364.117891541096</v>
      </c>
    </row>
    <row r="6667" spans="142:145" x14ac:dyDescent="0.25">
      <c r="EL6667">
        <v>2006</v>
      </c>
      <c r="EM6667" t="s">
        <v>712</v>
      </c>
      <c r="EN6667" t="s">
        <v>861</v>
      </c>
      <c r="EO6667">
        <v>3176.1111545924659</v>
      </c>
    </row>
    <row r="6668" spans="142:145" x14ac:dyDescent="0.25">
      <c r="EL6668">
        <v>2007</v>
      </c>
      <c r="EM6668" t="s">
        <v>719</v>
      </c>
      <c r="EN6668" t="s">
        <v>861</v>
      </c>
      <c r="EO6668">
        <v>3384.2321545924665</v>
      </c>
    </row>
    <row r="6669" spans="142:145" x14ac:dyDescent="0.25">
      <c r="EL6669">
        <v>2007</v>
      </c>
      <c r="EM6669" t="s">
        <v>713</v>
      </c>
      <c r="EN6669" t="s">
        <v>861</v>
      </c>
      <c r="EO6669">
        <v>3067.1473654383562</v>
      </c>
    </row>
    <row r="6670" spans="142:145" x14ac:dyDescent="0.25">
      <c r="EL6670">
        <v>2007</v>
      </c>
      <c r="EM6670" t="s">
        <v>714</v>
      </c>
      <c r="EN6670" t="s">
        <v>861</v>
      </c>
      <c r="EO6670">
        <v>3800.9671545924657</v>
      </c>
    </row>
    <row r="6671" spans="142:145" x14ac:dyDescent="0.25">
      <c r="EL6671">
        <v>2007</v>
      </c>
      <c r="EM6671" t="s">
        <v>705</v>
      </c>
      <c r="EN6671" t="s">
        <v>861</v>
      </c>
      <c r="EO6671">
        <v>3642.6128915410968</v>
      </c>
    </row>
    <row r="6672" spans="142:145" x14ac:dyDescent="0.25">
      <c r="EL6672">
        <v>2007</v>
      </c>
      <c r="EM6672" t="s">
        <v>715</v>
      </c>
      <c r="EN6672" t="s">
        <v>861</v>
      </c>
      <c r="EO6672">
        <v>3321.0971545924663</v>
      </c>
    </row>
    <row r="6673" spans="142:145" x14ac:dyDescent="0.25">
      <c r="EL6673">
        <v>2007</v>
      </c>
      <c r="EM6673" t="s">
        <v>718</v>
      </c>
      <c r="EN6673" t="s">
        <v>861</v>
      </c>
      <c r="EO6673">
        <v>3045.9408915410954</v>
      </c>
    </row>
    <row r="6674" spans="142:145" x14ac:dyDescent="0.25">
      <c r="EL6674">
        <v>2007</v>
      </c>
      <c r="EM6674" t="s">
        <v>716</v>
      </c>
      <c r="EN6674" t="s">
        <v>861</v>
      </c>
      <c r="EO6674">
        <v>2918.0181545924661</v>
      </c>
    </row>
    <row r="6675" spans="142:145" x14ac:dyDescent="0.25">
      <c r="EL6675">
        <v>2007</v>
      </c>
      <c r="EM6675" t="s">
        <v>708</v>
      </c>
      <c r="EN6675" t="s">
        <v>861</v>
      </c>
      <c r="EO6675">
        <v>2897.7151545924658</v>
      </c>
    </row>
    <row r="6676" spans="142:145" x14ac:dyDescent="0.25">
      <c r="EL6676">
        <v>2007</v>
      </c>
      <c r="EM6676" t="s">
        <v>709</v>
      </c>
      <c r="EN6676" t="s">
        <v>861</v>
      </c>
      <c r="EO6676">
        <v>2712.7068915410964</v>
      </c>
    </row>
    <row r="6677" spans="142:145" x14ac:dyDescent="0.25">
      <c r="EL6677">
        <v>2007</v>
      </c>
      <c r="EM6677" t="s">
        <v>710</v>
      </c>
      <c r="EN6677" t="s">
        <v>861</v>
      </c>
      <c r="EO6677">
        <v>2890.9737779959019</v>
      </c>
    </row>
    <row r="6678" spans="142:145" x14ac:dyDescent="0.25">
      <c r="EL6678">
        <v>2007</v>
      </c>
      <c r="EM6678" t="s">
        <v>711</v>
      </c>
      <c r="EN6678" t="s">
        <v>861</v>
      </c>
      <c r="EO6678">
        <v>2700.2571722540979</v>
      </c>
    </row>
    <row r="6679" spans="142:145" x14ac:dyDescent="0.25">
      <c r="EL6679">
        <v>2007</v>
      </c>
      <c r="EM6679" t="s">
        <v>712</v>
      </c>
      <c r="EN6679" t="s">
        <v>861</v>
      </c>
      <c r="EO6679">
        <v>2889.7227779959012</v>
      </c>
    </row>
    <row r="6680" spans="142:145" x14ac:dyDescent="0.25">
      <c r="EL6680">
        <v>2008</v>
      </c>
      <c r="EM6680" t="s">
        <v>719</v>
      </c>
      <c r="EN6680" t="s">
        <v>861</v>
      </c>
      <c r="EO6680">
        <v>2950.3217779959018</v>
      </c>
    </row>
    <row r="6681" spans="142:145" x14ac:dyDescent="0.25">
      <c r="EL6681">
        <v>2008</v>
      </c>
      <c r="EM6681" t="s">
        <v>713</v>
      </c>
      <c r="EN6681" t="s">
        <v>861</v>
      </c>
      <c r="EO6681">
        <v>3055.8456737462948</v>
      </c>
    </row>
    <row r="6682" spans="142:145" x14ac:dyDescent="0.25">
      <c r="EL6682">
        <v>2008</v>
      </c>
      <c r="EM6682" t="s">
        <v>714</v>
      </c>
      <c r="EN6682" t="s">
        <v>861</v>
      </c>
      <c r="EO6682">
        <v>3243.565777995902</v>
      </c>
    </row>
    <row r="6683" spans="142:145" x14ac:dyDescent="0.25">
      <c r="EL6683">
        <v>2008</v>
      </c>
      <c r="EM6683" t="s">
        <v>705</v>
      </c>
      <c r="EN6683" t="s">
        <v>861</v>
      </c>
      <c r="EO6683">
        <v>3311.2531722540984</v>
      </c>
    </row>
    <row r="6684" spans="142:145" x14ac:dyDescent="0.25">
      <c r="EL6684">
        <v>2008</v>
      </c>
      <c r="EM6684" t="s">
        <v>715</v>
      </c>
      <c r="EN6684" t="s">
        <v>861</v>
      </c>
      <c r="EO6684">
        <v>4056.8107779959009</v>
      </c>
    </row>
    <row r="6685" spans="142:145" x14ac:dyDescent="0.25">
      <c r="EL6685">
        <v>2008</v>
      </c>
      <c r="EM6685" t="s">
        <v>718</v>
      </c>
      <c r="EN6685" t="s">
        <v>861</v>
      </c>
      <c r="EO6685">
        <v>3343.1761722540982</v>
      </c>
    </row>
    <row r="6686" spans="142:145" x14ac:dyDescent="0.25">
      <c r="EL6686">
        <v>2008</v>
      </c>
      <c r="EM6686" t="s">
        <v>716</v>
      </c>
      <c r="EN6686" t="s">
        <v>861</v>
      </c>
      <c r="EO6686">
        <v>3063.7067779959011</v>
      </c>
    </row>
    <row r="6687" spans="142:145" x14ac:dyDescent="0.25">
      <c r="EL6687">
        <v>2008</v>
      </c>
      <c r="EM6687" t="s">
        <v>708</v>
      </c>
      <c r="EN6687" t="s">
        <v>861</v>
      </c>
      <c r="EO6687">
        <v>2795.9327779959017</v>
      </c>
    </row>
    <row r="6688" spans="142:145" x14ac:dyDescent="0.25">
      <c r="EL6688">
        <v>2008</v>
      </c>
      <c r="EM6688" t="s">
        <v>709</v>
      </c>
      <c r="EN6688" t="s">
        <v>861</v>
      </c>
      <c r="EO6688">
        <v>2800.2071722540977</v>
      </c>
    </row>
    <row r="6689" spans="142:145" x14ac:dyDescent="0.25">
      <c r="EL6689">
        <v>2008</v>
      </c>
      <c r="EM6689" t="s">
        <v>710</v>
      </c>
      <c r="EN6689" t="s">
        <v>861</v>
      </c>
      <c r="EO6689">
        <v>2808.6586499999999</v>
      </c>
    </row>
    <row r="6690" spans="142:145" x14ac:dyDescent="0.25">
      <c r="EL6690">
        <v>2008</v>
      </c>
      <c r="EM6690" t="s">
        <v>711</v>
      </c>
      <c r="EN6690" t="s">
        <v>861</v>
      </c>
      <c r="EO6690">
        <v>2794.3932240981731</v>
      </c>
    </row>
    <row r="6691" spans="142:145" x14ac:dyDescent="0.25">
      <c r="EL6691">
        <v>2008</v>
      </c>
      <c r="EM6691" t="s">
        <v>712</v>
      </c>
      <c r="EN6691" t="s">
        <v>861</v>
      </c>
      <c r="EO6691">
        <v>2990.819657431507</v>
      </c>
    </row>
    <row r="6692" spans="142:145" x14ac:dyDescent="0.25">
      <c r="EL6692">
        <v>2009</v>
      </c>
      <c r="EM6692" t="s">
        <v>719</v>
      </c>
      <c r="EN6692" t="s">
        <v>861</v>
      </c>
      <c r="EO6692">
        <v>3188.7036574315071</v>
      </c>
    </row>
    <row r="6693" spans="142:145" x14ac:dyDescent="0.25">
      <c r="EL6693">
        <v>2009</v>
      </c>
      <c r="EM6693" t="s">
        <v>713</v>
      </c>
      <c r="EN6693" t="s">
        <v>861</v>
      </c>
      <c r="EO6693">
        <v>2699.8092067123289</v>
      </c>
    </row>
    <row r="6694" spans="142:145" x14ac:dyDescent="0.25">
      <c r="EL6694">
        <v>2009</v>
      </c>
      <c r="EM6694" t="s">
        <v>714</v>
      </c>
      <c r="EN6694" t="s">
        <v>861</v>
      </c>
      <c r="EO6694">
        <v>3030.7246574315063</v>
      </c>
    </row>
    <row r="6695" spans="142:145" x14ac:dyDescent="0.25">
      <c r="EL6695">
        <v>2009</v>
      </c>
      <c r="EM6695" t="s">
        <v>705</v>
      </c>
      <c r="EN6695" t="s">
        <v>861</v>
      </c>
      <c r="EO6695">
        <v>3312.9735071917808</v>
      </c>
    </row>
    <row r="6696" spans="142:145" x14ac:dyDescent="0.25">
      <c r="EL6696">
        <v>2009</v>
      </c>
      <c r="EM6696" t="s">
        <v>715</v>
      </c>
      <c r="EN6696" t="s">
        <v>861</v>
      </c>
      <c r="EO6696">
        <v>3660.1526574315071</v>
      </c>
    </row>
    <row r="6697" spans="142:145" x14ac:dyDescent="0.25">
      <c r="EL6697">
        <v>2009</v>
      </c>
      <c r="EM6697" t="s">
        <v>718</v>
      </c>
      <c r="EN6697" t="s">
        <v>861</v>
      </c>
      <c r="EO6697">
        <v>3793.5825071917811</v>
      </c>
    </row>
    <row r="6698" spans="142:145" x14ac:dyDescent="0.25">
      <c r="EL6698">
        <v>2009</v>
      </c>
      <c r="EM6698" t="s">
        <v>716</v>
      </c>
      <c r="EN6698" t="s">
        <v>861</v>
      </c>
      <c r="EO6698">
        <v>3151.7316574315073</v>
      </c>
    </row>
    <row r="6699" spans="142:145" x14ac:dyDescent="0.25">
      <c r="EL6699">
        <v>2009</v>
      </c>
      <c r="EM6699" t="s">
        <v>708</v>
      </c>
      <c r="EN6699" t="s">
        <v>861</v>
      </c>
      <c r="EO6699">
        <v>3036.7406574315069</v>
      </c>
    </row>
    <row r="6700" spans="142:145" x14ac:dyDescent="0.25">
      <c r="EL6700">
        <v>2009</v>
      </c>
      <c r="EM6700" t="s">
        <v>709</v>
      </c>
      <c r="EN6700" t="s">
        <v>861</v>
      </c>
      <c r="EO6700">
        <v>2885.030507191781</v>
      </c>
    </row>
    <row r="6701" spans="142:145" x14ac:dyDescent="0.25">
      <c r="EL6701">
        <v>2009</v>
      </c>
      <c r="EM6701" t="s">
        <v>710</v>
      </c>
      <c r="EN6701" t="s">
        <v>861</v>
      </c>
      <c r="EO6701">
        <v>3132.5469112671235</v>
      </c>
    </row>
    <row r="6702" spans="142:145" x14ac:dyDescent="0.25">
      <c r="EL6702">
        <v>2009</v>
      </c>
      <c r="EM6702" t="s">
        <v>711</v>
      </c>
      <c r="EN6702" t="s">
        <v>861</v>
      </c>
      <c r="EO6702">
        <v>3374.4662044520546</v>
      </c>
    </row>
    <row r="6703" spans="142:145" x14ac:dyDescent="0.25">
      <c r="EL6703">
        <v>2009</v>
      </c>
      <c r="EM6703" t="s">
        <v>712</v>
      </c>
      <c r="EN6703" t="s">
        <v>861</v>
      </c>
      <c r="EO6703">
        <v>4104.9779112671231</v>
      </c>
    </row>
    <row r="6704" spans="142:145" x14ac:dyDescent="0.25">
      <c r="EL6704">
        <v>2010</v>
      </c>
      <c r="EM6704" t="s">
        <v>719</v>
      </c>
      <c r="EN6704" t="s">
        <v>861</v>
      </c>
      <c r="EO6704">
        <v>3763.3179112671228</v>
      </c>
    </row>
    <row r="6705" spans="142:145" x14ac:dyDescent="0.25">
      <c r="EL6705">
        <v>2010</v>
      </c>
      <c r="EM6705" t="s">
        <v>713</v>
      </c>
      <c r="EN6705" t="s">
        <v>861</v>
      </c>
      <c r="EO6705">
        <v>3679.108790821917</v>
      </c>
    </row>
    <row r="6706" spans="142:145" x14ac:dyDescent="0.25">
      <c r="EL6706">
        <v>2010</v>
      </c>
      <c r="EM6706" t="s">
        <v>714</v>
      </c>
      <c r="EN6706" t="s">
        <v>861</v>
      </c>
      <c r="EO6706">
        <v>4102.4729112671248</v>
      </c>
    </row>
    <row r="6707" spans="142:145" x14ac:dyDescent="0.25">
      <c r="EL6707">
        <v>2010</v>
      </c>
      <c r="EM6707" t="s">
        <v>705</v>
      </c>
      <c r="EN6707" t="s">
        <v>861</v>
      </c>
      <c r="EO6707">
        <v>3444.3352044520548</v>
      </c>
    </row>
    <row r="6708" spans="142:145" x14ac:dyDescent="0.25">
      <c r="EL6708">
        <v>2010</v>
      </c>
      <c r="EM6708" t="s">
        <v>715</v>
      </c>
      <c r="EN6708" t="s">
        <v>861</v>
      </c>
      <c r="EO6708">
        <v>3281.5679112671232</v>
      </c>
    </row>
    <row r="6709" spans="142:145" x14ac:dyDescent="0.25">
      <c r="EL6709">
        <v>2010</v>
      </c>
      <c r="EM6709" t="s">
        <v>718</v>
      </c>
      <c r="EN6709" t="s">
        <v>861</v>
      </c>
      <c r="EO6709">
        <v>3012.6352044520549</v>
      </c>
    </row>
    <row r="6710" spans="142:145" x14ac:dyDescent="0.25">
      <c r="EL6710">
        <v>2010</v>
      </c>
      <c r="EM6710" t="s">
        <v>716</v>
      </c>
      <c r="EN6710" t="s">
        <v>861</v>
      </c>
      <c r="EO6710">
        <v>3006.9839112671229</v>
      </c>
    </row>
    <row r="6711" spans="142:145" x14ac:dyDescent="0.25">
      <c r="EL6711">
        <v>2010</v>
      </c>
      <c r="EM6711" t="s">
        <v>708</v>
      </c>
      <c r="EN6711" t="s">
        <v>861</v>
      </c>
      <c r="EO6711">
        <v>3229.8529112671226</v>
      </c>
    </row>
    <row r="6712" spans="142:145" x14ac:dyDescent="0.25">
      <c r="EL6712">
        <v>2010</v>
      </c>
      <c r="EM6712" t="s">
        <v>709</v>
      </c>
      <c r="EN6712" t="s">
        <v>861</v>
      </c>
      <c r="EO6712">
        <v>2978.6272044520542</v>
      </c>
    </row>
    <row r="6713" spans="142:145" x14ac:dyDescent="0.25">
      <c r="EL6713">
        <v>2010</v>
      </c>
      <c r="EM6713" t="s">
        <v>710</v>
      </c>
      <c r="EN6713" t="s">
        <v>861</v>
      </c>
      <c r="EO6713">
        <v>3143.0403273972602</v>
      </c>
    </row>
    <row r="6714" spans="142:145" x14ac:dyDescent="0.25">
      <c r="EL6714">
        <v>2010</v>
      </c>
      <c r="EM6714" t="s">
        <v>711</v>
      </c>
      <c r="EN6714" t="s">
        <v>861</v>
      </c>
      <c r="EO6714">
        <v>2996.8181232876709</v>
      </c>
    </row>
    <row r="6715" spans="142:145" x14ac:dyDescent="0.25">
      <c r="EL6715">
        <v>2010</v>
      </c>
      <c r="EM6715" t="s">
        <v>712</v>
      </c>
      <c r="EN6715" t="s">
        <v>861</v>
      </c>
      <c r="EO6715">
        <v>3128.1593273972603</v>
      </c>
    </row>
    <row r="6716" spans="142:145" x14ac:dyDescent="0.25">
      <c r="EL6716">
        <v>2011</v>
      </c>
      <c r="EM6716" t="s">
        <v>719</v>
      </c>
      <c r="EN6716" t="s">
        <v>861</v>
      </c>
      <c r="EO6716">
        <v>3068.0093273972607</v>
      </c>
    </row>
    <row r="6717" spans="142:145" x14ac:dyDescent="0.25">
      <c r="EL6717">
        <v>2011</v>
      </c>
      <c r="EM6717" t="s">
        <v>713</v>
      </c>
      <c r="EN6717" t="s">
        <v>861</v>
      </c>
      <c r="EO6717">
        <v>2896.9487150684927</v>
      </c>
    </row>
    <row r="6718" spans="142:145" x14ac:dyDescent="0.25">
      <c r="EL6718">
        <v>2011</v>
      </c>
      <c r="EM6718" t="s">
        <v>714</v>
      </c>
      <c r="EN6718" t="s">
        <v>861</v>
      </c>
      <c r="EO6718">
        <v>3585.1623273972596</v>
      </c>
    </row>
    <row r="6719" spans="142:145" x14ac:dyDescent="0.25">
      <c r="EL6719">
        <v>2011</v>
      </c>
      <c r="EM6719" t="s">
        <v>705</v>
      </c>
      <c r="EN6719" t="s">
        <v>861</v>
      </c>
      <c r="EO6719">
        <v>3378.6071232876711</v>
      </c>
    </row>
    <row r="6720" spans="142:145" x14ac:dyDescent="0.25">
      <c r="EL6720">
        <v>2011</v>
      </c>
      <c r="EM6720" t="s">
        <v>715</v>
      </c>
      <c r="EN6720" t="s">
        <v>861</v>
      </c>
      <c r="EO6720">
        <v>3546.2433273972601</v>
      </c>
    </row>
    <row r="6721" spans="142:145" x14ac:dyDescent="0.25">
      <c r="EL6721">
        <v>2011</v>
      </c>
      <c r="EM6721" t="s">
        <v>718</v>
      </c>
      <c r="EN6721" t="s">
        <v>861</v>
      </c>
      <c r="EO6721">
        <v>2865.3341232876719</v>
      </c>
    </row>
    <row r="6722" spans="142:145" x14ac:dyDescent="0.25">
      <c r="EL6722">
        <v>2011</v>
      </c>
      <c r="EM6722" t="s">
        <v>716</v>
      </c>
      <c r="EN6722" t="s">
        <v>861</v>
      </c>
      <c r="EO6722">
        <v>2846.3773273972606</v>
      </c>
    </row>
    <row r="6723" spans="142:145" x14ac:dyDescent="0.25">
      <c r="EL6723">
        <v>2011</v>
      </c>
      <c r="EM6723" t="s">
        <v>708</v>
      </c>
      <c r="EN6723" t="s">
        <v>861</v>
      </c>
      <c r="EO6723">
        <v>2974.5943273972607</v>
      </c>
    </row>
    <row r="6724" spans="142:145" x14ac:dyDescent="0.25">
      <c r="EL6724">
        <v>2011</v>
      </c>
      <c r="EM6724" t="s">
        <v>709</v>
      </c>
      <c r="EN6724" t="s">
        <v>861</v>
      </c>
      <c r="EO6724">
        <v>3435.729123287671</v>
      </c>
    </row>
    <row r="6725" spans="142:145" x14ac:dyDescent="0.25">
      <c r="EL6725">
        <v>2011</v>
      </c>
      <c r="EM6725" t="s">
        <v>710</v>
      </c>
      <c r="EN6725" t="s">
        <v>861</v>
      </c>
      <c r="EO6725">
        <v>3222.8689873975413</v>
      </c>
    </row>
    <row r="6726" spans="142:145" x14ac:dyDescent="0.25">
      <c r="EL6726">
        <v>2011</v>
      </c>
      <c r="EM6726" t="s">
        <v>711</v>
      </c>
      <c r="EN6726" t="s">
        <v>861</v>
      </c>
      <c r="EO6726">
        <v>3047.2871813524594</v>
      </c>
    </row>
    <row r="6727" spans="142:145" x14ac:dyDescent="0.25">
      <c r="EL6727">
        <v>2011</v>
      </c>
      <c r="EM6727" t="s">
        <v>712</v>
      </c>
      <c r="EN6727" t="s">
        <v>861</v>
      </c>
      <c r="EO6727">
        <v>3481.7389873975412</v>
      </c>
    </row>
    <row r="6728" spans="142:145" x14ac:dyDescent="0.25">
      <c r="EL6728">
        <v>2012</v>
      </c>
      <c r="EM6728" t="s">
        <v>719</v>
      </c>
      <c r="EN6728" t="s">
        <v>861</v>
      </c>
      <c r="EO6728">
        <v>3304.4309873975408</v>
      </c>
    </row>
    <row r="6729" spans="142:145" x14ac:dyDescent="0.25">
      <c r="EL6729">
        <v>2012</v>
      </c>
      <c r="EM6729" t="s">
        <v>713</v>
      </c>
      <c r="EN6729" t="s">
        <v>861</v>
      </c>
      <c r="EO6729">
        <v>2967.6163753073774</v>
      </c>
    </row>
    <row r="6730" spans="142:145" x14ac:dyDescent="0.25">
      <c r="EL6730">
        <v>2012</v>
      </c>
      <c r="EM6730" t="s">
        <v>714</v>
      </c>
      <c r="EN6730" t="s">
        <v>861</v>
      </c>
      <c r="EO6730">
        <v>3259.8899873975406</v>
      </c>
    </row>
    <row r="6731" spans="142:145" x14ac:dyDescent="0.25">
      <c r="EL6731">
        <v>2012</v>
      </c>
      <c r="EM6731" t="s">
        <v>705</v>
      </c>
      <c r="EN6731" t="s">
        <v>861</v>
      </c>
      <c r="EO6731">
        <v>2924.5901813524592</v>
      </c>
    </row>
    <row r="6732" spans="142:145" x14ac:dyDescent="0.25">
      <c r="EL6732">
        <v>2012</v>
      </c>
      <c r="EM6732" t="s">
        <v>715</v>
      </c>
      <c r="EN6732" t="s">
        <v>861</v>
      </c>
      <c r="EO6732">
        <v>2958.4739873975409</v>
      </c>
    </row>
    <row r="6733" spans="142:145" x14ac:dyDescent="0.25">
      <c r="EL6733">
        <v>2012</v>
      </c>
      <c r="EM6733" t="s">
        <v>718</v>
      </c>
      <c r="EN6733" t="s">
        <v>861</v>
      </c>
      <c r="EO6733">
        <v>2829.45</v>
      </c>
    </row>
    <row r="6734" spans="142:145" x14ac:dyDescent="0.25">
      <c r="EL6734">
        <v>2012</v>
      </c>
      <c r="EM6734" t="s">
        <v>716</v>
      </c>
      <c r="EN6734" t="s">
        <v>861</v>
      </c>
      <c r="EO6734">
        <v>2850.0939873975403</v>
      </c>
    </row>
    <row r="6735" spans="142:145" x14ac:dyDescent="0.25">
      <c r="EL6735">
        <v>2012</v>
      </c>
      <c r="EM6735" t="s">
        <v>708</v>
      </c>
      <c r="EN6735" t="s">
        <v>861</v>
      </c>
      <c r="EO6735">
        <v>2779.5839999999994</v>
      </c>
    </row>
    <row r="6736" spans="142:145" x14ac:dyDescent="0.25">
      <c r="EL6736">
        <v>2012</v>
      </c>
      <c r="EM6736" t="s">
        <v>709</v>
      </c>
      <c r="EN6736" t="s">
        <v>861</v>
      </c>
      <c r="EO6736">
        <v>2619.63</v>
      </c>
    </row>
    <row r="6737" spans="142:145" x14ac:dyDescent="0.25">
      <c r="EL6737">
        <v>2012</v>
      </c>
      <c r="EM6737" t="s">
        <v>710</v>
      </c>
      <c r="EN6737" t="s">
        <v>861</v>
      </c>
      <c r="EO6737">
        <v>2898.3139999999999</v>
      </c>
    </row>
    <row r="6738" spans="142:145" x14ac:dyDescent="0.25">
      <c r="EL6738">
        <v>2012</v>
      </c>
      <c r="EM6738" t="s">
        <v>711</v>
      </c>
      <c r="EN6738" t="s">
        <v>861</v>
      </c>
      <c r="EO6738">
        <v>2837.9100000000008</v>
      </c>
    </row>
    <row r="6739" spans="142:145" x14ac:dyDescent="0.25">
      <c r="EL6739">
        <v>2012</v>
      </c>
      <c r="EM6739" t="s">
        <v>712</v>
      </c>
      <c r="EN6739" t="s">
        <v>861</v>
      </c>
      <c r="EO6739">
        <v>2952.9980249316941</v>
      </c>
    </row>
    <row r="6740" spans="142:145" x14ac:dyDescent="0.25">
      <c r="EL6740">
        <v>2013</v>
      </c>
      <c r="EM6740" t="s">
        <v>719</v>
      </c>
      <c r="EN6740" t="s">
        <v>861</v>
      </c>
      <c r="EO6740">
        <v>3062.7069999999999</v>
      </c>
    </row>
    <row r="6741" spans="142:145" x14ac:dyDescent="0.25">
      <c r="EL6741">
        <v>2013</v>
      </c>
      <c r="EM6741" t="s">
        <v>713</v>
      </c>
      <c r="EN6741" t="s">
        <v>861</v>
      </c>
      <c r="EO6741">
        <v>2828.9240000000004</v>
      </c>
    </row>
    <row r="6742" spans="142:145" x14ac:dyDescent="0.25">
      <c r="EL6742">
        <v>2013</v>
      </c>
      <c r="EM6742" t="s">
        <v>714</v>
      </c>
      <c r="EN6742" t="s">
        <v>861</v>
      </c>
      <c r="EO6742">
        <v>3272.3910000000005</v>
      </c>
    </row>
    <row r="6743" spans="142:145" x14ac:dyDescent="0.25">
      <c r="EL6743">
        <v>2013</v>
      </c>
      <c r="EM6743" t="s">
        <v>705</v>
      </c>
      <c r="EN6743" t="s">
        <v>861</v>
      </c>
      <c r="EO6743">
        <v>3030.27</v>
      </c>
    </row>
    <row r="6744" spans="142:145" x14ac:dyDescent="0.25">
      <c r="EL6744">
        <v>2013</v>
      </c>
      <c r="EM6744" t="s">
        <v>715</v>
      </c>
      <c r="EN6744" t="s">
        <v>861</v>
      </c>
      <c r="EO6744">
        <v>3063.2960000000003</v>
      </c>
    </row>
    <row r="6745" spans="142:145" x14ac:dyDescent="0.25">
      <c r="EL6745">
        <v>2013</v>
      </c>
      <c r="EM6745" t="s">
        <v>718</v>
      </c>
      <c r="EN6745" t="s">
        <v>861</v>
      </c>
      <c r="EO6745">
        <v>3391.4</v>
      </c>
    </row>
    <row r="6746" spans="142:145" x14ac:dyDescent="0.25">
      <c r="EL6746">
        <v>2013</v>
      </c>
      <c r="EM6746" t="s">
        <v>716</v>
      </c>
      <c r="EN6746" t="s">
        <v>861</v>
      </c>
      <c r="EO6746">
        <v>3077.7420000000002</v>
      </c>
    </row>
    <row r="6747" spans="142:145" x14ac:dyDescent="0.25">
      <c r="EL6747">
        <v>2013</v>
      </c>
      <c r="EM6747" t="s">
        <v>708</v>
      </c>
      <c r="EN6747" t="s">
        <v>861</v>
      </c>
      <c r="EO6747">
        <v>2776.0499999999997</v>
      </c>
    </row>
    <row r="6748" spans="142:145" x14ac:dyDescent="0.25">
      <c r="EL6748">
        <v>2013</v>
      </c>
      <c r="EM6748" t="s">
        <v>709</v>
      </c>
      <c r="EN6748" t="s">
        <v>861</v>
      </c>
      <c r="EO6748">
        <v>2604.8400000000006</v>
      </c>
    </row>
    <row r="6749" spans="142:145" x14ac:dyDescent="0.25">
      <c r="EL6749">
        <v>2013</v>
      </c>
      <c r="EM6749" t="s">
        <v>710</v>
      </c>
      <c r="EN6749" t="s">
        <v>861</v>
      </c>
      <c r="EO6749">
        <v>2829.4630000000002</v>
      </c>
    </row>
    <row r="6750" spans="142:145" x14ac:dyDescent="0.25">
      <c r="EL6750">
        <v>2013</v>
      </c>
      <c r="EM6750" t="s">
        <v>711</v>
      </c>
      <c r="EN6750" t="s">
        <v>861</v>
      </c>
      <c r="EO6750">
        <v>2752.0200000000004</v>
      </c>
    </row>
    <row r="6751" spans="142:145" x14ac:dyDescent="0.25">
      <c r="EL6751">
        <v>2013</v>
      </c>
      <c r="EM6751" t="s">
        <v>712</v>
      </c>
      <c r="EN6751" t="s">
        <v>861</v>
      </c>
      <c r="EO6751">
        <v>3205.3379999999997</v>
      </c>
    </row>
    <row r="6752" spans="142:145" x14ac:dyDescent="0.25">
      <c r="EL6752">
        <v>2014</v>
      </c>
      <c r="EM6752" t="s">
        <v>719</v>
      </c>
      <c r="EN6752" t="s">
        <v>861</v>
      </c>
      <c r="EO6752">
        <v>3337.5529999999994</v>
      </c>
    </row>
    <row r="6753" spans="142:145" x14ac:dyDescent="0.25">
      <c r="EL6753">
        <v>2014</v>
      </c>
      <c r="EM6753" t="s">
        <v>713</v>
      </c>
      <c r="EN6753" t="s">
        <v>861</v>
      </c>
      <c r="EO6753">
        <v>3265.7240000000006</v>
      </c>
    </row>
    <row r="6754" spans="142:145" x14ac:dyDescent="0.25">
      <c r="EL6754">
        <v>2014</v>
      </c>
      <c r="EM6754" t="s">
        <v>714</v>
      </c>
      <c r="EN6754" t="s">
        <v>861</v>
      </c>
      <c r="EO6754">
        <v>3538.0920000000001</v>
      </c>
    </row>
    <row r="6755" spans="142:145" x14ac:dyDescent="0.25">
      <c r="EL6755">
        <v>2014</v>
      </c>
      <c r="EM6755" t="s">
        <v>705</v>
      </c>
      <c r="EN6755" t="s">
        <v>861</v>
      </c>
      <c r="EO6755">
        <v>3670.5599999999995</v>
      </c>
    </row>
    <row r="6756" spans="142:145" x14ac:dyDescent="0.25">
      <c r="EL6756">
        <v>2014</v>
      </c>
      <c r="EM6756" t="s">
        <v>715</v>
      </c>
      <c r="EN6756" t="s">
        <v>861</v>
      </c>
      <c r="EO6756">
        <v>3878.9059999999999</v>
      </c>
    </row>
    <row r="6757" spans="142:145" x14ac:dyDescent="0.25">
      <c r="EL6757">
        <v>2014</v>
      </c>
      <c r="EM6757" t="s">
        <v>718</v>
      </c>
      <c r="EN6757" t="s">
        <v>861</v>
      </c>
      <c r="EO6757">
        <v>3283.59</v>
      </c>
    </row>
    <row r="6758" spans="142:145" x14ac:dyDescent="0.25">
      <c r="EL6758">
        <v>2014</v>
      </c>
      <c r="EM6758" t="s">
        <v>716</v>
      </c>
      <c r="EN6758" t="s">
        <v>861</v>
      </c>
      <c r="EO6758">
        <v>3027.9559999999997</v>
      </c>
    </row>
    <row r="6759" spans="142:145" x14ac:dyDescent="0.25">
      <c r="EL6759">
        <v>2014</v>
      </c>
      <c r="EM6759" t="s">
        <v>708</v>
      </c>
      <c r="EN6759" t="s">
        <v>861</v>
      </c>
      <c r="EO6759">
        <v>2953.6800000000003</v>
      </c>
    </row>
    <row r="6760" spans="142:145" x14ac:dyDescent="0.25">
      <c r="EL6760">
        <v>2014</v>
      </c>
      <c r="EM6760" t="s">
        <v>709</v>
      </c>
      <c r="EN6760" t="s">
        <v>861</v>
      </c>
      <c r="EO6760">
        <v>2903.3050000000003</v>
      </c>
    </row>
    <row r="6761" spans="142:145" x14ac:dyDescent="0.25">
      <c r="EL6761">
        <v>2014</v>
      </c>
      <c r="EM6761" t="s">
        <v>710</v>
      </c>
      <c r="EN6761" t="s">
        <v>861</v>
      </c>
      <c r="EO6761">
        <v>2861.6100000000006</v>
      </c>
    </row>
    <row r="6762" spans="142:145" x14ac:dyDescent="0.25">
      <c r="EL6762">
        <v>2014</v>
      </c>
      <c r="EM6762" t="s">
        <v>711</v>
      </c>
      <c r="EN6762" t="s">
        <v>861</v>
      </c>
      <c r="EO6762">
        <v>2813.3999999999996</v>
      </c>
    </row>
    <row r="6763" spans="142:145" x14ac:dyDescent="0.25">
      <c r="EL6763">
        <v>2014</v>
      </c>
      <c r="EM6763" t="s">
        <v>712</v>
      </c>
      <c r="EN6763" t="s">
        <v>861</v>
      </c>
      <c r="EO6763">
        <v>3186.7999999999993</v>
      </c>
    </row>
    <row r="6764" spans="142:145" x14ac:dyDescent="0.25">
      <c r="EL6764">
        <v>2015</v>
      </c>
      <c r="EM6764" t="s">
        <v>719</v>
      </c>
      <c r="EN6764" t="s">
        <v>861</v>
      </c>
      <c r="EO6764">
        <v>3340.5599999999995</v>
      </c>
    </row>
    <row r="6765" spans="142:145" x14ac:dyDescent="0.25">
      <c r="EL6765">
        <v>2015</v>
      </c>
      <c r="EM6765" t="s">
        <v>713</v>
      </c>
      <c r="EN6765" t="s">
        <v>861</v>
      </c>
      <c r="EO6765">
        <v>2814.56</v>
      </c>
    </row>
    <row r="6766" spans="142:145" x14ac:dyDescent="0.25">
      <c r="EL6766">
        <v>2015</v>
      </c>
      <c r="EM6766" t="s">
        <v>714</v>
      </c>
      <c r="EN6766" t="s">
        <v>861</v>
      </c>
      <c r="EO6766">
        <v>3804.32</v>
      </c>
    </row>
    <row r="6767" spans="142:145" x14ac:dyDescent="0.25">
      <c r="EL6767">
        <v>2015</v>
      </c>
      <c r="EM6767" t="s">
        <v>705</v>
      </c>
      <c r="EN6767" t="s">
        <v>861</v>
      </c>
      <c r="EO6767">
        <v>3432.8999999999996</v>
      </c>
    </row>
    <row r="6768" spans="142:145" x14ac:dyDescent="0.25">
      <c r="EL6768">
        <v>2015</v>
      </c>
      <c r="EM6768" t="s">
        <v>715</v>
      </c>
      <c r="EN6768" t="s">
        <v>861</v>
      </c>
      <c r="EO6768">
        <v>3102.17</v>
      </c>
    </row>
    <row r="6769" spans="142:145" x14ac:dyDescent="0.25">
      <c r="EL6769">
        <v>2015</v>
      </c>
      <c r="EM6769" t="s">
        <v>718</v>
      </c>
      <c r="EN6769" t="s">
        <v>861</v>
      </c>
      <c r="EO6769">
        <v>3252.8999999999996</v>
      </c>
    </row>
    <row r="6770" spans="142:145" x14ac:dyDescent="0.25">
      <c r="EL6770">
        <v>2015</v>
      </c>
      <c r="EM6770" t="s">
        <v>716</v>
      </c>
      <c r="EN6770" t="s">
        <v>861</v>
      </c>
      <c r="EO6770">
        <v>3351.7200000000003</v>
      </c>
    </row>
    <row r="6771" spans="142:145" x14ac:dyDescent="0.25">
      <c r="EL6771">
        <v>2015</v>
      </c>
      <c r="EM6771" t="s">
        <v>708</v>
      </c>
      <c r="EN6771" t="s">
        <v>861</v>
      </c>
      <c r="EO6771">
        <v>2809.2200000000003</v>
      </c>
    </row>
    <row r="6772" spans="142:145" x14ac:dyDescent="0.25">
      <c r="EL6772">
        <v>2015</v>
      </c>
      <c r="EM6772" t="s">
        <v>709</v>
      </c>
      <c r="EN6772" t="s">
        <v>861</v>
      </c>
      <c r="EO6772">
        <v>2578.1999999999994</v>
      </c>
    </row>
    <row r="6773" spans="142:145" x14ac:dyDescent="0.25">
      <c r="EL6773">
        <v>2015</v>
      </c>
      <c r="EM6773" t="s">
        <v>710</v>
      </c>
      <c r="EN6773" t="s">
        <v>861</v>
      </c>
      <c r="EO6773">
        <v>2785.66</v>
      </c>
    </row>
    <row r="6774" spans="142:145" x14ac:dyDescent="0.25">
      <c r="EL6774">
        <v>2015</v>
      </c>
      <c r="EM6774" t="s">
        <v>711</v>
      </c>
      <c r="EN6774" t="s">
        <v>861</v>
      </c>
      <c r="EO6774">
        <v>2602.4999999999995</v>
      </c>
    </row>
    <row r="6775" spans="142:145" x14ac:dyDescent="0.25">
      <c r="EL6775">
        <v>2015</v>
      </c>
      <c r="EM6775" t="s">
        <v>712</v>
      </c>
      <c r="EN6775" t="s">
        <v>861</v>
      </c>
      <c r="EO6775">
        <v>2965.77</v>
      </c>
    </row>
    <row r="6776" spans="142:145" x14ac:dyDescent="0.25">
      <c r="EL6776">
        <v>2016</v>
      </c>
      <c r="EM6776" t="s">
        <v>719</v>
      </c>
      <c r="EN6776" t="s">
        <v>861</v>
      </c>
      <c r="EO6776">
        <v>3157.0399999999995</v>
      </c>
    </row>
    <row r="6777" spans="142:145" x14ac:dyDescent="0.25">
      <c r="EL6777">
        <v>2016</v>
      </c>
      <c r="EM6777" t="s">
        <v>713</v>
      </c>
      <c r="EN6777" t="s">
        <v>861</v>
      </c>
      <c r="EO6777">
        <v>3534.8100000000004</v>
      </c>
    </row>
    <row r="6778" spans="142:145" x14ac:dyDescent="0.25">
      <c r="EL6778">
        <v>2016</v>
      </c>
      <c r="EM6778" t="s">
        <v>714</v>
      </c>
      <c r="EN6778" t="s">
        <v>861</v>
      </c>
      <c r="EO6778">
        <v>3250.6600000000008</v>
      </c>
    </row>
    <row r="6779" spans="142:145" x14ac:dyDescent="0.25">
      <c r="EL6779">
        <v>2016</v>
      </c>
      <c r="EM6779" t="s">
        <v>705</v>
      </c>
      <c r="EN6779" t="s">
        <v>861</v>
      </c>
      <c r="EO6779">
        <v>2906.7000000000003</v>
      </c>
    </row>
    <row r="6780" spans="142:145" x14ac:dyDescent="0.25">
      <c r="EL6780">
        <v>2016</v>
      </c>
      <c r="EM6780" t="s">
        <v>715</v>
      </c>
      <c r="EN6780" t="s">
        <v>861</v>
      </c>
      <c r="EO6780">
        <v>3276.4599999999996</v>
      </c>
    </row>
    <row r="6781" spans="142:145" x14ac:dyDescent="0.25">
      <c r="EL6781">
        <v>2016</v>
      </c>
      <c r="EM6781" t="s">
        <v>718</v>
      </c>
      <c r="EN6781" t="s">
        <v>861</v>
      </c>
      <c r="EO6781">
        <v>2871.3070000000002</v>
      </c>
    </row>
    <row r="6782" spans="142:145" x14ac:dyDescent="0.25">
      <c r="EL6782">
        <v>2016</v>
      </c>
      <c r="EM6782" t="s">
        <v>716</v>
      </c>
      <c r="EN6782" t="s">
        <v>861</v>
      </c>
      <c r="EO6782">
        <v>2931.1440000000007</v>
      </c>
    </row>
    <row r="6783" spans="142:145" x14ac:dyDescent="0.25">
      <c r="EL6783">
        <v>2016</v>
      </c>
      <c r="EM6783" t="s">
        <v>708</v>
      </c>
      <c r="EN6783" t="s">
        <v>861</v>
      </c>
      <c r="EO6783">
        <v>2683.8079999999991</v>
      </c>
    </row>
    <row r="6784" spans="142:145" x14ac:dyDescent="0.25">
      <c r="EL6784">
        <v>2016</v>
      </c>
      <c r="EM6784" t="s">
        <v>709</v>
      </c>
      <c r="EN6784" t="s">
        <v>861</v>
      </c>
      <c r="EO6784">
        <v>2587.578</v>
      </c>
    </row>
    <row r="6785" spans="142:145" x14ac:dyDescent="0.25">
      <c r="EL6785">
        <v>2016</v>
      </c>
      <c r="EM6785" t="s">
        <v>710</v>
      </c>
      <c r="EN6785" t="s">
        <v>861</v>
      </c>
      <c r="EO6785">
        <v>2634.0680000000002</v>
      </c>
    </row>
    <row r="6786" spans="142:145" x14ac:dyDescent="0.25">
      <c r="EL6786">
        <v>2016</v>
      </c>
      <c r="EM6786" t="s">
        <v>711</v>
      </c>
      <c r="EN6786" t="s">
        <v>861</v>
      </c>
      <c r="EO6786">
        <v>2455.0319999999997</v>
      </c>
    </row>
    <row r="6787" spans="142:145" x14ac:dyDescent="0.25">
      <c r="EL6787">
        <v>2016</v>
      </c>
      <c r="EM6787" t="s">
        <v>712</v>
      </c>
      <c r="EN6787" t="s">
        <v>861</v>
      </c>
      <c r="EO6787">
        <v>2610.7370000000001</v>
      </c>
    </row>
    <row r="6788" spans="142:145" x14ac:dyDescent="0.25">
      <c r="EL6788">
        <v>2017</v>
      </c>
      <c r="EM6788" t="s">
        <v>719</v>
      </c>
      <c r="EN6788" t="s">
        <v>861</v>
      </c>
      <c r="EO6788">
        <v>2791.78</v>
      </c>
    </row>
    <row r="6789" spans="142:145" x14ac:dyDescent="0.25">
      <c r="EL6789">
        <v>2017</v>
      </c>
      <c r="EM6789" t="s">
        <v>713</v>
      </c>
      <c r="EN6789" t="s">
        <v>861</v>
      </c>
      <c r="EO6789">
        <v>2438.2270000000003</v>
      </c>
    </row>
    <row r="6790" spans="142:145" x14ac:dyDescent="0.25">
      <c r="EL6790">
        <v>2017</v>
      </c>
      <c r="EM6790" t="s">
        <v>714</v>
      </c>
      <c r="EN6790" t="s">
        <v>861</v>
      </c>
      <c r="EO6790">
        <v>2762.35</v>
      </c>
    </row>
    <row r="6791" spans="142:145" x14ac:dyDescent="0.25">
      <c r="EL6791">
        <v>2017</v>
      </c>
      <c r="EM6791" t="s">
        <v>705</v>
      </c>
      <c r="EN6791" t="s">
        <v>861</v>
      </c>
      <c r="EO6791">
        <v>2853.4599999999996</v>
      </c>
    </row>
    <row r="6792" spans="142:145" x14ac:dyDescent="0.25">
      <c r="EL6792">
        <v>2017</v>
      </c>
      <c r="EM6792" t="s">
        <v>715</v>
      </c>
      <c r="EN6792" t="s">
        <v>861</v>
      </c>
      <c r="EO6792">
        <v>3014.201</v>
      </c>
    </row>
    <row r="6793" spans="142:145" x14ac:dyDescent="0.25">
      <c r="EL6793">
        <v>2017</v>
      </c>
      <c r="EM6793" t="s">
        <v>718</v>
      </c>
      <c r="EN6793" t="s">
        <v>861</v>
      </c>
      <c r="EO6793">
        <v>2670.0069999999996</v>
      </c>
    </row>
    <row r="6794" spans="142:145" x14ac:dyDescent="0.25">
      <c r="EL6794">
        <v>2017</v>
      </c>
      <c r="EM6794" t="s">
        <v>716</v>
      </c>
      <c r="EN6794" t="s">
        <v>861</v>
      </c>
      <c r="EO6794">
        <v>2847.7969999999996</v>
      </c>
    </row>
    <row r="6795" spans="142:145" x14ac:dyDescent="0.25">
      <c r="EL6795">
        <v>2017</v>
      </c>
      <c r="EM6795" t="s">
        <v>708</v>
      </c>
      <c r="EN6795" t="s">
        <v>861</v>
      </c>
      <c r="EO6795">
        <v>2970.3230000000003</v>
      </c>
    </row>
    <row r="6796" spans="142:145" x14ac:dyDescent="0.25">
      <c r="EL6796">
        <v>2017</v>
      </c>
      <c r="EM6796" t="s">
        <v>709</v>
      </c>
      <c r="EN6796" t="s">
        <v>861</v>
      </c>
      <c r="EO6796">
        <v>2663.0330000000004</v>
      </c>
    </row>
    <row r="6797" spans="142:145" x14ac:dyDescent="0.25">
      <c r="EL6797">
        <v>2017</v>
      </c>
      <c r="EM6797" t="s">
        <v>710</v>
      </c>
      <c r="EN6797" t="s">
        <v>861</v>
      </c>
      <c r="EO6797">
        <v>2615.5030000000002</v>
      </c>
    </row>
    <row r="6798" spans="142:145" x14ac:dyDescent="0.25">
      <c r="EL6798">
        <v>2017</v>
      </c>
      <c r="EM6798" t="s">
        <v>711</v>
      </c>
      <c r="EN6798" t="s">
        <v>861</v>
      </c>
      <c r="EO6798">
        <v>2509.2000000000003</v>
      </c>
    </row>
    <row r="6799" spans="142:145" x14ac:dyDescent="0.25">
      <c r="EL6799">
        <v>2017</v>
      </c>
      <c r="EM6799" t="s">
        <v>712</v>
      </c>
      <c r="EN6799" t="s">
        <v>861</v>
      </c>
      <c r="EO6799">
        <v>2484.9600000000005</v>
      </c>
    </row>
    <row r="6800" spans="142:145" x14ac:dyDescent="0.25">
      <c r="EL6800">
        <v>2018</v>
      </c>
      <c r="EM6800" t="s">
        <v>719</v>
      </c>
      <c r="EN6800" t="s">
        <v>861</v>
      </c>
      <c r="EO6800">
        <v>2536.4199999999996</v>
      </c>
    </row>
    <row r="6801" spans="142:145" x14ac:dyDescent="0.25">
      <c r="EL6801">
        <v>2018</v>
      </c>
      <c r="EM6801" t="s">
        <v>713</v>
      </c>
      <c r="EN6801" t="s">
        <v>861</v>
      </c>
      <c r="EO6801">
        <v>2616.3199999999997</v>
      </c>
    </row>
    <row r="6802" spans="142:145" x14ac:dyDescent="0.25">
      <c r="EL6802">
        <v>2018</v>
      </c>
      <c r="EM6802" t="s">
        <v>714</v>
      </c>
      <c r="EN6802" t="s">
        <v>861</v>
      </c>
      <c r="EO6802">
        <v>2747.8400000000006</v>
      </c>
    </row>
    <row r="6803" spans="142:145" x14ac:dyDescent="0.25">
      <c r="EL6803">
        <v>2018</v>
      </c>
      <c r="EM6803" t="s">
        <v>705</v>
      </c>
      <c r="EN6803" t="s">
        <v>861</v>
      </c>
      <c r="EO6803">
        <v>2687.7000000000003</v>
      </c>
    </row>
    <row r="6804" spans="142:145" x14ac:dyDescent="0.25">
      <c r="EL6804">
        <v>2018</v>
      </c>
      <c r="EM6804" t="s">
        <v>715</v>
      </c>
      <c r="EN6804" t="s">
        <v>861</v>
      </c>
      <c r="EO6804">
        <v>3269.57</v>
      </c>
    </row>
    <row r="6805" spans="142:145" x14ac:dyDescent="0.25">
      <c r="EL6805">
        <v>2018</v>
      </c>
      <c r="EM6805" t="s">
        <v>718</v>
      </c>
      <c r="EN6805" t="s">
        <v>861</v>
      </c>
      <c r="EO6805">
        <v>3206.7000000000003</v>
      </c>
    </row>
    <row r="6806" spans="142:145" x14ac:dyDescent="0.25">
      <c r="EL6806">
        <v>2018</v>
      </c>
      <c r="EM6806" t="s">
        <v>716</v>
      </c>
      <c r="EN6806" t="s">
        <v>861</v>
      </c>
      <c r="EO6806">
        <v>3200.7500000000009</v>
      </c>
    </row>
    <row r="6807" spans="142:145" x14ac:dyDescent="0.25">
      <c r="EL6807">
        <v>2018</v>
      </c>
      <c r="EM6807" t="s">
        <v>708</v>
      </c>
      <c r="EN6807" t="s">
        <v>861</v>
      </c>
      <c r="EO6807">
        <v>3185.8700000000003</v>
      </c>
    </row>
    <row r="6808" spans="142:145" x14ac:dyDescent="0.25">
      <c r="EL6808">
        <v>2018</v>
      </c>
      <c r="EM6808" t="s">
        <v>709</v>
      </c>
      <c r="EN6808" t="s">
        <v>861</v>
      </c>
      <c r="EO6808">
        <v>3537.6000000000004</v>
      </c>
    </row>
    <row r="6809" spans="142:145" x14ac:dyDescent="0.25">
      <c r="EL6809">
        <v>2018</v>
      </c>
      <c r="EM6809" t="s">
        <v>710</v>
      </c>
      <c r="EN6809" t="s">
        <v>861</v>
      </c>
      <c r="EO6809">
        <v>3361.02</v>
      </c>
    </row>
    <row r="6810" spans="142:145" x14ac:dyDescent="0.25">
      <c r="EL6810">
        <v>2018</v>
      </c>
      <c r="EM6810" t="s">
        <v>711</v>
      </c>
      <c r="EN6810" t="s">
        <v>861</v>
      </c>
      <c r="EO6810">
        <v>3761.4</v>
      </c>
    </row>
    <row r="6811" spans="142:145" x14ac:dyDescent="0.25">
      <c r="EL6811">
        <v>2018</v>
      </c>
      <c r="EM6811" t="s">
        <v>712</v>
      </c>
      <c r="EN6811" t="s">
        <v>861</v>
      </c>
      <c r="EO6811">
        <v>3880.5800000000004</v>
      </c>
    </row>
    <row r="6812" spans="142:145" x14ac:dyDescent="0.25">
      <c r="EL6812">
        <v>2019</v>
      </c>
      <c r="EM6812" t="s">
        <v>719</v>
      </c>
      <c r="EN6812" t="s">
        <v>861</v>
      </c>
      <c r="EO6812">
        <v>3819.82</v>
      </c>
    </row>
    <row r="6813" spans="142:145" x14ac:dyDescent="0.25">
      <c r="EL6813">
        <v>2019</v>
      </c>
      <c r="EM6813" t="s">
        <v>713</v>
      </c>
      <c r="EN6813" t="s">
        <v>861</v>
      </c>
      <c r="EO6813">
        <v>3631.96</v>
      </c>
    </row>
    <row r="6814" spans="142:145" x14ac:dyDescent="0.25">
      <c r="EL6814">
        <v>2019</v>
      </c>
      <c r="EM6814" t="s">
        <v>714</v>
      </c>
      <c r="EN6814" t="s">
        <v>861</v>
      </c>
      <c r="EO6814">
        <v>3994.04</v>
      </c>
    </row>
    <row r="6815" spans="142:145" x14ac:dyDescent="0.25">
      <c r="EL6815">
        <v>2019</v>
      </c>
      <c r="EM6815" t="s">
        <v>705</v>
      </c>
      <c r="EN6815" t="s">
        <v>861</v>
      </c>
      <c r="EO6815">
        <v>3227.7000000000003</v>
      </c>
    </row>
    <row r="6816" spans="142:145" x14ac:dyDescent="0.25">
      <c r="EL6816">
        <v>2019</v>
      </c>
      <c r="EM6816" t="s">
        <v>715</v>
      </c>
      <c r="EN6816" t="s">
        <v>861</v>
      </c>
      <c r="EO6816">
        <v>3395.74</v>
      </c>
    </row>
    <row r="6817" spans="142:145" x14ac:dyDescent="0.25">
      <c r="EL6817">
        <v>2019</v>
      </c>
      <c r="EM6817" t="s">
        <v>718</v>
      </c>
      <c r="EN6817" t="s">
        <v>861</v>
      </c>
      <c r="EO6817">
        <v>2935.5000000000005</v>
      </c>
    </row>
    <row r="6818" spans="142:145" x14ac:dyDescent="0.25">
      <c r="EL6818">
        <v>2019</v>
      </c>
      <c r="EM6818" t="s">
        <v>716</v>
      </c>
      <c r="EN6818" t="s">
        <v>861</v>
      </c>
      <c r="EO6818">
        <v>2937.2499999999995</v>
      </c>
    </row>
    <row r="6819" spans="142:145" x14ac:dyDescent="0.25">
      <c r="EL6819">
        <v>2019</v>
      </c>
      <c r="EM6819" t="s">
        <v>708</v>
      </c>
      <c r="EN6819" t="s">
        <v>861</v>
      </c>
      <c r="EO6819">
        <v>2686.15</v>
      </c>
    </row>
    <row r="6820" spans="142:145" x14ac:dyDescent="0.25">
      <c r="EL6820">
        <v>2019</v>
      </c>
      <c r="EM6820" t="s">
        <v>709</v>
      </c>
      <c r="EN6820" t="s">
        <v>861</v>
      </c>
      <c r="EO6820">
        <v>2840.7</v>
      </c>
    </row>
    <row r="6821" spans="142:145" x14ac:dyDescent="0.25">
      <c r="EL6821">
        <v>2019</v>
      </c>
      <c r="EM6821" t="s">
        <v>710</v>
      </c>
      <c r="EN6821" t="s">
        <v>861</v>
      </c>
      <c r="EO6821">
        <v>2741.33</v>
      </c>
    </row>
    <row r="6822" spans="142:145" x14ac:dyDescent="0.25">
      <c r="EL6822">
        <v>2019</v>
      </c>
      <c r="EM6822" t="s">
        <v>711</v>
      </c>
      <c r="EN6822" t="s">
        <v>861</v>
      </c>
      <c r="EO6822">
        <v>2941.8000000000006</v>
      </c>
    </row>
    <row r="6823" spans="142:145" x14ac:dyDescent="0.25">
      <c r="EL6823">
        <v>2019</v>
      </c>
      <c r="EM6823" t="s">
        <v>712</v>
      </c>
      <c r="EN6823" t="s">
        <v>861</v>
      </c>
      <c r="EO6823">
        <v>2796.2000000000003</v>
      </c>
    </row>
    <row r="6824" spans="142:145" x14ac:dyDescent="0.25">
      <c r="EL6824">
        <v>2020</v>
      </c>
      <c r="EM6824" t="s">
        <v>719</v>
      </c>
      <c r="EN6824" t="s">
        <v>861</v>
      </c>
      <c r="EO6824">
        <v>2900.05</v>
      </c>
    </row>
    <row r="6825" spans="142:145" x14ac:dyDescent="0.25">
      <c r="EL6825">
        <v>2020</v>
      </c>
      <c r="EM6825" t="s">
        <v>713</v>
      </c>
      <c r="EN6825" t="s">
        <v>861</v>
      </c>
      <c r="EO6825">
        <v>2948.1400000000003</v>
      </c>
    </row>
    <row r="6826" spans="142:145" x14ac:dyDescent="0.25">
      <c r="EL6826">
        <v>2020</v>
      </c>
      <c r="EM6826" t="s">
        <v>714</v>
      </c>
      <c r="EN6826" t="s">
        <v>861</v>
      </c>
      <c r="EO6826">
        <v>3043.89</v>
      </c>
    </row>
    <row r="6827" spans="142:145" x14ac:dyDescent="0.25">
      <c r="EL6827">
        <v>2020</v>
      </c>
      <c r="EM6827" t="s">
        <v>705</v>
      </c>
      <c r="EN6827" t="s">
        <v>861</v>
      </c>
      <c r="EO6827">
        <v>3215.3900000000003</v>
      </c>
    </row>
    <row r="6828" spans="142:145" x14ac:dyDescent="0.25">
      <c r="EL6828">
        <v>2020</v>
      </c>
      <c r="EM6828" t="s">
        <v>715</v>
      </c>
      <c r="EN6828" t="s">
        <v>861</v>
      </c>
      <c r="EO6828">
        <v>3328.78</v>
      </c>
    </row>
    <row r="6829" spans="142:145" x14ac:dyDescent="0.25">
      <c r="EL6829">
        <v>2020</v>
      </c>
      <c r="EM6829" t="s">
        <v>718</v>
      </c>
      <c r="EN6829" t="s">
        <v>861</v>
      </c>
      <c r="EO6829">
        <v>2987.7</v>
      </c>
    </row>
    <row r="6830" spans="142:145" x14ac:dyDescent="0.25">
      <c r="EL6830">
        <v>2020</v>
      </c>
      <c r="EM6830" t="s">
        <v>716</v>
      </c>
      <c r="EN6830" t="s">
        <v>861</v>
      </c>
      <c r="EO6830">
        <v>2988.0900000000006</v>
      </c>
    </row>
    <row r="6831" spans="142:145" x14ac:dyDescent="0.25">
      <c r="EL6831">
        <v>2020</v>
      </c>
      <c r="EM6831" t="s">
        <v>708</v>
      </c>
      <c r="EN6831" t="s">
        <v>861</v>
      </c>
      <c r="EO6831">
        <v>3260.58</v>
      </c>
    </row>
    <row r="6832" spans="142:145" x14ac:dyDescent="0.25">
      <c r="EL6832">
        <v>2020</v>
      </c>
      <c r="EM6832" t="s">
        <v>709</v>
      </c>
      <c r="EN6832" t="s">
        <v>861</v>
      </c>
      <c r="EO6832">
        <v>3162.2999999999997</v>
      </c>
    </row>
    <row r="6833" spans="142:145" x14ac:dyDescent="0.25">
      <c r="EL6833">
        <v>2020</v>
      </c>
      <c r="EM6833" t="s">
        <v>710</v>
      </c>
      <c r="EN6833" t="s">
        <v>861</v>
      </c>
      <c r="EO6833">
        <v>3053.1899999999996</v>
      </c>
    </row>
    <row r="6834" spans="142:145" x14ac:dyDescent="0.25">
      <c r="EL6834">
        <v>2020</v>
      </c>
      <c r="EM6834" t="s">
        <v>711</v>
      </c>
      <c r="EN6834" t="s">
        <v>861</v>
      </c>
      <c r="EO6834">
        <v>3276.3</v>
      </c>
    </row>
    <row r="6835" spans="142:145" x14ac:dyDescent="0.25">
      <c r="EL6835">
        <v>2020</v>
      </c>
      <c r="EM6835" t="s">
        <v>712</v>
      </c>
      <c r="EN6835" t="s">
        <v>861</v>
      </c>
      <c r="EO6835">
        <v>3651.7999999999997</v>
      </c>
    </row>
    <row r="6836" spans="142:145" x14ac:dyDescent="0.25">
      <c r="EL6836">
        <v>2021</v>
      </c>
      <c r="EM6836" t="s">
        <v>719</v>
      </c>
      <c r="EN6836" t="s">
        <v>861</v>
      </c>
      <c r="EO6836">
        <v>3331.2599999999993</v>
      </c>
    </row>
    <row r="6837" spans="142:145" x14ac:dyDescent="0.25">
      <c r="EL6837">
        <v>2021</v>
      </c>
      <c r="EM6837" t="s">
        <v>713</v>
      </c>
      <c r="EN6837" t="s">
        <v>861</v>
      </c>
      <c r="EO6837">
        <v>3231.2</v>
      </c>
    </row>
    <row r="6838" spans="142:145" x14ac:dyDescent="0.25">
      <c r="EL6838">
        <v>2021</v>
      </c>
      <c r="EM6838" t="s">
        <v>714</v>
      </c>
      <c r="EN6838" t="s">
        <v>861</v>
      </c>
      <c r="EO6838">
        <v>3631.0299999999993</v>
      </c>
    </row>
    <row r="6839" spans="142:145" x14ac:dyDescent="0.25">
      <c r="EL6839">
        <v>2021</v>
      </c>
      <c r="EM6839" t="s">
        <v>705</v>
      </c>
      <c r="EN6839" t="s">
        <v>861</v>
      </c>
      <c r="EO6839">
        <v>3423.3</v>
      </c>
    </row>
    <row r="6840" spans="142:145" x14ac:dyDescent="0.25">
      <c r="EL6840">
        <v>2021</v>
      </c>
      <c r="EM6840" t="s">
        <v>715</v>
      </c>
      <c r="EN6840" t="s">
        <v>861</v>
      </c>
      <c r="EO6840">
        <v>3069.0000000000005</v>
      </c>
    </row>
    <row r="6841" spans="142:145" x14ac:dyDescent="0.25">
      <c r="EL6841">
        <v>2021</v>
      </c>
      <c r="EM6841" t="s">
        <v>718</v>
      </c>
      <c r="EN6841" t="s">
        <v>861</v>
      </c>
      <c r="EO6841">
        <v>3008.4000000000005</v>
      </c>
    </row>
    <row r="6842" spans="142:145" x14ac:dyDescent="0.25">
      <c r="EL6842">
        <v>2021</v>
      </c>
      <c r="EM6842" t="s">
        <v>716</v>
      </c>
      <c r="EN6842" t="s">
        <v>861</v>
      </c>
      <c r="EO6842">
        <v>2921.44</v>
      </c>
    </row>
    <row r="6843" spans="142:145" x14ac:dyDescent="0.25">
      <c r="EL6843">
        <v>2021</v>
      </c>
      <c r="EM6843" t="s">
        <v>708</v>
      </c>
      <c r="EN6843" t="s">
        <v>861</v>
      </c>
      <c r="EO6843">
        <v>3021.8800000000006</v>
      </c>
    </row>
    <row r="6844" spans="142:145" x14ac:dyDescent="0.25">
      <c r="EL6844">
        <v>2021</v>
      </c>
      <c r="EM6844" t="s">
        <v>709</v>
      </c>
      <c r="EN6844" t="s">
        <v>861</v>
      </c>
      <c r="EO6844">
        <v>2954.1000000000004</v>
      </c>
    </row>
    <row r="6845" spans="142:145" x14ac:dyDescent="0.25">
      <c r="EL6845">
        <v>2021</v>
      </c>
      <c r="EM6845" t="s">
        <v>710</v>
      </c>
      <c r="EN6845" t="s">
        <v>861</v>
      </c>
      <c r="EO6845">
        <v>2868.1199999999994</v>
      </c>
    </row>
    <row r="6846" spans="142:145" x14ac:dyDescent="0.25">
      <c r="EL6846">
        <v>2021</v>
      </c>
      <c r="EM6846" t="s">
        <v>711</v>
      </c>
      <c r="EN6846" t="s">
        <v>861</v>
      </c>
      <c r="EO6846">
        <v>2744.1000000000004</v>
      </c>
    </row>
    <row r="6847" spans="142:145" x14ac:dyDescent="0.25">
      <c r="EL6847">
        <v>2021</v>
      </c>
      <c r="EM6847" t="s">
        <v>712</v>
      </c>
      <c r="EN6847" t="s">
        <v>861</v>
      </c>
      <c r="EO6847">
        <v>2688.94</v>
      </c>
    </row>
    <row r="6848" spans="142:145" x14ac:dyDescent="0.25">
      <c r="EL6848">
        <v>2022</v>
      </c>
      <c r="EM6848" t="s">
        <v>719</v>
      </c>
      <c r="EN6848" t="s">
        <v>861</v>
      </c>
      <c r="EO6848">
        <v>3105.8900000000003</v>
      </c>
    </row>
    <row r="6849" spans="142:145" x14ac:dyDescent="0.25">
      <c r="EL6849">
        <v>2022</v>
      </c>
      <c r="EM6849" t="s">
        <v>713</v>
      </c>
      <c r="EN6849" t="s">
        <v>861</v>
      </c>
      <c r="EO6849">
        <v>2791.0399999999995</v>
      </c>
    </row>
    <row r="6850" spans="142:145" x14ac:dyDescent="0.25">
      <c r="EL6850">
        <v>2022</v>
      </c>
      <c r="EM6850" t="s">
        <v>714</v>
      </c>
      <c r="EN6850" t="s">
        <v>861</v>
      </c>
      <c r="EO6850">
        <v>3072.1000000000004</v>
      </c>
    </row>
    <row r="6851" spans="142:145" x14ac:dyDescent="0.25">
      <c r="EL6851">
        <v>2022</v>
      </c>
      <c r="EM6851" t="s">
        <v>705</v>
      </c>
      <c r="EN6851" t="s">
        <v>861</v>
      </c>
      <c r="EO6851">
        <v>3144.3</v>
      </c>
    </row>
    <row r="6852" spans="142:145" x14ac:dyDescent="0.25">
      <c r="EL6852">
        <v>2022</v>
      </c>
      <c r="EM6852" t="s">
        <v>715</v>
      </c>
      <c r="EN6852" t="s">
        <v>861</v>
      </c>
      <c r="EO6852">
        <v>3270.8099999999995</v>
      </c>
    </row>
    <row r="6853" spans="142:145" x14ac:dyDescent="0.25">
      <c r="EL6853">
        <v>2022</v>
      </c>
      <c r="EM6853" t="s">
        <v>718</v>
      </c>
      <c r="EN6853" t="s">
        <v>861</v>
      </c>
      <c r="EO6853">
        <v>2991.6</v>
      </c>
    </row>
    <row r="6854" spans="142:145" x14ac:dyDescent="0.25">
      <c r="EL6854">
        <v>2022</v>
      </c>
      <c r="EM6854" t="s">
        <v>716</v>
      </c>
      <c r="EN6854" t="s">
        <v>861</v>
      </c>
      <c r="EO6854">
        <v>3269.88</v>
      </c>
    </row>
    <row r="6855" spans="142:145" x14ac:dyDescent="0.25">
      <c r="EL6855">
        <v>2022</v>
      </c>
      <c r="EM6855" t="s">
        <v>708</v>
      </c>
      <c r="EN6855" t="s">
        <v>861</v>
      </c>
      <c r="EO6855">
        <v>3079.2299999999996</v>
      </c>
    </row>
    <row r="6856" spans="142:145" x14ac:dyDescent="0.25">
      <c r="EL6856">
        <v>2022</v>
      </c>
      <c r="EM6856" t="s">
        <v>709</v>
      </c>
      <c r="EN6856" t="s">
        <v>861</v>
      </c>
      <c r="EO6856">
        <v>2774.7</v>
      </c>
    </row>
    <row r="6857" spans="142:145" x14ac:dyDescent="0.25">
      <c r="EL6857">
        <v>2022</v>
      </c>
      <c r="EM6857" t="s">
        <v>710</v>
      </c>
      <c r="EN6857" t="s">
        <v>861</v>
      </c>
      <c r="EO6857">
        <v>2795.58</v>
      </c>
    </row>
    <row r="6858" spans="142:145" x14ac:dyDescent="0.25">
      <c r="EL6858">
        <v>2022</v>
      </c>
      <c r="EM6858" t="s">
        <v>711</v>
      </c>
      <c r="EN6858" t="s">
        <v>861</v>
      </c>
      <c r="EO6858">
        <v>2678.7000000000003</v>
      </c>
    </row>
    <row r="6859" spans="142:145" x14ac:dyDescent="0.25">
      <c r="EL6859">
        <v>2022</v>
      </c>
      <c r="EM6859" t="s">
        <v>712</v>
      </c>
      <c r="EN6859" t="s">
        <v>861</v>
      </c>
      <c r="EO6859">
        <v>3132.8600000000006</v>
      </c>
    </row>
    <row r="6860" spans="142:145" x14ac:dyDescent="0.25">
      <c r="EL6860">
        <v>2023</v>
      </c>
      <c r="EM6860" t="s">
        <v>719</v>
      </c>
      <c r="EN6860" t="s">
        <v>861</v>
      </c>
      <c r="EO6860">
        <v>2994.6</v>
      </c>
    </row>
    <row r="6861" spans="142:145" x14ac:dyDescent="0.25">
      <c r="EL6861">
        <v>2023</v>
      </c>
      <c r="EM6861" t="s">
        <v>713</v>
      </c>
      <c r="EN6861" t="s">
        <v>861</v>
      </c>
      <c r="EO6861">
        <v>2764.9999999999995</v>
      </c>
    </row>
    <row r="6862" spans="142:145" x14ac:dyDescent="0.25">
      <c r="EL6862">
        <v>2023</v>
      </c>
      <c r="EM6862" t="s">
        <v>714</v>
      </c>
      <c r="EN6862" t="s">
        <v>861</v>
      </c>
      <c r="EO6862">
        <v>2927.02</v>
      </c>
    </row>
    <row r="6863" spans="142:145" x14ac:dyDescent="0.25">
      <c r="EL6863">
        <v>2023</v>
      </c>
      <c r="EM6863" t="s">
        <v>705</v>
      </c>
      <c r="EN6863" t="s">
        <v>861</v>
      </c>
      <c r="EO6863">
        <v>2820.3</v>
      </c>
    </row>
    <row r="6864" spans="142:145" x14ac:dyDescent="0.25">
      <c r="EL6864">
        <v>2023</v>
      </c>
      <c r="EM6864" t="s">
        <v>715</v>
      </c>
      <c r="EN6864" t="s">
        <v>861</v>
      </c>
      <c r="EO6864">
        <v>2806.4299999999994</v>
      </c>
    </row>
    <row r="6865" spans="142:145" x14ac:dyDescent="0.25">
      <c r="EL6865">
        <v>2023</v>
      </c>
      <c r="EM6865" t="s">
        <v>718</v>
      </c>
      <c r="EN6865" t="s">
        <v>861</v>
      </c>
      <c r="EO6865">
        <v>2677.5000000000005</v>
      </c>
    </row>
    <row r="6866" spans="142:145" x14ac:dyDescent="0.25">
      <c r="EL6866">
        <v>2023</v>
      </c>
      <c r="EM6866" t="s">
        <v>716</v>
      </c>
      <c r="EN6866" t="s">
        <v>861</v>
      </c>
      <c r="EO6866">
        <v>2805.4999999999995</v>
      </c>
    </row>
    <row r="6867" spans="142:145" x14ac:dyDescent="0.25">
      <c r="EL6867">
        <v>2023</v>
      </c>
      <c r="EM6867" t="s">
        <v>708</v>
      </c>
      <c r="EN6867" t="s">
        <v>861</v>
      </c>
      <c r="EO6867">
        <v>2806.12</v>
      </c>
    </row>
    <row r="6868" spans="142:145" x14ac:dyDescent="0.25">
      <c r="EL6868">
        <v>2023</v>
      </c>
      <c r="EM6868" t="s">
        <v>709</v>
      </c>
      <c r="EN6868" t="s">
        <v>861</v>
      </c>
      <c r="EO6868">
        <v>2805</v>
      </c>
    </row>
    <row r="6869" spans="142:145" x14ac:dyDescent="0.25">
      <c r="EL6869">
        <v>1997</v>
      </c>
      <c r="EM6869" t="s">
        <v>760</v>
      </c>
      <c r="EN6869" t="s">
        <v>862</v>
      </c>
      <c r="EO6869">
        <v>683.798</v>
      </c>
    </row>
    <row r="6870" spans="142:145" x14ac:dyDescent="0.25">
      <c r="EL6870">
        <v>1997</v>
      </c>
      <c r="EM6870" t="s">
        <v>761</v>
      </c>
      <c r="EN6870" t="s">
        <v>862</v>
      </c>
      <c r="EO6870">
        <v>776.13</v>
      </c>
    </row>
    <row r="6871" spans="142:145" x14ac:dyDescent="0.25">
      <c r="EL6871">
        <v>1997</v>
      </c>
      <c r="EM6871" t="s">
        <v>762</v>
      </c>
      <c r="EN6871" t="s">
        <v>862</v>
      </c>
      <c r="EO6871">
        <v>738.48199999999997</v>
      </c>
    </row>
    <row r="6872" spans="142:145" x14ac:dyDescent="0.25">
      <c r="EL6872">
        <v>1998</v>
      </c>
      <c r="EM6872" t="s">
        <v>763</v>
      </c>
      <c r="EN6872" t="s">
        <v>862</v>
      </c>
      <c r="EO6872">
        <v>865.42700000000002</v>
      </c>
    </row>
    <row r="6873" spans="142:145" x14ac:dyDescent="0.25">
      <c r="EL6873">
        <v>1998</v>
      </c>
      <c r="EM6873" t="s">
        <v>764</v>
      </c>
      <c r="EN6873" t="s">
        <v>862</v>
      </c>
      <c r="EO6873">
        <v>966.19600000000014</v>
      </c>
    </row>
    <row r="6874" spans="142:145" x14ac:dyDescent="0.25">
      <c r="EL6874">
        <v>1998</v>
      </c>
      <c r="EM6874" t="s">
        <v>765</v>
      </c>
      <c r="EN6874" t="s">
        <v>862</v>
      </c>
      <c r="EO6874">
        <v>1160.268</v>
      </c>
    </row>
    <row r="6875" spans="142:145" x14ac:dyDescent="0.25">
      <c r="EL6875">
        <v>1998</v>
      </c>
      <c r="EM6875" t="s">
        <v>767</v>
      </c>
      <c r="EN6875" t="s">
        <v>862</v>
      </c>
      <c r="EO6875">
        <v>951.48</v>
      </c>
    </row>
    <row r="6876" spans="142:145" x14ac:dyDescent="0.25">
      <c r="EL6876">
        <v>1998</v>
      </c>
      <c r="EM6876" t="s">
        <v>715</v>
      </c>
      <c r="EN6876" t="s">
        <v>862</v>
      </c>
      <c r="EO6876">
        <v>1033.354</v>
      </c>
    </row>
    <row r="6877" spans="142:145" x14ac:dyDescent="0.25">
      <c r="EL6877">
        <v>1998</v>
      </c>
      <c r="EM6877" t="s">
        <v>718</v>
      </c>
      <c r="EN6877" t="s">
        <v>862</v>
      </c>
      <c r="EO6877">
        <v>885.54</v>
      </c>
    </row>
    <row r="6878" spans="142:145" x14ac:dyDescent="0.25">
      <c r="EL6878">
        <v>1998</v>
      </c>
      <c r="EM6878" t="s">
        <v>716</v>
      </c>
      <c r="EN6878" t="s">
        <v>862</v>
      </c>
      <c r="EO6878">
        <v>817.37700000000007</v>
      </c>
    </row>
    <row r="6879" spans="142:145" x14ac:dyDescent="0.25">
      <c r="EL6879">
        <v>1998</v>
      </c>
      <c r="EM6879" t="s">
        <v>768</v>
      </c>
      <c r="EN6879" t="s">
        <v>862</v>
      </c>
      <c r="EO6879">
        <v>772.36500000000001</v>
      </c>
    </row>
    <row r="6880" spans="142:145" x14ac:dyDescent="0.25">
      <c r="EL6880">
        <v>1998</v>
      </c>
      <c r="EM6880" t="s">
        <v>769</v>
      </c>
      <c r="EN6880" t="s">
        <v>862</v>
      </c>
      <c r="EO6880">
        <v>714.66</v>
      </c>
    </row>
    <row r="6881" spans="142:145" x14ac:dyDescent="0.25">
      <c r="EL6881">
        <v>1998</v>
      </c>
      <c r="EM6881" t="s">
        <v>760</v>
      </c>
      <c r="EN6881" t="s">
        <v>862</v>
      </c>
      <c r="EO6881">
        <v>693.09800000000007</v>
      </c>
    </row>
    <row r="6882" spans="142:145" x14ac:dyDescent="0.25">
      <c r="EL6882">
        <v>1998</v>
      </c>
      <c r="EM6882" t="s">
        <v>771</v>
      </c>
      <c r="EN6882" t="s">
        <v>862</v>
      </c>
      <c r="EO6882">
        <v>663.71999999999991</v>
      </c>
    </row>
    <row r="6883" spans="142:145" x14ac:dyDescent="0.25">
      <c r="EL6883">
        <v>1998</v>
      </c>
      <c r="EM6883" t="s">
        <v>762</v>
      </c>
      <c r="EN6883" t="s">
        <v>862</v>
      </c>
      <c r="EO6883">
        <v>701.18899999999985</v>
      </c>
    </row>
    <row r="6884" spans="142:145" x14ac:dyDescent="0.25">
      <c r="EL6884">
        <v>1999</v>
      </c>
      <c r="EM6884" t="s">
        <v>763</v>
      </c>
      <c r="EN6884" t="s">
        <v>862</v>
      </c>
      <c r="EO6884">
        <v>849.36900000000003</v>
      </c>
    </row>
    <row r="6885" spans="142:145" x14ac:dyDescent="0.25">
      <c r="EL6885">
        <v>1999</v>
      </c>
      <c r="EM6885" t="s">
        <v>772</v>
      </c>
      <c r="EN6885" t="s">
        <v>862</v>
      </c>
      <c r="EO6885">
        <v>757.59599999999989</v>
      </c>
    </row>
    <row r="6886" spans="142:145" x14ac:dyDescent="0.25">
      <c r="EL6886">
        <v>1999</v>
      </c>
      <c r="EM6886" t="s">
        <v>773</v>
      </c>
      <c r="EN6886" t="s">
        <v>862</v>
      </c>
      <c r="EO6886">
        <v>991.75199999999995</v>
      </c>
    </row>
    <row r="6887" spans="142:145" x14ac:dyDescent="0.25">
      <c r="EL6887">
        <v>1999</v>
      </c>
      <c r="EM6887" t="s">
        <v>774</v>
      </c>
      <c r="EN6887" t="s">
        <v>862</v>
      </c>
      <c r="EO6887">
        <v>884.04</v>
      </c>
    </row>
    <row r="6888" spans="142:145" x14ac:dyDescent="0.25">
      <c r="EL6888">
        <v>1999</v>
      </c>
      <c r="EM6888" t="s">
        <v>715</v>
      </c>
      <c r="EN6888" t="s">
        <v>862</v>
      </c>
      <c r="EO6888">
        <v>909.13699999999994</v>
      </c>
    </row>
    <row r="6889" spans="142:145" x14ac:dyDescent="0.25">
      <c r="EL6889">
        <v>1999</v>
      </c>
      <c r="EM6889" t="s">
        <v>718</v>
      </c>
      <c r="EN6889" t="s">
        <v>862</v>
      </c>
      <c r="EO6889">
        <v>820.07999999999993</v>
      </c>
    </row>
    <row r="6890" spans="142:145" x14ac:dyDescent="0.25">
      <c r="EL6890">
        <v>1999</v>
      </c>
      <c r="EM6890" t="s">
        <v>716</v>
      </c>
      <c r="EN6890" t="s">
        <v>862</v>
      </c>
      <c r="EO6890">
        <v>791.1819999999999</v>
      </c>
    </row>
    <row r="6891" spans="142:145" x14ac:dyDescent="0.25">
      <c r="EL6891">
        <v>1999</v>
      </c>
      <c r="EM6891" t="s">
        <v>708</v>
      </c>
      <c r="EN6891" t="s">
        <v>862</v>
      </c>
      <c r="EO6891">
        <v>734.76200000000006</v>
      </c>
    </row>
    <row r="6892" spans="142:145" x14ac:dyDescent="0.25">
      <c r="EL6892">
        <v>1999</v>
      </c>
      <c r="EM6892" t="s">
        <v>709</v>
      </c>
      <c r="EN6892" t="s">
        <v>862</v>
      </c>
      <c r="EO6892">
        <v>840.27</v>
      </c>
    </row>
    <row r="6893" spans="142:145" x14ac:dyDescent="0.25">
      <c r="EL6893">
        <v>1999</v>
      </c>
      <c r="EM6893" t="s">
        <v>710</v>
      </c>
      <c r="EN6893" t="s">
        <v>862</v>
      </c>
      <c r="EO6893">
        <v>699.54600000000005</v>
      </c>
    </row>
    <row r="6894" spans="142:145" x14ac:dyDescent="0.25">
      <c r="EL6894">
        <v>1999</v>
      </c>
      <c r="EM6894" t="s">
        <v>711</v>
      </c>
      <c r="EN6894" t="s">
        <v>862</v>
      </c>
      <c r="EO6894">
        <v>550.65</v>
      </c>
    </row>
    <row r="6895" spans="142:145" x14ac:dyDescent="0.25">
      <c r="EL6895">
        <v>1999</v>
      </c>
      <c r="EM6895" t="s">
        <v>712</v>
      </c>
      <c r="EN6895" t="s">
        <v>862</v>
      </c>
      <c r="EO6895">
        <v>627.03700000000003</v>
      </c>
    </row>
    <row r="6896" spans="142:145" x14ac:dyDescent="0.25">
      <c r="EL6896">
        <v>2000</v>
      </c>
      <c r="EM6896" t="s">
        <v>719</v>
      </c>
      <c r="EN6896" t="s">
        <v>862</v>
      </c>
      <c r="EO6896">
        <v>608.00300000000004</v>
      </c>
    </row>
    <row r="6897" spans="142:145" x14ac:dyDescent="0.25">
      <c r="EL6897">
        <v>2000</v>
      </c>
      <c r="EM6897" t="s">
        <v>713</v>
      </c>
      <c r="EN6897" t="s">
        <v>862</v>
      </c>
      <c r="EO6897">
        <v>607.202</v>
      </c>
    </row>
    <row r="6898" spans="142:145" x14ac:dyDescent="0.25">
      <c r="EL6898">
        <v>2000</v>
      </c>
      <c r="EM6898" t="s">
        <v>714</v>
      </c>
      <c r="EN6898" t="s">
        <v>862</v>
      </c>
      <c r="EO6898">
        <v>650.53500000000008</v>
      </c>
    </row>
    <row r="6899" spans="142:145" x14ac:dyDescent="0.25">
      <c r="EL6899">
        <v>2000</v>
      </c>
      <c r="EM6899" t="s">
        <v>705</v>
      </c>
      <c r="EN6899" t="s">
        <v>862</v>
      </c>
      <c r="EO6899">
        <v>684.45</v>
      </c>
    </row>
    <row r="6900" spans="142:145" x14ac:dyDescent="0.25">
      <c r="EL6900">
        <v>2000</v>
      </c>
      <c r="EM6900" t="s">
        <v>715</v>
      </c>
      <c r="EN6900" t="s">
        <v>862</v>
      </c>
      <c r="EO6900">
        <v>646.66000000000008</v>
      </c>
    </row>
    <row r="6901" spans="142:145" x14ac:dyDescent="0.25">
      <c r="EL6901">
        <v>2000</v>
      </c>
      <c r="EM6901" t="s">
        <v>718</v>
      </c>
      <c r="EN6901" t="s">
        <v>862</v>
      </c>
      <c r="EO6901">
        <v>613.05000000000007</v>
      </c>
    </row>
    <row r="6902" spans="142:145" x14ac:dyDescent="0.25">
      <c r="EL6902">
        <v>2000</v>
      </c>
      <c r="EM6902" t="s">
        <v>716</v>
      </c>
      <c r="EN6902" t="s">
        <v>862</v>
      </c>
      <c r="EO6902">
        <v>617.95400000000006</v>
      </c>
    </row>
    <row r="6903" spans="142:145" x14ac:dyDescent="0.25">
      <c r="EL6903">
        <v>2000</v>
      </c>
      <c r="EM6903" t="s">
        <v>708</v>
      </c>
      <c r="EN6903" t="s">
        <v>862</v>
      </c>
      <c r="EO6903">
        <v>650.90700000000004</v>
      </c>
    </row>
    <row r="6904" spans="142:145" x14ac:dyDescent="0.25">
      <c r="EL6904">
        <v>2000</v>
      </c>
      <c r="EM6904" t="s">
        <v>709</v>
      </c>
      <c r="EN6904" t="s">
        <v>862</v>
      </c>
      <c r="EO6904">
        <v>626.82000000000005</v>
      </c>
    </row>
    <row r="6905" spans="142:145" x14ac:dyDescent="0.25">
      <c r="EL6905">
        <v>2000</v>
      </c>
      <c r="EM6905" t="s">
        <v>710</v>
      </c>
      <c r="EN6905" t="s">
        <v>862</v>
      </c>
      <c r="EO6905">
        <v>589.2170000000001</v>
      </c>
    </row>
    <row r="6906" spans="142:145" x14ac:dyDescent="0.25">
      <c r="EL6906">
        <v>2000</v>
      </c>
      <c r="EM6906" t="s">
        <v>711</v>
      </c>
      <c r="EN6906" t="s">
        <v>862</v>
      </c>
      <c r="EO6906">
        <v>576.36</v>
      </c>
    </row>
    <row r="6907" spans="142:145" x14ac:dyDescent="0.25">
      <c r="EL6907">
        <v>2000</v>
      </c>
      <c r="EM6907" t="s">
        <v>712</v>
      </c>
      <c r="EN6907" t="s">
        <v>862</v>
      </c>
      <c r="EO6907">
        <v>588.34900000000005</v>
      </c>
    </row>
    <row r="6908" spans="142:145" x14ac:dyDescent="0.25">
      <c r="EL6908">
        <v>2001</v>
      </c>
      <c r="EM6908" t="s">
        <v>719</v>
      </c>
      <c r="EN6908" t="s">
        <v>862</v>
      </c>
      <c r="EO6908">
        <v>584.97</v>
      </c>
    </row>
    <row r="6909" spans="142:145" x14ac:dyDescent="0.25">
      <c r="EL6909">
        <v>2001</v>
      </c>
      <c r="EM6909" t="s">
        <v>713</v>
      </c>
      <c r="EN6909" t="s">
        <v>862</v>
      </c>
      <c r="EO6909">
        <v>564.28399999999999</v>
      </c>
    </row>
    <row r="6910" spans="142:145" x14ac:dyDescent="0.25">
      <c r="EL6910">
        <v>2001</v>
      </c>
      <c r="EM6910" t="s">
        <v>714</v>
      </c>
      <c r="EN6910" t="s">
        <v>862</v>
      </c>
      <c r="EO6910">
        <v>688.07600000000002</v>
      </c>
    </row>
    <row r="6911" spans="142:145" x14ac:dyDescent="0.25">
      <c r="EL6911">
        <v>2001</v>
      </c>
      <c r="EM6911" t="s">
        <v>705</v>
      </c>
      <c r="EN6911" t="s">
        <v>862</v>
      </c>
      <c r="EO6911">
        <v>697.15899999999999</v>
      </c>
    </row>
    <row r="6912" spans="142:145" x14ac:dyDescent="0.25">
      <c r="EL6912">
        <v>2001</v>
      </c>
      <c r="EM6912" t="s">
        <v>715</v>
      </c>
      <c r="EN6912" t="s">
        <v>862</v>
      </c>
      <c r="EO6912">
        <v>655.71</v>
      </c>
    </row>
    <row r="6913" spans="142:145" x14ac:dyDescent="0.25">
      <c r="EL6913">
        <v>2001</v>
      </c>
      <c r="EM6913" t="s">
        <v>718</v>
      </c>
      <c r="EN6913" t="s">
        <v>862</v>
      </c>
      <c r="EO6913">
        <v>700.31999999999994</v>
      </c>
    </row>
    <row r="6914" spans="142:145" x14ac:dyDescent="0.25">
      <c r="EL6914">
        <v>2001</v>
      </c>
      <c r="EM6914" t="s">
        <v>716</v>
      </c>
      <c r="EN6914" t="s">
        <v>862</v>
      </c>
      <c r="EO6914">
        <v>685.875</v>
      </c>
    </row>
    <row r="6915" spans="142:145" x14ac:dyDescent="0.25">
      <c r="EL6915">
        <v>2001</v>
      </c>
      <c r="EM6915" t="s">
        <v>708</v>
      </c>
      <c r="EN6915" t="s">
        <v>862</v>
      </c>
      <c r="EO6915">
        <v>725.67899999999997</v>
      </c>
    </row>
    <row r="6916" spans="142:145" x14ac:dyDescent="0.25">
      <c r="EL6916">
        <v>2001</v>
      </c>
      <c r="EM6916" t="s">
        <v>709</v>
      </c>
      <c r="EN6916" t="s">
        <v>862</v>
      </c>
      <c r="EO6916">
        <v>546.53999999999985</v>
      </c>
    </row>
    <row r="6917" spans="142:145" x14ac:dyDescent="0.25">
      <c r="EL6917">
        <v>2001</v>
      </c>
      <c r="EM6917" t="s">
        <v>710</v>
      </c>
      <c r="EN6917" t="s">
        <v>862</v>
      </c>
      <c r="EO6917">
        <v>518.81600000000003</v>
      </c>
    </row>
    <row r="6918" spans="142:145" x14ac:dyDescent="0.25">
      <c r="EL6918">
        <v>2001</v>
      </c>
      <c r="EM6918" t="s">
        <v>711</v>
      </c>
      <c r="EN6918" t="s">
        <v>862</v>
      </c>
      <c r="EO6918">
        <v>555.77999999999986</v>
      </c>
    </row>
    <row r="6919" spans="142:145" x14ac:dyDescent="0.25">
      <c r="EL6919">
        <v>2001</v>
      </c>
      <c r="EM6919" t="s">
        <v>712</v>
      </c>
      <c r="EN6919" t="s">
        <v>862</v>
      </c>
      <c r="EO6919">
        <v>601.27600000000007</v>
      </c>
    </row>
    <row r="6920" spans="142:145" x14ac:dyDescent="0.25">
      <c r="EL6920">
        <v>2002</v>
      </c>
      <c r="EM6920" t="s">
        <v>719</v>
      </c>
      <c r="EN6920" t="s">
        <v>862</v>
      </c>
      <c r="EO6920">
        <v>607.07299999999998</v>
      </c>
    </row>
    <row r="6921" spans="142:145" x14ac:dyDescent="0.25">
      <c r="EL6921">
        <v>2002</v>
      </c>
      <c r="EM6921" t="s">
        <v>713</v>
      </c>
      <c r="EN6921" t="s">
        <v>862</v>
      </c>
      <c r="EO6921">
        <v>526.70799999999997</v>
      </c>
    </row>
    <row r="6922" spans="142:145" x14ac:dyDescent="0.25">
      <c r="EL6922">
        <v>2002</v>
      </c>
      <c r="EM6922" t="s">
        <v>714</v>
      </c>
      <c r="EN6922" t="s">
        <v>862</v>
      </c>
      <c r="EO6922">
        <v>627.5329999999999</v>
      </c>
    </row>
    <row r="6923" spans="142:145" x14ac:dyDescent="0.25">
      <c r="EL6923">
        <v>2002</v>
      </c>
      <c r="EM6923" t="s">
        <v>705</v>
      </c>
      <c r="EN6923" t="s">
        <v>862</v>
      </c>
      <c r="EO6923">
        <v>617.06999999999994</v>
      </c>
    </row>
    <row r="6924" spans="142:145" x14ac:dyDescent="0.25">
      <c r="EL6924">
        <v>2002</v>
      </c>
      <c r="EM6924" t="s">
        <v>715</v>
      </c>
      <c r="EN6924" t="s">
        <v>862</v>
      </c>
      <c r="EO6924">
        <v>660.08300000000008</v>
      </c>
    </row>
    <row r="6925" spans="142:145" x14ac:dyDescent="0.25">
      <c r="EL6925">
        <v>2002</v>
      </c>
      <c r="EM6925" t="s">
        <v>718</v>
      </c>
      <c r="EN6925" t="s">
        <v>862</v>
      </c>
      <c r="EO6925">
        <v>591.66</v>
      </c>
    </row>
    <row r="6926" spans="142:145" x14ac:dyDescent="0.25">
      <c r="EL6926">
        <v>2002</v>
      </c>
      <c r="EM6926" t="s">
        <v>716</v>
      </c>
      <c r="EN6926" t="s">
        <v>862</v>
      </c>
      <c r="EO6926">
        <v>553.00900000000001</v>
      </c>
    </row>
    <row r="6927" spans="142:145" x14ac:dyDescent="0.25">
      <c r="EL6927">
        <v>2002</v>
      </c>
      <c r="EM6927" t="s">
        <v>708</v>
      </c>
      <c r="EN6927" t="s">
        <v>862</v>
      </c>
      <c r="EO6927">
        <v>510.88</v>
      </c>
    </row>
    <row r="6928" spans="142:145" x14ac:dyDescent="0.25">
      <c r="EL6928">
        <v>2002</v>
      </c>
      <c r="EM6928" t="s">
        <v>709</v>
      </c>
      <c r="EN6928" t="s">
        <v>862</v>
      </c>
      <c r="EO6928">
        <v>517.46999999999991</v>
      </c>
    </row>
    <row r="6929" spans="142:145" x14ac:dyDescent="0.25">
      <c r="EL6929">
        <v>2002</v>
      </c>
      <c r="EM6929" t="s">
        <v>710</v>
      </c>
      <c r="EN6929" t="s">
        <v>862</v>
      </c>
      <c r="EO6929">
        <v>616.745</v>
      </c>
    </row>
    <row r="6930" spans="142:145" x14ac:dyDescent="0.25">
      <c r="EL6930">
        <v>2002</v>
      </c>
      <c r="EM6930" t="s">
        <v>711</v>
      </c>
      <c r="EN6930" t="s">
        <v>862</v>
      </c>
      <c r="EO6930">
        <v>578.21999999999991</v>
      </c>
    </row>
    <row r="6931" spans="142:145" x14ac:dyDescent="0.25">
      <c r="EL6931">
        <v>2002</v>
      </c>
      <c r="EM6931" t="s">
        <v>712</v>
      </c>
      <c r="EN6931" t="s">
        <v>862</v>
      </c>
      <c r="EO6931">
        <v>712.78300000000002</v>
      </c>
    </row>
    <row r="6932" spans="142:145" x14ac:dyDescent="0.25">
      <c r="EL6932">
        <v>2003</v>
      </c>
      <c r="EM6932" t="s">
        <v>719</v>
      </c>
      <c r="EN6932" t="s">
        <v>862</v>
      </c>
      <c r="EO6932">
        <v>691.61</v>
      </c>
    </row>
    <row r="6933" spans="142:145" x14ac:dyDescent="0.25">
      <c r="EL6933">
        <v>2003</v>
      </c>
      <c r="EM6933" t="s">
        <v>713</v>
      </c>
      <c r="EN6933" t="s">
        <v>862</v>
      </c>
      <c r="EO6933">
        <v>641.19999999999993</v>
      </c>
    </row>
    <row r="6934" spans="142:145" x14ac:dyDescent="0.25">
      <c r="EL6934">
        <v>2003</v>
      </c>
      <c r="EM6934" t="s">
        <v>714</v>
      </c>
      <c r="EN6934" t="s">
        <v>862</v>
      </c>
      <c r="EO6934">
        <v>951.14200000000005</v>
      </c>
    </row>
    <row r="6935" spans="142:145" x14ac:dyDescent="0.25">
      <c r="EL6935">
        <v>2003</v>
      </c>
      <c r="EM6935" t="s">
        <v>705</v>
      </c>
      <c r="EN6935" t="s">
        <v>862</v>
      </c>
      <c r="EO6935">
        <v>1072.7699999999998</v>
      </c>
    </row>
    <row r="6936" spans="142:145" x14ac:dyDescent="0.25">
      <c r="EL6936">
        <v>2003</v>
      </c>
      <c r="EM6936" t="s">
        <v>715</v>
      </c>
      <c r="EN6936" t="s">
        <v>862</v>
      </c>
      <c r="EO6936">
        <v>1084.597</v>
      </c>
    </row>
    <row r="6937" spans="142:145" x14ac:dyDescent="0.25">
      <c r="EL6937">
        <v>2003</v>
      </c>
      <c r="EM6937" t="s">
        <v>718</v>
      </c>
      <c r="EN6937" t="s">
        <v>862</v>
      </c>
      <c r="EO6937">
        <v>1254.8699999999999</v>
      </c>
    </row>
    <row r="6938" spans="142:145" x14ac:dyDescent="0.25">
      <c r="EL6938">
        <v>2003</v>
      </c>
      <c r="EM6938" t="s">
        <v>716</v>
      </c>
      <c r="EN6938" t="s">
        <v>862</v>
      </c>
      <c r="EO6938">
        <v>1102.6080000000002</v>
      </c>
    </row>
    <row r="6939" spans="142:145" x14ac:dyDescent="0.25">
      <c r="EL6939">
        <v>2003</v>
      </c>
      <c r="EM6939" t="s">
        <v>708</v>
      </c>
      <c r="EN6939" t="s">
        <v>862</v>
      </c>
      <c r="EO6939">
        <v>871.44100000000003</v>
      </c>
    </row>
    <row r="6940" spans="142:145" x14ac:dyDescent="0.25">
      <c r="EL6940">
        <v>2003</v>
      </c>
      <c r="EM6940" t="s">
        <v>709</v>
      </c>
      <c r="EN6940" t="s">
        <v>862</v>
      </c>
      <c r="EO6940">
        <v>817.1099999999999</v>
      </c>
    </row>
    <row r="6941" spans="142:145" x14ac:dyDescent="0.25">
      <c r="EL6941">
        <v>2003</v>
      </c>
      <c r="EM6941" t="s">
        <v>710</v>
      </c>
      <c r="EN6941" t="s">
        <v>862</v>
      </c>
      <c r="EO6941">
        <v>730.97299999999996</v>
      </c>
    </row>
    <row r="6942" spans="142:145" x14ac:dyDescent="0.25">
      <c r="EL6942">
        <v>2003</v>
      </c>
      <c r="EM6942" t="s">
        <v>711</v>
      </c>
      <c r="EN6942" t="s">
        <v>862</v>
      </c>
      <c r="EO6942">
        <v>826.57999999999993</v>
      </c>
    </row>
    <row r="6943" spans="142:145" x14ac:dyDescent="0.25">
      <c r="EL6943">
        <v>2003</v>
      </c>
      <c r="EM6943" t="s">
        <v>712</v>
      </c>
      <c r="EN6943" t="s">
        <v>862</v>
      </c>
      <c r="EO6943">
        <v>1008.455</v>
      </c>
    </row>
    <row r="6944" spans="142:145" x14ac:dyDescent="0.25">
      <c r="EL6944">
        <v>2004</v>
      </c>
      <c r="EM6944" t="s">
        <v>719</v>
      </c>
      <c r="EN6944" t="s">
        <v>862</v>
      </c>
      <c r="EO6944">
        <v>734.5426785714285</v>
      </c>
    </row>
    <row r="6945" spans="142:145" x14ac:dyDescent="0.25">
      <c r="EL6945">
        <v>2004</v>
      </c>
      <c r="EM6945" t="s">
        <v>713</v>
      </c>
      <c r="EN6945" t="s">
        <v>862</v>
      </c>
      <c r="EO6945">
        <v>776.2678928571429</v>
      </c>
    </row>
    <row r="6946" spans="142:145" x14ac:dyDescent="0.25">
      <c r="EL6946">
        <v>2004</v>
      </c>
      <c r="EM6946" t="s">
        <v>714</v>
      </c>
      <c r="EN6946" t="s">
        <v>862</v>
      </c>
      <c r="EO6946">
        <v>772.70767857142857</v>
      </c>
    </row>
    <row r="6947" spans="142:145" x14ac:dyDescent="0.25">
      <c r="EL6947">
        <v>2004</v>
      </c>
      <c r="EM6947" t="s">
        <v>705</v>
      </c>
      <c r="EN6947" t="s">
        <v>862</v>
      </c>
      <c r="EO6947">
        <v>744.88078571428571</v>
      </c>
    </row>
    <row r="6948" spans="142:145" x14ac:dyDescent="0.25">
      <c r="EL6948">
        <v>2004</v>
      </c>
      <c r="EM6948" t="s">
        <v>715</v>
      </c>
      <c r="EN6948" t="s">
        <v>862</v>
      </c>
      <c r="EO6948">
        <v>527.55867857142857</v>
      </c>
    </row>
    <row r="6949" spans="142:145" x14ac:dyDescent="0.25">
      <c r="EL6949">
        <v>2004</v>
      </c>
      <c r="EM6949" t="s">
        <v>718</v>
      </c>
      <c r="EN6949" t="s">
        <v>862</v>
      </c>
      <c r="EO6949">
        <v>496.97878571428578</v>
      </c>
    </row>
    <row r="6950" spans="142:145" x14ac:dyDescent="0.25">
      <c r="EL6950">
        <v>2004</v>
      </c>
      <c r="EM6950" t="s">
        <v>716</v>
      </c>
      <c r="EN6950" t="s">
        <v>862</v>
      </c>
      <c r="EO6950">
        <v>486.69667857142855</v>
      </c>
    </row>
    <row r="6951" spans="142:145" x14ac:dyDescent="0.25">
      <c r="EL6951">
        <v>2004</v>
      </c>
      <c r="EM6951" t="s">
        <v>708</v>
      </c>
      <c r="EN6951" t="s">
        <v>862</v>
      </c>
      <c r="EO6951">
        <v>432.16291190476159</v>
      </c>
    </row>
    <row r="6952" spans="142:145" x14ac:dyDescent="0.25">
      <c r="EL6952">
        <v>2004</v>
      </c>
      <c r="EM6952" t="s">
        <v>709</v>
      </c>
      <c r="EN6952" t="s">
        <v>862</v>
      </c>
      <c r="EO6952">
        <v>431.21278571428576</v>
      </c>
    </row>
    <row r="6953" spans="142:145" x14ac:dyDescent="0.25">
      <c r="EL6953">
        <v>2004</v>
      </c>
      <c r="EM6953" t="s">
        <v>710</v>
      </c>
      <c r="EN6953" t="s">
        <v>862</v>
      </c>
      <c r="EO6953">
        <v>383.04132829670328</v>
      </c>
    </row>
    <row r="6954" spans="142:145" x14ac:dyDescent="0.25">
      <c r="EL6954">
        <v>2004</v>
      </c>
      <c r="EM6954" t="s">
        <v>711</v>
      </c>
      <c r="EN6954" t="s">
        <v>862</v>
      </c>
      <c r="EO6954">
        <v>388.70189835164837</v>
      </c>
    </row>
    <row r="6955" spans="142:145" x14ac:dyDescent="0.25">
      <c r="EL6955">
        <v>2004</v>
      </c>
      <c r="EM6955" t="s">
        <v>712</v>
      </c>
      <c r="EN6955" t="s">
        <v>862</v>
      </c>
      <c r="EO6955">
        <v>425.5813282967033</v>
      </c>
    </row>
    <row r="6956" spans="142:145" x14ac:dyDescent="0.25">
      <c r="EL6956">
        <v>2005</v>
      </c>
      <c r="EM6956" t="s">
        <v>719</v>
      </c>
      <c r="EN6956" t="s">
        <v>862</v>
      </c>
      <c r="EO6956">
        <v>419.13732829670334</v>
      </c>
    </row>
    <row r="6957" spans="142:145" x14ac:dyDescent="0.25">
      <c r="EL6957">
        <v>2005</v>
      </c>
      <c r="EM6957" t="s">
        <v>713</v>
      </c>
      <c r="EN6957" t="s">
        <v>862</v>
      </c>
      <c r="EO6957">
        <v>338.15003846153843</v>
      </c>
    </row>
    <row r="6958" spans="142:145" x14ac:dyDescent="0.25">
      <c r="EL6958">
        <v>2005</v>
      </c>
      <c r="EM6958" t="s">
        <v>714</v>
      </c>
      <c r="EN6958" t="s">
        <v>862</v>
      </c>
      <c r="EO6958">
        <v>435.49832829670333</v>
      </c>
    </row>
    <row r="6959" spans="142:145" x14ac:dyDescent="0.25">
      <c r="EL6959">
        <v>2005</v>
      </c>
      <c r="EM6959" t="s">
        <v>705</v>
      </c>
      <c r="EN6959" t="s">
        <v>862</v>
      </c>
      <c r="EO6959">
        <v>519.44989835164836</v>
      </c>
    </row>
    <row r="6960" spans="142:145" x14ac:dyDescent="0.25">
      <c r="EL6960">
        <v>2005</v>
      </c>
      <c r="EM6960" t="s">
        <v>715</v>
      </c>
      <c r="EN6960" t="s">
        <v>862</v>
      </c>
      <c r="EO6960">
        <v>479.62532829670329</v>
      </c>
    </row>
    <row r="6961" spans="142:145" x14ac:dyDescent="0.25">
      <c r="EL6961">
        <v>2005</v>
      </c>
      <c r="EM6961" t="s">
        <v>718</v>
      </c>
      <c r="EN6961" t="s">
        <v>862</v>
      </c>
      <c r="EO6961">
        <v>450.51589835164839</v>
      </c>
    </row>
    <row r="6962" spans="142:145" x14ac:dyDescent="0.25">
      <c r="EL6962">
        <v>2005</v>
      </c>
      <c r="EM6962" t="s">
        <v>716</v>
      </c>
      <c r="EN6962" t="s">
        <v>862</v>
      </c>
      <c r="EO6962">
        <v>453.58432829670329</v>
      </c>
    </row>
    <row r="6963" spans="142:145" x14ac:dyDescent="0.25">
      <c r="EL6963">
        <v>2005</v>
      </c>
      <c r="EM6963" t="s">
        <v>708</v>
      </c>
      <c r="EN6963" t="s">
        <v>862</v>
      </c>
      <c r="EO6963">
        <v>373.86932829670326</v>
      </c>
    </row>
    <row r="6964" spans="142:145" x14ac:dyDescent="0.25">
      <c r="EL6964">
        <v>2005</v>
      </c>
      <c r="EM6964" t="s">
        <v>709</v>
      </c>
      <c r="EN6964" t="s">
        <v>862</v>
      </c>
      <c r="EO6964">
        <v>366.61789835164836</v>
      </c>
    </row>
    <row r="6965" spans="142:145" x14ac:dyDescent="0.25">
      <c r="EL6965">
        <v>2005</v>
      </c>
      <c r="EM6965" t="s">
        <v>710</v>
      </c>
      <c r="EN6965" t="s">
        <v>862</v>
      </c>
      <c r="EO6965">
        <v>470.96199999999993</v>
      </c>
    </row>
    <row r="6966" spans="142:145" x14ac:dyDescent="0.25">
      <c r="EL6966">
        <v>2005</v>
      </c>
      <c r="EM6966" t="s">
        <v>711</v>
      </c>
      <c r="EN6966" t="s">
        <v>862</v>
      </c>
      <c r="EO6966">
        <v>534.84400000000005</v>
      </c>
    </row>
    <row r="6967" spans="142:145" x14ac:dyDescent="0.25">
      <c r="EL6967">
        <v>2005</v>
      </c>
      <c r="EM6967" t="s">
        <v>712</v>
      </c>
      <c r="EN6967" t="s">
        <v>862</v>
      </c>
      <c r="EO6967">
        <v>543.11263465753427</v>
      </c>
    </row>
    <row r="6968" spans="142:145" x14ac:dyDescent="0.25">
      <c r="EL6968">
        <v>2006</v>
      </c>
      <c r="EM6968" t="s">
        <v>719</v>
      </c>
      <c r="EN6968" t="s">
        <v>862</v>
      </c>
      <c r="EO6968">
        <v>551.61963465753411</v>
      </c>
    </row>
    <row r="6969" spans="142:145" x14ac:dyDescent="0.25">
      <c r="EL6969">
        <v>2006</v>
      </c>
      <c r="EM6969" t="s">
        <v>713</v>
      </c>
      <c r="EN6969" t="s">
        <v>862</v>
      </c>
      <c r="EO6969">
        <v>542.14586356164386</v>
      </c>
    </row>
    <row r="6970" spans="142:145" x14ac:dyDescent="0.25">
      <c r="EL6970">
        <v>2006</v>
      </c>
      <c r="EM6970" t="s">
        <v>714</v>
      </c>
      <c r="EN6970" t="s">
        <v>862</v>
      </c>
      <c r="EO6970">
        <v>515.5916346575342</v>
      </c>
    </row>
    <row r="6971" spans="142:145" x14ac:dyDescent="0.25">
      <c r="EL6971">
        <v>2006</v>
      </c>
      <c r="EM6971" t="s">
        <v>705</v>
      </c>
      <c r="EN6971" t="s">
        <v>862</v>
      </c>
      <c r="EO6971">
        <v>484.34071095890408</v>
      </c>
    </row>
    <row r="6972" spans="142:145" x14ac:dyDescent="0.25">
      <c r="EL6972">
        <v>2006</v>
      </c>
      <c r="EM6972" t="s">
        <v>715</v>
      </c>
      <c r="EN6972" t="s">
        <v>862</v>
      </c>
      <c r="EO6972">
        <v>503.19663465753428</v>
      </c>
    </row>
    <row r="6973" spans="142:145" x14ac:dyDescent="0.25">
      <c r="EL6973">
        <v>2006</v>
      </c>
      <c r="EM6973" t="s">
        <v>718</v>
      </c>
      <c r="EN6973" t="s">
        <v>862</v>
      </c>
      <c r="EO6973">
        <v>563.98771095890424</v>
      </c>
    </row>
    <row r="6974" spans="142:145" x14ac:dyDescent="0.25">
      <c r="EL6974">
        <v>2006</v>
      </c>
      <c r="EM6974" t="s">
        <v>716</v>
      </c>
      <c r="EN6974" t="s">
        <v>862</v>
      </c>
      <c r="EO6974">
        <v>546.16463465753429</v>
      </c>
    </row>
    <row r="6975" spans="142:145" x14ac:dyDescent="0.25">
      <c r="EL6975">
        <v>2006</v>
      </c>
      <c r="EM6975" t="s">
        <v>708</v>
      </c>
      <c r="EN6975" t="s">
        <v>862</v>
      </c>
      <c r="EO6975">
        <v>483.42063465753426</v>
      </c>
    </row>
    <row r="6976" spans="142:145" x14ac:dyDescent="0.25">
      <c r="EL6976">
        <v>2006</v>
      </c>
      <c r="EM6976" t="s">
        <v>709</v>
      </c>
      <c r="EN6976" t="s">
        <v>862</v>
      </c>
      <c r="EO6976">
        <v>479.51071095890416</v>
      </c>
    </row>
    <row r="6977" spans="142:145" x14ac:dyDescent="0.25">
      <c r="EL6977">
        <v>2006</v>
      </c>
      <c r="EM6977" t="s">
        <v>710</v>
      </c>
      <c r="EN6977" t="s">
        <v>862</v>
      </c>
      <c r="EO6977">
        <v>475.85371575342464</v>
      </c>
    </row>
    <row r="6978" spans="142:145" x14ac:dyDescent="0.25">
      <c r="EL6978">
        <v>2006</v>
      </c>
      <c r="EM6978" t="s">
        <v>711</v>
      </c>
      <c r="EN6978" t="s">
        <v>862</v>
      </c>
      <c r="EO6978">
        <v>446.93359589041097</v>
      </c>
    </row>
    <row r="6979" spans="142:145" x14ac:dyDescent="0.25">
      <c r="EL6979">
        <v>2006</v>
      </c>
      <c r="EM6979" t="s">
        <v>712</v>
      </c>
      <c r="EN6979" t="s">
        <v>862</v>
      </c>
      <c r="EO6979">
        <v>433.98671575342468</v>
      </c>
    </row>
    <row r="6980" spans="142:145" x14ac:dyDescent="0.25">
      <c r="EL6980">
        <v>2007</v>
      </c>
      <c r="EM6980" t="s">
        <v>719</v>
      </c>
      <c r="EN6980" t="s">
        <v>862</v>
      </c>
      <c r="EO6980">
        <v>476.11171575342462</v>
      </c>
    </row>
    <row r="6981" spans="142:145" x14ac:dyDescent="0.25">
      <c r="EL6981">
        <v>2007</v>
      </c>
      <c r="EM6981" t="s">
        <v>713</v>
      </c>
      <c r="EN6981" t="s">
        <v>862</v>
      </c>
      <c r="EO6981">
        <v>390.93435616438353</v>
      </c>
    </row>
    <row r="6982" spans="142:145" x14ac:dyDescent="0.25">
      <c r="EL6982">
        <v>2007</v>
      </c>
      <c r="EM6982" t="s">
        <v>714</v>
      </c>
      <c r="EN6982" t="s">
        <v>862</v>
      </c>
      <c r="EO6982">
        <v>509.81971575342459</v>
      </c>
    </row>
    <row r="6983" spans="142:145" x14ac:dyDescent="0.25">
      <c r="EL6983">
        <v>2007</v>
      </c>
      <c r="EM6983" t="s">
        <v>705</v>
      </c>
      <c r="EN6983" t="s">
        <v>862</v>
      </c>
      <c r="EO6983">
        <v>464.14659589041099</v>
      </c>
    </row>
    <row r="6984" spans="142:145" x14ac:dyDescent="0.25">
      <c r="EL6984">
        <v>2007</v>
      </c>
      <c r="EM6984" t="s">
        <v>715</v>
      </c>
      <c r="EN6984" t="s">
        <v>862</v>
      </c>
      <c r="EO6984">
        <v>410.63671575342465</v>
      </c>
    </row>
    <row r="6985" spans="142:145" x14ac:dyDescent="0.25">
      <c r="EL6985">
        <v>2007</v>
      </c>
      <c r="EM6985" t="s">
        <v>718</v>
      </c>
      <c r="EN6985" t="s">
        <v>862</v>
      </c>
      <c r="EO6985">
        <v>361.64059589041096</v>
      </c>
    </row>
    <row r="6986" spans="142:145" x14ac:dyDescent="0.25">
      <c r="EL6986">
        <v>2007</v>
      </c>
      <c r="EM6986" t="s">
        <v>716</v>
      </c>
      <c r="EN6986" t="s">
        <v>862</v>
      </c>
      <c r="EO6986">
        <v>347.64571575342461</v>
      </c>
    </row>
    <row r="6987" spans="142:145" x14ac:dyDescent="0.25">
      <c r="EL6987">
        <v>2007</v>
      </c>
      <c r="EM6987" t="s">
        <v>708</v>
      </c>
      <c r="EN6987" t="s">
        <v>862</v>
      </c>
      <c r="EO6987">
        <v>376.1297157534247</v>
      </c>
    </row>
    <row r="6988" spans="142:145" x14ac:dyDescent="0.25">
      <c r="EL6988">
        <v>2007</v>
      </c>
      <c r="EM6988" t="s">
        <v>709</v>
      </c>
      <c r="EN6988" t="s">
        <v>862</v>
      </c>
      <c r="EO6988">
        <v>330.02159589041094</v>
      </c>
    </row>
    <row r="6989" spans="142:145" x14ac:dyDescent="0.25">
      <c r="EL6989">
        <v>2007</v>
      </c>
      <c r="EM6989" t="s">
        <v>710</v>
      </c>
      <c r="EN6989" t="s">
        <v>862</v>
      </c>
      <c r="EO6989">
        <v>354.48399999999992</v>
      </c>
    </row>
    <row r="6990" spans="142:145" x14ac:dyDescent="0.25">
      <c r="EL6990">
        <v>2007</v>
      </c>
      <c r="EM6990" t="s">
        <v>711</v>
      </c>
      <c r="EN6990" t="s">
        <v>862</v>
      </c>
      <c r="EO6990">
        <v>381.3369836065574</v>
      </c>
    </row>
    <row r="6991" spans="142:145" x14ac:dyDescent="0.25">
      <c r="EL6991">
        <v>2007</v>
      </c>
      <c r="EM6991" t="s">
        <v>712</v>
      </c>
      <c r="EN6991" t="s">
        <v>862</v>
      </c>
      <c r="EO6991">
        <v>382.45451639344259</v>
      </c>
    </row>
    <row r="6992" spans="142:145" x14ac:dyDescent="0.25">
      <c r="EL6992">
        <v>2008</v>
      </c>
      <c r="EM6992" t="s">
        <v>719</v>
      </c>
      <c r="EN6992" t="s">
        <v>862</v>
      </c>
      <c r="EO6992">
        <v>418.4805163934426</v>
      </c>
    </row>
    <row r="6993" spans="142:145" x14ac:dyDescent="0.25">
      <c r="EL6993">
        <v>2008</v>
      </c>
      <c r="EM6993" t="s">
        <v>713</v>
      </c>
      <c r="EN6993" t="s">
        <v>862</v>
      </c>
      <c r="EO6993">
        <v>503.70932475367215</v>
      </c>
    </row>
    <row r="6994" spans="142:145" x14ac:dyDescent="0.25">
      <c r="EL6994">
        <v>2008</v>
      </c>
      <c r="EM6994" t="s">
        <v>714</v>
      </c>
      <c r="EN6994" t="s">
        <v>862</v>
      </c>
      <c r="EO6994">
        <v>486.19951639344271</v>
      </c>
    </row>
    <row r="6995" spans="142:145" x14ac:dyDescent="0.25">
      <c r="EL6995">
        <v>2008</v>
      </c>
      <c r="EM6995" t="s">
        <v>705</v>
      </c>
      <c r="EN6995" t="s">
        <v>862</v>
      </c>
      <c r="EO6995">
        <v>541.26098360655737</v>
      </c>
    </row>
    <row r="6996" spans="142:145" x14ac:dyDescent="0.25">
      <c r="EL6996">
        <v>2008</v>
      </c>
      <c r="EM6996" t="s">
        <v>715</v>
      </c>
      <c r="EN6996" t="s">
        <v>862</v>
      </c>
      <c r="EO6996">
        <v>611.81451639344266</v>
      </c>
    </row>
    <row r="6997" spans="142:145" x14ac:dyDescent="0.25">
      <c r="EL6997">
        <v>2008</v>
      </c>
      <c r="EM6997" t="s">
        <v>718</v>
      </c>
      <c r="EN6997" t="s">
        <v>862</v>
      </c>
      <c r="EO6997">
        <v>543.4179836065573</v>
      </c>
    </row>
    <row r="6998" spans="142:145" x14ac:dyDescent="0.25">
      <c r="EL6998">
        <v>2008</v>
      </c>
      <c r="EM6998" t="s">
        <v>716</v>
      </c>
      <c r="EN6998" t="s">
        <v>862</v>
      </c>
      <c r="EO6998">
        <v>498.94151639344267</v>
      </c>
    </row>
    <row r="6999" spans="142:145" x14ac:dyDescent="0.25">
      <c r="EL6999">
        <v>2008</v>
      </c>
      <c r="EM6999" t="s">
        <v>708</v>
      </c>
      <c r="EN6999" t="s">
        <v>862</v>
      </c>
      <c r="EO6999">
        <v>441.59651639344264</v>
      </c>
    </row>
    <row r="7000" spans="142:145" x14ac:dyDescent="0.25">
      <c r="EL7000">
        <v>2008</v>
      </c>
      <c r="EM7000" t="s">
        <v>709</v>
      </c>
      <c r="EN7000" t="s">
        <v>862</v>
      </c>
      <c r="EO7000">
        <v>437.60198360655738</v>
      </c>
    </row>
    <row r="7001" spans="142:145" x14ac:dyDescent="0.25">
      <c r="EL7001">
        <v>2008</v>
      </c>
      <c r="EM7001" t="s">
        <v>710</v>
      </c>
      <c r="EN7001" t="s">
        <v>862</v>
      </c>
      <c r="EO7001">
        <v>389.09871078214752</v>
      </c>
    </row>
    <row r="7002" spans="142:145" x14ac:dyDescent="0.25">
      <c r="EL7002">
        <v>2008</v>
      </c>
      <c r="EM7002" t="s">
        <v>711</v>
      </c>
      <c r="EN7002" t="s">
        <v>862</v>
      </c>
      <c r="EO7002">
        <v>375.75815068493154</v>
      </c>
    </row>
    <row r="7003" spans="142:145" x14ac:dyDescent="0.25">
      <c r="EL7003">
        <v>2008</v>
      </c>
      <c r="EM7003" t="s">
        <v>712</v>
      </c>
      <c r="EN7003" t="s">
        <v>862</v>
      </c>
      <c r="EO7003">
        <v>435.39868904109591</v>
      </c>
    </row>
    <row r="7004" spans="142:145" x14ac:dyDescent="0.25">
      <c r="EL7004">
        <v>2009</v>
      </c>
      <c r="EM7004" t="s">
        <v>719</v>
      </c>
      <c r="EN7004" t="s">
        <v>862</v>
      </c>
      <c r="EO7004">
        <v>475.11468904109591</v>
      </c>
    </row>
    <row r="7005" spans="142:145" x14ac:dyDescent="0.25">
      <c r="EL7005">
        <v>2009</v>
      </c>
      <c r="EM7005" t="s">
        <v>713</v>
      </c>
      <c r="EN7005" t="s">
        <v>862</v>
      </c>
      <c r="EO7005">
        <v>418.09307397260272</v>
      </c>
    </row>
    <row r="7006" spans="142:145" x14ac:dyDescent="0.25">
      <c r="EL7006">
        <v>2009</v>
      </c>
      <c r="EM7006" t="s">
        <v>714</v>
      </c>
      <c r="EN7006" t="s">
        <v>862</v>
      </c>
      <c r="EO7006">
        <v>495.13868904109586</v>
      </c>
    </row>
    <row r="7007" spans="142:145" x14ac:dyDescent="0.25">
      <c r="EL7007">
        <v>2009</v>
      </c>
      <c r="EM7007" t="s">
        <v>705</v>
      </c>
      <c r="EN7007" t="s">
        <v>862</v>
      </c>
      <c r="EO7007">
        <v>572.01015068493155</v>
      </c>
    </row>
    <row r="7008" spans="142:145" x14ac:dyDescent="0.25">
      <c r="EL7008">
        <v>2009</v>
      </c>
      <c r="EM7008" t="s">
        <v>715</v>
      </c>
      <c r="EN7008" t="s">
        <v>862</v>
      </c>
      <c r="EO7008">
        <v>636.14068904109592</v>
      </c>
    </row>
    <row r="7009" spans="142:145" x14ac:dyDescent="0.25">
      <c r="EL7009">
        <v>2009</v>
      </c>
      <c r="EM7009" t="s">
        <v>718</v>
      </c>
      <c r="EN7009" t="s">
        <v>862</v>
      </c>
      <c r="EO7009">
        <v>647.70715068493155</v>
      </c>
    </row>
    <row r="7010" spans="142:145" x14ac:dyDescent="0.25">
      <c r="EL7010">
        <v>2009</v>
      </c>
      <c r="EM7010" t="s">
        <v>716</v>
      </c>
      <c r="EN7010" t="s">
        <v>862</v>
      </c>
      <c r="EO7010">
        <v>581.49068904109595</v>
      </c>
    </row>
    <row r="7011" spans="142:145" x14ac:dyDescent="0.25">
      <c r="EL7011">
        <v>2009</v>
      </c>
      <c r="EM7011" t="s">
        <v>708</v>
      </c>
      <c r="EN7011" t="s">
        <v>862</v>
      </c>
      <c r="EO7011">
        <v>570.61468904109597</v>
      </c>
    </row>
    <row r="7012" spans="142:145" x14ac:dyDescent="0.25">
      <c r="EL7012">
        <v>2009</v>
      </c>
      <c r="EM7012" t="s">
        <v>709</v>
      </c>
      <c r="EN7012" t="s">
        <v>862</v>
      </c>
      <c r="EO7012">
        <v>503.39215068493149</v>
      </c>
    </row>
    <row r="7013" spans="142:145" x14ac:dyDescent="0.25">
      <c r="EL7013">
        <v>2009</v>
      </c>
      <c r="EM7013" t="s">
        <v>710</v>
      </c>
      <c r="EN7013" t="s">
        <v>862</v>
      </c>
      <c r="EO7013">
        <v>519.94723835616446</v>
      </c>
    </row>
    <row r="7014" spans="142:145" x14ac:dyDescent="0.25">
      <c r="EL7014">
        <v>2009</v>
      </c>
      <c r="EM7014" t="s">
        <v>711</v>
      </c>
      <c r="EN7014" t="s">
        <v>862</v>
      </c>
      <c r="EO7014">
        <v>547.94697260273983</v>
      </c>
    </row>
    <row r="7015" spans="142:145" x14ac:dyDescent="0.25">
      <c r="EL7015">
        <v>2009</v>
      </c>
      <c r="EM7015" t="s">
        <v>712</v>
      </c>
      <c r="EN7015" t="s">
        <v>862</v>
      </c>
      <c r="EO7015">
        <v>665.07423835616441</v>
      </c>
    </row>
    <row r="7016" spans="142:145" x14ac:dyDescent="0.25">
      <c r="EL7016">
        <v>2010</v>
      </c>
      <c r="EM7016" t="s">
        <v>719</v>
      </c>
      <c r="EN7016" t="s">
        <v>862</v>
      </c>
      <c r="EO7016">
        <v>611.16923835616444</v>
      </c>
    </row>
    <row r="7017" spans="142:145" x14ac:dyDescent="0.25">
      <c r="EL7017">
        <v>2010</v>
      </c>
      <c r="EM7017" t="s">
        <v>713</v>
      </c>
      <c r="EN7017" t="s">
        <v>862</v>
      </c>
      <c r="EO7017">
        <v>539.3104410958905</v>
      </c>
    </row>
    <row r="7018" spans="142:145" x14ac:dyDescent="0.25">
      <c r="EL7018">
        <v>2010</v>
      </c>
      <c r="EM7018" t="s">
        <v>714</v>
      </c>
      <c r="EN7018" t="s">
        <v>862</v>
      </c>
      <c r="EO7018">
        <v>749.76123835616454</v>
      </c>
    </row>
    <row r="7019" spans="142:145" x14ac:dyDescent="0.25">
      <c r="EL7019">
        <v>2010</v>
      </c>
      <c r="EM7019" t="s">
        <v>705</v>
      </c>
      <c r="EN7019" t="s">
        <v>862</v>
      </c>
      <c r="EO7019">
        <v>625.84597260273972</v>
      </c>
    </row>
    <row r="7020" spans="142:145" x14ac:dyDescent="0.25">
      <c r="EL7020">
        <v>2010</v>
      </c>
      <c r="EM7020" t="s">
        <v>715</v>
      </c>
      <c r="EN7020" t="s">
        <v>862</v>
      </c>
      <c r="EO7020">
        <v>596.00123835616432</v>
      </c>
    </row>
    <row r="7021" spans="142:145" x14ac:dyDescent="0.25">
      <c r="EL7021">
        <v>2010</v>
      </c>
      <c r="EM7021" t="s">
        <v>718</v>
      </c>
      <c r="EN7021" t="s">
        <v>862</v>
      </c>
      <c r="EO7021">
        <v>538.30697260273973</v>
      </c>
    </row>
    <row r="7022" spans="142:145" x14ac:dyDescent="0.25">
      <c r="EL7022">
        <v>2010</v>
      </c>
      <c r="EM7022" t="s">
        <v>716</v>
      </c>
      <c r="EN7022" t="s">
        <v>862</v>
      </c>
      <c r="EO7022">
        <v>533.75423835616448</v>
      </c>
    </row>
    <row r="7023" spans="142:145" x14ac:dyDescent="0.25">
      <c r="EL7023">
        <v>2010</v>
      </c>
      <c r="EM7023" t="s">
        <v>708</v>
      </c>
      <c r="EN7023" t="s">
        <v>862</v>
      </c>
      <c r="EO7023">
        <v>524.55623835616439</v>
      </c>
    </row>
    <row r="7024" spans="142:145" x14ac:dyDescent="0.25">
      <c r="EL7024">
        <v>2010</v>
      </c>
      <c r="EM7024" t="s">
        <v>709</v>
      </c>
      <c r="EN7024" t="s">
        <v>862</v>
      </c>
      <c r="EO7024">
        <v>509.50697260273978</v>
      </c>
    </row>
    <row r="7025" spans="142:145" x14ac:dyDescent="0.25">
      <c r="EL7025">
        <v>2010</v>
      </c>
      <c r="EM7025" t="s">
        <v>710</v>
      </c>
      <c r="EN7025" t="s">
        <v>862</v>
      </c>
      <c r="EO7025">
        <v>561.27470273972608</v>
      </c>
    </row>
    <row r="7026" spans="142:145" x14ac:dyDescent="0.25">
      <c r="EL7026">
        <v>2010</v>
      </c>
      <c r="EM7026" t="s">
        <v>711</v>
      </c>
      <c r="EN7026" t="s">
        <v>862</v>
      </c>
      <c r="EO7026">
        <v>563.88371232876727</v>
      </c>
    </row>
    <row r="7027" spans="142:145" x14ac:dyDescent="0.25">
      <c r="EL7027">
        <v>2010</v>
      </c>
      <c r="EM7027" t="s">
        <v>712</v>
      </c>
      <c r="EN7027" t="s">
        <v>862</v>
      </c>
      <c r="EO7027">
        <v>595.34870273972592</v>
      </c>
    </row>
    <row r="7028" spans="142:145" x14ac:dyDescent="0.25">
      <c r="EL7028">
        <v>2011</v>
      </c>
      <c r="EM7028" t="s">
        <v>719</v>
      </c>
      <c r="EN7028" t="s">
        <v>862</v>
      </c>
      <c r="EO7028">
        <v>519.46470273972602</v>
      </c>
    </row>
    <row r="7029" spans="142:145" x14ac:dyDescent="0.25">
      <c r="EL7029">
        <v>2011</v>
      </c>
      <c r="EM7029" t="s">
        <v>713</v>
      </c>
      <c r="EN7029" t="s">
        <v>862</v>
      </c>
      <c r="EO7029">
        <v>471.05073150684927</v>
      </c>
    </row>
    <row r="7030" spans="142:145" x14ac:dyDescent="0.25">
      <c r="EL7030">
        <v>2011</v>
      </c>
      <c r="EM7030" t="s">
        <v>714</v>
      </c>
      <c r="EN7030" t="s">
        <v>862</v>
      </c>
      <c r="EO7030">
        <v>562.41370273972609</v>
      </c>
    </row>
    <row r="7031" spans="142:145" x14ac:dyDescent="0.25">
      <c r="EL7031">
        <v>2011</v>
      </c>
      <c r="EM7031" t="s">
        <v>705</v>
      </c>
      <c r="EN7031" t="s">
        <v>862</v>
      </c>
      <c r="EO7031">
        <v>520.81871232876711</v>
      </c>
    </row>
    <row r="7032" spans="142:145" x14ac:dyDescent="0.25">
      <c r="EL7032">
        <v>2011</v>
      </c>
      <c r="EM7032" t="s">
        <v>715</v>
      </c>
      <c r="EN7032" t="s">
        <v>862</v>
      </c>
      <c r="EO7032">
        <v>511.63970273972603</v>
      </c>
    </row>
    <row r="7033" spans="142:145" x14ac:dyDescent="0.25">
      <c r="EL7033">
        <v>2011</v>
      </c>
      <c r="EM7033" t="s">
        <v>718</v>
      </c>
      <c r="EN7033" t="s">
        <v>862</v>
      </c>
      <c r="EO7033">
        <v>473.16571232876709</v>
      </c>
    </row>
    <row r="7034" spans="142:145" x14ac:dyDescent="0.25">
      <c r="EL7034">
        <v>2011</v>
      </c>
      <c r="EM7034" t="s">
        <v>716</v>
      </c>
      <c r="EN7034" t="s">
        <v>862</v>
      </c>
      <c r="EO7034">
        <v>455.65370273972604</v>
      </c>
    </row>
    <row r="7035" spans="142:145" x14ac:dyDescent="0.25">
      <c r="EL7035">
        <v>2011</v>
      </c>
      <c r="EM7035" t="s">
        <v>708</v>
      </c>
      <c r="EN7035" t="s">
        <v>862</v>
      </c>
      <c r="EO7035">
        <v>465.12470273972605</v>
      </c>
    </row>
    <row r="7036" spans="142:145" x14ac:dyDescent="0.25">
      <c r="EL7036">
        <v>2011</v>
      </c>
      <c r="EM7036" t="s">
        <v>709</v>
      </c>
      <c r="EN7036" t="s">
        <v>862</v>
      </c>
      <c r="EO7036">
        <v>608.11071232876714</v>
      </c>
    </row>
    <row r="7037" spans="142:145" x14ac:dyDescent="0.25">
      <c r="EL7037">
        <v>2011</v>
      </c>
      <c r="EM7037" t="s">
        <v>710</v>
      </c>
      <c r="EN7037" t="s">
        <v>862</v>
      </c>
      <c r="EO7037">
        <v>568.8027158469946</v>
      </c>
    </row>
    <row r="7038" spans="142:145" x14ac:dyDescent="0.25">
      <c r="EL7038">
        <v>2011</v>
      </c>
      <c r="EM7038" t="s">
        <v>711</v>
      </c>
      <c r="EN7038" t="s">
        <v>862</v>
      </c>
      <c r="EO7038">
        <v>521.61095081967198</v>
      </c>
    </row>
    <row r="7039" spans="142:145" x14ac:dyDescent="0.25">
      <c r="EL7039">
        <v>2011</v>
      </c>
      <c r="EM7039" t="s">
        <v>712</v>
      </c>
      <c r="EN7039" t="s">
        <v>862</v>
      </c>
      <c r="EO7039">
        <v>567.84871584699454</v>
      </c>
    </row>
    <row r="7040" spans="142:145" x14ac:dyDescent="0.25">
      <c r="EL7040">
        <v>2012</v>
      </c>
      <c r="EM7040" t="s">
        <v>719</v>
      </c>
      <c r="EN7040" t="s">
        <v>862</v>
      </c>
      <c r="EO7040">
        <v>538.69271584699459</v>
      </c>
    </row>
    <row r="7041" spans="142:145" x14ac:dyDescent="0.25">
      <c r="EL7041">
        <v>2012</v>
      </c>
      <c r="EM7041" t="s">
        <v>713</v>
      </c>
      <c r="EN7041" t="s">
        <v>862</v>
      </c>
      <c r="EO7041">
        <v>490.43718579234974</v>
      </c>
    </row>
    <row r="7042" spans="142:145" x14ac:dyDescent="0.25">
      <c r="EL7042">
        <v>2012</v>
      </c>
      <c r="EM7042" t="s">
        <v>714</v>
      </c>
      <c r="EN7042" t="s">
        <v>862</v>
      </c>
      <c r="EO7042">
        <v>567.95571584699462</v>
      </c>
    </row>
    <row r="7043" spans="142:145" x14ac:dyDescent="0.25">
      <c r="EL7043">
        <v>2012</v>
      </c>
      <c r="EM7043" t="s">
        <v>705</v>
      </c>
      <c r="EN7043" t="s">
        <v>862</v>
      </c>
      <c r="EO7043">
        <v>514.244950819672</v>
      </c>
    </row>
    <row r="7044" spans="142:145" x14ac:dyDescent="0.25">
      <c r="EL7044">
        <v>2012</v>
      </c>
      <c r="EM7044" t="s">
        <v>715</v>
      </c>
      <c r="EN7044" t="s">
        <v>862</v>
      </c>
      <c r="EO7044">
        <v>510.99471584699444</v>
      </c>
    </row>
    <row r="7045" spans="142:145" x14ac:dyDescent="0.25">
      <c r="EL7045">
        <v>2012</v>
      </c>
      <c r="EM7045" t="s">
        <v>718</v>
      </c>
      <c r="EN7045" t="s">
        <v>862</v>
      </c>
      <c r="EO7045">
        <v>458.66999999999996</v>
      </c>
    </row>
    <row r="7046" spans="142:145" x14ac:dyDescent="0.25">
      <c r="EL7046">
        <v>2012</v>
      </c>
      <c r="EM7046" t="s">
        <v>716</v>
      </c>
      <c r="EN7046" t="s">
        <v>862</v>
      </c>
      <c r="EO7046">
        <v>433.77071584699456</v>
      </c>
    </row>
    <row r="7047" spans="142:145" x14ac:dyDescent="0.25">
      <c r="EL7047">
        <v>2012</v>
      </c>
      <c r="EM7047" t="s">
        <v>708</v>
      </c>
      <c r="EN7047" t="s">
        <v>862</v>
      </c>
      <c r="EO7047">
        <v>443.14499999999998</v>
      </c>
    </row>
    <row r="7048" spans="142:145" x14ac:dyDescent="0.25">
      <c r="EL7048">
        <v>2012</v>
      </c>
      <c r="EM7048" t="s">
        <v>709</v>
      </c>
      <c r="EN7048" t="s">
        <v>862</v>
      </c>
      <c r="EO7048">
        <v>486.36</v>
      </c>
    </row>
    <row r="7049" spans="142:145" x14ac:dyDescent="0.25">
      <c r="EL7049">
        <v>2012</v>
      </c>
      <c r="EM7049" t="s">
        <v>710</v>
      </c>
      <c r="EN7049" t="s">
        <v>862</v>
      </c>
      <c r="EO7049">
        <v>693.74899999999991</v>
      </c>
    </row>
    <row r="7050" spans="142:145" x14ac:dyDescent="0.25">
      <c r="EL7050">
        <v>2012</v>
      </c>
      <c r="EM7050" t="s">
        <v>711</v>
      </c>
      <c r="EN7050" t="s">
        <v>862</v>
      </c>
      <c r="EO7050">
        <v>568.5</v>
      </c>
    </row>
    <row r="7051" spans="142:145" x14ac:dyDescent="0.25">
      <c r="EL7051">
        <v>2012</v>
      </c>
      <c r="EM7051" t="s">
        <v>712</v>
      </c>
      <c r="EN7051" t="s">
        <v>862</v>
      </c>
      <c r="EO7051">
        <v>577.95915710382519</v>
      </c>
    </row>
    <row r="7052" spans="142:145" x14ac:dyDescent="0.25">
      <c r="EL7052">
        <v>2013</v>
      </c>
      <c r="EM7052" t="s">
        <v>719</v>
      </c>
      <c r="EN7052" t="s">
        <v>862</v>
      </c>
      <c r="EO7052">
        <v>586.73699999999997</v>
      </c>
    </row>
    <row r="7053" spans="142:145" x14ac:dyDescent="0.25">
      <c r="EL7053">
        <v>2013</v>
      </c>
      <c r="EM7053" t="s">
        <v>713</v>
      </c>
      <c r="EN7053" t="s">
        <v>862</v>
      </c>
      <c r="EO7053">
        <v>557.84399999999994</v>
      </c>
    </row>
    <row r="7054" spans="142:145" x14ac:dyDescent="0.25">
      <c r="EL7054">
        <v>2013</v>
      </c>
      <c r="EM7054" t="s">
        <v>714</v>
      </c>
      <c r="EN7054" t="s">
        <v>862</v>
      </c>
      <c r="EO7054">
        <v>666.56200000000001</v>
      </c>
    </row>
    <row r="7055" spans="142:145" x14ac:dyDescent="0.25">
      <c r="EL7055">
        <v>2013</v>
      </c>
      <c r="EM7055" t="s">
        <v>705</v>
      </c>
      <c r="EN7055" t="s">
        <v>862</v>
      </c>
      <c r="EO7055">
        <v>592.31999999999994</v>
      </c>
    </row>
    <row r="7056" spans="142:145" x14ac:dyDescent="0.25">
      <c r="EL7056">
        <v>2013</v>
      </c>
      <c r="EM7056" t="s">
        <v>715</v>
      </c>
      <c r="EN7056" t="s">
        <v>862</v>
      </c>
      <c r="EO7056">
        <v>638.22800000000007</v>
      </c>
    </row>
    <row r="7057" spans="142:145" x14ac:dyDescent="0.25">
      <c r="EL7057">
        <v>2013</v>
      </c>
      <c r="EM7057" t="s">
        <v>718</v>
      </c>
      <c r="EN7057" t="s">
        <v>862</v>
      </c>
      <c r="EO7057">
        <v>644.24999999999989</v>
      </c>
    </row>
    <row r="7058" spans="142:145" x14ac:dyDescent="0.25">
      <c r="EL7058">
        <v>2013</v>
      </c>
      <c r="EM7058" t="s">
        <v>716</v>
      </c>
      <c r="EN7058" t="s">
        <v>862</v>
      </c>
      <c r="EO7058">
        <v>632.83400000000006</v>
      </c>
    </row>
    <row r="7059" spans="142:145" x14ac:dyDescent="0.25">
      <c r="EL7059">
        <v>2013</v>
      </c>
      <c r="EM7059" t="s">
        <v>708</v>
      </c>
      <c r="EN7059" t="s">
        <v>862</v>
      </c>
      <c r="EO7059">
        <v>557.101</v>
      </c>
    </row>
    <row r="7060" spans="142:145" x14ac:dyDescent="0.25">
      <c r="EL7060">
        <v>2013</v>
      </c>
      <c r="EM7060" t="s">
        <v>709</v>
      </c>
      <c r="EN7060" t="s">
        <v>862</v>
      </c>
      <c r="EO7060">
        <v>535.53</v>
      </c>
    </row>
    <row r="7061" spans="142:145" x14ac:dyDescent="0.25">
      <c r="EL7061">
        <v>2013</v>
      </c>
      <c r="EM7061" t="s">
        <v>710</v>
      </c>
      <c r="EN7061" t="s">
        <v>862</v>
      </c>
      <c r="EO7061">
        <v>563.79700000000003</v>
      </c>
    </row>
    <row r="7062" spans="142:145" x14ac:dyDescent="0.25">
      <c r="EL7062">
        <v>2013</v>
      </c>
      <c r="EM7062" t="s">
        <v>711</v>
      </c>
      <c r="EN7062" t="s">
        <v>862</v>
      </c>
      <c r="EO7062">
        <v>515.04000000000008</v>
      </c>
    </row>
    <row r="7063" spans="142:145" x14ac:dyDescent="0.25">
      <c r="EL7063">
        <v>2013</v>
      </c>
      <c r="EM7063" t="s">
        <v>712</v>
      </c>
      <c r="EN7063" t="s">
        <v>862</v>
      </c>
      <c r="EO7063">
        <v>568.26099999999997</v>
      </c>
    </row>
    <row r="7064" spans="142:145" x14ac:dyDescent="0.25">
      <c r="EL7064">
        <v>2014</v>
      </c>
      <c r="EM7064" t="s">
        <v>719</v>
      </c>
      <c r="EN7064" t="s">
        <v>862</v>
      </c>
      <c r="EO7064">
        <v>605.30600000000004</v>
      </c>
    </row>
    <row r="7065" spans="142:145" x14ac:dyDescent="0.25">
      <c r="EL7065">
        <v>2014</v>
      </c>
      <c r="EM7065" t="s">
        <v>713</v>
      </c>
      <c r="EN7065" t="s">
        <v>862</v>
      </c>
      <c r="EO7065">
        <v>588.98</v>
      </c>
    </row>
    <row r="7066" spans="142:145" x14ac:dyDescent="0.25">
      <c r="EL7066">
        <v>2014</v>
      </c>
      <c r="EM7066" t="s">
        <v>714</v>
      </c>
      <c r="EN7066" t="s">
        <v>862</v>
      </c>
      <c r="EO7066">
        <v>687.58</v>
      </c>
    </row>
    <row r="7067" spans="142:145" x14ac:dyDescent="0.25">
      <c r="EL7067">
        <v>2014</v>
      </c>
      <c r="EM7067" t="s">
        <v>705</v>
      </c>
      <c r="EN7067" t="s">
        <v>862</v>
      </c>
      <c r="EO7067">
        <v>698.13</v>
      </c>
    </row>
    <row r="7068" spans="142:145" x14ac:dyDescent="0.25">
      <c r="EL7068">
        <v>2014</v>
      </c>
      <c r="EM7068" t="s">
        <v>715</v>
      </c>
      <c r="EN7068" t="s">
        <v>862</v>
      </c>
      <c r="EO7068">
        <v>732.18899999999996</v>
      </c>
    </row>
    <row r="7069" spans="142:145" x14ac:dyDescent="0.25">
      <c r="EL7069">
        <v>2014</v>
      </c>
      <c r="EM7069" t="s">
        <v>718</v>
      </c>
      <c r="EN7069" t="s">
        <v>862</v>
      </c>
      <c r="EO7069">
        <v>598.5</v>
      </c>
    </row>
    <row r="7070" spans="142:145" x14ac:dyDescent="0.25">
      <c r="EL7070">
        <v>2014</v>
      </c>
      <c r="EM7070" t="s">
        <v>716</v>
      </c>
      <c r="EN7070" t="s">
        <v>862</v>
      </c>
      <c r="EO7070">
        <v>576.16599999999994</v>
      </c>
    </row>
    <row r="7071" spans="142:145" x14ac:dyDescent="0.25">
      <c r="EL7071">
        <v>2014</v>
      </c>
      <c r="EM7071" t="s">
        <v>708</v>
      </c>
      <c r="EN7071" t="s">
        <v>862</v>
      </c>
      <c r="EO7071">
        <v>576.16599999999994</v>
      </c>
    </row>
    <row r="7072" spans="142:145" x14ac:dyDescent="0.25">
      <c r="EL7072">
        <v>2014</v>
      </c>
      <c r="EM7072" t="s">
        <v>709</v>
      </c>
      <c r="EN7072" t="s">
        <v>862</v>
      </c>
      <c r="EO7072">
        <v>559.48800000000006</v>
      </c>
    </row>
    <row r="7073" spans="142:145" x14ac:dyDescent="0.25">
      <c r="EL7073">
        <v>2014</v>
      </c>
      <c r="EM7073" t="s">
        <v>710</v>
      </c>
      <c r="EN7073" t="s">
        <v>862</v>
      </c>
      <c r="EO7073">
        <v>545.59999999999991</v>
      </c>
    </row>
    <row r="7074" spans="142:145" x14ac:dyDescent="0.25">
      <c r="EL7074">
        <v>2014</v>
      </c>
      <c r="EM7074" t="s">
        <v>711</v>
      </c>
      <c r="EN7074" t="s">
        <v>862</v>
      </c>
      <c r="EO7074">
        <v>509.69999999999993</v>
      </c>
    </row>
    <row r="7075" spans="142:145" x14ac:dyDescent="0.25">
      <c r="EL7075">
        <v>2014</v>
      </c>
      <c r="EM7075" t="s">
        <v>712</v>
      </c>
      <c r="EN7075" t="s">
        <v>862</v>
      </c>
      <c r="EO7075">
        <v>609.15</v>
      </c>
    </row>
    <row r="7076" spans="142:145" x14ac:dyDescent="0.25">
      <c r="EL7076">
        <v>2015</v>
      </c>
      <c r="EM7076" t="s">
        <v>719</v>
      </c>
      <c r="EN7076" t="s">
        <v>862</v>
      </c>
      <c r="EO7076">
        <v>645.11</v>
      </c>
    </row>
    <row r="7077" spans="142:145" x14ac:dyDescent="0.25">
      <c r="EL7077">
        <v>2015</v>
      </c>
      <c r="EM7077" t="s">
        <v>713</v>
      </c>
      <c r="EN7077" t="s">
        <v>862</v>
      </c>
      <c r="EO7077">
        <v>553</v>
      </c>
    </row>
    <row r="7078" spans="142:145" x14ac:dyDescent="0.25">
      <c r="EL7078">
        <v>2015</v>
      </c>
      <c r="EM7078" t="s">
        <v>714</v>
      </c>
      <c r="EN7078" t="s">
        <v>862</v>
      </c>
      <c r="EO7078">
        <v>711.44999999999993</v>
      </c>
    </row>
    <row r="7079" spans="142:145" x14ac:dyDescent="0.25">
      <c r="EL7079">
        <v>2015</v>
      </c>
      <c r="EM7079" t="s">
        <v>705</v>
      </c>
      <c r="EN7079" t="s">
        <v>862</v>
      </c>
      <c r="EO7079">
        <v>662.40000000000009</v>
      </c>
    </row>
    <row r="7080" spans="142:145" x14ac:dyDescent="0.25">
      <c r="EL7080">
        <v>2015</v>
      </c>
      <c r="EM7080" t="s">
        <v>715</v>
      </c>
      <c r="EN7080" t="s">
        <v>862</v>
      </c>
      <c r="EO7080">
        <v>689.74999999999989</v>
      </c>
    </row>
    <row r="7081" spans="142:145" x14ac:dyDescent="0.25">
      <c r="EL7081">
        <v>2015</v>
      </c>
      <c r="EM7081" t="s">
        <v>718</v>
      </c>
      <c r="EN7081" t="s">
        <v>862</v>
      </c>
      <c r="EO7081">
        <v>684.6</v>
      </c>
    </row>
    <row r="7082" spans="142:145" x14ac:dyDescent="0.25">
      <c r="EL7082">
        <v>2015</v>
      </c>
      <c r="EM7082" t="s">
        <v>716</v>
      </c>
      <c r="EN7082" t="s">
        <v>862</v>
      </c>
      <c r="EO7082">
        <v>614.11</v>
      </c>
    </row>
    <row r="7083" spans="142:145" x14ac:dyDescent="0.25">
      <c r="EL7083">
        <v>2015</v>
      </c>
      <c r="EM7083" t="s">
        <v>708</v>
      </c>
      <c r="EN7083" t="s">
        <v>862</v>
      </c>
      <c r="EO7083">
        <v>560.16999999999996</v>
      </c>
    </row>
    <row r="7084" spans="142:145" x14ac:dyDescent="0.25">
      <c r="EL7084">
        <v>2015</v>
      </c>
      <c r="EM7084" t="s">
        <v>709</v>
      </c>
      <c r="EN7084" t="s">
        <v>862</v>
      </c>
      <c r="EO7084">
        <v>512.4</v>
      </c>
    </row>
    <row r="7085" spans="142:145" x14ac:dyDescent="0.25">
      <c r="EL7085">
        <v>2015</v>
      </c>
      <c r="EM7085" t="s">
        <v>710</v>
      </c>
      <c r="EN7085" t="s">
        <v>862</v>
      </c>
      <c r="EO7085">
        <v>544.88700000000006</v>
      </c>
    </row>
    <row r="7086" spans="142:145" x14ac:dyDescent="0.25">
      <c r="EL7086">
        <v>2015</v>
      </c>
      <c r="EM7086" t="s">
        <v>711</v>
      </c>
      <c r="EN7086" t="s">
        <v>862</v>
      </c>
      <c r="EO7086">
        <v>572.09999999999991</v>
      </c>
    </row>
    <row r="7087" spans="142:145" x14ac:dyDescent="0.25">
      <c r="EL7087">
        <v>2015</v>
      </c>
      <c r="EM7087" t="s">
        <v>712</v>
      </c>
      <c r="EN7087" t="s">
        <v>862</v>
      </c>
      <c r="EO7087">
        <v>588.30000000000007</v>
      </c>
    </row>
    <row r="7088" spans="142:145" x14ac:dyDescent="0.25">
      <c r="EL7088">
        <v>2016</v>
      </c>
      <c r="EM7088" t="s">
        <v>719</v>
      </c>
      <c r="EN7088" t="s">
        <v>862</v>
      </c>
      <c r="EO7088">
        <v>620.62</v>
      </c>
    </row>
    <row r="7089" spans="142:145" x14ac:dyDescent="0.25">
      <c r="EL7089">
        <v>2016</v>
      </c>
      <c r="EM7089" t="s">
        <v>713</v>
      </c>
      <c r="EN7089" t="s">
        <v>862</v>
      </c>
      <c r="EO7089">
        <v>682.08</v>
      </c>
    </row>
    <row r="7090" spans="142:145" x14ac:dyDescent="0.25">
      <c r="EL7090">
        <v>2016</v>
      </c>
      <c r="EM7090" t="s">
        <v>714</v>
      </c>
      <c r="EN7090" t="s">
        <v>862</v>
      </c>
      <c r="EO7090">
        <v>652.54999999999995</v>
      </c>
    </row>
    <row r="7091" spans="142:145" x14ac:dyDescent="0.25">
      <c r="EL7091">
        <v>2016</v>
      </c>
      <c r="EM7091" t="s">
        <v>705</v>
      </c>
      <c r="EN7091" t="s">
        <v>862</v>
      </c>
      <c r="EO7091">
        <v>603.6</v>
      </c>
    </row>
    <row r="7092" spans="142:145" x14ac:dyDescent="0.25">
      <c r="EL7092">
        <v>2016</v>
      </c>
      <c r="EM7092" t="s">
        <v>715</v>
      </c>
      <c r="EN7092" t="s">
        <v>862</v>
      </c>
      <c r="EO7092">
        <v>674.56000000000006</v>
      </c>
    </row>
    <row r="7093" spans="142:145" x14ac:dyDescent="0.25">
      <c r="EL7093">
        <v>2016</v>
      </c>
      <c r="EM7093" t="s">
        <v>718</v>
      </c>
      <c r="EN7093" t="s">
        <v>862</v>
      </c>
      <c r="EO7093">
        <v>602.99999999999989</v>
      </c>
    </row>
    <row r="7094" spans="142:145" x14ac:dyDescent="0.25">
      <c r="EL7094">
        <v>2016</v>
      </c>
      <c r="EM7094" t="s">
        <v>716</v>
      </c>
      <c r="EN7094" t="s">
        <v>862</v>
      </c>
      <c r="EO7094">
        <v>573.5</v>
      </c>
    </row>
    <row r="7095" spans="142:145" x14ac:dyDescent="0.25">
      <c r="EL7095">
        <v>2016</v>
      </c>
      <c r="EM7095" t="s">
        <v>708</v>
      </c>
      <c r="EN7095" t="s">
        <v>862</v>
      </c>
      <c r="EO7095">
        <v>579.70000000000005</v>
      </c>
    </row>
    <row r="7096" spans="142:145" x14ac:dyDescent="0.25">
      <c r="EL7096">
        <v>2016</v>
      </c>
      <c r="EM7096" t="s">
        <v>709</v>
      </c>
      <c r="EN7096" t="s">
        <v>862</v>
      </c>
      <c r="EO7096">
        <v>528</v>
      </c>
    </row>
    <row r="7097" spans="142:145" x14ac:dyDescent="0.25">
      <c r="EL7097">
        <v>2016</v>
      </c>
      <c r="EM7097" t="s">
        <v>710</v>
      </c>
      <c r="EN7097" t="s">
        <v>862</v>
      </c>
      <c r="EO7097">
        <v>540.64</v>
      </c>
    </row>
    <row r="7098" spans="142:145" x14ac:dyDescent="0.25">
      <c r="EL7098">
        <v>2016</v>
      </c>
      <c r="EM7098" t="s">
        <v>711</v>
      </c>
      <c r="EN7098" t="s">
        <v>862</v>
      </c>
      <c r="EO7098">
        <v>511.2000000000001</v>
      </c>
    </row>
    <row r="7099" spans="142:145" x14ac:dyDescent="0.25">
      <c r="EL7099">
        <v>2016</v>
      </c>
      <c r="EM7099" t="s">
        <v>712</v>
      </c>
      <c r="EN7099" t="s">
        <v>862</v>
      </c>
      <c r="EO7099">
        <v>558.92999999999995</v>
      </c>
    </row>
    <row r="7100" spans="142:145" x14ac:dyDescent="0.25">
      <c r="EL7100">
        <v>2017</v>
      </c>
      <c r="EM7100" t="s">
        <v>719</v>
      </c>
      <c r="EN7100" t="s">
        <v>862</v>
      </c>
      <c r="EO7100">
        <v>583.42000000000007</v>
      </c>
    </row>
    <row r="7101" spans="142:145" x14ac:dyDescent="0.25">
      <c r="EL7101">
        <v>2017</v>
      </c>
      <c r="EM7101" t="s">
        <v>713</v>
      </c>
      <c r="EN7101" t="s">
        <v>862</v>
      </c>
      <c r="EO7101">
        <v>506.52</v>
      </c>
    </row>
    <row r="7102" spans="142:145" x14ac:dyDescent="0.25">
      <c r="EL7102">
        <v>2017</v>
      </c>
      <c r="EM7102" t="s">
        <v>714</v>
      </c>
      <c r="EN7102" t="s">
        <v>862</v>
      </c>
      <c r="EO7102">
        <v>582.17999999999995</v>
      </c>
    </row>
    <row r="7103" spans="142:145" x14ac:dyDescent="0.25">
      <c r="EL7103">
        <v>2017</v>
      </c>
      <c r="EM7103" t="s">
        <v>705</v>
      </c>
      <c r="EN7103" t="s">
        <v>862</v>
      </c>
      <c r="EO7103">
        <v>562.80000000000007</v>
      </c>
    </row>
    <row r="7104" spans="142:145" x14ac:dyDescent="0.25">
      <c r="EL7104">
        <v>2017</v>
      </c>
      <c r="EM7104" t="s">
        <v>715</v>
      </c>
      <c r="EN7104" t="s">
        <v>862</v>
      </c>
      <c r="EO7104">
        <v>613.49000000000012</v>
      </c>
    </row>
    <row r="7105" spans="142:145" x14ac:dyDescent="0.25">
      <c r="EL7105">
        <v>2017</v>
      </c>
      <c r="EM7105" t="s">
        <v>718</v>
      </c>
      <c r="EN7105" t="s">
        <v>862</v>
      </c>
      <c r="EO7105">
        <v>562.19999999999993</v>
      </c>
    </row>
    <row r="7106" spans="142:145" x14ac:dyDescent="0.25">
      <c r="EL7106">
        <v>2017</v>
      </c>
      <c r="EM7106" t="s">
        <v>716</v>
      </c>
      <c r="EN7106" t="s">
        <v>862</v>
      </c>
      <c r="EO7106">
        <v>566.99</v>
      </c>
    </row>
    <row r="7107" spans="142:145" x14ac:dyDescent="0.25">
      <c r="EL7107">
        <v>2017</v>
      </c>
      <c r="EM7107" t="s">
        <v>708</v>
      </c>
      <c r="EN7107" t="s">
        <v>862</v>
      </c>
      <c r="EO7107">
        <v>558.93000000000006</v>
      </c>
    </row>
    <row r="7108" spans="142:145" x14ac:dyDescent="0.25">
      <c r="EL7108">
        <v>2017</v>
      </c>
      <c r="EM7108" t="s">
        <v>709</v>
      </c>
      <c r="EN7108" t="s">
        <v>862</v>
      </c>
      <c r="EO7108">
        <v>529.50000000000011</v>
      </c>
    </row>
    <row r="7109" spans="142:145" x14ac:dyDescent="0.25">
      <c r="EL7109">
        <v>2017</v>
      </c>
      <c r="EM7109" t="s">
        <v>710</v>
      </c>
      <c r="EN7109" t="s">
        <v>862</v>
      </c>
      <c r="EO7109">
        <v>541.26</v>
      </c>
    </row>
    <row r="7110" spans="142:145" x14ac:dyDescent="0.25">
      <c r="EL7110">
        <v>2017</v>
      </c>
      <c r="EM7110" t="s">
        <v>711</v>
      </c>
      <c r="EN7110" t="s">
        <v>862</v>
      </c>
      <c r="EO7110">
        <v>523.80000000000007</v>
      </c>
    </row>
    <row r="7111" spans="142:145" x14ac:dyDescent="0.25">
      <c r="EL7111">
        <v>2017</v>
      </c>
      <c r="EM7111" t="s">
        <v>712</v>
      </c>
      <c r="EN7111" t="s">
        <v>862</v>
      </c>
      <c r="EO7111">
        <v>531.34000000000015</v>
      </c>
    </row>
    <row r="7112" spans="142:145" x14ac:dyDescent="0.25">
      <c r="EL7112">
        <v>2018</v>
      </c>
      <c r="EM7112" t="s">
        <v>719</v>
      </c>
      <c r="EN7112" t="s">
        <v>862</v>
      </c>
      <c r="EO7112">
        <v>522.66000000000008</v>
      </c>
    </row>
    <row r="7113" spans="142:145" x14ac:dyDescent="0.25">
      <c r="EL7113">
        <v>2018</v>
      </c>
      <c r="EM7113" t="s">
        <v>713</v>
      </c>
      <c r="EN7113" t="s">
        <v>862</v>
      </c>
      <c r="EO7113">
        <v>523.88</v>
      </c>
    </row>
    <row r="7114" spans="142:145" x14ac:dyDescent="0.25">
      <c r="EL7114">
        <v>2018</v>
      </c>
      <c r="EM7114" t="s">
        <v>714</v>
      </c>
      <c r="EN7114" t="s">
        <v>862</v>
      </c>
      <c r="EO7114">
        <v>566.06000000000006</v>
      </c>
    </row>
    <row r="7115" spans="142:145" x14ac:dyDescent="0.25">
      <c r="EL7115">
        <v>2018</v>
      </c>
      <c r="EM7115" t="s">
        <v>705</v>
      </c>
      <c r="EN7115" t="s">
        <v>862</v>
      </c>
      <c r="EO7115">
        <v>569.09999999999991</v>
      </c>
    </row>
    <row r="7116" spans="142:145" x14ac:dyDescent="0.25">
      <c r="EL7116">
        <v>2018</v>
      </c>
      <c r="EM7116" t="s">
        <v>715</v>
      </c>
      <c r="EN7116" t="s">
        <v>862</v>
      </c>
      <c r="EO7116">
        <v>632.4</v>
      </c>
    </row>
    <row r="7117" spans="142:145" x14ac:dyDescent="0.25">
      <c r="EL7117">
        <v>2018</v>
      </c>
      <c r="EM7117" t="s">
        <v>718</v>
      </c>
      <c r="EN7117" t="s">
        <v>862</v>
      </c>
      <c r="EO7117">
        <v>573.90000000000009</v>
      </c>
    </row>
    <row r="7118" spans="142:145" x14ac:dyDescent="0.25">
      <c r="EL7118">
        <v>2018</v>
      </c>
      <c r="EM7118" t="s">
        <v>716</v>
      </c>
      <c r="EN7118" t="s">
        <v>862</v>
      </c>
      <c r="EO7118">
        <v>547.46</v>
      </c>
    </row>
    <row r="7119" spans="142:145" x14ac:dyDescent="0.25">
      <c r="EL7119">
        <v>2018</v>
      </c>
      <c r="EM7119" t="s">
        <v>708</v>
      </c>
      <c r="EN7119" t="s">
        <v>862</v>
      </c>
      <c r="EO7119">
        <v>589.31000000000006</v>
      </c>
    </row>
    <row r="7120" spans="142:145" x14ac:dyDescent="0.25">
      <c r="EL7120">
        <v>2018</v>
      </c>
      <c r="EM7120" t="s">
        <v>709</v>
      </c>
      <c r="EN7120" t="s">
        <v>862</v>
      </c>
      <c r="EO7120">
        <v>577.20000000000005</v>
      </c>
    </row>
    <row r="7121" spans="142:145" x14ac:dyDescent="0.25">
      <c r="EL7121">
        <v>2018</v>
      </c>
      <c r="EM7121" t="s">
        <v>710</v>
      </c>
      <c r="EN7121" t="s">
        <v>862</v>
      </c>
      <c r="EO7121">
        <v>577.21999999999991</v>
      </c>
    </row>
    <row r="7122" spans="142:145" x14ac:dyDescent="0.25">
      <c r="EL7122">
        <v>2018</v>
      </c>
      <c r="EM7122" t="s">
        <v>711</v>
      </c>
      <c r="EN7122" t="s">
        <v>862</v>
      </c>
      <c r="EO7122">
        <v>664.50000000000011</v>
      </c>
    </row>
    <row r="7123" spans="142:145" x14ac:dyDescent="0.25">
      <c r="EL7123">
        <v>2018</v>
      </c>
      <c r="EM7123" t="s">
        <v>712</v>
      </c>
      <c r="EN7123" t="s">
        <v>862</v>
      </c>
      <c r="EO7123">
        <v>705.87</v>
      </c>
    </row>
    <row r="7124" spans="142:145" x14ac:dyDescent="0.25">
      <c r="EL7124">
        <v>2019</v>
      </c>
      <c r="EM7124" t="s">
        <v>719</v>
      </c>
      <c r="EN7124" t="s">
        <v>862</v>
      </c>
      <c r="EO7124">
        <v>726.63999999999987</v>
      </c>
    </row>
    <row r="7125" spans="142:145" x14ac:dyDescent="0.25">
      <c r="EL7125">
        <v>2019</v>
      </c>
      <c r="EM7125" t="s">
        <v>713</v>
      </c>
      <c r="EN7125" t="s">
        <v>862</v>
      </c>
      <c r="EO7125">
        <v>677.43999999999994</v>
      </c>
    </row>
    <row r="7126" spans="142:145" x14ac:dyDescent="0.25">
      <c r="EL7126">
        <v>2019</v>
      </c>
      <c r="EM7126" t="s">
        <v>714</v>
      </c>
      <c r="EN7126" t="s">
        <v>862</v>
      </c>
      <c r="EO7126">
        <v>750.51</v>
      </c>
    </row>
    <row r="7127" spans="142:145" x14ac:dyDescent="0.25">
      <c r="EL7127">
        <v>2019</v>
      </c>
      <c r="EM7127" t="s">
        <v>705</v>
      </c>
      <c r="EN7127" t="s">
        <v>862</v>
      </c>
      <c r="EO7127">
        <v>643.5</v>
      </c>
    </row>
    <row r="7128" spans="142:145" x14ac:dyDescent="0.25">
      <c r="EL7128">
        <v>2019</v>
      </c>
      <c r="EM7128" t="s">
        <v>715</v>
      </c>
      <c r="EN7128" t="s">
        <v>862</v>
      </c>
      <c r="EO7128">
        <v>692.23</v>
      </c>
    </row>
    <row r="7129" spans="142:145" x14ac:dyDescent="0.25">
      <c r="EL7129">
        <v>2019</v>
      </c>
      <c r="EM7129" t="s">
        <v>718</v>
      </c>
      <c r="EN7129" t="s">
        <v>862</v>
      </c>
      <c r="EO7129">
        <v>611.4</v>
      </c>
    </row>
    <row r="7130" spans="142:145" x14ac:dyDescent="0.25">
      <c r="EL7130">
        <v>2019</v>
      </c>
      <c r="EM7130" t="s">
        <v>716</v>
      </c>
      <c r="EN7130" t="s">
        <v>862</v>
      </c>
      <c r="EO7130">
        <v>631.16</v>
      </c>
    </row>
    <row r="7131" spans="142:145" x14ac:dyDescent="0.25">
      <c r="EL7131">
        <v>2019</v>
      </c>
      <c r="EM7131" t="s">
        <v>708</v>
      </c>
      <c r="EN7131" t="s">
        <v>862</v>
      </c>
      <c r="EO7131">
        <v>563.89</v>
      </c>
    </row>
    <row r="7132" spans="142:145" x14ac:dyDescent="0.25">
      <c r="EL7132">
        <v>2019</v>
      </c>
      <c r="EM7132" t="s">
        <v>709</v>
      </c>
      <c r="EN7132" t="s">
        <v>862</v>
      </c>
      <c r="EO7132">
        <v>475.5</v>
      </c>
    </row>
    <row r="7133" spans="142:145" x14ac:dyDescent="0.25">
      <c r="EL7133">
        <v>2019</v>
      </c>
      <c r="EM7133" t="s">
        <v>710</v>
      </c>
      <c r="EN7133" t="s">
        <v>862</v>
      </c>
      <c r="EO7133">
        <v>508.4</v>
      </c>
    </row>
    <row r="7134" spans="142:145" x14ac:dyDescent="0.25">
      <c r="EL7134">
        <v>2019</v>
      </c>
      <c r="EM7134" t="s">
        <v>711</v>
      </c>
      <c r="EN7134" t="s">
        <v>862</v>
      </c>
      <c r="EO7134">
        <v>522.9</v>
      </c>
    </row>
    <row r="7135" spans="142:145" x14ac:dyDescent="0.25">
      <c r="EL7135">
        <v>2019</v>
      </c>
      <c r="EM7135" t="s">
        <v>712</v>
      </c>
      <c r="EN7135" t="s">
        <v>862</v>
      </c>
      <c r="EO7135">
        <v>543.42999999999995</v>
      </c>
    </row>
    <row r="7136" spans="142:145" x14ac:dyDescent="0.25">
      <c r="EL7136">
        <v>2020</v>
      </c>
      <c r="EM7136" t="s">
        <v>719</v>
      </c>
      <c r="EN7136" t="s">
        <v>862</v>
      </c>
      <c r="EO7136">
        <v>602.33000000000004</v>
      </c>
    </row>
    <row r="7137" spans="142:145" x14ac:dyDescent="0.25">
      <c r="EL7137">
        <v>2020</v>
      </c>
      <c r="EM7137" t="s">
        <v>713</v>
      </c>
      <c r="EN7137" t="s">
        <v>862</v>
      </c>
      <c r="EO7137">
        <v>629.29999999999995</v>
      </c>
    </row>
    <row r="7138" spans="142:145" x14ac:dyDescent="0.25">
      <c r="EL7138">
        <v>2020</v>
      </c>
      <c r="EM7138" t="s">
        <v>714</v>
      </c>
      <c r="EN7138" t="s">
        <v>862</v>
      </c>
      <c r="EO7138">
        <v>596.12999999999988</v>
      </c>
    </row>
    <row r="7139" spans="142:145" x14ac:dyDescent="0.25">
      <c r="EL7139">
        <v>2020</v>
      </c>
      <c r="EM7139" t="s">
        <v>705</v>
      </c>
      <c r="EN7139" t="s">
        <v>862</v>
      </c>
      <c r="EO7139">
        <v>610.20000000000005</v>
      </c>
    </row>
    <row r="7140" spans="142:145" x14ac:dyDescent="0.25">
      <c r="EL7140">
        <v>2020</v>
      </c>
      <c r="EM7140" t="s">
        <v>715</v>
      </c>
      <c r="EN7140" t="s">
        <v>862</v>
      </c>
      <c r="EO7140">
        <v>645.11</v>
      </c>
    </row>
    <row r="7141" spans="142:145" x14ac:dyDescent="0.25">
      <c r="EL7141">
        <v>2020</v>
      </c>
      <c r="EM7141" t="s">
        <v>718</v>
      </c>
      <c r="EN7141" t="s">
        <v>862</v>
      </c>
      <c r="EO7141">
        <v>672.59999999999991</v>
      </c>
    </row>
    <row r="7142" spans="142:145" x14ac:dyDescent="0.25">
      <c r="EL7142">
        <v>2020</v>
      </c>
      <c r="EM7142" t="s">
        <v>716</v>
      </c>
      <c r="EN7142" t="s">
        <v>862</v>
      </c>
      <c r="EO7142">
        <v>550.24999999999989</v>
      </c>
    </row>
    <row r="7143" spans="142:145" x14ac:dyDescent="0.25">
      <c r="EL7143">
        <v>2020</v>
      </c>
      <c r="EM7143" t="s">
        <v>708</v>
      </c>
      <c r="EN7143" t="s">
        <v>862</v>
      </c>
      <c r="EO7143">
        <v>529.4799999999999</v>
      </c>
    </row>
    <row r="7144" spans="142:145" x14ac:dyDescent="0.25">
      <c r="EL7144">
        <v>2020</v>
      </c>
      <c r="EM7144" t="s">
        <v>709</v>
      </c>
      <c r="EN7144" t="s">
        <v>862</v>
      </c>
      <c r="EO7144">
        <v>490.49999999999994</v>
      </c>
    </row>
    <row r="7145" spans="142:145" x14ac:dyDescent="0.25">
      <c r="EL7145">
        <v>2020</v>
      </c>
      <c r="EM7145" t="s">
        <v>710</v>
      </c>
      <c r="EN7145" t="s">
        <v>862</v>
      </c>
      <c r="EO7145">
        <v>495.06999999999994</v>
      </c>
    </row>
    <row r="7146" spans="142:145" x14ac:dyDescent="0.25">
      <c r="EL7146">
        <v>2020</v>
      </c>
      <c r="EM7146" t="s">
        <v>711</v>
      </c>
      <c r="EN7146" t="s">
        <v>862</v>
      </c>
      <c r="EO7146">
        <v>489.6</v>
      </c>
    </row>
    <row r="7147" spans="142:145" x14ac:dyDescent="0.25">
      <c r="EL7147">
        <v>2020</v>
      </c>
      <c r="EM7147" t="s">
        <v>712</v>
      </c>
      <c r="EN7147" t="s">
        <v>862</v>
      </c>
      <c r="EO7147">
        <v>610.3900000000001</v>
      </c>
    </row>
    <row r="7148" spans="142:145" x14ac:dyDescent="0.25">
      <c r="EL7148">
        <v>2021</v>
      </c>
      <c r="EM7148" t="s">
        <v>719</v>
      </c>
      <c r="EN7148" t="s">
        <v>862</v>
      </c>
      <c r="EO7148">
        <v>583.42000000000007</v>
      </c>
    </row>
    <row r="7149" spans="142:145" x14ac:dyDescent="0.25">
      <c r="EL7149">
        <v>2021</v>
      </c>
      <c r="EM7149" t="s">
        <v>713</v>
      </c>
      <c r="EN7149" t="s">
        <v>862</v>
      </c>
      <c r="EO7149">
        <v>545.44000000000005</v>
      </c>
    </row>
    <row r="7150" spans="142:145" x14ac:dyDescent="0.25">
      <c r="EL7150">
        <v>2021</v>
      </c>
      <c r="EM7150" t="s">
        <v>714</v>
      </c>
      <c r="EN7150" t="s">
        <v>862</v>
      </c>
      <c r="EO7150">
        <v>562.20000000000005</v>
      </c>
    </row>
    <row r="7151" spans="142:145" x14ac:dyDescent="0.25">
      <c r="EL7151">
        <v>2021</v>
      </c>
      <c r="EM7151" t="s">
        <v>705</v>
      </c>
      <c r="EN7151" t="s">
        <v>862</v>
      </c>
      <c r="EO7151">
        <v>557.40000000000009</v>
      </c>
    </row>
    <row r="7152" spans="142:145" x14ac:dyDescent="0.25">
      <c r="EL7152">
        <v>2021</v>
      </c>
      <c r="EM7152" t="s">
        <v>715</v>
      </c>
      <c r="EN7152" t="s">
        <v>862</v>
      </c>
      <c r="EO7152">
        <v>560.17000000000007</v>
      </c>
    </row>
    <row r="7153" spans="142:145" x14ac:dyDescent="0.25">
      <c r="EL7153">
        <v>2021</v>
      </c>
      <c r="EM7153" t="s">
        <v>718</v>
      </c>
      <c r="EN7153" t="s">
        <v>862</v>
      </c>
      <c r="EO7153">
        <v>527.70000000000005</v>
      </c>
    </row>
    <row r="7154" spans="142:145" x14ac:dyDescent="0.25">
      <c r="EL7154">
        <v>2021</v>
      </c>
      <c r="EM7154" t="s">
        <v>716</v>
      </c>
      <c r="EN7154" t="s">
        <v>862</v>
      </c>
      <c r="EO7154">
        <v>531.34</v>
      </c>
    </row>
    <row r="7155" spans="142:145" x14ac:dyDescent="0.25">
      <c r="EL7155">
        <v>2021</v>
      </c>
      <c r="EM7155" t="s">
        <v>708</v>
      </c>
      <c r="EN7155" t="s">
        <v>862</v>
      </c>
      <c r="EO7155">
        <v>551.18000000000006</v>
      </c>
    </row>
    <row r="7156" spans="142:145" x14ac:dyDescent="0.25">
      <c r="EL7156">
        <v>2021</v>
      </c>
      <c r="EM7156" t="s">
        <v>709</v>
      </c>
      <c r="EN7156" t="s">
        <v>862</v>
      </c>
      <c r="EO7156">
        <v>567.29999999999995</v>
      </c>
    </row>
    <row r="7157" spans="142:145" x14ac:dyDescent="0.25">
      <c r="EL7157">
        <v>2021</v>
      </c>
      <c r="EM7157" t="s">
        <v>710</v>
      </c>
      <c r="EN7157" t="s">
        <v>862</v>
      </c>
      <c r="EO7157">
        <v>558.62000000000012</v>
      </c>
    </row>
    <row r="7158" spans="142:145" x14ac:dyDescent="0.25">
      <c r="EL7158">
        <v>2021</v>
      </c>
      <c r="EM7158" t="s">
        <v>711</v>
      </c>
      <c r="EN7158" t="s">
        <v>862</v>
      </c>
      <c r="EO7158">
        <v>531.9</v>
      </c>
    </row>
    <row r="7159" spans="142:145" x14ac:dyDescent="0.25">
      <c r="EL7159">
        <v>2021</v>
      </c>
      <c r="EM7159" t="s">
        <v>712</v>
      </c>
      <c r="EN7159" t="s">
        <v>862</v>
      </c>
      <c r="EO7159">
        <v>507.78</v>
      </c>
    </row>
    <row r="7160" spans="142:145" x14ac:dyDescent="0.25">
      <c r="EL7160">
        <v>2022</v>
      </c>
      <c r="EM7160" t="s">
        <v>719</v>
      </c>
      <c r="EN7160" t="s">
        <v>862</v>
      </c>
      <c r="EO7160">
        <v>576.91000000000008</v>
      </c>
    </row>
    <row r="7161" spans="142:145" x14ac:dyDescent="0.25">
      <c r="EL7161">
        <v>2022</v>
      </c>
      <c r="EM7161" t="s">
        <v>713</v>
      </c>
      <c r="EN7161" t="s">
        <v>862</v>
      </c>
      <c r="EO7161">
        <v>537.60000000000014</v>
      </c>
    </row>
    <row r="7162" spans="142:145" x14ac:dyDescent="0.25">
      <c r="EL7162">
        <v>2022</v>
      </c>
      <c r="EM7162" t="s">
        <v>714</v>
      </c>
      <c r="EN7162" t="s">
        <v>862</v>
      </c>
      <c r="EO7162">
        <v>587.76</v>
      </c>
    </row>
    <row r="7163" spans="142:145" x14ac:dyDescent="0.25">
      <c r="EL7163">
        <v>2022</v>
      </c>
      <c r="EM7163" t="s">
        <v>705</v>
      </c>
      <c r="EN7163" t="s">
        <v>862</v>
      </c>
      <c r="EO7163">
        <v>570.60000000000014</v>
      </c>
    </row>
    <row r="7164" spans="142:145" x14ac:dyDescent="0.25">
      <c r="EL7164">
        <v>2022</v>
      </c>
      <c r="EM7164" t="s">
        <v>715</v>
      </c>
      <c r="EN7164" t="s">
        <v>862</v>
      </c>
      <c r="EO7164">
        <v>674.56000000000006</v>
      </c>
    </row>
    <row r="7165" spans="142:145" x14ac:dyDescent="0.25">
      <c r="EL7165">
        <v>2022</v>
      </c>
      <c r="EM7165" t="s">
        <v>718</v>
      </c>
      <c r="EN7165" t="s">
        <v>862</v>
      </c>
      <c r="EO7165">
        <v>482.1</v>
      </c>
    </row>
    <row r="7166" spans="142:145" x14ac:dyDescent="0.25">
      <c r="EL7166">
        <v>2022</v>
      </c>
      <c r="EM7166" t="s">
        <v>716</v>
      </c>
      <c r="EN7166" t="s">
        <v>862</v>
      </c>
      <c r="EO7166">
        <v>525.76</v>
      </c>
    </row>
    <row r="7167" spans="142:145" x14ac:dyDescent="0.25">
      <c r="EL7167">
        <v>2022</v>
      </c>
      <c r="EM7167" t="s">
        <v>708</v>
      </c>
      <c r="EN7167" t="s">
        <v>862</v>
      </c>
      <c r="EO7167">
        <v>497.55</v>
      </c>
    </row>
    <row r="7168" spans="142:145" x14ac:dyDescent="0.25">
      <c r="EL7168">
        <v>2022</v>
      </c>
      <c r="EM7168" t="s">
        <v>709</v>
      </c>
      <c r="EN7168" t="s">
        <v>862</v>
      </c>
      <c r="EO7168">
        <v>466.19999999999993</v>
      </c>
    </row>
    <row r="7169" spans="142:145" x14ac:dyDescent="0.25">
      <c r="EL7169">
        <v>2022</v>
      </c>
      <c r="EM7169" t="s">
        <v>710</v>
      </c>
      <c r="EN7169" t="s">
        <v>862</v>
      </c>
      <c r="EO7169">
        <v>623.1</v>
      </c>
    </row>
    <row r="7170" spans="142:145" x14ac:dyDescent="0.25">
      <c r="EL7170">
        <v>2022</v>
      </c>
      <c r="EM7170" t="s">
        <v>711</v>
      </c>
      <c r="EN7170" t="s">
        <v>862</v>
      </c>
      <c r="EO7170">
        <v>535.79999999999995</v>
      </c>
    </row>
    <row r="7171" spans="142:145" x14ac:dyDescent="0.25">
      <c r="EL7171">
        <v>2022</v>
      </c>
      <c r="EM7171" t="s">
        <v>712</v>
      </c>
      <c r="EN7171" t="s">
        <v>862</v>
      </c>
      <c r="EO7171">
        <v>500.03</v>
      </c>
    </row>
    <row r="7172" spans="142:145" x14ac:dyDescent="0.25">
      <c r="EL7172">
        <v>2023</v>
      </c>
      <c r="EM7172" t="s">
        <v>719</v>
      </c>
      <c r="EN7172" t="s">
        <v>862</v>
      </c>
      <c r="EO7172">
        <v>526.69000000000005</v>
      </c>
    </row>
    <row r="7173" spans="142:145" x14ac:dyDescent="0.25">
      <c r="EL7173">
        <v>2023</v>
      </c>
      <c r="EM7173" t="s">
        <v>713</v>
      </c>
      <c r="EN7173" t="s">
        <v>862</v>
      </c>
      <c r="EO7173">
        <v>544.88</v>
      </c>
    </row>
    <row r="7174" spans="142:145" x14ac:dyDescent="0.25">
      <c r="EL7174">
        <v>2023</v>
      </c>
      <c r="EM7174" t="s">
        <v>714</v>
      </c>
      <c r="EN7174" t="s">
        <v>862</v>
      </c>
      <c r="EO7174">
        <v>663.71</v>
      </c>
    </row>
    <row r="7175" spans="142:145" x14ac:dyDescent="0.25">
      <c r="EL7175">
        <v>2023</v>
      </c>
      <c r="EM7175" t="s">
        <v>705</v>
      </c>
      <c r="EN7175" t="s">
        <v>862</v>
      </c>
      <c r="EO7175">
        <v>609</v>
      </c>
    </row>
    <row r="7176" spans="142:145" x14ac:dyDescent="0.25">
      <c r="EL7176">
        <v>2023</v>
      </c>
      <c r="EM7176" t="s">
        <v>715</v>
      </c>
      <c r="EN7176" t="s">
        <v>862</v>
      </c>
      <c r="EO7176">
        <v>585.90000000000009</v>
      </c>
    </row>
    <row r="7177" spans="142:145" x14ac:dyDescent="0.25">
      <c r="EL7177">
        <v>2023</v>
      </c>
      <c r="EM7177" t="s">
        <v>718</v>
      </c>
      <c r="EN7177" t="s">
        <v>862</v>
      </c>
      <c r="EO7177">
        <v>497.4</v>
      </c>
    </row>
    <row r="7178" spans="142:145" x14ac:dyDescent="0.25">
      <c r="EL7178">
        <v>2023</v>
      </c>
      <c r="EM7178" t="s">
        <v>716</v>
      </c>
      <c r="EN7178" t="s">
        <v>862</v>
      </c>
      <c r="EO7178">
        <v>534.44000000000005</v>
      </c>
    </row>
    <row r="7179" spans="142:145" x14ac:dyDescent="0.25">
      <c r="EL7179">
        <v>2023</v>
      </c>
      <c r="EM7179" t="s">
        <v>708</v>
      </c>
      <c r="EN7179" t="s">
        <v>862</v>
      </c>
      <c r="EO7179">
        <v>547.46</v>
      </c>
    </row>
    <row r="7180" spans="142:145" x14ac:dyDescent="0.25">
      <c r="EL7180">
        <v>2023</v>
      </c>
      <c r="EM7180" t="s">
        <v>709</v>
      </c>
      <c r="EN7180" t="s">
        <v>862</v>
      </c>
      <c r="EO7180">
        <v>572.40000000000009</v>
      </c>
    </row>
    <row r="7181" spans="142:145" x14ac:dyDescent="0.25">
      <c r="EL7181">
        <v>1997</v>
      </c>
      <c r="EM7181" t="s">
        <v>760</v>
      </c>
      <c r="EN7181" t="s">
        <v>863</v>
      </c>
      <c r="EO7181">
        <v>3379.4029999999993</v>
      </c>
    </row>
    <row r="7182" spans="142:145" x14ac:dyDescent="0.25">
      <c r="EL7182">
        <v>1997</v>
      </c>
      <c r="EM7182" t="s">
        <v>761</v>
      </c>
      <c r="EN7182" t="s">
        <v>863</v>
      </c>
      <c r="EO7182">
        <v>3707.19</v>
      </c>
    </row>
    <row r="7183" spans="142:145" x14ac:dyDescent="0.25">
      <c r="EL7183">
        <v>1997</v>
      </c>
      <c r="EM7183" t="s">
        <v>762</v>
      </c>
      <c r="EN7183" t="s">
        <v>863</v>
      </c>
      <c r="EO7183">
        <v>3508.8900000000008</v>
      </c>
    </row>
    <row r="7184" spans="142:145" x14ac:dyDescent="0.25">
      <c r="EL7184">
        <v>1998</v>
      </c>
      <c r="EM7184" t="s">
        <v>763</v>
      </c>
      <c r="EN7184" t="s">
        <v>863</v>
      </c>
      <c r="EO7184">
        <v>3984.6780000000003</v>
      </c>
    </row>
    <row r="7185" spans="142:145" x14ac:dyDescent="0.25">
      <c r="EL7185">
        <v>1998</v>
      </c>
      <c r="EM7185" t="s">
        <v>764</v>
      </c>
      <c r="EN7185" t="s">
        <v>863</v>
      </c>
      <c r="EO7185">
        <v>4332.9439999999995</v>
      </c>
    </row>
    <row r="7186" spans="142:145" x14ac:dyDescent="0.25">
      <c r="EL7186">
        <v>1998</v>
      </c>
      <c r="EM7186" t="s">
        <v>765</v>
      </c>
      <c r="EN7186" t="s">
        <v>863</v>
      </c>
      <c r="EO7186">
        <v>5082.6049999999996</v>
      </c>
    </row>
    <row r="7187" spans="142:145" x14ac:dyDescent="0.25">
      <c r="EL7187">
        <v>1998</v>
      </c>
      <c r="EM7187" t="s">
        <v>767</v>
      </c>
      <c r="EN7187" t="s">
        <v>863</v>
      </c>
      <c r="EO7187">
        <v>4315.0200000000004</v>
      </c>
    </row>
    <row r="7188" spans="142:145" x14ac:dyDescent="0.25">
      <c r="EL7188">
        <v>1998</v>
      </c>
      <c r="EM7188" t="s">
        <v>715</v>
      </c>
      <c r="EN7188" t="s">
        <v>863</v>
      </c>
      <c r="EO7188">
        <v>4662.6170000000002</v>
      </c>
    </row>
    <row r="7189" spans="142:145" x14ac:dyDescent="0.25">
      <c r="EL7189">
        <v>1998</v>
      </c>
      <c r="EM7189" t="s">
        <v>718</v>
      </c>
      <c r="EN7189" t="s">
        <v>863</v>
      </c>
      <c r="EO7189">
        <v>3802.32</v>
      </c>
    </row>
    <row r="7190" spans="142:145" x14ac:dyDescent="0.25">
      <c r="EL7190">
        <v>1998</v>
      </c>
      <c r="EM7190" t="s">
        <v>716</v>
      </c>
      <c r="EN7190" t="s">
        <v>863</v>
      </c>
      <c r="EO7190">
        <v>3636.7340000000004</v>
      </c>
    </row>
    <row r="7191" spans="142:145" x14ac:dyDescent="0.25">
      <c r="EL7191">
        <v>1998</v>
      </c>
      <c r="EM7191" t="s">
        <v>768</v>
      </c>
      <c r="EN7191" t="s">
        <v>863</v>
      </c>
      <c r="EO7191">
        <v>3440.5350000000003</v>
      </c>
    </row>
    <row r="7192" spans="142:145" x14ac:dyDescent="0.25">
      <c r="EL7192">
        <v>1998</v>
      </c>
      <c r="EM7192" t="s">
        <v>769</v>
      </c>
      <c r="EN7192" t="s">
        <v>863</v>
      </c>
      <c r="EO7192">
        <v>3222.9300000000007</v>
      </c>
    </row>
    <row r="7193" spans="142:145" x14ac:dyDescent="0.25">
      <c r="EL7193">
        <v>1998</v>
      </c>
      <c r="EM7193" t="s">
        <v>760</v>
      </c>
      <c r="EN7193" t="s">
        <v>863</v>
      </c>
      <c r="EO7193">
        <v>3184.6299999999997</v>
      </c>
    </row>
    <row r="7194" spans="142:145" x14ac:dyDescent="0.25">
      <c r="EL7194">
        <v>1998</v>
      </c>
      <c r="EM7194" t="s">
        <v>771</v>
      </c>
      <c r="EN7194" t="s">
        <v>863</v>
      </c>
      <c r="EO7194">
        <v>3053.73</v>
      </c>
    </row>
    <row r="7195" spans="142:145" x14ac:dyDescent="0.25">
      <c r="EL7195">
        <v>1998</v>
      </c>
      <c r="EM7195" t="s">
        <v>762</v>
      </c>
      <c r="EN7195" t="s">
        <v>863</v>
      </c>
      <c r="EO7195">
        <v>3174.6169999999997</v>
      </c>
    </row>
    <row r="7196" spans="142:145" x14ac:dyDescent="0.25">
      <c r="EL7196">
        <v>1999</v>
      </c>
      <c r="EM7196" t="s">
        <v>763</v>
      </c>
      <c r="EN7196" t="s">
        <v>863</v>
      </c>
      <c r="EO7196">
        <v>3530.7449999999994</v>
      </c>
    </row>
    <row r="7197" spans="142:145" x14ac:dyDescent="0.25">
      <c r="EL7197">
        <v>1999</v>
      </c>
      <c r="EM7197" t="s">
        <v>772</v>
      </c>
      <c r="EN7197" t="s">
        <v>863</v>
      </c>
      <c r="EO7197">
        <v>3155.9639999999999</v>
      </c>
    </row>
    <row r="7198" spans="142:145" x14ac:dyDescent="0.25">
      <c r="EL7198">
        <v>1999</v>
      </c>
      <c r="EM7198" t="s">
        <v>773</v>
      </c>
      <c r="EN7198" t="s">
        <v>863</v>
      </c>
      <c r="EO7198">
        <v>3979.8110000000001</v>
      </c>
    </row>
    <row r="7199" spans="142:145" x14ac:dyDescent="0.25">
      <c r="EL7199">
        <v>1999</v>
      </c>
      <c r="EM7199" t="s">
        <v>774</v>
      </c>
      <c r="EN7199" t="s">
        <v>863</v>
      </c>
      <c r="EO7199">
        <v>3616.59</v>
      </c>
    </row>
    <row r="7200" spans="142:145" x14ac:dyDescent="0.25">
      <c r="EL7200">
        <v>1999</v>
      </c>
      <c r="EM7200" t="s">
        <v>715</v>
      </c>
      <c r="EN7200" t="s">
        <v>863</v>
      </c>
      <c r="EO7200">
        <v>3763.6790000000001</v>
      </c>
    </row>
    <row r="7201" spans="142:145" x14ac:dyDescent="0.25">
      <c r="EL7201">
        <v>1999</v>
      </c>
      <c r="EM7201" t="s">
        <v>718</v>
      </c>
      <c r="EN7201" t="s">
        <v>863</v>
      </c>
      <c r="EO7201">
        <v>3515.8800000000006</v>
      </c>
    </row>
    <row r="7202" spans="142:145" x14ac:dyDescent="0.25">
      <c r="EL7202">
        <v>1999</v>
      </c>
      <c r="EM7202" t="s">
        <v>716</v>
      </c>
      <c r="EN7202" t="s">
        <v>863</v>
      </c>
      <c r="EO7202">
        <v>3510.4400000000005</v>
      </c>
    </row>
    <row r="7203" spans="142:145" x14ac:dyDescent="0.25">
      <c r="EL7203">
        <v>1999</v>
      </c>
      <c r="EM7203" t="s">
        <v>708</v>
      </c>
      <c r="EN7203" t="s">
        <v>863</v>
      </c>
      <c r="EO7203">
        <v>3296.23</v>
      </c>
    </row>
    <row r="7204" spans="142:145" x14ac:dyDescent="0.25">
      <c r="EL7204">
        <v>1999</v>
      </c>
      <c r="EM7204" t="s">
        <v>709</v>
      </c>
      <c r="EN7204" t="s">
        <v>863</v>
      </c>
      <c r="EO7204">
        <v>3787.86</v>
      </c>
    </row>
    <row r="7205" spans="142:145" x14ac:dyDescent="0.25">
      <c r="EL7205">
        <v>1999</v>
      </c>
      <c r="EM7205" t="s">
        <v>710</v>
      </c>
      <c r="EN7205" t="s">
        <v>863</v>
      </c>
      <c r="EO7205">
        <v>3751.8680000000004</v>
      </c>
    </row>
    <row r="7206" spans="142:145" x14ac:dyDescent="0.25">
      <c r="EL7206">
        <v>1999</v>
      </c>
      <c r="EM7206" t="s">
        <v>711</v>
      </c>
      <c r="EN7206" t="s">
        <v>863</v>
      </c>
      <c r="EO7206">
        <v>3476.37</v>
      </c>
    </row>
    <row r="7207" spans="142:145" x14ac:dyDescent="0.25">
      <c r="EL7207">
        <v>1999</v>
      </c>
      <c r="EM7207" t="s">
        <v>712</v>
      </c>
      <c r="EN7207" t="s">
        <v>863</v>
      </c>
      <c r="EO7207">
        <v>3733.8260000000005</v>
      </c>
    </row>
    <row r="7208" spans="142:145" x14ac:dyDescent="0.25">
      <c r="EL7208">
        <v>2000</v>
      </c>
      <c r="EM7208" t="s">
        <v>719</v>
      </c>
      <c r="EN7208" t="s">
        <v>863</v>
      </c>
      <c r="EO7208">
        <v>3615.623</v>
      </c>
    </row>
    <row r="7209" spans="142:145" x14ac:dyDescent="0.25">
      <c r="EL7209">
        <v>2000</v>
      </c>
      <c r="EM7209" t="s">
        <v>713</v>
      </c>
      <c r="EN7209" t="s">
        <v>863</v>
      </c>
      <c r="EO7209">
        <v>3668.587</v>
      </c>
    </row>
    <row r="7210" spans="142:145" x14ac:dyDescent="0.25">
      <c r="EL7210">
        <v>2000</v>
      </c>
      <c r="EM7210" t="s">
        <v>714</v>
      </c>
      <c r="EN7210" t="s">
        <v>863</v>
      </c>
      <c r="EO7210">
        <v>3878.4100000000003</v>
      </c>
    </row>
    <row r="7211" spans="142:145" x14ac:dyDescent="0.25">
      <c r="EL7211">
        <v>2000</v>
      </c>
      <c r="EM7211" t="s">
        <v>705</v>
      </c>
      <c r="EN7211" t="s">
        <v>863</v>
      </c>
      <c r="EO7211">
        <v>4165.8</v>
      </c>
    </row>
    <row r="7212" spans="142:145" x14ac:dyDescent="0.25">
      <c r="EL7212">
        <v>2000</v>
      </c>
      <c r="EM7212" t="s">
        <v>715</v>
      </c>
      <c r="EN7212" t="s">
        <v>863</v>
      </c>
      <c r="EO7212">
        <v>3932.4120000000003</v>
      </c>
    </row>
    <row r="7213" spans="142:145" x14ac:dyDescent="0.25">
      <c r="EL7213">
        <v>2000</v>
      </c>
      <c r="EM7213" t="s">
        <v>718</v>
      </c>
      <c r="EN7213" t="s">
        <v>863</v>
      </c>
      <c r="EO7213">
        <v>3728.55</v>
      </c>
    </row>
    <row r="7214" spans="142:145" x14ac:dyDescent="0.25">
      <c r="EL7214">
        <v>2000</v>
      </c>
      <c r="EM7214" t="s">
        <v>716</v>
      </c>
      <c r="EN7214" t="s">
        <v>863</v>
      </c>
      <c r="EO7214">
        <v>3771.7080000000001</v>
      </c>
    </row>
    <row r="7215" spans="142:145" x14ac:dyDescent="0.25">
      <c r="EL7215">
        <v>2000</v>
      </c>
      <c r="EM7215" t="s">
        <v>708</v>
      </c>
      <c r="EN7215" t="s">
        <v>863</v>
      </c>
      <c r="EO7215">
        <v>3790.2149999999997</v>
      </c>
    </row>
    <row r="7216" spans="142:145" x14ac:dyDescent="0.25">
      <c r="EL7216">
        <v>2000</v>
      </c>
      <c r="EM7216" t="s">
        <v>709</v>
      </c>
      <c r="EN7216" t="s">
        <v>863</v>
      </c>
      <c r="EO7216">
        <v>3678.75</v>
      </c>
    </row>
    <row r="7217" spans="142:145" x14ac:dyDescent="0.25">
      <c r="EL7217">
        <v>2000</v>
      </c>
      <c r="EM7217" t="s">
        <v>710</v>
      </c>
      <c r="EN7217" t="s">
        <v>863</v>
      </c>
      <c r="EO7217">
        <v>3591.6910000000003</v>
      </c>
    </row>
    <row r="7218" spans="142:145" x14ac:dyDescent="0.25">
      <c r="EL7218">
        <v>2000</v>
      </c>
      <c r="EM7218" t="s">
        <v>711</v>
      </c>
      <c r="EN7218" t="s">
        <v>863</v>
      </c>
      <c r="EO7218">
        <v>3384.57</v>
      </c>
    </row>
    <row r="7219" spans="142:145" x14ac:dyDescent="0.25">
      <c r="EL7219">
        <v>2000</v>
      </c>
      <c r="EM7219" t="s">
        <v>712</v>
      </c>
      <c r="EN7219" t="s">
        <v>863</v>
      </c>
      <c r="EO7219">
        <v>3540.82</v>
      </c>
    </row>
    <row r="7220" spans="142:145" x14ac:dyDescent="0.25">
      <c r="EL7220">
        <v>2001</v>
      </c>
      <c r="EM7220" t="s">
        <v>719</v>
      </c>
      <c r="EN7220" t="s">
        <v>863</v>
      </c>
      <c r="EO7220">
        <v>3584.4059999999999</v>
      </c>
    </row>
    <row r="7221" spans="142:145" x14ac:dyDescent="0.25">
      <c r="EL7221">
        <v>2001</v>
      </c>
      <c r="EM7221" t="s">
        <v>713</v>
      </c>
      <c r="EN7221" t="s">
        <v>863</v>
      </c>
      <c r="EO7221">
        <v>3451.4199999999996</v>
      </c>
    </row>
    <row r="7222" spans="142:145" x14ac:dyDescent="0.25">
      <c r="EL7222">
        <v>2001</v>
      </c>
      <c r="EM7222" t="s">
        <v>714</v>
      </c>
      <c r="EN7222" t="s">
        <v>863</v>
      </c>
      <c r="EO7222">
        <v>3995.4659999999999</v>
      </c>
    </row>
    <row r="7223" spans="142:145" x14ac:dyDescent="0.25">
      <c r="EL7223">
        <v>2001</v>
      </c>
      <c r="EM7223" t="s">
        <v>705</v>
      </c>
      <c r="EN7223" t="s">
        <v>863</v>
      </c>
      <c r="EO7223">
        <v>4038.8039999999996</v>
      </c>
    </row>
    <row r="7224" spans="142:145" x14ac:dyDescent="0.25">
      <c r="EL7224">
        <v>2001</v>
      </c>
      <c r="EM7224" t="s">
        <v>715</v>
      </c>
      <c r="EN7224" t="s">
        <v>863</v>
      </c>
      <c r="EO7224">
        <v>4010.3769999999995</v>
      </c>
    </row>
    <row r="7225" spans="142:145" x14ac:dyDescent="0.25">
      <c r="EL7225">
        <v>2001</v>
      </c>
      <c r="EM7225" t="s">
        <v>718</v>
      </c>
      <c r="EN7225" t="s">
        <v>863</v>
      </c>
      <c r="EO7225">
        <v>3993.6600000000003</v>
      </c>
    </row>
    <row r="7226" spans="142:145" x14ac:dyDescent="0.25">
      <c r="EL7226">
        <v>2001</v>
      </c>
      <c r="EM7226" t="s">
        <v>716</v>
      </c>
      <c r="EN7226" t="s">
        <v>863</v>
      </c>
      <c r="EO7226">
        <v>3990.7540000000004</v>
      </c>
    </row>
    <row r="7227" spans="142:145" x14ac:dyDescent="0.25">
      <c r="EL7227">
        <v>2001</v>
      </c>
      <c r="EM7227" t="s">
        <v>708</v>
      </c>
      <c r="EN7227" t="s">
        <v>863</v>
      </c>
      <c r="EO7227">
        <v>3909.2239999999997</v>
      </c>
    </row>
    <row r="7228" spans="142:145" x14ac:dyDescent="0.25">
      <c r="EL7228">
        <v>2001</v>
      </c>
      <c r="EM7228" t="s">
        <v>709</v>
      </c>
      <c r="EN7228" t="s">
        <v>863</v>
      </c>
      <c r="EO7228">
        <v>3505.6199999999994</v>
      </c>
    </row>
    <row r="7229" spans="142:145" x14ac:dyDescent="0.25">
      <c r="EL7229">
        <v>2001</v>
      </c>
      <c r="EM7229" t="s">
        <v>710</v>
      </c>
      <c r="EN7229" t="s">
        <v>863</v>
      </c>
      <c r="EO7229">
        <v>3472.3719999999998</v>
      </c>
    </row>
    <row r="7230" spans="142:145" x14ac:dyDescent="0.25">
      <c r="EL7230">
        <v>2001</v>
      </c>
      <c r="EM7230" t="s">
        <v>711</v>
      </c>
      <c r="EN7230" t="s">
        <v>863</v>
      </c>
      <c r="EO7230">
        <v>3332.1</v>
      </c>
    </row>
    <row r="7231" spans="142:145" x14ac:dyDescent="0.25">
      <c r="EL7231">
        <v>2001</v>
      </c>
      <c r="EM7231" t="s">
        <v>712</v>
      </c>
      <c r="EN7231" t="s">
        <v>863</v>
      </c>
      <c r="EO7231">
        <v>3461.8009999999999</v>
      </c>
    </row>
    <row r="7232" spans="142:145" x14ac:dyDescent="0.25">
      <c r="EL7232">
        <v>2002</v>
      </c>
      <c r="EM7232" t="s">
        <v>719</v>
      </c>
      <c r="EN7232" t="s">
        <v>863</v>
      </c>
      <c r="EO7232">
        <v>3495.9629999999993</v>
      </c>
    </row>
    <row r="7233" spans="142:145" x14ac:dyDescent="0.25">
      <c r="EL7233">
        <v>2002</v>
      </c>
      <c r="EM7233" t="s">
        <v>713</v>
      </c>
      <c r="EN7233" t="s">
        <v>863</v>
      </c>
      <c r="EO7233">
        <v>3148.6840000000002</v>
      </c>
    </row>
    <row r="7234" spans="142:145" x14ac:dyDescent="0.25">
      <c r="EL7234">
        <v>2002</v>
      </c>
      <c r="EM7234" t="s">
        <v>714</v>
      </c>
      <c r="EN7234" t="s">
        <v>863</v>
      </c>
      <c r="EO7234">
        <v>3656.3879999999999</v>
      </c>
    </row>
    <row r="7235" spans="142:145" x14ac:dyDescent="0.25">
      <c r="EL7235">
        <v>2002</v>
      </c>
      <c r="EM7235" t="s">
        <v>705</v>
      </c>
      <c r="EN7235" t="s">
        <v>863</v>
      </c>
      <c r="EO7235">
        <v>3592.1700000000005</v>
      </c>
    </row>
    <row r="7236" spans="142:145" x14ac:dyDescent="0.25">
      <c r="EL7236">
        <v>2002</v>
      </c>
      <c r="EM7236" t="s">
        <v>715</v>
      </c>
      <c r="EN7236" t="s">
        <v>863</v>
      </c>
      <c r="EO7236">
        <v>3845.2710000000002</v>
      </c>
    </row>
    <row r="7237" spans="142:145" x14ac:dyDescent="0.25">
      <c r="EL7237">
        <v>2002</v>
      </c>
      <c r="EM7237" t="s">
        <v>718</v>
      </c>
      <c r="EN7237" t="s">
        <v>863</v>
      </c>
      <c r="EO7237">
        <v>3586.7999999999993</v>
      </c>
    </row>
    <row r="7238" spans="142:145" x14ac:dyDescent="0.25">
      <c r="EL7238">
        <v>2002</v>
      </c>
      <c r="EM7238" t="s">
        <v>716</v>
      </c>
      <c r="EN7238" t="s">
        <v>863</v>
      </c>
      <c r="EO7238">
        <v>3622.0710000000004</v>
      </c>
    </row>
    <row r="7239" spans="142:145" x14ac:dyDescent="0.25">
      <c r="EL7239">
        <v>2002</v>
      </c>
      <c r="EM7239" t="s">
        <v>708</v>
      </c>
      <c r="EN7239" t="s">
        <v>863</v>
      </c>
      <c r="EO7239">
        <v>3546.8649999999998</v>
      </c>
    </row>
    <row r="7240" spans="142:145" x14ac:dyDescent="0.25">
      <c r="EL7240">
        <v>2002</v>
      </c>
      <c r="EM7240" t="s">
        <v>709</v>
      </c>
      <c r="EN7240" t="s">
        <v>863</v>
      </c>
      <c r="EO7240">
        <v>3479.4299999999994</v>
      </c>
    </row>
    <row r="7241" spans="142:145" x14ac:dyDescent="0.25">
      <c r="EL7241">
        <v>2002</v>
      </c>
      <c r="EM7241" t="s">
        <v>710</v>
      </c>
      <c r="EN7241" t="s">
        <v>863</v>
      </c>
      <c r="EO7241">
        <v>3738.1660000000002</v>
      </c>
    </row>
    <row r="7242" spans="142:145" x14ac:dyDescent="0.25">
      <c r="EL7242">
        <v>2002</v>
      </c>
      <c r="EM7242" t="s">
        <v>711</v>
      </c>
      <c r="EN7242" t="s">
        <v>863</v>
      </c>
      <c r="EO7242">
        <v>3888.8400000000006</v>
      </c>
    </row>
    <row r="7243" spans="142:145" x14ac:dyDescent="0.25">
      <c r="EL7243">
        <v>2002</v>
      </c>
      <c r="EM7243" t="s">
        <v>712</v>
      </c>
      <c r="EN7243" t="s">
        <v>863</v>
      </c>
      <c r="EO7243">
        <v>4273.1949999999988</v>
      </c>
    </row>
    <row r="7244" spans="142:145" x14ac:dyDescent="0.25">
      <c r="EL7244">
        <v>2003</v>
      </c>
      <c r="EM7244" t="s">
        <v>719</v>
      </c>
      <c r="EN7244" t="s">
        <v>863</v>
      </c>
      <c r="EO7244">
        <v>4286.4939999999988</v>
      </c>
    </row>
    <row r="7245" spans="142:145" x14ac:dyDescent="0.25">
      <c r="EL7245">
        <v>2003</v>
      </c>
      <c r="EM7245" t="s">
        <v>713</v>
      </c>
      <c r="EN7245" t="s">
        <v>863</v>
      </c>
      <c r="EO7245">
        <v>4187.7080000000005</v>
      </c>
    </row>
    <row r="7246" spans="142:145" x14ac:dyDescent="0.25">
      <c r="EL7246">
        <v>2003</v>
      </c>
      <c r="EM7246" t="s">
        <v>714</v>
      </c>
      <c r="EN7246" t="s">
        <v>863</v>
      </c>
      <c r="EO7246">
        <v>5259.491</v>
      </c>
    </row>
    <row r="7247" spans="142:145" x14ac:dyDescent="0.25">
      <c r="EL7247">
        <v>2003</v>
      </c>
      <c r="EM7247" t="s">
        <v>705</v>
      </c>
      <c r="EN7247" t="s">
        <v>863</v>
      </c>
      <c r="EO7247">
        <v>4690.62</v>
      </c>
    </row>
    <row r="7248" spans="142:145" x14ac:dyDescent="0.25">
      <c r="EL7248">
        <v>2003</v>
      </c>
      <c r="EM7248" t="s">
        <v>715</v>
      </c>
      <c r="EN7248" t="s">
        <v>863</v>
      </c>
      <c r="EO7248">
        <v>4906.804000000001</v>
      </c>
    </row>
    <row r="7249" spans="142:145" x14ac:dyDescent="0.25">
      <c r="EL7249">
        <v>2003</v>
      </c>
      <c r="EM7249" t="s">
        <v>718</v>
      </c>
      <c r="EN7249" t="s">
        <v>863</v>
      </c>
      <c r="EO7249">
        <v>5456.7</v>
      </c>
    </row>
    <row r="7250" spans="142:145" x14ac:dyDescent="0.25">
      <c r="EL7250">
        <v>2003</v>
      </c>
      <c r="EM7250" t="s">
        <v>716</v>
      </c>
      <c r="EN7250" t="s">
        <v>863</v>
      </c>
      <c r="EO7250">
        <v>4746.7509999999993</v>
      </c>
    </row>
    <row r="7251" spans="142:145" x14ac:dyDescent="0.25">
      <c r="EL7251">
        <v>2003</v>
      </c>
      <c r="EM7251" t="s">
        <v>708</v>
      </c>
      <c r="EN7251" t="s">
        <v>863</v>
      </c>
      <c r="EO7251">
        <v>4221.7039999999988</v>
      </c>
    </row>
    <row r="7252" spans="142:145" x14ac:dyDescent="0.25">
      <c r="EL7252">
        <v>2003</v>
      </c>
      <c r="EM7252" t="s">
        <v>709</v>
      </c>
      <c r="EN7252" t="s">
        <v>863</v>
      </c>
      <c r="EO7252">
        <v>4377.66</v>
      </c>
    </row>
    <row r="7253" spans="142:145" x14ac:dyDescent="0.25">
      <c r="EL7253">
        <v>2003</v>
      </c>
      <c r="EM7253" t="s">
        <v>710</v>
      </c>
      <c r="EN7253" t="s">
        <v>863</v>
      </c>
      <c r="EO7253">
        <v>4220.5553468406597</v>
      </c>
    </row>
    <row r="7254" spans="142:145" x14ac:dyDescent="0.25">
      <c r="EL7254">
        <v>2003</v>
      </c>
      <c r="EM7254" t="s">
        <v>711</v>
      </c>
      <c r="EN7254" t="s">
        <v>863</v>
      </c>
      <c r="EO7254">
        <v>4564.8960453296704</v>
      </c>
    </row>
    <row r="7255" spans="142:145" x14ac:dyDescent="0.25">
      <c r="EL7255">
        <v>2003</v>
      </c>
      <c r="EM7255" t="s">
        <v>712</v>
      </c>
      <c r="EN7255" t="s">
        <v>863</v>
      </c>
      <c r="EO7255">
        <v>5009.0139468406596</v>
      </c>
    </row>
    <row r="7256" spans="142:145" x14ac:dyDescent="0.25">
      <c r="EL7256">
        <v>2004</v>
      </c>
      <c r="EM7256" t="s">
        <v>719</v>
      </c>
      <c r="EN7256" t="s">
        <v>863</v>
      </c>
      <c r="EO7256">
        <v>4332.6420254120876</v>
      </c>
    </row>
    <row r="7257" spans="142:145" x14ac:dyDescent="0.25">
      <c r="EL7257">
        <v>2004</v>
      </c>
      <c r="EM7257" t="s">
        <v>713</v>
      </c>
      <c r="EN7257" t="s">
        <v>863</v>
      </c>
      <c r="EO7257">
        <v>4631.5226366758234</v>
      </c>
    </row>
    <row r="7258" spans="142:145" x14ac:dyDescent="0.25">
      <c r="EL7258">
        <v>2004</v>
      </c>
      <c r="EM7258" t="s">
        <v>714</v>
      </c>
      <c r="EN7258" t="s">
        <v>863</v>
      </c>
      <c r="EO7258">
        <v>4433.6770254120884</v>
      </c>
    </row>
    <row r="7259" spans="142:145" x14ac:dyDescent="0.25">
      <c r="EL7259">
        <v>2004</v>
      </c>
      <c r="EM7259" t="s">
        <v>705</v>
      </c>
      <c r="EN7259" t="s">
        <v>863</v>
      </c>
      <c r="EO7259">
        <v>4464.3308310439561</v>
      </c>
    </row>
    <row r="7260" spans="142:145" x14ac:dyDescent="0.25">
      <c r="EL7260">
        <v>2004</v>
      </c>
      <c r="EM7260" t="s">
        <v>715</v>
      </c>
      <c r="EN7260" t="s">
        <v>863</v>
      </c>
      <c r="EO7260">
        <v>4206.8213330437266</v>
      </c>
    </row>
    <row r="7261" spans="142:145" x14ac:dyDescent="0.25">
      <c r="EL7261">
        <v>2004</v>
      </c>
      <c r="EM7261" t="s">
        <v>718</v>
      </c>
      <c r="EN7261" t="s">
        <v>863</v>
      </c>
      <c r="EO7261">
        <v>3939.8943038504081</v>
      </c>
    </row>
    <row r="7262" spans="142:145" x14ac:dyDescent="0.25">
      <c r="EL7262">
        <v>2004</v>
      </c>
      <c r="EM7262" t="s">
        <v>716</v>
      </c>
      <c r="EN7262" t="s">
        <v>863</v>
      </c>
      <c r="EO7262">
        <v>4224.8731504120879</v>
      </c>
    </row>
    <row r="7263" spans="142:145" x14ac:dyDescent="0.25">
      <c r="EL7263">
        <v>2004</v>
      </c>
      <c r="EM7263" t="s">
        <v>708</v>
      </c>
      <c r="EN7263" t="s">
        <v>863</v>
      </c>
      <c r="EO7263">
        <v>4264.7249917454228</v>
      </c>
    </row>
    <row r="7264" spans="142:145" x14ac:dyDescent="0.25">
      <c r="EL7264">
        <v>2004</v>
      </c>
      <c r="EM7264" t="s">
        <v>709</v>
      </c>
      <c r="EN7264" t="s">
        <v>863</v>
      </c>
      <c r="EO7264">
        <v>3770.4890600040367</v>
      </c>
    </row>
    <row r="7265" spans="142:145" x14ac:dyDescent="0.25">
      <c r="EL7265">
        <v>2004</v>
      </c>
      <c r="EM7265" t="s">
        <v>710</v>
      </c>
      <c r="EN7265" t="s">
        <v>863</v>
      </c>
      <c r="EO7265">
        <v>3676.391376013652</v>
      </c>
    </row>
    <row r="7266" spans="142:145" x14ac:dyDescent="0.25">
      <c r="EL7266">
        <v>2004</v>
      </c>
      <c r="EM7266" t="s">
        <v>711</v>
      </c>
      <c r="EN7266" t="s">
        <v>863</v>
      </c>
      <c r="EO7266">
        <v>3814.913853021978</v>
      </c>
    </row>
    <row r="7267" spans="142:145" x14ac:dyDescent="0.25">
      <c r="EL7267">
        <v>2004</v>
      </c>
      <c r="EM7267" t="s">
        <v>712</v>
      </c>
      <c r="EN7267" t="s">
        <v>863</v>
      </c>
      <c r="EO7267">
        <v>4048.9514814560439</v>
      </c>
    </row>
    <row r="7268" spans="142:145" x14ac:dyDescent="0.25">
      <c r="EL7268">
        <v>2005</v>
      </c>
      <c r="EM7268" t="s">
        <v>719</v>
      </c>
      <c r="EN7268" t="s">
        <v>863</v>
      </c>
      <c r="EO7268">
        <v>4153.3534814560444</v>
      </c>
    </row>
    <row r="7269" spans="142:145" x14ac:dyDescent="0.25">
      <c r="EL7269">
        <v>2005</v>
      </c>
      <c r="EM7269" t="s">
        <v>713</v>
      </c>
      <c r="EN7269" t="s">
        <v>863</v>
      </c>
      <c r="EO7269">
        <v>3575.0522561538455</v>
      </c>
    </row>
    <row r="7270" spans="142:145" x14ac:dyDescent="0.25">
      <c r="EL7270">
        <v>2005</v>
      </c>
      <c r="EM7270" t="s">
        <v>714</v>
      </c>
      <c r="EN7270" t="s">
        <v>863</v>
      </c>
      <c r="EO7270">
        <v>4236.9334814560443</v>
      </c>
    </row>
    <row r="7271" spans="142:145" x14ac:dyDescent="0.25">
      <c r="EL7271">
        <v>2005</v>
      </c>
      <c r="EM7271" t="s">
        <v>705</v>
      </c>
      <c r="EN7271" t="s">
        <v>863</v>
      </c>
      <c r="EO7271">
        <v>4409.3548530219787</v>
      </c>
    </row>
    <row r="7272" spans="142:145" x14ac:dyDescent="0.25">
      <c r="EL7272">
        <v>2005</v>
      </c>
      <c r="EM7272" t="s">
        <v>715</v>
      </c>
      <c r="EN7272" t="s">
        <v>863</v>
      </c>
      <c r="EO7272">
        <v>4213.7644814560435</v>
      </c>
    </row>
    <row r="7273" spans="142:145" x14ac:dyDescent="0.25">
      <c r="EL7273">
        <v>2005</v>
      </c>
      <c r="EM7273" t="s">
        <v>718</v>
      </c>
      <c r="EN7273" t="s">
        <v>863</v>
      </c>
      <c r="EO7273">
        <v>3903.6728530219771</v>
      </c>
    </row>
    <row r="7274" spans="142:145" x14ac:dyDescent="0.25">
      <c r="EL7274">
        <v>2005</v>
      </c>
      <c r="EM7274" t="s">
        <v>716</v>
      </c>
      <c r="EN7274" t="s">
        <v>863</v>
      </c>
      <c r="EO7274">
        <v>4054.2834814560438</v>
      </c>
    </row>
    <row r="7275" spans="142:145" x14ac:dyDescent="0.25">
      <c r="EL7275">
        <v>2005</v>
      </c>
      <c r="EM7275" t="s">
        <v>708</v>
      </c>
      <c r="EN7275" t="s">
        <v>863</v>
      </c>
      <c r="EO7275">
        <v>3661.4334814560439</v>
      </c>
    </row>
    <row r="7276" spans="142:145" x14ac:dyDescent="0.25">
      <c r="EL7276">
        <v>2005</v>
      </c>
      <c r="EM7276" t="s">
        <v>709</v>
      </c>
      <c r="EN7276" t="s">
        <v>863</v>
      </c>
      <c r="EO7276">
        <v>3470.0958530219777</v>
      </c>
    </row>
    <row r="7277" spans="142:145" x14ac:dyDescent="0.25">
      <c r="EL7277">
        <v>2005</v>
      </c>
      <c r="EM7277" t="s">
        <v>710</v>
      </c>
      <c r="EN7277" t="s">
        <v>863</v>
      </c>
      <c r="EO7277">
        <v>3901.6819999999998</v>
      </c>
    </row>
    <row r="7278" spans="142:145" x14ac:dyDescent="0.25">
      <c r="EL7278">
        <v>2005</v>
      </c>
      <c r="EM7278" t="s">
        <v>711</v>
      </c>
      <c r="EN7278" t="s">
        <v>863</v>
      </c>
      <c r="EO7278">
        <v>3784.0730000000003</v>
      </c>
    </row>
    <row r="7279" spans="142:145" x14ac:dyDescent="0.25">
      <c r="EL7279">
        <v>2005</v>
      </c>
      <c r="EM7279" t="s">
        <v>712</v>
      </c>
      <c r="EN7279" t="s">
        <v>863</v>
      </c>
      <c r="EO7279">
        <v>3974.0253009931512</v>
      </c>
    </row>
    <row r="7280" spans="142:145" x14ac:dyDescent="0.25">
      <c r="EL7280">
        <v>2006</v>
      </c>
      <c r="EM7280" t="s">
        <v>719</v>
      </c>
      <c r="EN7280" t="s">
        <v>863</v>
      </c>
      <c r="EO7280">
        <v>4187.7453009931505</v>
      </c>
    </row>
    <row r="7281" spans="142:145" x14ac:dyDescent="0.25">
      <c r="EL7281">
        <v>2006</v>
      </c>
      <c r="EM7281" t="s">
        <v>713</v>
      </c>
      <c r="EN7281" t="s">
        <v>863</v>
      </c>
      <c r="EO7281">
        <v>3818.4014976712328</v>
      </c>
    </row>
    <row r="7282" spans="142:145" x14ac:dyDescent="0.25">
      <c r="EL7282">
        <v>2006</v>
      </c>
      <c r="EM7282" t="s">
        <v>714</v>
      </c>
      <c r="EN7282" t="s">
        <v>863</v>
      </c>
      <c r="EO7282">
        <v>3777.7683009931502</v>
      </c>
    </row>
    <row r="7283" spans="142:145" x14ac:dyDescent="0.25">
      <c r="EL7283">
        <v>2006</v>
      </c>
      <c r="EM7283" t="s">
        <v>705</v>
      </c>
      <c r="EN7283" t="s">
        <v>863</v>
      </c>
      <c r="EO7283">
        <v>3694.9690332191785</v>
      </c>
    </row>
    <row r="7284" spans="142:145" x14ac:dyDescent="0.25">
      <c r="EL7284">
        <v>2006</v>
      </c>
      <c r="EM7284" t="s">
        <v>715</v>
      </c>
      <c r="EN7284" t="s">
        <v>863</v>
      </c>
      <c r="EO7284">
        <v>3760.3503009931501</v>
      </c>
    </row>
    <row r="7285" spans="142:145" x14ac:dyDescent="0.25">
      <c r="EL7285">
        <v>2006</v>
      </c>
      <c r="EM7285" t="s">
        <v>718</v>
      </c>
      <c r="EN7285" t="s">
        <v>863</v>
      </c>
      <c r="EO7285">
        <v>4115.3160332191792</v>
      </c>
    </row>
    <row r="7286" spans="142:145" x14ac:dyDescent="0.25">
      <c r="EL7286">
        <v>2006</v>
      </c>
      <c r="EM7286" t="s">
        <v>716</v>
      </c>
      <c r="EN7286" t="s">
        <v>863</v>
      </c>
      <c r="EO7286">
        <v>3919.2803009931508</v>
      </c>
    </row>
    <row r="7287" spans="142:145" x14ac:dyDescent="0.25">
      <c r="EL7287">
        <v>2006</v>
      </c>
      <c r="EM7287" t="s">
        <v>708</v>
      </c>
      <c r="EN7287" t="s">
        <v>863</v>
      </c>
      <c r="EO7287">
        <v>3467.7603009931504</v>
      </c>
    </row>
    <row r="7288" spans="142:145" x14ac:dyDescent="0.25">
      <c r="EL7288">
        <v>2006</v>
      </c>
      <c r="EM7288" t="s">
        <v>709</v>
      </c>
      <c r="EN7288" t="s">
        <v>863</v>
      </c>
      <c r="EO7288">
        <v>3571.5020332191784</v>
      </c>
    </row>
    <row r="7289" spans="142:145" x14ac:dyDescent="0.25">
      <c r="EL7289">
        <v>2006</v>
      </c>
      <c r="EM7289" t="s">
        <v>710</v>
      </c>
      <c r="EN7289" t="s">
        <v>863</v>
      </c>
      <c r="EO7289">
        <v>3664.8834867842456</v>
      </c>
    </row>
    <row r="7290" spans="142:145" x14ac:dyDescent="0.25">
      <c r="EL7290">
        <v>2006</v>
      </c>
      <c r="EM7290" t="s">
        <v>711</v>
      </c>
      <c r="EN7290" t="s">
        <v>863</v>
      </c>
      <c r="EO7290">
        <v>3811.0514874315068</v>
      </c>
    </row>
    <row r="7291" spans="142:145" x14ac:dyDescent="0.25">
      <c r="EL7291">
        <v>2006</v>
      </c>
      <c r="EM7291" t="s">
        <v>712</v>
      </c>
      <c r="EN7291" t="s">
        <v>863</v>
      </c>
      <c r="EO7291">
        <v>3610.0978703458904</v>
      </c>
    </row>
    <row r="7292" spans="142:145" x14ac:dyDescent="0.25">
      <c r="EL7292">
        <v>2007</v>
      </c>
      <c r="EM7292" t="s">
        <v>719</v>
      </c>
      <c r="EN7292" t="s">
        <v>863</v>
      </c>
      <c r="EO7292">
        <v>3860.343870345891</v>
      </c>
    </row>
    <row r="7293" spans="142:145" x14ac:dyDescent="0.25">
      <c r="EL7293">
        <v>2007</v>
      </c>
      <c r="EM7293" t="s">
        <v>713</v>
      </c>
      <c r="EN7293" t="s">
        <v>863</v>
      </c>
      <c r="EO7293">
        <v>3458.0817216027399</v>
      </c>
    </row>
    <row r="7294" spans="142:145" x14ac:dyDescent="0.25">
      <c r="EL7294">
        <v>2007</v>
      </c>
      <c r="EM7294" t="s">
        <v>714</v>
      </c>
      <c r="EN7294" t="s">
        <v>863</v>
      </c>
      <c r="EO7294">
        <v>4310.7868703458898</v>
      </c>
    </row>
    <row r="7295" spans="142:145" x14ac:dyDescent="0.25">
      <c r="EL7295">
        <v>2007</v>
      </c>
      <c r="EM7295" t="s">
        <v>705</v>
      </c>
      <c r="EN7295" t="s">
        <v>863</v>
      </c>
      <c r="EO7295">
        <v>4106.7594874315073</v>
      </c>
    </row>
    <row r="7296" spans="142:145" x14ac:dyDescent="0.25">
      <c r="EL7296">
        <v>2007</v>
      </c>
      <c r="EM7296" t="s">
        <v>715</v>
      </c>
      <c r="EN7296" t="s">
        <v>863</v>
      </c>
      <c r="EO7296">
        <v>3731.7338703458909</v>
      </c>
    </row>
    <row r="7297" spans="142:145" x14ac:dyDescent="0.25">
      <c r="EL7297">
        <v>2007</v>
      </c>
      <c r="EM7297" t="s">
        <v>718</v>
      </c>
      <c r="EN7297" t="s">
        <v>863</v>
      </c>
      <c r="EO7297">
        <v>3407.5814874315065</v>
      </c>
    </row>
    <row r="7298" spans="142:145" x14ac:dyDescent="0.25">
      <c r="EL7298">
        <v>2007</v>
      </c>
      <c r="EM7298" t="s">
        <v>716</v>
      </c>
      <c r="EN7298" t="s">
        <v>863</v>
      </c>
      <c r="EO7298">
        <v>3265.6638703458902</v>
      </c>
    </row>
    <row r="7299" spans="142:145" x14ac:dyDescent="0.25">
      <c r="EL7299">
        <v>2007</v>
      </c>
      <c r="EM7299" t="s">
        <v>708</v>
      </c>
      <c r="EN7299" t="s">
        <v>863</v>
      </c>
      <c r="EO7299">
        <v>3273.8448703458903</v>
      </c>
    </row>
    <row r="7300" spans="142:145" x14ac:dyDescent="0.25">
      <c r="EL7300">
        <v>2007</v>
      </c>
      <c r="EM7300" t="s">
        <v>709</v>
      </c>
      <c r="EN7300" t="s">
        <v>863</v>
      </c>
      <c r="EO7300">
        <v>3042.7284874315073</v>
      </c>
    </row>
    <row r="7301" spans="142:145" x14ac:dyDescent="0.25">
      <c r="EL7301">
        <v>2007</v>
      </c>
      <c r="EM7301" t="s">
        <v>710</v>
      </c>
      <c r="EN7301" t="s">
        <v>863</v>
      </c>
      <c r="EO7301">
        <v>3245.4577779959018</v>
      </c>
    </row>
    <row r="7302" spans="142:145" x14ac:dyDescent="0.25">
      <c r="EL7302">
        <v>2007</v>
      </c>
      <c r="EM7302" t="s">
        <v>711</v>
      </c>
      <c r="EN7302" t="s">
        <v>863</v>
      </c>
      <c r="EO7302">
        <v>3081.5941558606555</v>
      </c>
    </row>
    <row r="7303" spans="142:145" x14ac:dyDescent="0.25">
      <c r="EL7303">
        <v>2007</v>
      </c>
      <c r="EM7303" t="s">
        <v>712</v>
      </c>
      <c r="EN7303" t="s">
        <v>863</v>
      </c>
      <c r="EO7303">
        <v>3272.1772943893438</v>
      </c>
    </row>
    <row r="7304" spans="142:145" x14ac:dyDescent="0.25">
      <c r="EL7304">
        <v>2008</v>
      </c>
      <c r="EM7304" t="s">
        <v>719</v>
      </c>
      <c r="EN7304" t="s">
        <v>863</v>
      </c>
      <c r="EO7304">
        <v>3368.8022943893443</v>
      </c>
    </row>
    <row r="7305" spans="142:145" x14ac:dyDescent="0.25">
      <c r="EL7305">
        <v>2008</v>
      </c>
      <c r="EM7305" t="s">
        <v>713</v>
      </c>
      <c r="EN7305" t="s">
        <v>863</v>
      </c>
      <c r="EO7305">
        <v>3559.554998499967</v>
      </c>
    </row>
    <row r="7306" spans="142:145" x14ac:dyDescent="0.25">
      <c r="EL7306">
        <v>2008</v>
      </c>
      <c r="EM7306" t="s">
        <v>714</v>
      </c>
      <c r="EN7306" t="s">
        <v>863</v>
      </c>
      <c r="EO7306">
        <v>3729.7652943893449</v>
      </c>
    </row>
    <row r="7307" spans="142:145" x14ac:dyDescent="0.25">
      <c r="EL7307">
        <v>2008</v>
      </c>
      <c r="EM7307" t="s">
        <v>705</v>
      </c>
      <c r="EN7307" t="s">
        <v>863</v>
      </c>
      <c r="EO7307">
        <v>3852.5141558606556</v>
      </c>
    </row>
    <row r="7308" spans="142:145" x14ac:dyDescent="0.25">
      <c r="EL7308">
        <v>2008</v>
      </c>
      <c r="EM7308" t="s">
        <v>715</v>
      </c>
      <c r="EN7308" t="s">
        <v>863</v>
      </c>
      <c r="EO7308">
        <v>4668.6252943893442</v>
      </c>
    </row>
    <row r="7309" spans="142:145" x14ac:dyDescent="0.25">
      <c r="EL7309">
        <v>2008</v>
      </c>
      <c r="EM7309" t="s">
        <v>718</v>
      </c>
      <c r="EN7309" t="s">
        <v>863</v>
      </c>
      <c r="EO7309">
        <v>3886.5941558606555</v>
      </c>
    </row>
    <row r="7310" spans="142:145" x14ac:dyDescent="0.25">
      <c r="EL7310">
        <v>2008</v>
      </c>
      <c r="EM7310" t="s">
        <v>716</v>
      </c>
      <c r="EN7310" t="s">
        <v>863</v>
      </c>
      <c r="EO7310">
        <v>3562.6482943893434</v>
      </c>
    </row>
    <row r="7311" spans="142:145" x14ac:dyDescent="0.25">
      <c r="EL7311">
        <v>2008</v>
      </c>
      <c r="EM7311" t="s">
        <v>708</v>
      </c>
      <c r="EN7311" t="s">
        <v>863</v>
      </c>
      <c r="EO7311">
        <v>3237.5292943893442</v>
      </c>
    </row>
    <row r="7312" spans="142:145" x14ac:dyDescent="0.25">
      <c r="EL7312">
        <v>2008</v>
      </c>
      <c r="EM7312" t="s">
        <v>709</v>
      </c>
      <c r="EN7312" t="s">
        <v>863</v>
      </c>
      <c r="EO7312">
        <v>3237.8091558606552</v>
      </c>
    </row>
    <row r="7313" spans="142:145" x14ac:dyDescent="0.25">
      <c r="EL7313">
        <v>2008</v>
      </c>
      <c r="EM7313" t="s">
        <v>710</v>
      </c>
      <c r="EN7313" t="s">
        <v>863</v>
      </c>
      <c r="EO7313">
        <v>3210.7273178082187</v>
      </c>
    </row>
    <row r="7314" spans="142:145" x14ac:dyDescent="0.25">
      <c r="EL7314">
        <v>2008</v>
      </c>
      <c r="EM7314" t="s">
        <v>711</v>
      </c>
      <c r="EN7314" t="s">
        <v>863</v>
      </c>
      <c r="EO7314">
        <v>3080.0096578767116</v>
      </c>
    </row>
    <row r="7315" spans="142:145" x14ac:dyDescent="0.25">
      <c r="EL7315">
        <v>2008</v>
      </c>
      <c r="EM7315" t="s">
        <v>712</v>
      </c>
      <c r="EN7315" t="s">
        <v>863</v>
      </c>
      <c r="EO7315">
        <v>3426.2183464726027</v>
      </c>
    </row>
    <row r="7316" spans="142:145" x14ac:dyDescent="0.25">
      <c r="EL7316">
        <v>2009</v>
      </c>
      <c r="EM7316" t="s">
        <v>719</v>
      </c>
      <c r="EN7316" t="s">
        <v>863</v>
      </c>
      <c r="EO7316">
        <v>3663.818346472603</v>
      </c>
    </row>
    <row r="7317" spans="142:145" x14ac:dyDescent="0.25">
      <c r="EL7317">
        <v>2009</v>
      </c>
      <c r="EM7317" t="s">
        <v>713</v>
      </c>
      <c r="EN7317" t="s">
        <v>863</v>
      </c>
      <c r="EO7317">
        <v>3117.9022806849316</v>
      </c>
    </row>
    <row r="7318" spans="142:145" x14ac:dyDescent="0.25">
      <c r="EL7318">
        <v>2009</v>
      </c>
      <c r="EM7318" t="s">
        <v>714</v>
      </c>
      <c r="EN7318" t="s">
        <v>863</v>
      </c>
      <c r="EO7318">
        <v>3525.8633464726022</v>
      </c>
    </row>
    <row r="7319" spans="142:145" x14ac:dyDescent="0.25">
      <c r="EL7319">
        <v>2009</v>
      </c>
      <c r="EM7319" t="s">
        <v>705</v>
      </c>
      <c r="EN7319" t="s">
        <v>863</v>
      </c>
      <c r="EO7319">
        <v>3884.9836578767117</v>
      </c>
    </row>
    <row r="7320" spans="142:145" x14ac:dyDescent="0.25">
      <c r="EL7320">
        <v>2009</v>
      </c>
      <c r="EM7320" t="s">
        <v>715</v>
      </c>
      <c r="EN7320" t="s">
        <v>863</v>
      </c>
      <c r="EO7320">
        <v>4296.2933464726029</v>
      </c>
    </row>
    <row r="7321" spans="142:145" x14ac:dyDescent="0.25">
      <c r="EL7321">
        <v>2009</v>
      </c>
      <c r="EM7321" t="s">
        <v>718</v>
      </c>
      <c r="EN7321" t="s">
        <v>863</v>
      </c>
      <c r="EO7321">
        <v>4441.2896578767122</v>
      </c>
    </row>
    <row r="7322" spans="142:145" x14ac:dyDescent="0.25">
      <c r="EL7322">
        <v>2009</v>
      </c>
      <c r="EM7322" t="s">
        <v>716</v>
      </c>
      <c r="EN7322" t="s">
        <v>863</v>
      </c>
      <c r="EO7322">
        <v>3733.222346472603</v>
      </c>
    </row>
    <row r="7323" spans="142:145" x14ac:dyDescent="0.25">
      <c r="EL7323">
        <v>2009</v>
      </c>
      <c r="EM7323" t="s">
        <v>708</v>
      </c>
      <c r="EN7323" t="s">
        <v>863</v>
      </c>
      <c r="EO7323">
        <v>3607.3553464726028</v>
      </c>
    </row>
    <row r="7324" spans="142:145" x14ac:dyDescent="0.25">
      <c r="EL7324">
        <v>2009</v>
      </c>
      <c r="EM7324" t="s">
        <v>709</v>
      </c>
      <c r="EN7324" t="s">
        <v>863</v>
      </c>
      <c r="EO7324">
        <v>3388.4226578767125</v>
      </c>
    </row>
    <row r="7325" spans="142:145" x14ac:dyDescent="0.25">
      <c r="EL7325">
        <v>2009</v>
      </c>
      <c r="EM7325" t="s">
        <v>710</v>
      </c>
      <c r="EN7325" t="s">
        <v>863</v>
      </c>
      <c r="EO7325">
        <v>3652.4941496232877</v>
      </c>
    </row>
    <row r="7326" spans="142:145" x14ac:dyDescent="0.25">
      <c r="EL7326">
        <v>2009</v>
      </c>
      <c r="EM7326" t="s">
        <v>711</v>
      </c>
      <c r="EN7326" t="s">
        <v>863</v>
      </c>
      <c r="EO7326">
        <v>3922.4131770547951</v>
      </c>
    </row>
    <row r="7327" spans="142:145" x14ac:dyDescent="0.25">
      <c r="EL7327">
        <v>2009</v>
      </c>
      <c r="EM7327" t="s">
        <v>712</v>
      </c>
      <c r="EN7327" t="s">
        <v>863</v>
      </c>
      <c r="EO7327">
        <v>4770.0521496232877</v>
      </c>
    </row>
    <row r="7328" spans="142:145" x14ac:dyDescent="0.25">
      <c r="EL7328">
        <v>2010</v>
      </c>
      <c r="EM7328" t="s">
        <v>719</v>
      </c>
      <c r="EN7328" t="s">
        <v>863</v>
      </c>
      <c r="EO7328">
        <v>4374.4871496232872</v>
      </c>
    </row>
    <row r="7329" spans="142:145" x14ac:dyDescent="0.25">
      <c r="EL7329">
        <v>2010</v>
      </c>
      <c r="EM7329" t="s">
        <v>713</v>
      </c>
      <c r="EN7329" t="s">
        <v>863</v>
      </c>
      <c r="EO7329">
        <v>4218.4192319178073</v>
      </c>
    </row>
    <row r="7330" spans="142:145" x14ac:dyDescent="0.25">
      <c r="EL7330">
        <v>2010</v>
      </c>
      <c r="EM7330" t="s">
        <v>714</v>
      </c>
      <c r="EN7330" t="s">
        <v>863</v>
      </c>
      <c r="EO7330">
        <v>4852.2341496232884</v>
      </c>
    </row>
    <row r="7331" spans="142:145" x14ac:dyDescent="0.25">
      <c r="EL7331">
        <v>2010</v>
      </c>
      <c r="EM7331" t="s">
        <v>705</v>
      </c>
      <c r="EN7331" t="s">
        <v>863</v>
      </c>
      <c r="EO7331">
        <v>4070.1811770547943</v>
      </c>
    </row>
    <row r="7332" spans="142:145" x14ac:dyDescent="0.25">
      <c r="EL7332">
        <v>2010</v>
      </c>
      <c r="EM7332" t="s">
        <v>715</v>
      </c>
      <c r="EN7332" t="s">
        <v>863</v>
      </c>
      <c r="EO7332">
        <v>3877.5691496232876</v>
      </c>
    </row>
    <row r="7333" spans="142:145" x14ac:dyDescent="0.25">
      <c r="EL7333">
        <v>2010</v>
      </c>
      <c r="EM7333" t="s">
        <v>718</v>
      </c>
      <c r="EN7333" t="s">
        <v>863</v>
      </c>
      <c r="EO7333">
        <v>3550.9421770547947</v>
      </c>
    </row>
    <row r="7334" spans="142:145" x14ac:dyDescent="0.25">
      <c r="EL7334">
        <v>2010</v>
      </c>
      <c r="EM7334" t="s">
        <v>716</v>
      </c>
      <c r="EN7334" t="s">
        <v>863</v>
      </c>
      <c r="EO7334">
        <v>3540.7381496232874</v>
      </c>
    </row>
    <row r="7335" spans="142:145" x14ac:dyDescent="0.25">
      <c r="EL7335">
        <v>2010</v>
      </c>
      <c r="EM7335" t="s">
        <v>708</v>
      </c>
      <c r="EN7335" t="s">
        <v>863</v>
      </c>
      <c r="EO7335">
        <v>3754.4091496232872</v>
      </c>
    </row>
    <row r="7336" spans="142:145" x14ac:dyDescent="0.25">
      <c r="EL7336">
        <v>2010</v>
      </c>
      <c r="EM7336" t="s">
        <v>709</v>
      </c>
      <c r="EN7336" t="s">
        <v>863</v>
      </c>
      <c r="EO7336">
        <v>3488.1341770547938</v>
      </c>
    </row>
    <row r="7337" spans="142:145" x14ac:dyDescent="0.25">
      <c r="EL7337">
        <v>2010</v>
      </c>
      <c r="EM7337" t="s">
        <v>710</v>
      </c>
      <c r="EN7337" t="s">
        <v>863</v>
      </c>
      <c r="EO7337">
        <v>3704.315030136986</v>
      </c>
    </row>
    <row r="7338" spans="142:145" x14ac:dyDescent="0.25">
      <c r="EL7338">
        <v>2010</v>
      </c>
      <c r="EM7338" t="s">
        <v>711</v>
      </c>
      <c r="EN7338" t="s">
        <v>863</v>
      </c>
      <c r="EO7338">
        <v>3560.7018356164381</v>
      </c>
    </row>
    <row r="7339" spans="142:145" x14ac:dyDescent="0.25">
      <c r="EL7339">
        <v>2010</v>
      </c>
      <c r="EM7339" t="s">
        <v>712</v>
      </c>
      <c r="EN7339" t="s">
        <v>863</v>
      </c>
      <c r="EO7339">
        <v>3723.5080301369862</v>
      </c>
    </row>
    <row r="7340" spans="142:145" x14ac:dyDescent="0.25">
      <c r="EL7340">
        <v>2011</v>
      </c>
      <c r="EM7340" t="s">
        <v>719</v>
      </c>
      <c r="EN7340" t="s">
        <v>863</v>
      </c>
      <c r="EO7340">
        <v>3587.4740301369866</v>
      </c>
    </row>
    <row r="7341" spans="142:145" x14ac:dyDescent="0.25">
      <c r="EL7341">
        <v>2011</v>
      </c>
      <c r="EM7341" t="s">
        <v>713</v>
      </c>
      <c r="EN7341" t="s">
        <v>863</v>
      </c>
      <c r="EO7341">
        <v>3367.9994465753421</v>
      </c>
    </row>
    <row r="7342" spans="142:145" x14ac:dyDescent="0.25">
      <c r="EL7342">
        <v>2011</v>
      </c>
      <c r="EM7342" t="s">
        <v>714</v>
      </c>
      <c r="EN7342" t="s">
        <v>863</v>
      </c>
      <c r="EO7342">
        <v>4147.5760301369855</v>
      </c>
    </row>
    <row r="7343" spans="142:145" x14ac:dyDescent="0.25">
      <c r="EL7343">
        <v>2011</v>
      </c>
      <c r="EM7343" t="s">
        <v>705</v>
      </c>
      <c r="EN7343" t="s">
        <v>863</v>
      </c>
      <c r="EO7343">
        <v>3899.4258356164382</v>
      </c>
    </row>
    <row r="7344" spans="142:145" x14ac:dyDescent="0.25">
      <c r="EL7344">
        <v>2011</v>
      </c>
      <c r="EM7344" t="s">
        <v>715</v>
      </c>
      <c r="EN7344" t="s">
        <v>863</v>
      </c>
      <c r="EO7344">
        <v>4057.8830301369862</v>
      </c>
    </row>
    <row r="7345" spans="142:145" x14ac:dyDescent="0.25">
      <c r="EL7345">
        <v>2011</v>
      </c>
      <c r="EM7345" t="s">
        <v>718</v>
      </c>
      <c r="EN7345" t="s">
        <v>863</v>
      </c>
      <c r="EO7345">
        <v>3338.4998356164388</v>
      </c>
    </row>
    <row r="7346" spans="142:145" x14ac:dyDescent="0.25">
      <c r="EL7346">
        <v>2011</v>
      </c>
      <c r="EM7346" t="s">
        <v>716</v>
      </c>
      <c r="EN7346" t="s">
        <v>863</v>
      </c>
      <c r="EO7346">
        <v>3302.0310301369864</v>
      </c>
    </row>
    <row r="7347" spans="142:145" x14ac:dyDescent="0.25">
      <c r="EL7347">
        <v>2011</v>
      </c>
      <c r="EM7347" t="s">
        <v>708</v>
      </c>
      <c r="EN7347" t="s">
        <v>863</v>
      </c>
      <c r="EO7347">
        <v>3439.7190301369865</v>
      </c>
    </row>
    <row r="7348" spans="142:145" x14ac:dyDescent="0.25">
      <c r="EL7348">
        <v>2011</v>
      </c>
      <c r="EM7348" t="s">
        <v>709</v>
      </c>
      <c r="EN7348" t="s">
        <v>863</v>
      </c>
      <c r="EO7348">
        <v>4043.8398356164384</v>
      </c>
    </row>
    <row r="7349" spans="142:145" x14ac:dyDescent="0.25">
      <c r="EL7349">
        <v>2011</v>
      </c>
      <c r="EM7349" t="s">
        <v>710</v>
      </c>
      <c r="EN7349" t="s">
        <v>863</v>
      </c>
      <c r="EO7349">
        <v>3669.3597128172928</v>
      </c>
    </row>
    <row r="7350" spans="142:145" x14ac:dyDescent="0.25">
      <c r="EL7350">
        <v>2011</v>
      </c>
      <c r="EM7350" t="s">
        <v>711</v>
      </c>
      <c r="EN7350" t="s">
        <v>863</v>
      </c>
      <c r="EO7350">
        <v>3687.8614032445357</v>
      </c>
    </row>
    <row r="7351" spans="142:145" x14ac:dyDescent="0.25">
      <c r="EL7351">
        <v>2011</v>
      </c>
      <c r="EM7351" t="s">
        <v>712</v>
      </c>
      <c r="EN7351" t="s">
        <v>863</v>
      </c>
      <c r="EO7351">
        <v>4049.587703244536</v>
      </c>
    </row>
    <row r="7352" spans="142:145" x14ac:dyDescent="0.25">
      <c r="EL7352">
        <v>2012</v>
      </c>
      <c r="EM7352" t="s">
        <v>719</v>
      </c>
      <c r="EN7352" t="s">
        <v>863</v>
      </c>
      <c r="EO7352">
        <v>3843.1237032445356</v>
      </c>
    </row>
    <row r="7353" spans="142:145" x14ac:dyDescent="0.25">
      <c r="EL7353">
        <v>2012</v>
      </c>
      <c r="EM7353" t="s">
        <v>713</v>
      </c>
      <c r="EN7353" t="s">
        <v>863</v>
      </c>
      <c r="EO7353">
        <v>3458.0535610997272</v>
      </c>
    </row>
    <row r="7354" spans="142:145" x14ac:dyDescent="0.25">
      <c r="EL7354">
        <v>2012</v>
      </c>
      <c r="EM7354" t="s">
        <v>714</v>
      </c>
      <c r="EN7354" t="s">
        <v>863</v>
      </c>
      <c r="EO7354">
        <v>3827.8457032445353</v>
      </c>
    </row>
    <row r="7355" spans="142:145" x14ac:dyDescent="0.25">
      <c r="EL7355">
        <v>2012</v>
      </c>
      <c r="EM7355" t="s">
        <v>705</v>
      </c>
      <c r="EN7355" t="s">
        <v>863</v>
      </c>
      <c r="EO7355">
        <v>3438.8351321721311</v>
      </c>
    </row>
    <row r="7356" spans="142:145" x14ac:dyDescent="0.25">
      <c r="EL7356">
        <v>2012</v>
      </c>
      <c r="EM7356" t="s">
        <v>715</v>
      </c>
      <c r="EN7356" t="s">
        <v>863</v>
      </c>
      <c r="EO7356">
        <v>3469.4687032445354</v>
      </c>
    </row>
    <row r="7357" spans="142:145" x14ac:dyDescent="0.25">
      <c r="EL7357">
        <v>2012</v>
      </c>
      <c r="EM7357" t="s">
        <v>718</v>
      </c>
      <c r="EN7357" t="s">
        <v>863</v>
      </c>
      <c r="EO7357">
        <v>3288.12</v>
      </c>
    </row>
    <row r="7358" spans="142:145" x14ac:dyDescent="0.25">
      <c r="EL7358">
        <v>2012</v>
      </c>
      <c r="EM7358" t="s">
        <v>716</v>
      </c>
      <c r="EN7358" t="s">
        <v>863</v>
      </c>
      <c r="EO7358">
        <v>3283.8647032445351</v>
      </c>
    </row>
    <row r="7359" spans="142:145" x14ac:dyDescent="0.25">
      <c r="EL7359">
        <v>2012</v>
      </c>
      <c r="EM7359" t="s">
        <v>708</v>
      </c>
      <c r="EN7359" t="s">
        <v>863</v>
      </c>
      <c r="EO7359">
        <v>3222.7289999999994</v>
      </c>
    </row>
    <row r="7360" spans="142:145" x14ac:dyDescent="0.25">
      <c r="EL7360">
        <v>2012</v>
      </c>
      <c r="EM7360" t="s">
        <v>709</v>
      </c>
      <c r="EN7360" t="s">
        <v>863</v>
      </c>
      <c r="EO7360">
        <v>3105.9900000000002</v>
      </c>
    </row>
    <row r="7361" spans="142:145" x14ac:dyDescent="0.25">
      <c r="EL7361">
        <v>2012</v>
      </c>
      <c r="EM7361" t="s">
        <v>710</v>
      </c>
      <c r="EN7361" t="s">
        <v>863</v>
      </c>
      <c r="EO7361">
        <v>3592.0629999999996</v>
      </c>
    </row>
    <row r="7362" spans="142:145" x14ac:dyDescent="0.25">
      <c r="EL7362">
        <v>2012</v>
      </c>
      <c r="EM7362" t="s">
        <v>711</v>
      </c>
      <c r="EN7362" t="s">
        <v>863</v>
      </c>
      <c r="EO7362">
        <v>3406.4100000000008</v>
      </c>
    </row>
    <row r="7363" spans="142:145" x14ac:dyDescent="0.25">
      <c r="EL7363">
        <v>2012</v>
      </c>
      <c r="EM7363" t="s">
        <v>712</v>
      </c>
      <c r="EN7363" t="s">
        <v>863</v>
      </c>
      <c r="EO7363">
        <v>3530.9571820355195</v>
      </c>
    </row>
    <row r="7364" spans="142:145" x14ac:dyDescent="0.25">
      <c r="EL7364">
        <v>2013</v>
      </c>
      <c r="EM7364" t="s">
        <v>719</v>
      </c>
      <c r="EN7364" t="s">
        <v>863</v>
      </c>
      <c r="EO7364">
        <v>3649.4439999999995</v>
      </c>
    </row>
    <row r="7365" spans="142:145" x14ac:dyDescent="0.25">
      <c r="EL7365">
        <v>2013</v>
      </c>
      <c r="EM7365" t="s">
        <v>713</v>
      </c>
      <c r="EN7365" t="s">
        <v>863</v>
      </c>
      <c r="EO7365">
        <v>3386.7680000000005</v>
      </c>
    </row>
    <row r="7366" spans="142:145" x14ac:dyDescent="0.25">
      <c r="EL7366">
        <v>2013</v>
      </c>
      <c r="EM7366" t="s">
        <v>714</v>
      </c>
      <c r="EN7366" t="s">
        <v>863</v>
      </c>
      <c r="EO7366">
        <v>3938.9530000000004</v>
      </c>
    </row>
    <row r="7367" spans="142:145" x14ac:dyDescent="0.25">
      <c r="EL7367">
        <v>2013</v>
      </c>
      <c r="EM7367" t="s">
        <v>705</v>
      </c>
      <c r="EN7367" t="s">
        <v>863</v>
      </c>
      <c r="EO7367">
        <v>3622.59</v>
      </c>
    </row>
    <row r="7368" spans="142:145" x14ac:dyDescent="0.25">
      <c r="EL7368">
        <v>2013</v>
      </c>
      <c r="EM7368" t="s">
        <v>715</v>
      </c>
      <c r="EN7368" t="s">
        <v>863</v>
      </c>
      <c r="EO7368">
        <v>3701.5239999999999</v>
      </c>
    </row>
    <row r="7369" spans="142:145" x14ac:dyDescent="0.25">
      <c r="EL7369">
        <v>2013</v>
      </c>
      <c r="EM7369" t="s">
        <v>718</v>
      </c>
      <c r="EN7369" t="s">
        <v>863</v>
      </c>
      <c r="EO7369">
        <v>3926.25</v>
      </c>
    </row>
    <row r="7370" spans="142:145" x14ac:dyDescent="0.25">
      <c r="EL7370">
        <v>2013</v>
      </c>
      <c r="EM7370" t="s">
        <v>716</v>
      </c>
      <c r="EN7370" t="s">
        <v>863</v>
      </c>
      <c r="EO7370">
        <v>3710.5760000000005</v>
      </c>
    </row>
    <row r="7371" spans="142:145" x14ac:dyDescent="0.25">
      <c r="EL7371">
        <v>2013</v>
      </c>
      <c r="EM7371" t="s">
        <v>708</v>
      </c>
      <c r="EN7371" t="s">
        <v>863</v>
      </c>
      <c r="EO7371">
        <v>3333.1509999999998</v>
      </c>
    </row>
    <row r="7372" spans="142:145" x14ac:dyDescent="0.25">
      <c r="EL7372">
        <v>2013</v>
      </c>
      <c r="EM7372" t="s">
        <v>709</v>
      </c>
      <c r="EN7372" t="s">
        <v>863</v>
      </c>
      <c r="EO7372">
        <v>3140.3700000000003</v>
      </c>
    </row>
    <row r="7373" spans="142:145" x14ac:dyDescent="0.25">
      <c r="EL7373">
        <v>2013</v>
      </c>
      <c r="EM7373" t="s">
        <v>710</v>
      </c>
      <c r="EN7373" t="s">
        <v>863</v>
      </c>
      <c r="EO7373">
        <v>3393.26</v>
      </c>
    </row>
    <row r="7374" spans="142:145" x14ac:dyDescent="0.25">
      <c r="EL7374">
        <v>2013</v>
      </c>
      <c r="EM7374" t="s">
        <v>711</v>
      </c>
      <c r="EN7374" t="s">
        <v>863</v>
      </c>
      <c r="EO7374">
        <v>3267.0600000000004</v>
      </c>
    </row>
    <row r="7375" spans="142:145" x14ac:dyDescent="0.25">
      <c r="EL7375">
        <v>2013</v>
      </c>
      <c r="EM7375" t="s">
        <v>712</v>
      </c>
      <c r="EN7375" t="s">
        <v>863</v>
      </c>
      <c r="EO7375">
        <v>3773.5990000000002</v>
      </c>
    </row>
    <row r="7376" spans="142:145" x14ac:dyDescent="0.25">
      <c r="EL7376">
        <v>2014</v>
      </c>
      <c r="EM7376" t="s">
        <v>719</v>
      </c>
      <c r="EN7376" t="s">
        <v>863</v>
      </c>
      <c r="EO7376">
        <v>3942.8589999999995</v>
      </c>
    </row>
    <row r="7377" spans="142:145" x14ac:dyDescent="0.25">
      <c r="EL7377">
        <v>2014</v>
      </c>
      <c r="EM7377" t="s">
        <v>713</v>
      </c>
      <c r="EN7377" t="s">
        <v>863</v>
      </c>
      <c r="EO7377">
        <v>3854.7040000000011</v>
      </c>
    </row>
    <row r="7378" spans="142:145" x14ac:dyDescent="0.25">
      <c r="EL7378">
        <v>2014</v>
      </c>
      <c r="EM7378" t="s">
        <v>714</v>
      </c>
      <c r="EN7378" t="s">
        <v>863</v>
      </c>
      <c r="EO7378">
        <v>4225.6720000000005</v>
      </c>
    </row>
    <row r="7379" spans="142:145" x14ac:dyDescent="0.25">
      <c r="EL7379">
        <v>2014</v>
      </c>
      <c r="EM7379" t="s">
        <v>705</v>
      </c>
      <c r="EN7379" t="s">
        <v>863</v>
      </c>
      <c r="EO7379">
        <v>4368.6899999999996</v>
      </c>
    </row>
    <row r="7380" spans="142:145" x14ac:dyDescent="0.25">
      <c r="EL7380">
        <v>2014</v>
      </c>
      <c r="EM7380" t="s">
        <v>715</v>
      </c>
      <c r="EN7380" t="s">
        <v>863</v>
      </c>
      <c r="EO7380">
        <v>4611.0950000000003</v>
      </c>
    </row>
    <row r="7381" spans="142:145" x14ac:dyDescent="0.25">
      <c r="EL7381">
        <v>2014</v>
      </c>
      <c r="EM7381" t="s">
        <v>718</v>
      </c>
      <c r="EN7381" t="s">
        <v>863</v>
      </c>
      <c r="EO7381">
        <v>3882.0899999999997</v>
      </c>
    </row>
    <row r="7382" spans="142:145" x14ac:dyDescent="0.25">
      <c r="EL7382">
        <v>2014</v>
      </c>
      <c r="EM7382" t="s">
        <v>716</v>
      </c>
      <c r="EN7382" t="s">
        <v>863</v>
      </c>
      <c r="EO7382">
        <v>3604.1219999999994</v>
      </c>
    </row>
    <row r="7383" spans="142:145" x14ac:dyDescent="0.25">
      <c r="EL7383">
        <v>2014</v>
      </c>
      <c r="EM7383" t="s">
        <v>708</v>
      </c>
      <c r="EN7383" t="s">
        <v>863</v>
      </c>
      <c r="EO7383">
        <v>3529.8460000000005</v>
      </c>
    </row>
    <row r="7384" spans="142:145" x14ac:dyDescent="0.25">
      <c r="EL7384">
        <v>2014</v>
      </c>
      <c r="EM7384" t="s">
        <v>709</v>
      </c>
      <c r="EN7384" t="s">
        <v>863</v>
      </c>
      <c r="EO7384">
        <v>3462.7930000000006</v>
      </c>
    </row>
    <row r="7385" spans="142:145" x14ac:dyDescent="0.25">
      <c r="EL7385">
        <v>2014</v>
      </c>
      <c r="EM7385" t="s">
        <v>710</v>
      </c>
      <c r="EN7385" t="s">
        <v>863</v>
      </c>
      <c r="EO7385">
        <v>3407.2100000000005</v>
      </c>
    </row>
    <row r="7386" spans="142:145" x14ac:dyDescent="0.25">
      <c r="EL7386">
        <v>2014</v>
      </c>
      <c r="EM7386" t="s">
        <v>711</v>
      </c>
      <c r="EN7386" t="s">
        <v>863</v>
      </c>
      <c r="EO7386">
        <v>3323.0999999999995</v>
      </c>
    </row>
    <row r="7387" spans="142:145" x14ac:dyDescent="0.25">
      <c r="EL7387">
        <v>2014</v>
      </c>
      <c r="EM7387" t="s">
        <v>712</v>
      </c>
      <c r="EN7387" t="s">
        <v>863</v>
      </c>
      <c r="EO7387">
        <v>3795.95</v>
      </c>
    </row>
    <row r="7388" spans="142:145" x14ac:dyDescent="0.25">
      <c r="EL7388">
        <v>2015</v>
      </c>
      <c r="EM7388" t="s">
        <v>719</v>
      </c>
      <c r="EN7388" t="s">
        <v>863</v>
      </c>
      <c r="EO7388">
        <v>3985.6699999999987</v>
      </c>
    </row>
    <row r="7389" spans="142:145" x14ac:dyDescent="0.25">
      <c r="EL7389">
        <v>2015</v>
      </c>
      <c r="EM7389" t="s">
        <v>713</v>
      </c>
      <c r="EN7389" t="s">
        <v>863</v>
      </c>
      <c r="EO7389">
        <v>3367.56</v>
      </c>
    </row>
    <row r="7390" spans="142:145" x14ac:dyDescent="0.25">
      <c r="EL7390">
        <v>2015</v>
      </c>
      <c r="EM7390" t="s">
        <v>714</v>
      </c>
      <c r="EN7390" t="s">
        <v>863</v>
      </c>
      <c r="EO7390">
        <v>4515.7699999999995</v>
      </c>
    </row>
    <row r="7391" spans="142:145" x14ac:dyDescent="0.25">
      <c r="EL7391">
        <v>2015</v>
      </c>
      <c r="EM7391" t="s">
        <v>705</v>
      </c>
      <c r="EN7391" t="s">
        <v>863</v>
      </c>
      <c r="EO7391">
        <v>4095.2999999999997</v>
      </c>
    </row>
    <row r="7392" spans="142:145" x14ac:dyDescent="0.25">
      <c r="EL7392">
        <v>2015</v>
      </c>
      <c r="EM7392" t="s">
        <v>715</v>
      </c>
      <c r="EN7392" t="s">
        <v>863</v>
      </c>
      <c r="EO7392">
        <v>3791.92</v>
      </c>
    </row>
    <row r="7393" spans="142:145" x14ac:dyDescent="0.25">
      <c r="EL7393">
        <v>2015</v>
      </c>
      <c r="EM7393" t="s">
        <v>718</v>
      </c>
      <c r="EN7393" t="s">
        <v>863</v>
      </c>
      <c r="EO7393">
        <v>3937.5</v>
      </c>
    </row>
    <row r="7394" spans="142:145" x14ac:dyDescent="0.25">
      <c r="EL7394">
        <v>2015</v>
      </c>
      <c r="EM7394" t="s">
        <v>716</v>
      </c>
      <c r="EN7394" t="s">
        <v>863</v>
      </c>
      <c r="EO7394">
        <v>3965.8300000000004</v>
      </c>
    </row>
    <row r="7395" spans="142:145" x14ac:dyDescent="0.25">
      <c r="EL7395">
        <v>2015</v>
      </c>
      <c r="EM7395" t="s">
        <v>708</v>
      </c>
      <c r="EN7395" t="s">
        <v>863</v>
      </c>
      <c r="EO7395">
        <v>3369.39</v>
      </c>
    </row>
    <row r="7396" spans="142:145" x14ac:dyDescent="0.25">
      <c r="EL7396">
        <v>2015</v>
      </c>
      <c r="EM7396" t="s">
        <v>709</v>
      </c>
      <c r="EN7396" t="s">
        <v>863</v>
      </c>
      <c r="EO7396">
        <v>3090.5999999999995</v>
      </c>
    </row>
    <row r="7397" spans="142:145" x14ac:dyDescent="0.25">
      <c r="EL7397">
        <v>2015</v>
      </c>
      <c r="EM7397" t="s">
        <v>710</v>
      </c>
      <c r="EN7397" t="s">
        <v>863</v>
      </c>
      <c r="EO7397">
        <v>3330.547</v>
      </c>
    </row>
    <row r="7398" spans="142:145" x14ac:dyDescent="0.25">
      <c r="EL7398">
        <v>2015</v>
      </c>
      <c r="EM7398" t="s">
        <v>711</v>
      </c>
      <c r="EN7398" t="s">
        <v>863</v>
      </c>
      <c r="EO7398">
        <v>3174.5999999999995</v>
      </c>
    </row>
    <row r="7399" spans="142:145" x14ac:dyDescent="0.25">
      <c r="EL7399">
        <v>2015</v>
      </c>
      <c r="EM7399" t="s">
        <v>712</v>
      </c>
      <c r="EN7399" t="s">
        <v>863</v>
      </c>
      <c r="EO7399">
        <v>3458.4</v>
      </c>
    </row>
    <row r="7400" spans="142:145" x14ac:dyDescent="0.25">
      <c r="EL7400">
        <v>2016</v>
      </c>
      <c r="EM7400" t="s">
        <v>719</v>
      </c>
      <c r="EN7400" t="s">
        <v>863</v>
      </c>
      <c r="EO7400">
        <v>3777.6599999999994</v>
      </c>
    </row>
    <row r="7401" spans="142:145" x14ac:dyDescent="0.25">
      <c r="EL7401">
        <v>2016</v>
      </c>
      <c r="EM7401" t="s">
        <v>713</v>
      </c>
      <c r="EN7401" t="s">
        <v>863</v>
      </c>
      <c r="EO7401">
        <v>4216.8900000000003</v>
      </c>
    </row>
    <row r="7402" spans="142:145" x14ac:dyDescent="0.25">
      <c r="EL7402">
        <v>2016</v>
      </c>
      <c r="EM7402" t="s">
        <v>714</v>
      </c>
      <c r="EN7402" t="s">
        <v>863</v>
      </c>
      <c r="EO7402">
        <v>3903.2100000000009</v>
      </c>
    </row>
    <row r="7403" spans="142:145" x14ac:dyDescent="0.25">
      <c r="EL7403">
        <v>2016</v>
      </c>
      <c r="EM7403" t="s">
        <v>705</v>
      </c>
      <c r="EN7403" t="s">
        <v>863</v>
      </c>
      <c r="EO7403">
        <v>3510.3000000000006</v>
      </c>
    </row>
    <row r="7404" spans="142:145" x14ac:dyDescent="0.25">
      <c r="EL7404">
        <v>2016</v>
      </c>
      <c r="EM7404" t="s">
        <v>715</v>
      </c>
      <c r="EN7404" t="s">
        <v>863</v>
      </c>
      <c r="EO7404">
        <v>3951.0199999999995</v>
      </c>
    </row>
    <row r="7405" spans="142:145" x14ac:dyDescent="0.25">
      <c r="EL7405">
        <v>2016</v>
      </c>
      <c r="EM7405" t="s">
        <v>718</v>
      </c>
      <c r="EN7405" t="s">
        <v>863</v>
      </c>
      <c r="EO7405">
        <v>3474.3069999999998</v>
      </c>
    </row>
    <row r="7406" spans="142:145" x14ac:dyDescent="0.25">
      <c r="EL7406">
        <v>2016</v>
      </c>
      <c r="EM7406" t="s">
        <v>716</v>
      </c>
      <c r="EN7406" t="s">
        <v>863</v>
      </c>
      <c r="EO7406">
        <v>3504.6440000000007</v>
      </c>
    </row>
    <row r="7407" spans="142:145" x14ac:dyDescent="0.25">
      <c r="EL7407">
        <v>2016</v>
      </c>
      <c r="EM7407" t="s">
        <v>708</v>
      </c>
      <c r="EN7407" t="s">
        <v>863</v>
      </c>
      <c r="EO7407">
        <v>3263.5079999999994</v>
      </c>
    </row>
    <row r="7408" spans="142:145" x14ac:dyDescent="0.25">
      <c r="EL7408">
        <v>2016</v>
      </c>
      <c r="EM7408" t="s">
        <v>709</v>
      </c>
      <c r="EN7408" t="s">
        <v>863</v>
      </c>
      <c r="EO7408">
        <v>3115.578</v>
      </c>
    </row>
    <row r="7409" spans="142:145" x14ac:dyDescent="0.25">
      <c r="EL7409">
        <v>2016</v>
      </c>
      <c r="EM7409" t="s">
        <v>710</v>
      </c>
      <c r="EN7409" t="s">
        <v>863</v>
      </c>
      <c r="EO7409">
        <v>3174.7080000000001</v>
      </c>
    </row>
    <row r="7410" spans="142:145" x14ac:dyDescent="0.25">
      <c r="EL7410">
        <v>2016</v>
      </c>
      <c r="EM7410" t="s">
        <v>711</v>
      </c>
      <c r="EN7410" t="s">
        <v>863</v>
      </c>
      <c r="EO7410">
        <v>2966.232</v>
      </c>
    </row>
    <row r="7411" spans="142:145" x14ac:dyDescent="0.25">
      <c r="EL7411">
        <v>2016</v>
      </c>
      <c r="EM7411" t="s">
        <v>712</v>
      </c>
      <c r="EN7411" t="s">
        <v>863</v>
      </c>
      <c r="EO7411">
        <v>3169.6669999999999</v>
      </c>
    </row>
    <row r="7412" spans="142:145" x14ac:dyDescent="0.25">
      <c r="EL7412">
        <v>2017</v>
      </c>
      <c r="EM7412" t="s">
        <v>719</v>
      </c>
      <c r="EN7412" t="s">
        <v>863</v>
      </c>
      <c r="EO7412">
        <v>3375.2000000000003</v>
      </c>
    </row>
    <row r="7413" spans="142:145" x14ac:dyDescent="0.25">
      <c r="EL7413">
        <v>2017</v>
      </c>
      <c r="EM7413" t="s">
        <v>713</v>
      </c>
      <c r="EN7413" t="s">
        <v>863</v>
      </c>
      <c r="EO7413">
        <v>2944.7470000000003</v>
      </c>
    </row>
    <row r="7414" spans="142:145" x14ac:dyDescent="0.25">
      <c r="EL7414">
        <v>2017</v>
      </c>
      <c r="EM7414" t="s">
        <v>714</v>
      </c>
      <c r="EN7414" t="s">
        <v>863</v>
      </c>
      <c r="EO7414">
        <v>3344.53</v>
      </c>
    </row>
    <row r="7415" spans="142:145" x14ac:dyDescent="0.25">
      <c r="EL7415">
        <v>2017</v>
      </c>
      <c r="EM7415" t="s">
        <v>705</v>
      </c>
      <c r="EN7415" t="s">
        <v>863</v>
      </c>
      <c r="EO7415">
        <v>3416.2599999999998</v>
      </c>
    </row>
    <row r="7416" spans="142:145" x14ac:dyDescent="0.25">
      <c r="EL7416">
        <v>2017</v>
      </c>
      <c r="EM7416" t="s">
        <v>715</v>
      </c>
      <c r="EN7416" t="s">
        <v>863</v>
      </c>
      <c r="EO7416">
        <v>3627.6909999999998</v>
      </c>
    </row>
    <row r="7417" spans="142:145" x14ac:dyDescent="0.25">
      <c r="EL7417">
        <v>2017</v>
      </c>
      <c r="EM7417" t="s">
        <v>718</v>
      </c>
      <c r="EN7417" t="s">
        <v>863</v>
      </c>
      <c r="EO7417">
        <v>3232.2069999999994</v>
      </c>
    </row>
    <row r="7418" spans="142:145" x14ac:dyDescent="0.25">
      <c r="EL7418">
        <v>2017</v>
      </c>
      <c r="EM7418" t="s">
        <v>716</v>
      </c>
      <c r="EN7418" t="s">
        <v>863</v>
      </c>
      <c r="EO7418">
        <v>3414.7869999999994</v>
      </c>
    </row>
    <row r="7419" spans="142:145" x14ac:dyDescent="0.25">
      <c r="EL7419">
        <v>2017</v>
      </c>
      <c r="EM7419" t="s">
        <v>708</v>
      </c>
      <c r="EN7419" t="s">
        <v>863</v>
      </c>
      <c r="EO7419">
        <v>3529.2530000000006</v>
      </c>
    </row>
    <row r="7420" spans="142:145" x14ac:dyDescent="0.25">
      <c r="EL7420">
        <v>2017</v>
      </c>
      <c r="EM7420" t="s">
        <v>709</v>
      </c>
      <c r="EN7420" t="s">
        <v>863</v>
      </c>
      <c r="EO7420">
        <v>3192.5330000000004</v>
      </c>
    </row>
    <row r="7421" spans="142:145" x14ac:dyDescent="0.25">
      <c r="EL7421">
        <v>2017</v>
      </c>
      <c r="EM7421" t="s">
        <v>710</v>
      </c>
      <c r="EN7421" t="s">
        <v>863</v>
      </c>
      <c r="EO7421">
        <v>3156.7629999999999</v>
      </c>
    </row>
    <row r="7422" spans="142:145" x14ac:dyDescent="0.25">
      <c r="EL7422">
        <v>2017</v>
      </c>
      <c r="EM7422" t="s">
        <v>711</v>
      </c>
      <c r="EN7422" t="s">
        <v>863</v>
      </c>
      <c r="EO7422">
        <v>3033.0000000000009</v>
      </c>
    </row>
    <row r="7423" spans="142:145" x14ac:dyDescent="0.25">
      <c r="EL7423">
        <v>2017</v>
      </c>
      <c r="EM7423" t="s">
        <v>712</v>
      </c>
      <c r="EN7423" t="s">
        <v>863</v>
      </c>
      <c r="EO7423">
        <v>3016.3</v>
      </c>
    </row>
    <row r="7424" spans="142:145" x14ac:dyDescent="0.25">
      <c r="EL7424">
        <v>2018</v>
      </c>
      <c r="EM7424" t="s">
        <v>719</v>
      </c>
      <c r="EN7424" t="s">
        <v>863</v>
      </c>
      <c r="EO7424">
        <v>3059.08</v>
      </c>
    </row>
    <row r="7425" spans="142:145" x14ac:dyDescent="0.25">
      <c r="EL7425">
        <v>2018</v>
      </c>
      <c r="EM7425" t="s">
        <v>713</v>
      </c>
      <c r="EN7425" t="s">
        <v>863</v>
      </c>
      <c r="EO7425">
        <v>3140.2000000000003</v>
      </c>
    </row>
    <row r="7426" spans="142:145" x14ac:dyDescent="0.25">
      <c r="EL7426">
        <v>2018</v>
      </c>
      <c r="EM7426" t="s">
        <v>714</v>
      </c>
      <c r="EN7426" t="s">
        <v>863</v>
      </c>
      <c r="EO7426">
        <v>3313.9000000000005</v>
      </c>
    </row>
    <row r="7427" spans="142:145" x14ac:dyDescent="0.25">
      <c r="EL7427">
        <v>2018</v>
      </c>
      <c r="EM7427" t="s">
        <v>705</v>
      </c>
      <c r="EN7427" t="s">
        <v>863</v>
      </c>
      <c r="EO7427">
        <v>3256.8</v>
      </c>
    </row>
    <row r="7428" spans="142:145" x14ac:dyDescent="0.25">
      <c r="EL7428">
        <v>2018</v>
      </c>
      <c r="EM7428" t="s">
        <v>715</v>
      </c>
      <c r="EN7428" t="s">
        <v>863</v>
      </c>
      <c r="EO7428">
        <v>3901.9700000000003</v>
      </c>
    </row>
    <row r="7429" spans="142:145" x14ac:dyDescent="0.25">
      <c r="EL7429">
        <v>2018</v>
      </c>
      <c r="EM7429" t="s">
        <v>718</v>
      </c>
      <c r="EN7429" t="s">
        <v>863</v>
      </c>
      <c r="EO7429">
        <v>3780.6000000000004</v>
      </c>
    </row>
    <row r="7430" spans="142:145" x14ac:dyDescent="0.25">
      <c r="EL7430">
        <v>2018</v>
      </c>
      <c r="EM7430" t="s">
        <v>716</v>
      </c>
      <c r="EN7430" t="s">
        <v>863</v>
      </c>
      <c r="EO7430">
        <v>3748.2100000000009</v>
      </c>
    </row>
    <row r="7431" spans="142:145" x14ac:dyDescent="0.25">
      <c r="EL7431">
        <v>2018</v>
      </c>
      <c r="EM7431" t="s">
        <v>708</v>
      </c>
      <c r="EN7431" t="s">
        <v>863</v>
      </c>
      <c r="EO7431">
        <v>3775.1800000000003</v>
      </c>
    </row>
    <row r="7432" spans="142:145" x14ac:dyDescent="0.25">
      <c r="EL7432">
        <v>2018</v>
      </c>
      <c r="EM7432" t="s">
        <v>709</v>
      </c>
      <c r="EN7432" t="s">
        <v>863</v>
      </c>
      <c r="EO7432">
        <v>4114.8000000000011</v>
      </c>
    </row>
    <row r="7433" spans="142:145" x14ac:dyDescent="0.25">
      <c r="EL7433">
        <v>2018</v>
      </c>
      <c r="EM7433" t="s">
        <v>710</v>
      </c>
      <c r="EN7433" t="s">
        <v>863</v>
      </c>
      <c r="EO7433">
        <v>3938.24</v>
      </c>
    </row>
    <row r="7434" spans="142:145" x14ac:dyDescent="0.25">
      <c r="EL7434">
        <v>2018</v>
      </c>
      <c r="EM7434" t="s">
        <v>711</v>
      </c>
      <c r="EN7434" t="s">
        <v>863</v>
      </c>
      <c r="EO7434">
        <v>4425.8999999999996</v>
      </c>
    </row>
    <row r="7435" spans="142:145" x14ac:dyDescent="0.25">
      <c r="EL7435">
        <v>2018</v>
      </c>
      <c r="EM7435" t="s">
        <v>712</v>
      </c>
      <c r="EN7435" t="s">
        <v>863</v>
      </c>
      <c r="EO7435">
        <v>4586.4500000000007</v>
      </c>
    </row>
    <row r="7436" spans="142:145" x14ac:dyDescent="0.25">
      <c r="EL7436">
        <v>2019</v>
      </c>
      <c r="EM7436" t="s">
        <v>719</v>
      </c>
      <c r="EN7436" t="s">
        <v>863</v>
      </c>
      <c r="EO7436">
        <v>4546.46</v>
      </c>
    </row>
    <row r="7437" spans="142:145" x14ac:dyDescent="0.25">
      <c r="EL7437">
        <v>2019</v>
      </c>
      <c r="EM7437" t="s">
        <v>713</v>
      </c>
      <c r="EN7437" t="s">
        <v>863</v>
      </c>
      <c r="EO7437">
        <v>4309.3999999999996</v>
      </c>
    </row>
    <row r="7438" spans="142:145" x14ac:dyDescent="0.25">
      <c r="EL7438">
        <v>2019</v>
      </c>
      <c r="EM7438" t="s">
        <v>714</v>
      </c>
      <c r="EN7438" t="s">
        <v>863</v>
      </c>
      <c r="EO7438">
        <v>4744.55</v>
      </c>
    </row>
    <row r="7439" spans="142:145" x14ac:dyDescent="0.25">
      <c r="EL7439">
        <v>2019</v>
      </c>
      <c r="EM7439" t="s">
        <v>705</v>
      </c>
      <c r="EN7439" t="s">
        <v>863</v>
      </c>
      <c r="EO7439">
        <v>3871.2</v>
      </c>
    </row>
    <row r="7440" spans="142:145" x14ac:dyDescent="0.25">
      <c r="EL7440">
        <v>2019</v>
      </c>
      <c r="EM7440" t="s">
        <v>715</v>
      </c>
      <c r="EN7440" t="s">
        <v>863</v>
      </c>
      <c r="EO7440">
        <v>4087.9700000000003</v>
      </c>
    </row>
    <row r="7441" spans="142:145" x14ac:dyDescent="0.25">
      <c r="EL7441">
        <v>2019</v>
      </c>
      <c r="EM7441" t="s">
        <v>718</v>
      </c>
      <c r="EN7441" t="s">
        <v>863</v>
      </c>
      <c r="EO7441">
        <v>3546.9</v>
      </c>
    </row>
    <row r="7442" spans="142:145" x14ac:dyDescent="0.25">
      <c r="EL7442">
        <v>2019</v>
      </c>
      <c r="EM7442" t="s">
        <v>716</v>
      </c>
      <c r="EN7442" t="s">
        <v>863</v>
      </c>
      <c r="EO7442">
        <v>3568.4099999999994</v>
      </c>
    </row>
    <row r="7443" spans="142:145" x14ac:dyDescent="0.25">
      <c r="EL7443">
        <v>2019</v>
      </c>
      <c r="EM7443" t="s">
        <v>708</v>
      </c>
      <c r="EN7443" t="s">
        <v>863</v>
      </c>
      <c r="EO7443">
        <v>3250.04</v>
      </c>
    </row>
    <row r="7444" spans="142:145" x14ac:dyDescent="0.25">
      <c r="EL7444">
        <v>2019</v>
      </c>
      <c r="EM7444" t="s">
        <v>709</v>
      </c>
      <c r="EN7444" t="s">
        <v>863</v>
      </c>
      <c r="EO7444">
        <v>3316.2</v>
      </c>
    </row>
    <row r="7445" spans="142:145" x14ac:dyDescent="0.25">
      <c r="EL7445">
        <v>2019</v>
      </c>
      <c r="EM7445" t="s">
        <v>710</v>
      </c>
      <c r="EN7445" t="s">
        <v>863</v>
      </c>
      <c r="EO7445">
        <v>3249.7299999999996</v>
      </c>
    </row>
    <row r="7446" spans="142:145" x14ac:dyDescent="0.25">
      <c r="EL7446">
        <v>2019</v>
      </c>
      <c r="EM7446" t="s">
        <v>711</v>
      </c>
      <c r="EN7446" t="s">
        <v>863</v>
      </c>
      <c r="EO7446">
        <v>3464.7000000000003</v>
      </c>
    </row>
    <row r="7447" spans="142:145" x14ac:dyDescent="0.25">
      <c r="EL7447">
        <v>2019</v>
      </c>
      <c r="EM7447" t="s">
        <v>712</v>
      </c>
      <c r="EN7447" t="s">
        <v>863</v>
      </c>
      <c r="EO7447">
        <v>3339.63</v>
      </c>
    </row>
    <row r="7448" spans="142:145" x14ac:dyDescent="0.25">
      <c r="EL7448">
        <v>2020</v>
      </c>
      <c r="EM7448" t="s">
        <v>719</v>
      </c>
      <c r="EN7448" t="s">
        <v>863</v>
      </c>
      <c r="EO7448">
        <v>3502.3800000000006</v>
      </c>
    </row>
    <row r="7449" spans="142:145" x14ac:dyDescent="0.25">
      <c r="EL7449">
        <v>2020</v>
      </c>
      <c r="EM7449" t="s">
        <v>713</v>
      </c>
      <c r="EN7449" t="s">
        <v>863</v>
      </c>
      <c r="EO7449">
        <v>3780.76</v>
      </c>
    </row>
    <row r="7450" spans="142:145" x14ac:dyDescent="0.25">
      <c r="EL7450">
        <v>2020</v>
      </c>
      <c r="EM7450" t="s">
        <v>714</v>
      </c>
      <c r="EN7450" t="s">
        <v>863</v>
      </c>
      <c r="EO7450">
        <v>3522.5999999999995</v>
      </c>
    </row>
    <row r="7451" spans="142:145" x14ac:dyDescent="0.25">
      <c r="EL7451">
        <v>2020</v>
      </c>
      <c r="EM7451" t="s">
        <v>705</v>
      </c>
      <c r="EN7451" t="s">
        <v>863</v>
      </c>
      <c r="EO7451">
        <v>3825.5900000000006</v>
      </c>
    </row>
    <row r="7452" spans="142:145" x14ac:dyDescent="0.25">
      <c r="EL7452">
        <v>2020</v>
      </c>
      <c r="EM7452" t="s">
        <v>715</v>
      </c>
      <c r="EN7452" t="s">
        <v>863</v>
      </c>
      <c r="EO7452">
        <v>3973.89</v>
      </c>
    </row>
    <row r="7453" spans="142:145" x14ac:dyDescent="0.25">
      <c r="EL7453">
        <v>2020</v>
      </c>
      <c r="EM7453" t="s">
        <v>718</v>
      </c>
      <c r="EN7453" t="s">
        <v>863</v>
      </c>
      <c r="EO7453">
        <v>3660.2999999999997</v>
      </c>
    </row>
    <row r="7454" spans="142:145" x14ac:dyDescent="0.25">
      <c r="EL7454">
        <v>2020</v>
      </c>
      <c r="EM7454" t="s">
        <v>716</v>
      </c>
      <c r="EN7454" t="s">
        <v>863</v>
      </c>
      <c r="EO7454">
        <v>3538.3400000000006</v>
      </c>
    </row>
    <row r="7455" spans="142:145" x14ac:dyDescent="0.25">
      <c r="EL7455">
        <v>2020</v>
      </c>
      <c r="EM7455" t="s">
        <v>708</v>
      </c>
      <c r="EN7455" t="s">
        <v>863</v>
      </c>
      <c r="EO7455">
        <v>3790.0599999999995</v>
      </c>
    </row>
    <row r="7456" spans="142:145" x14ac:dyDescent="0.25">
      <c r="EL7456">
        <v>2020</v>
      </c>
      <c r="EM7456" t="s">
        <v>709</v>
      </c>
      <c r="EN7456" t="s">
        <v>863</v>
      </c>
      <c r="EO7456">
        <v>3652.7999999999997</v>
      </c>
    </row>
    <row r="7457" spans="142:145" x14ac:dyDescent="0.25">
      <c r="EL7457">
        <v>2020</v>
      </c>
      <c r="EM7457" t="s">
        <v>710</v>
      </c>
      <c r="EN7457" t="s">
        <v>863</v>
      </c>
      <c r="EO7457">
        <v>3548.2599999999993</v>
      </c>
    </row>
    <row r="7458" spans="142:145" x14ac:dyDescent="0.25">
      <c r="EL7458">
        <v>2020</v>
      </c>
      <c r="EM7458" t="s">
        <v>711</v>
      </c>
      <c r="EN7458" t="s">
        <v>863</v>
      </c>
      <c r="EO7458">
        <v>3765.9</v>
      </c>
    </row>
    <row r="7459" spans="142:145" x14ac:dyDescent="0.25">
      <c r="EL7459">
        <v>2020</v>
      </c>
      <c r="EM7459" t="s">
        <v>712</v>
      </c>
      <c r="EN7459" t="s">
        <v>863</v>
      </c>
      <c r="EO7459">
        <v>4262.1900000000005</v>
      </c>
    </row>
    <row r="7460" spans="142:145" x14ac:dyDescent="0.25">
      <c r="EL7460">
        <v>2021</v>
      </c>
      <c r="EM7460" t="s">
        <v>719</v>
      </c>
      <c r="EN7460" t="s">
        <v>863</v>
      </c>
      <c r="EO7460">
        <v>3914.6799999999994</v>
      </c>
    </row>
    <row r="7461" spans="142:145" x14ac:dyDescent="0.25">
      <c r="EL7461">
        <v>2021</v>
      </c>
      <c r="EM7461" t="s">
        <v>713</v>
      </c>
      <c r="EN7461" t="s">
        <v>863</v>
      </c>
      <c r="EO7461">
        <v>3776.64</v>
      </c>
    </row>
    <row r="7462" spans="142:145" x14ac:dyDescent="0.25">
      <c r="EL7462">
        <v>2021</v>
      </c>
      <c r="EM7462" t="s">
        <v>714</v>
      </c>
      <c r="EN7462" t="s">
        <v>863</v>
      </c>
      <c r="EO7462">
        <v>4211.9699999999993</v>
      </c>
    </row>
    <row r="7463" spans="142:145" x14ac:dyDescent="0.25">
      <c r="EL7463">
        <v>2021</v>
      </c>
      <c r="EM7463" t="s">
        <v>705</v>
      </c>
      <c r="EN7463" t="s">
        <v>863</v>
      </c>
      <c r="EO7463">
        <v>3980.7</v>
      </c>
    </row>
    <row r="7464" spans="142:145" x14ac:dyDescent="0.25">
      <c r="EL7464">
        <v>2021</v>
      </c>
      <c r="EM7464" t="s">
        <v>715</v>
      </c>
      <c r="EN7464" t="s">
        <v>863</v>
      </c>
      <c r="EO7464">
        <v>3629.1700000000005</v>
      </c>
    </row>
    <row r="7465" spans="142:145" x14ac:dyDescent="0.25">
      <c r="EL7465">
        <v>2021</v>
      </c>
      <c r="EM7465" t="s">
        <v>718</v>
      </c>
      <c r="EN7465" t="s">
        <v>863</v>
      </c>
      <c r="EO7465">
        <v>3536.1000000000004</v>
      </c>
    </row>
    <row r="7466" spans="142:145" x14ac:dyDescent="0.25">
      <c r="EL7466">
        <v>2021</v>
      </c>
      <c r="EM7466" t="s">
        <v>716</v>
      </c>
      <c r="EN7466" t="s">
        <v>863</v>
      </c>
      <c r="EO7466">
        <v>3452.7799999999997</v>
      </c>
    </row>
    <row r="7467" spans="142:145" x14ac:dyDescent="0.25">
      <c r="EL7467">
        <v>2021</v>
      </c>
      <c r="EM7467" t="s">
        <v>708</v>
      </c>
      <c r="EN7467" t="s">
        <v>863</v>
      </c>
      <c r="EO7467">
        <v>3573.0600000000004</v>
      </c>
    </row>
    <row r="7468" spans="142:145" x14ac:dyDescent="0.25">
      <c r="EL7468">
        <v>2021</v>
      </c>
      <c r="EM7468" t="s">
        <v>709</v>
      </c>
      <c r="EN7468" t="s">
        <v>863</v>
      </c>
      <c r="EO7468">
        <v>3521.4</v>
      </c>
    </row>
    <row r="7469" spans="142:145" x14ac:dyDescent="0.25">
      <c r="EL7469">
        <v>2021</v>
      </c>
      <c r="EM7469" t="s">
        <v>710</v>
      </c>
      <c r="EN7469" t="s">
        <v>863</v>
      </c>
      <c r="EO7469">
        <v>3426.74</v>
      </c>
    </row>
    <row r="7470" spans="142:145" x14ac:dyDescent="0.25">
      <c r="EL7470">
        <v>2021</v>
      </c>
      <c r="EM7470" t="s">
        <v>711</v>
      </c>
      <c r="EN7470" t="s">
        <v>863</v>
      </c>
      <c r="EO7470">
        <v>3276.0000000000005</v>
      </c>
    </row>
    <row r="7471" spans="142:145" x14ac:dyDescent="0.25">
      <c r="EL7471">
        <v>2021</v>
      </c>
      <c r="EM7471" t="s">
        <v>712</v>
      </c>
      <c r="EN7471" t="s">
        <v>863</v>
      </c>
      <c r="EO7471">
        <v>3196.72</v>
      </c>
    </row>
    <row r="7472" spans="142:145" x14ac:dyDescent="0.25">
      <c r="EL7472">
        <v>2022</v>
      </c>
      <c r="EM7472" t="s">
        <v>719</v>
      </c>
      <c r="EN7472" t="s">
        <v>863</v>
      </c>
      <c r="EO7472">
        <v>3682.8</v>
      </c>
    </row>
    <row r="7473" spans="142:145" x14ac:dyDescent="0.25">
      <c r="EL7473">
        <v>2022</v>
      </c>
      <c r="EM7473" t="s">
        <v>713</v>
      </c>
      <c r="EN7473" t="s">
        <v>863</v>
      </c>
      <c r="EO7473">
        <v>3328.6399999999994</v>
      </c>
    </row>
    <row r="7474" spans="142:145" x14ac:dyDescent="0.25">
      <c r="EL7474">
        <v>2022</v>
      </c>
      <c r="EM7474" t="s">
        <v>714</v>
      </c>
      <c r="EN7474" t="s">
        <v>863</v>
      </c>
      <c r="EO7474">
        <v>3659.86</v>
      </c>
    </row>
    <row r="7475" spans="142:145" x14ac:dyDescent="0.25">
      <c r="EL7475">
        <v>2022</v>
      </c>
      <c r="EM7475" t="s">
        <v>705</v>
      </c>
      <c r="EN7475" t="s">
        <v>863</v>
      </c>
      <c r="EO7475">
        <v>3714.9000000000005</v>
      </c>
    </row>
    <row r="7476" spans="142:145" x14ac:dyDescent="0.25">
      <c r="EL7476">
        <v>2022</v>
      </c>
      <c r="EM7476" t="s">
        <v>715</v>
      </c>
      <c r="EN7476" t="s">
        <v>863</v>
      </c>
      <c r="EO7476">
        <v>3945.37</v>
      </c>
    </row>
    <row r="7477" spans="142:145" x14ac:dyDescent="0.25">
      <c r="EL7477">
        <v>2022</v>
      </c>
      <c r="EM7477" t="s">
        <v>718</v>
      </c>
      <c r="EN7477" t="s">
        <v>863</v>
      </c>
      <c r="EO7477">
        <v>3473.7</v>
      </c>
    </row>
    <row r="7478" spans="142:145" x14ac:dyDescent="0.25">
      <c r="EL7478">
        <v>2022</v>
      </c>
      <c r="EM7478" t="s">
        <v>716</v>
      </c>
      <c r="EN7478" t="s">
        <v>863</v>
      </c>
      <c r="EO7478">
        <v>3795.64</v>
      </c>
    </row>
    <row r="7479" spans="142:145" x14ac:dyDescent="0.25">
      <c r="EL7479">
        <v>2022</v>
      </c>
      <c r="EM7479" t="s">
        <v>708</v>
      </c>
      <c r="EN7479" t="s">
        <v>863</v>
      </c>
      <c r="EO7479">
        <v>3576.7799999999993</v>
      </c>
    </row>
    <row r="7480" spans="142:145" x14ac:dyDescent="0.25">
      <c r="EL7480">
        <v>2022</v>
      </c>
      <c r="EM7480" t="s">
        <v>709</v>
      </c>
      <c r="EN7480" t="s">
        <v>863</v>
      </c>
      <c r="EO7480">
        <v>3240.8999999999996</v>
      </c>
    </row>
    <row r="7481" spans="142:145" x14ac:dyDescent="0.25">
      <c r="EL7481">
        <v>2022</v>
      </c>
      <c r="EM7481" t="s">
        <v>710</v>
      </c>
      <c r="EN7481" t="s">
        <v>863</v>
      </c>
      <c r="EO7481">
        <v>3418.68</v>
      </c>
    </row>
    <row r="7482" spans="142:145" x14ac:dyDescent="0.25">
      <c r="EL7482">
        <v>2022</v>
      </c>
      <c r="EM7482" t="s">
        <v>711</v>
      </c>
      <c r="EN7482" t="s">
        <v>863</v>
      </c>
      <c r="EO7482">
        <v>3214.5</v>
      </c>
    </row>
    <row r="7483" spans="142:145" x14ac:dyDescent="0.25">
      <c r="EL7483">
        <v>2022</v>
      </c>
      <c r="EM7483" t="s">
        <v>712</v>
      </c>
      <c r="EN7483" t="s">
        <v>863</v>
      </c>
      <c r="EO7483">
        <v>3632.8900000000003</v>
      </c>
    </row>
    <row r="7484" spans="142:145" x14ac:dyDescent="0.25">
      <c r="EL7484">
        <v>2023</v>
      </c>
      <c r="EM7484" t="s">
        <v>719</v>
      </c>
      <c r="EN7484" t="s">
        <v>863</v>
      </c>
      <c r="EO7484">
        <v>3521.29</v>
      </c>
    </row>
    <row r="7485" spans="142:145" x14ac:dyDescent="0.25">
      <c r="EL7485">
        <v>2023</v>
      </c>
      <c r="EM7485" t="s">
        <v>713</v>
      </c>
      <c r="EN7485" t="s">
        <v>863</v>
      </c>
      <c r="EO7485">
        <v>3309.8799999999992</v>
      </c>
    </row>
    <row r="7486" spans="142:145" x14ac:dyDescent="0.25">
      <c r="EL7486">
        <v>2023</v>
      </c>
      <c r="EM7486" t="s">
        <v>714</v>
      </c>
      <c r="EN7486" t="s">
        <v>863</v>
      </c>
      <c r="EO7486">
        <v>3590.73</v>
      </c>
    </row>
    <row r="7487" spans="142:145" x14ac:dyDescent="0.25">
      <c r="EL7487">
        <v>2023</v>
      </c>
      <c r="EM7487" t="s">
        <v>705</v>
      </c>
      <c r="EN7487" t="s">
        <v>863</v>
      </c>
      <c r="EO7487">
        <v>3429.3</v>
      </c>
    </row>
    <row r="7488" spans="142:145" x14ac:dyDescent="0.25">
      <c r="EL7488">
        <v>2023</v>
      </c>
      <c r="EM7488" t="s">
        <v>715</v>
      </c>
      <c r="EN7488" t="s">
        <v>863</v>
      </c>
      <c r="EO7488">
        <v>3392.33</v>
      </c>
    </row>
    <row r="7489" spans="142:145" x14ac:dyDescent="0.25">
      <c r="EL7489">
        <v>2023</v>
      </c>
      <c r="EM7489" t="s">
        <v>718</v>
      </c>
      <c r="EN7489" t="s">
        <v>863</v>
      </c>
      <c r="EO7489">
        <v>3174.9000000000005</v>
      </c>
    </row>
    <row r="7490" spans="142:145" x14ac:dyDescent="0.25">
      <c r="EL7490">
        <v>2023</v>
      </c>
      <c r="EM7490" t="s">
        <v>716</v>
      </c>
      <c r="EN7490" t="s">
        <v>863</v>
      </c>
      <c r="EO7490">
        <v>3339.9399999999996</v>
      </c>
    </row>
    <row r="7491" spans="142:145" x14ac:dyDescent="0.25">
      <c r="EL7491">
        <v>2023</v>
      </c>
      <c r="EM7491" t="s">
        <v>708</v>
      </c>
      <c r="EN7491" t="s">
        <v>863</v>
      </c>
      <c r="EO7491">
        <v>3353.58</v>
      </c>
    </row>
    <row r="7492" spans="142:145" x14ac:dyDescent="0.25">
      <c r="EL7492">
        <v>2023</v>
      </c>
      <c r="EM7492" t="s">
        <v>709</v>
      </c>
      <c r="EN7492" t="s">
        <v>863</v>
      </c>
      <c r="EO7492">
        <v>3377.4</v>
      </c>
    </row>
  </sheetData>
  <mergeCells count="1">
    <mergeCell ref="A4:B4"/>
  </mergeCells>
  <phoneticPr fontId="0" type="noConversion"/>
  <printOptions horizontalCentered="1" verticalCentered="1" headings="1" gridLines="1"/>
  <pageMargins left="0.75" right="0.75" top="1" bottom="1" header="0.5" footer="0.5"/>
  <pageSetup scale="10" fitToHeight="0" pageOrder="overThenDown" orientation="landscape" blackAndWhite="1" horizontalDpi="180" verticalDpi="180" r:id="rId1"/>
  <headerFooter alignWithMargins="0"/>
  <rowBreaks count="1" manualBreakCount="1">
    <brk id="24" max="16383" man="1"/>
  </rowBreaks>
  <colBreaks count="12" manualBreakCount="12">
    <brk id="17" max="1048575" man="1"/>
    <brk id="27" max="1048575" man="1"/>
    <brk id="37" max="1048575" man="1"/>
    <brk id="47" max="1048575" man="1"/>
    <brk id="57" max="1048575" man="1"/>
    <brk id="67" max="1048575" man="1"/>
    <brk id="77" max="1048575" man="1"/>
    <brk id="87" max="1048575" man="1"/>
    <brk id="97" max="1048575" man="1"/>
    <brk id="105" max="1048575" man="1"/>
    <brk id="115" max="1048575" man="1"/>
    <brk id="125" max="1048575" man="1"/>
  </colBreaks>
  <legacy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xr2:uid="{00000000-0003-0000-0B00-000001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WSSC_ALL!AN341:AN341</xm:f>
              <xm:sqref>P341</xm:sqref>
            </x14:sparkline>
            <x14:sparkline>
              <xm:f>WSSC_ALL!AN342:AN342</xm:f>
              <xm:sqref>P342</xm:sqref>
            </x14:sparkline>
            <x14:sparkline>
              <xm:f>WSSC_ALL!AN343:AN343</xm:f>
              <xm:sqref>P343</xm:sqref>
            </x14:sparkline>
            <x14:sparkline>
              <xm:f>WSSC_ALL!AN344:AN344</xm:f>
              <xm:sqref>P344</xm:sqref>
            </x14:sparkline>
            <x14:sparkline>
              <xm:f>WSSC_ALL!AN345:AN345</xm:f>
              <xm:sqref>P345</xm:sqref>
            </x14:sparkline>
            <x14:sparkline>
              <xm:f>WSSC_ALL!AN346:AN346</xm:f>
              <xm:sqref>P346</xm:sqref>
            </x14:sparkline>
            <x14:sparkline>
              <xm:f>WSSC_ALL!AN347:AN347</xm:f>
              <xm:sqref>P347</xm:sqref>
            </x14:sparkline>
            <x14:sparkline>
              <xm:f>WSSC_ALL!AN348:AN348</xm:f>
              <xm:sqref>P348</xm:sqref>
            </x14:sparkline>
            <x14:sparkline>
              <xm:f>WSSC_ALL!AN349:AN349</xm:f>
              <xm:sqref>P349</xm:sqref>
            </x14:sparkline>
            <x14:sparkline>
              <xm:f>WSSC_ALL!AN350:AN350</xm:f>
              <xm:sqref>P350</xm:sqref>
            </x14:sparkline>
            <x14:sparkline>
              <xm:f>WSSC_ALL!AN351:AN351</xm:f>
              <xm:sqref>P351</xm:sqref>
            </x14:sparkline>
            <x14:sparkline>
              <xm:f>WSSC_ALL!AN352:AN352</xm:f>
              <xm:sqref>P352</xm:sqref>
            </x14:sparkline>
            <x14:sparkline>
              <xm:f>WSSC_ALL!AN353:AN353</xm:f>
              <xm:sqref>P353</xm:sqref>
            </x14:sparkline>
            <x14:sparkline>
              <xm:f>WSSC_ALL!AN354:AN354</xm:f>
              <xm:sqref>P354</xm:sqref>
            </x14:sparkline>
            <x14:sparkline>
              <xm:f>WSSC_ALL!AN355:AN355</xm:f>
              <xm:sqref>P355</xm:sqref>
            </x14:sparkline>
            <x14:sparkline>
              <xm:f>WSSC_ALL!AN356:AN356</xm:f>
              <xm:sqref>P356</xm:sqref>
            </x14:sparkline>
            <x14:sparkline>
              <xm:f>WSSC_ALL!AN357:AN357</xm:f>
              <xm:sqref>P357</xm:sqref>
            </x14:sparkline>
            <x14:sparkline>
              <xm:f>WSSC_ALL!AN358:AN358</xm:f>
              <xm:sqref>P358</xm:sqref>
            </x14:sparkline>
          </x14:sparklines>
        </x14:sparklineGroup>
        <x14:sparklineGroup manualMax="0" manualMin="0" displayEmptyCellsAs="gap" xr2:uid="{00000000-0003-0000-0B00-000000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WSSC_ALL!Y125:Y125</xm:f>
              <xm:sqref>A125</xm:sqref>
            </x14:sparkline>
            <x14:sparkline>
              <xm:f>WSSC_ALL!Y126:Y126</xm:f>
              <xm:sqref>A126</xm:sqref>
            </x14:sparkline>
            <x14:sparkline>
              <xm:f>WSSC_ALL!Y127:Y127</xm:f>
              <xm:sqref>A127</xm:sqref>
            </x14:sparkline>
            <x14:sparkline>
              <xm:f>WSSC_ALL!Y128:Y128</xm:f>
              <xm:sqref>A128</xm:sqref>
            </x14:sparkline>
            <x14:sparkline>
              <xm:f>WSSC_ALL!Y129:Y129</xm:f>
              <xm:sqref>A129</xm:sqref>
            </x14:sparkline>
            <x14:sparkline>
              <xm:f>WSSC_ALL!Y130:Y130</xm:f>
              <xm:sqref>A130</xm:sqref>
            </x14:sparkline>
            <x14:sparkline>
              <xm:f>WSSC_ALL!Y131:Y131</xm:f>
              <xm:sqref>A131</xm:sqref>
            </x14:sparkline>
            <x14:sparkline>
              <xm:f>WSSC_ALL!Y132:Y132</xm:f>
              <xm:sqref>A132</xm:sqref>
            </x14:sparkline>
            <x14:sparkline>
              <xm:f>WSSC_ALL!Y133:Y133</xm:f>
              <xm:sqref>A133</xm:sqref>
            </x14:sparkline>
            <x14:sparkline>
              <xm:f>WSSC_ALL!Y134:Y134</xm:f>
              <xm:sqref>A134</xm:sqref>
            </x14:sparkline>
            <x14:sparkline>
              <xm:f>WSSC_ALL!Y135:Y135</xm:f>
              <xm:sqref>A135</xm:sqref>
            </x14:sparkline>
            <x14:sparkline>
              <xm:f>WSSC_ALL!Y136:Y136</xm:f>
              <xm:sqref>A136</xm:sqref>
            </x14:sparkline>
            <x14:sparkline>
              <xm:f>WSSC_ALL!Y137:Y137</xm:f>
              <xm:sqref>A137</xm:sqref>
            </x14:sparkline>
            <x14:sparkline>
              <xm:f>WSSC_ALL!Y138:Y138</xm:f>
              <xm:sqref>A138</xm:sqref>
            </x14:sparkline>
            <x14:sparkline>
              <xm:f>WSSC_ALL!Y139:Y139</xm:f>
              <xm:sqref>A139</xm:sqref>
            </x14:sparkline>
            <x14:sparkline>
              <xm:f>WSSC_ALL!Y140:Y140</xm:f>
              <xm:sqref>A140</xm:sqref>
            </x14:sparkline>
            <x14:sparkline>
              <xm:f>WSSC_ALL!Y141:Y141</xm:f>
              <xm:sqref>A141</xm:sqref>
            </x14:sparkline>
            <x14:sparkline>
              <xm:f>WSSC_ALL!Y142:Y142</xm:f>
              <xm:sqref>A142</xm:sqref>
            </x14:sparkline>
            <x14:sparkline>
              <xm:f>WSSC_ALL!Y143:Y143</xm:f>
              <xm:sqref>A143</xm:sqref>
            </x14:sparkline>
            <x14:sparkline>
              <xm:f>WSSC_ALL!Y144:Y144</xm:f>
              <xm:sqref>A144</xm:sqref>
            </x14:sparkline>
            <x14:sparkline>
              <xm:f>WSSC_ALL!Y145:Y145</xm:f>
              <xm:sqref>A145</xm:sqref>
            </x14:sparkline>
            <x14:sparkline>
              <xm:f>WSSC_ALL!Y146:Y146</xm:f>
              <xm:sqref>A146</xm:sqref>
            </x14:sparkline>
            <x14:sparkline>
              <xm:f>WSSC_ALL!Y147:Y147</xm:f>
              <xm:sqref>A147</xm:sqref>
            </x14:sparkline>
            <x14:sparkline>
              <xm:f>WSSC_ALL!Y148:Y148</xm:f>
              <xm:sqref>A148</xm:sqref>
            </x14:sparkline>
            <x14:sparkline>
              <xm:f>WSSC_ALL!Y149:Y149</xm:f>
              <xm:sqref>A149</xm:sqref>
            </x14:sparkline>
            <x14:sparkline>
              <xm:f>WSSC_ALL!Y150:Y150</xm:f>
              <xm:sqref>A150</xm:sqref>
            </x14:sparkline>
            <x14:sparkline>
              <xm:f>WSSC_ALL!Y151:Y151</xm:f>
              <xm:sqref>A151</xm:sqref>
            </x14:sparkline>
            <x14:sparkline>
              <xm:f>WSSC_ALL!Y152:Y152</xm:f>
              <xm:sqref>A152</xm:sqref>
            </x14:sparkline>
            <x14:sparkline>
              <xm:f>WSSC_ALL!Y153:Y153</xm:f>
              <xm:sqref>A153</xm:sqref>
            </x14:sparkline>
            <x14:sparkline>
              <xm:f>WSSC_ALL!Y154:Y154</xm:f>
              <xm:sqref>A154</xm:sqref>
            </x14:sparkline>
            <x14:sparkline>
              <xm:f>WSSC_ALL!Y155:Y155</xm:f>
              <xm:sqref>A155</xm:sqref>
            </x14:sparkline>
            <x14:sparkline>
              <xm:f>WSSC_ALL!Y156:Y156</xm:f>
              <xm:sqref>A156</xm:sqref>
            </x14:sparkline>
            <x14:sparkline>
              <xm:f>WSSC_ALL!Y157:Y157</xm:f>
              <xm:sqref>A157</xm:sqref>
            </x14:sparkline>
            <x14:sparkline>
              <xm:f>WSSC_ALL!Y158:Y158</xm:f>
              <xm:sqref>A158</xm:sqref>
            </x14:sparkline>
            <x14:sparkline>
              <xm:f>WSSC_ALL!Y159:Y159</xm:f>
              <xm:sqref>A159</xm:sqref>
            </x14:sparkline>
            <x14:sparkline>
              <xm:f>WSSC_ALL!Y160:Y160</xm:f>
              <xm:sqref>A160</xm:sqref>
            </x14:sparkline>
            <x14:sparkline>
              <xm:f>WSSC_ALL!Y161:Y161</xm:f>
              <xm:sqref>A161</xm:sqref>
            </x14:sparkline>
            <x14:sparkline>
              <xm:f>WSSC_ALL!Y162:Y162</xm:f>
              <xm:sqref>A162</xm:sqref>
            </x14:sparkline>
            <x14:sparkline>
              <xm:f>WSSC_ALL!Y163:Y163</xm:f>
              <xm:sqref>A163</xm:sqref>
            </x14:sparkline>
            <x14:sparkline>
              <xm:f>WSSC_ALL!Y164:Y164</xm:f>
              <xm:sqref>A164</xm:sqref>
            </x14:sparkline>
            <x14:sparkline>
              <xm:f>WSSC_ALL!Y165:Y165</xm:f>
              <xm:sqref>A165</xm:sqref>
            </x14:sparkline>
            <x14:sparkline>
              <xm:f>WSSC_ALL!Y166:Y166</xm:f>
              <xm:sqref>A166</xm:sqref>
            </x14:sparkline>
            <x14:sparkline>
              <xm:f>WSSC_ALL!Y167:Y167</xm:f>
              <xm:sqref>A167</xm:sqref>
            </x14:sparkline>
            <x14:sparkline>
              <xm:f>WSSC_ALL!Y168:Y168</xm:f>
              <xm:sqref>A168</xm:sqref>
            </x14:sparkline>
            <x14:sparkline>
              <xm:f>WSSC_ALL!Y169:Y169</xm:f>
              <xm:sqref>A169</xm:sqref>
            </x14:sparkline>
            <x14:sparkline>
              <xm:f>WSSC_ALL!Y170:Y170</xm:f>
              <xm:sqref>A170</xm:sqref>
            </x14:sparkline>
            <x14:sparkline>
              <xm:f>WSSC_ALL!Y171:Y171</xm:f>
              <xm:sqref>A171</xm:sqref>
            </x14:sparkline>
            <x14:sparkline>
              <xm:f>WSSC_ALL!Y172:Y172</xm:f>
              <xm:sqref>A172</xm:sqref>
            </x14:sparkline>
            <x14:sparkline>
              <xm:f>WSSC_ALL!Y173:Y173</xm:f>
              <xm:sqref>A173</xm:sqref>
            </x14:sparkline>
            <x14:sparkline>
              <xm:f>WSSC_ALL!Y174:Y174</xm:f>
              <xm:sqref>A174</xm:sqref>
            </x14:sparkline>
            <x14:sparkline>
              <xm:f>WSSC_ALL!Y175:Y175</xm:f>
              <xm:sqref>A175</xm:sqref>
            </x14:sparkline>
            <x14:sparkline>
              <xm:f>WSSC_ALL!Y176:Y176</xm:f>
              <xm:sqref>A176</xm:sqref>
            </x14:sparkline>
            <x14:sparkline>
              <xm:f>WSSC_ALL!Y177:Y177</xm:f>
              <xm:sqref>A177</xm:sqref>
            </x14:sparkline>
            <x14:sparkline>
              <xm:f>WSSC_ALL!Y178:Y178</xm:f>
              <xm:sqref>A178</xm:sqref>
            </x14:sparkline>
            <x14:sparkline>
              <xm:f>WSSC_ALL!Y179:Y179</xm:f>
              <xm:sqref>A179</xm:sqref>
            </x14:sparkline>
            <x14:sparkline>
              <xm:f>WSSC_ALL!Y180:Y180</xm:f>
              <xm:sqref>A180</xm:sqref>
            </x14:sparkline>
            <x14:sparkline>
              <xm:f>WSSC_ALL!Y181:Y181</xm:f>
              <xm:sqref>A181</xm:sqref>
            </x14:sparkline>
            <x14:sparkline>
              <xm:f>WSSC_ALL!Y182:Y182</xm:f>
              <xm:sqref>A182</xm:sqref>
            </x14:sparkline>
            <x14:sparkline>
              <xm:f>WSSC_ALL!Y183:Y183</xm:f>
              <xm:sqref>A183</xm:sqref>
            </x14:sparkline>
            <x14:sparkline>
              <xm:f>WSSC_ALL!Y184:Y184</xm:f>
              <xm:sqref>A184</xm:sqref>
            </x14:sparkline>
            <x14:sparkline>
              <xm:f>WSSC_ALL!Y185:Y185</xm:f>
              <xm:sqref>A185</xm:sqref>
            </x14:sparkline>
            <x14:sparkline>
              <xm:f>WSSC_ALL!Y186:Y186</xm:f>
              <xm:sqref>A186</xm:sqref>
            </x14:sparkline>
            <x14:sparkline>
              <xm:f>WSSC_ALL!Y187:Y187</xm:f>
              <xm:sqref>A187</xm:sqref>
            </x14:sparkline>
            <x14:sparkline>
              <xm:f>WSSC_ALL!Y188:Y188</xm:f>
              <xm:sqref>A188</xm:sqref>
            </x14:sparkline>
            <x14:sparkline>
              <xm:f>WSSC_ALL!Y189:Y189</xm:f>
              <xm:sqref>A189</xm:sqref>
            </x14:sparkline>
            <x14:sparkline>
              <xm:f>WSSC_ALL!Y190:Y190</xm:f>
              <xm:sqref>A190</xm:sqref>
            </x14:sparkline>
            <x14:sparkline>
              <xm:f>WSSC_ALL!Y191:Y191</xm:f>
              <xm:sqref>A191</xm:sqref>
            </x14:sparkline>
            <x14:sparkline>
              <xm:f>WSSC_ALL!Y192:Y192</xm:f>
              <xm:sqref>A192</xm:sqref>
            </x14:sparkline>
            <x14:sparkline>
              <xm:f>WSSC_ALL!Y193:Y193</xm:f>
              <xm:sqref>A193</xm:sqref>
            </x14:sparkline>
            <x14:sparkline>
              <xm:f>WSSC_ALL!Y194:Y194</xm:f>
              <xm:sqref>A194</xm:sqref>
            </x14:sparkline>
            <x14:sparkline>
              <xm:f>WSSC_ALL!Y195:Y195</xm:f>
              <xm:sqref>A195</xm:sqref>
            </x14:sparkline>
            <x14:sparkline>
              <xm:f>WSSC_ALL!Y196:Y196</xm:f>
              <xm:sqref>A196</xm:sqref>
            </x14:sparkline>
            <x14:sparkline>
              <xm:f>WSSC_ALL!Y197:Y197</xm:f>
              <xm:sqref>A197</xm:sqref>
            </x14:sparkline>
            <x14:sparkline>
              <xm:f>WSSC_ALL!Y198:Y198</xm:f>
              <xm:sqref>A198</xm:sqref>
            </x14:sparkline>
            <x14:sparkline>
              <xm:f>WSSC_ALL!Y199:Y199</xm:f>
              <xm:sqref>A199</xm:sqref>
            </x14:sparkline>
            <x14:sparkline>
              <xm:f>WSSC_ALL!Y200:Y200</xm:f>
              <xm:sqref>A200</xm:sqref>
            </x14:sparkline>
            <x14:sparkline>
              <xm:f>WSSC_ALL!Y201:Y201</xm:f>
              <xm:sqref>A201</xm:sqref>
            </x14:sparkline>
            <x14:sparkline>
              <xm:f>WSSC_ALL!Y202:Y202</xm:f>
              <xm:sqref>A202</xm:sqref>
            </x14:sparkline>
            <x14:sparkline>
              <xm:f>WSSC_ALL!Y203:Y203</xm:f>
              <xm:sqref>A203</xm:sqref>
            </x14:sparkline>
            <x14:sparkline>
              <xm:f>WSSC_ALL!Y204:Y204</xm:f>
              <xm:sqref>A204</xm:sqref>
            </x14:sparkline>
            <x14:sparkline>
              <xm:f>WSSC_ALL!Y205:Y205</xm:f>
              <xm:sqref>A205</xm:sqref>
            </x14:sparkline>
            <x14:sparkline>
              <xm:f>WSSC_ALL!Y206:Y206</xm:f>
              <xm:sqref>A206</xm:sqref>
            </x14:sparkline>
            <x14:sparkline>
              <xm:f>WSSC_ALL!Y207:Y207</xm:f>
              <xm:sqref>A207</xm:sqref>
            </x14:sparkline>
            <x14:sparkline>
              <xm:f>WSSC_ALL!Y208:Y208</xm:f>
              <xm:sqref>A208</xm:sqref>
            </x14:sparkline>
            <x14:sparkline>
              <xm:f>WSSC_ALL!Y209:Y209</xm:f>
              <xm:sqref>A209</xm:sqref>
            </x14:sparkline>
            <x14:sparkline>
              <xm:f>WSSC_ALL!Y210:Y210</xm:f>
              <xm:sqref>A210</xm:sqref>
            </x14:sparkline>
            <x14:sparkline>
              <xm:f>WSSC_ALL!Y211:Y211</xm:f>
              <xm:sqref>A211</xm:sqref>
            </x14:sparkline>
            <x14:sparkline>
              <xm:f>WSSC_ALL!Y212:Y212</xm:f>
              <xm:sqref>A212</xm:sqref>
            </x14:sparkline>
            <x14:sparkline>
              <xm:f>WSSC_ALL!Y213:Y213</xm:f>
              <xm:sqref>A213</xm:sqref>
            </x14:sparkline>
            <x14:sparkline>
              <xm:f>WSSC_ALL!Y214:Y214</xm:f>
              <xm:sqref>A214</xm:sqref>
            </x14:sparkline>
            <x14:sparkline>
              <xm:f>WSSC_ALL!Y215:Y215</xm:f>
              <xm:sqref>A215</xm:sqref>
            </x14:sparkline>
            <x14:sparkline>
              <xm:f>WSSC_ALL!Y216:Y216</xm:f>
              <xm:sqref>A216</xm:sqref>
            </x14:sparkline>
            <x14:sparkline>
              <xm:f>WSSC_ALL!Y217:Y217</xm:f>
              <xm:sqref>A217</xm:sqref>
            </x14:sparkline>
            <x14:sparkline>
              <xm:f>WSSC_ALL!Y218:Y218</xm:f>
              <xm:sqref>A218</xm:sqref>
            </x14:sparkline>
            <x14:sparkline>
              <xm:f>WSSC_ALL!Y219:Y219</xm:f>
              <xm:sqref>A219</xm:sqref>
            </x14:sparkline>
            <x14:sparkline>
              <xm:f>WSSC_ALL!Y220:Y220</xm:f>
              <xm:sqref>A220</xm:sqref>
            </x14:sparkline>
            <x14:sparkline>
              <xm:f>WSSC_ALL!Y221:Y221</xm:f>
              <xm:sqref>A221</xm:sqref>
            </x14:sparkline>
            <x14:sparkline>
              <xm:f>WSSC_ALL!Y222:Y222</xm:f>
              <xm:sqref>A222</xm:sqref>
            </x14:sparkline>
            <x14:sparkline>
              <xm:f>WSSC_ALL!Y223:Y223</xm:f>
              <xm:sqref>A223</xm:sqref>
            </x14:sparkline>
            <x14:sparkline>
              <xm:f>WSSC_ALL!Y224:Y224</xm:f>
              <xm:sqref>A224</xm:sqref>
            </x14:sparkline>
            <x14:sparkline>
              <xm:f>WSSC_ALL!Y225:Y225</xm:f>
              <xm:sqref>A225</xm:sqref>
            </x14:sparkline>
            <x14:sparkline>
              <xm:f>WSSC_ALL!Y226:Y226</xm:f>
              <xm:sqref>A226</xm:sqref>
            </x14:sparkline>
            <x14:sparkline>
              <xm:f>WSSC_ALL!Y227:Y227</xm:f>
              <xm:sqref>A227</xm:sqref>
            </x14:sparkline>
            <x14:sparkline>
              <xm:f>WSSC_ALL!Y228:Y228</xm:f>
              <xm:sqref>A228</xm:sqref>
            </x14:sparkline>
            <x14:sparkline>
              <xm:f>WSSC_ALL!Y229:Y229</xm:f>
              <xm:sqref>A229</xm:sqref>
            </x14:sparkline>
            <x14:sparkline>
              <xm:f>WSSC_ALL!Y230:Y230</xm:f>
              <xm:sqref>A230</xm:sqref>
            </x14:sparkline>
            <x14:sparkline>
              <xm:f>WSSC_ALL!Y231:Y231</xm:f>
              <xm:sqref>A231</xm:sqref>
            </x14:sparkline>
            <x14:sparkline>
              <xm:f>WSSC_ALL!Y232:Y232</xm:f>
              <xm:sqref>A232</xm:sqref>
            </x14:sparkline>
            <x14:sparkline>
              <xm:f>WSSC_ALL!Y233:Y233</xm:f>
              <xm:sqref>A233</xm:sqref>
            </x14:sparkline>
            <x14:sparkline>
              <xm:f>WSSC_ALL!Y234:Y234</xm:f>
              <xm:sqref>A234</xm:sqref>
            </x14:sparkline>
            <x14:sparkline>
              <xm:f>WSSC_ALL!Y235:Y235</xm:f>
              <xm:sqref>A235</xm:sqref>
            </x14:sparkline>
            <x14:sparkline>
              <xm:f>WSSC_ALL!Y236:Y236</xm:f>
              <xm:sqref>A236</xm:sqref>
            </x14:sparkline>
            <x14:sparkline>
              <xm:f>WSSC_ALL!Y237:Y237</xm:f>
              <xm:sqref>A237</xm:sqref>
            </x14:sparkline>
            <x14:sparkline>
              <xm:f>WSSC_ALL!Y238:Y238</xm:f>
              <xm:sqref>A238</xm:sqref>
            </x14:sparkline>
            <x14:sparkline>
              <xm:f>WSSC_ALL!Y239:Y239</xm:f>
              <xm:sqref>A239</xm:sqref>
            </x14:sparkline>
            <x14:sparkline>
              <xm:f>WSSC_ALL!Y240:Y240</xm:f>
              <xm:sqref>A240</xm:sqref>
            </x14:sparkline>
            <x14:sparkline>
              <xm:f>WSSC_ALL!Y241:Y241</xm:f>
              <xm:sqref>A241</xm:sqref>
            </x14:sparkline>
            <x14:sparkline>
              <xm:f>WSSC_ALL!Y242:Y242</xm:f>
              <xm:sqref>A242</xm:sqref>
            </x14:sparkline>
            <x14:sparkline>
              <xm:f>WSSC_ALL!Y243:Y243</xm:f>
              <xm:sqref>A243</xm:sqref>
            </x14:sparkline>
            <x14:sparkline>
              <xm:f>WSSC_ALL!Y244:Y244</xm:f>
              <xm:sqref>A244</xm:sqref>
            </x14:sparkline>
            <x14:sparkline>
              <xm:f>WSSC_ALL!Y245:Y245</xm:f>
              <xm:sqref>A245</xm:sqref>
            </x14:sparkline>
            <x14:sparkline>
              <xm:f>WSSC_ALL!Y246:Y246</xm:f>
              <xm:sqref>A246</xm:sqref>
            </x14:sparkline>
            <x14:sparkline>
              <xm:f>WSSC_ALL!Y247:Y247</xm:f>
              <xm:sqref>A247</xm:sqref>
            </x14:sparkline>
            <x14:sparkline>
              <xm:f>WSSC_ALL!Y248:Y248</xm:f>
              <xm:sqref>A248</xm:sqref>
            </x14:sparkline>
            <x14:sparkline>
              <xm:f>WSSC_ALL!Y249:Y249</xm:f>
              <xm:sqref>A249</xm:sqref>
            </x14:sparkline>
          </x14:sparklines>
        </x14:sparklineGroup>
      </x14:sparklineGroup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>
    <pageSetUpPr fitToPage="1"/>
  </sheetPr>
  <dimension ref="A1:E955"/>
  <sheetViews>
    <sheetView tabSelected="1" zoomScale="115" zoomScaleNormal="115" workbookViewId="0">
      <pane xSplit="2" ySplit="1" topLeftCell="C2" activePane="bottomRight" state="frozen"/>
      <selection activeCell="AM240" sqref="AM240"/>
      <selection pane="topRight" activeCell="AM240" sqref="AM240"/>
      <selection pane="bottomLeft" activeCell="AM240" sqref="AM240"/>
      <selection pane="bottomRight" activeCell="D8" sqref="D8"/>
    </sheetView>
  </sheetViews>
  <sheetFormatPr defaultRowHeight="12.5" x14ac:dyDescent="0.25"/>
  <cols>
    <col min="2" max="2" width="8.7265625" style="12"/>
    <col min="4" max="4" width="23" customWidth="1"/>
    <col min="5" max="5" width="8.7265625" style="2"/>
  </cols>
  <sheetData>
    <row r="1" spans="1:5" x14ac:dyDescent="0.25">
      <c r="A1" t="s">
        <v>865</v>
      </c>
      <c r="B1" s="12" t="s">
        <v>836</v>
      </c>
      <c r="C1" t="s">
        <v>838</v>
      </c>
      <c r="D1" t="s">
        <v>866</v>
      </c>
      <c r="E1" s="2" t="s">
        <v>840</v>
      </c>
    </row>
    <row r="2" spans="1:5" x14ac:dyDescent="0.25">
      <c r="A2" t="s">
        <v>864</v>
      </c>
      <c r="B2" s="12">
        <v>1997</v>
      </c>
      <c r="C2" t="s">
        <v>710</v>
      </c>
      <c r="D2" t="s">
        <v>723</v>
      </c>
      <c r="E2" s="2">
        <v>15.700343</v>
      </c>
    </row>
    <row r="3" spans="1:5" x14ac:dyDescent="0.25">
      <c r="A3" t="s">
        <v>864</v>
      </c>
      <c r="B3" s="12">
        <v>1997</v>
      </c>
      <c r="C3" t="s">
        <v>711</v>
      </c>
      <c r="D3" t="s">
        <v>723</v>
      </c>
      <c r="E3" s="2">
        <v>16.575099999999999</v>
      </c>
    </row>
    <row r="4" spans="1:5" x14ac:dyDescent="0.25">
      <c r="A4" t="s">
        <v>864</v>
      </c>
      <c r="B4" s="12">
        <v>1997</v>
      </c>
      <c r="C4" t="s">
        <v>712</v>
      </c>
      <c r="D4" t="s">
        <v>723</v>
      </c>
      <c r="E4" s="2">
        <v>14.138343000000001</v>
      </c>
    </row>
    <row r="5" spans="1:5" x14ac:dyDescent="0.25">
      <c r="A5" t="s">
        <v>864</v>
      </c>
      <c r="B5" s="12">
        <v>1998</v>
      </c>
      <c r="C5" t="s">
        <v>719</v>
      </c>
      <c r="D5" t="s">
        <v>723</v>
      </c>
      <c r="E5" s="2">
        <v>16.438800000000001</v>
      </c>
    </row>
    <row r="6" spans="1:5" x14ac:dyDescent="0.25">
      <c r="A6" t="s">
        <v>864</v>
      </c>
      <c r="B6" s="12">
        <v>1998</v>
      </c>
      <c r="C6" t="s">
        <v>713</v>
      </c>
      <c r="D6" t="s">
        <v>723</v>
      </c>
      <c r="E6" s="2">
        <v>19.933571000000001</v>
      </c>
    </row>
    <row r="7" spans="1:5" x14ac:dyDescent="0.25">
      <c r="A7" t="s">
        <v>864</v>
      </c>
      <c r="B7" s="12">
        <v>1998</v>
      </c>
      <c r="C7" t="s">
        <v>714</v>
      </c>
      <c r="D7" t="s">
        <v>723</v>
      </c>
      <c r="E7" s="2">
        <v>23.037942999999999</v>
      </c>
    </row>
    <row r="8" spans="1:5" x14ac:dyDescent="0.25">
      <c r="A8" t="s">
        <v>864</v>
      </c>
      <c r="B8" s="12">
        <v>1998</v>
      </c>
      <c r="C8" t="s">
        <v>705</v>
      </c>
      <c r="D8" t="s">
        <v>723</v>
      </c>
      <c r="E8" s="2">
        <v>20.519756999999998</v>
      </c>
    </row>
    <row r="9" spans="1:5" x14ac:dyDescent="0.25">
      <c r="A9" t="s">
        <v>864</v>
      </c>
      <c r="B9" s="12">
        <v>1998</v>
      </c>
      <c r="C9" t="s">
        <v>715</v>
      </c>
      <c r="D9" t="s">
        <v>723</v>
      </c>
      <c r="E9" s="2">
        <v>22.582156999999999</v>
      </c>
    </row>
    <row r="10" spans="1:5" x14ac:dyDescent="0.25">
      <c r="A10" t="s">
        <v>864</v>
      </c>
      <c r="B10" s="12">
        <v>1998</v>
      </c>
      <c r="C10" t="s">
        <v>718</v>
      </c>
      <c r="D10" t="s">
        <v>723</v>
      </c>
      <c r="E10" s="2">
        <v>18.029585999999998</v>
      </c>
    </row>
    <row r="11" spans="1:5" x14ac:dyDescent="0.25">
      <c r="A11" t="s">
        <v>864</v>
      </c>
      <c r="B11" s="12">
        <v>1998</v>
      </c>
      <c r="C11" t="s">
        <v>716</v>
      </c>
      <c r="D11" t="s">
        <v>723</v>
      </c>
      <c r="E11" s="2">
        <v>15.356229000000001</v>
      </c>
    </row>
    <row r="12" spans="1:5" x14ac:dyDescent="0.25">
      <c r="A12" t="s">
        <v>864</v>
      </c>
      <c r="B12" s="12">
        <v>1998</v>
      </c>
      <c r="C12" t="s">
        <v>708</v>
      </c>
      <c r="D12" t="s">
        <v>723</v>
      </c>
      <c r="E12" s="2">
        <v>14.458500000000001</v>
      </c>
    </row>
    <row r="13" spans="1:5" x14ac:dyDescent="0.25">
      <c r="A13" t="s">
        <v>864</v>
      </c>
      <c r="B13" s="12">
        <v>1998</v>
      </c>
      <c r="C13" t="s">
        <v>709</v>
      </c>
      <c r="D13" t="s">
        <v>723</v>
      </c>
      <c r="E13" s="2">
        <v>14.276214</v>
      </c>
    </row>
    <row r="14" spans="1:5" x14ac:dyDescent="0.25">
      <c r="A14" t="s">
        <v>864</v>
      </c>
      <c r="B14" s="12">
        <v>1998</v>
      </c>
      <c r="C14" t="s">
        <v>710</v>
      </c>
      <c r="D14" t="s">
        <v>723</v>
      </c>
      <c r="E14" s="2">
        <v>14.886843000000001</v>
      </c>
    </row>
    <row r="15" spans="1:5" x14ac:dyDescent="0.25">
      <c r="A15" t="s">
        <v>864</v>
      </c>
      <c r="B15" s="12">
        <v>1998</v>
      </c>
      <c r="C15" t="s">
        <v>711</v>
      </c>
      <c r="D15" t="s">
        <v>723</v>
      </c>
      <c r="E15" s="2">
        <v>13.359743</v>
      </c>
    </row>
    <row r="16" spans="1:5" x14ac:dyDescent="0.25">
      <c r="A16" t="s">
        <v>864</v>
      </c>
      <c r="B16" s="12">
        <v>1998</v>
      </c>
      <c r="C16" t="s">
        <v>712</v>
      </c>
      <c r="D16" t="s">
        <v>723</v>
      </c>
      <c r="E16" s="2">
        <v>14.076328999999999</v>
      </c>
    </row>
    <row r="17" spans="1:5" x14ac:dyDescent="0.25">
      <c r="A17" t="s">
        <v>864</v>
      </c>
      <c r="B17" s="12">
        <v>1999</v>
      </c>
      <c r="C17" t="s">
        <v>719</v>
      </c>
      <c r="D17" t="s">
        <v>723</v>
      </c>
      <c r="E17" s="2">
        <v>14.637841999999999</v>
      </c>
    </row>
    <row r="18" spans="1:5" x14ac:dyDescent="0.25">
      <c r="A18" t="s">
        <v>864</v>
      </c>
      <c r="B18" s="12">
        <v>1999</v>
      </c>
      <c r="C18" t="s">
        <v>713</v>
      </c>
      <c r="D18" t="s">
        <v>723</v>
      </c>
      <c r="E18" s="2">
        <v>13.304415000000001</v>
      </c>
    </row>
    <row r="19" spans="1:5" x14ac:dyDescent="0.25">
      <c r="A19" t="s">
        <v>864</v>
      </c>
      <c r="B19" s="12">
        <v>1999</v>
      </c>
      <c r="C19" t="s">
        <v>714</v>
      </c>
      <c r="D19" t="s">
        <v>723</v>
      </c>
      <c r="E19" s="2">
        <v>16.001828</v>
      </c>
    </row>
    <row r="20" spans="1:5" x14ac:dyDescent="0.25">
      <c r="A20" t="s">
        <v>864</v>
      </c>
      <c r="B20" s="12">
        <v>1999</v>
      </c>
      <c r="C20" t="s">
        <v>705</v>
      </c>
      <c r="D20" t="s">
        <v>723</v>
      </c>
      <c r="E20" s="2">
        <v>16.589500000000001</v>
      </c>
    </row>
    <row r="21" spans="1:5" x14ac:dyDescent="0.25">
      <c r="A21" t="s">
        <v>864</v>
      </c>
      <c r="B21" s="12">
        <v>1999</v>
      </c>
      <c r="C21" t="s">
        <v>715</v>
      </c>
      <c r="D21" t="s">
        <v>723</v>
      </c>
      <c r="E21" s="2">
        <v>15.68</v>
      </c>
    </row>
    <row r="22" spans="1:5" x14ac:dyDescent="0.25">
      <c r="A22" t="s">
        <v>864</v>
      </c>
      <c r="B22" s="12">
        <v>1999</v>
      </c>
      <c r="C22" t="s">
        <v>718</v>
      </c>
      <c r="D22" t="s">
        <v>723</v>
      </c>
      <c r="E22" s="2">
        <v>15.0184</v>
      </c>
    </row>
    <row r="23" spans="1:5" x14ac:dyDescent="0.25">
      <c r="A23" t="s">
        <v>864</v>
      </c>
      <c r="B23" s="12">
        <v>1999</v>
      </c>
      <c r="C23" t="s">
        <v>716</v>
      </c>
      <c r="D23" t="s">
        <v>723</v>
      </c>
      <c r="E23" s="2">
        <v>13.919128000000001</v>
      </c>
    </row>
    <row r="24" spans="1:5" x14ac:dyDescent="0.25">
      <c r="A24" t="s">
        <v>864</v>
      </c>
      <c r="B24" s="12">
        <v>1999</v>
      </c>
      <c r="C24" t="s">
        <v>708</v>
      </c>
      <c r="D24" t="s">
        <v>723</v>
      </c>
      <c r="E24" s="2">
        <v>14.325286</v>
      </c>
    </row>
    <row r="25" spans="1:5" x14ac:dyDescent="0.25">
      <c r="A25" t="s">
        <v>864</v>
      </c>
      <c r="B25" s="12">
        <v>1999</v>
      </c>
      <c r="C25" t="s">
        <v>709</v>
      </c>
      <c r="D25" t="s">
        <v>723</v>
      </c>
      <c r="E25" s="2">
        <v>16.083556999999999</v>
      </c>
    </row>
    <row r="26" spans="1:5" x14ac:dyDescent="0.25">
      <c r="A26" t="s">
        <v>864</v>
      </c>
      <c r="B26" s="12">
        <v>1999</v>
      </c>
      <c r="C26" t="s">
        <v>710</v>
      </c>
      <c r="D26" t="s">
        <v>723</v>
      </c>
      <c r="E26" s="2">
        <v>15.324329000000001</v>
      </c>
    </row>
    <row r="27" spans="1:5" x14ac:dyDescent="0.25">
      <c r="A27" t="s">
        <v>864</v>
      </c>
      <c r="B27" s="12">
        <v>1999</v>
      </c>
      <c r="C27" t="s">
        <v>711</v>
      </c>
      <c r="D27" t="s">
        <v>723</v>
      </c>
      <c r="E27" s="2">
        <v>13.761813999999999</v>
      </c>
    </row>
    <row r="28" spans="1:5" x14ac:dyDescent="0.25">
      <c r="A28" t="s">
        <v>864</v>
      </c>
      <c r="B28" s="12">
        <v>1999</v>
      </c>
      <c r="C28" t="s">
        <v>712</v>
      </c>
      <c r="D28" t="s">
        <v>723</v>
      </c>
      <c r="E28" s="2">
        <v>15.919914</v>
      </c>
    </row>
    <row r="29" spans="1:5" x14ac:dyDescent="0.25">
      <c r="A29" t="s">
        <v>864</v>
      </c>
      <c r="B29" s="12">
        <v>2000</v>
      </c>
      <c r="C29" t="s">
        <v>719</v>
      </c>
      <c r="D29" t="s">
        <v>723</v>
      </c>
      <c r="E29" s="2">
        <v>17.192786000000002</v>
      </c>
    </row>
    <row r="30" spans="1:5" x14ac:dyDescent="0.25">
      <c r="A30" t="s">
        <v>864</v>
      </c>
      <c r="B30" s="12">
        <v>2000</v>
      </c>
      <c r="C30" t="s">
        <v>713</v>
      </c>
      <c r="D30" t="s">
        <v>723</v>
      </c>
      <c r="E30" s="2">
        <v>14.296200000000001</v>
      </c>
    </row>
    <row r="31" spans="1:5" x14ac:dyDescent="0.25">
      <c r="A31" t="s">
        <v>864</v>
      </c>
      <c r="B31" s="12">
        <v>2000</v>
      </c>
      <c r="C31" t="s">
        <v>714</v>
      </c>
      <c r="D31" t="s">
        <v>723</v>
      </c>
      <c r="E31" s="2">
        <v>14.170985999999999</v>
      </c>
    </row>
    <row r="32" spans="1:5" x14ac:dyDescent="0.25">
      <c r="A32" t="s">
        <v>864</v>
      </c>
      <c r="B32" s="12">
        <v>2000</v>
      </c>
      <c r="C32" t="s">
        <v>705</v>
      </c>
      <c r="D32" t="s">
        <v>723</v>
      </c>
      <c r="E32" s="2">
        <v>18.020143000000001</v>
      </c>
    </row>
    <row r="33" spans="1:5" x14ac:dyDescent="0.25">
      <c r="A33" t="s">
        <v>864</v>
      </c>
      <c r="B33" s="12">
        <v>2000</v>
      </c>
      <c r="C33" t="s">
        <v>715</v>
      </c>
      <c r="D33" t="s">
        <v>723</v>
      </c>
      <c r="E33" s="2">
        <v>17.346271000000002</v>
      </c>
    </row>
    <row r="34" spans="1:5" x14ac:dyDescent="0.25">
      <c r="A34" t="s">
        <v>864</v>
      </c>
      <c r="B34" s="12">
        <v>2000</v>
      </c>
      <c r="C34" t="s">
        <v>718</v>
      </c>
      <c r="D34" t="s">
        <v>723</v>
      </c>
      <c r="E34" s="2">
        <v>15.577429</v>
      </c>
    </row>
    <row r="35" spans="1:5" x14ac:dyDescent="0.25">
      <c r="A35" t="s">
        <v>864</v>
      </c>
      <c r="B35" s="12">
        <v>2000</v>
      </c>
      <c r="C35" t="s">
        <v>716</v>
      </c>
      <c r="D35" t="s">
        <v>723</v>
      </c>
      <c r="E35" s="2">
        <v>14.6396</v>
      </c>
    </row>
    <row r="36" spans="1:5" x14ac:dyDescent="0.25">
      <c r="A36" t="s">
        <v>864</v>
      </c>
      <c r="B36" s="12">
        <v>2000</v>
      </c>
      <c r="C36" t="s">
        <v>708</v>
      </c>
      <c r="D36" t="s">
        <v>723</v>
      </c>
      <c r="E36" s="2">
        <v>14.833886</v>
      </c>
    </row>
    <row r="37" spans="1:5" x14ac:dyDescent="0.25">
      <c r="A37" t="s">
        <v>864</v>
      </c>
      <c r="B37" s="12">
        <v>2000</v>
      </c>
      <c r="C37" t="s">
        <v>709</v>
      </c>
      <c r="D37" t="s">
        <v>723</v>
      </c>
      <c r="E37" s="2">
        <v>15.041714000000001</v>
      </c>
    </row>
    <row r="38" spans="1:5" x14ac:dyDescent="0.25">
      <c r="A38" t="s">
        <v>864</v>
      </c>
      <c r="B38" s="12">
        <v>2000</v>
      </c>
      <c r="C38" t="s">
        <v>710</v>
      </c>
      <c r="D38" t="s">
        <v>723</v>
      </c>
      <c r="E38" s="2">
        <v>13.852</v>
      </c>
    </row>
    <row r="39" spans="1:5" x14ac:dyDescent="0.25">
      <c r="A39" t="s">
        <v>864</v>
      </c>
      <c r="B39" s="12">
        <v>2000</v>
      </c>
      <c r="C39" t="s">
        <v>711</v>
      </c>
      <c r="D39" t="s">
        <v>723</v>
      </c>
      <c r="E39" s="2">
        <v>12.636900000000001</v>
      </c>
    </row>
    <row r="40" spans="1:5" x14ac:dyDescent="0.25">
      <c r="A40" t="s">
        <v>864</v>
      </c>
      <c r="B40" s="12">
        <v>2000</v>
      </c>
      <c r="C40" t="s">
        <v>712</v>
      </c>
      <c r="D40" t="s">
        <v>723</v>
      </c>
      <c r="E40" s="2">
        <v>13.258414</v>
      </c>
    </row>
    <row r="41" spans="1:5" x14ac:dyDescent="0.25">
      <c r="A41" t="s">
        <v>864</v>
      </c>
      <c r="B41" s="12">
        <v>2001</v>
      </c>
      <c r="C41" t="s">
        <v>719</v>
      </c>
      <c r="D41" t="s">
        <v>723</v>
      </c>
      <c r="E41" s="2">
        <v>13.237657</v>
      </c>
    </row>
    <row r="42" spans="1:5" x14ac:dyDescent="0.25">
      <c r="A42" t="s">
        <v>864</v>
      </c>
      <c r="B42" s="12">
        <v>2001</v>
      </c>
      <c r="C42" t="s">
        <v>713</v>
      </c>
      <c r="D42" t="s">
        <v>723</v>
      </c>
      <c r="E42" s="2">
        <v>11.9336</v>
      </c>
    </row>
    <row r="43" spans="1:5" x14ac:dyDescent="0.25">
      <c r="A43" t="s">
        <v>864</v>
      </c>
      <c r="B43" s="12">
        <v>2001</v>
      </c>
      <c r="C43" t="s">
        <v>714</v>
      </c>
      <c r="D43" t="s">
        <v>723</v>
      </c>
      <c r="E43" s="2">
        <v>14.810700000000001</v>
      </c>
    </row>
    <row r="44" spans="1:5" x14ac:dyDescent="0.25">
      <c r="A44" t="s">
        <v>864</v>
      </c>
      <c r="B44" s="12">
        <v>2001</v>
      </c>
      <c r="C44" t="s">
        <v>705</v>
      </c>
      <c r="D44" t="s">
        <v>723</v>
      </c>
      <c r="E44" s="2">
        <v>14.329000000000001</v>
      </c>
    </row>
    <row r="45" spans="1:5" x14ac:dyDescent="0.25">
      <c r="A45" t="s">
        <v>864</v>
      </c>
      <c r="B45" s="12">
        <v>2001</v>
      </c>
      <c r="C45" t="s">
        <v>715</v>
      </c>
      <c r="D45" t="s">
        <v>723</v>
      </c>
      <c r="E45" s="2">
        <v>16.504999999999999</v>
      </c>
    </row>
    <row r="46" spans="1:5" x14ac:dyDescent="0.25">
      <c r="A46" t="s">
        <v>864</v>
      </c>
      <c r="B46" s="12">
        <v>2001</v>
      </c>
      <c r="C46" t="s">
        <v>718</v>
      </c>
      <c r="D46" t="s">
        <v>723</v>
      </c>
      <c r="E46" s="2">
        <v>15.218</v>
      </c>
    </row>
    <row r="47" spans="1:5" x14ac:dyDescent="0.25">
      <c r="A47" t="s">
        <v>864</v>
      </c>
      <c r="B47" s="12">
        <v>2001</v>
      </c>
      <c r="C47" t="s">
        <v>716</v>
      </c>
      <c r="D47" t="s">
        <v>723</v>
      </c>
      <c r="E47" s="2">
        <v>14.538</v>
      </c>
    </row>
    <row r="48" spans="1:5" x14ac:dyDescent="0.25">
      <c r="A48" t="s">
        <v>864</v>
      </c>
      <c r="B48" s="12">
        <v>2001</v>
      </c>
      <c r="C48" t="s">
        <v>708</v>
      </c>
      <c r="D48" t="s">
        <v>723</v>
      </c>
      <c r="E48" s="2">
        <v>17.166913999999998</v>
      </c>
    </row>
    <row r="49" spans="1:5" x14ac:dyDescent="0.25">
      <c r="A49" t="s">
        <v>864</v>
      </c>
      <c r="B49" s="12">
        <v>2001</v>
      </c>
      <c r="C49" t="s">
        <v>709</v>
      </c>
      <c r="D49" t="s">
        <v>723</v>
      </c>
      <c r="E49" s="2">
        <v>14.127000000000001</v>
      </c>
    </row>
    <row r="50" spans="1:5" x14ac:dyDescent="0.25">
      <c r="A50" t="s">
        <v>864</v>
      </c>
      <c r="B50" s="12">
        <v>2001</v>
      </c>
      <c r="C50" t="s">
        <v>710</v>
      </c>
      <c r="D50" t="s">
        <v>723</v>
      </c>
      <c r="E50" s="2">
        <v>11.836271999999999</v>
      </c>
    </row>
    <row r="51" spans="1:5" x14ac:dyDescent="0.25">
      <c r="A51" t="s">
        <v>864</v>
      </c>
      <c r="B51" s="12">
        <v>2001</v>
      </c>
      <c r="C51" t="s">
        <v>711</v>
      </c>
      <c r="D51" t="s">
        <v>723</v>
      </c>
      <c r="E51" s="2">
        <v>11.595000000000001</v>
      </c>
    </row>
    <row r="52" spans="1:5" x14ac:dyDescent="0.25">
      <c r="A52" t="s">
        <v>864</v>
      </c>
      <c r="B52" s="12">
        <v>2001</v>
      </c>
      <c r="C52" t="s">
        <v>712</v>
      </c>
      <c r="D52" t="s">
        <v>723</v>
      </c>
      <c r="E52" s="2">
        <v>12.958584999999999</v>
      </c>
    </row>
    <row r="53" spans="1:5" x14ac:dyDescent="0.25">
      <c r="A53" t="s">
        <v>864</v>
      </c>
      <c r="B53" s="12" t="s">
        <v>811</v>
      </c>
      <c r="C53" t="s">
        <v>719</v>
      </c>
      <c r="D53" t="s">
        <v>723</v>
      </c>
      <c r="E53" s="2">
        <v>12.006372000000001</v>
      </c>
    </row>
    <row r="54" spans="1:5" x14ac:dyDescent="0.25">
      <c r="A54" t="s">
        <v>864</v>
      </c>
      <c r="B54" s="12" t="s">
        <v>811</v>
      </c>
      <c r="C54" t="s">
        <v>713</v>
      </c>
      <c r="D54" t="s">
        <v>723</v>
      </c>
      <c r="E54" s="2">
        <v>10.959428000000001</v>
      </c>
    </row>
    <row r="55" spans="1:5" x14ac:dyDescent="0.25">
      <c r="A55" t="s">
        <v>864</v>
      </c>
      <c r="B55" s="12">
        <v>2002</v>
      </c>
      <c r="C55" t="s">
        <v>714</v>
      </c>
      <c r="D55" t="s">
        <v>723</v>
      </c>
      <c r="E55" s="2">
        <v>12.567871999999999</v>
      </c>
    </row>
    <row r="56" spans="1:5" x14ac:dyDescent="0.25">
      <c r="A56" t="s">
        <v>864</v>
      </c>
      <c r="B56" s="12">
        <v>2002</v>
      </c>
      <c r="C56" t="s">
        <v>705</v>
      </c>
      <c r="D56" t="s">
        <v>723</v>
      </c>
      <c r="E56" s="2">
        <v>12.876814</v>
      </c>
    </row>
    <row r="57" spans="1:5" x14ac:dyDescent="0.25">
      <c r="A57" t="s">
        <v>864</v>
      </c>
      <c r="B57" s="12">
        <v>2002</v>
      </c>
      <c r="C57" t="s">
        <v>715</v>
      </c>
      <c r="D57" t="s">
        <v>723</v>
      </c>
      <c r="E57" s="2">
        <v>14.455550000000001</v>
      </c>
    </row>
    <row r="58" spans="1:5" x14ac:dyDescent="0.25">
      <c r="A58" t="s">
        <v>864</v>
      </c>
      <c r="B58" s="12">
        <v>2002</v>
      </c>
      <c r="C58" t="s">
        <v>718</v>
      </c>
      <c r="D58" t="s">
        <v>723</v>
      </c>
      <c r="E58" s="2">
        <v>13.337785999999999</v>
      </c>
    </row>
    <row r="59" spans="1:5" x14ac:dyDescent="0.25">
      <c r="A59" t="s">
        <v>864</v>
      </c>
      <c r="B59" s="12">
        <v>2002</v>
      </c>
      <c r="C59" t="s">
        <v>716</v>
      </c>
      <c r="D59" t="s">
        <v>723</v>
      </c>
      <c r="E59" s="2">
        <v>13.6248</v>
      </c>
    </row>
    <row r="60" spans="1:5" x14ac:dyDescent="0.25">
      <c r="A60" t="s">
        <v>864</v>
      </c>
      <c r="B60" s="12">
        <v>2002</v>
      </c>
      <c r="C60" t="s">
        <v>708</v>
      </c>
      <c r="D60" t="s">
        <v>723</v>
      </c>
      <c r="E60" s="2">
        <v>12.218985</v>
      </c>
    </row>
    <row r="61" spans="1:5" x14ac:dyDescent="0.25">
      <c r="A61" t="s">
        <v>864</v>
      </c>
      <c r="B61" s="12">
        <v>2002</v>
      </c>
      <c r="C61" t="s">
        <v>709</v>
      </c>
      <c r="D61" t="s">
        <v>723</v>
      </c>
      <c r="E61" s="2">
        <v>12.023229000000001</v>
      </c>
    </row>
    <row r="62" spans="1:5" x14ac:dyDescent="0.25">
      <c r="A62" t="s">
        <v>864</v>
      </c>
      <c r="B62" s="12">
        <v>2002</v>
      </c>
      <c r="C62" t="s">
        <v>710</v>
      </c>
      <c r="D62" t="s">
        <v>723</v>
      </c>
      <c r="E62" s="2">
        <v>12.795</v>
      </c>
    </row>
    <row r="63" spans="1:5" x14ac:dyDescent="0.25">
      <c r="A63" t="s">
        <v>864</v>
      </c>
      <c r="B63" s="12">
        <v>2002</v>
      </c>
      <c r="C63" t="s">
        <v>711</v>
      </c>
      <c r="D63" t="s">
        <v>723</v>
      </c>
      <c r="E63" s="2">
        <v>13.500729</v>
      </c>
    </row>
    <row r="64" spans="1:5" x14ac:dyDescent="0.25">
      <c r="A64" t="s">
        <v>864</v>
      </c>
      <c r="B64" s="12">
        <v>2002</v>
      </c>
      <c r="C64" t="s">
        <v>712</v>
      </c>
      <c r="D64" t="s">
        <v>723</v>
      </c>
      <c r="E64" s="2">
        <v>15.009071</v>
      </c>
    </row>
    <row r="65" spans="1:5" x14ac:dyDescent="0.25">
      <c r="A65" t="s">
        <v>864</v>
      </c>
      <c r="B65" s="12">
        <v>2003</v>
      </c>
      <c r="C65" t="s">
        <v>719</v>
      </c>
      <c r="D65" t="s">
        <v>723</v>
      </c>
      <c r="E65" s="2">
        <v>14.152771</v>
      </c>
    </row>
    <row r="66" spans="1:5" x14ac:dyDescent="0.25">
      <c r="A66" t="s">
        <v>864</v>
      </c>
      <c r="B66" s="12">
        <v>2003</v>
      </c>
      <c r="C66" t="s">
        <v>713</v>
      </c>
      <c r="D66" t="s">
        <v>723</v>
      </c>
      <c r="E66" s="2">
        <v>14.182328</v>
      </c>
    </row>
    <row r="67" spans="1:5" x14ac:dyDescent="0.25">
      <c r="A67" t="s">
        <v>864</v>
      </c>
      <c r="B67" s="12">
        <v>2003</v>
      </c>
      <c r="C67" t="s">
        <v>714</v>
      </c>
      <c r="D67" t="s">
        <v>723</v>
      </c>
      <c r="E67" s="2">
        <v>18.947571</v>
      </c>
    </row>
    <row r="68" spans="1:5" x14ac:dyDescent="0.25">
      <c r="A68" t="s">
        <v>864</v>
      </c>
      <c r="B68" s="12">
        <v>2003</v>
      </c>
      <c r="C68" t="s">
        <v>705</v>
      </c>
      <c r="D68" t="s">
        <v>723</v>
      </c>
      <c r="E68" s="2">
        <v>18.655999999999999</v>
      </c>
    </row>
    <row r="69" spans="1:5" x14ac:dyDescent="0.25">
      <c r="A69" t="s">
        <v>864</v>
      </c>
      <c r="B69" s="12">
        <v>2003</v>
      </c>
      <c r="C69" t="s">
        <v>715</v>
      </c>
      <c r="D69" t="s">
        <v>723</v>
      </c>
      <c r="E69" s="2">
        <v>21.610828999999999</v>
      </c>
    </row>
    <row r="70" spans="1:5" x14ac:dyDescent="0.25">
      <c r="A70" t="s">
        <v>864</v>
      </c>
      <c r="B70" s="12">
        <v>2003</v>
      </c>
      <c r="C70" t="s">
        <v>718</v>
      </c>
      <c r="D70" t="s">
        <v>723</v>
      </c>
      <c r="E70" s="2">
        <v>20.689855999999999</v>
      </c>
    </row>
    <row r="71" spans="1:5" x14ac:dyDescent="0.25">
      <c r="A71" t="s">
        <v>864</v>
      </c>
      <c r="B71" s="12">
        <v>2003</v>
      </c>
      <c r="C71" t="s">
        <v>716</v>
      </c>
      <c r="D71" t="s">
        <v>723</v>
      </c>
      <c r="E71" s="2">
        <v>17.465914000000001</v>
      </c>
    </row>
    <row r="72" spans="1:5" x14ac:dyDescent="0.25">
      <c r="A72" t="s">
        <v>864</v>
      </c>
      <c r="B72" s="12">
        <v>2003</v>
      </c>
      <c r="C72" t="s">
        <v>708</v>
      </c>
      <c r="D72" t="s">
        <v>723</v>
      </c>
      <c r="E72" s="2">
        <v>15.228070000000001</v>
      </c>
    </row>
    <row r="73" spans="1:5" x14ac:dyDescent="0.25">
      <c r="A73" t="s">
        <v>864</v>
      </c>
      <c r="B73" s="12">
        <v>2003</v>
      </c>
      <c r="C73" t="s">
        <v>709</v>
      </c>
      <c r="D73" t="s">
        <v>723</v>
      </c>
      <c r="E73" s="2">
        <v>16.0151</v>
      </c>
    </row>
    <row r="74" spans="1:5" x14ac:dyDescent="0.25">
      <c r="A74" t="s">
        <v>864</v>
      </c>
      <c r="B74" s="12">
        <v>2003</v>
      </c>
      <c r="C74" t="s">
        <v>710</v>
      </c>
      <c r="D74" t="s">
        <v>723</v>
      </c>
      <c r="E74" s="2">
        <v>15.763999999999999</v>
      </c>
    </row>
    <row r="75" spans="1:5" x14ac:dyDescent="0.25">
      <c r="A75" t="s">
        <v>864</v>
      </c>
      <c r="B75" s="12">
        <v>2003</v>
      </c>
      <c r="C75" t="s">
        <v>711</v>
      </c>
      <c r="D75" t="s">
        <v>723</v>
      </c>
      <c r="E75" s="2">
        <v>18.523</v>
      </c>
    </row>
    <row r="76" spans="1:5" x14ac:dyDescent="0.25">
      <c r="A76" t="s">
        <v>864</v>
      </c>
      <c r="B76" s="12">
        <v>2003</v>
      </c>
      <c r="C76" t="s">
        <v>712</v>
      </c>
      <c r="D76" t="s">
        <v>723</v>
      </c>
      <c r="E76" s="2">
        <v>22.125257999999999</v>
      </c>
    </row>
    <row r="77" spans="1:5" x14ac:dyDescent="0.25">
      <c r="A77" t="s">
        <v>864</v>
      </c>
      <c r="B77" s="12">
        <v>2004</v>
      </c>
      <c r="C77" t="s">
        <v>719</v>
      </c>
      <c r="D77" t="s">
        <v>723</v>
      </c>
      <c r="E77" s="2">
        <v>16.55</v>
      </c>
    </row>
    <row r="78" spans="1:5" x14ac:dyDescent="0.25">
      <c r="A78" t="s">
        <v>864</v>
      </c>
      <c r="B78" s="12">
        <v>2004</v>
      </c>
      <c r="C78" t="s">
        <v>713</v>
      </c>
      <c r="D78" t="s">
        <v>723</v>
      </c>
      <c r="E78" s="2">
        <v>16.437999999999999</v>
      </c>
    </row>
    <row r="79" spans="1:5" s="1" customFormat="1" x14ac:dyDescent="0.25">
      <c r="A79" t="s">
        <v>864</v>
      </c>
      <c r="B79" s="12">
        <v>2004</v>
      </c>
      <c r="C79" s="1" t="s">
        <v>714</v>
      </c>
      <c r="D79" s="1" t="s">
        <v>723</v>
      </c>
      <c r="E79" s="2">
        <v>18.527000000000001</v>
      </c>
    </row>
    <row r="80" spans="1:5" x14ac:dyDescent="0.25">
      <c r="A80" t="s">
        <v>864</v>
      </c>
      <c r="B80" s="12">
        <v>2004</v>
      </c>
      <c r="C80" t="s">
        <v>705</v>
      </c>
      <c r="D80" t="s">
        <v>723</v>
      </c>
      <c r="E80" s="2">
        <v>21.753</v>
      </c>
    </row>
    <row r="81" spans="1:5" x14ac:dyDescent="0.25">
      <c r="A81" t="s">
        <v>864</v>
      </c>
      <c r="B81" s="12">
        <v>2004</v>
      </c>
      <c r="C81" t="s">
        <v>715</v>
      </c>
      <c r="D81" t="s">
        <v>723</v>
      </c>
      <c r="E81" s="2">
        <v>19.998000000000001</v>
      </c>
    </row>
    <row r="82" spans="1:5" x14ac:dyDescent="0.25">
      <c r="A82" t="s">
        <v>864</v>
      </c>
      <c r="B82" s="12">
        <v>2004</v>
      </c>
      <c r="C82" t="s">
        <v>718</v>
      </c>
      <c r="D82" t="s">
        <v>723</v>
      </c>
      <c r="E82" s="2">
        <v>20.164999999999999</v>
      </c>
    </row>
    <row r="83" spans="1:5" x14ac:dyDescent="0.25">
      <c r="A83" t="s">
        <v>864</v>
      </c>
      <c r="B83" s="12">
        <v>2004</v>
      </c>
      <c r="C83" t="s">
        <v>716</v>
      </c>
      <c r="D83" t="s">
        <v>723</v>
      </c>
      <c r="E83" s="2">
        <v>19.13</v>
      </c>
    </row>
    <row r="84" spans="1:5" x14ac:dyDescent="0.25">
      <c r="A84" t="s">
        <v>864</v>
      </c>
      <c r="B84" s="12">
        <v>2004</v>
      </c>
      <c r="C84" t="s">
        <v>708</v>
      </c>
      <c r="D84" t="s">
        <v>723</v>
      </c>
      <c r="E84" s="2">
        <v>16.329000000000001</v>
      </c>
    </row>
    <row r="85" spans="1:5" x14ac:dyDescent="0.25">
      <c r="A85" t="s">
        <v>864</v>
      </c>
      <c r="B85" s="12">
        <v>2004</v>
      </c>
      <c r="C85" t="s">
        <v>709</v>
      </c>
      <c r="D85" t="s">
        <v>723</v>
      </c>
      <c r="E85" s="2">
        <v>15.534000000000001</v>
      </c>
    </row>
    <row r="86" spans="1:5" x14ac:dyDescent="0.25">
      <c r="A86" t="s">
        <v>864</v>
      </c>
      <c r="B86" s="12">
        <v>2004</v>
      </c>
      <c r="C86" t="s">
        <v>710</v>
      </c>
      <c r="D86" t="s">
        <v>723</v>
      </c>
      <c r="E86" s="2">
        <v>14.863</v>
      </c>
    </row>
    <row r="87" spans="1:5" x14ac:dyDescent="0.25">
      <c r="A87" t="s">
        <v>864</v>
      </c>
      <c r="B87" s="12">
        <v>2004</v>
      </c>
      <c r="C87" t="s">
        <v>711</v>
      </c>
      <c r="D87" t="s">
        <v>723</v>
      </c>
      <c r="E87" s="2">
        <v>15.807</v>
      </c>
    </row>
    <row r="88" spans="1:5" x14ac:dyDescent="0.25">
      <c r="A88" t="s">
        <v>864</v>
      </c>
      <c r="B88" s="12">
        <v>2004</v>
      </c>
      <c r="C88" t="s">
        <v>712</v>
      </c>
      <c r="D88" t="s">
        <v>723</v>
      </c>
      <c r="E88" s="2">
        <v>17.369</v>
      </c>
    </row>
    <row r="89" spans="1:5" x14ac:dyDescent="0.25">
      <c r="A89" t="s">
        <v>864</v>
      </c>
      <c r="B89" s="12">
        <v>2005</v>
      </c>
      <c r="C89" t="s">
        <v>719</v>
      </c>
      <c r="D89" t="s">
        <v>723</v>
      </c>
      <c r="E89" s="2">
        <v>17.489999999999998</v>
      </c>
    </row>
    <row r="90" spans="1:5" x14ac:dyDescent="0.25">
      <c r="A90" t="s">
        <v>864</v>
      </c>
      <c r="B90" s="12">
        <v>2005</v>
      </c>
      <c r="C90" t="s">
        <v>713</v>
      </c>
      <c r="D90" t="s">
        <v>723</v>
      </c>
      <c r="E90" s="2">
        <v>14.917999999999999</v>
      </c>
    </row>
    <row r="91" spans="1:5" x14ac:dyDescent="0.25">
      <c r="A91" t="s">
        <v>864</v>
      </c>
      <c r="B91" s="12">
        <v>2005</v>
      </c>
      <c r="C91" t="s">
        <v>714</v>
      </c>
      <c r="D91" t="s">
        <v>723</v>
      </c>
      <c r="E91" s="2">
        <v>20.943000000000001</v>
      </c>
    </row>
    <row r="92" spans="1:5" x14ac:dyDescent="0.25">
      <c r="A92" t="s">
        <v>864</v>
      </c>
      <c r="B92" s="12">
        <v>2005</v>
      </c>
      <c r="C92" t="s">
        <v>705</v>
      </c>
      <c r="D92" t="s">
        <v>723</v>
      </c>
      <c r="E92" s="2">
        <v>19.370999999999999</v>
      </c>
    </row>
    <row r="93" spans="1:5" x14ac:dyDescent="0.25">
      <c r="A93" t="s">
        <v>864</v>
      </c>
      <c r="B93" s="12">
        <v>2005</v>
      </c>
      <c r="C93" t="s">
        <v>715</v>
      </c>
      <c r="D93" t="s">
        <v>723</v>
      </c>
      <c r="E93" s="2">
        <v>20.541</v>
      </c>
    </row>
    <row r="94" spans="1:5" x14ac:dyDescent="0.25">
      <c r="A94" t="s">
        <v>864</v>
      </c>
      <c r="B94" s="12">
        <v>2005</v>
      </c>
      <c r="C94" t="s">
        <v>718</v>
      </c>
      <c r="D94" t="s">
        <v>723</v>
      </c>
      <c r="E94" s="2">
        <v>15.145</v>
      </c>
    </row>
    <row r="95" spans="1:5" x14ac:dyDescent="0.25">
      <c r="A95" t="s">
        <v>864</v>
      </c>
      <c r="B95" s="12">
        <v>2005</v>
      </c>
      <c r="C95" t="s">
        <v>716</v>
      </c>
      <c r="D95" t="s">
        <v>723</v>
      </c>
      <c r="E95" s="2">
        <v>16.933</v>
      </c>
    </row>
    <row r="96" spans="1:5" x14ac:dyDescent="0.25">
      <c r="A96" t="s">
        <v>864</v>
      </c>
      <c r="B96" s="12">
        <v>2005</v>
      </c>
      <c r="C96" t="s">
        <v>708</v>
      </c>
      <c r="D96" t="s">
        <v>723</v>
      </c>
      <c r="E96" s="2">
        <v>15.554</v>
      </c>
    </row>
    <row r="97" spans="1:5" x14ac:dyDescent="0.25">
      <c r="A97" t="s">
        <v>864</v>
      </c>
      <c r="B97" s="12">
        <v>2005</v>
      </c>
      <c r="C97" t="s">
        <v>709</v>
      </c>
      <c r="D97" t="s">
        <v>723</v>
      </c>
      <c r="E97" s="2">
        <v>14.311999999999999</v>
      </c>
    </row>
    <row r="98" spans="1:5" x14ac:dyDescent="0.25">
      <c r="A98" t="s">
        <v>864</v>
      </c>
      <c r="B98" s="12">
        <v>2005</v>
      </c>
      <c r="C98" t="s">
        <v>710</v>
      </c>
      <c r="D98" t="s">
        <v>723</v>
      </c>
      <c r="E98" s="2">
        <v>17.619</v>
      </c>
    </row>
    <row r="99" spans="1:5" x14ac:dyDescent="0.25">
      <c r="A99" t="s">
        <v>864</v>
      </c>
      <c r="B99" s="12">
        <v>2005</v>
      </c>
      <c r="C99" t="s">
        <v>711</v>
      </c>
      <c r="D99" t="s">
        <v>723</v>
      </c>
      <c r="E99" s="2">
        <v>15.138</v>
      </c>
    </row>
    <row r="100" spans="1:5" x14ac:dyDescent="0.25">
      <c r="A100" t="s">
        <v>864</v>
      </c>
      <c r="B100" s="12">
        <v>2005</v>
      </c>
      <c r="C100" t="s">
        <v>712</v>
      </c>
      <c r="D100" t="s">
        <v>723</v>
      </c>
      <c r="E100" s="2">
        <v>15.548</v>
      </c>
    </row>
    <row r="101" spans="1:5" x14ac:dyDescent="0.25">
      <c r="A101" t="s">
        <v>864</v>
      </c>
      <c r="B101" s="12" t="s">
        <v>812</v>
      </c>
      <c r="C101" t="s">
        <v>719</v>
      </c>
      <c r="D101" t="s">
        <v>723</v>
      </c>
      <c r="E101" s="2">
        <v>15.798999999999999</v>
      </c>
    </row>
    <row r="102" spans="1:5" x14ac:dyDescent="0.25">
      <c r="A102" t="s">
        <v>864</v>
      </c>
      <c r="B102" s="12" t="s">
        <v>812</v>
      </c>
      <c r="C102" t="s">
        <v>713</v>
      </c>
      <c r="D102" t="s">
        <v>723</v>
      </c>
      <c r="E102" s="2">
        <v>15.045</v>
      </c>
    </row>
    <row r="103" spans="1:5" x14ac:dyDescent="0.25">
      <c r="A103" t="s">
        <v>864</v>
      </c>
      <c r="B103" s="12">
        <v>2006</v>
      </c>
      <c r="C103" t="s">
        <v>714</v>
      </c>
      <c r="D103" t="s">
        <v>723</v>
      </c>
      <c r="E103" s="2">
        <v>16.646999999999998</v>
      </c>
    </row>
    <row r="104" spans="1:5" x14ac:dyDescent="0.25">
      <c r="A104" t="s">
        <v>864</v>
      </c>
      <c r="B104" s="12">
        <v>2006</v>
      </c>
      <c r="C104" t="s">
        <v>705</v>
      </c>
      <c r="D104" t="s">
        <v>723</v>
      </c>
      <c r="E104" s="2">
        <v>14.79</v>
      </c>
    </row>
    <row r="105" spans="1:5" x14ac:dyDescent="0.25">
      <c r="A105" t="s">
        <v>864</v>
      </c>
      <c r="B105" s="12">
        <v>2006</v>
      </c>
      <c r="C105" t="s">
        <v>715</v>
      </c>
      <c r="D105" t="s">
        <v>723</v>
      </c>
      <c r="E105" s="2">
        <v>15.345000000000001</v>
      </c>
    </row>
    <row r="106" spans="1:5" x14ac:dyDescent="0.25">
      <c r="A106" t="s">
        <v>864</v>
      </c>
      <c r="B106" s="12">
        <v>2006</v>
      </c>
      <c r="C106" t="s">
        <v>718</v>
      </c>
      <c r="D106" t="s">
        <v>723</v>
      </c>
      <c r="E106" s="2">
        <v>15.33</v>
      </c>
    </row>
    <row r="107" spans="1:5" x14ac:dyDescent="0.25">
      <c r="A107" t="s">
        <v>864</v>
      </c>
      <c r="B107" s="12">
        <v>2006</v>
      </c>
      <c r="C107" t="s">
        <v>716</v>
      </c>
      <c r="D107" t="s">
        <v>723</v>
      </c>
      <c r="E107" s="2">
        <v>12.218985</v>
      </c>
    </row>
    <row r="108" spans="1:5" x14ac:dyDescent="0.25">
      <c r="A108" t="s">
        <v>864</v>
      </c>
      <c r="B108" s="12">
        <v>2006</v>
      </c>
      <c r="C108" t="s">
        <v>708</v>
      </c>
      <c r="D108" t="s">
        <v>723</v>
      </c>
      <c r="E108" s="2">
        <v>12.590999999999999</v>
      </c>
    </row>
    <row r="109" spans="1:5" x14ac:dyDescent="0.25">
      <c r="A109" t="s">
        <v>864</v>
      </c>
      <c r="B109" s="12">
        <v>2006</v>
      </c>
      <c r="C109" t="s">
        <v>709</v>
      </c>
      <c r="D109" t="s">
        <v>723</v>
      </c>
      <c r="E109" s="2">
        <v>14.128</v>
      </c>
    </row>
    <row r="110" spans="1:5" x14ac:dyDescent="0.25">
      <c r="A110" t="s">
        <v>864</v>
      </c>
      <c r="B110" s="12">
        <v>2006</v>
      </c>
      <c r="C110" t="s">
        <v>710</v>
      </c>
      <c r="D110" t="s">
        <v>723</v>
      </c>
      <c r="E110" s="2">
        <v>14.78</v>
      </c>
    </row>
    <row r="111" spans="1:5" x14ac:dyDescent="0.25">
      <c r="A111" t="s">
        <v>864</v>
      </c>
      <c r="B111" s="12">
        <v>2006</v>
      </c>
      <c r="C111" t="s">
        <v>711</v>
      </c>
      <c r="D111" t="s">
        <v>723</v>
      </c>
      <c r="E111" s="2">
        <v>17.524999999999999</v>
      </c>
    </row>
    <row r="112" spans="1:5" x14ac:dyDescent="0.25">
      <c r="A112" t="s">
        <v>864</v>
      </c>
      <c r="B112" s="12">
        <v>2006</v>
      </c>
      <c r="C112" t="s">
        <v>712</v>
      </c>
      <c r="D112" t="s">
        <v>723</v>
      </c>
      <c r="E112" s="2">
        <v>15.658542000000001</v>
      </c>
    </row>
    <row r="113" spans="1:5" x14ac:dyDescent="0.25">
      <c r="A113" t="s">
        <v>864</v>
      </c>
      <c r="B113" s="12">
        <v>2007</v>
      </c>
      <c r="C113" t="s">
        <v>719</v>
      </c>
      <c r="D113" t="s">
        <v>723</v>
      </c>
      <c r="E113" s="2">
        <v>17.480385999999999</v>
      </c>
    </row>
    <row r="114" spans="1:5" x14ac:dyDescent="0.25">
      <c r="A114" t="s">
        <v>864</v>
      </c>
      <c r="B114" s="12">
        <v>2007</v>
      </c>
      <c r="C114" t="s">
        <v>713</v>
      </c>
      <c r="D114" t="s">
        <v>723</v>
      </c>
      <c r="E114" s="2">
        <v>11.361929</v>
      </c>
    </row>
    <row r="115" spans="1:5" x14ac:dyDescent="0.25">
      <c r="A115" t="s">
        <v>864</v>
      </c>
      <c r="B115" s="12">
        <v>2007</v>
      </c>
      <c r="C115" t="s">
        <v>714</v>
      </c>
      <c r="D115" t="s">
        <v>723</v>
      </c>
      <c r="E115" s="2">
        <v>17.586314000000002</v>
      </c>
    </row>
    <row r="116" spans="1:5" x14ac:dyDescent="0.25">
      <c r="A116" t="s">
        <v>864</v>
      </c>
      <c r="B116" s="12">
        <v>2007</v>
      </c>
      <c r="C116" t="s">
        <v>705</v>
      </c>
      <c r="D116" t="s">
        <v>723</v>
      </c>
      <c r="E116" s="2">
        <v>17.663</v>
      </c>
    </row>
    <row r="117" spans="1:5" x14ac:dyDescent="0.25">
      <c r="A117" t="s">
        <v>864</v>
      </c>
      <c r="B117" s="12">
        <v>2007</v>
      </c>
      <c r="C117" t="s">
        <v>715</v>
      </c>
      <c r="D117" t="s">
        <v>723</v>
      </c>
      <c r="E117" s="2">
        <v>16.829000000000001</v>
      </c>
    </row>
    <row r="118" spans="1:5" x14ac:dyDescent="0.25">
      <c r="A118" t="s">
        <v>864</v>
      </c>
      <c r="B118" s="12">
        <v>2007</v>
      </c>
      <c r="C118" t="s">
        <v>718</v>
      </c>
      <c r="D118" t="s">
        <v>723</v>
      </c>
      <c r="E118" s="2">
        <v>12.831</v>
      </c>
    </row>
    <row r="119" spans="1:5" x14ac:dyDescent="0.25">
      <c r="A119" t="s">
        <v>864</v>
      </c>
      <c r="B119" s="12">
        <v>2007</v>
      </c>
      <c r="C119" t="s">
        <v>716</v>
      </c>
      <c r="D119" t="s">
        <v>723</v>
      </c>
      <c r="E119" s="2">
        <v>12.667999999999999</v>
      </c>
    </row>
    <row r="120" spans="1:5" x14ac:dyDescent="0.25">
      <c r="A120" t="s">
        <v>864</v>
      </c>
      <c r="B120" s="12">
        <v>2007</v>
      </c>
      <c r="C120" t="s">
        <v>708</v>
      </c>
      <c r="D120" t="s">
        <v>723</v>
      </c>
      <c r="E120" s="2">
        <v>12.503</v>
      </c>
    </row>
    <row r="121" spans="1:5" x14ac:dyDescent="0.25">
      <c r="A121" t="s">
        <v>864</v>
      </c>
      <c r="B121" s="12">
        <v>2007</v>
      </c>
      <c r="C121" t="s">
        <v>709</v>
      </c>
      <c r="D121" t="s">
        <v>723</v>
      </c>
      <c r="E121" s="2">
        <v>12.355</v>
      </c>
    </row>
    <row r="122" spans="1:5" x14ac:dyDescent="0.25">
      <c r="A122" t="s">
        <v>864</v>
      </c>
      <c r="B122" s="12">
        <v>2007</v>
      </c>
      <c r="C122" t="s">
        <v>710</v>
      </c>
      <c r="D122" t="s">
        <v>723</v>
      </c>
      <c r="E122" s="2">
        <v>12.387</v>
      </c>
    </row>
    <row r="123" spans="1:5" x14ac:dyDescent="0.25">
      <c r="A123" t="s">
        <v>864</v>
      </c>
      <c r="B123" s="12">
        <v>2007</v>
      </c>
      <c r="C123" t="s">
        <v>711</v>
      </c>
      <c r="D123" t="s">
        <v>723</v>
      </c>
      <c r="E123" s="2">
        <v>11.173999999999999</v>
      </c>
    </row>
    <row r="124" spans="1:5" x14ac:dyDescent="0.25">
      <c r="A124" t="s">
        <v>864</v>
      </c>
      <c r="B124" s="12">
        <v>2007</v>
      </c>
      <c r="C124" t="s">
        <v>712</v>
      </c>
      <c r="D124" t="s">
        <v>723</v>
      </c>
      <c r="E124" s="2">
        <v>11.628</v>
      </c>
    </row>
    <row r="125" spans="1:5" x14ac:dyDescent="0.25">
      <c r="A125" t="s">
        <v>864</v>
      </c>
      <c r="B125" s="12">
        <v>2008</v>
      </c>
      <c r="C125" t="s">
        <v>719</v>
      </c>
      <c r="D125" t="s">
        <v>723</v>
      </c>
      <c r="E125" s="2">
        <v>11.571</v>
      </c>
    </row>
    <row r="126" spans="1:5" x14ac:dyDescent="0.25">
      <c r="A126" t="s">
        <v>864</v>
      </c>
      <c r="B126" s="12">
        <v>2008</v>
      </c>
      <c r="C126" t="s">
        <v>713</v>
      </c>
      <c r="D126" t="s">
        <v>723</v>
      </c>
      <c r="E126" s="2">
        <v>11.211</v>
      </c>
    </row>
    <row r="127" spans="1:5" x14ac:dyDescent="0.25">
      <c r="A127" t="s">
        <v>864</v>
      </c>
      <c r="B127" s="12">
        <v>2008</v>
      </c>
      <c r="C127" t="s">
        <v>714</v>
      </c>
      <c r="D127" t="s">
        <v>723</v>
      </c>
      <c r="E127" s="2">
        <v>12.342000000000001</v>
      </c>
    </row>
    <row r="128" spans="1:5" x14ac:dyDescent="0.25">
      <c r="A128" t="s">
        <v>864</v>
      </c>
      <c r="B128" s="12">
        <v>2008</v>
      </c>
      <c r="C128" t="s">
        <v>705</v>
      </c>
      <c r="D128" t="s">
        <v>723</v>
      </c>
      <c r="E128" s="2">
        <v>14.771000000000001</v>
      </c>
    </row>
    <row r="129" spans="1:5" x14ac:dyDescent="0.25">
      <c r="A129" t="s">
        <v>864</v>
      </c>
      <c r="B129" s="12">
        <v>2008</v>
      </c>
      <c r="C129" t="s">
        <v>715</v>
      </c>
      <c r="D129" t="s">
        <v>723</v>
      </c>
      <c r="E129" s="2">
        <v>18.416</v>
      </c>
    </row>
    <row r="130" spans="1:5" x14ac:dyDescent="0.25">
      <c r="A130" t="s">
        <v>864</v>
      </c>
      <c r="B130" s="12">
        <v>2008</v>
      </c>
      <c r="C130" t="s">
        <v>718</v>
      </c>
      <c r="D130" t="s">
        <v>723</v>
      </c>
      <c r="E130" s="2">
        <v>13.676</v>
      </c>
    </row>
    <row r="131" spans="1:5" x14ac:dyDescent="0.25">
      <c r="A131" t="s">
        <v>864</v>
      </c>
      <c r="B131" s="12">
        <v>2008</v>
      </c>
      <c r="C131" t="s">
        <v>716</v>
      </c>
      <c r="D131" t="s">
        <v>723</v>
      </c>
      <c r="E131" s="2">
        <v>12.099</v>
      </c>
    </row>
    <row r="132" spans="1:5" x14ac:dyDescent="0.25">
      <c r="A132" t="s">
        <v>864</v>
      </c>
      <c r="B132" s="12">
        <v>2008</v>
      </c>
      <c r="C132" t="s">
        <v>708</v>
      </c>
      <c r="D132" t="s">
        <v>723</v>
      </c>
      <c r="E132" s="2">
        <v>11.058</v>
      </c>
    </row>
    <row r="133" spans="1:5" x14ac:dyDescent="0.25">
      <c r="A133" t="s">
        <v>864</v>
      </c>
      <c r="B133" s="12">
        <v>2008</v>
      </c>
      <c r="C133" t="s">
        <v>709</v>
      </c>
      <c r="D133" t="s">
        <v>723</v>
      </c>
      <c r="E133" s="2">
        <v>12.467000000000001</v>
      </c>
    </row>
    <row r="134" spans="1:5" x14ac:dyDescent="0.25">
      <c r="A134" t="s">
        <v>864</v>
      </c>
      <c r="B134" s="12">
        <v>2008</v>
      </c>
      <c r="C134" t="s">
        <v>710</v>
      </c>
      <c r="D134" t="s">
        <v>723</v>
      </c>
      <c r="E134" s="2">
        <v>11.359</v>
      </c>
    </row>
    <row r="135" spans="1:5" x14ac:dyDescent="0.25">
      <c r="A135" t="s">
        <v>864</v>
      </c>
      <c r="B135" s="12">
        <v>2008</v>
      </c>
      <c r="C135" t="s">
        <v>711</v>
      </c>
      <c r="D135" t="s">
        <v>723</v>
      </c>
      <c r="E135" s="2">
        <v>10.797000000000001</v>
      </c>
    </row>
    <row r="136" spans="1:5" x14ac:dyDescent="0.25">
      <c r="A136" t="s">
        <v>864</v>
      </c>
      <c r="B136" s="12">
        <v>2008</v>
      </c>
      <c r="C136" t="s">
        <v>712</v>
      </c>
      <c r="D136" t="s">
        <v>723</v>
      </c>
      <c r="E136" s="2">
        <v>12.221</v>
      </c>
    </row>
    <row r="137" spans="1:5" x14ac:dyDescent="0.25">
      <c r="A137" t="s">
        <v>864</v>
      </c>
      <c r="B137" s="12">
        <v>2009</v>
      </c>
      <c r="C137" t="s">
        <v>719</v>
      </c>
      <c r="D137" t="s">
        <v>723</v>
      </c>
      <c r="E137" s="2">
        <v>12.643000000000001</v>
      </c>
    </row>
    <row r="138" spans="1:5" x14ac:dyDescent="0.25">
      <c r="A138" t="s">
        <v>864</v>
      </c>
      <c r="B138" s="12">
        <v>2009</v>
      </c>
      <c r="C138" t="s">
        <v>713</v>
      </c>
      <c r="D138" t="s">
        <v>723</v>
      </c>
      <c r="E138" s="2">
        <v>10.297000000000001</v>
      </c>
    </row>
    <row r="139" spans="1:5" x14ac:dyDescent="0.25">
      <c r="A139" t="s">
        <v>864</v>
      </c>
      <c r="B139" s="12">
        <v>2009</v>
      </c>
      <c r="C139" t="s">
        <v>714</v>
      </c>
      <c r="D139" t="s">
        <v>723</v>
      </c>
      <c r="E139" s="2">
        <v>12.33</v>
      </c>
    </row>
    <row r="140" spans="1:5" x14ac:dyDescent="0.25">
      <c r="A140" t="s">
        <v>864</v>
      </c>
      <c r="B140" s="12">
        <v>2009</v>
      </c>
      <c r="C140" t="s">
        <v>705</v>
      </c>
      <c r="D140" t="s">
        <v>723</v>
      </c>
      <c r="E140" s="2">
        <v>13.207000000000001</v>
      </c>
    </row>
    <row r="141" spans="1:5" x14ac:dyDescent="0.25">
      <c r="A141" t="s">
        <v>864</v>
      </c>
      <c r="B141" s="12">
        <v>2009</v>
      </c>
      <c r="C141" t="s">
        <v>715</v>
      </c>
      <c r="D141" t="s">
        <v>723</v>
      </c>
      <c r="E141" s="2">
        <v>19.172000000000001</v>
      </c>
    </row>
    <row r="142" spans="1:5" x14ac:dyDescent="0.25">
      <c r="A142" t="s">
        <v>864</v>
      </c>
      <c r="B142" s="12">
        <v>2009</v>
      </c>
      <c r="C142" t="s">
        <v>718</v>
      </c>
      <c r="D142" t="s">
        <v>723</v>
      </c>
      <c r="E142" s="2">
        <v>16.693999999999999</v>
      </c>
    </row>
    <row r="143" spans="1:5" x14ac:dyDescent="0.25">
      <c r="A143" t="s">
        <v>864</v>
      </c>
      <c r="B143" s="12">
        <v>2009</v>
      </c>
      <c r="C143" t="s">
        <v>716</v>
      </c>
      <c r="D143" t="s">
        <v>723</v>
      </c>
      <c r="E143" s="2">
        <v>12.927</v>
      </c>
    </row>
    <row r="144" spans="1:5" x14ac:dyDescent="0.25">
      <c r="A144" t="s">
        <v>864</v>
      </c>
      <c r="B144" s="12">
        <v>2009</v>
      </c>
      <c r="C144" t="s">
        <v>708</v>
      </c>
      <c r="D144" t="s">
        <v>723</v>
      </c>
      <c r="E144" s="2">
        <v>12.298999999999999</v>
      </c>
    </row>
    <row r="145" spans="1:5" x14ac:dyDescent="0.25">
      <c r="A145" t="s">
        <v>864</v>
      </c>
      <c r="B145" s="12">
        <v>2009</v>
      </c>
      <c r="C145" t="s">
        <v>709</v>
      </c>
      <c r="D145" t="s">
        <v>723</v>
      </c>
      <c r="E145" s="2">
        <v>11.448</v>
      </c>
    </row>
    <row r="146" spans="1:5" x14ac:dyDescent="0.25">
      <c r="A146" t="s">
        <v>864</v>
      </c>
      <c r="B146" s="12">
        <v>2009</v>
      </c>
      <c r="C146" t="s">
        <v>710</v>
      </c>
      <c r="D146" t="s">
        <v>723</v>
      </c>
      <c r="E146" s="2">
        <v>13.196</v>
      </c>
    </row>
    <row r="147" spans="1:5" x14ac:dyDescent="0.25">
      <c r="A147" t="s">
        <v>864</v>
      </c>
      <c r="B147" s="12">
        <v>2009</v>
      </c>
      <c r="C147" t="s">
        <v>711</v>
      </c>
      <c r="D147" t="s">
        <v>723</v>
      </c>
      <c r="E147" s="2">
        <v>14.385</v>
      </c>
    </row>
    <row r="148" spans="1:5" x14ac:dyDescent="0.25">
      <c r="A148" t="s">
        <v>864</v>
      </c>
      <c r="B148" s="12">
        <v>2009</v>
      </c>
      <c r="C148" t="s">
        <v>712</v>
      </c>
      <c r="D148" t="s">
        <v>723</v>
      </c>
      <c r="E148" s="2">
        <v>17.631</v>
      </c>
    </row>
    <row r="149" spans="1:5" x14ac:dyDescent="0.25">
      <c r="A149" t="s">
        <v>864</v>
      </c>
      <c r="B149" s="12">
        <v>2010</v>
      </c>
      <c r="C149" t="s">
        <v>719</v>
      </c>
      <c r="D149" t="s">
        <v>723</v>
      </c>
      <c r="E149" s="2">
        <v>14.208</v>
      </c>
    </row>
    <row r="150" spans="1:5" x14ac:dyDescent="0.25">
      <c r="A150" t="s">
        <v>864</v>
      </c>
      <c r="B150" s="12">
        <v>2010</v>
      </c>
      <c r="C150" t="s">
        <v>713</v>
      </c>
      <c r="D150" t="s">
        <v>723</v>
      </c>
      <c r="E150" s="2">
        <v>15.49</v>
      </c>
    </row>
    <row r="151" spans="1:5" x14ac:dyDescent="0.25">
      <c r="A151" t="s">
        <v>864</v>
      </c>
      <c r="B151" s="12">
        <v>2010</v>
      </c>
      <c r="C151" t="s">
        <v>714</v>
      </c>
      <c r="D151" t="s">
        <v>723</v>
      </c>
      <c r="E151" s="2">
        <v>21.442</v>
      </c>
    </row>
    <row r="152" spans="1:5" x14ac:dyDescent="0.25">
      <c r="A152" t="s">
        <v>864</v>
      </c>
      <c r="B152" s="12">
        <v>2010</v>
      </c>
      <c r="C152" t="s">
        <v>705</v>
      </c>
      <c r="D152" t="s">
        <v>723</v>
      </c>
      <c r="E152" s="2">
        <v>15.603</v>
      </c>
    </row>
    <row r="153" spans="1:5" x14ac:dyDescent="0.25">
      <c r="A153" t="s">
        <v>864</v>
      </c>
      <c r="B153" s="12">
        <v>2010</v>
      </c>
      <c r="C153" t="s">
        <v>715</v>
      </c>
      <c r="D153" t="s">
        <v>723</v>
      </c>
      <c r="E153" s="2">
        <v>15.143000000000001</v>
      </c>
    </row>
    <row r="154" spans="1:5" x14ac:dyDescent="0.25">
      <c r="A154" t="s">
        <v>864</v>
      </c>
      <c r="B154" s="12">
        <v>2010</v>
      </c>
      <c r="C154" t="s">
        <v>718</v>
      </c>
      <c r="D154" t="s">
        <v>723</v>
      </c>
      <c r="E154" s="2">
        <v>12.166</v>
      </c>
    </row>
    <row r="155" spans="1:5" x14ac:dyDescent="0.25">
      <c r="A155" t="s">
        <v>864</v>
      </c>
      <c r="B155" s="12">
        <v>2010</v>
      </c>
      <c r="C155" t="s">
        <v>716</v>
      </c>
      <c r="D155" t="s">
        <v>723</v>
      </c>
      <c r="E155" s="2">
        <v>12.416</v>
      </c>
    </row>
    <row r="156" spans="1:5" x14ac:dyDescent="0.25">
      <c r="A156" t="s">
        <v>864</v>
      </c>
      <c r="B156" s="12">
        <v>2010</v>
      </c>
      <c r="C156" t="s">
        <v>708</v>
      </c>
      <c r="D156" t="s">
        <v>723</v>
      </c>
      <c r="E156" s="2">
        <v>10.132</v>
      </c>
    </row>
    <row r="157" spans="1:5" x14ac:dyDescent="0.25">
      <c r="A157" t="s">
        <v>864</v>
      </c>
      <c r="B157" s="12">
        <v>2010</v>
      </c>
      <c r="C157" t="s">
        <v>709</v>
      </c>
      <c r="D157" t="s">
        <v>723</v>
      </c>
      <c r="E157" s="2">
        <v>15.621</v>
      </c>
    </row>
    <row r="158" spans="1:5" x14ac:dyDescent="0.25">
      <c r="A158" t="s">
        <v>864</v>
      </c>
      <c r="B158" s="12">
        <v>2010</v>
      </c>
      <c r="C158" t="s">
        <v>710</v>
      </c>
      <c r="D158" t="s">
        <v>723</v>
      </c>
      <c r="E158" s="2">
        <v>13.465</v>
      </c>
    </row>
    <row r="159" spans="1:5" x14ac:dyDescent="0.25">
      <c r="A159" t="s">
        <v>864</v>
      </c>
      <c r="B159" s="12">
        <v>2010</v>
      </c>
      <c r="C159" t="s">
        <v>711</v>
      </c>
      <c r="D159" t="s">
        <v>723</v>
      </c>
      <c r="E159" s="2">
        <v>12.629</v>
      </c>
    </row>
    <row r="160" spans="1:5" x14ac:dyDescent="0.25">
      <c r="A160" t="s">
        <v>864</v>
      </c>
      <c r="B160" s="12">
        <v>2010</v>
      </c>
      <c r="C160" t="s">
        <v>712</v>
      </c>
      <c r="D160" t="s">
        <v>723</v>
      </c>
      <c r="E160" s="2">
        <v>12.098000000000001</v>
      </c>
    </row>
    <row r="161" spans="1:5" s="72" customFormat="1" x14ac:dyDescent="0.25">
      <c r="A161" t="s">
        <v>864</v>
      </c>
      <c r="B161" s="344">
        <v>2011</v>
      </c>
      <c r="C161" s="72" t="s">
        <v>719</v>
      </c>
      <c r="D161" s="72" t="s">
        <v>723</v>
      </c>
      <c r="E161" s="201">
        <v>11.553000000000001</v>
      </c>
    </row>
    <row r="162" spans="1:5" x14ac:dyDescent="0.25">
      <c r="A162" t="s">
        <v>864</v>
      </c>
      <c r="B162" s="12">
        <v>2011</v>
      </c>
      <c r="C162" t="s">
        <v>713</v>
      </c>
      <c r="D162" t="s">
        <v>723</v>
      </c>
      <c r="E162" s="2">
        <v>11.654999999999999</v>
      </c>
    </row>
    <row r="163" spans="1:5" x14ac:dyDescent="0.25">
      <c r="A163" t="s">
        <v>864</v>
      </c>
      <c r="B163" s="12">
        <v>2011</v>
      </c>
      <c r="C163" t="s">
        <v>714</v>
      </c>
      <c r="D163" t="s">
        <v>723</v>
      </c>
      <c r="E163" s="2">
        <v>15.285</v>
      </c>
    </row>
    <row r="164" spans="1:5" x14ac:dyDescent="0.25">
      <c r="A164" t="s">
        <v>864</v>
      </c>
      <c r="B164" s="12">
        <v>2011</v>
      </c>
      <c r="C164" t="s">
        <v>705</v>
      </c>
      <c r="D164" t="s">
        <v>723</v>
      </c>
      <c r="E164" s="2">
        <v>28.22</v>
      </c>
    </row>
    <row r="165" spans="1:5" x14ac:dyDescent="0.25">
      <c r="A165" t="s">
        <v>864</v>
      </c>
      <c r="B165" s="12">
        <v>2011</v>
      </c>
      <c r="C165" t="s">
        <v>715</v>
      </c>
      <c r="D165" t="s">
        <v>723</v>
      </c>
      <c r="E165" s="2">
        <v>28.105</v>
      </c>
    </row>
    <row r="166" spans="1:5" x14ac:dyDescent="0.25">
      <c r="A166" t="s">
        <v>864</v>
      </c>
      <c r="B166" s="12">
        <v>2011</v>
      </c>
      <c r="C166" t="s">
        <v>718</v>
      </c>
      <c r="D166" t="s">
        <v>723</v>
      </c>
      <c r="E166" s="2">
        <v>11.374000000000001</v>
      </c>
    </row>
    <row r="167" spans="1:5" x14ac:dyDescent="0.25">
      <c r="A167" t="s">
        <v>864</v>
      </c>
      <c r="B167" s="12">
        <v>2011</v>
      </c>
      <c r="C167" t="s">
        <v>716</v>
      </c>
      <c r="D167" t="s">
        <v>723</v>
      </c>
      <c r="E167" s="2">
        <v>16.335999999999999</v>
      </c>
    </row>
    <row r="168" spans="1:5" x14ac:dyDescent="0.25">
      <c r="A168" t="s">
        <v>864</v>
      </c>
      <c r="B168" s="12">
        <v>2011</v>
      </c>
      <c r="C168" t="s">
        <v>708</v>
      </c>
      <c r="D168" t="s">
        <v>723</v>
      </c>
      <c r="E168" s="2">
        <v>16.170000000000002</v>
      </c>
    </row>
    <row r="169" spans="1:5" x14ac:dyDescent="0.25">
      <c r="A169" t="s">
        <v>864</v>
      </c>
      <c r="B169" s="12">
        <v>2011</v>
      </c>
      <c r="C169" t="s">
        <v>709</v>
      </c>
      <c r="D169" t="s">
        <v>723</v>
      </c>
      <c r="E169" s="2">
        <v>15.077</v>
      </c>
    </row>
    <row r="170" spans="1:5" x14ac:dyDescent="0.25">
      <c r="A170" t="s">
        <v>864</v>
      </c>
      <c r="B170" s="12">
        <v>2011</v>
      </c>
      <c r="C170" t="s">
        <v>710</v>
      </c>
      <c r="D170" t="s">
        <v>723</v>
      </c>
      <c r="E170" s="2">
        <v>14.063000000000001</v>
      </c>
    </row>
    <row r="171" spans="1:5" x14ac:dyDescent="0.25">
      <c r="A171" t="s">
        <v>864</v>
      </c>
      <c r="B171" s="12">
        <v>2011</v>
      </c>
      <c r="C171" t="s">
        <v>711</v>
      </c>
      <c r="D171" t="s">
        <v>723</v>
      </c>
      <c r="E171" s="2">
        <v>13.238</v>
      </c>
    </row>
    <row r="172" spans="1:5" x14ac:dyDescent="0.25">
      <c r="A172" t="s">
        <v>864</v>
      </c>
      <c r="B172" s="12">
        <v>2011</v>
      </c>
      <c r="C172" t="s">
        <v>712</v>
      </c>
      <c r="D172" t="s">
        <v>723</v>
      </c>
      <c r="E172" s="2">
        <v>14.090999999999999</v>
      </c>
    </row>
    <row r="173" spans="1:5" x14ac:dyDescent="0.25">
      <c r="A173" t="s">
        <v>864</v>
      </c>
      <c r="B173" s="12">
        <v>2012</v>
      </c>
      <c r="C173" t="s">
        <v>719</v>
      </c>
      <c r="D173" t="s">
        <v>723</v>
      </c>
      <c r="E173" s="2">
        <v>13.29</v>
      </c>
    </row>
    <row r="174" spans="1:5" x14ac:dyDescent="0.25">
      <c r="A174" t="s">
        <v>864</v>
      </c>
      <c r="B174" s="12">
        <v>2012</v>
      </c>
      <c r="C174" t="s">
        <v>713</v>
      </c>
      <c r="D174" t="s">
        <v>723</v>
      </c>
      <c r="E174" s="2">
        <v>11.391999999999999</v>
      </c>
    </row>
    <row r="175" spans="1:5" x14ac:dyDescent="0.25">
      <c r="A175" t="s">
        <v>864</v>
      </c>
      <c r="B175" s="12">
        <v>2012</v>
      </c>
      <c r="C175" t="s">
        <v>714</v>
      </c>
      <c r="D175" t="s">
        <v>723</v>
      </c>
      <c r="E175" s="2">
        <v>13.292</v>
      </c>
    </row>
    <row r="176" spans="1:5" x14ac:dyDescent="0.25">
      <c r="A176" t="s">
        <v>864</v>
      </c>
      <c r="B176" s="12">
        <v>2012</v>
      </c>
      <c r="C176" t="s">
        <v>705</v>
      </c>
      <c r="D176" t="s">
        <v>723</v>
      </c>
      <c r="E176" s="2">
        <v>12.875999999999999</v>
      </c>
    </row>
    <row r="177" spans="1:5" x14ac:dyDescent="0.25">
      <c r="A177" t="s">
        <v>864</v>
      </c>
      <c r="B177" s="12">
        <v>2012</v>
      </c>
      <c r="C177" t="s">
        <v>715</v>
      </c>
      <c r="D177" t="s">
        <v>723</v>
      </c>
      <c r="E177" s="2">
        <v>13.762</v>
      </c>
    </row>
    <row r="178" spans="1:5" x14ac:dyDescent="0.25">
      <c r="A178" t="s">
        <v>864</v>
      </c>
      <c r="B178" s="12">
        <v>2012</v>
      </c>
      <c r="C178" t="s">
        <v>718</v>
      </c>
      <c r="D178" t="s">
        <v>723</v>
      </c>
      <c r="E178" s="2">
        <v>12.02</v>
      </c>
    </row>
    <row r="179" spans="1:5" s="72" customFormat="1" x14ac:dyDescent="0.25">
      <c r="A179" t="s">
        <v>864</v>
      </c>
      <c r="B179" s="344">
        <v>2012</v>
      </c>
      <c r="C179" s="72" t="s">
        <v>716</v>
      </c>
      <c r="D179" s="72" t="s">
        <v>723</v>
      </c>
      <c r="E179" s="201">
        <v>11.694000000000001</v>
      </c>
    </row>
    <row r="180" spans="1:5" x14ac:dyDescent="0.25">
      <c r="A180" t="s">
        <v>864</v>
      </c>
      <c r="B180" s="12">
        <v>2012</v>
      </c>
      <c r="C180" t="s">
        <v>708</v>
      </c>
      <c r="D180" t="s">
        <v>723</v>
      </c>
      <c r="E180" s="2">
        <v>10.706</v>
      </c>
    </row>
    <row r="181" spans="1:5" x14ac:dyDescent="0.25">
      <c r="A181" t="s">
        <v>864</v>
      </c>
      <c r="B181" s="12">
        <v>2012</v>
      </c>
      <c r="C181" t="s">
        <v>709</v>
      </c>
      <c r="D181" t="s">
        <v>723</v>
      </c>
      <c r="E181" s="2">
        <v>10.324</v>
      </c>
    </row>
    <row r="182" spans="1:5" x14ac:dyDescent="0.25">
      <c r="A182" t="s">
        <v>864</v>
      </c>
      <c r="B182" s="12">
        <v>2012</v>
      </c>
      <c r="C182" t="s">
        <v>710</v>
      </c>
      <c r="D182" t="s">
        <v>723</v>
      </c>
      <c r="E182" s="2">
        <v>10.497999999999999</v>
      </c>
    </row>
    <row r="183" spans="1:5" x14ac:dyDescent="0.25">
      <c r="A183" t="s">
        <v>864</v>
      </c>
      <c r="B183" s="12">
        <v>2012</v>
      </c>
      <c r="C183" t="s">
        <v>711</v>
      </c>
      <c r="D183" t="s">
        <v>723</v>
      </c>
      <c r="E183" s="2">
        <v>10.121</v>
      </c>
    </row>
    <row r="184" spans="1:5" x14ac:dyDescent="0.25">
      <c r="A184" t="s">
        <v>864</v>
      </c>
      <c r="B184" s="12">
        <v>2012</v>
      </c>
      <c r="C184" t="s">
        <v>712</v>
      </c>
      <c r="D184" t="s">
        <v>723</v>
      </c>
      <c r="E184" s="2">
        <v>10.723000000000001</v>
      </c>
    </row>
    <row r="185" spans="1:5" x14ac:dyDescent="0.25">
      <c r="A185" t="s">
        <v>864</v>
      </c>
      <c r="B185" s="12">
        <v>2013</v>
      </c>
      <c r="C185" t="s">
        <v>719</v>
      </c>
      <c r="D185" t="s">
        <v>723</v>
      </c>
      <c r="E185" s="2">
        <v>10.518000000000001</v>
      </c>
    </row>
    <row r="186" spans="1:5" x14ac:dyDescent="0.25">
      <c r="A186" t="s">
        <v>864</v>
      </c>
      <c r="B186" s="12">
        <v>2013</v>
      </c>
      <c r="C186" t="s">
        <v>713</v>
      </c>
      <c r="D186" t="s">
        <v>723</v>
      </c>
      <c r="E186" s="2">
        <v>9.8040000000000003</v>
      </c>
    </row>
    <row r="187" spans="1:5" x14ac:dyDescent="0.25">
      <c r="A187" t="s">
        <v>864</v>
      </c>
      <c r="B187" s="12">
        <v>2013</v>
      </c>
      <c r="C187" t="s">
        <v>714</v>
      </c>
      <c r="D187" t="s">
        <v>723</v>
      </c>
      <c r="E187" s="2">
        <v>11.569000000000001</v>
      </c>
    </row>
    <row r="188" spans="1:5" x14ac:dyDescent="0.25">
      <c r="A188" t="s">
        <v>864</v>
      </c>
      <c r="B188" s="12">
        <v>2013</v>
      </c>
      <c r="C188" t="s">
        <v>705</v>
      </c>
      <c r="D188" t="s">
        <v>723</v>
      </c>
      <c r="E188" s="2">
        <v>11.254</v>
      </c>
    </row>
    <row r="189" spans="1:5" x14ac:dyDescent="0.25">
      <c r="A189" t="s">
        <v>864</v>
      </c>
      <c r="B189" s="12">
        <v>2013</v>
      </c>
      <c r="C189" t="s">
        <v>715</v>
      </c>
      <c r="D189" t="s">
        <v>723</v>
      </c>
      <c r="E189" s="2">
        <v>12.305</v>
      </c>
    </row>
    <row r="190" spans="1:5" x14ac:dyDescent="0.25">
      <c r="A190" t="s">
        <v>864</v>
      </c>
      <c r="B190" s="12">
        <v>2013</v>
      </c>
      <c r="C190" t="s">
        <v>718</v>
      </c>
      <c r="D190" t="s">
        <v>723</v>
      </c>
      <c r="E190" s="2">
        <v>12.936999999999999</v>
      </c>
    </row>
    <row r="191" spans="1:5" x14ac:dyDescent="0.25">
      <c r="A191" t="s">
        <v>864</v>
      </c>
      <c r="B191" s="12">
        <v>2013</v>
      </c>
      <c r="C191" t="s">
        <v>716</v>
      </c>
      <c r="D191" t="s">
        <v>723</v>
      </c>
      <c r="E191" s="2">
        <v>12.189</v>
      </c>
    </row>
    <row r="192" spans="1:5" x14ac:dyDescent="0.25">
      <c r="A192" t="s">
        <v>864</v>
      </c>
      <c r="B192" s="12">
        <v>2013</v>
      </c>
      <c r="C192" t="s">
        <v>708</v>
      </c>
      <c r="D192" t="s">
        <v>723</v>
      </c>
      <c r="E192" s="2">
        <v>12.648999999999999</v>
      </c>
    </row>
    <row r="193" spans="1:5" x14ac:dyDescent="0.25">
      <c r="A193" t="s">
        <v>864</v>
      </c>
      <c r="B193" s="12">
        <v>2013</v>
      </c>
      <c r="C193" t="s">
        <v>709</v>
      </c>
      <c r="D193" t="s">
        <v>723</v>
      </c>
      <c r="E193" s="2">
        <v>12.054</v>
      </c>
    </row>
    <row r="194" spans="1:5" x14ac:dyDescent="0.25">
      <c r="A194" t="s">
        <v>864</v>
      </c>
      <c r="B194" s="12">
        <v>2013</v>
      </c>
      <c r="C194" t="s">
        <v>710</v>
      </c>
      <c r="D194" t="s">
        <v>723</v>
      </c>
      <c r="E194" s="2">
        <v>14.144</v>
      </c>
    </row>
    <row r="195" spans="1:5" x14ac:dyDescent="0.25">
      <c r="A195" t="s">
        <v>864</v>
      </c>
      <c r="B195" s="12">
        <v>2013</v>
      </c>
      <c r="C195" t="s">
        <v>711</v>
      </c>
      <c r="D195" t="s">
        <v>723</v>
      </c>
      <c r="E195" s="2">
        <v>12.337999999999999</v>
      </c>
    </row>
    <row r="196" spans="1:5" x14ac:dyDescent="0.25">
      <c r="A196" t="s">
        <v>864</v>
      </c>
      <c r="B196" s="12">
        <v>2013</v>
      </c>
      <c r="C196" t="s">
        <v>712</v>
      </c>
      <c r="D196" t="s">
        <v>723</v>
      </c>
      <c r="E196" s="2">
        <v>14.073</v>
      </c>
    </row>
    <row r="197" spans="1:5" x14ac:dyDescent="0.25">
      <c r="A197" t="s">
        <v>864</v>
      </c>
      <c r="B197" s="12">
        <v>2014</v>
      </c>
      <c r="C197" t="s">
        <v>719</v>
      </c>
      <c r="D197" t="s">
        <v>723</v>
      </c>
      <c r="E197" s="2">
        <v>14.521000000000001</v>
      </c>
    </row>
    <row r="198" spans="1:5" x14ac:dyDescent="0.25">
      <c r="A198" t="s">
        <v>864</v>
      </c>
      <c r="B198" s="12">
        <v>2014</v>
      </c>
      <c r="C198" t="s">
        <v>713</v>
      </c>
      <c r="D198" t="s">
        <v>723</v>
      </c>
      <c r="E198" s="2">
        <v>14.803000000000001</v>
      </c>
    </row>
    <row r="199" spans="1:5" x14ac:dyDescent="0.25">
      <c r="A199" t="s">
        <v>864</v>
      </c>
      <c r="B199" s="12">
        <v>2014</v>
      </c>
      <c r="C199" t="s">
        <v>714</v>
      </c>
      <c r="D199" t="s">
        <v>723</v>
      </c>
      <c r="E199" s="2">
        <v>16.975999999999999</v>
      </c>
    </row>
    <row r="200" spans="1:5" x14ac:dyDescent="0.25">
      <c r="A200" t="s">
        <v>864</v>
      </c>
      <c r="B200" s="12">
        <v>2014</v>
      </c>
      <c r="C200" t="s">
        <v>705</v>
      </c>
      <c r="D200" t="s">
        <v>723</v>
      </c>
      <c r="E200" s="2">
        <v>16.645</v>
      </c>
    </row>
    <row r="201" spans="1:5" x14ac:dyDescent="0.25">
      <c r="A201" t="s">
        <v>864</v>
      </c>
      <c r="B201" s="12">
        <v>2014</v>
      </c>
      <c r="C201" t="s">
        <v>715</v>
      </c>
      <c r="D201" t="s">
        <v>723</v>
      </c>
      <c r="E201" s="2">
        <v>20.024000000000001</v>
      </c>
    </row>
    <row r="202" spans="1:5" x14ac:dyDescent="0.25">
      <c r="A202" t="s">
        <v>864</v>
      </c>
      <c r="B202" s="12">
        <v>2014</v>
      </c>
      <c r="C202" t="s">
        <v>718</v>
      </c>
      <c r="D202" t="s">
        <v>723</v>
      </c>
      <c r="E202" s="2">
        <v>16.768000000000001</v>
      </c>
    </row>
    <row r="203" spans="1:5" x14ac:dyDescent="0.25">
      <c r="A203" t="s">
        <v>864</v>
      </c>
      <c r="B203" s="12">
        <v>2014</v>
      </c>
      <c r="C203" t="s">
        <v>716</v>
      </c>
      <c r="D203" t="s">
        <v>723</v>
      </c>
      <c r="E203" s="2">
        <v>14.832000000000001</v>
      </c>
    </row>
    <row r="204" spans="1:5" x14ac:dyDescent="0.25">
      <c r="A204" t="s">
        <v>864</v>
      </c>
      <c r="B204" s="12">
        <v>2014</v>
      </c>
      <c r="C204" t="s">
        <v>708</v>
      </c>
      <c r="D204" t="s">
        <v>723</v>
      </c>
      <c r="E204" s="2">
        <v>15.04</v>
      </c>
    </row>
    <row r="205" spans="1:5" x14ac:dyDescent="0.25">
      <c r="A205" t="s">
        <v>864</v>
      </c>
      <c r="B205" s="12">
        <v>2014</v>
      </c>
      <c r="C205" t="s">
        <v>709</v>
      </c>
      <c r="D205" t="s">
        <v>723</v>
      </c>
      <c r="E205" s="2">
        <v>13.176</v>
      </c>
    </row>
    <row r="206" spans="1:5" x14ac:dyDescent="0.25">
      <c r="A206" t="s">
        <v>864</v>
      </c>
      <c r="B206" s="12">
        <v>2014</v>
      </c>
      <c r="C206" t="s">
        <v>710</v>
      </c>
      <c r="D206" t="s">
        <v>723</v>
      </c>
      <c r="E206" s="2">
        <v>14.726000000000001</v>
      </c>
    </row>
    <row r="207" spans="1:5" x14ac:dyDescent="0.25">
      <c r="A207" t="s">
        <v>864</v>
      </c>
      <c r="B207" s="12">
        <v>2014</v>
      </c>
      <c r="C207" t="s">
        <v>711</v>
      </c>
      <c r="D207" t="s">
        <v>723</v>
      </c>
      <c r="E207" s="2">
        <v>15.558</v>
      </c>
    </row>
    <row r="208" spans="1:5" x14ac:dyDescent="0.25">
      <c r="A208" t="s">
        <v>864</v>
      </c>
      <c r="B208" s="12">
        <v>2014</v>
      </c>
      <c r="C208" t="s">
        <v>712</v>
      </c>
      <c r="D208" t="s">
        <v>723</v>
      </c>
      <c r="E208" s="2">
        <v>18.146999999999998</v>
      </c>
    </row>
    <row r="209" spans="1:5" x14ac:dyDescent="0.25">
      <c r="A209" t="s">
        <v>864</v>
      </c>
      <c r="B209" s="12">
        <v>2015</v>
      </c>
      <c r="C209" t="s">
        <v>719</v>
      </c>
      <c r="D209" t="s">
        <v>723</v>
      </c>
      <c r="E209" s="2">
        <v>20.295999999999999</v>
      </c>
    </row>
    <row r="210" spans="1:5" x14ac:dyDescent="0.25">
      <c r="A210" t="s">
        <v>864</v>
      </c>
      <c r="B210" s="12">
        <v>2015</v>
      </c>
      <c r="C210" t="s">
        <v>713</v>
      </c>
      <c r="D210" t="s">
        <v>723</v>
      </c>
      <c r="E210" s="2">
        <v>19.917000000000002</v>
      </c>
    </row>
    <row r="211" spans="1:5" x14ac:dyDescent="0.25">
      <c r="A211" t="s">
        <v>864</v>
      </c>
      <c r="B211" s="12">
        <v>2015</v>
      </c>
      <c r="C211" t="s">
        <v>714</v>
      </c>
      <c r="D211" t="s">
        <v>723</v>
      </c>
      <c r="E211" s="2">
        <v>26.992999999999999</v>
      </c>
    </row>
    <row r="212" spans="1:5" x14ac:dyDescent="0.25">
      <c r="A212" t="s">
        <v>864</v>
      </c>
      <c r="B212" s="12">
        <v>2015</v>
      </c>
      <c r="C212" t="s">
        <v>705</v>
      </c>
      <c r="D212" t="s">
        <v>723</v>
      </c>
      <c r="E212" s="2">
        <v>25.535</v>
      </c>
    </row>
    <row r="213" spans="1:5" x14ac:dyDescent="0.25">
      <c r="A213" t="s">
        <v>864</v>
      </c>
      <c r="B213" s="12">
        <v>2015</v>
      </c>
      <c r="C213" t="s">
        <v>715</v>
      </c>
      <c r="D213" t="s">
        <v>723</v>
      </c>
      <c r="E213" s="2">
        <v>18.254999999999999</v>
      </c>
    </row>
    <row r="214" spans="1:5" x14ac:dyDescent="0.25">
      <c r="A214" t="s">
        <v>864</v>
      </c>
      <c r="B214" s="12">
        <v>2015</v>
      </c>
      <c r="C214" t="s">
        <v>718</v>
      </c>
      <c r="D214" t="s">
        <v>723</v>
      </c>
      <c r="E214" s="2">
        <v>22.125</v>
      </c>
    </row>
    <row r="215" spans="1:5" x14ac:dyDescent="0.25">
      <c r="A215" t="s">
        <v>864</v>
      </c>
      <c r="B215" s="12">
        <v>2015</v>
      </c>
      <c r="C215" t="s">
        <v>716</v>
      </c>
      <c r="D215" t="s">
        <v>723</v>
      </c>
      <c r="E215" s="2">
        <v>14.449</v>
      </c>
    </row>
    <row r="216" spans="1:5" x14ac:dyDescent="0.25">
      <c r="A216" t="s">
        <v>864</v>
      </c>
      <c r="B216" s="12">
        <v>2015</v>
      </c>
      <c r="C216" t="s">
        <v>708</v>
      </c>
      <c r="D216" t="s">
        <v>723</v>
      </c>
      <c r="E216" s="2">
        <v>12.523999999999999</v>
      </c>
    </row>
    <row r="217" spans="1:5" x14ac:dyDescent="0.25">
      <c r="A217" t="s">
        <v>864</v>
      </c>
      <c r="B217" s="12">
        <v>2015</v>
      </c>
      <c r="C217" t="s">
        <v>709</v>
      </c>
      <c r="D217" t="s">
        <v>723</v>
      </c>
      <c r="E217" s="2">
        <v>12.097</v>
      </c>
    </row>
    <row r="218" spans="1:5" x14ac:dyDescent="0.25">
      <c r="A218" t="s">
        <v>864</v>
      </c>
      <c r="B218" s="12">
        <v>2015</v>
      </c>
      <c r="C218" t="s">
        <v>710</v>
      </c>
      <c r="D218" t="s">
        <v>723</v>
      </c>
      <c r="E218" s="2">
        <v>12.852</v>
      </c>
    </row>
    <row r="219" spans="1:5" x14ac:dyDescent="0.25">
      <c r="A219" t="s">
        <v>864</v>
      </c>
      <c r="B219" s="12">
        <v>2015</v>
      </c>
      <c r="C219" t="s">
        <v>711</v>
      </c>
      <c r="D219" t="s">
        <v>723</v>
      </c>
      <c r="E219" s="2">
        <v>12.09</v>
      </c>
    </row>
    <row r="220" spans="1:5" x14ac:dyDescent="0.25">
      <c r="A220" t="s">
        <v>864</v>
      </c>
      <c r="B220" s="12">
        <v>2015</v>
      </c>
      <c r="C220" t="s">
        <v>712</v>
      </c>
      <c r="D220" t="s">
        <v>723</v>
      </c>
      <c r="E220" s="2">
        <v>12.968</v>
      </c>
    </row>
    <row r="221" spans="1:5" x14ac:dyDescent="0.25">
      <c r="A221" t="s">
        <v>864</v>
      </c>
      <c r="B221" s="12">
        <v>2016</v>
      </c>
      <c r="C221" t="s">
        <v>719</v>
      </c>
      <c r="D221" t="s">
        <v>723</v>
      </c>
      <c r="E221" s="2">
        <v>14.115</v>
      </c>
    </row>
    <row r="222" spans="1:5" s="72" customFormat="1" x14ac:dyDescent="0.25">
      <c r="A222" t="s">
        <v>864</v>
      </c>
      <c r="B222" s="344">
        <v>2016</v>
      </c>
      <c r="C222" s="72" t="s">
        <v>713</v>
      </c>
      <c r="D222" s="72" t="s">
        <v>723</v>
      </c>
      <c r="E222" s="201">
        <v>14.89</v>
      </c>
    </row>
    <row r="223" spans="1:5" x14ac:dyDescent="0.25">
      <c r="A223" t="s">
        <v>864</v>
      </c>
      <c r="B223" s="12">
        <v>2016</v>
      </c>
      <c r="C223" t="s">
        <v>714</v>
      </c>
      <c r="D223" t="s">
        <v>723</v>
      </c>
      <c r="E223" s="2">
        <v>13.538</v>
      </c>
    </row>
    <row r="224" spans="1:5" x14ac:dyDescent="0.25">
      <c r="A224" t="s">
        <v>864</v>
      </c>
      <c r="B224" s="12">
        <v>2016</v>
      </c>
      <c r="C224" t="s">
        <v>705</v>
      </c>
      <c r="D224" t="s">
        <v>723</v>
      </c>
      <c r="E224" s="2">
        <v>14.532</v>
      </c>
    </row>
    <row r="225" spans="1:5" x14ac:dyDescent="0.25">
      <c r="A225" t="s">
        <v>864</v>
      </c>
      <c r="B225" s="12">
        <v>2016</v>
      </c>
      <c r="C225" t="s">
        <v>715</v>
      </c>
      <c r="D225" t="s">
        <v>723</v>
      </c>
      <c r="E225" s="2">
        <v>23.035</v>
      </c>
    </row>
    <row r="226" spans="1:5" s="72" customFormat="1" x14ac:dyDescent="0.25">
      <c r="A226" t="s">
        <v>864</v>
      </c>
      <c r="B226" s="344">
        <v>2016</v>
      </c>
      <c r="C226" s="72" t="s">
        <v>718</v>
      </c>
      <c r="D226" s="72" t="s">
        <v>723</v>
      </c>
      <c r="E226" s="201">
        <v>21.786999999999999</v>
      </c>
    </row>
    <row r="227" spans="1:5" x14ac:dyDescent="0.25">
      <c r="A227" t="s">
        <v>864</v>
      </c>
      <c r="B227" s="12">
        <v>2016</v>
      </c>
      <c r="C227" t="s">
        <v>716</v>
      </c>
      <c r="D227" t="s">
        <v>723</v>
      </c>
      <c r="E227" s="2">
        <v>19.006</v>
      </c>
    </row>
    <row r="228" spans="1:5" x14ac:dyDescent="0.25">
      <c r="A228" t="s">
        <v>864</v>
      </c>
      <c r="B228" s="12">
        <v>2016</v>
      </c>
      <c r="C228" t="s">
        <v>708</v>
      </c>
      <c r="D228" t="s">
        <v>723</v>
      </c>
      <c r="E228" s="2">
        <v>16.167000000000002</v>
      </c>
    </row>
    <row r="229" spans="1:5" x14ac:dyDescent="0.25">
      <c r="A229" t="s">
        <v>864</v>
      </c>
      <c r="B229" s="12">
        <v>2016</v>
      </c>
      <c r="C229" t="s">
        <v>709</v>
      </c>
      <c r="D229" t="s">
        <v>723</v>
      </c>
      <c r="E229" s="2">
        <v>17.138000000000002</v>
      </c>
    </row>
    <row r="230" spans="1:5" x14ac:dyDescent="0.25">
      <c r="A230" t="s">
        <v>864</v>
      </c>
      <c r="B230" s="12">
        <v>2016</v>
      </c>
      <c r="C230" t="s">
        <v>710</v>
      </c>
      <c r="D230" t="s">
        <v>723</v>
      </c>
      <c r="E230" s="2">
        <v>14.318</v>
      </c>
    </row>
    <row r="231" spans="1:5" x14ac:dyDescent="0.25">
      <c r="A231" t="s">
        <v>864</v>
      </c>
      <c r="B231" s="12">
        <v>2016</v>
      </c>
      <c r="C231" t="s">
        <v>711</v>
      </c>
      <c r="D231" t="s">
        <v>723</v>
      </c>
      <c r="E231" s="2">
        <v>16.138000000000002</v>
      </c>
    </row>
    <row r="232" spans="1:5" x14ac:dyDescent="0.25">
      <c r="A232" t="s">
        <v>864</v>
      </c>
      <c r="B232" s="12">
        <v>2016</v>
      </c>
      <c r="C232" t="s">
        <v>712</v>
      </c>
      <c r="D232" t="s">
        <v>723</v>
      </c>
      <c r="E232" s="2">
        <v>22.574999999999999</v>
      </c>
    </row>
    <row r="233" spans="1:5" x14ac:dyDescent="0.25">
      <c r="A233" t="s">
        <v>864</v>
      </c>
      <c r="B233" s="12" t="s">
        <v>813</v>
      </c>
      <c r="C233" t="s">
        <v>719</v>
      </c>
      <c r="D233" t="s">
        <v>723</v>
      </c>
      <c r="E233" s="2">
        <v>34.741</v>
      </c>
    </row>
    <row r="234" spans="1:5" x14ac:dyDescent="0.25">
      <c r="A234" t="s">
        <v>864</v>
      </c>
      <c r="B234" s="12">
        <v>2017</v>
      </c>
      <c r="C234" t="s">
        <v>713</v>
      </c>
      <c r="D234" t="s">
        <v>723</v>
      </c>
      <c r="E234" s="2">
        <v>7.5990000000000002</v>
      </c>
    </row>
    <row r="235" spans="1:5" x14ac:dyDescent="0.25">
      <c r="A235" t="s">
        <v>864</v>
      </c>
      <c r="B235" s="12" t="s">
        <v>813</v>
      </c>
      <c r="C235" t="s">
        <v>714</v>
      </c>
      <c r="D235" t="s">
        <v>723</v>
      </c>
      <c r="E235" s="2">
        <v>8.6460000000000008</v>
      </c>
    </row>
    <row r="236" spans="1:5" x14ac:dyDescent="0.25">
      <c r="A236" t="s">
        <v>864</v>
      </c>
      <c r="B236" s="12">
        <v>2017</v>
      </c>
      <c r="C236" t="s">
        <v>705</v>
      </c>
      <c r="D236" t="s">
        <v>723</v>
      </c>
      <c r="E236" s="2">
        <v>8.5619999999999994</v>
      </c>
    </row>
    <row r="237" spans="1:5" x14ac:dyDescent="0.25">
      <c r="A237" t="s">
        <v>864</v>
      </c>
      <c r="B237" s="12">
        <v>2017</v>
      </c>
      <c r="C237" t="s">
        <v>715</v>
      </c>
      <c r="D237" t="s">
        <v>723</v>
      </c>
      <c r="E237" s="2">
        <v>9.9209999999999994</v>
      </c>
    </row>
    <row r="238" spans="1:5" x14ac:dyDescent="0.25">
      <c r="A238" t="s">
        <v>864</v>
      </c>
      <c r="B238" s="12" t="s">
        <v>813</v>
      </c>
      <c r="C238" t="s">
        <v>718</v>
      </c>
      <c r="D238" t="s">
        <v>723</v>
      </c>
      <c r="E238" s="2">
        <v>7.9870000000000001</v>
      </c>
    </row>
    <row r="239" spans="1:5" x14ac:dyDescent="0.25">
      <c r="A239" t="s">
        <v>864</v>
      </c>
      <c r="B239" s="12">
        <v>2017</v>
      </c>
      <c r="C239" t="s">
        <v>716</v>
      </c>
      <c r="D239" t="s">
        <v>723</v>
      </c>
      <c r="E239" s="2">
        <v>8.6470000000000002</v>
      </c>
    </row>
    <row r="240" spans="1:5" x14ac:dyDescent="0.25">
      <c r="A240" t="s">
        <v>864</v>
      </c>
      <c r="B240" s="12">
        <v>2017</v>
      </c>
      <c r="C240" t="s">
        <v>708</v>
      </c>
      <c r="D240" t="s">
        <v>723</v>
      </c>
      <c r="E240" s="2">
        <v>8.3989999999999991</v>
      </c>
    </row>
    <row r="241" spans="1:5" x14ac:dyDescent="0.25">
      <c r="A241" t="s">
        <v>864</v>
      </c>
      <c r="B241" s="12">
        <v>2017</v>
      </c>
      <c r="C241" t="s">
        <v>709</v>
      </c>
      <c r="D241" t="s">
        <v>723</v>
      </c>
      <c r="E241" s="2">
        <v>8.1850000000000005</v>
      </c>
    </row>
    <row r="242" spans="1:5" x14ac:dyDescent="0.25">
      <c r="A242" t="s">
        <v>864</v>
      </c>
      <c r="B242" s="12">
        <v>2017</v>
      </c>
      <c r="C242" t="s">
        <v>710</v>
      </c>
      <c r="D242" t="s">
        <v>723</v>
      </c>
      <c r="E242" s="2">
        <v>8.782</v>
      </c>
    </row>
    <row r="243" spans="1:5" x14ac:dyDescent="0.25">
      <c r="A243" t="s">
        <v>864</v>
      </c>
      <c r="B243" s="12">
        <v>2017</v>
      </c>
      <c r="C243" t="s">
        <v>711</v>
      </c>
      <c r="D243" t="s">
        <v>723</v>
      </c>
      <c r="E243" s="2">
        <v>8.67</v>
      </c>
    </row>
    <row r="244" spans="1:5" x14ac:dyDescent="0.25">
      <c r="A244" t="s">
        <v>864</v>
      </c>
      <c r="B244" s="12">
        <v>2017</v>
      </c>
      <c r="C244" t="s">
        <v>712</v>
      </c>
      <c r="D244" t="s">
        <v>723</v>
      </c>
      <c r="E244" s="2">
        <v>8.3010000000000002</v>
      </c>
    </row>
    <row r="245" spans="1:5" x14ac:dyDescent="0.25">
      <c r="A245" t="s">
        <v>864</v>
      </c>
      <c r="B245" s="12">
        <v>2018</v>
      </c>
      <c r="C245" t="s">
        <v>719</v>
      </c>
      <c r="D245" t="s">
        <v>723</v>
      </c>
      <c r="E245" s="2">
        <v>8.9130000000000003</v>
      </c>
    </row>
    <row r="246" spans="1:5" x14ac:dyDescent="0.25">
      <c r="A246" t="s">
        <v>864</v>
      </c>
      <c r="B246" s="12">
        <v>2018</v>
      </c>
      <c r="C246" t="s">
        <v>713</v>
      </c>
      <c r="D246" t="s">
        <v>723</v>
      </c>
      <c r="E246" s="2">
        <v>13.37</v>
      </c>
    </row>
    <row r="247" spans="1:5" x14ac:dyDescent="0.25">
      <c r="A247" t="s">
        <v>864</v>
      </c>
      <c r="B247" s="12">
        <v>2018</v>
      </c>
      <c r="C247" t="s">
        <v>714</v>
      </c>
      <c r="D247" t="s">
        <v>723</v>
      </c>
      <c r="E247" s="2">
        <v>14.83</v>
      </c>
    </row>
    <row r="248" spans="1:5" s="72" customFormat="1" x14ac:dyDescent="0.25">
      <c r="A248" t="s">
        <v>864</v>
      </c>
      <c r="B248" s="344">
        <v>2018</v>
      </c>
      <c r="C248" s="72" t="s">
        <v>705</v>
      </c>
      <c r="D248" s="72" t="s">
        <v>723</v>
      </c>
      <c r="E248" s="201">
        <v>14.91</v>
      </c>
    </row>
    <row r="249" spans="1:5" s="72" customFormat="1" x14ac:dyDescent="0.25">
      <c r="A249" t="s">
        <v>864</v>
      </c>
      <c r="B249" s="344">
        <v>2018</v>
      </c>
      <c r="C249" s="72" t="s">
        <v>715</v>
      </c>
      <c r="D249" s="72" t="s">
        <v>723</v>
      </c>
      <c r="E249" s="201">
        <v>17.57</v>
      </c>
    </row>
    <row r="250" spans="1:5" x14ac:dyDescent="0.25">
      <c r="A250" t="s">
        <v>864</v>
      </c>
      <c r="B250" s="12">
        <v>2018</v>
      </c>
      <c r="C250" t="s">
        <v>718</v>
      </c>
      <c r="D250" t="s">
        <v>723</v>
      </c>
      <c r="E250" s="2">
        <v>16.91</v>
      </c>
    </row>
    <row r="251" spans="1:5" x14ac:dyDescent="0.25">
      <c r="A251" t="s">
        <v>864</v>
      </c>
      <c r="B251" s="12">
        <v>2018</v>
      </c>
      <c r="C251" t="s">
        <v>716</v>
      </c>
      <c r="D251" t="s">
        <v>723</v>
      </c>
      <c r="E251" s="2">
        <v>16.11</v>
      </c>
    </row>
    <row r="252" spans="1:5" x14ac:dyDescent="0.25">
      <c r="A252" t="s">
        <v>864</v>
      </c>
      <c r="B252" s="12">
        <v>2018</v>
      </c>
      <c r="C252" t="s">
        <v>708</v>
      </c>
      <c r="D252" t="s">
        <v>723</v>
      </c>
      <c r="E252" s="2">
        <v>17.649999999999999</v>
      </c>
    </row>
    <row r="253" spans="1:5" x14ac:dyDescent="0.25">
      <c r="A253" t="s">
        <v>864</v>
      </c>
      <c r="B253" s="12">
        <v>2018</v>
      </c>
      <c r="C253" t="s">
        <v>709</v>
      </c>
      <c r="D253" t="s">
        <v>723</v>
      </c>
      <c r="E253" s="2">
        <v>13.91</v>
      </c>
    </row>
    <row r="254" spans="1:5" s="80" customFormat="1" x14ac:dyDescent="0.25">
      <c r="A254" t="s">
        <v>864</v>
      </c>
      <c r="B254" s="345">
        <v>2018</v>
      </c>
      <c r="C254" s="80" t="s">
        <v>710</v>
      </c>
      <c r="D254" s="80" t="s">
        <v>723</v>
      </c>
      <c r="E254" s="343">
        <v>11.92</v>
      </c>
    </row>
    <row r="255" spans="1:5" s="72" customFormat="1" x14ac:dyDescent="0.25">
      <c r="A255" t="s">
        <v>864</v>
      </c>
      <c r="B255" s="344">
        <v>2018</v>
      </c>
      <c r="C255" s="72" t="s">
        <v>711</v>
      </c>
      <c r="D255" s="72" t="s">
        <v>723</v>
      </c>
      <c r="E255" s="201">
        <v>13.72</v>
      </c>
    </row>
    <row r="256" spans="1:5" s="72" customFormat="1" x14ac:dyDescent="0.25">
      <c r="A256" t="s">
        <v>864</v>
      </c>
      <c r="B256" s="344">
        <v>2018</v>
      </c>
      <c r="C256" s="72" t="s">
        <v>712</v>
      </c>
      <c r="D256" s="72" t="s">
        <v>723</v>
      </c>
      <c r="E256" s="201">
        <v>14.71</v>
      </c>
    </row>
    <row r="257" spans="1:5" x14ac:dyDescent="0.25">
      <c r="A257" t="s">
        <v>864</v>
      </c>
      <c r="B257" s="12">
        <v>2019</v>
      </c>
      <c r="C257" t="s">
        <v>719</v>
      </c>
      <c r="D257" t="s">
        <v>723</v>
      </c>
      <c r="E257" s="2">
        <v>14.32</v>
      </c>
    </row>
    <row r="258" spans="1:5" s="72" customFormat="1" x14ac:dyDescent="0.25">
      <c r="A258" t="s">
        <v>864</v>
      </c>
      <c r="B258" s="344">
        <v>2019</v>
      </c>
      <c r="C258" s="72" t="s">
        <v>713</v>
      </c>
      <c r="D258" s="72" t="s">
        <v>723</v>
      </c>
      <c r="E258" s="201">
        <v>12.78</v>
      </c>
    </row>
    <row r="259" spans="1:5" s="72" customFormat="1" x14ac:dyDescent="0.25">
      <c r="A259" t="s">
        <v>864</v>
      </c>
      <c r="B259" s="344">
        <v>2019</v>
      </c>
      <c r="C259" s="72" t="s">
        <v>714</v>
      </c>
      <c r="D259" s="72" t="s">
        <v>723</v>
      </c>
      <c r="E259" s="201">
        <v>15.35</v>
      </c>
    </row>
    <row r="260" spans="1:5" s="72" customFormat="1" x14ac:dyDescent="0.25">
      <c r="A260" t="s">
        <v>864</v>
      </c>
      <c r="B260" s="344">
        <v>2019</v>
      </c>
      <c r="C260" s="72" t="s">
        <v>705</v>
      </c>
      <c r="D260" s="72" t="s">
        <v>723</v>
      </c>
      <c r="E260" s="201">
        <v>11.56</v>
      </c>
    </row>
    <row r="261" spans="1:5" s="72" customFormat="1" x14ac:dyDescent="0.25">
      <c r="A261" t="s">
        <v>864</v>
      </c>
      <c r="B261" s="344">
        <v>2019</v>
      </c>
      <c r="C261" s="72" t="s">
        <v>715</v>
      </c>
      <c r="D261" s="72" t="s">
        <v>723</v>
      </c>
      <c r="E261" s="201">
        <v>12.85</v>
      </c>
    </row>
    <row r="262" spans="1:5" s="72" customFormat="1" x14ac:dyDescent="0.25">
      <c r="A262" t="s">
        <v>864</v>
      </c>
      <c r="B262" s="344">
        <v>2019</v>
      </c>
      <c r="C262" s="72" t="s">
        <v>718</v>
      </c>
      <c r="D262" s="72" t="s">
        <v>723</v>
      </c>
      <c r="E262" s="201">
        <v>9.766</v>
      </c>
    </row>
    <row r="263" spans="1:5" s="72" customFormat="1" x14ac:dyDescent="0.25">
      <c r="A263" t="s">
        <v>864</v>
      </c>
      <c r="B263" s="344">
        <v>2019</v>
      </c>
      <c r="C263" s="72" t="s">
        <v>716</v>
      </c>
      <c r="D263" s="72" t="s">
        <v>723</v>
      </c>
      <c r="E263" s="201">
        <v>10.15</v>
      </c>
    </row>
    <row r="264" spans="1:5" s="72" customFormat="1" x14ac:dyDescent="0.25">
      <c r="A264" t="s">
        <v>864</v>
      </c>
      <c r="B264" s="344">
        <v>2019</v>
      </c>
      <c r="C264" s="72" t="s">
        <v>708</v>
      </c>
      <c r="D264" s="72" t="s">
        <v>723</v>
      </c>
      <c r="E264" s="201">
        <v>9.8190000000000008</v>
      </c>
    </row>
    <row r="265" spans="1:5" s="72" customFormat="1" x14ac:dyDescent="0.25">
      <c r="A265" t="s">
        <v>864</v>
      </c>
      <c r="B265" s="344">
        <v>2019</v>
      </c>
      <c r="C265" s="72" t="s">
        <v>709</v>
      </c>
      <c r="D265" s="72" t="s">
        <v>723</v>
      </c>
      <c r="E265" s="201">
        <v>8.8659999999999997</v>
      </c>
    </row>
    <row r="266" spans="1:5" x14ac:dyDescent="0.25">
      <c r="A266" t="s">
        <v>864</v>
      </c>
      <c r="B266" s="12">
        <v>2019</v>
      </c>
      <c r="C266" t="s">
        <v>710</v>
      </c>
      <c r="D266" t="s">
        <v>723</v>
      </c>
      <c r="E266" s="2">
        <v>9.8719999999999999</v>
      </c>
    </row>
    <row r="267" spans="1:5" x14ac:dyDescent="0.25">
      <c r="A267" t="s">
        <v>864</v>
      </c>
      <c r="B267" s="12">
        <v>2019</v>
      </c>
      <c r="C267" t="s">
        <v>711</v>
      </c>
      <c r="D267" t="s">
        <v>723</v>
      </c>
      <c r="E267" s="2">
        <v>9.2539999999999996</v>
      </c>
    </row>
    <row r="268" spans="1:5" x14ac:dyDescent="0.25">
      <c r="A268" t="s">
        <v>864</v>
      </c>
      <c r="B268" s="12">
        <v>2019</v>
      </c>
      <c r="C268" t="s">
        <v>712</v>
      </c>
      <c r="D268" t="s">
        <v>723</v>
      </c>
      <c r="E268" s="2">
        <v>10.36</v>
      </c>
    </row>
    <row r="269" spans="1:5" x14ac:dyDescent="0.25">
      <c r="A269" t="s">
        <v>864</v>
      </c>
      <c r="B269" s="12" t="s">
        <v>814</v>
      </c>
      <c r="C269" t="s">
        <v>719</v>
      </c>
      <c r="D269" t="s">
        <v>723</v>
      </c>
      <c r="E269" s="2">
        <v>16.998000000000001</v>
      </c>
    </row>
    <row r="270" spans="1:5" x14ac:dyDescent="0.25">
      <c r="A270" t="s">
        <v>864</v>
      </c>
      <c r="B270" s="12" t="s">
        <v>814</v>
      </c>
      <c r="C270" t="s">
        <v>713</v>
      </c>
      <c r="D270" t="s">
        <v>723</v>
      </c>
      <c r="E270" s="2">
        <v>19.53</v>
      </c>
    </row>
    <row r="271" spans="1:5" x14ac:dyDescent="0.25">
      <c r="A271" t="s">
        <v>864</v>
      </c>
      <c r="B271" s="12" t="s">
        <v>814</v>
      </c>
      <c r="C271" t="s">
        <v>714</v>
      </c>
      <c r="D271" t="s">
        <v>723</v>
      </c>
      <c r="E271" s="2">
        <v>19.36</v>
      </c>
    </row>
    <row r="272" spans="1:5" x14ac:dyDescent="0.25">
      <c r="A272" t="s">
        <v>864</v>
      </c>
      <c r="B272" s="12" t="s">
        <v>814</v>
      </c>
      <c r="C272" t="s">
        <v>705</v>
      </c>
      <c r="D272" t="s">
        <v>723</v>
      </c>
      <c r="E272" s="2">
        <v>19.3</v>
      </c>
    </row>
    <row r="273" spans="1:5" x14ac:dyDescent="0.25">
      <c r="A273" t="s">
        <v>864</v>
      </c>
      <c r="B273" s="12" t="s">
        <v>814</v>
      </c>
      <c r="C273" t="s">
        <v>715</v>
      </c>
      <c r="D273" t="s">
        <v>723</v>
      </c>
      <c r="E273" s="2">
        <v>20.309999999999999</v>
      </c>
    </row>
    <row r="274" spans="1:5" x14ac:dyDescent="0.25">
      <c r="A274" t="s">
        <v>864</v>
      </c>
      <c r="B274" s="12" t="s">
        <v>814</v>
      </c>
      <c r="C274" t="s">
        <v>718</v>
      </c>
      <c r="D274" t="s">
        <v>723</v>
      </c>
      <c r="E274" s="2">
        <v>18.97</v>
      </c>
    </row>
    <row r="275" spans="1:5" x14ac:dyDescent="0.25">
      <c r="A275" t="s">
        <v>864</v>
      </c>
      <c r="B275" s="12">
        <v>2020</v>
      </c>
      <c r="C275" t="s">
        <v>716</v>
      </c>
      <c r="D275" t="s">
        <v>723</v>
      </c>
      <c r="E275" s="2">
        <v>19.13</v>
      </c>
    </row>
    <row r="276" spans="1:5" x14ac:dyDescent="0.25">
      <c r="A276" t="s">
        <v>864</v>
      </c>
      <c r="B276" s="12" t="s">
        <v>814</v>
      </c>
      <c r="C276" t="s">
        <v>708</v>
      </c>
      <c r="D276" t="s">
        <v>723</v>
      </c>
      <c r="E276" s="2">
        <v>20.18</v>
      </c>
    </row>
    <row r="277" spans="1:5" x14ac:dyDescent="0.25">
      <c r="A277" t="s">
        <v>864</v>
      </c>
      <c r="B277" s="12" t="s">
        <v>814</v>
      </c>
      <c r="C277" t="s">
        <v>709</v>
      </c>
      <c r="D277" t="s">
        <v>723</v>
      </c>
      <c r="E277" s="2">
        <v>18.64</v>
      </c>
    </row>
    <row r="278" spans="1:5" x14ac:dyDescent="0.25">
      <c r="A278" t="s">
        <v>864</v>
      </c>
      <c r="B278" s="12" t="s">
        <v>814</v>
      </c>
      <c r="C278" t="s">
        <v>710</v>
      </c>
      <c r="D278" t="s">
        <v>723</v>
      </c>
      <c r="E278" s="2">
        <v>18.59</v>
      </c>
    </row>
    <row r="279" spans="1:5" x14ac:dyDescent="0.25">
      <c r="A279" t="s">
        <v>864</v>
      </c>
      <c r="B279" s="12" t="s">
        <v>814</v>
      </c>
      <c r="C279" t="s">
        <v>711</v>
      </c>
      <c r="D279" t="s">
        <v>723</v>
      </c>
      <c r="E279" s="2">
        <v>19.38</v>
      </c>
    </row>
    <row r="280" spans="1:5" x14ac:dyDescent="0.25">
      <c r="A280" t="s">
        <v>864</v>
      </c>
      <c r="B280" s="12" t="s">
        <v>814</v>
      </c>
      <c r="C280" t="s">
        <v>712</v>
      </c>
      <c r="D280" t="s">
        <v>723</v>
      </c>
      <c r="E280" s="2">
        <v>22.3</v>
      </c>
    </row>
    <row r="281" spans="1:5" x14ac:dyDescent="0.25">
      <c r="A281" t="s">
        <v>864</v>
      </c>
      <c r="B281" s="12" t="s">
        <v>833</v>
      </c>
      <c r="C281" t="s">
        <v>719</v>
      </c>
      <c r="D281" t="s">
        <v>723</v>
      </c>
      <c r="E281" s="2">
        <v>21.37</v>
      </c>
    </row>
    <row r="282" spans="1:5" x14ac:dyDescent="0.25">
      <c r="A282" t="s">
        <v>864</v>
      </c>
      <c r="B282" s="12" t="s">
        <v>833</v>
      </c>
      <c r="C282" t="s">
        <v>713</v>
      </c>
      <c r="D282" t="s">
        <v>723</v>
      </c>
      <c r="E282" s="2">
        <v>20.43</v>
      </c>
    </row>
    <row r="283" spans="1:5" x14ac:dyDescent="0.25">
      <c r="A283" t="s">
        <v>864</v>
      </c>
      <c r="B283" s="12" t="s">
        <v>833</v>
      </c>
      <c r="C283" t="s">
        <v>714</v>
      </c>
      <c r="D283" t="s">
        <v>723</v>
      </c>
      <c r="E283" s="2">
        <v>22.76</v>
      </c>
    </row>
    <row r="284" spans="1:5" x14ac:dyDescent="0.25">
      <c r="A284" t="s">
        <v>864</v>
      </c>
      <c r="B284" s="12" t="s">
        <v>833</v>
      </c>
      <c r="C284" t="s">
        <v>705</v>
      </c>
      <c r="D284" t="s">
        <v>723</v>
      </c>
      <c r="E284" s="2">
        <v>22.43</v>
      </c>
    </row>
    <row r="285" spans="1:5" x14ac:dyDescent="0.25">
      <c r="A285" t="s">
        <v>864</v>
      </c>
      <c r="B285" s="12" t="s">
        <v>833</v>
      </c>
      <c r="C285" t="s">
        <v>715</v>
      </c>
      <c r="D285" t="s">
        <v>723</v>
      </c>
      <c r="E285" s="2">
        <v>21.65</v>
      </c>
    </row>
    <row r="286" spans="1:5" x14ac:dyDescent="0.25">
      <c r="A286" t="s">
        <v>864</v>
      </c>
      <c r="B286" s="12" t="s">
        <v>833</v>
      </c>
      <c r="C286" t="s">
        <v>718</v>
      </c>
      <c r="D286" t="s">
        <v>723</v>
      </c>
      <c r="E286" s="2">
        <v>20.95</v>
      </c>
    </row>
    <row r="287" spans="1:5" x14ac:dyDescent="0.25">
      <c r="A287" t="s">
        <v>864</v>
      </c>
      <c r="B287" s="12" t="s">
        <v>833</v>
      </c>
      <c r="C287" t="s">
        <v>716</v>
      </c>
      <c r="D287" t="s">
        <v>723</v>
      </c>
      <c r="E287" s="2">
        <v>20.53</v>
      </c>
    </row>
    <row r="288" spans="1:5" x14ac:dyDescent="0.25">
      <c r="A288" t="s">
        <v>864</v>
      </c>
      <c r="B288" s="12" t="s">
        <v>833</v>
      </c>
      <c r="C288" t="s">
        <v>708</v>
      </c>
      <c r="D288" t="s">
        <v>723</v>
      </c>
      <c r="E288" s="2">
        <v>20.37</v>
      </c>
    </row>
    <row r="289" spans="1:5" x14ac:dyDescent="0.25">
      <c r="A289" t="s">
        <v>864</v>
      </c>
      <c r="B289" s="12" t="s">
        <v>833</v>
      </c>
      <c r="C289" t="s">
        <v>709</v>
      </c>
      <c r="D289" t="s">
        <v>723</v>
      </c>
      <c r="E289" s="2">
        <v>19.57</v>
      </c>
    </row>
    <row r="290" spans="1:5" x14ac:dyDescent="0.25">
      <c r="A290" t="s">
        <v>864</v>
      </c>
      <c r="B290" s="12" t="s">
        <v>833</v>
      </c>
      <c r="C290" t="s">
        <v>710</v>
      </c>
      <c r="D290" t="s">
        <v>723</v>
      </c>
      <c r="E290" s="2">
        <v>19.25</v>
      </c>
    </row>
    <row r="291" spans="1:5" x14ac:dyDescent="0.25">
      <c r="A291" t="s">
        <v>864</v>
      </c>
      <c r="B291" s="12" t="s">
        <v>833</v>
      </c>
      <c r="C291" t="s">
        <v>711</v>
      </c>
      <c r="D291" t="s">
        <v>723</v>
      </c>
      <c r="E291" s="2">
        <v>18.440000000000001</v>
      </c>
    </row>
    <row r="292" spans="1:5" x14ac:dyDescent="0.25">
      <c r="A292" t="s">
        <v>864</v>
      </c>
      <c r="B292" s="12" t="s">
        <v>833</v>
      </c>
      <c r="C292" t="s">
        <v>712</v>
      </c>
      <c r="D292" t="s">
        <v>723</v>
      </c>
      <c r="E292" s="2">
        <v>18.11</v>
      </c>
    </row>
    <row r="293" spans="1:5" x14ac:dyDescent="0.25">
      <c r="A293" t="s">
        <v>864</v>
      </c>
      <c r="B293" s="12" t="s">
        <v>834</v>
      </c>
      <c r="C293" t="s">
        <v>719</v>
      </c>
      <c r="D293" t="s">
        <v>723</v>
      </c>
      <c r="E293" s="2">
        <v>20.09</v>
      </c>
    </row>
    <row r="294" spans="1:5" x14ac:dyDescent="0.25">
      <c r="A294" t="s">
        <v>864</v>
      </c>
      <c r="B294" s="12" t="s">
        <v>834</v>
      </c>
      <c r="C294" t="s">
        <v>713</v>
      </c>
      <c r="D294" t="s">
        <v>723</v>
      </c>
      <c r="E294" s="2">
        <v>18.37</v>
      </c>
    </row>
    <row r="295" spans="1:5" x14ac:dyDescent="0.25">
      <c r="A295" t="s">
        <v>864</v>
      </c>
      <c r="B295" s="12" t="s">
        <v>834</v>
      </c>
      <c r="C295" t="s">
        <v>714</v>
      </c>
      <c r="D295" t="s">
        <v>723</v>
      </c>
      <c r="E295" s="2">
        <v>19.27</v>
      </c>
    </row>
    <row r="296" spans="1:5" x14ac:dyDescent="0.25">
      <c r="A296" t="s">
        <v>864</v>
      </c>
      <c r="B296" s="12" t="s">
        <v>834</v>
      </c>
      <c r="C296" t="s">
        <v>705</v>
      </c>
      <c r="D296" t="s">
        <v>723</v>
      </c>
      <c r="E296" s="2">
        <v>19.440000000000001</v>
      </c>
    </row>
    <row r="297" spans="1:5" x14ac:dyDescent="0.25">
      <c r="A297" t="s">
        <v>864</v>
      </c>
      <c r="B297" s="12" t="s">
        <v>834</v>
      </c>
      <c r="C297" t="s">
        <v>715</v>
      </c>
      <c r="D297" t="s">
        <v>723</v>
      </c>
      <c r="E297" s="2">
        <v>21.58</v>
      </c>
    </row>
    <row r="298" spans="1:5" x14ac:dyDescent="0.25">
      <c r="A298" t="s">
        <v>864</v>
      </c>
      <c r="B298" s="12" t="s">
        <v>834</v>
      </c>
      <c r="C298" t="s">
        <v>718</v>
      </c>
      <c r="D298" t="s">
        <v>723</v>
      </c>
      <c r="E298" s="2">
        <v>18.440000000000001</v>
      </c>
    </row>
    <row r="299" spans="1:5" x14ac:dyDescent="0.25">
      <c r="A299" t="s">
        <v>864</v>
      </c>
      <c r="B299" s="12" t="s">
        <v>834</v>
      </c>
      <c r="C299" t="s">
        <v>716</v>
      </c>
      <c r="D299" t="s">
        <v>723</v>
      </c>
      <c r="E299" s="2">
        <v>17.399999999999999</v>
      </c>
    </row>
    <row r="300" spans="1:5" x14ac:dyDescent="0.25">
      <c r="A300" t="s">
        <v>864</v>
      </c>
      <c r="B300" s="12" t="s">
        <v>834</v>
      </c>
      <c r="C300" t="s">
        <v>708</v>
      </c>
      <c r="D300" t="s">
        <v>723</v>
      </c>
      <c r="E300" s="2">
        <v>15.45</v>
      </c>
    </row>
    <row r="301" spans="1:5" x14ac:dyDescent="0.25">
      <c r="A301" t="s">
        <v>864</v>
      </c>
      <c r="B301" s="12" t="s">
        <v>834</v>
      </c>
      <c r="C301" t="s">
        <v>709</v>
      </c>
      <c r="D301" t="s">
        <v>723</v>
      </c>
      <c r="E301" s="2">
        <v>13.82</v>
      </c>
    </row>
    <row r="302" spans="1:5" x14ac:dyDescent="0.25">
      <c r="A302" t="s">
        <v>864</v>
      </c>
      <c r="B302" s="12" t="s">
        <v>834</v>
      </c>
      <c r="C302" t="s">
        <v>710</v>
      </c>
      <c r="D302" t="s">
        <v>723</v>
      </c>
      <c r="E302" s="2">
        <v>15.5</v>
      </c>
    </row>
    <row r="303" spans="1:5" x14ac:dyDescent="0.25">
      <c r="A303" t="s">
        <v>864</v>
      </c>
      <c r="B303" s="12" t="s">
        <v>834</v>
      </c>
      <c r="C303" t="s">
        <v>711</v>
      </c>
      <c r="D303" t="s">
        <v>723</v>
      </c>
      <c r="E303" s="2">
        <v>16.11</v>
      </c>
    </row>
    <row r="304" spans="1:5" x14ac:dyDescent="0.25">
      <c r="A304" t="s">
        <v>864</v>
      </c>
      <c r="B304" s="12" t="s">
        <v>834</v>
      </c>
      <c r="C304" t="s">
        <v>712</v>
      </c>
      <c r="D304" t="s">
        <v>723</v>
      </c>
      <c r="E304" s="2">
        <v>17.600000000000001</v>
      </c>
    </row>
    <row r="305" spans="1:5" x14ac:dyDescent="0.25">
      <c r="A305" t="s">
        <v>864</v>
      </c>
      <c r="B305" s="12" t="s">
        <v>835</v>
      </c>
      <c r="C305" t="s">
        <v>719</v>
      </c>
      <c r="D305" t="s">
        <v>723</v>
      </c>
      <c r="E305" s="2">
        <v>18.100000000000001</v>
      </c>
    </row>
    <row r="306" spans="1:5" x14ac:dyDescent="0.25">
      <c r="A306" t="s">
        <v>864</v>
      </c>
      <c r="B306" s="12" t="s">
        <v>835</v>
      </c>
      <c r="C306" t="s">
        <v>713</v>
      </c>
      <c r="D306" t="s">
        <v>723</v>
      </c>
      <c r="E306" s="2">
        <v>17.04</v>
      </c>
    </row>
    <row r="307" spans="1:5" x14ac:dyDescent="0.25">
      <c r="A307" t="s">
        <v>864</v>
      </c>
      <c r="B307" s="12" t="s">
        <v>835</v>
      </c>
      <c r="C307" t="s">
        <v>714</v>
      </c>
      <c r="D307" t="s">
        <v>723</v>
      </c>
      <c r="E307" s="2">
        <v>18.670000000000002</v>
      </c>
    </row>
    <row r="308" spans="1:5" x14ac:dyDescent="0.25">
      <c r="A308" t="s">
        <v>864</v>
      </c>
      <c r="B308" s="12" t="s">
        <v>835</v>
      </c>
      <c r="C308" t="s">
        <v>705</v>
      </c>
      <c r="D308" t="s">
        <v>723</v>
      </c>
      <c r="E308" s="2">
        <v>15.98</v>
      </c>
    </row>
    <row r="309" spans="1:5" x14ac:dyDescent="0.25">
      <c r="A309" t="s">
        <v>864</v>
      </c>
      <c r="B309" s="12" t="s">
        <v>835</v>
      </c>
      <c r="C309" t="s">
        <v>715</v>
      </c>
      <c r="D309" t="s">
        <v>723</v>
      </c>
      <c r="E309" s="2">
        <v>16</v>
      </c>
    </row>
    <row r="310" spans="1:5" x14ac:dyDescent="0.25">
      <c r="A310" t="s">
        <v>864</v>
      </c>
      <c r="B310" s="12" t="s">
        <v>835</v>
      </c>
      <c r="C310" t="s">
        <v>718</v>
      </c>
      <c r="D310" t="s">
        <v>723</v>
      </c>
      <c r="E310" s="2">
        <v>14.39</v>
      </c>
    </row>
    <row r="311" spans="1:5" x14ac:dyDescent="0.25">
      <c r="A311" t="s">
        <v>864</v>
      </c>
      <c r="B311" s="12" t="s">
        <v>835</v>
      </c>
      <c r="C311" t="s">
        <v>716</v>
      </c>
      <c r="D311" t="s">
        <v>723</v>
      </c>
      <c r="E311" s="2">
        <v>14.97</v>
      </c>
    </row>
    <row r="312" spans="1:5" x14ac:dyDescent="0.25">
      <c r="A312" t="s">
        <v>864</v>
      </c>
      <c r="B312" s="12" t="s">
        <v>835</v>
      </c>
      <c r="C312" t="s">
        <v>708</v>
      </c>
      <c r="D312" t="s">
        <v>723</v>
      </c>
      <c r="E312" s="2">
        <v>15.24</v>
      </c>
    </row>
    <row r="313" spans="1:5" x14ac:dyDescent="0.25">
      <c r="A313" t="s">
        <v>864</v>
      </c>
      <c r="B313" s="12" t="s">
        <v>835</v>
      </c>
      <c r="C313" t="s">
        <v>709</v>
      </c>
      <c r="D313" t="s">
        <v>723</v>
      </c>
      <c r="E313" s="2">
        <v>13.2</v>
      </c>
    </row>
    <row r="314" spans="1:5" x14ac:dyDescent="0.25">
      <c r="A314" t="s">
        <v>864</v>
      </c>
      <c r="D314" t="s">
        <v>723</v>
      </c>
    </row>
    <row r="315" spans="1:5" x14ac:dyDescent="0.25">
      <c r="A315" t="s">
        <v>864</v>
      </c>
      <c r="D315" t="s">
        <v>723</v>
      </c>
    </row>
    <row r="316" spans="1:5" x14ac:dyDescent="0.25">
      <c r="A316" t="s">
        <v>864</v>
      </c>
      <c r="D316" t="s">
        <v>723</v>
      </c>
    </row>
    <row r="317" spans="1:5" x14ac:dyDescent="0.25">
      <c r="A317" t="s">
        <v>864</v>
      </c>
      <c r="B317" s="12">
        <v>2018</v>
      </c>
      <c r="C317" t="s">
        <v>710</v>
      </c>
      <c r="D317" t="s">
        <v>723</v>
      </c>
      <c r="E317" s="2">
        <v>11.26</v>
      </c>
    </row>
    <row r="318" spans="1:5" x14ac:dyDescent="0.25">
      <c r="A318" t="s">
        <v>864</v>
      </c>
      <c r="B318" s="12">
        <v>2018</v>
      </c>
      <c r="C318" t="s">
        <v>711</v>
      </c>
      <c r="D318" t="s">
        <v>723</v>
      </c>
      <c r="E318" s="2">
        <v>13.72</v>
      </c>
    </row>
    <row r="319" spans="1:5" x14ac:dyDescent="0.25">
      <c r="A319" t="s">
        <v>864</v>
      </c>
      <c r="B319" s="12">
        <v>2018</v>
      </c>
      <c r="C319" t="s">
        <v>712</v>
      </c>
      <c r="D319" t="s">
        <v>723</v>
      </c>
      <c r="E319" s="2">
        <v>14.71</v>
      </c>
    </row>
    <row r="320" spans="1:5" x14ac:dyDescent="0.25">
      <c r="A320" t="s">
        <v>864</v>
      </c>
      <c r="B320" s="12">
        <v>1997</v>
      </c>
      <c r="C320" t="s">
        <v>710</v>
      </c>
      <c r="D320" t="s">
        <v>724</v>
      </c>
      <c r="E320" s="2">
        <v>13.789899999999999</v>
      </c>
    </row>
    <row r="321" spans="1:5" x14ac:dyDescent="0.25">
      <c r="A321" t="s">
        <v>864</v>
      </c>
      <c r="B321" s="12">
        <v>1997</v>
      </c>
      <c r="C321" t="s">
        <v>711</v>
      </c>
      <c r="D321" t="s">
        <v>724</v>
      </c>
      <c r="E321" s="2">
        <v>17.671586000000001</v>
      </c>
    </row>
    <row r="322" spans="1:5" x14ac:dyDescent="0.25">
      <c r="A322" t="s">
        <v>864</v>
      </c>
      <c r="B322" s="12">
        <v>1997</v>
      </c>
      <c r="C322" t="s">
        <v>712</v>
      </c>
      <c r="D322" t="s">
        <v>724</v>
      </c>
      <c r="E322" s="2">
        <v>16.518913999999999</v>
      </c>
    </row>
    <row r="323" spans="1:5" x14ac:dyDescent="0.25">
      <c r="A323" t="s">
        <v>864</v>
      </c>
      <c r="B323" s="12">
        <v>1998</v>
      </c>
      <c r="C323" t="s">
        <v>719</v>
      </c>
      <c r="D323" t="s">
        <v>724</v>
      </c>
      <c r="E323" s="2">
        <v>18.1614</v>
      </c>
    </row>
    <row r="324" spans="1:5" x14ac:dyDescent="0.25">
      <c r="A324" t="s">
        <v>864</v>
      </c>
      <c r="B324" s="12">
        <v>1998</v>
      </c>
      <c r="C324" t="s">
        <v>713</v>
      </c>
      <c r="D324" t="s">
        <v>724</v>
      </c>
      <c r="E324" s="2">
        <v>19.9816</v>
      </c>
    </row>
    <row r="325" spans="1:5" x14ac:dyDescent="0.25">
      <c r="A325" t="s">
        <v>864</v>
      </c>
      <c r="B325" s="12">
        <v>1998</v>
      </c>
      <c r="C325" t="s">
        <v>714</v>
      </c>
      <c r="D325" t="s">
        <v>724</v>
      </c>
      <c r="E325" s="2">
        <v>25.140599999999999</v>
      </c>
    </row>
    <row r="326" spans="1:5" x14ac:dyDescent="0.25">
      <c r="A326" t="s">
        <v>864</v>
      </c>
      <c r="B326" s="12">
        <v>1998</v>
      </c>
      <c r="C326" t="s">
        <v>705</v>
      </c>
      <c r="D326" t="s">
        <v>724</v>
      </c>
      <c r="E326" s="2">
        <v>21.300514</v>
      </c>
    </row>
    <row r="327" spans="1:5" x14ac:dyDescent="0.25">
      <c r="A327" t="s">
        <v>864</v>
      </c>
      <c r="B327" s="12">
        <v>1998</v>
      </c>
      <c r="C327" t="s">
        <v>715</v>
      </c>
      <c r="D327" t="s">
        <v>724</v>
      </c>
      <c r="E327" s="2">
        <v>22.493600000000001</v>
      </c>
    </row>
    <row r="328" spans="1:5" x14ac:dyDescent="0.25">
      <c r="A328" t="s">
        <v>864</v>
      </c>
      <c r="B328" s="12">
        <v>1998</v>
      </c>
      <c r="C328" t="s">
        <v>718</v>
      </c>
      <c r="D328" t="s">
        <v>724</v>
      </c>
      <c r="E328" s="2">
        <v>17.787686000000001</v>
      </c>
    </row>
    <row r="329" spans="1:5" x14ac:dyDescent="0.25">
      <c r="A329" t="s">
        <v>864</v>
      </c>
      <c r="B329" s="12">
        <v>1998</v>
      </c>
      <c r="C329" t="s">
        <v>716</v>
      </c>
      <c r="D329" t="s">
        <v>724</v>
      </c>
      <c r="E329" s="2">
        <v>15.007457</v>
      </c>
    </row>
    <row r="330" spans="1:5" x14ac:dyDescent="0.25">
      <c r="A330" t="s">
        <v>864</v>
      </c>
      <c r="B330" s="12">
        <v>1998</v>
      </c>
      <c r="C330" t="s">
        <v>708</v>
      </c>
      <c r="D330" t="s">
        <v>724</v>
      </c>
      <c r="E330" s="2">
        <v>13.954772</v>
      </c>
    </row>
    <row r="331" spans="1:5" x14ac:dyDescent="0.25">
      <c r="A331" t="s">
        <v>864</v>
      </c>
      <c r="B331" s="12">
        <v>1998</v>
      </c>
      <c r="C331" t="s">
        <v>709</v>
      </c>
      <c r="D331" t="s">
        <v>724</v>
      </c>
      <c r="E331" s="2">
        <v>11.921929</v>
      </c>
    </row>
    <row r="332" spans="1:5" x14ac:dyDescent="0.25">
      <c r="A332" t="s">
        <v>864</v>
      </c>
      <c r="B332" s="12">
        <v>1998</v>
      </c>
      <c r="C332" t="s">
        <v>710</v>
      </c>
      <c r="D332" t="s">
        <v>724</v>
      </c>
      <c r="E332" s="2">
        <v>12.406041999999999</v>
      </c>
    </row>
    <row r="333" spans="1:5" x14ac:dyDescent="0.25">
      <c r="A333" t="s">
        <v>864</v>
      </c>
      <c r="B333" s="12">
        <v>1998</v>
      </c>
      <c r="C333" t="s">
        <v>711</v>
      </c>
      <c r="D333" t="s">
        <v>724</v>
      </c>
      <c r="E333" s="2">
        <v>12.149357999999999</v>
      </c>
    </row>
    <row r="334" spans="1:5" x14ac:dyDescent="0.25">
      <c r="A334" t="s">
        <v>864</v>
      </c>
      <c r="B334" s="12">
        <v>1998</v>
      </c>
      <c r="C334" t="s">
        <v>712</v>
      </c>
      <c r="D334" t="s">
        <v>724</v>
      </c>
      <c r="E334" s="2">
        <v>12.270785</v>
      </c>
    </row>
    <row r="335" spans="1:5" x14ac:dyDescent="0.25">
      <c r="A335" t="s">
        <v>864</v>
      </c>
      <c r="B335" s="12">
        <v>1999</v>
      </c>
      <c r="C335" t="s">
        <v>719</v>
      </c>
      <c r="D335" t="s">
        <v>724</v>
      </c>
      <c r="E335" s="2">
        <v>16.487686</v>
      </c>
    </row>
    <row r="336" spans="1:5" x14ac:dyDescent="0.25">
      <c r="A336" t="s">
        <v>864</v>
      </c>
      <c r="B336" s="12">
        <v>1999</v>
      </c>
      <c r="C336" t="s">
        <v>713</v>
      </c>
      <c r="D336" t="s">
        <v>724</v>
      </c>
      <c r="E336" s="2">
        <v>12.627129</v>
      </c>
    </row>
    <row r="337" spans="1:5" x14ac:dyDescent="0.25">
      <c r="A337" t="s">
        <v>864</v>
      </c>
      <c r="B337" s="12">
        <v>1999</v>
      </c>
      <c r="C337" t="s">
        <v>714</v>
      </c>
      <c r="D337" t="s">
        <v>724</v>
      </c>
      <c r="E337" s="2">
        <v>16.000527999999999</v>
      </c>
    </row>
    <row r="338" spans="1:5" x14ac:dyDescent="0.25">
      <c r="A338" t="s">
        <v>864</v>
      </c>
      <c r="B338" s="12">
        <v>1999</v>
      </c>
      <c r="C338" t="s">
        <v>705</v>
      </c>
      <c r="D338" t="s">
        <v>724</v>
      </c>
      <c r="E338" s="2">
        <v>16.0153</v>
      </c>
    </row>
    <row r="339" spans="1:5" x14ac:dyDescent="0.25">
      <c r="A339" t="s">
        <v>864</v>
      </c>
      <c r="B339" s="12">
        <v>1999</v>
      </c>
      <c r="C339" t="s">
        <v>715</v>
      </c>
      <c r="D339" t="s">
        <v>724</v>
      </c>
      <c r="E339" s="2">
        <v>16.035525</v>
      </c>
    </row>
    <row r="340" spans="1:5" x14ac:dyDescent="0.25">
      <c r="A340" t="s">
        <v>864</v>
      </c>
      <c r="B340" s="12">
        <v>1999</v>
      </c>
      <c r="C340" t="s">
        <v>718</v>
      </c>
      <c r="D340" t="s">
        <v>724</v>
      </c>
      <c r="E340" s="2">
        <v>14.198186</v>
      </c>
    </row>
    <row r="341" spans="1:5" x14ac:dyDescent="0.25">
      <c r="A341" t="s">
        <v>864</v>
      </c>
      <c r="B341" s="12">
        <v>1999</v>
      </c>
      <c r="C341" t="s">
        <v>716</v>
      </c>
      <c r="D341" t="s">
        <v>724</v>
      </c>
      <c r="E341" s="2">
        <v>13.031786</v>
      </c>
    </row>
    <row r="342" spans="1:5" x14ac:dyDescent="0.25">
      <c r="A342" t="s">
        <v>864</v>
      </c>
      <c r="B342" s="12">
        <v>1999</v>
      </c>
      <c r="C342" t="s">
        <v>708</v>
      </c>
      <c r="D342" t="s">
        <v>724</v>
      </c>
      <c r="E342" s="2">
        <v>13.625057</v>
      </c>
    </row>
    <row r="343" spans="1:5" x14ac:dyDescent="0.25">
      <c r="A343" t="s">
        <v>864</v>
      </c>
      <c r="B343" s="12">
        <v>1999</v>
      </c>
      <c r="C343" t="s">
        <v>709</v>
      </c>
      <c r="D343" t="s">
        <v>724</v>
      </c>
      <c r="E343" s="2">
        <v>15.552114</v>
      </c>
    </row>
    <row r="344" spans="1:5" x14ac:dyDescent="0.25">
      <c r="A344" t="s">
        <v>864</v>
      </c>
      <c r="B344" s="12">
        <v>1999</v>
      </c>
      <c r="C344" t="s">
        <v>710</v>
      </c>
      <c r="D344" t="s">
        <v>724</v>
      </c>
      <c r="E344" s="2">
        <v>16.654243000000001</v>
      </c>
    </row>
    <row r="345" spans="1:5" x14ac:dyDescent="0.25">
      <c r="A345" t="s">
        <v>864</v>
      </c>
      <c r="B345" s="12">
        <v>1999</v>
      </c>
      <c r="C345" t="s">
        <v>711</v>
      </c>
      <c r="D345" t="s">
        <v>724</v>
      </c>
      <c r="E345" s="2">
        <v>15.926843</v>
      </c>
    </row>
    <row r="346" spans="1:5" x14ac:dyDescent="0.25">
      <c r="A346" t="s">
        <v>864</v>
      </c>
      <c r="B346" s="12">
        <v>1999</v>
      </c>
      <c r="C346" t="s">
        <v>712</v>
      </c>
      <c r="D346" t="s">
        <v>724</v>
      </c>
      <c r="E346" s="2">
        <v>19.155414</v>
      </c>
    </row>
    <row r="347" spans="1:5" x14ac:dyDescent="0.25">
      <c r="A347" t="s">
        <v>864</v>
      </c>
      <c r="B347" s="12">
        <v>2000</v>
      </c>
      <c r="C347" t="s">
        <v>719</v>
      </c>
      <c r="D347" t="s">
        <v>724</v>
      </c>
      <c r="E347" s="2">
        <v>18.048414999999999</v>
      </c>
    </row>
    <row r="348" spans="1:5" x14ac:dyDescent="0.25">
      <c r="A348" t="s">
        <v>864</v>
      </c>
      <c r="B348" s="12">
        <v>2000</v>
      </c>
      <c r="C348" t="s">
        <v>713</v>
      </c>
      <c r="D348" t="s">
        <v>724</v>
      </c>
      <c r="E348" s="2">
        <v>14.046170999999999</v>
      </c>
    </row>
    <row r="349" spans="1:5" x14ac:dyDescent="0.25">
      <c r="A349" t="s">
        <v>864</v>
      </c>
      <c r="B349" s="12">
        <v>2000</v>
      </c>
      <c r="C349" t="s">
        <v>714</v>
      </c>
      <c r="D349" t="s">
        <v>724</v>
      </c>
      <c r="E349" s="2">
        <v>15.732628999999999</v>
      </c>
    </row>
    <row r="350" spans="1:5" x14ac:dyDescent="0.25">
      <c r="A350" t="s">
        <v>864</v>
      </c>
      <c r="B350" s="12">
        <v>2000</v>
      </c>
      <c r="C350" t="s">
        <v>705</v>
      </c>
      <c r="D350" t="s">
        <v>724</v>
      </c>
      <c r="E350" s="2">
        <v>15.864557</v>
      </c>
    </row>
    <row r="351" spans="1:5" x14ac:dyDescent="0.25">
      <c r="A351" t="s">
        <v>864</v>
      </c>
      <c r="B351" s="12">
        <v>2000</v>
      </c>
      <c r="C351" t="s">
        <v>715</v>
      </c>
      <c r="D351" t="s">
        <v>724</v>
      </c>
      <c r="E351" s="2">
        <v>13.392014</v>
      </c>
    </row>
    <row r="352" spans="1:5" x14ac:dyDescent="0.25">
      <c r="A352" t="s">
        <v>864</v>
      </c>
      <c r="B352" s="12">
        <v>2000</v>
      </c>
      <c r="C352" t="s">
        <v>718</v>
      </c>
      <c r="D352" t="s">
        <v>724</v>
      </c>
      <c r="E352" s="2">
        <v>12.963628999999999</v>
      </c>
    </row>
    <row r="353" spans="1:5" x14ac:dyDescent="0.25">
      <c r="A353" t="s">
        <v>864</v>
      </c>
      <c r="B353" s="12">
        <v>2000</v>
      </c>
      <c r="C353" t="s">
        <v>716</v>
      </c>
      <c r="D353" t="s">
        <v>724</v>
      </c>
      <c r="E353" s="2">
        <v>12.327999999999999</v>
      </c>
    </row>
    <row r="354" spans="1:5" x14ac:dyDescent="0.25">
      <c r="A354" t="s">
        <v>864</v>
      </c>
      <c r="B354" s="12">
        <v>2000</v>
      </c>
      <c r="C354" t="s">
        <v>708</v>
      </c>
      <c r="D354" t="s">
        <v>724</v>
      </c>
      <c r="E354" s="2">
        <v>13.176329000000001</v>
      </c>
    </row>
    <row r="355" spans="1:5" x14ac:dyDescent="0.25">
      <c r="A355" t="s">
        <v>864</v>
      </c>
      <c r="B355" s="12">
        <v>2000</v>
      </c>
      <c r="C355" t="s">
        <v>709</v>
      </c>
      <c r="D355" t="s">
        <v>724</v>
      </c>
      <c r="E355" s="2">
        <v>12.083299999999999</v>
      </c>
    </row>
    <row r="356" spans="1:5" x14ac:dyDescent="0.25">
      <c r="A356" t="s">
        <v>864</v>
      </c>
      <c r="B356" s="12">
        <v>2000</v>
      </c>
      <c r="C356" t="s">
        <v>710</v>
      </c>
      <c r="D356" t="s">
        <v>724</v>
      </c>
      <c r="E356" s="2">
        <v>11.547000000000001</v>
      </c>
    </row>
    <row r="357" spans="1:5" x14ac:dyDescent="0.25">
      <c r="A357" t="s">
        <v>864</v>
      </c>
      <c r="B357" s="12">
        <v>2000</v>
      </c>
      <c r="C357" t="s">
        <v>711</v>
      </c>
      <c r="D357" t="s">
        <v>724</v>
      </c>
      <c r="E357" s="2">
        <v>11.194900000000001</v>
      </c>
    </row>
    <row r="358" spans="1:5" x14ac:dyDescent="0.25">
      <c r="A358" t="s">
        <v>864</v>
      </c>
      <c r="B358" s="12">
        <v>2000</v>
      </c>
      <c r="C358" t="s">
        <v>712</v>
      </c>
      <c r="D358" t="s">
        <v>724</v>
      </c>
      <c r="E358" s="2">
        <v>12.333314</v>
      </c>
    </row>
    <row r="359" spans="1:5" x14ac:dyDescent="0.25">
      <c r="A359" t="s">
        <v>864</v>
      </c>
      <c r="B359" s="12">
        <v>2001</v>
      </c>
      <c r="C359" t="s">
        <v>719</v>
      </c>
      <c r="D359" t="s">
        <v>724</v>
      </c>
      <c r="E359" s="2">
        <v>10.356885999999999</v>
      </c>
    </row>
    <row r="360" spans="1:5" x14ac:dyDescent="0.25">
      <c r="A360" t="s">
        <v>864</v>
      </c>
      <c r="B360" s="12">
        <v>2001</v>
      </c>
      <c r="C360" t="s">
        <v>713</v>
      </c>
      <c r="D360" t="s">
        <v>724</v>
      </c>
      <c r="E360" s="2">
        <v>10.376757</v>
      </c>
    </row>
    <row r="361" spans="1:5" x14ac:dyDescent="0.25">
      <c r="A361" t="s">
        <v>864</v>
      </c>
      <c r="B361" s="12">
        <v>2001</v>
      </c>
      <c r="C361" t="s">
        <v>714</v>
      </c>
      <c r="D361" t="s">
        <v>724</v>
      </c>
      <c r="E361" s="2">
        <v>12.214</v>
      </c>
    </row>
    <row r="362" spans="1:5" x14ac:dyDescent="0.25">
      <c r="A362" t="s">
        <v>864</v>
      </c>
      <c r="B362" s="12">
        <v>2001</v>
      </c>
      <c r="C362" t="s">
        <v>705</v>
      </c>
      <c r="D362" t="s">
        <v>724</v>
      </c>
      <c r="E362" s="2">
        <v>12.542457000000001</v>
      </c>
    </row>
    <row r="363" spans="1:5" x14ac:dyDescent="0.25">
      <c r="A363" t="s">
        <v>864</v>
      </c>
      <c r="B363" s="12">
        <v>2001</v>
      </c>
      <c r="C363" t="s">
        <v>715</v>
      </c>
      <c r="D363" t="s">
        <v>724</v>
      </c>
      <c r="E363" s="2">
        <v>13.573</v>
      </c>
    </row>
    <row r="364" spans="1:5" x14ac:dyDescent="0.25">
      <c r="A364" t="s">
        <v>864</v>
      </c>
      <c r="B364" s="12">
        <v>2001</v>
      </c>
      <c r="C364" t="s">
        <v>718</v>
      </c>
      <c r="D364" t="s">
        <v>724</v>
      </c>
      <c r="E364" s="2">
        <v>12.404</v>
      </c>
    </row>
    <row r="365" spans="1:5" x14ac:dyDescent="0.25">
      <c r="A365" t="s">
        <v>864</v>
      </c>
      <c r="B365" s="12">
        <v>2001</v>
      </c>
      <c r="C365" t="s">
        <v>716</v>
      </c>
      <c r="D365" t="s">
        <v>724</v>
      </c>
      <c r="E365" s="2">
        <v>9.6969999999999992</v>
      </c>
    </row>
    <row r="366" spans="1:5" x14ac:dyDescent="0.25">
      <c r="A366" t="s">
        <v>864</v>
      </c>
      <c r="B366" s="12">
        <v>2001</v>
      </c>
      <c r="C366" t="s">
        <v>708</v>
      </c>
      <c r="D366" t="s">
        <v>724</v>
      </c>
      <c r="E366" s="2">
        <v>13.562200000000001</v>
      </c>
    </row>
    <row r="367" spans="1:5" x14ac:dyDescent="0.25">
      <c r="A367" t="s">
        <v>864</v>
      </c>
      <c r="B367" s="12">
        <v>2001</v>
      </c>
      <c r="C367" t="s">
        <v>709</v>
      </c>
      <c r="D367" t="s">
        <v>724</v>
      </c>
      <c r="E367" s="2">
        <v>8.3550000000000004</v>
      </c>
    </row>
    <row r="368" spans="1:5" x14ac:dyDescent="0.25">
      <c r="A368" t="s">
        <v>864</v>
      </c>
      <c r="B368" s="12">
        <v>2001</v>
      </c>
      <c r="C368" t="s">
        <v>710</v>
      </c>
      <c r="D368" t="s">
        <v>724</v>
      </c>
      <c r="E368" s="2">
        <v>7.4889999999999999</v>
      </c>
    </row>
    <row r="369" spans="1:5" x14ac:dyDescent="0.25">
      <c r="A369" t="s">
        <v>864</v>
      </c>
      <c r="B369" s="12">
        <v>2001</v>
      </c>
      <c r="C369" t="s">
        <v>711</v>
      </c>
      <c r="D369" t="s">
        <v>724</v>
      </c>
      <c r="E369" s="2">
        <v>7.319</v>
      </c>
    </row>
    <row r="370" spans="1:5" x14ac:dyDescent="0.25">
      <c r="A370" t="s">
        <v>864</v>
      </c>
      <c r="B370" s="12">
        <v>2001</v>
      </c>
      <c r="C370" t="s">
        <v>712</v>
      </c>
      <c r="D370" t="s">
        <v>724</v>
      </c>
      <c r="E370" s="2">
        <v>9.2498850000000008</v>
      </c>
    </row>
    <row r="371" spans="1:5" x14ac:dyDescent="0.25">
      <c r="A371" t="s">
        <v>864</v>
      </c>
      <c r="B371" s="12" t="s">
        <v>811</v>
      </c>
      <c r="C371" t="s">
        <v>719</v>
      </c>
      <c r="D371" t="s">
        <v>724</v>
      </c>
      <c r="E371" s="2">
        <v>8.5936000000000003</v>
      </c>
    </row>
    <row r="372" spans="1:5" x14ac:dyDescent="0.25">
      <c r="A372" t="s">
        <v>864</v>
      </c>
      <c r="B372" s="12" t="s">
        <v>811</v>
      </c>
      <c r="C372" t="s">
        <v>713</v>
      </c>
      <c r="D372" t="s">
        <v>724</v>
      </c>
      <c r="E372" s="2">
        <v>7.1608859999999996</v>
      </c>
    </row>
    <row r="373" spans="1:5" x14ac:dyDescent="0.25">
      <c r="A373" t="s">
        <v>864</v>
      </c>
      <c r="B373" s="12">
        <v>2002</v>
      </c>
      <c r="C373" t="s">
        <v>714</v>
      </c>
      <c r="D373" t="s">
        <v>724</v>
      </c>
      <c r="E373" s="2">
        <v>8.6258999999999997</v>
      </c>
    </row>
    <row r="374" spans="1:5" x14ac:dyDescent="0.25">
      <c r="A374" t="s">
        <v>864</v>
      </c>
      <c r="B374" s="12">
        <v>2002</v>
      </c>
      <c r="C374" t="s">
        <v>705</v>
      </c>
      <c r="D374" t="s">
        <v>724</v>
      </c>
      <c r="E374" s="2">
        <v>9.6306999999999992</v>
      </c>
    </row>
    <row r="375" spans="1:5" x14ac:dyDescent="0.25">
      <c r="A375" t="s">
        <v>864</v>
      </c>
      <c r="B375" s="12">
        <v>2002</v>
      </c>
      <c r="C375" t="s">
        <v>715</v>
      </c>
      <c r="D375" t="s">
        <v>724</v>
      </c>
      <c r="E375" s="2">
        <v>10.335614</v>
      </c>
    </row>
    <row r="376" spans="1:5" x14ac:dyDescent="0.25">
      <c r="A376" t="s">
        <v>864</v>
      </c>
      <c r="B376" s="12">
        <v>2002</v>
      </c>
      <c r="C376" t="s">
        <v>718</v>
      </c>
      <c r="D376" t="s">
        <v>724</v>
      </c>
      <c r="E376" s="2">
        <v>8.3544429999999998</v>
      </c>
    </row>
    <row r="377" spans="1:5" x14ac:dyDescent="0.25">
      <c r="A377" t="s">
        <v>864</v>
      </c>
      <c r="B377" s="12">
        <v>2002</v>
      </c>
      <c r="C377" t="s">
        <v>716</v>
      </c>
      <c r="D377" t="s">
        <v>724</v>
      </c>
      <c r="E377" s="2">
        <v>7.8521429999999999</v>
      </c>
    </row>
    <row r="378" spans="1:5" x14ac:dyDescent="0.25">
      <c r="A378" t="s">
        <v>864</v>
      </c>
      <c r="B378" s="12">
        <v>2002</v>
      </c>
      <c r="C378" t="s">
        <v>708</v>
      </c>
      <c r="D378" t="s">
        <v>724</v>
      </c>
      <c r="E378" s="2">
        <v>7.1337289999999998</v>
      </c>
    </row>
    <row r="379" spans="1:5" x14ac:dyDescent="0.25">
      <c r="A379" t="s">
        <v>864</v>
      </c>
      <c r="B379" s="12">
        <v>2002</v>
      </c>
      <c r="C379" t="s">
        <v>709</v>
      </c>
      <c r="D379" t="s">
        <v>724</v>
      </c>
      <c r="E379" s="2">
        <v>6.5351850000000002</v>
      </c>
    </row>
    <row r="380" spans="1:5" x14ac:dyDescent="0.25">
      <c r="A380" t="s">
        <v>864</v>
      </c>
      <c r="B380" s="12">
        <v>2002</v>
      </c>
      <c r="C380" t="s">
        <v>710</v>
      </c>
      <c r="D380" t="s">
        <v>724</v>
      </c>
      <c r="E380" s="2">
        <v>7.3258000000000001</v>
      </c>
    </row>
    <row r="381" spans="1:5" x14ac:dyDescent="0.25">
      <c r="A381" t="s">
        <v>864</v>
      </c>
      <c r="B381" s="12">
        <v>2002</v>
      </c>
      <c r="C381" t="s">
        <v>711</v>
      </c>
      <c r="D381" t="s">
        <v>724</v>
      </c>
      <c r="E381" s="2">
        <v>10.301413999999999</v>
      </c>
    </row>
    <row r="382" spans="1:5" x14ac:dyDescent="0.25">
      <c r="A382" t="s">
        <v>864</v>
      </c>
      <c r="B382" s="12">
        <v>2002</v>
      </c>
      <c r="C382" t="s">
        <v>712</v>
      </c>
      <c r="D382" t="s">
        <v>724</v>
      </c>
      <c r="E382" s="2">
        <v>12.128843</v>
      </c>
    </row>
    <row r="383" spans="1:5" x14ac:dyDescent="0.25">
      <c r="A383" t="s">
        <v>864</v>
      </c>
      <c r="B383" s="12">
        <v>2003</v>
      </c>
      <c r="C383" t="s">
        <v>719</v>
      </c>
      <c r="D383" t="s">
        <v>724</v>
      </c>
      <c r="E383" s="2">
        <v>12.339</v>
      </c>
    </row>
    <row r="384" spans="1:5" x14ac:dyDescent="0.25">
      <c r="A384" t="s">
        <v>864</v>
      </c>
      <c r="B384" s="12">
        <v>2003</v>
      </c>
      <c r="C384" t="s">
        <v>713</v>
      </c>
      <c r="D384" t="s">
        <v>724</v>
      </c>
      <c r="E384" s="2">
        <v>11.918243</v>
      </c>
    </row>
    <row r="385" spans="1:5" x14ac:dyDescent="0.25">
      <c r="A385" t="s">
        <v>864</v>
      </c>
      <c r="B385" s="12">
        <v>2003</v>
      </c>
      <c r="C385" t="s">
        <v>714</v>
      </c>
      <c r="D385" t="s">
        <v>724</v>
      </c>
      <c r="E385" s="2">
        <v>10.740812999999999</v>
      </c>
    </row>
    <row r="386" spans="1:5" x14ac:dyDescent="0.25">
      <c r="A386" t="s">
        <v>864</v>
      </c>
      <c r="B386" s="12">
        <v>2003</v>
      </c>
      <c r="C386" t="s">
        <v>705</v>
      </c>
      <c r="D386" t="s">
        <v>724</v>
      </c>
      <c r="E386" s="2">
        <v>13.368</v>
      </c>
    </row>
    <row r="387" spans="1:5" x14ac:dyDescent="0.25">
      <c r="A387" t="s">
        <v>864</v>
      </c>
      <c r="B387" s="12">
        <v>2003</v>
      </c>
      <c r="C387" t="s">
        <v>715</v>
      </c>
      <c r="D387" t="s">
        <v>724</v>
      </c>
      <c r="E387" s="2">
        <v>16.658484000000001</v>
      </c>
    </row>
    <row r="388" spans="1:5" x14ac:dyDescent="0.25">
      <c r="A388" t="s">
        <v>864</v>
      </c>
      <c r="B388" s="12">
        <v>2003</v>
      </c>
      <c r="C388" t="s">
        <v>718</v>
      </c>
      <c r="D388" t="s">
        <v>724</v>
      </c>
      <c r="E388" s="2">
        <v>21.833756999999999</v>
      </c>
    </row>
    <row r="389" spans="1:5" x14ac:dyDescent="0.25">
      <c r="A389" t="s">
        <v>864</v>
      </c>
      <c r="B389" s="12">
        <v>2003</v>
      </c>
      <c r="C389" t="s">
        <v>716</v>
      </c>
      <c r="D389" t="s">
        <v>724</v>
      </c>
      <c r="E389" s="2">
        <v>15.332215</v>
      </c>
    </row>
    <row r="390" spans="1:5" x14ac:dyDescent="0.25">
      <c r="A390" t="s">
        <v>864</v>
      </c>
      <c r="B390" s="12">
        <v>2003</v>
      </c>
      <c r="C390" t="s">
        <v>708</v>
      </c>
      <c r="D390" t="s">
        <v>724</v>
      </c>
      <c r="E390" s="2">
        <v>11.816916000000001</v>
      </c>
    </row>
    <row r="391" spans="1:5" x14ac:dyDescent="0.25">
      <c r="A391" t="s">
        <v>864</v>
      </c>
      <c r="B391" s="12">
        <v>2003</v>
      </c>
      <c r="C391" t="s">
        <v>709</v>
      </c>
      <c r="D391" t="s">
        <v>724</v>
      </c>
      <c r="E391" s="2">
        <v>13.146013999999999</v>
      </c>
    </row>
    <row r="392" spans="1:5" x14ac:dyDescent="0.25">
      <c r="A392" t="s">
        <v>864</v>
      </c>
      <c r="B392" s="12">
        <v>2003</v>
      </c>
      <c r="C392" t="s">
        <v>710</v>
      </c>
      <c r="D392" t="s">
        <v>724</v>
      </c>
      <c r="E392" s="2">
        <v>11.4</v>
      </c>
    </row>
    <row r="393" spans="1:5" x14ac:dyDescent="0.25">
      <c r="A393" t="s">
        <v>864</v>
      </c>
      <c r="B393" s="12">
        <v>2003</v>
      </c>
      <c r="C393" t="s">
        <v>711</v>
      </c>
      <c r="D393" t="s">
        <v>724</v>
      </c>
      <c r="E393" s="2">
        <v>16.187000000000001</v>
      </c>
    </row>
    <row r="394" spans="1:5" x14ac:dyDescent="0.25">
      <c r="A394" t="s">
        <v>864</v>
      </c>
      <c r="B394" s="12">
        <v>2003</v>
      </c>
      <c r="C394" t="s">
        <v>712</v>
      </c>
      <c r="D394" t="s">
        <v>724</v>
      </c>
      <c r="E394" s="2">
        <v>18.895856999999999</v>
      </c>
    </row>
    <row r="395" spans="1:5" x14ac:dyDescent="0.25">
      <c r="A395" t="s">
        <v>864</v>
      </c>
      <c r="B395" s="12">
        <v>2004</v>
      </c>
      <c r="C395" t="s">
        <v>719</v>
      </c>
      <c r="D395" t="s">
        <v>724</v>
      </c>
      <c r="E395" s="2">
        <v>11.993</v>
      </c>
    </row>
    <row r="396" spans="1:5" x14ac:dyDescent="0.25">
      <c r="A396" t="s">
        <v>864</v>
      </c>
      <c r="B396" s="12">
        <v>2004</v>
      </c>
      <c r="C396" t="s">
        <v>713</v>
      </c>
      <c r="D396" t="s">
        <v>724</v>
      </c>
      <c r="E396" s="2">
        <v>10.032999999999999</v>
      </c>
    </row>
    <row r="397" spans="1:5" x14ac:dyDescent="0.25">
      <c r="A397" t="s">
        <v>864</v>
      </c>
      <c r="B397" s="12">
        <v>2004</v>
      </c>
      <c r="C397" t="s">
        <v>714</v>
      </c>
      <c r="D397" t="s">
        <v>724</v>
      </c>
      <c r="E397" s="2">
        <v>11.228</v>
      </c>
    </row>
    <row r="398" spans="1:5" x14ac:dyDescent="0.25">
      <c r="A398" t="s">
        <v>864</v>
      </c>
      <c r="B398" s="12">
        <v>2004</v>
      </c>
      <c r="C398" t="s">
        <v>705</v>
      </c>
      <c r="D398" t="s">
        <v>724</v>
      </c>
      <c r="E398" s="2">
        <v>15.16</v>
      </c>
    </row>
    <row r="399" spans="1:5" x14ac:dyDescent="0.25">
      <c r="A399" t="s">
        <v>864</v>
      </c>
      <c r="B399" s="12">
        <v>2004</v>
      </c>
      <c r="C399" t="s">
        <v>715</v>
      </c>
      <c r="D399" t="s">
        <v>724</v>
      </c>
      <c r="E399" s="2">
        <v>11.936999999999999</v>
      </c>
    </row>
    <row r="400" spans="1:5" x14ac:dyDescent="0.25">
      <c r="A400" t="s">
        <v>864</v>
      </c>
      <c r="B400" s="12">
        <v>2004</v>
      </c>
      <c r="C400" t="s">
        <v>718</v>
      </c>
      <c r="D400" t="s">
        <v>724</v>
      </c>
      <c r="E400" s="2">
        <v>12.212999999999999</v>
      </c>
    </row>
    <row r="401" spans="1:5" x14ac:dyDescent="0.25">
      <c r="A401" t="s">
        <v>864</v>
      </c>
      <c r="B401" s="12">
        <v>2004</v>
      </c>
      <c r="C401" t="s">
        <v>716</v>
      </c>
      <c r="D401" t="s">
        <v>724</v>
      </c>
      <c r="E401" s="2">
        <v>11.919</v>
      </c>
    </row>
    <row r="402" spans="1:5" x14ac:dyDescent="0.25">
      <c r="A402" t="s">
        <v>864</v>
      </c>
      <c r="B402" s="12">
        <v>2004</v>
      </c>
      <c r="C402" t="s">
        <v>708</v>
      </c>
      <c r="D402" t="s">
        <v>724</v>
      </c>
      <c r="E402" s="2">
        <v>10.555</v>
      </c>
    </row>
    <row r="403" spans="1:5" x14ac:dyDescent="0.25">
      <c r="A403" t="s">
        <v>864</v>
      </c>
      <c r="B403" s="12">
        <v>2004</v>
      </c>
      <c r="C403" t="s">
        <v>709</v>
      </c>
      <c r="D403" t="s">
        <v>724</v>
      </c>
      <c r="E403" s="2">
        <v>10.196999999999999</v>
      </c>
    </row>
    <row r="404" spans="1:5" x14ac:dyDescent="0.25">
      <c r="A404" t="s">
        <v>864</v>
      </c>
      <c r="B404" s="12">
        <v>2004</v>
      </c>
      <c r="C404" t="s">
        <v>710</v>
      </c>
      <c r="D404" t="s">
        <v>724</v>
      </c>
      <c r="E404" s="2">
        <v>14.585000000000001</v>
      </c>
    </row>
    <row r="405" spans="1:5" x14ac:dyDescent="0.25">
      <c r="A405" t="s">
        <v>864</v>
      </c>
      <c r="B405" s="12">
        <v>2004</v>
      </c>
      <c r="C405" t="s">
        <v>711</v>
      </c>
      <c r="D405" t="s">
        <v>724</v>
      </c>
      <c r="E405" s="2">
        <v>20.661999999999999</v>
      </c>
    </row>
    <row r="406" spans="1:5" x14ac:dyDescent="0.25">
      <c r="A406" t="s">
        <v>864</v>
      </c>
      <c r="B406" s="12">
        <v>2004</v>
      </c>
      <c r="C406" t="s">
        <v>712</v>
      </c>
      <c r="D406" t="s">
        <v>724</v>
      </c>
      <c r="E406" s="2">
        <v>14.753</v>
      </c>
    </row>
    <row r="407" spans="1:5" x14ac:dyDescent="0.25">
      <c r="A407" t="s">
        <v>864</v>
      </c>
      <c r="B407" s="12">
        <v>2005</v>
      </c>
      <c r="C407" t="s">
        <v>719</v>
      </c>
      <c r="D407" t="s">
        <v>724</v>
      </c>
      <c r="E407" s="2">
        <v>13.16</v>
      </c>
    </row>
    <row r="408" spans="1:5" x14ac:dyDescent="0.25">
      <c r="A408" t="s">
        <v>864</v>
      </c>
      <c r="B408" s="12">
        <v>2005</v>
      </c>
      <c r="C408" t="s">
        <v>713</v>
      </c>
      <c r="D408" t="s">
        <v>724</v>
      </c>
      <c r="E408" s="2">
        <v>9.0299999999999994</v>
      </c>
    </row>
    <row r="409" spans="1:5" x14ac:dyDescent="0.25">
      <c r="A409" t="s">
        <v>864</v>
      </c>
      <c r="B409" s="12">
        <v>2005</v>
      </c>
      <c r="C409" t="s">
        <v>714</v>
      </c>
      <c r="D409" t="s">
        <v>724</v>
      </c>
      <c r="E409" s="2">
        <v>15.377000000000001</v>
      </c>
    </row>
    <row r="410" spans="1:5" x14ac:dyDescent="0.25">
      <c r="A410" t="s">
        <v>864</v>
      </c>
      <c r="B410" s="12">
        <v>2005</v>
      </c>
      <c r="C410" t="s">
        <v>705</v>
      </c>
      <c r="D410" t="s">
        <v>724</v>
      </c>
      <c r="E410" s="2">
        <v>14.587</v>
      </c>
    </row>
    <row r="411" spans="1:5" x14ac:dyDescent="0.25">
      <c r="A411" t="s">
        <v>864</v>
      </c>
      <c r="B411" s="12">
        <v>2005</v>
      </c>
      <c r="C411" t="s">
        <v>715</v>
      </c>
      <c r="D411" t="s">
        <v>724</v>
      </c>
      <c r="E411" s="2">
        <v>15.641</v>
      </c>
    </row>
    <row r="412" spans="1:5" x14ac:dyDescent="0.25">
      <c r="A412" t="s">
        <v>864</v>
      </c>
      <c r="B412" s="12">
        <v>2005</v>
      </c>
      <c r="C412" t="s">
        <v>718</v>
      </c>
      <c r="D412" t="s">
        <v>724</v>
      </c>
      <c r="E412" s="2">
        <v>12.833</v>
      </c>
    </row>
    <row r="413" spans="1:5" x14ac:dyDescent="0.25">
      <c r="A413" t="s">
        <v>864</v>
      </c>
      <c r="B413" s="12">
        <v>2005</v>
      </c>
      <c r="C413" t="s">
        <v>716</v>
      </c>
      <c r="D413" t="s">
        <v>724</v>
      </c>
      <c r="E413" s="2">
        <v>12.792999999999999</v>
      </c>
    </row>
    <row r="414" spans="1:5" x14ac:dyDescent="0.25">
      <c r="A414" t="s">
        <v>864</v>
      </c>
      <c r="B414" s="12">
        <v>2005</v>
      </c>
      <c r="C414" t="s">
        <v>708</v>
      </c>
      <c r="D414" t="s">
        <v>724</v>
      </c>
      <c r="E414" s="2">
        <v>9.4939999999999998</v>
      </c>
    </row>
    <row r="415" spans="1:5" x14ac:dyDescent="0.25">
      <c r="A415" t="s">
        <v>864</v>
      </c>
      <c r="B415" s="12">
        <v>2005</v>
      </c>
      <c r="C415" t="s">
        <v>709</v>
      </c>
      <c r="D415" t="s">
        <v>724</v>
      </c>
      <c r="E415" s="2">
        <v>6.38</v>
      </c>
    </row>
    <row r="416" spans="1:5" x14ac:dyDescent="0.25">
      <c r="A416" t="s">
        <v>864</v>
      </c>
      <c r="B416" s="12">
        <v>2005</v>
      </c>
      <c r="C416" t="s">
        <v>710</v>
      </c>
      <c r="D416" t="s">
        <v>724</v>
      </c>
      <c r="E416" s="2">
        <v>10.598000000000001</v>
      </c>
    </row>
    <row r="417" spans="1:5" x14ac:dyDescent="0.25">
      <c r="A417" t="s">
        <v>864</v>
      </c>
      <c r="B417" s="12">
        <v>2005</v>
      </c>
      <c r="C417" t="s">
        <v>711</v>
      </c>
      <c r="D417" t="s">
        <v>724</v>
      </c>
      <c r="E417" s="2">
        <v>9.2449999999999992</v>
      </c>
    </row>
    <row r="418" spans="1:5" x14ac:dyDescent="0.25">
      <c r="A418" t="s">
        <v>864</v>
      </c>
      <c r="B418" s="12">
        <v>2005</v>
      </c>
      <c r="C418" t="s">
        <v>712</v>
      </c>
      <c r="D418" t="s">
        <v>724</v>
      </c>
      <c r="E418" s="2">
        <v>11.029</v>
      </c>
    </row>
    <row r="419" spans="1:5" x14ac:dyDescent="0.25">
      <c r="A419" t="s">
        <v>864</v>
      </c>
      <c r="B419" s="12" t="s">
        <v>812</v>
      </c>
      <c r="C419" t="s">
        <v>719</v>
      </c>
      <c r="D419" t="s">
        <v>724</v>
      </c>
      <c r="E419" s="2">
        <v>13.278</v>
      </c>
    </row>
    <row r="420" spans="1:5" x14ac:dyDescent="0.25">
      <c r="A420" t="s">
        <v>864</v>
      </c>
      <c r="B420" s="12" t="s">
        <v>812</v>
      </c>
      <c r="C420" t="s">
        <v>713</v>
      </c>
      <c r="D420" t="s">
        <v>724</v>
      </c>
      <c r="E420" s="2">
        <v>11.375</v>
      </c>
    </row>
    <row r="421" spans="1:5" x14ac:dyDescent="0.25">
      <c r="A421" t="s">
        <v>864</v>
      </c>
      <c r="B421" s="12">
        <v>2006</v>
      </c>
      <c r="C421" t="s">
        <v>714</v>
      </c>
      <c r="D421" t="s">
        <v>724</v>
      </c>
      <c r="E421" s="2">
        <v>9.1560000000000006</v>
      </c>
    </row>
    <row r="422" spans="1:5" x14ac:dyDescent="0.25">
      <c r="A422" t="s">
        <v>864</v>
      </c>
      <c r="B422" s="12">
        <v>2006</v>
      </c>
      <c r="C422" t="s">
        <v>705</v>
      </c>
      <c r="D422" t="s">
        <v>724</v>
      </c>
      <c r="E422" s="2">
        <v>8.7729999999999997</v>
      </c>
    </row>
    <row r="423" spans="1:5" x14ac:dyDescent="0.25">
      <c r="A423" t="s">
        <v>864</v>
      </c>
      <c r="B423" s="12">
        <v>2006</v>
      </c>
      <c r="C423" t="s">
        <v>715</v>
      </c>
      <c r="D423" t="s">
        <v>724</v>
      </c>
      <c r="E423" s="2">
        <v>7.2190000000000003</v>
      </c>
    </row>
    <row r="424" spans="1:5" x14ac:dyDescent="0.25">
      <c r="A424" t="s">
        <v>864</v>
      </c>
      <c r="B424" s="12">
        <v>2006</v>
      </c>
      <c r="C424" t="s">
        <v>718</v>
      </c>
      <c r="D424" t="s">
        <v>724</v>
      </c>
      <c r="E424" s="2">
        <v>7.9260000000000002</v>
      </c>
    </row>
    <row r="425" spans="1:5" x14ac:dyDescent="0.25">
      <c r="A425" t="s">
        <v>864</v>
      </c>
      <c r="B425" s="12">
        <v>2006</v>
      </c>
      <c r="C425" t="s">
        <v>716</v>
      </c>
      <c r="D425" t="s">
        <v>724</v>
      </c>
      <c r="E425" s="2">
        <v>7.9720000000000004</v>
      </c>
    </row>
    <row r="426" spans="1:5" x14ac:dyDescent="0.25">
      <c r="A426" t="s">
        <v>864</v>
      </c>
      <c r="B426" s="12">
        <v>2006</v>
      </c>
      <c r="C426" t="s">
        <v>708</v>
      </c>
      <c r="D426" t="s">
        <v>724</v>
      </c>
      <c r="E426" s="2">
        <v>6.976</v>
      </c>
    </row>
    <row r="427" spans="1:5" x14ac:dyDescent="0.25">
      <c r="A427" t="s">
        <v>864</v>
      </c>
      <c r="B427" s="12">
        <v>2006</v>
      </c>
      <c r="C427" t="s">
        <v>709</v>
      </c>
      <c r="D427" t="s">
        <v>724</v>
      </c>
      <c r="E427" s="2">
        <v>7</v>
      </c>
    </row>
    <row r="428" spans="1:5" x14ac:dyDescent="0.25">
      <c r="A428" t="s">
        <v>864</v>
      </c>
      <c r="B428" s="12">
        <v>2006</v>
      </c>
      <c r="C428" t="s">
        <v>710</v>
      </c>
      <c r="D428" t="s">
        <v>724</v>
      </c>
      <c r="E428" s="2">
        <v>7.2119999999999997</v>
      </c>
    </row>
    <row r="429" spans="1:5" x14ac:dyDescent="0.25">
      <c r="A429" t="s">
        <v>864</v>
      </c>
      <c r="B429" s="12">
        <v>2006</v>
      </c>
      <c r="C429" t="s">
        <v>711</v>
      </c>
      <c r="D429" t="s">
        <v>724</v>
      </c>
      <c r="E429" s="2">
        <v>10.282</v>
      </c>
    </row>
    <row r="430" spans="1:5" x14ac:dyDescent="0.25">
      <c r="A430" t="s">
        <v>864</v>
      </c>
      <c r="B430" s="12">
        <v>2006</v>
      </c>
      <c r="C430" t="s">
        <v>712</v>
      </c>
      <c r="D430" t="s">
        <v>724</v>
      </c>
      <c r="E430" s="2">
        <v>9.0674709999999994</v>
      </c>
    </row>
    <row r="431" spans="1:5" x14ac:dyDescent="0.25">
      <c r="A431" t="s">
        <v>864</v>
      </c>
      <c r="B431" s="12">
        <v>2007</v>
      </c>
      <c r="C431" t="s">
        <v>719</v>
      </c>
      <c r="D431" t="s">
        <v>724</v>
      </c>
      <c r="E431" s="2">
        <v>10.747729</v>
      </c>
    </row>
    <row r="432" spans="1:5" x14ac:dyDescent="0.25">
      <c r="A432" t="s">
        <v>864</v>
      </c>
      <c r="B432" s="12">
        <v>2007</v>
      </c>
      <c r="C432" t="s">
        <v>713</v>
      </c>
      <c r="D432" t="s">
        <v>724</v>
      </c>
      <c r="E432" s="2">
        <v>6.9781849999999999</v>
      </c>
    </row>
    <row r="433" spans="1:5" x14ac:dyDescent="0.25">
      <c r="A433" t="s">
        <v>864</v>
      </c>
      <c r="B433" s="12">
        <v>2007</v>
      </c>
      <c r="C433" t="s">
        <v>714</v>
      </c>
      <c r="D433" t="s">
        <v>724</v>
      </c>
      <c r="E433" s="2">
        <v>10.596615</v>
      </c>
    </row>
    <row r="434" spans="1:5" x14ac:dyDescent="0.25">
      <c r="A434" t="s">
        <v>864</v>
      </c>
      <c r="B434" s="12">
        <v>2007</v>
      </c>
      <c r="C434" t="s">
        <v>705</v>
      </c>
      <c r="D434" t="s">
        <v>724</v>
      </c>
      <c r="E434" s="2">
        <v>9.19</v>
      </c>
    </row>
    <row r="435" spans="1:5" x14ac:dyDescent="0.25">
      <c r="A435" t="s">
        <v>864</v>
      </c>
      <c r="B435" s="12">
        <v>2007</v>
      </c>
      <c r="C435" t="s">
        <v>715</v>
      </c>
      <c r="D435" t="s">
        <v>724</v>
      </c>
      <c r="E435" s="2">
        <v>7.8019999999999996</v>
      </c>
    </row>
    <row r="436" spans="1:5" x14ac:dyDescent="0.25">
      <c r="A436" t="s">
        <v>864</v>
      </c>
      <c r="B436" s="12">
        <v>2007</v>
      </c>
      <c r="C436" t="s">
        <v>718</v>
      </c>
      <c r="D436" t="s">
        <v>724</v>
      </c>
      <c r="E436" s="2">
        <v>6.62</v>
      </c>
    </row>
    <row r="437" spans="1:5" x14ac:dyDescent="0.25">
      <c r="A437" t="s">
        <v>864</v>
      </c>
      <c r="B437" s="12">
        <v>2007</v>
      </c>
      <c r="C437" t="s">
        <v>716</v>
      </c>
      <c r="D437" t="s">
        <v>724</v>
      </c>
      <c r="E437" s="2">
        <v>8.9749999999999996</v>
      </c>
    </row>
    <row r="438" spans="1:5" x14ac:dyDescent="0.25">
      <c r="A438" t="s">
        <v>864</v>
      </c>
      <c r="B438" s="12">
        <v>2007</v>
      </c>
      <c r="C438" t="s">
        <v>708</v>
      </c>
      <c r="D438" t="s">
        <v>724</v>
      </c>
      <c r="E438" s="2">
        <v>6.2779999999999996</v>
      </c>
    </row>
    <row r="439" spans="1:5" x14ac:dyDescent="0.25">
      <c r="A439" t="s">
        <v>864</v>
      </c>
      <c r="B439" s="12">
        <v>2007</v>
      </c>
      <c r="C439" t="s">
        <v>709</v>
      </c>
      <c r="D439" t="s">
        <v>724</v>
      </c>
      <c r="E439" s="2">
        <v>5.1040000000000001</v>
      </c>
    </row>
    <row r="440" spans="1:5" x14ac:dyDescent="0.25">
      <c r="A440" t="s">
        <v>864</v>
      </c>
      <c r="B440" s="12">
        <v>2007</v>
      </c>
      <c r="C440" t="s">
        <v>710</v>
      </c>
      <c r="D440" t="s">
        <v>724</v>
      </c>
      <c r="E440" s="2">
        <v>5.5119999999999996</v>
      </c>
    </row>
    <row r="441" spans="1:5" x14ac:dyDescent="0.25">
      <c r="A441" t="s">
        <v>864</v>
      </c>
      <c r="B441" s="12">
        <v>2007</v>
      </c>
      <c r="C441" t="s">
        <v>711</v>
      </c>
      <c r="D441" t="s">
        <v>724</v>
      </c>
      <c r="E441" s="2">
        <v>5.1210000000000004</v>
      </c>
    </row>
    <row r="442" spans="1:5" x14ac:dyDescent="0.25">
      <c r="A442" t="s">
        <v>864</v>
      </c>
      <c r="B442" s="12">
        <v>2007</v>
      </c>
      <c r="C442" t="s">
        <v>712</v>
      </c>
      <c r="D442" t="s">
        <v>724</v>
      </c>
      <c r="E442" s="2">
        <v>5.2030000000000003</v>
      </c>
    </row>
    <row r="443" spans="1:5" x14ac:dyDescent="0.25">
      <c r="A443" t="s">
        <v>864</v>
      </c>
      <c r="B443" s="12">
        <v>2008</v>
      </c>
      <c r="C443" t="s">
        <v>719</v>
      </c>
      <c r="D443" t="s">
        <v>724</v>
      </c>
      <c r="E443" s="2">
        <v>5.5830000000000002</v>
      </c>
    </row>
    <row r="444" spans="1:5" x14ac:dyDescent="0.25">
      <c r="A444" t="s">
        <v>864</v>
      </c>
      <c r="B444" s="12">
        <v>2008</v>
      </c>
      <c r="C444" t="s">
        <v>713</v>
      </c>
      <c r="D444" t="s">
        <v>724</v>
      </c>
      <c r="E444" s="2">
        <v>5.4880000000000004</v>
      </c>
    </row>
    <row r="445" spans="1:5" x14ac:dyDescent="0.25">
      <c r="A445" t="s">
        <v>864</v>
      </c>
      <c r="B445" s="12">
        <v>2008</v>
      </c>
      <c r="C445" t="s">
        <v>714</v>
      </c>
      <c r="D445" t="s">
        <v>724</v>
      </c>
      <c r="E445" s="2">
        <v>5.8559999999999999</v>
      </c>
    </row>
    <row r="446" spans="1:5" x14ac:dyDescent="0.25">
      <c r="A446" t="s">
        <v>864</v>
      </c>
      <c r="B446" s="12">
        <v>2008</v>
      </c>
      <c r="C446" t="s">
        <v>705</v>
      </c>
      <c r="D446" t="s">
        <v>724</v>
      </c>
      <c r="E446" s="2">
        <v>7.4909999999999997</v>
      </c>
    </row>
    <row r="447" spans="1:5" x14ac:dyDescent="0.25">
      <c r="A447" t="s">
        <v>864</v>
      </c>
      <c r="B447" s="12">
        <v>2008</v>
      </c>
      <c r="C447" t="s">
        <v>715</v>
      </c>
      <c r="D447" t="s">
        <v>724</v>
      </c>
      <c r="E447" s="2">
        <v>12.308999999999999</v>
      </c>
    </row>
    <row r="448" spans="1:5" x14ac:dyDescent="0.25">
      <c r="A448" t="s">
        <v>864</v>
      </c>
      <c r="B448" s="12">
        <v>2008</v>
      </c>
      <c r="C448" t="s">
        <v>718</v>
      </c>
      <c r="D448" t="s">
        <v>724</v>
      </c>
      <c r="E448" s="2">
        <v>12.041</v>
      </c>
    </row>
    <row r="449" spans="1:5" x14ac:dyDescent="0.25">
      <c r="A449" t="s">
        <v>864</v>
      </c>
      <c r="B449" s="12">
        <v>2008</v>
      </c>
      <c r="C449" t="s">
        <v>716</v>
      </c>
      <c r="D449" t="s">
        <v>724</v>
      </c>
      <c r="E449" s="2">
        <v>5.2149999999999999</v>
      </c>
    </row>
    <row r="450" spans="1:5" x14ac:dyDescent="0.25">
      <c r="A450" t="s">
        <v>864</v>
      </c>
      <c r="B450" s="12">
        <v>2008</v>
      </c>
      <c r="C450" t="s">
        <v>708</v>
      </c>
      <c r="D450" t="s">
        <v>724</v>
      </c>
      <c r="E450" s="2">
        <v>4.6740000000000004</v>
      </c>
    </row>
    <row r="451" spans="1:5" x14ac:dyDescent="0.25">
      <c r="A451" t="s">
        <v>864</v>
      </c>
      <c r="B451" s="12">
        <v>2008</v>
      </c>
      <c r="C451" t="s">
        <v>709</v>
      </c>
      <c r="D451" t="s">
        <v>724</v>
      </c>
      <c r="E451" s="2">
        <v>5.9409999999999998</v>
      </c>
    </row>
    <row r="452" spans="1:5" x14ac:dyDescent="0.25">
      <c r="A452" t="s">
        <v>864</v>
      </c>
      <c r="B452" s="12">
        <v>2008</v>
      </c>
      <c r="C452" t="s">
        <v>710</v>
      </c>
      <c r="D452" t="s">
        <v>724</v>
      </c>
      <c r="E452" s="2">
        <v>5.6740000000000004</v>
      </c>
    </row>
    <row r="453" spans="1:5" x14ac:dyDescent="0.25">
      <c r="A453" t="s">
        <v>864</v>
      </c>
      <c r="B453" s="12">
        <v>2008</v>
      </c>
      <c r="C453" t="s">
        <v>711</v>
      </c>
      <c r="D453" t="s">
        <v>724</v>
      </c>
      <c r="E453" s="2">
        <v>8.1199999999999992</v>
      </c>
    </row>
    <row r="454" spans="1:5" x14ac:dyDescent="0.25">
      <c r="A454" t="s">
        <v>864</v>
      </c>
      <c r="B454" s="12">
        <v>2008</v>
      </c>
      <c r="C454" t="s">
        <v>712</v>
      </c>
      <c r="D454" t="s">
        <v>724</v>
      </c>
      <c r="E454" s="2">
        <v>4.3959999999999999</v>
      </c>
    </row>
    <row r="455" spans="1:5" x14ac:dyDescent="0.25">
      <c r="A455" t="s">
        <v>864</v>
      </c>
      <c r="B455" s="12">
        <v>2009</v>
      </c>
      <c r="C455" t="s">
        <v>719</v>
      </c>
      <c r="D455" t="s">
        <v>724</v>
      </c>
      <c r="E455" s="2">
        <v>4.6159999999999997</v>
      </c>
    </row>
    <row r="456" spans="1:5" x14ac:dyDescent="0.25">
      <c r="A456" t="s">
        <v>864</v>
      </c>
      <c r="B456" s="12">
        <v>2009</v>
      </c>
      <c r="C456" t="s">
        <v>713</v>
      </c>
      <c r="D456" t="s">
        <v>724</v>
      </c>
      <c r="E456" s="2">
        <v>4.7430000000000003</v>
      </c>
    </row>
    <row r="457" spans="1:5" x14ac:dyDescent="0.25">
      <c r="A457" t="s">
        <v>864</v>
      </c>
      <c r="B457" s="12">
        <v>2009</v>
      </c>
      <c r="C457" t="s">
        <v>714</v>
      </c>
      <c r="D457" t="s">
        <v>724</v>
      </c>
      <c r="E457" s="2">
        <v>5.9189999999999996</v>
      </c>
    </row>
    <row r="458" spans="1:5" x14ac:dyDescent="0.25">
      <c r="A458" t="s">
        <v>864</v>
      </c>
      <c r="B458" s="12">
        <v>2009</v>
      </c>
      <c r="C458" t="s">
        <v>705</v>
      </c>
      <c r="D458" t="s">
        <v>724</v>
      </c>
      <c r="E458" s="2">
        <v>8.2560000000000002</v>
      </c>
    </row>
    <row r="459" spans="1:5" x14ac:dyDescent="0.25">
      <c r="A459" t="s">
        <v>864</v>
      </c>
      <c r="B459" s="12">
        <v>2009</v>
      </c>
      <c r="C459" t="s">
        <v>715</v>
      </c>
      <c r="D459" t="s">
        <v>724</v>
      </c>
      <c r="E459" s="2">
        <v>12.234999999999999</v>
      </c>
    </row>
    <row r="460" spans="1:5" x14ac:dyDescent="0.25">
      <c r="A460" t="s">
        <v>864</v>
      </c>
      <c r="B460" s="12">
        <v>2009</v>
      </c>
      <c r="C460" t="s">
        <v>718</v>
      </c>
      <c r="D460" t="s">
        <v>724</v>
      </c>
      <c r="E460" s="2">
        <v>13.368</v>
      </c>
    </row>
    <row r="461" spans="1:5" x14ac:dyDescent="0.25">
      <c r="A461" t="s">
        <v>864</v>
      </c>
      <c r="B461" s="12">
        <v>2009</v>
      </c>
      <c r="C461" t="s">
        <v>716</v>
      </c>
      <c r="D461" t="s">
        <v>724</v>
      </c>
      <c r="E461" s="2">
        <v>7.4349999999999996</v>
      </c>
    </row>
    <row r="462" spans="1:5" x14ac:dyDescent="0.25">
      <c r="A462" t="s">
        <v>864</v>
      </c>
      <c r="B462" s="12">
        <v>2009</v>
      </c>
      <c r="C462" t="s">
        <v>708</v>
      </c>
      <c r="D462" t="s">
        <v>724</v>
      </c>
      <c r="E462" s="2">
        <v>6.6070000000000002</v>
      </c>
    </row>
    <row r="463" spans="1:5" x14ac:dyDescent="0.25">
      <c r="A463" t="s">
        <v>864</v>
      </c>
      <c r="B463" s="12">
        <v>2009</v>
      </c>
      <c r="C463" t="s">
        <v>709</v>
      </c>
      <c r="D463" t="s">
        <v>724</v>
      </c>
      <c r="E463" s="2">
        <v>5.8689999999999998</v>
      </c>
    </row>
    <row r="464" spans="1:5" x14ac:dyDescent="0.25">
      <c r="A464" t="s">
        <v>864</v>
      </c>
      <c r="B464" s="12">
        <v>2009</v>
      </c>
      <c r="C464" t="s">
        <v>710</v>
      </c>
      <c r="D464" t="s">
        <v>724</v>
      </c>
      <c r="E464" s="2">
        <v>6.4340000000000002</v>
      </c>
    </row>
    <row r="465" spans="1:5" x14ac:dyDescent="0.25">
      <c r="A465" t="s">
        <v>864</v>
      </c>
      <c r="B465" s="12">
        <v>2009</v>
      </c>
      <c r="C465" t="s">
        <v>711</v>
      </c>
      <c r="D465" t="s">
        <v>724</v>
      </c>
      <c r="E465" s="2">
        <v>8.42</v>
      </c>
    </row>
    <row r="466" spans="1:5" x14ac:dyDescent="0.25">
      <c r="A466" t="s">
        <v>864</v>
      </c>
      <c r="B466" s="12">
        <v>2009</v>
      </c>
      <c r="C466" t="s">
        <v>712</v>
      </c>
      <c r="D466" t="s">
        <v>724</v>
      </c>
      <c r="E466" s="2">
        <v>11.429</v>
      </c>
    </row>
    <row r="467" spans="1:5" x14ac:dyDescent="0.25">
      <c r="A467" t="s">
        <v>864</v>
      </c>
      <c r="B467" s="12">
        <v>2010</v>
      </c>
      <c r="C467" t="s">
        <v>719</v>
      </c>
      <c r="D467" t="s">
        <v>724</v>
      </c>
      <c r="E467" s="2">
        <v>8.5069999999999997</v>
      </c>
    </row>
    <row r="468" spans="1:5" x14ac:dyDescent="0.25">
      <c r="A468" t="s">
        <v>864</v>
      </c>
      <c r="B468" s="12">
        <v>2010</v>
      </c>
      <c r="C468" t="s">
        <v>713</v>
      </c>
      <c r="D468" t="s">
        <v>724</v>
      </c>
      <c r="E468" s="2">
        <v>8.0679999999999996</v>
      </c>
    </row>
    <row r="469" spans="1:5" x14ac:dyDescent="0.25">
      <c r="A469" t="s">
        <v>864</v>
      </c>
      <c r="B469" s="12">
        <v>2010</v>
      </c>
      <c r="C469" t="s">
        <v>714</v>
      </c>
      <c r="D469" t="s">
        <v>724</v>
      </c>
      <c r="E469" s="2">
        <v>13.379</v>
      </c>
    </row>
    <row r="470" spans="1:5" x14ac:dyDescent="0.25">
      <c r="A470" t="s">
        <v>864</v>
      </c>
      <c r="B470" s="12">
        <v>2010</v>
      </c>
      <c r="C470" t="s">
        <v>705</v>
      </c>
      <c r="D470" t="s">
        <v>724</v>
      </c>
      <c r="E470" s="2">
        <v>9.8780000000000001</v>
      </c>
    </row>
    <row r="471" spans="1:5" x14ac:dyDescent="0.25">
      <c r="A471" t="s">
        <v>864</v>
      </c>
      <c r="B471" s="12">
        <v>2010</v>
      </c>
      <c r="C471" t="s">
        <v>715</v>
      </c>
      <c r="D471" t="s">
        <v>724</v>
      </c>
      <c r="E471" s="2">
        <v>7.0350000000000001</v>
      </c>
    </row>
    <row r="472" spans="1:5" x14ac:dyDescent="0.25">
      <c r="A472" t="s">
        <v>864</v>
      </c>
      <c r="B472" s="12">
        <v>2010</v>
      </c>
      <c r="C472" t="s">
        <v>718</v>
      </c>
      <c r="D472" t="s">
        <v>724</v>
      </c>
      <c r="E472" s="2">
        <v>6.6749999999999998</v>
      </c>
    </row>
    <row r="473" spans="1:5" x14ac:dyDescent="0.25">
      <c r="A473" t="s">
        <v>864</v>
      </c>
      <c r="B473" s="12">
        <v>2010</v>
      </c>
      <c r="C473" t="s">
        <v>716</v>
      </c>
      <c r="D473" t="s">
        <v>724</v>
      </c>
      <c r="E473" s="2">
        <v>6.3140000000000001</v>
      </c>
    </row>
    <row r="474" spans="1:5" x14ac:dyDescent="0.25">
      <c r="A474" t="s">
        <v>864</v>
      </c>
      <c r="B474" s="12">
        <v>2010</v>
      </c>
      <c r="C474" t="s">
        <v>708</v>
      </c>
      <c r="D474" t="s">
        <v>724</v>
      </c>
      <c r="E474" s="2">
        <v>6.8289999999999997</v>
      </c>
    </row>
    <row r="475" spans="1:5" x14ac:dyDescent="0.25">
      <c r="A475" t="s">
        <v>864</v>
      </c>
      <c r="B475" s="12">
        <v>2010</v>
      </c>
      <c r="C475" t="s">
        <v>709</v>
      </c>
      <c r="D475" t="s">
        <v>724</v>
      </c>
      <c r="E475" s="2">
        <v>9.1229999999999993</v>
      </c>
    </row>
    <row r="476" spans="1:5" x14ac:dyDescent="0.25">
      <c r="A476" t="s">
        <v>864</v>
      </c>
      <c r="B476" s="12">
        <v>2010</v>
      </c>
      <c r="C476" t="s">
        <v>710</v>
      </c>
      <c r="D476" t="s">
        <v>724</v>
      </c>
      <c r="E476" s="2">
        <v>6.4020000000000001</v>
      </c>
    </row>
    <row r="477" spans="1:5" x14ac:dyDescent="0.25">
      <c r="A477" t="s">
        <v>864</v>
      </c>
      <c r="B477" s="12">
        <v>2010</v>
      </c>
      <c r="C477" t="s">
        <v>711</v>
      </c>
      <c r="D477" t="s">
        <v>724</v>
      </c>
      <c r="E477" s="2">
        <v>4.1340000000000003</v>
      </c>
    </row>
    <row r="478" spans="1:5" x14ac:dyDescent="0.25">
      <c r="A478" t="s">
        <v>864</v>
      </c>
      <c r="B478" s="12">
        <v>2010</v>
      </c>
      <c r="C478" t="s">
        <v>712</v>
      </c>
      <c r="D478" t="s">
        <v>724</v>
      </c>
      <c r="E478" s="2">
        <v>4.7830000000000004</v>
      </c>
    </row>
    <row r="479" spans="1:5" x14ac:dyDescent="0.25">
      <c r="A479" t="s">
        <v>864</v>
      </c>
      <c r="B479" s="12">
        <v>2011</v>
      </c>
      <c r="C479" t="s">
        <v>719</v>
      </c>
      <c r="D479" t="s">
        <v>724</v>
      </c>
      <c r="E479" s="2">
        <v>4.2510000000000003</v>
      </c>
    </row>
    <row r="480" spans="1:5" x14ac:dyDescent="0.25">
      <c r="A480" t="s">
        <v>864</v>
      </c>
      <c r="B480" s="12">
        <v>2011</v>
      </c>
      <c r="C480" t="s">
        <v>713</v>
      </c>
      <c r="D480" t="s">
        <v>724</v>
      </c>
      <c r="E480" s="2">
        <v>4.9050000000000002</v>
      </c>
    </row>
    <row r="481" spans="1:5" x14ac:dyDescent="0.25">
      <c r="A481" t="s">
        <v>864</v>
      </c>
      <c r="B481" s="12">
        <v>2011</v>
      </c>
      <c r="C481" t="s">
        <v>714</v>
      </c>
      <c r="D481" t="s">
        <v>724</v>
      </c>
      <c r="E481" s="2">
        <v>5.7229999999999999</v>
      </c>
    </row>
    <row r="482" spans="1:5" x14ac:dyDescent="0.25">
      <c r="A482" t="s">
        <v>864</v>
      </c>
      <c r="B482" s="12">
        <v>2011</v>
      </c>
      <c r="C482" t="s">
        <v>705</v>
      </c>
      <c r="D482" t="s">
        <v>724</v>
      </c>
      <c r="E482" s="2">
        <v>5.4029999999999996</v>
      </c>
    </row>
    <row r="483" spans="1:5" x14ac:dyDescent="0.25">
      <c r="A483" t="s">
        <v>864</v>
      </c>
      <c r="B483" s="12">
        <v>2011</v>
      </c>
      <c r="C483" t="s">
        <v>715</v>
      </c>
      <c r="D483" t="s">
        <v>724</v>
      </c>
      <c r="E483" s="2">
        <v>6.5609999999999999</v>
      </c>
    </row>
    <row r="484" spans="1:5" x14ac:dyDescent="0.25">
      <c r="A484" t="s">
        <v>864</v>
      </c>
      <c r="B484" s="12">
        <v>2011</v>
      </c>
      <c r="C484" t="s">
        <v>718</v>
      </c>
      <c r="D484" t="s">
        <v>724</v>
      </c>
      <c r="E484" s="2">
        <v>6.1280000000000001</v>
      </c>
    </row>
    <row r="485" spans="1:5" x14ac:dyDescent="0.25">
      <c r="A485" t="s">
        <v>864</v>
      </c>
      <c r="B485" s="12">
        <v>2011</v>
      </c>
      <c r="C485" t="s">
        <v>716</v>
      </c>
      <c r="D485" t="s">
        <v>724</v>
      </c>
      <c r="E485" s="2">
        <v>11.962</v>
      </c>
    </row>
    <row r="486" spans="1:5" x14ac:dyDescent="0.25">
      <c r="A486" t="s">
        <v>864</v>
      </c>
      <c r="B486" s="12">
        <v>2011</v>
      </c>
      <c r="C486" t="s">
        <v>708</v>
      </c>
      <c r="D486" t="s">
        <v>724</v>
      </c>
      <c r="E486" s="2">
        <v>12.003</v>
      </c>
    </row>
    <row r="487" spans="1:5" x14ac:dyDescent="0.25">
      <c r="A487" t="s">
        <v>864</v>
      </c>
      <c r="B487" s="12">
        <v>2011</v>
      </c>
      <c r="C487" t="s">
        <v>709</v>
      </c>
      <c r="D487" t="s">
        <v>724</v>
      </c>
      <c r="E487" s="2">
        <v>9.4760000000000009</v>
      </c>
    </row>
    <row r="488" spans="1:5" x14ac:dyDescent="0.25">
      <c r="A488" t="s">
        <v>864</v>
      </c>
      <c r="B488" s="12">
        <v>2011</v>
      </c>
      <c r="C488" t="s">
        <v>710</v>
      </c>
      <c r="D488" t="s">
        <v>724</v>
      </c>
      <c r="E488" s="2">
        <v>8.0020000000000007</v>
      </c>
    </row>
    <row r="489" spans="1:5" x14ac:dyDescent="0.25">
      <c r="A489" t="s">
        <v>864</v>
      </c>
      <c r="B489" s="12">
        <v>2011</v>
      </c>
      <c r="C489" t="s">
        <v>711</v>
      </c>
      <c r="D489" t="s">
        <v>724</v>
      </c>
      <c r="E489" s="2">
        <v>5.8010000000000002</v>
      </c>
    </row>
    <row r="490" spans="1:5" x14ac:dyDescent="0.25">
      <c r="A490" t="s">
        <v>864</v>
      </c>
      <c r="B490" s="12">
        <v>2011</v>
      </c>
      <c r="C490" t="s">
        <v>712</v>
      </c>
      <c r="D490" t="s">
        <v>724</v>
      </c>
      <c r="E490" s="2">
        <v>6.8879999999999999</v>
      </c>
    </row>
    <row r="491" spans="1:5" x14ac:dyDescent="0.25">
      <c r="A491" t="s">
        <v>864</v>
      </c>
      <c r="B491" s="12">
        <v>2012</v>
      </c>
      <c r="C491" t="s">
        <v>719</v>
      </c>
      <c r="D491" t="s">
        <v>724</v>
      </c>
      <c r="E491" s="2">
        <v>7.4710000000000001</v>
      </c>
    </row>
    <row r="492" spans="1:5" x14ac:dyDescent="0.25">
      <c r="A492" t="s">
        <v>864</v>
      </c>
      <c r="B492" s="12">
        <v>2012</v>
      </c>
      <c r="C492" t="s">
        <v>713</v>
      </c>
      <c r="D492" t="s">
        <v>724</v>
      </c>
      <c r="E492" s="2">
        <v>5.056</v>
      </c>
    </row>
    <row r="493" spans="1:5" x14ac:dyDescent="0.25">
      <c r="A493" t="s">
        <v>864</v>
      </c>
      <c r="B493" s="12">
        <v>2012</v>
      </c>
      <c r="C493" t="s">
        <v>714</v>
      </c>
      <c r="D493" t="s">
        <v>724</v>
      </c>
      <c r="E493" s="2">
        <v>6.9960000000000004</v>
      </c>
    </row>
    <row r="494" spans="1:5" x14ac:dyDescent="0.25">
      <c r="A494" t="s">
        <v>864</v>
      </c>
      <c r="B494" s="12">
        <v>2012</v>
      </c>
      <c r="C494" t="s">
        <v>705</v>
      </c>
      <c r="D494" t="s">
        <v>724</v>
      </c>
      <c r="E494" s="2">
        <v>5.3</v>
      </c>
    </row>
    <row r="495" spans="1:5" x14ac:dyDescent="0.25">
      <c r="A495" t="s">
        <v>864</v>
      </c>
      <c r="B495" s="12">
        <v>2012</v>
      </c>
      <c r="C495" t="s">
        <v>715</v>
      </c>
      <c r="D495" t="s">
        <v>724</v>
      </c>
      <c r="E495" s="2">
        <v>6.532</v>
      </c>
    </row>
    <row r="496" spans="1:5" x14ac:dyDescent="0.25">
      <c r="A496" t="s">
        <v>864</v>
      </c>
      <c r="B496" s="12">
        <v>2012</v>
      </c>
      <c r="C496" t="s">
        <v>718</v>
      </c>
      <c r="D496" t="s">
        <v>724</v>
      </c>
      <c r="E496" s="2">
        <v>6.4710000000000001</v>
      </c>
    </row>
    <row r="497" spans="1:5" x14ac:dyDescent="0.25">
      <c r="A497" t="s">
        <v>864</v>
      </c>
      <c r="B497" s="12">
        <v>2012</v>
      </c>
      <c r="C497" t="s">
        <v>716</v>
      </c>
      <c r="D497" t="s">
        <v>724</v>
      </c>
      <c r="E497" s="2">
        <v>5.5540000000000003</v>
      </c>
    </row>
    <row r="498" spans="1:5" x14ac:dyDescent="0.25">
      <c r="A498" t="s">
        <v>864</v>
      </c>
      <c r="B498" s="12">
        <v>2012</v>
      </c>
      <c r="C498" t="s">
        <v>708</v>
      </c>
      <c r="D498" t="s">
        <v>724</v>
      </c>
      <c r="E498" s="2">
        <v>4.75</v>
      </c>
    </row>
    <row r="499" spans="1:5" x14ac:dyDescent="0.25">
      <c r="A499" t="s">
        <v>864</v>
      </c>
      <c r="B499" s="12">
        <v>2012</v>
      </c>
      <c r="C499" t="s">
        <v>709</v>
      </c>
      <c r="D499" t="s">
        <v>724</v>
      </c>
      <c r="E499" s="2">
        <v>4.38</v>
      </c>
    </row>
    <row r="500" spans="1:5" x14ac:dyDescent="0.25">
      <c r="A500" t="s">
        <v>864</v>
      </c>
      <c r="B500" s="12">
        <v>2012</v>
      </c>
      <c r="C500" t="s">
        <v>710</v>
      </c>
      <c r="D500" t="s">
        <v>724</v>
      </c>
      <c r="E500" s="2">
        <v>4.6340000000000003</v>
      </c>
    </row>
    <row r="501" spans="1:5" x14ac:dyDescent="0.25">
      <c r="A501" t="s">
        <v>864</v>
      </c>
      <c r="B501" s="12">
        <v>2012</v>
      </c>
      <c r="C501" t="s">
        <v>711</v>
      </c>
      <c r="D501" t="s">
        <v>724</v>
      </c>
      <c r="E501" s="2">
        <v>2.5449999999999999</v>
      </c>
    </row>
    <row r="502" spans="1:5" x14ac:dyDescent="0.25">
      <c r="A502" t="s">
        <v>864</v>
      </c>
      <c r="B502" s="12">
        <v>2012</v>
      </c>
      <c r="C502" t="s">
        <v>712</v>
      </c>
      <c r="D502" t="s">
        <v>724</v>
      </c>
      <c r="E502" s="2">
        <v>2.2519999999999998</v>
      </c>
    </row>
    <row r="503" spans="1:5" x14ac:dyDescent="0.25">
      <c r="A503" t="s">
        <v>864</v>
      </c>
      <c r="B503" s="12">
        <v>2013</v>
      </c>
      <c r="C503" t="s">
        <v>719</v>
      </c>
      <c r="D503" t="s">
        <v>724</v>
      </c>
      <c r="E503" s="2">
        <v>5.57</v>
      </c>
    </row>
    <row r="504" spans="1:5" x14ac:dyDescent="0.25">
      <c r="A504" t="s">
        <v>864</v>
      </c>
      <c r="B504" s="12">
        <v>2013</v>
      </c>
      <c r="C504" t="s">
        <v>713</v>
      </c>
      <c r="D504" t="s">
        <v>724</v>
      </c>
      <c r="E504" s="2">
        <v>3.6080000000000001</v>
      </c>
    </row>
    <row r="505" spans="1:5" x14ac:dyDescent="0.25">
      <c r="A505" t="s">
        <v>864</v>
      </c>
      <c r="B505" s="12">
        <v>2013</v>
      </c>
      <c r="C505" t="s">
        <v>714</v>
      </c>
      <c r="D505" t="s">
        <v>724</v>
      </c>
      <c r="E505" s="2">
        <v>4.6399999999999997</v>
      </c>
    </row>
    <row r="506" spans="1:5" x14ac:dyDescent="0.25">
      <c r="A506" t="s">
        <v>864</v>
      </c>
      <c r="B506" s="12">
        <v>2013</v>
      </c>
      <c r="C506" t="s">
        <v>705</v>
      </c>
      <c r="D506" t="s">
        <v>724</v>
      </c>
      <c r="E506" s="2">
        <v>6.1639999999999997</v>
      </c>
    </row>
    <row r="507" spans="1:5" x14ac:dyDescent="0.25">
      <c r="A507" t="s">
        <v>864</v>
      </c>
      <c r="B507" s="12">
        <v>2013</v>
      </c>
      <c r="C507" t="s">
        <v>715</v>
      </c>
      <c r="D507" t="s">
        <v>724</v>
      </c>
      <c r="E507" s="2">
        <v>6.19</v>
      </c>
    </row>
    <row r="508" spans="1:5" x14ac:dyDescent="0.25">
      <c r="A508" t="s">
        <v>864</v>
      </c>
      <c r="B508" s="12">
        <v>2013</v>
      </c>
      <c r="C508" t="s">
        <v>718</v>
      </c>
      <c r="D508" t="s">
        <v>724</v>
      </c>
      <c r="E508" s="2">
        <v>7.218</v>
      </c>
    </row>
    <row r="509" spans="1:5" x14ac:dyDescent="0.25">
      <c r="A509" t="s">
        <v>864</v>
      </c>
      <c r="B509" s="12">
        <v>2013</v>
      </c>
      <c r="C509" t="s">
        <v>716</v>
      </c>
      <c r="D509" t="s">
        <v>724</v>
      </c>
      <c r="E509" s="2">
        <v>6.7839999999999998</v>
      </c>
    </row>
    <row r="510" spans="1:5" x14ac:dyDescent="0.25">
      <c r="A510" t="s">
        <v>864</v>
      </c>
      <c r="B510" s="12">
        <v>2013</v>
      </c>
      <c r="C510" t="s">
        <v>708</v>
      </c>
      <c r="D510" t="s">
        <v>724</v>
      </c>
      <c r="E510" s="2">
        <v>5.19</v>
      </c>
    </row>
    <row r="511" spans="1:5" x14ac:dyDescent="0.25">
      <c r="A511" t="s">
        <v>864</v>
      </c>
      <c r="B511" s="12">
        <v>2013</v>
      </c>
      <c r="C511" t="s">
        <v>709</v>
      </c>
      <c r="D511" t="s">
        <v>724</v>
      </c>
      <c r="E511" s="2">
        <v>4.0359999999999996</v>
      </c>
    </row>
    <row r="512" spans="1:5" x14ac:dyDescent="0.25">
      <c r="A512" t="s">
        <v>864</v>
      </c>
      <c r="B512" s="12">
        <v>2013</v>
      </c>
      <c r="C512" t="s">
        <v>710</v>
      </c>
      <c r="D512" t="s">
        <v>724</v>
      </c>
      <c r="E512" s="2">
        <v>4.657</v>
      </c>
    </row>
    <row r="513" spans="1:5" x14ac:dyDescent="0.25">
      <c r="A513" t="s">
        <v>864</v>
      </c>
      <c r="B513" s="12">
        <v>2013</v>
      </c>
      <c r="C513" t="s">
        <v>711</v>
      </c>
      <c r="D513" t="s">
        <v>724</v>
      </c>
      <c r="E513" s="2">
        <v>3.3479999999999999</v>
      </c>
    </row>
    <row r="514" spans="1:5" x14ac:dyDescent="0.25">
      <c r="A514" t="s">
        <v>864</v>
      </c>
      <c r="B514" s="12">
        <v>2013</v>
      </c>
      <c r="C514" t="s">
        <v>712</v>
      </c>
      <c r="D514" t="s">
        <v>724</v>
      </c>
      <c r="E514" s="2">
        <v>4.8630000000000004</v>
      </c>
    </row>
    <row r="515" spans="1:5" x14ac:dyDescent="0.25">
      <c r="A515" t="s">
        <v>864</v>
      </c>
      <c r="B515" s="12">
        <v>2014</v>
      </c>
      <c r="C515" t="s">
        <v>719</v>
      </c>
      <c r="D515" t="s">
        <v>724</v>
      </c>
      <c r="E515" s="2">
        <v>3.9169999999999998</v>
      </c>
    </row>
    <row r="516" spans="1:5" x14ac:dyDescent="0.25">
      <c r="A516" t="s">
        <v>864</v>
      </c>
      <c r="B516" s="12">
        <v>2014</v>
      </c>
      <c r="C516" t="s">
        <v>713</v>
      </c>
      <c r="D516" t="s">
        <v>724</v>
      </c>
      <c r="E516" s="2">
        <v>4.2569999999999997</v>
      </c>
    </row>
    <row r="517" spans="1:5" x14ac:dyDescent="0.25">
      <c r="A517" t="s">
        <v>864</v>
      </c>
      <c r="B517" s="12">
        <v>2014</v>
      </c>
      <c r="C517" t="s">
        <v>714</v>
      </c>
      <c r="D517" t="s">
        <v>724</v>
      </c>
      <c r="E517" s="2">
        <v>6.6559999999999997</v>
      </c>
    </row>
    <row r="518" spans="1:5" x14ac:dyDescent="0.25">
      <c r="A518" t="s">
        <v>864</v>
      </c>
      <c r="B518" s="12">
        <v>2014</v>
      </c>
      <c r="C518" t="s">
        <v>705</v>
      </c>
      <c r="D518" t="s">
        <v>724</v>
      </c>
      <c r="E518" s="2">
        <v>6.9050000000000002</v>
      </c>
    </row>
    <row r="519" spans="1:5" x14ac:dyDescent="0.25">
      <c r="A519" t="s">
        <v>864</v>
      </c>
      <c r="B519" s="12">
        <v>2014</v>
      </c>
      <c r="C519" t="s">
        <v>715</v>
      </c>
      <c r="D519" t="s">
        <v>724</v>
      </c>
      <c r="E519" s="2">
        <v>9.0950000000000006</v>
      </c>
    </row>
    <row r="520" spans="1:5" x14ac:dyDescent="0.25">
      <c r="A520" t="s">
        <v>864</v>
      </c>
      <c r="B520" s="12">
        <v>2014</v>
      </c>
      <c r="C520" t="s">
        <v>718</v>
      </c>
      <c r="D520" t="s">
        <v>724</v>
      </c>
      <c r="E520" s="2">
        <v>8.1340000000000003</v>
      </c>
    </row>
    <row r="521" spans="1:5" x14ac:dyDescent="0.25">
      <c r="A521" t="s">
        <v>864</v>
      </c>
      <c r="B521" s="12">
        <v>2014</v>
      </c>
      <c r="C521" t="s">
        <v>716</v>
      </c>
      <c r="D521" t="s">
        <v>724</v>
      </c>
      <c r="E521" s="2">
        <v>5.5529999999999999</v>
      </c>
    </row>
    <row r="522" spans="1:5" x14ac:dyDescent="0.25">
      <c r="A522" t="s">
        <v>864</v>
      </c>
      <c r="B522" s="12">
        <v>2014</v>
      </c>
      <c r="C522" t="s">
        <v>708</v>
      </c>
      <c r="D522" t="s">
        <v>724</v>
      </c>
      <c r="E522" s="2">
        <v>3.6640000000000001</v>
      </c>
    </row>
    <row r="523" spans="1:5" x14ac:dyDescent="0.25">
      <c r="A523" t="s">
        <v>864</v>
      </c>
      <c r="B523" s="12">
        <v>2014</v>
      </c>
      <c r="C523" t="s">
        <v>709</v>
      </c>
      <c r="D523" t="s">
        <v>724</v>
      </c>
      <c r="E523" s="2">
        <v>4.37</v>
      </c>
    </row>
    <row r="524" spans="1:5" x14ac:dyDescent="0.25">
      <c r="A524" t="s">
        <v>864</v>
      </c>
      <c r="B524" s="12">
        <v>2014</v>
      </c>
      <c r="C524" t="s">
        <v>710</v>
      </c>
      <c r="D524" t="s">
        <v>724</v>
      </c>
      <c r="E524" s="2">
        <v>3.4870000000000001</v>
      </c>
    </row>
    <row r="525" spans="1:5" x14ac:dyDescent="0.25">
      <c r="A525" t="s">
        <v>864</v>
      </c>
      <c r="B525" s="12">
        <v>2014</v>
      </c>
      <c r="C525" t="s">
        <v>711</v>
      </c>
      <c r="D525" t="s">
        <v>724</v>
      </c>
      <c r="E525" s="2">
        <v>1.728</v>
      </c>
    </row>
    <row r="526" spans="1:5" x14ac:dyDescent="0.25">
      <c r="A526" t="s">
        <v>864</v>
      </c>
      <c r="B526" s="12">
        <v>2014</v>
      </c>
      <c r="C526" t="s">
        <v>712</v>
      </c>
      <c r="D526" t="s">
        <v>724</v>
      </c>
      <c r="E526" s="2">
        <v>1.5009999999999999</v>
      </c>
    </row>
    <row r="527" spans="1:5" x14ac:dyDescent="0.25">
      <c r="A527" t="s">
        <v>864</v>
      </c>
      <c r="B527" s="12">
        <v>2015</v>
      </c>
      <c r="C527" t="s">
        <v>719</v>
      </c>
      <c r="D527" t="s">
        <v>724</v>
      </c>
      <c r="E527" s="2">
        <v>3.032</v>
      </c>
    </row>
    <row r="528" spans="1:5" x14ac:dyDescent="0.25">
      <c r="A528" t="s">
        <v>864</v>
      </c>
      <c r="B528" s="12">
        <v>2015</v>
      </c>
      <c r="C528" t="s">
        <v>713</v>
      </c>
      <c r="D528" t="s">
        <v>724</v>
      </c>
      <c r="E528" s="2">
        <v>2.927</v>
      </c>
    </row>
    <row r="529" spans="1:5" x14ac:dyDescent="0.25">
      <c r="A529" t="s">
        <v>864</v>
      </c>
      <c r="B529" s="12">
        <v>2015</v>
      </c>
      <c r="C529" t="s">
        <v>714</v>
      </c>
      <c r="D529" t="s">
        <v>724</v>
      </c>
      <c r="E529" s="2">
        <v>5.532</v>
      </c>
    </row>
    <row r="530" spans="1:5" x14ac:dyDescent="0.25">
      <c r="A530" t="s">
        <v>864</v>
      </c>
      <c r="B530" s="12">
        <v>2015</v>
      </c>
      <c r="C530" t="s">
        <v>705</v>
      </c>
      <c r="D530" t="s">
        <v>724</v>
      </c>
      <c r="E530" s="2">
        <v>5.7889999999999997</v>
      </c>
    </row>
    <row r="531" spans="1:5" x14ac:dyDescent="0.25">
      <c r="A531" t="s">
        <v>864</v>
      </c>
      <c r="B531" s="12">
        <v>2015</v>
      </c>
      <c r="C531" t="s">
        <v>715</v>
      </c>
      <c r="D531" t="s">
        <v>724</v>
      </c>
      <c r="E531" s="2">
        <v>4.4429999999999996</v>
      </c>
    </row>
    <row r="532" spans="1:5" x14ac:dyDescent="0.25">
      <c r="A532" t="s">
        <v>864</v>
      </c>
      <c r="B532" s="12">
        <v>2015</v>
      </c>
      <c r="C532" t="s">
        <v>718</v>
      </c>
      <c r="D532" t="s">
        <v>724</v>
      </c>
      <c r="E532" s="2">
        <v>6.5039999999999996</v>
      </c>
    </row>
    <row r="533" spans="1:5" x14ac:dyDescent="0.25">
      <c r="A533" t="s">
        <v>864</v>
      </c>
      <c r="B533" s="12">
        <v>2015</v>
      </c>
      <c r="C533" t="s">
        <v>716</v>
      </c>
      <c r="D533" t="s">
        <v>724</v>
      </c>
      <c r="E533" s="2">
        <v>6.5990000000000002</v>
      </c>
    </row>
    <row r="534" spans="1:5" x14ac:dyDescent="0.25">
      <c r="A534" t="s">
        <v>864</v>
      </c>
      <c r="B534" s="12">
        <v>2015</v>
      </c>
      <c r="C534" t="s">
        <v>708</v>
      </c>
      <c r="D534" t="s">
        <v>724</v>
      </c>
      <c r="E534" s="2">
        <v>3.669</v>
      </c>
    </row>
    <row r="535" spans="1:5" x14ac:dyDescent="0.25">
      <c r="A535" t="s">
        <v>864</v>
      </c>
      <c r="B535" s="12">
        <v>2015</v>
      </c>
      <c r="C535" t="s">
        <v>709</v>
      </c>
      <c r="D535" t="s">
        <v>724</v>
      </c>
      <c r="E535" s="2">
        <v>1.097</v>
      </c>
    </row>
    <row r="536" spans="1:5" x14ac:dyDescent="0.25">
      <c r="A536" t="s">
        <v>864</v>
      </c>
      <c r="B536" s="12">
        <v>2015</v>
      </c>
      <c r="C536" t="s">
        <v>710</v>
      </c>
      <c r="D536" t="s">
        <v>724</v>
      </c>
      <c r="E536" s="2">
        <v>1.1919999999999999</v>
      </c>
    </row>
    <row r="537" spans="1:5" x14ac:dyDescent="0.25">
      <c r="A537" t="s">
        <v>864</v>
      </c>
      <c r="B537" s="12">
        <v>2015</v>
      </c>
      <c r="C537" t="s">
        <v>711</v>
      </c>
      <c r="D537" t="s">
        <v>724</v>
      </c>
      <c r="E537" s="2">
        <v>7.7329999999999997</v>
      </c>
    </row>
    <row r="538" spans="1:5" x14ac:dyDescent="0.25">
      <c r="A538" t="s">
        <v>864</v>
      </c>
      <c r="B538" s="12">
        <v>2015</v>
      </c>
      <c r="C538" t="s">
        <v>712</v>
      </c>
      <c r="D538" t="s">
        <v>724</v>
      </c>
      <c r="E538" s="2">
        <v>10.009</v>
      </c>
    </row>
    <row r="539" spans="1:5" x14ac:dyDescent="0.25">
      <c r="A539" t="s">
        <v>864</v>
      </c>
      <c r="B539" s="12">
        <v>2016</v>
      </c>
      <c r="C539" t="s">
        <v>719</v>
      </c>
      <c r="D539" t="s">
        <v>724</v>
      </c>
      <c r="E539" s="2">
        <v>11.077999999999999</v>
      </c>
    </row>
    <row r="540" spans="1:5" x14ac:dyDescent="0.25">
      <c r="A540" t="s">
        <v>864</v>
      </c>
      <c r="B540" s="12">
        <v>2016</v>
      </c>
      <c r="C540" t="s">
        <v>713</v>
      </c>
      <c r="D540" t="s">
        <v>724</v>
      </c>
      <c r="E540" s="2">
        <v>14.896000000000001</v>
      </c>
    </row>
    <row r="541" spans="1:5" x14ac:dyDescent="0.25">
      <c r="A541" t="s">
        <v>864</v>
      </c>
      <c r="B541" s="12">
        <v>2016</v>
      </c>
      <c r="C541" t="s">
        <v>714</v>
      </c>
      <c r="D541" t="s">
        <v>724</v>
      </c>
      <c r="E541" s="2">
        <v>15.836</v>
      </c>
    </row>
    <row r="542" spans="1:5" x14ac:dyDescent="0.25">
      <c r="A542" t="s">
        <v>864</v>
      </c>
      <c r="B542" s="12">
        <v>2016</v>
      </c>
      <c r="C542" t="s">
        <v>705</v>
      </c>
      <c r="D542" t="s">
        <v>724</v>
      </c>
      <c r="E542" s="2">
        <v>13.885</v>
      </c>
    </row>
    <row r="543" spans="1:5" x14ac:dyDescent="0.25">
      <c r="A543" t="s">
        <v>864</v>
      </c>
      <c r="B543" s="12">
        <v>2016</v>
      </c>
      <c r="C543" t="s">
        <v>715</v>
      </c>
      <c r="D543" t="s">
        <v>724</v>
      </c>
      <c r="E543" s="2">
        <v>14.832000000000001</v>
      </c>
    </row>
    <row r="544" spans="1:5" x14ac:dyDescent="0.25">
      <c r="A544" t="s">
        <v>864</v>
      </c>
      <c r="B544" s="12">
        <v>2016</v>
      </c>
      <c r="C544" t="s">
        <v>718</v>
      </c>
      <c r="D544" t="s">
        <v>724</v>
      </c>
      <c r="E544" s="2">
        <v>14.653</v>
      </c>
    </row>
    <row r="545" spans="1:5" x14ac:dyDescent="0.25">
      <c r="A545" t="s">
        <v>864</v>
      </c>
      <c r="B545" s="12">
        <v>2016</v>
      </c>
      <c r="C545" t="s">
        <v>716</v>
      </c>
      <c r="D545" t="s">
        <v>724</v>
      </c>
      <c r="E545" s="2">
        <v>14.023999999999999</v>
      </c>
    </row>
    <row r="546" spans="1:5" x14ac:dyDescent="0.25">
      <c r="A546" t="s">
        <v>864</v>
      </c>
      <c r="B546" s="12">
        <v>2016</v>
      </c>
      <c r="C546" t="s">
        <v>708</v>
      </c>
      <c r="D546" t="s">
        <v>724</v>
      </c>
      <c r="E546" s="2">
        <v>13.244</v>
      </c>
    </row>
    <row r="547" spans="1:5" x14ac:dyDescent="0.25">
      <c r="A547" t="s">
        <v>864</v>
      </c>
      <c r="B547" s="12">
        <v>2016</v>
      </c>
      <c r="C547" t="s">
        <v>709</v>
      </c>
      <c r="D547" t="s">
        <v>724</v>
      </c>
      <c r="E547" s="2">
        <v>12.353999999999999</v>
      </c>
    </row>
    <row r="548" spans="1:5" x14ac:dyDescent="0.25">
      <c r="A548" t="s">
        <v>864</v>
      </c>
      <c r="B548" s="12">
        <v>2016</v>
      </c>
      <c r="C548" t="s">
        <v>710</v>
      </c>
      <c r="D548" t="s">
        <v>724</v>
      </c>
      <c r="E548" s="2">
        <v>22.867999999999999</v>
      </c>
    </row>
    <row r="549" spans="1:5" x14ac:dyDescent="0.25">
      <c r="A549" t="s">
        <v>864</v>
      </c>
      <c r="B549" s="12">
        <v>2016</v>
      </c>
      <c r="C549" t="s">
        <v>711</v>
      </c>
      <c r="D549" t="s">
        <v>724</v>
      </c>
      <c r="E549" s="2">
        <v>29.506</v>
      </c>
    </row>
    <row r="550" spans="1:5" x14ac:dyDescent="0.25">
      <c r="A550" t="s">
        <v>864</v>
      </c>
      <c r="B550" s="12">
        <v>2016</v>
      </c>
      <c r="C550" t="s">
        <v>712</v>
      </c>
      <c r="D550" t="s">
        <v>724</v>
      </c>
      <c r="E550" s="2">
        <v>5.5529999999999999</v>
      </c>
    </row>
    <row r="551" spans="1:5" x14ac:dyDescent="0.25">
      <c r="A551" t="s">
        <v>864</v>
      </c>
      <c r="B551" s="12" t="s">
        <v>813</v>
      </c>
      <c r="C551" t="s">
        <v>719</v>
      </c>
      <c r="D551" t="s">
        <v>724</v>
      </c>
      <c r="E551" s="2">
        <v>7.79</v>
      </c>
    </row>
    <row r="552" spans="1:5" x14ac:dyDescent="0.25">
      <c r="A552" t="s">
        <v>864</v>
      </c>
      <c r="B552" s="12">
        <v>2017</v>
      </c>
      <c r="C552" t="s">
        <v>713</v>
      </c>
      <c r="D552" t="s">
        <v>724</v>
      </c>
      <c r="E552" s="2">
        <v>14.99</v>
      </c>
    </row>
    <row r="553" spans="1:5" x14ac:dyDescent="0.25">
      <c r="A553" t="s">
        <v>864</v>
      </c>
      <c r="B553" s="12" t="s">
        <v>813</v>
      </c>
      <c r="C553" t="s">
        <v>714</v>
      </c>
      <c r="D553" t="s">
        <v>724</v>
      </c>
      <c r="E553" s="2">
        <v>17.579999999999998</v>
      </c>
    </row>
    <row r="554" spans="1:5" x14ac:dyDescent="0.25">
      <c r="A554" t="s">
        <v>864</v>
      </c>
      <c r="B554" s="12">
        <v>2017</v>
      </c>
      <c r="C554" t="s">
        <v>705</v>
      </c>
      <c r="D554" t="s">
        <v>724</v>
      </c>
      <c r="E554" s="2">
        <v>18.12</v>
      </c>
    </row>
    <row r="555" spans="1:5" x14ac:dyDescent="0.25">
      <c r="A555" t="s">
        <v>864</v>
      </c>
      <c r="B555" s="12">
        <v>2017</v>
      </c>
      <c r="C555" t="s">
        <v>715</v>
      </c>
      <c r="D555" t="s">
        <v>724</v>
      </c>
      <c r="E555" s="2">
        <v>19.440000000000001</v>
      </c>
    </row>
    <row r="556" spans="1:5" x14ac:dyDescent="0.25">
      <c r="A556" t="s">
        <v>864</v>
      </c>
      <c r="B556" s="12" t="s">
        <v>813</v>
      </c>
      <c r="C556" t="s">
        <v>718</v>
      </c>
      <c r="D556" t="s">
        <v>724</v>
      </c>
      <c r="E556" s="2">
        <v>16.41</v>
      </c>
    </row>
    <row r="557" spans="1:5" x14ac:dyDescent="0.25">
      <c r="A557" t="s">
        <v>864</v>
      </c>
      <c r="B557" s="12">
        <v>2017</v>
      </c>
      <c r="C557" t="s">
        <v>716</v>
      </c>
      <c r="D557" t="s">
        <v>724</v>
      </c>
      <c r="E557" s="2">
        <v>16.41</v>
      </c>
    </row>
    <row r="558" spans="1:5" x14ac:dyDescent="0.25">
      <c r="A558" t="s">
        <v>864</v>
      </c>
      <c r="B558" s="12">
        <v>2017</v>
      </c>
      <c r="C558" t="s">
        <v>708</v>
      </c>
      <c r="D558" t="s">
        <v>724</v>
      </c>
      <c r="E558" s="2">
        <v>16.579999999999998</v>
      </c>
    </row>
    <row r="559" spans="1:5" x14ac:dyDescent="0.25">
      <c r="A559" t="s">
        <v>864</v>
      </c>
      <c r="B559" s="12">
        <v>2017</v>
      </c>
      <c r="C559" t="s">
        <v>709</v>
      </c>
      <c r="D559" t="s">
        <v>724</v>
      </c>
      <c r="E559" s="2">
        <v>15.6</v>
      </c>
    </row>
    <row r="560" spans="1:5" x14ac:dyDescent="0.25">
      <c r="A560" t="s">
        <v>864</v>
      </c>
      <c r="B560" s="12">
        <v>2017</v>
      </c>
      <c r="C560" t="s">
        <v>710</v>
      </c>
      <c r="D560" t="s">
        <v>724</v>
      </c>
      <c r="E560" s="2">
        <v>15.39</v>
      </c>
    </row>
    <row r="561" spans="1:5" x14ac:dyDescent="0.25">
      <c r="A561" t="s">
        <v>864</v>
      </c>
      <c r="B561" s="12">
        <v>2017</v>
      </c>
      <c r="C561" t="s">
        <v>711</v>
      </c>
      <c r="D561" t="s">
        <v>724</v>
      </c>
      <c r="E561" s="2">
        <v>15.4</v>
      </c>
    </row>
    <row r="562" spans="1:5" x14ac:dyDescent="0.25">
      <c r="A562" t="s">
        <v>864</v>
      </c>
      <c r="B562" s="12">
        <v>2017</v>
      </c>
      <c r="C562" t="s">
        <v>712</v>
      </c>
      <c r="D562" t="s">
        <v>724</v>
      </c>
      <c r="E562" s="2">
        <v>15.12</v>
      </c>
    </row>
    <row r="563" spans="1:5" x14ac:dyDescent="0.25">
      <c r="A563" t="s">
        <v>864</v>
      </c>
      <c r="B563" s="12">
        <v>2018</v>
      </c>
      <c r="C563" t="s">
        <v>719</v>
      </c>
      <c r="D563" t="s">
        <v>724</v>
      </c>
      <c r="E563" s="2">
        <v>15.33</v>
      </c>
    </row>
    <row r="564" spans="1:5" x14ac:dyDescent="0.25">
      <c r="A564" t="s">
        <v>864</v>
      </c>
      <c r="B564" s="12">
        <v>2018</v>
      </c>
      <c r="C564" t="s">
        <v>713</v>
      </c>
      <c r="D564" t="s">
        <v>724</v>
      </c>
      <c r="E564" s="2">
        <v>16.649999999999999</v>
      </c>
    </row>
    <row r="565" spans="1:5" x14ac:dyDescent="0.25">
      <c r="A565" t="s">
        <v>864</v>
      </c>
      <c r="B565" s="12">
        <v>2018</v>
      </c>
      <c r="C565" t="s">
        <v>714</v>
      </c>
      <c r="D565" t="s">
        <v>724</v>
      </c>
      <c r="E565" s="2">
        <v>17.72</v>
      </c>
    </row>
    <row r="566" spans="1:5" x14ac:dyDescent="0.25">
      <c r="A566" t="s">
        <v>864</v>
      </c>
      <c r="B566" s="12">
        <v>2018</v>
      </c>
      <c r="C566" t="s">
        <v>705</v>
      </c>
      <c r="D566" t="s">
        <v>724</v>
      </c>
      <c r="E566" s="2">
        <v>18.53</v>
      </c>
    </row>
    <row r="567" spans="1:5" x14ac:dyDescent="0.25">
      <c r="A567" t="s">
        <v>864</v>
      </c>
      <c r="B567" s="12">
        <v>2018</v>
      </c>
      <c r="C567" t="s">
        <v>715</v>
      </c>
      <c r="D567" t="s">
        <v>724</v>
      </c>
      <c r="E567" s="2">
        <v>20.49</v>
      </c>
    </row>
    <row r="568" spans="1:5" x14ac:dyDescent="0.25">
      <c r="A568" t="s">
        <v>864</v>
      </c>
      <c r="B568" s="12">
        <v>2018</v>
      </c>
      <c r="C568" t="s">
        <v>718</v>
      </c>
      <c r="D568" t="s">
        <v>724</v>
      </c>
      <c r="E568" s="2">
        <v>18.21</v>
      </c>
    </row>
    <row r="569" spans="1:5" x14ac:dyDescent="0.25">
      <c r="A569" t="s">
        <v>864</v>
      </c>
      <c r="B569" s="12">
        <v>2018</v>
      </c>
      <c r="C569" t="s">
        <v>716</v>
      </c>
      <c r="D569" t="s">
        <v>724</v>
      </c>
      <c r="E569" s="2">
        <v>13.67</v>
      </c>
    </row>
    <row r="570" spans="1:5" x14ac:dyDescent="0.25">
      <c r="A570" t="s">
        <v>864</v>
      </c>
      <c r="B570" s="12">
        <v>2018</v>
      </c>
      <c r="C570" t="s">
        <v>708</v>
      </c>
      <c r="D570" t="s">
        <v>724</v>
      </c>
      <c r="E570" s="2">
        <v>6.2519999999999998</v>
      </c>
    </row>
    <row r="571" spans="1:5" x14ac:dyDescent="0.25">
      <c r="A571" t="s">
        <v>864</v>
      </c>
      <c r="B571" s="12">
        <v>2018</v>
      </c>
      <c r="C571" t="s">
        <v>709</v>
      </c>
      <c r="D571" t="s">
        <v>724</v>
      </c>
      <c r="E571" s="2">
        <v>7.26</v>
      </c>
    </row>
    <row r="572" spans="1:5" x14ac:dyDescent="0.25">
      <c r="A572" t="s">
        <v>864</v>
      </c>
      <c r="B572" s="12">
        <v>2018</v>
      </c>
      <c r="C572" t="s">
        <v>710</v>
      </c>
      <c r="D572" t="s">
        <v>724</v>
      </c>
      <c r="E572" s="2">
        <v>6.4539999999999997</v>
      </c>
    </row>
    <row r="573" spans="1:5" x14ac:dyDescent="0.25">
      <c r="A573" t="s">
        <v>864</v>
      </c>
      <c r="B573" s="12">
        <v>2018</v>
      </c>
      <c r="C573" t="s">
        <v>711</v>
      </c>
      <c r="D573" t="s">
        <v>724</v>
      </c>
      <c r="E573" s="2">
        <v>9.74</v>
      </c>
    </row>
    <row r="574" spans="1:5" x14ac:dyDescent="0.25">
      <c r="A574" t="s">
        <v>864</v>
      </c>
      <c r="B574" s="12">
        <v>2018</v>
      </c>
      <c r="C574" t="s">
        <v>712</v>
      </c>
      <c r="D574" t="s">
        <v>724</v>
      </c>
      <c r="E574" s="2">
        <v>9.5150000000000006</v>
      </c>
    </row>
    <row r="575" spans="1:5" x14ac:dyDescent="0.25">
      <c r="A575" t="s">
        <v>864</v>
      </c>
      <c r="B575" s="12">
        <v>2019</v>
      </c>
      <c r="C575" t="s">
        <v>719</v>
      </c>
      <c r="D575" t="s">
        <v>724</v>
      </c>
      <c r="E575" s="2">
        <v>9.8379999999999992</v>
      </c>
    </row>
    <row r="576" spans="1:5" x14ac:dyDescent="0.25">
      <c r="A576" t="s">
        <v>864</v>
      </c>
      <c r="B576" s="12">
        <v>2019</v>
      </c>
      <c r="C576" t="s">
        <v>713</v>
      </c>
      <c r="D576" t="s">
        <v>724</v>
      </c>
      <c r="E576" s="2">
        <v>9.5969999999999995</v>
      </c>
    </row>
    <row r="577" spans="1:5" x14ac:dyDescent="0.25">
      <c r="A577" t="s">
        <v>864</v>
      </c>
      <c r="B577" s="12">
        <v>2019</v>
      </c>
      <c r="C577" t="s">
        <v>714</v>
      </c>
      <c r="D577" t="s">
        <v>724</v>
      </c>
      <c r="E577" s="2">
        <v>12.37</v>
      </c>
    </row>
    <row r="578" spans="1:5" x14ac:dyDescent="0.25">
      <c r="A578" t="s">
        <v>864</v>
      </c>
      <c r="B578" s="12">
        <v>2019</v>
      </c>
      <c r="C578" t="s">
        <v>705</v>
      </c>
      <c r="D578" t="s">
        <v>724</v>
      </c>
      <c r="E578" s="2">
        <v>7.3659999999999997</v>
      </c>
    </row>
    <row r="579" spans="1:5" x14ac:dyDescent="0.25">
      <c r="A579" t="s">
        <v>864</v>
      </c>
      <c r="B579" s="12">
        <v>2019</v>
      </c>
      <c r="C579" t="s">
        <v>715</v>
      </c>
      <c r="D579" t="s">
        <v>724</v>
      </c>
      <c r="E579" s="2">
        <v>9.5839999999999996</v>
      </c>
    </row>
    <row r="580" spans="1:5" x14ac:dyDescent="0.25">
      <c r="A580" t="s">
        <v>864</v>
      </c>
      <c r="B580" s="12">
        <v>2019</v>
      </c>
      <c r="C580" t="s">
        <v>718</v>
      </c>
      <c r="D580" t="s">
        <v>724</v>
      </c>
      <c r="E580" s="2">
        <v>6.7220000000000004</v>
      </c>
    </row>
    <row r="581" spans="1:5" x14ac:dyDescent="0.25">
      <c r="A581" t="s">
        <v>864</v>
      </c>
      <c r="B581" s="12">
        <v>2019</v>
      </c>
      <c r="C581" t="s">
        <v>716</v>
      </c>
      <c r="D581" t="s">
        <v>724</v>
      </c>
      <c r="E581" s="2">
        <v>7.24</v>
      </c>
    </row>
    <row r="582" spans="1:5" x14ac:dyDescent="0.25">
      <c r="A582" t="s">
        <v>864</v>
      </c>
      <c r="B582" s="12">
        <v>2019</v>
      </c>
      <c r="C582" t="s">
        <v>708</v>
      </c>
      <c r="D582" t="s">
        <v>724</v>
      </c>
      <c r="E582" s="2">
        <v>5.44</v>
      </c>
    </row>
    <row r="583" spans="1:5" x14ac:dyDescent="0.25">
      <c r="A583" t="s">
        <v>864</v>
      </c>
      <c r="B583" s="12">
        <v>2019</v>
      </c>
      <c r="C583" t="s">
        <v>709</v>
      </c>
      <c r="D583" t="s">
        <v>724</v>
      </c>
      <c r="E583" s="2">
        <v>5.2229999999999999</v>
      </c>
    </row>
    <row r="584" spans="1:5" x14ac:dyDescent="0.25">
      <c r="A584" t="s">
        <v>864</v>
      </c>
      <c r="B584" s="12">
        <v>2019</v>
      </c>
      <c r="C584" t="s">
        <v>710</v>
      </c>
      <c r="D584" t="s">
        <v>724</v>
      </c>
      <c r="E584" s="2">
        <v>5.9950000000000001</v>
      </c>
    </row>
    <row r="585" spans="1:5" x14ac:dyDescent="0.25">
      <c r="A585" t="s">
        <v>864</v>
      </c>
      <c r="B585" s="12">
        <v>2019</v>
      </c>
      <c r="C585" t="s">
        <v>711</v>
      </c>
      <c r="D585" t="s">
        <v>724</v>
      </c>
      <c r="E585" s="2">
        <v>4.3789999999999996</v>
      </c>
    </row>
    <row r="586" spans="1:5" x14ac:dyDescent="0.25">
      <c r="A586" t="s">
        <v>864</v>
      </c>
      <c r="B586" s="12">
        <v>2019</v>
      </c>
      <c r="C586" t="s">
        <v>712</v>
      </c>
      <c r="D586" t="s">
        <v>724</v>
      </c>
      <c r="E586" s="2">
        <v>5.2649999999999997</v>
      </c>
    </row>
    <row r="587" spans="1:5" x14ac:dyDescent="0.25">
      <c r="A587" t="s">
        <v>864</v>
      </c>
      <c r="B587" s="12" t="s">
        <v>814</v>
      </c>
      <c r="C587" t="s">
        <v>719</v>
      </c>
      <c r="D587" t="s">
        <v>724</v>
      </c>
      <c r="E587" s="2">
        <v>5.4539999999999997</v>
      </c>
    </row>
    <row r="588" spans="1:5" x14ac:dyDescent="0.25">
      <c r="A588" t="s">
        <v>864</v>
      </c>
      <c r="B588" s="12" t="s">
        <v>814</v>
      </c>
      <c r="C588" t="s">
        <v>713</v>
      </c>
      <c r="D588" t="s">
        <v>724</v>
      </c>
      <c r="E588" s="2">
        <v>5.3440000000000003</v>
      </c>
    </row>
    <row r="589" spans="1:5" x14ac:dyDescent="0.25">
      <c r="A589" t="s">
        <v>864</v>
      </c>
      <c r="B589" s="12" t="s">
        <v>814</v>
      </c>
      <c r="C589" t="s">
        <v>714</v>
      </c>
      <c r="D589" t="s">
        <v>724</v>
      </c>
      <c r="E589" s="2">
        <v>5.2649999999999997</v>
      </c>
    </row>
    <row r="590" spans="1:5" x14ac:dyDescent="0.25">
      <c r="A590" t="s">
        <v>864</v>
      </c>
      <c r="B590" s="12" t="s">
        <v>814</v>
      </c>
      <c r="C590" t="s">
        <v>705</v>
      </c>
      <c r="D590" t="s">
        <v>724</v>
      </c>
      <c r="E590" s="2">
        <v>5.39</v>
      </c>
    </row>
    <row r="591" spans="1:5" x14ac:dyDescent="0.25">
      <c r="A591" t="s">
        <v>864</v>
      </c>
      <c r="B591" s="12" t="s">
        <v>814</v>
      </c>
      <c r="C591" t="s">
        <v>715</v>
      </c>
      <c r="D591" t="s">
        <v>724</v>
      </c>
      <c r="E591" s="2">
        <v>5.4720000000000004</v>
      </c>
    </row>
    <row r="592" spans="1:5" x14ac:dyDescent="0.25">
      <c r="A592" t="s">
        <v>864</v>
      </c>
      <c r="B592" s="12" t="s">
        <v>814</v>
      </c>
      <c r="C592" t="s">
        <v>718</v>
      </c>
      <c r="D592" t="s">
        <v>724</v>
      </c>
      <c r="E592" s="2">
        <v>3.843</v>
      </c>
    </row>
    <row r="593" spans="1:5" x14ac:dyDescent="0.25">
      <c r="A593" t="s">
        <v>864</v>
      </c>
      <c r="B593" s="12">
        <v>2020</v>
      </c>
      <c r="C593" t="s">
        <v>716</v>
      </c>
      <c r="D593" t="s">
        <v>724</v>
      </c>
      <c r="E593" s="2">
        <v>2.573</v>
      </c>
    </row>
    <row r="594" spans="1:5" x14ac:dyDescent="0.25">
      <c r="A594" t="s">
        <v>864</v>
      </c>
      <c r="B594" s="12" t="s">
        <v>814</v>
      </c>
      <c r="C594" t="s">
        <v>708</v>
      </c>
      <c r="D594" t="s">
        <v>724</v>
      </c>
      <c r="E594" s="2">
        <v>3.157</v>
      </c>
    </row>
    <row r="595" spans="1:5" x14ac:dyDescent="0.25">
      <c r="A595" t="s">
        <v>864</v>
      </c>
      <c r="B595" s="12" t="s">
        <v>814</v>
      </c>
      <c r="C595" t="s">
        <v>709</v>
      </c>
      <c r="D595" t="s">
        <v>724</v>
      </c>
      <c r="E595" s="2">
        <v>13.25</v>
      </c>
    </row>
    <row r="596" spans="1:5" x14ac:dyDescent="0.25">
      <c r="A596" t="s">
        <v>864</v>
      </c>
      <c r="B596" s="12" t="s">
        <v>814</v>
      </c>
      <c r="C596" t="s">
        <v>710</v>
      </c>
      <c r="D596" t="s">
        <v>724</v>
      </c>
      <c r="E596" s="2">
        <v>13.356</v>
      </c>
    </row>
    <row r="597" spans="1:5" x14ac:dyDescent="0.25">
      <c r="A597" t="s">
        <v>864</v>
      </c>
      <c r="B597" s="12" t="s">
        <v>814</v>
      </c>
      <c r="C597" t="s">
        <v>711</v>
      </c>
      <c r="D597" t="s">
        <v>724</v>
      </c>
      <c r="E597" s="2">
        <v>14.63</v>
      </c>
    </row>
    <row r="598" spans="1:5" x14ac:dyDescent="0.25">
      <c r="A598" t="s">
        <v>864</v>
      </c>
      <c r="B598" s="12" t="s">
        <v>814</v>
      </c>
      <c r="C598" t="s">
        <v>712</v>
      </c>
      <c r="D598" t="s">
        <v>724</v>
      </c>
      <c r="E598" s="2">
        <v>16.37</v>
      </c>
    </row>
    <row r="599" spans="1:5" x14ac:dyDescent="0.25">
      <c r="A599" t="s">
        <v>864</v>
      </c>
      <c r="B599" s="12" t="s">
        <v>833</v>
      </c>
      <c r="C599" t="s">
        <v>719</v>
      </c>
      <c r="D599" t="s">
        <v>724</v>
      </c>
      <c r="E599" s="2">
        <v>15.83</v>
      </c>
    </row>
    <row r="600" spans="1:5" x14ac:dyDescent="0.25">
      <c r="A600" t="s">
        <v>864</v>
      </c>
      <c r="B600" s="12" t="s">
        <v>833</v>
      </c>
      <c r="C600" t="s">
        <v>713</v>
      </c>
      <c r="D600" t="s">
        <v>724</v>
      </c>
      <c r="E600" s="2">
        <v>15.99</v>
      </c>
    </row>
    <row r="601" spans="1:5" x14ac:dyDescent="0.25">
      <c r="A601" t="s">
        <v>864</v>
      </c>
      <c r="B601" s="12" t="s">
        <v>833</v>
      </c>
      <c r="C601" t="s">
        <v>714</v>
      </c>
      <c r="D601" t="s">
        <v>724</v>
      </c>
      <c r="E601" s="2">
        <v>17.420000000000002</v>
      </c>
    </row>
    <row r="602" spans="1:5" x14ac:dyDescent="0.25">
      <c r="A602" t="s">
        <v>864</v>
      </c>
      <c r="B602" s="12" t="s">
        <v>833</v>
      </c>
      <c r="C602" t="s">
        <v>705</v>
      </c>
      <c r="D602" t="s">
        <v>724</v>
      </c>
      <c r="E602" s="2">
        <v>16.86</v>
      </c>
    </row>
    <row r="603" spans="1:5" x14ac:dyDescent="0.25">
      <c r="A603" t="s">
        <v>864</v>
      </c>
      <c r="B603" s="12" t="s">
        <v>833</v>
      </c>
      <c r="C603" t="s">
        <v>715</v>
      </c>
      <c r="D603" t="s">
        <v>724</v>
      </c>
      <c r="E603" s="2">
        <v>15.13</v>
      </c>
    </row>
    <row r="604" spans="1:5" x14ac:dyDescent="0.25">
      <c r="A604" t="s">
        <v>864</v>
      </c>
      <c r="B604" s="12" t="s">
        <v>833</v>
      </c>
      <c r="C604" t="s">
        <v>718</v>
      </c>
      <c r="D604" t="s">
        <v>724</v>
      </c>
      <c r="E604" s="2">
        <v>14.19</v>
      </c>
    </row>
    <row r="605" spans="1:5" x14ac:dyDescent="0.25">
      <c r="A605" t="s">
        <v>864</v>
      </c>
      <c r="B605" s="12" t="s">
        <v>833</v>
      </c>
      <c r="C605" t="s">
        <v>716</v>
      </c>
      <c r="D605" t="s">
        <v>724</v>
      </c>
      <c r="E605" s="2">
        <v>13.18</v>
      </c>
    </row>
    <row r="606" spans="1:5" x14ac:dyDescent="0.25">
      <c r="A606" t="s">
        <v>864</v>
      </c>
      <c r="B606" s="12" t="s">
        <v>833</v>
      </c>
      <c r="C606" t="s">
        <v>708</v>
      </c>
      <c r="D606" t="s">
        <v>724</v>
      </c>
      <c r="E606" s="2">
        <v>12.95</v>
      </c>
    </row>
    <row r="607" spans="1:5" x14ac:dyDescent="0.25">
      <c r="A607" t="s">
        <v>864</v>
      </c>
      <c r="B607" s="12" t="s">
        <v>833</v>
      </c>
      <c r="C607" t="s">
        <v>709</v>
      </c>
      <c r="D607" t="s">
        <v>724</v>
      </c>
      <c r="E607" s="2">
        <v>13.92</v>
      </c>
    </row>
    <row r="608" spans="1:5" x14ac:dyDescent="0.25">
      <c r="A608" t="s">
        <v>864</v>
      </c>
      <c r="B608" s="12" t="s">
        <v>833</v>
      </c>
      <c r="C608" t="s">
        <v>710</v>
      </c>
      <c r="D608" t="s">
        <v>724</v>
      </c>
      <c r="E608" s="2">
        <v>12.79</v>
      </c>
    </row>
    <row r="609" spans="1:5" x14ac:dyDescent="0.25">
      <c r="A609" t="s">
        <v>864</v>
      </c>
      <c r="B609" s="12" t="s">
        <v>833</v>
      </c>
      <c r="C609" t="s">
        <v>711</v>
      </c>
      <c r="D609" t="s">
        <v>724</v>
      </c>
      <c r="E609" s="2">
        <v>13.417</v>
      </c>
    </row>
    <row r="610" spans="1:5" x14ac:dyDescent="0.25">
      <c r="A610" t="s">
        <v>864</v>
      </c>
      <c r="B610" s="12" t="s">
        <v>833</v>
      </c>
      <c r="C610" t="s">
        <v>712</v>
      </c>
      <c r="D610" t="s">
        <v>724</v>
      </c>
      <c r="E610" s="2">
        <v>13.7</v>
      </c>
    </row>
    <row r="611" spans="1:5" x14ac:dyDescent="0.25">
      <c r="A611" t="s">
        <v>864</v>
      </c>
      <c r="B611" s="12" t="s">
        <v>834</v>
      </c>
      <c r="C611" t="s">
        <v>719</v>
      </c>
      <c r="D611" t="s">
        <v>724</v>
      </c>
      <c r="E611" s="2">
        <v>16.09</v>
      </c>
    </row>
    <row r="612" spans="1:5" x14ac:dyDescent="0.25">
      <c r="A612" t="s">
        <v>864</v>
      </c>
      <c r="B612" s="12" t="s">
        <v>834</v>
      </c>
      <c r="C612" t="s">
        <v>713</v>
      </c>
      <c r="D612" t="s">
        <v>724</v>
      </c>
      <c r="E612" s="2">
        <v>15.2</v>
      </c>
    </row>
    <row r="613" spans="1:5" x14ac:dyDescent="0.25">
      <c r="A613" t="s">
        <v>864</v>
      </c>
      <c r="B613" s="12" t="s">
        <v>834</v>
      </c>
      <c r="C613" t="s">
        <v>714</v>
      </c>
      <c r="D613" t="s">
        <v>724</v>
      </c>
      <c r="E613" s="2">
        <v>16.73</v>
      </c>
    </row>
    <row r="614" spans="1:5" x14ac:dyDescent="0.25">
      <c r="A614" t="s">
        <v>864</v>
      </c>
      <c r="B614" s="12" t="s">
        <v>834</v>
      </c>
      <c r="C614" t="s">
        <v>705</v>
      </c>
      <c r="D614" t="s">
        <v>724</v>
      </c>
      <c r="E614" s="2">
        <v>16.940000000000001</v>
      </c>
    </row>
    <row r="615" spans="1:5" x14ac:dyDescent="0.25">
      <c r="A615" t="s">
        <v>864</v>
      </c>
      <c r="B615" s="12" t="s">
        <v>834</v>
      </c>
      <c r="C615" t="s">
        <v>715</v>
      </c>
      <c r="D615" t="s">
        <v>724</v>
      </c>
      <c r="E615" s="2">
        <v>18.93</v>
      </c>
    </row>
    <row r="616" spans="1:5" x14ac:dyDescent="0.25">
      <c r="A616" t="s">
        <v>864</v>
      </c>
      <c r="B616" s="12" t="s">
        <v>834</v>
      </c>
      <c r="C616" t="s">
        <v>718</v>
      </c>
      <c r="D616" t="s">
        <v>724</v>
      </c>
      <c r="E616" s="2">
        <v>15.91</v>
      </c>
    </row>
    <row r="617" spans="1:5" x14ac:dyDescent="0.25">
      <c r="A617" t="s">
        <v>864</v>
      </c>
      <c r="B617" s="12" t="s">
        <v>834</v>
      </c>
      <c r="C617" t="s">
        <v>716</v>
      </c>
      <c r="D617" t="s">
        <v>724</v>
      </c>
      <c r="E617" s="2">
        <v>14.7</v>
      </c>
    </row>
    <row r="618" spans="1:5" x14ac:dyDescent="0.25">
      <c r="A618" t="s">
        <v>864</v>
      </c>
      <c r="B618" s="12" t="s">
        <v>834</v>
      </c>
      <c r="C618" t="s">
        <v>708</v>
      </c>
      <c r="D618" t="s">
        <v>724</v>
      </c>
      <c r="E618" s="2">
        <v>14.46</v>
      </c>
    </row>
    <row r="619" spans="1:5" x14ac:dyDescent="0.25">
      <c r="A619" t="s">
        <v>864</v>
      </c>
      <c r="B619" s="12" t="s">
        <v>834</v>
      </c>
      <c r="C619" t="s">
        <v>709</v>
      </c>
      <c r="D619" t="s">
        <v>724</v>
      </c>
      <c r="E619" s="2">
        <v>12.52</v>
      </c>
    </row>
    <row r="620" spans="1:5" x14ac:dyDescent="0.25">
      <c r="A620" t="s">
        <v>864</v>
      </c>
      <c r="B620" s="12" t="s">
        <v>834</v>
      </c>
      <c r="C620" t="s">
        <v>710</v>
      </c>
      <c r="D620" t="s">
        <v>724</v>
      </c>
      <c r="E620" s="2">
        <v>13.04</v>
      </c>
    </row>
    <row r="621" spans="1:5" x14ac:dyDescent="0.25">
      <c r="A621" t="s">
        <v>864</v>
      </c>
      <c r="B621" s="12" t="s">
        <v>834</v>
      </c>
      <c r="C621" t="s">
        <v>711</v>
      </c>
      <c r="D621" t="s">
        <v>724</v>
      </c>
      <c r="E621" s="2">
        <v>12.88</v>
      </c>
    </row>
    <row r="622" spans="1:5" x14ac:dyDescent="0.25">
      <c r="A622" t="s">
        <v>864</v>
      </c>
      <c r="B622" s="12" t="s">
        <v>834</v>
      </c>
      <c r="C622" t="s">
        <v>712</v>
      </c>
      <c r="D622" t="s">
        <v>724</v>
      </c>
      <c r="E622" s="2">
        <v>15.16</v>
      </c>
    </row>
    <row r="623" spans="1:5" x14ac:dyDescent="0.25">
      <c r="A623" t="s">
        <v>864</v>
      </c>
      <c r="B623" s="12" t="s">
        <v>835</v>
      </c>
      <c r="C623" t="s">
        <v>719</v>
      </c>
      <c r="D623" t="s">
        <v>724</v>
      </c>
      <c r="E623" s="2">
        <v>13.9</v>
      </c>
    </row>
    <row r="624" spans="1:5" x14ac:dyDescent="0.25">
      <c r="A624" t="s">
        <v>864</v>
      </c>
      <c r="B624" s="12" t="s">
        <v>835</v>
      </c>
      <c r="C624" t="s">
        <v>713</v>
      </c>
      <c r="D624" t="s">
        <v>724</v>
      </c>
      <c r="E624" s="2">
        <v>12.97</v>
      </c>
    </row>
    <row r="625" spans="1:5" x14ac:dyDescent="0.25">
      <c r="A625" t="s">
        <v>864</v>
      </c>
      <c r="B625" s="12" t="s">
        <v>835</v>
      </c>
      <c r="C625" t="s">
        <v>714</v>
      </c>
      <c r="D625" t="s">
        <v>724</v>
      </c>
      <c r="E625" s="2">
        <v>13.91</v>
      </c>
    </row>
    <row r="626" spans="1:5" x14ac:dyDescent="0.25">
      <c r="A626" t="s">
        <v>864</v>
      </c>
      <c r="B626" s="12" t="s">
        <v>835</v>
      </c>
      <c r="C626" t="s">
        <v>705</v>
      </c>
      <c r="D626" t="s">
        <v>724</v>
      </c>
      <c r="E626" s="2">
        <v>12.85</v>
      </c>
    </row>
    <row r="627" spans="1:5" x14ac:dyDescent="0.25">
      <c r="A627" t="s">
        <v>864</v>
      </c>
      <c r="B627" s="12" t="s">
        <v>835</v>
      </c>
      <c r="C627" t="s">
        <v>715</v>
      </c>
      <c r="D627" t="s">
        <v>724</v>
      </c>
      <c r="E627" s="2">
        <v>13.35</v>
      </c>
    </row>
    <row r="628" spans="1:5" x14ac:dyDescent="0.25">
      <c r="A628" t="s">
        <v>864</v>
      </c>
      <c r="B628" s="12" t="s">
        <v>835</v>
      </c>
      <c r="C628" t="s">
        <v>718</v>
      </c>
      <c r="D628" t="s">
        <v>724</v>
      </c>
      <c r="E628" s="2">
        <v>11.39</v>
      </c>
    </row>
    <row r="629" spans="1:5" x14ac:dyDescent="0.25">
      <c r="A629" t="s">
        <v>864</v>
      </c>
      <c r="B629" s="12" t="s">
        <v>835</v>
      </c>
      <c r="C629" t="s">
        <v>716</v>
      </c>
      <c r="D629" t="s">
        <v>724</v>
      </c>
      <c r="E629" s="2">
        <v>11.52</v>
      </c>
    </row>
    <row r="630" spans="1:5" x14ac:dyDescent="0.25">
      <c r="A630" t="s">
        <v>864</v>
      </c>
      <c r="B630" s="12" t="s">
        <v>835</v>
      </c>
      <c r="C630" t="s">
        <v>708</v>
      </c>
      <c r="D630" t="s">
        <v>724</v>
      </c>
      <c r="E630" s="2">
        <v>12.24</v>
      </c>
    </row>
    <row r="631" spans="1:5" x14ac:dyDescent="0.25">
      <c r="A631" t="s">
        <v>864</v>
      </c>
      <c r="B631" s="12" t="s">
        <v>835</v>
      </c>
      <c r="C631" t="s">
        <v>709</v>
      </c>
      <c r="D631" t="s">
        <v>724</v>
      </c>
      <c r="E631" s="2">
        <v>12.17</v>
      </c>
    </row>
    <row r="632" spans="1:5" x14ac:dyDescent="0.25">
      <c r="A632" t="s">
        <v>864</v>
      </c>
      <c r="D632" t="s">
        <v>724</v>
      </c>
    </row>
    <row r="633" spans="1:5" x14ac:dyDescent="0.25">
      <c r="A633" t="s">
        <v>864</v>
      </c>
      <c r="D633" t="s">
        <v>724</v>
      </c>
    </row>
    <row r="634" spans="1:5" x14ac:dyDescent="0.25">
      <c r="A634" t="s">
        <v>864</v>
      </c>
      <c r="D634" t="s">
        <v>724</v>
      </c>
    </row>
    <row r="635" spans="1:5" x14ac:dyDescent="0.25">
      <c r="A635" t="s">
        <v>864</v>
      </c>
      <c r="B635" s="12">
        <v>2018</v>
      </c>
      <c r="C635" t="s">
        <v>710</v>
      </c>
      <c r="D635" t="s">
        <v>724</v>
      </c>
      <c r="E635" s="2">
        <v>19.22</v>
      </c>
    </row>
    <row r="636" spans="1:5" x14ac:dyDescent="0.25">
      <c r="A636" t="s">
        <v>864</v>
      </c>
      <c r="B636" s="12">
        <v>2018</v>
      </c>
      <c r="C636" t="s">
        <v>711</v>
      </c>
      <c r="D636" t="s">
        <v>724</v>
      </c>
      <c r="E636" s="2">
        <v>9.74</v>
      </c>
    </row>
    <row r="637" spans="1:5" x14ac:dyDescent="0.25">
      <c r="A637" t="s">
        <v>864</v>
      </c>
      <c r="B637" s="12">
        <v>2018</v>
      </c>
      <c r="C637" t="s">
        <v>712</v>
      </c>
      <c r="D637" t="s">
        <v>724</v>
      </c>
      <c r="E637" s="2">
        <v>9.5150000000000006</v>
      </c>
    </row>
    <row r="638" spans="1:5" x14ac:dyDescent="0.25">
      <c r="A638" t="s">
        <v>864</v>
      </c>
      <c r="B638" s="12">
        <v>1997</v>
      </c>
      <c r="C638" t="s">
        <v>710</v>
      </c>
      <c r="D638" t="s">
        <v>810</v>
      </c>
      <c r="E638" s="2">
        <v>3.4447076000000001</v>
      </c>
    </row>
    <row r="639" spans="1:5" x14ac:dyDescent="0.25">
      <c r="A639" t="s">
        <v>864</v>
      </c>
      <c r="B639" s="12">
        <v>1997</v>
      </c>
      <c r="C639" t="s">
        <v>711</v>
      </c>
      <c r="D639" t="s">
        <v>810</v>
      </c>
      <c r="E639" s="2">
        <v>3.3335879999999998</v>
      </c>
    </row>
    <row r="640" spans="1:5" x14ac:dyDescent="0.25">
      <c r="A640" t="s">
        <v>864</v>
      </c>
      <c r="B640" s="12">
        <v>1997</v>
      </c>
      <c r="C640" t="s">
        <v>712</v>
      </c>
      <c r="D640" t="s">
        <v>810</v>
      </c>
      <c r="E640" s="2">
        <v>3.4447076000000001</v>
      </c>
    </row>
    <row r="641" spans="1:5" x14ac:dyDescent="0.25">
      <c r="A641" t="s">
        <v>864</v>
      </c>
      <c r="B641" s="12">
        <v>1998</v>
      </c>
      <c r="C641" t="s">
        <v>719</v>
      </c>
      <c r="D641" t="s">
        <v>810</v>
      </c>
      <c r="E641" s="2">
        <v>3.4447076000000001</v>
      </c>
    </row>
    <row r="642" spans="1:5" x14ac:dyDescent="0.25">
      <c r="A642" t="s">
        <v>864</v>
      </c>
      <c r="B642" s="12">
        <v>1998</v>
      </c>
      <c r="C642" t="s">
        <v>713</v>
      </c>
      <c r="D642" t="s">
        <v>810</v>
      </c>
      <c r="E642" s="2">
        <v>3.1113488</v>
      </c>
    </row>
    <row r="643" spans="1:5" x14ac:dyDescent="0.25">
      <c r="A643" t="s">
        <v>864</v>
      </c>
      <c r="B643" s="12">
        <v>1998</v>
      </c>
      <c r="C643" t="s">
        <v>714</v>
      </c>
      <c r="D643" t="s">
        <v>810</v>
      </c>
      <c r="E643" s="2">
        <v>3.4447076000000001</v>
      </c>
    </row>
    <row r="644" spans="1:5" x14ac:dyDescent="0.25">
      <c r="A644" t="s">
        <v>864</v>
      </c>
      <c r="B644" s="12">
        <v>1998</v>
      </c>
      <c r="C644" t="s">
        <v>705</v>
      </c>
      <c r="D644" t="s">
        <v>810</v>
      </c>
      <c r="E644" s="2">
        <v>3.3335879999999998</v>
      </c>
    </row>
    <row r="645" spans="1:5" x14ac:dyDescent="0.25">
      <c r="A645" t="s">
        <v>864</v>
      </c>
      <c r="B645" s="12">
        <v>1998</v>
      </c>
      <c r="C645" t="s">
        <v>715</v>
      </c>
      <c r="D645" t="s">
        <v>810</v>
      </c>
      <c r="E645" s="2">
        <v>3.4447076000000001</v>
      </c>
    </row>
    <row r="646" spans="1:5" x14ac:dyDescent="0.25">
      <c r="A646" t="s">
        <v>864</v>
      </c>
      <c r="B646" s="12">
        <v>1998</v>
      </c>
      <c r="C646" t="s">
        <v>718</v>
      </c>
      <c r="D646" t="s">
        <v>810</v>
      </c>
      <c r="E646" s="2">
        <v>3.3335879999999998</v>
      </c>
    </row>
    <row r="647" spans="1:5" x14ac:dyDescent="0.25">
      <c r="A647" t="s">
        <v>864</v>
      </c>
      <c r="B647" s="12">
        <v>1998</v>
      </c>
      <c r="C647" t="s">
        <v>716</v>
      </c>
      <c r="D647" t="s">
        <v>810</v>
      </c>
      <c r="E647" s="2">
        <v>3.4447076000000001</v>
      </c>
    </row>
    <row r="648" spans="1:5" x14ac:dyDescent="0.25">
      <c r="A648" t="s">
        <v>864</v>
      </c>
      <c r="B648" s="12">
        <v>1998</v>
      </c>
      <c r="C648" t="s">
        <v>708</v>
      </c>
      <c r="D648" t="s">
        <v>810</v>
      </c>
      <c r="E648" s="2">
        <v>3.4447076000000001</v>
      </c>
    </row>
    <row r="649" spans="1:5" x14ac:dyDescent="0.25">
      <c r="A649" t="s">
        <v>864</v>
      </c>
      <c r="B649" s="12">
        <v>1998</v>
      </c>
      <c r="C649" t="s">
        <v>709</v>
      </c>
      <c r="D649" t="s">
        <v>810</v>
      </c>
      <c r="E649" s="2">
        <v>3.3335879999999998</v>
      </c>
    </row>
    <row r="650" spans="1:5" x14ac:dyDescent="0.25">
      <c r="A650" t="s">
        <v>864</v>
      </c>
      <c r="B650" s="12">
        <v>1998</v>
      </c>
      <c r="C650" t="s">
        <v>710</v>
      </c>
      <c r="D650" t="s">
        <v>810</v>
      </c>
      <c r="E650" s="2">
        <v>3.4447076000000001</v>
      </c>
    </row>
    <row r="651" spans="1:5" x14ac:dyDescent="0.25">
      <c r="A651" t="s">
        <v>864</v>
      </c>
      <c r="B651" s="12">
        <v>1998</v>
      </c>
      <c r="C651" t="s">
        <v>711</v>
      </c>
      <c r="D651" t="s">
        <v>810</v>
      </c>
      <c r="E651" s="2">
        <v>3.3335879999999998</v>
      </c>
    </row>
    <row r="652" spans="1:5" x14ac:dyDescent="0.25">
      <c r="A652" t="s">
        <v>864</v>
      </c>
      <c r="B652" s="12">
        <v>1998</v>
      </c>
      <c r="C652" t="s">
        <v>712</v>
      </c>
      <c r="D652" t="s">
        <v>810</v>
      </c>
      <c r="E652" s="2">
        <v>3.4447076000000001</v>
      </c>
    </row>
    <row r="653" spans="1:5" x14ac:dyDescent="0.25">
      <c r="A653" t="s">
        <v>864</v>
      </c>
      <c r="B653" s="12">
        <v>1999</v>
      </c>
      <c r="C653" t="s">
        <v>719</v>
      </c>
      <c r="D653" t="s">
        <v>810</v>
      </c>
      <c r="E653" s="2">
        <v>3.4447076000000001</v>
      </c>
    </row>
    <row r="654" spans="1:5" x14ac:dyDescent="0.25">
      <c r="A654" t="s">
        <v>864</v>
      </c>
      <c r="B654" s="12">
        <v>1999</v>
      </c>
      <c r="C654" t="s">
        <v>713</v>
      </c>
      <c r="D654" t="s">
        <v>810</v>
      </c>
      <c r="E654" s="2">
        <v>3.1113488</v>
      </c>
    </row>
    <row r="655" spans="1:5" x14ac:dyDescent="0.25">
      <c r="A655" t="s">
        <v>864</v>
      </c>
      <c r="B655" s="12">
        <v>1999</v>
      </c>
      <c r="C655" t="s">
        <v>714</v>
      </c>
      <c r="D655" t="s">
        <v>810</v>
      </c>
      <c r="E655" s="2">
        <v>3.4447076000000001</v>
      </c>
    </row>
    <row r="656" spans="1:5" x14ac:dyDescent="0.25">
      <c r="A656" t="s">
        <v>864</v>
      </c>
      <c r="B656" s="12">
        <v>1999</v>
      </c>
      <c r="C656" t="s">
        <v>705</v>
      </c>
      <c r="D656" t="s">
        <v>810</v>
      </c>
      <c r="E656" s="2">
        <v>3.3335879999999998</v>
      </c>
    </row>
    <row r="657" spans="1:5" x14ac:dyDescent="0.25">
      <c r="A657" t="s">
        <v>864</v>
      </c>
      <c r="B657" s="12">
        <v>1999</v>
      </c>
      <c r="C657" t="s">
        <v>715</v>
      </c>
      <c r="D657" t="s">
        <v>810</v>
      </c>
      <c r="E657" s="2">
        <v>3.4447076000000001</v>
      </c>
    </row>
    <row r="658" spans="1:5" x14ac:dyDescent="0.25">
      <c r="A658" t="s">
        <v>864</v>
      </c>
      <c r="B658" s="12">
        <v>1999</v>
      </c>
      <c r="C658" t="s">
        <v>718</v>
      </c>
      <c r="D658" t="s">
        <v>810</v>
      </c>
      <c r="E658" s="2">
        <v>3.3335879999999998</v>
      </c>
    </row>
    <row r="659" spans="1:5" x14ac:dyDescent="0.25">
      <c r="A659" t="s">
        <v>864</v>
      </c>
      <c r="B659" s="12">
        <v>1999</v>
      </c>
      <c r="C659" t="s">
        <v>716</v>
      </c>
      <c r="D659" t="s">
        <v>810</v>
      </c>
      <c r="E659" s="2">
        <v>3.4447076000000001</v>
      </c>
    </row>
    <row r="660" spans="1:5" x14ac:dyDescent="0.25">
      <c r="A660" t="s">
        <v>864</v>
      </c>
      <c r="B660" s="12">
        <v>1999</v>
      </c>
      <c r="C660" t="s">
        <v>708</v>
      </c>
      <c r="D660" t="s">
        <v>810</v>
      </c>
      <c r="E660" s="2">
        <v>3.4447076000000001</v>
      </c>
    </row>
    <row r="661" spans="1:5" x14ac:dyDescent="0.25">
      <c r="A661" t="s">
        <v>864</v>
      </c>
      <c r="B661" s="12">
        <v>1999</v>
      </c>
      <c r="C661" t="s">
        <v>709</v>
      </c>
      <c r="D661" t="s">
        <v>810</v>
      </c>
      <c r="E661" s="2">
        <v>3.3335879999999998</v>
      </c>
    </row>
    <row r="662" spans="1:5" x14ac:dyDescent="0.25">
      <c r="A662" t="s">
        <v>864</v>
      </c>
      <c r="B662" s="12">
        <v>1999</v>
      </c>
      <c r="C662" t="s">
        <v>710</v>
      </c>
      <c r="D662" t="s">
        <v>810</v>
      </c>
      <c r="E662" s="2">
        <v>3.4447076000000001</v>
      </c>
    </row>
    <row r="663" spans="1:5" x14ac:dyDescent="0.25">
      <c r="A663" t="s">
        <v>864</v>
      </c>
      <c r="B663" s="12">
        <v>1999</v>
      </c>
      <c r="C663" t="s">
        <v>711</v>
      </c>
      <c r="D663" t="s">
        <v>810</v>
      </c>
      <c r="E663" s="2">
        <v>3.3335879999999998</v>
      </c>
    </row>
    <row r="664" spans="1:5" x14ac:dyDescent="0.25">
      <c r="A664" t="s">
        <v>864</v>
      </c>
      <c r="B664" s="12">
        <v>1999</v>
      </c>
      <c r="C664" t="s">
        <v>712</v>
      </c>
      <c r="D664" t="s">
        <v>810</v>
      </c>
      <c r="E664" s="2">
        <v>3.4447076000000001</v>
      </c>
    </row>
    <row r="665" spans="1:5" x14ac:dyDescent="0.25">
      <c r="A665" t="s">
        <v>864</v>
      </c>
      <c r="B665" s="12">
        <v>2000</v>
      </c>
      <c r="C665" t="s">
        <v>719</v>
      </c>
      <c r="D665" t="s">
        <v>810</v>
      </c>
      <c r="E665" s="2">
        <v>3.4447076000000001</v>
      </c>
    </row>
    <row r="666" spans="1:5" x14ac:dyDescent="0.25">
      <c r="A666" t="s">
        <v>864</v>
      </c>
      <c r="B666" s="12">
        <v>2000</v>
      </c>
      <c r="C666" t="s">
        <v>713</v>
      </c>
      <c r="D666" t="s">
        <v>810</v>
      </c>
      <c r="E666" s="2">
        <v>3.2224683999999999</v>
      </c>
    </row>
    <row r="667" spans="1:5" x14ac:dyDescent="0.25">
      <c r="A667" t="s">
        <v>864</v>
      </c>
      <c r="B667" s="12">
        <v>2000</v>
      </c>
      <c r="C667" t="s">
        <v>714</v>
      </c>
      <c r="D667" t="s">
        <v>810</v>
      </c>
      <c r="E667" s="2">
        <v>3.4447076000000001</v>
      </c>
    </row>
    <row r="668" spans="1:5" x14ac:dyDescent="0.25">
      <c r="A668" t="s">
        <v>864</v>
      </c>
      <c r="B668" s="12">
        <v>2000</v>
      </c>
      <c r="C668" t="s">
        <v>705</v>
      </c>
      <c r="D668" t="s">
        <v>810</v>
      </c>
      <c r="E668" s="2">
        <v>3.3335879999999998</v>
      </c>
    </row>
    <row r="669" spans="1:5" x14ac:dyDescent="0.25">
      <c r="A669" t="s">
        <v>864</v>
      </c>
      <c r="B669" s="12">
        <v>2000</v>
      </c>
      <c r="C669" t="s">
        <v>715</v>
      </c>
      <c r="D669" t="s">
        <v>810</v>
      </c>
      <c r="E669" s="2">
        <v>3.4447076000000001</v>
      </c>
    </row>
    <row r="670" spans="1:5" x14ac:dyDescent="0.25">
      <c r="A670" t="s">
        <v>864</v>
      </c>
      <c r="B670" s="12">
        <v>2000</v>
      </c>
      <c r="C670" t="s">
        <v>718</v>
      </c>
      <c r="D670" t="s">
        <v>810</v>
      </c>
      <c r="E670" s="2">
        <v>3.3335879999999998</v>
      </c>
    </row>
    <row r="671" spans="1:5" x14ac:dyDescent="0.25">
      <c r="A671" t="s">
        <v>864</v>
      </c>
      <c r="B671" s="12">
        <v>2000</v>
      </c>
      <c r="C671" t="s">
        <v>716</v>
      </c>
      <c r="D671" t="s">
        <v>810</v>
      </c>
      <c r="E671" s="2">
        <v>3.4447076000000001</v>
      </c>
    </row>
    <row r="672" spans="1:5" x14ac:dyDescent="0.25">
      <c r="A672" t="s">
        <v>864</v>
      </c>
      <c r="B672" s="12">
        <v>2000</v>
      </c>
      <c r="C672" t="s">
        <v>708</v>
      </c>
      <c r="D672" t="s">
        <v>810</v>
      </c>
      <c r="E672" s="2">
        <v>3.4447076000000001</v>
      </c>
    </row>
    <row r="673" spans="1:5" x14ac:dyDescent="0.25">
      <c r="A673" t="s">
        <v>864</v>
      </c>
      <c r="B673" s="12">
        <v>2000</v>
      </c>
      <c r="C673" t="s">
        <v>709</v>
      </c>
      <c r="D673" t="s">
        <v>810</v>
      </c>
      <c r="E673" s="2">
        <v>3.3335879999999998</v>
      </c>
    </row>
    <row r="674" spans="1:5" x14ac:dyDescent="0.25">
      <c r="A674" t="s">
        <v>864</v>
      </c>
      <c r="B674" s="12">
        <v>2000</v>
      </c>
      <c r="C674" t="s">
        <v>710</v>
      </c>
      <c r="D674" t="s">
        <v>810</v>
      </c>
      <c r="E674" s="2">
        <v>3.4447076000000001</v>
      </c>
    </row>
    <row r="675" spans="1:5" x14ac:dyDescent="0.25">
      <c r="A675" t="s">
        <v>864</v>
      </c>
      <c r="B675" s="12">
        <v>2000</v>
      </c>
      <c r="C675" t="s">
        <v>711</v>
      </c>
      <c r="D675" t="s">
        <v>810</v>
      </c>
      <c r="E675" s="2">
        <v>3.3335879999999998</v>
      </c>
    </row>
    <row r="676" spans="1:5" x14ac:dyDescent="0.25">
      <c r="A676" t="s">
        <v>864</v>
      </c>
      <c r="B676" s="12">
        <v>2000</v>
      </c>
      <c r="C676" t="s">
        <v>712</v>
      </c>
      <c r="D676" t="s">
        <v>810</v>
      </c>
      <c r="E676" s="2">
        <v>3.4447076000000001</v>
      </c>
    </row>
    <row r="677" spans="1:5" x14ac:dyDescent="0.25">
      <c r="A677" t="s">
        <v>864</v>
      </c>
      <c r="B677" s="12">
        <v>2001</v>
      </c>
      <c r="C677" t="s">
        <v>719</v>
      </c>
      <c r="D677" t="s">
        <v>810</v>
      </c>
      <c r="E677" s="2">
        <v>3.4447076000000001</v>
      </c>
    </row>
    <row r="678" spans="1:5" x14ac:dyDescent="0.25">
      <c r="A678" t="s">
        <v>864</v>
      </c>
      <c r="B678" s="12">
        <v>2001</v>
      </c>
      <c r="C678" t="s">
        <v>713</v>
      </c>
      <c r="D678" t="s">
        <v>810</v>
      </c>
      <c r="E678" s="2">
        <v>3.1113488</v>
      </c>
    </row>
    <row r="679" spans="1:5" x14ac:dyDescent="0.25">
      <c r="A679" t="s">
        <v>864</v>
      </c>
      <c r="B679" s="12">
        <v>2001</v>
      </c>
      <c r="C679" t="s">
        <v>714</v>
      </c>
      <c r="D679" t="s">
        <v>810</v>
      </c>
      <c r="E679" s="2">
        <v>3.4447076000000001</v>
      </c>
    </row>
    <row r="680" spans="1:5" x14ac:dyDescent="0.25">
      <c r="A680" t="s">
        <v>864</v>
      </c>
      <c r="B680" s="12">
        <v>2001</v>
      </c>
      <c r="C680" t="s">
        <v>705</v>
      </c>
      <c r="D680" t="s">
        <v>810</v>
      </c>
      <c r="E680" s="2">
        <v>3.3335879999999998</v>
      </c>
    </row>
    <row r="681" spans="1:5" x14ac:dyDescent="0.25">
      <c r="A681" t="s">
        <v>864</v>
      </c>
      <c r="B681" s="12">
        <v>2001</v>
      </c>
      <c r="C681" t="s">
        <v>715</v>
      </c>
      <c r="D681" t="s">
        <v>810</v>
      </c>
      <c r="E681" s="2">
        <v>3.4447076000000001</v>
      </c>
    </row>
    <row r="682" spans="1:5" x14ac:dyDescent="0.25">
      <c r="A682" t="s">
        <v>864</v>
      </c>
      <c r="B682" s="12">
        <v>2001</v>
      </c>
      <c r="C682" t="s">
        <v>718</v>
      </c>
      <c r="D682" t="s">
        <v>810</v>
      </c>
      <c r="E682" s="2">
        <v>3.3335879999999998</v>
      </c>
    </row>
    <row r="683" spans="1:5" x14ac:dyDescent="0.25">
      <c r="A683" t="s">
        <v>864</v>
      </c>
      <c r="B683" s="12">
        <v>2001</v>
      </c>
      <c r="C683" t="s">
        <v>716</v>
      </c>
      <c r="D683" t="s">
        <v>810</v>
      </c>
      <c r="E683" s="2">
        <v>3.4447076000000001</v>
      </c>
    </row>
    <row r="684" spans="1:5" x14ac:dyDescent="0.25">
      <c r="A684" t="s">
        <v>864</v>
      </c>
      <c r="B684" s="12">
        <v>2001</v>
      </c>
      <c r="C684" t="s">
        <v>708</v>
      </c>
      <c r="D684" t="s">
        <v>810</v>
      </c>
      <c r="E684" s="2">
        <v>3.4447076000000001</v>
      </c>
    </row>
    <row r="685" spans="1:5" x14ac:dyDescent="0.25">
      <c r="A685" t="s">
        <v>864</v>
      </c>
      <c r="B685" s="12">
        <v>2001</v>
      </c>
      <c r="C685" t="s">
        <v>709</v>
      </c>
      <c r="D685" t="s">
        <v>810</v>
      </c>
      <c r="E685" s="2">
        <v>3.3335879999999998</v>
      </c>
    </row>
    <row r="686" spans="1:5" x14ac:dyDescent="0.25">
      <c r="A686" t="s">
        <v>864</v>
      </c>
      <c r="B686" s="12">
        <v>2001</v>
      </c>
      <c r="C686" t="s">
        <v>710</v>
      </c>
      <c r="D686" t="s">
        <v>810</v>
      </c>
      <c r="E686" s="2">
        <v>3.4447076000000001</v>
      </c>
    </row>
    <row r="687" spans="1:5" x14ac:dyDescent="0.25">
      <c r="A687" t="s">
        <v>864</v>
      </c>
      <c r="B687" s="12">
        <v>2001</v>
      </c>
      <c r="C687" t="s">
        <v>711</v>
      </c>
      <c r="D687" t="s">
        <v>810</v>
      </c>
      <c r="E687" s="2">
        <v>3.3335879999999998</v>
      </c>
    </row>
    <row r="688" spans="1:5" x14ac:dyDescent="0.25">
      <c r="A688" t="s">
        <v>864</v>
      </c>
      <c r="B688" s="12">
        <v>2001</v>
      </c>
      <c r="C688" t="s">
        <v>712</v>
      </c>
      <c r="D688" t="s">
        <v>810</v>
      </c>
      <c r="E688" s="2">
        <v>3.4447076000000001</v>
      </c>
    </row>
    <row r="689" spans="1:5" x14ac:dyDescent="0.25">
      <c r="A689" t="s">
        <v>864</v>
      </c>
      <c r="B689" s="12" t="s">
        <v>811</v>
      </c>
      <c r="C689" t="s">
        <v>719</v>
      </c>
      <c r="D689" t="s">
        <v>810</v>
      </c>
      <c r="E689" s="2">
        <v>3.4447076000000001</v>
      </c>
    </row>
    <row r="690" spans="1:5" x14ac:dyDescent="0.25">
      <c r="A690" t="s">
        <v>864</v>
      </c>
      <c r="B690" s="12" t="s">
        <v>811</v>
      </c>
      <c r="C690" t="s">
        <v>713</v>
      </c>
      <c r="D690" t="s">
        <v>810</v>
      </c>
      <c r="E690" s="2">
        <v>3.1113488</v>
      </c>
    </row>
    <row r="691" spans="1:5" x14ac:dyDescent="0.25">
      <c r="A691" t="s">
        <v>864</v>
      </c>
      <c r="B691" s="12">
        <v>2002</v>
      </c>
      <c r="C691" t="s">
        <v>714</v>
      </c>
      <c r="D691" t="s">
        <v>810</v>
      </c>
      <c r="E691" s="2">
        <v>3.4447076000000001</v>
      </c>
    </row>
    <row r="692" spans="1:5" x14ac:dyDescent="0.25">
      <c r="A692" t="s">
        <v>864</v>
      </c>
      <c r="B692" s="12">
        <v>2002</v>
      </c>
      <c r="C692" t="s">
        <v>705</v>
      </c>
      <c r="D692" t="s">
        <v>810</v>
      </c>
      <c r="E692" s="2">
        <v>3.3335879999999998</v>
      </c>
    </row>
    <row r="693" spans="1:5" x14ac:dyDescent="0.25">
      <c r="A693" t="s">
        <v>864</v>
      </c>
      <c r="B693" s="12">
        <v>2002</v>
      </c>
      <c r="C693" t="s">
        <v>715</v>
      </c>
      <c r="D693" t="s">
        <v>810</v>
      </c>
      <c r="E693" s="2">
        <v>3.4447076000000001</v>
      </c>
    </row>
    <row r="694" spans="1:5" x14ac:dyDescent="0.25">
      <c r="A694" t="s">
        <v>864</v>
      </c>
      <c r="B694" s="12">
        <v>2002</v>
      </c>
      <c r="C694" t="s">
        <v>718</v>
      </c>
      <c r="D694" t="s">
        <v>810</v>
      </c>
      <c r="E694" s="2">
        <v>3.3335879999999998</v>
      </c>
    </row>
    <row r="695" spans="1:5" x14ac:dyDescent="0.25">
      <c r="A695" t="s">
        <v>864</v>
      </c>
      <c r="B695" s="12">
        <v>2002</v>
      </c>
      <c r="C695" t="s">
        <v>716</v>
      </c>
      <c r="D695" t="s">
        <v>810</v>
      </c>
      <c r="E695" s="2">
        <v>3.4447076000000001</v>
      </c>
    </row>
    <row r="696" spans="1:5" x14ac:dyDescent="0.25">
      <c r="A696" t="s">
        <v>864</v>
      </c>
      <c r="B696" s="12">
        <v>2002</v>
      </c>
      <c r="C696" t="s">
        <v>708</v>
      </c>
      <c r="D696" t="s">
        <v>810</v>
      </c>
      <c r="E696" s="2">
        <v>3.4447076000000001</v>
      </c>
    </row>
    <row r="697" spans="1:5" x14ac:dyDescent="0.25">
      <c r="A697" t="s">
        <v>864</v>
      </c>
      <c r="B697" s="12">
        <v>2002</v>
      </c>
      <c r="C697" t="s">
        <v>709</v>
      </c>
      <c r="D697" t="s">
        <v>810</v>
      </c>
      <c r="E697" s="2">
        <v>3.3335879999999998</v>
      </c>
    </row>
    <row r="698" spans="1:5" x14ac:dyDescent="0.25">
      <c r="A698" t="s">
        <v>864</v>
      </c>
      <c r="B698" s="12">
        <v>2002</v>
      </c>
      <c r="C698" t="s">
        <v>710</v>
      </c>
      <c r="D698" t="s">
        <v>810</v>
      </c>
      <c r="E698" s="2">
        <v>3.4447076000000001</v>
      </c>
    </row>
    <row r="699" spans="1:5" x14ac:dyDescent="0.25">
      <c r="A699" t="s">
        <v>864</v>
      </c>
      <c r="B699" s="12">
        <v>2002</v>
      </c>
      <c r="C699" t="s">
        <v>711</v>
      </c>
      <c r="D699" t="s">
        <v>810</v>
      </c>
      <c r="E699" s="2">
        <v>3.3335879999999998</v>
      </c>
    </row>
    <row r="700" spans="1:5" x14ac:dyDescent="0.25">
      <c r="A700" t="s">
        <v>864</v>
      </c>
      <c r="B700" s="12">
        <v>2002</v>
      </c>
      <c r="C700" t="s">
        <v>712</v>
      </c>
      <c r="D700" t="s">
        <v>810</v>
      </c>
      <c r="E700" s="2">
        <v>3.4447076000000001</v>
      </c>
    </row>
    <row r="701" spans="1:5" x14ac:dyDescent="0.25">
      <c r="A701" t="s">
        <v>864</v>
      </c>
      <c r="B701" s="12">
        <v>2003</v>
      </c>
      <c r="C701" t="s">
        <v>719</v>
      </c>
      <c r="D701" t="s">
        <v>810</v>
      </c>
      <c r="E701" s="2">
        <v>3.4447076000000001</v>
      </c>
    </row>
    <row r="702" spans="1:5" x14ac:dyDescent="0.25">
      <c r="A702" t="s">
        <v>864</v>
      </c>
      <c r="B702" s="12">
        <v>2003</v>
      </c>
      <c r="C702" t="s">
        <v>713</v>
      </c>
      <c r="D702" t="s">
        <v>810</v>
      </c>
      <c r="E702" s="2">
        <v>3.1113488</v>
      </c>
    </row>
    <row r="703" spans="1:5" x14ac:dyDescent="0.25">
      <c r="A703" t="s">
        <v>864</v>
      </c>
      <c r="B703" s="12">
        <v>2003</v>
      </c>
      <c r="C703" t="s">
        <v>714</v>
      </c>
      <c r="D703" t="s">
        <v>810</v>
      </c>
      <c r="E703" s="2">
        <v>3.4447076000000001</v>
      </c>
    </row>
    <row r="704" spans="1:5" x14ac:dyDescent="0.25">
      <c r="A704" t="s">
        <v>864</v>
      </c>
      <c r="B704" s="12">
        <v>2003</v>
      </c>
      <c r="C704" t="s">
        <v>705</v>
      </c>
      <c r="D704" t="s">
        <v>810</v>
      </c>
      <c r="E704" s="2">
        <v>3.3335879999999998</v>
      </c>
    </row>
    <row r="705" spans="1:5" x14ac:dyDescent="0.25">
      <c r="A705" t="s">
        <v>864</v>
      </c>
      <c r="B705" s="12">
        <v>2003</v>
      </c>
      <c r="C705" t="s">
        <v>715</v>
      </c>
      <c r="D705" t="s">
        <v>810</v>
      </c>
      <c r="E705" s="2">
        <v>3.4447076000000001</v>
      </c>
    </row>
    <row r="706" spans="1:5" x14ac:dyDescent="0.25">
      <c r="A706" t="s">
        <v>864</v>
      </c>
      <c r="B706" s="12">
        <v>2003</v>
      </c>
      <c r="C706" t="s">
        <v>718</v>
      </c>
      <c r="D706" t="s">
        <v>810</v>
      </c>
      <c r="E706" s="2">
        <v>3.3335879999999998</v>
      </c>
    </row>
    <row r="707" spans="1:5" x14ac:dyDescent="0.25">
      <c r="A707" t="s">
        <v>864</v>
      </c>
      <c r="B707" s="12">
        <v>2003</v>
      </c>
      <c r="C707" t="s">
        <v>716</v>
      </c>
      <c r="D707" t="s">
        <v>810</v>
      </c>
      <c r="E707" s="2">
        <v>3.4447076000000001</v>
      </c>
    </row>
    <row r="708" spans="1:5" x14ac:dyDescent="0.25">
      <c r="A708" t="s">
        <v>864</v>
      </c>
      <c r="B708" s="12">
        <v>2003</v>
      </c>
      <c r="C708" t="s">
        <v>708</v>
      </c>
      <c r="D708" t="s">
        <v>810</v>
      </c>
      <c r="E708" s="2">
        <v>3.4447076000000001</v>
      </c>
    </row>
    <row r="709" spans="1:5" x14ac:dyDescent="0.25">
      <c r="A709" t="s">
        <v>864</v>
      </c>
      <c r="B709" s="12">
        <v>2003</v>
      </c>
      <c r="C709" t="s">
        <v>709</v>
      </c>
      <c r="D709" t="s">
        <v>810</v>
      </c>
      <c r="E709" s="2">
        <v>3.3335879999999998</v>
      </c>
    </row>
    <row r="710" spans="1:5" x14ac:dyDescent="0.25">
      <c r="A710" t="s">
        <v>864</v>
      </c>
      <c r="B710" s="12">
        <v>2003</v>
      </c>
      <c r="C710" t="s">
        <v>710</v>
      </c>
      <c r="D710" t="s">
        <v>810</v>
      </c>
      <c r="E710" s="2">
        <v>3.4447076000000001</v>
      </c>
    </row>
    <row r="711" spans="1:5" x14ac:dyDescent="0.25">
      <c r="A711" t="s">
        <v>864</v>
      </c>
      <c r="B711" s="12">
        <v>2003</v>
      </c>
      <c r="C711" t="s">
        <v>711</v>
      </c>
      <c r="D711" t="s">
        <v>810</v>
      </c>
      <c r="E711" s="2">
        <v>3.3335879999999998</v>
      </c>
    </row>
    <row r="712" spans="1:5" x14ac:dyDescent="0.25">
      <c r="A712" t="s">
        <v>864</v>
      </c>
      <c r="B712" s="12">
        <v>2003</v>
      </c>
      <c r="C712" t="s">
        <v>712</v>
      </c>
      <c r="D712" t="s">
        <v>810</v>
      </c>
      <c r="E712" s="2">
        <v>3.4447076000000001</v>
      </c>
    </row>
    <row r="713" spans="1:5" x14ac:dyDescent="0.25">
      <c r="A713" t="s">
        <v>864</v>
      </c>
      <c r="B713" s="12">
        <v>2004</v>
      </c>
      <c r="C713" t="s">
        <v>719</v>
      </c>
      <c r="D713" t="s">
        <v>810</v>
      </c>
      <c r="E713" s="2">
        <v>3.4447076000000001</v>
      </c>
    </row>
    <row r="714" spans="1:5" x14ac:dyDescent="0.25">
      <c r="A714" t="s">
        <v>864</v>
      </c>
      <c r="B714" s="12">
        <v>2004</v>
      </c>
      <c r="C714" t="s">
        <v>713</v>
      </c>
      <c r="D714" t="s">
        <v>810</v>
      </c>
      <c r="E714" s="2">
        <v>3.2224683999999999</v>
      </c>
    </row>
    <row r="715" spans="1:5" x14ac:dyDescent="0.25">
      <c r="A715" t="s">
        <v>864</v>
      </c>
      <c r="B715" s="12">
        <v>2004</v>
      </c>
      <c r="C715" t="s">
        <v>714</v>
      </c>
      <c r="D715" t="s">
        <v>810</v>
      </c>
      <c r="E715" s="2">
        <v>3.4447076000000001</v>
      </c>
    </row>
    <row r="716" spans="1:5" x14ac:dyDescent="0.25">
      <c r="A716" t="s">
        <v>864</v>
      </c>
      <c r="B716" s="12">
        <v>2004</v>
      </c>
      <c r="C716" t="s">
        <v>705</v>
      </c>
      <c r="D716" t="s">
        <v>810</v>
      </c>
      <c r="E716" s="2">
        <v>3.3335879999999998</v>
      </c>
    </row>
    <row r="717" spans="1:5" x14ac:dyDescent="0.25">
      <c r="A717" t="s">
        <v>864</v>
      </c>
      <c r="B717" s="12">
        <v>2004</v>
      </c>
      <c r="C717" t="s">
        <v>715</v>
      </c>
      <c r="D717" t="s">
        <v>810</v>
      </c>
      <c r="E717" s="2">
        <v>3.4447076000000001</v>
      </c>
    </row>
    <row r="718" spans="1:5" x14ac:dyDescent="0.25">
      <c r="A718" t="s">
        <v>864</v>
      </c>
      <c r="B718" s="12">
        <v>2004</v>
      </c>
      <c r="C718" t="s">
        <v>718</v>
      </c>
      <c r="D718" t="s">
        <v>810</v>
      </c>
      <c r="E718" s="2">
        <v>3.3335879999999998</v>
      </c>
    </row>
    <row r="719" spans="1:5" x14ac:dyDescent="0.25">
      <c r="A719" t="s">
        <v>864</v>
      </c>
      <c r="B719" s="12">
        <v>2004</v>
      </c>
      <c r="C719" t="s">
        <v>716</v>
      </c>
      <c r="D719" t="s">
        <v>810</v>
      </c>
      <c r="E719" s="2">
        <v>3.4447076000000001</v>
      </c>
    </row>
    <row r="720" spans="1:5" x14ac:dyDescent="0.25">
      <c r="A720" t="s">
        <v>864</v>
      </c>
      <c r="B720" s="12">
        <v>2004</v>
      </c>
      <c r="C720" t="s">
        <v>708</v>
      </c>
      <c r="D720" t="s">
        <v>810</v>
      </c>
      <c r="E720" s="2">
        <v>3.4447076000000001</v>
      </c>
    </row>
    <row r="721" spans="1:5" x14ac:dyDescent="0.25">
      <c r="A721" t="s">
        <v>864</v>
      </c>
      <c r="B721" s="12">
        <v>2004</v>
      </c>
      <c r="C721" t="s">
        <v>709</v>
      </c>
      <c r="D721" t="s">
        <v>810</v>
      </c>
      <c r="E721" s="2">
        <v>3.3335879999999998</v>
      </c>
    </row>
    <row r="722" spans="1:5" x14ac:dyDescent="0.25">
      <c r="A722" t="s">
        <v>864</v>
      </c>
      <c r="B722" s="12">
        <v>2004</v>
      </c>
      <c r="C722" t="s">
        <v>710</v>
      </c>
      <c r="D722" t="s">
        <v>810</v>
      </c>
      <c r="E722" s="2">
        <v>3.4447076000000001</v>
      </c>
    </row>
    <row r="723" spans="1:5" x14ac:dyDescent="0.25">
      <c r="A723" t="s">
        <v>864</v>
      </c>
      <c r="B723" s="12">
        <v>2004</v>
      </c>
      <c r="C723" t="s">
        <v>711</v>
      </c>
      <c r="D723" t="s">
        <v>810</v>
      </c>
      <c r="E723" s="2">
        <v>3.3335879999999998</v>
      </c>
    </row>
    <row r="724" spans="1:5" x14ac:dyDescent="0.25">
      <c r="A724" t="s">
        <v>864</v>
      </c>
      <c r="B724" s="12">
        <v>2004</v>
      </c>
      <c r="C724" t="s">
        <v>712</v>
      </c>
      <c r="D724" t="s">
        <v>810</v>
      </c>
      <c r="E724" s="2">
        <v>3.4447076000000001</v>
      </c>
    </row>
    <row r="725" spans="1:5" x14ac:dyDescent="0.25">
      <c r="A725" t="s">
        <v>864</v>
      </c>
      <c r="B725" s="12">
        <v>2005</v>
      </c>
      <c r="C725" t="s">
        <v>719</v>
      </c>
      <c r="D725" t="s">
        <v>810</v>
      </c>
      <c r="E725" s="2">
        <v>3.4447076000000001</v>
      </c>
    </row>
    <row r="726" spans="1:5" x14ac:dyDescent="0.25">
      <c r="A726" t="s">
        <v>864</v>
      </c>
      <c r="B726" s="12">
        <v>2005</v>
      </c>
      <c r="C726" t="s">
        <v>713</v>
      </c>
      <c r="D726" t="s">
        <v>810</v>
      </c>
      <c r="E726" s="2">
        <v>3.1113488</v>
      </c>
    </row>
    <row r="727" spans="1:5" x14ac:dyDescent="0.25">
      <c r="A727" t="s">
        <v>864</v>
      </c>
      <c r="B727" s="12">
        <v>2005</v>
      </c>
      <c r="C727" t="s">
        <v>714</v>
      </c>
      <c r="D727" t="s">
        <v>810</v>
      </c>
      <c r="E727" s="2">
        <v>3.4447076000000001</v>
      </c>
    </row>
    <row r="728" spans="1:5" x14ac:dyDescent="0.25">
      <c r="A728" t="s">
        <v>864</v>
      </c>
      <c r="B728" s="12">
        <v>2005</v>
      </c>
      <c r="C728" t="s">
        <v>705</v>
      </c>
      <c r="D728" t="s">
        <v>810</v>
      </c>
      <c r="E728" s="2">
        <v>3.3335879999999998</v>
      </c>
    </row>
    <row r="729" spans="1:5" x14ac:dyDescent="0.25">
      <c r="A729" t="s">
        <v>864</v>
      </c>
      <c r="B729" s="12">
        <v>2005</v>
      </c>
      <c r="C729" t="s">
        <v>715</v>
      </c>
      <c r="D729" t="s">
        <v>810</v>
      </c>
      <c r="E729" s="2">
        <v>3.4447076000000001</v>
      </c>
    </row>
    <row r="730" spans="1:5" x14ac:dyDescent="0.25">
      <c r="A730" t="s">
        <v>864</v>
      </c>
      <c r="B730" s="12">
        <v>2005</v>
      </c>
      <c r="C730" t="s">
        <v>718</v>
      </c>
      <c r="D730" t="s">
        <v>810</v>
      </c>
      <c r="E730" s="2">
        <v>3.3335879999999998</v>
      </c>
    </row>
    <row r="731" spans="1:5" x14ac:dyDescent="0.25">
      <c r="A731" t="s">
        <v>864</v>
      </c>
      <c r="B731" s="12">
        <v>2005</v>
      </c>
      <c r="C731" t="s">
        <v>716</v>
      </c>
      <c r="D731" t="s">
        <v>810</v>
      </c>
      <c r="E731" s="2">
        <v>3.4447076000000001</v>
      </c>
    </row>
    <row r="732" spans="1:5" x14ac:dyDescent="0.25">
      <c r="A732" t="s">
        <v>864</v>
      </c>
      <c r="B732" s="12">
        <v>2005</v>
      </c>
      <c r="C732" t="s">
        <v>708</v>
      </c>
      <c r="D732" t="s">
        <v>810</v>
      </c>
      <c r="E732" s="2">
        <v>3.4447076000000001</v>
      </c>
    </row>
    <row r="733" spans="1:5" x14ac:dyDescent="0.25">
      <c r="A733" t="s">
        <v>864</v>
      </c>
      <c r="B733" s="12">
        <v>2005</v>
      </c>
      <c r="C733" t="s">
        <v>709</v>
      </c>
      <c r="D733" t="s">
        <v>810</v>
      </c>
      <c r="E733" s="2">
        <v>3.3335879999999998</v>
      </c>
    </row>
    <row r="734" spans="1:5" x14ac:dyDescent="0.25">
      <c r="A734" t="s">
        <v>864</v>
      </c>
      <c r="B734" s="12">
        <v>2005</v>
      </c>
      <c r="C734" t="s">
        <v>710</v>
      </c>
      <c r="D734" t="s">
        <v>810</v>
      </c>
      <c r="E734" s="2">
        <v>3.4447076000000001</v>
      </c>
    </row>
    <row r="735" spans="1:5" x14ac:dyDescent="0.25">
      <c r="A735" t="s">
        <v>864</v>
      </c>
      <c r="B735" s="12">
        <v>2005</v>
      </c>
      <c r="C735" t="s">
        <v>711</v>
      </c>
      <c r="D735" t="s">
        <v>810</v>
      </c>
      <c r="E735" s="2">
        <v>3.3335879999999998</v>
      </c>
    </row>
    <row r="736" spans="1:5" x14ac:dyDescent="0.25">
      <c r="A736" t="s">
        <v>864</v>
      </c>
      <c r="B736" s="12">
        <v>2005</v>
      </c>
      <c r="C736" t="s">
        <v>712</v>
      </c>
      <c r="D736" t="s">
        <v>810</v>
      </c>
      <c r="E736" s="2">
        <v>3.3335879999999998</v>
      </c>
    </row>
    <row r="737" spans="1:5" x14ac:dyDescent="0.25">
      <c r="A737" t="s">
        <v>864</v>
      </c>
      <c r="B737" s="12" t="s">
        <v>812</v>
      </c>
      <c r="C737" t="s">
        <v>719</v>
      </c>
      <c r="D737" t="s">
        <v>810</v>
      </c>
      <c r="E737" s="2">
        <v>3.4447076000000001</v>
      </c>
    </row>
    <row r="738" spans="1:5" x14ac:dyDescent="0.25">
      <c r="A738" t="s">
        <v>864</v>
      </c>
      <c r="B738" s="12" t="s">
        <v>812</v>
      </c>
      <c r="C738" t="s">
        <v>713</v>
      </c>
      <c r="D738" t="s">
        <v>810</v>
      </c>
      <c r="E738" s="2">
        <v>3.1113488</v>
      </c>
    </row>
    <row r="739" spans="1:5" x14ac:dyDescent="0.25">
      <c r="A739" t="s">
        <v>864</v>
      </c>
      <c r="B739" s="12">
        <v>2006</v>
      </c>
      <c r="C739" t="s">
        <v>714</v>
      </c>
      <c r="D739" t="s">
        <v>810</v>
      </c>
      <c r="E739" s="2">
        <v>3.4447076000000001</v>
      </c>
    </row>
    <row r="740" spans="1:5" x14ac:dyDescent="0.25">
      <c r="A740" t="s">
        <v>864</v>
      </c>
      <c r="B740" s="12">
        <v>2006</v>
      </c>
      <c r="C740" t="s">
        <v>705</v>
      </c>
      <c r="D740" t="s">
        <v>810</v>
      </c>
      <c r="E740" s="2">
        <v>3.3335879999999998</v>
      </c>
    </row>
    <row r="741" spans="1:5" x14ac:dyDescent="0.25">
      <c r="A741" t="s">
        <v>864</v>
      </c>
      <c r="B741" s="12">
        <v>2006</v>
      </c>
      <c r="C741" t="s">
        <v>715</v>
      </c>
      <c r="D741" t="s">
        <v>810</v>
      </c>
      <c r="E741" s="2">
        <v>3.4447076000000001</v>
      </c>
    </row>
    <row r="742" spans="1:5" x14ac:dyDescent="0.25">
      <c r="A742" t="s">
        <v>864</v>
      </c>
      <c r="B742" s="12">
        <v>2006</v>
      </c>
      <c r="C742" t="s">
        <v>718</v>
      </c>
      <c r="D742" t="s">
        <v>810</v>
      </c>
      <c r="E742" s="2">
        <v>3.3335879999999998</v>
      </c>
    </row>
    <row r="743" spans="1:5" x14ac:dyDescent="0.25">
      <c r="A743" t="s">
        <v>864</v>
      </c>
      <c r="B743" s="12">
        <v>2006</v>
      </c>
      <c r="C743" t="s">
        <v>716</v>
      </c>
      <c r="D743" t="s">
        <v>810</v>
      </c>
      <c r="E743" s="2">
        <v>3.4447076000000001</v>
      </c>
    </row>
    <row r="744" spans="1:5" x14ac:dyDescent="0.25">
      <c r="A744" t="s">
        <v>864</v>
      </c>
      <c r="B744" s="12">
        <v>2006</v>
      </c>
      <c r="C744" t="s">
        <v>708</v>
      </c>
      <c r="D744" t="s">
        <v>810</v>
      </c>
      <c r="E744" s="2">
        <v>3.4447076000000001</v>
      </c>
    </row>
    <row r="745" spans="1:5" x14ac:dyDescent="0.25">
      <c r="A745" t="s">
        <v>864</v>
      </c>
      <c r="B745" s="12">
        <v>2006</v>
      </c>
      <c r="C745" t="s">
        <v>709</v>
      </c>
      <c r="D745" t="s">
        <v>810</v>
      </c>
      <c r="E745" s="2">
        <v>3.3335879999999998</v>
      </c>
    </row>
    <row r="746" spans="1:5" x14ac:dyDescent="0.25">
      <c r="A746" t="s">
        <v>864</v>
      </c>
      <c r="B746" s="12">
        <v>2006</v>
      </c>
      <c r="C746" t="s">
        <v>710</v>
      </c>
      <c r="D746" t="s">
        <v>810</v>
      </c>
      <c r="E746" s="2">
        <v>3.4447076000000001</v>
      </c>
    </row>
    <row r="747" spans="1:5" x14ac:dyDescent="0.25">
      <c r="A747" t="s">
        <v>864</v>
      </c>
      <c r="B747" s="12">
        <v>2006</v>
      </c>
      <c r="C747" t="s">
        <v>711</v>
      </c>
      <c r="D747" t="s">
        <v>810</v>
      </c>
      <c r="E747" s="2">
        <v>3.3335879999999998</v>
      </c>
    </row>
    <row r="748" spans="1:5" x14ac:dyDescent="0.25">
      <c r="A748" t="s">
        <v>864</v>
      </c>
      <c r="B748" s="12">
        <v>2006</v>
      </c>
      <c r="C748" t="s">
        <v>712</v>
      </c>
      <c r="D748" t="s">
        <v>810</v>
      </c>
      <c r="E748" s="2">
        <v>3.4447076000000001</v>
      </c>
    </row>
    <row r="749" spans="1:5" x14ac:dyDescent="0.25">
      <c r="A749" t="s">
        <v>864</v>
      </c>
      <c r="B749" s="12">
        <v>2007</v>
      </c>
      <c r="C749" t="s">
        <v>719</v>
      </c>
      <c r="D749" t="s">
        <v>810</v>
      </c>
      <c r="E749" s="2">
        <v>3.4447076000000001</v>
      </c>
    </row>
    <row r="750" spans="1:5" x14ac:dyDescent="0.25">
      <c r="A750" t="s">
        <v>864</v>
      </c>
      <c r="B750" s="12">
        <v>2007</v>
      </c>
      <c r="C750" t="s">
        <v>713</v>
      </c>
      <c r="D750" t="s">
        <v>810</v>
      </c>
      <c r="E750" s="2">
        <v>3.1080000000000001</v>
      </c>
    </row>
    <row r="751" spans="1:5" x14ac:dyDescent="0.25">
      <c r="A751" t="s">
        <v>864</v>
      </c>
      <c r="B751" s="12">
        <v>2007</v>
      </c>
      <c r="C751" t="s">
        <v>714</v>
      </c>
      <c r="D751" t="s">
        <v>810</v>
      </c>
      <c r="E751" s="2">
        <v>3.4409999999999998</v>
      </c>
    </row>
    <row r="752" spans="1:5" x14ac:dyDescent="0.25">
      <c r="A752" t="s">
        <v>864</v>
      </c>
      <c r="B752" s="12">
        <v>2007</v>
      </c>
      <c r="C752" t="s">
        <v>705</v>
      </c>
      <c r="D752" t="s">
        <v>810</v>
      </c>
      <c r="E752" s="2">
        <v>3.33</v>
      </c>
    </row>
    <row r="753" spans="1:5" x14ac:dyDescent="0.25">
      <c r="A753" t="s">
        <v>864</v>
      </c>
      <c r="B753" s="12">
        <v>2007</v>
      </c>
      <c r="C753" t="s">
        <v>715</v>
      </c>
      <c r="D753" t="s">
        <v>810</v>
      </c>
      <c r="E753" s="2">
        <v>3.4409999999999998</v>
      </c>
    </row>
    <row r="754" spans="1:5" x14ac:dyDescent="0.25">
      <c r="A754" t="s">
        <v>864</v>
      </c>
      <c r="B754" s="12">
        <v>2007</v>
      </c>
      <c r="C754" t="s">
        <v>718</v>
      </c>
      <c r="D754" t="s">
        <v>810</v>
      </c>
      <c r="E754" s="2">
        <v>3.33</v>
      </c>
    </row>
    <row r="755" spans="1:5" x14ac:dyDescent="0.25">
      <c r="A755" t="s">
        <v>864</v>
      </c>
      <c r="B755" s="12">
        <v>2007</v>
      </c>
      <c r="C755" t="s">
        <v>716</v>
      </c>
      <c r="D755" t="s">
        <v>810</v>
      </c>
      <c r="E755" s="2">
        <v>3.4409999999999998</v>
      </c>
    </row>
    <row r="756" spans="1:5" x14ac:dyDescent="0.25">
      <c r="A756" t="s">
        <v>864</v>
      </c>
      <c r="B756" s="12">
        <v>2007</v>
      </c>
      <c r="C756" t="s">
        <v>708</v>
      </c>
      <c r="D756" t="s">
        <v>810</v>
      </c>
      <c r="E756" s="2">
        <v>3.4409999999999998</v>
      </c>
    </row>
    <row r="757" spans="1:5" x14ac:dyDescent="0.25">
      <c r="A757" t="s">
        <v>864</v>
      </c>
      <c r="B757" s="12">
        <v>2007</v>
      </c>
      <c r="C757" t="s">
        <v>709</v>
      </c>
      <c r="D757" t="s">
        <v>810</v>
      </c>
      <c r="E757" s="2">
        <v>3.33</v>
      </c>
    </row>
    <row r="758" spans="1:5" x14ac:dyDescent="0.25">
      <c r="A758" t="s">
        <v>864</v>
      </c>
      <c r="B758" s="12">
        <v>2007</v>
      </c>
      <c r="C758" t="s">
        <v>710</v>
      </c>
      <c r="D758" t="s">
        <v>810</v>
      </c>
      <c r="E758" s="2">
        <v>3.4409999999999998</v>
      </c>
    </row>
    <row r="759" spans="1:5" x14ac:dyDescent="0.25">
      <c r="A759" t="s">
        <v>864</v>
      </c>
      <c r="B759" s="12">
        <v>2007</v>
      </c>
      <c r="C759" t="s">
        <v>711</v>
      </c>
      <c r="D759" t="s">
        <v>810</v>
      </c>
      <c r="E759" s="2">
        <v>3.33</v>
      </c>
    </row>
    <row r="760" spans="1:5" x14ac:dyDescent="0.25">
      <c r="A760" t="s">
        <v>864</v>
      </c>
      <c r="B760" s="12">
        <v>2007</v>
      </c>
      <c r="C760" t="s">
        <v>712</v>
      </c>
      <c r="D760" t="s">
        <v>810</v>
      </c>
      <c r="E760" s="2">
        <v>3.4409999999999998</v>
      </c>
    </row>
    <row r="761" spans="1:5" x14ac:dyDescent="0.25">
      <c r="A761" t="s">
        <v>864</v>
      </c>
      <c r="B761" s="12">
        <v>2008</v>
      </c>
      <c r="C761" t="s">
        <v>719</v>
      </c>
      <c r="D761" t="s">
        <v>810</v>
      </c>
      <c r="E761" s="2">
        <v>3.4409999999999998</v>
      </c>
    </row>
    <row r="762" spans="1:5" x14ac:dyDescent="0.25">
      <c r="A762" t="s">
        <v>864</v>
      </c>
      <c r="B762" s="12">
        <v>2008</v>
      </c>
      <c r="C762" t="s">
        <v>713</v>
      </c>
      <c r="D762" t="s">
        <v>810</v>
      </c>
      <c r="E762" s="2">
        <v>3.2189999999999999</v>
      </c>
    </row>
    <row r="763" spans="1:5" x14ac:dyDescent="0.25">
      <c r="A763" t="s">
        <v>864</v>
      </c>
      <c r="B763" s="12">
        <v>2008</v>
      </c>
      <c r="C763" t="s">
        <v>714</v>
      </c>
      <c r="D763" t="s">
        <v>810</v>
      </c>
      <c r="E763" s="2">
        <v>3.4409999999999998</v>
      </c>
    </row>
    <row r="764" spans="1:5" x14ac:dyDescent="0.25">
      <c r="A764" t="s">
        <v>864</v>
      </c>
      <c r="B764" s="12">
        <v>2008</v>
      </c>
      <c r="C764" t="s">
        <v>705</v>
      </c>
      <c r="D764" t="s">
        <v>810</v>
      </c>
      <c r="E764" s="2">
        <v>3.33</v>
      </c>
    </row>
    <row r="765" spans="1:5" x14ac:dyDescent="0.25">
      <c r="A765" t="s">
        <v>864</v>
      </c>
      <c r="B765" s="12">
        <v>2008</v>
      </c>
      <c r="C765" t="s">
        <v>715</v>
      </c>
      <c r="D765" t="s">
        <v>810</v>
      </c>
      <c r="E765" s="2">
        <v>3.4409999999999998</v>
      </c>
    </row>
    <row r="766" spans="1:5" x14ac:dyDescent="0.25">
      <c r="A766" t="s">
        <v>864</v>
      </c>
      <c r="B766" s="12">
        <v>2008</v>
      </c>
      <c r="C766" t="s">
        <v>718</v>
      </c>
      <c r="D766" t="s">
        <v>810</v>
      </c>
      <c r="E766" s="2">
        <v>3.33</v>
      </c>
    </row>
    <row r="767" spans="1:5" x14ac:dyDescent="0.25">
      <c r="A767" t="s">
        <v>864</v>
      </c>
      <c r="B767" s="12">
        <v>2008</v>
      </c>
      <c r="C767" t="s">
        <v>716</v>
      </c>
      <c r="D767" t="s">
        <v>810</v>
      </c>
      <c r="E767" s="2">
        <v>3.4409999999999998</v>
      </c>
    </row>
    <row r="768" spans="1:5" x14ac:dyDescent="0.25">
      <c r="A768" t="s">
        <v>864</v>
      </c>
      <c r="B768" s="12">
        <v>2008</v>
      </c>
      <c r="C768" t="s">
        <v>708</v>
      </c>
      <c r="D768" t="s">
        <v>810</v>
      </c>
      <c r="E768" s="2">
        <v>3.4409999999999998</v>
      </c>
    </row>
    <row r="769" spans="1:5" x14ac:dyDescent="0.25">
      <c r="A769" t="s">
        <v>864</v>
      </c>
      <c r="B769" s="12">
        <v>2008</v>
      </c>
      <c r="C769" t="s">
        <v>709</v>
      </c>
      <c r="D769" t="s">
        <v>810</v>
      </c>
      <c r="E769" s="2">
        <v>3.33</v>
      </c>
    </row>
    <row r="770" spans="1:5" x14ac:dyDescent="0.25">
      <c r="A770" t="s">
        <v>864</v>
      </c>
      <c r="B770" s="12">
        <v>2008</v>
      </c>
      <c r="C770" t="s">
        <v>710</v>
      </c>
      <c r="D770" t="s">
        <v>810</v>
      </c>
      <c r="E770" s="2">
        <v>3.4409999999999998</v>
      </c>
    </row>
    <row r="771" spans="1:5" x14ac:dyDescent="0.25">
      <c r="A771" t="s">
        <v>864</v>
      </c>
      <c r="B771" s="12">
        <v>2008</v>
      </c>
      <c r="C771" t="s">
        <v>711</v>
      </c>
      <c r="D771" t="s">
        <v>810</v>
      </c>
      <c r="E771" s="2">
        <v>3.33</v>
      </c>
    </row>
    <row r="772" spans="1:5" x14ac:dyDescent="0.25">
      <c r="A772" t="s">
        <v>864</v>
      </c>
      <c r="B772" s="12">
        <v>2008</v>
      </c>
      <c r="C772" t="s">
        <v>712</v>
      </c>
      <c r="D772" t="s">
        <v>810</v>
      </c>
      <c r="E772" s="2">
        <v>3.4409999999999998</v>
      </c>
    </row>
    <row r="773" spans="1:5" x14ac:dyDescent="0.25">
      <c r="A773" t="s">
        <v>864</v>
      </c>
      <c r="B773" s="12">
        <v>2009</v>
      </c>
      <c r="C773" t="s">
        <v>719</v>
      </c>
      <c r="D773" t="s">
        <v>810</v>
      </c>
      <c r="E773" s="2">
        <v>3.4409999999999998</v>
      </c>
    </row>
    <row r="774" spans="1:5" x14ac:dyDescent="0.25">
      <c r="A774" t="s">
        <v>864</v>
      </c>
      <c r="B774" s="12">
        <v>2009</v>
      </c>
      <c r="C774" t="s">
        <v>713</v>
      </c>
      <c r="D774" t="s">
        <v>810</v>
      </c>
      <c r="E774" s="2">
        <v>3.1080000000000001</v>
      </c>
    </row>
    <row r="775" spans="1:5" x14ac:dyDescent="0.25">
      <c r="A775" t="s">
        <v>864</v>
      </c>
      <c r="B775" s="12">
        <v>2009</v>
      </c>
      <c r="C775" t="s">
        <v>714</v>
      </c>
      <c r="D775" t="s">
        <v>810</v>
      </c>
      <c r="E775" s="2">
        <v>3.33</v>
      </c>
    </row>
    <row r="776" spans="1:5" x14ac:dyDescent="0.25">
      <c r="A776" t="s">
        <v>864</v>
      </c>
      <c r="B776" s="12">
        <v>2009</v>
      </c>
      <c r="C776" t="s">
        <v>705</v>
      </c>
      <c r="D776" t="s">
        <v>810</v>
      </c>
      <c r="E776" s="2">
        <v>3.33</v>
      </c>
    </row>
    <row r="777" spans="1:5" x14ac:dyDescent="0.25">
      <c r="A777" t="s">
        <v>864</v>
      </c>
      <c r="B777" s="12">
        <v>2009</v>
      </c>
      <c r="C777" t="s">
        <v>715</v>
      </c>
      <c r="D777" t="s">
        <v>810</v>
      </c>
      <c r="E777" s="2">
        <v>3.4409999999999998</v>
      </c>
    </row>
    <row r="778" spans="1:5" x14ac:dyDescent="0.25">
      <c r="A778" t="s">
        <v>864</v>
      </c>
      <c r="B778" s="12">
        <v>2009</v>
      </c>
      <c r="C778" t="s">
        <v>718</v>
      </c>
      <c r="D778" t="s">
        <v>810</v>
      </c>
      <c r="E778" s="2">
        <v>3.33</v>
      </c>
    </row>
    <row r="779" spans="1:5" x14ac:dyDescent="0.25">
      <c r="A779" t="s">
        <v>864</v>
      </c>
      <c r="B779" s="12">
        <v>2009</v>
      </c>
      <c r="C779" t="s">
        <v>716</v>
      </c>
      <c r="D779" t="s">
        <v>810</v>
      </c>
      <c r="E779" s="2">
        <v>3.4409999999999998</v>
      </c>
    </row>
    <row r="780" spans="1:5" x14ac:dyDescent="0.25">
      <c r="A780" t="s">
        <v>864</v>
      </c>
      <c r="B780" s="12">
        <v>2009</v>
      </c>
      <c r="C780" t="s">
        <v>708</v>
      </c>
      <c r="D780" t="s">
        <v>810</v>
      </c>
      <c r="E780" s="2">
        <v>3.4409999999999998</v>
      </c>
    </row>
    <row r="781" spans="1:5" x14ac:dyDescent="0.25">
      <c r="A781" t="s">
        <v>864</v>
      </c>
      <c r="B781" s="12">
        <v>2009</v>
      </c>
      <c r="C781" t="s">
        <v>709</v>
      </c>
      <c r="D781" t="s">
        <v>810</v>
      </c>
      <c r="E781" s="2">
        <v>3.33</v>
      </c>
    </row>
    <row r="782" spans="1:5" x14ac:dyDescent="0.25">
      <c r="A782" t="s">
        <v>864</v>
      </c>
      <c r="B782" s="12">
        <v>2009</v>
      </c>
      <c r="C782" t="s">
        <v>710</v>
      </c>
      <c r="D782" t="s">
        <v>810</v>
      </c>
      <c r="E782" s="2">
        <v>3.4409999999999998</v>
      </c>
    </row>
    <row r="783" spans="1:5" x14ac:dyDescent="0.25">
      <c r="A783" t="s">
        <v>864</v>
      </c>
      <c r="B783" s="12">
        <v>2009</v>
      </c>
      <c r="C783" t="s">
        <v>711</v>
      </c>
      <c r="D783" t="s">
        <v>810</v>
      </c>
      <c r="E783" s="2">
        <v>3.33</v>
      </c>
    </row>
    <row r="784" spans="1:5" x14ac:dyDescent="0.25">
      <c r="A784" t="s">
        <v>864</v>
      </c>
      <c r="B784" s="12">
        <v>2009</v>
      </c>
      <c r="C784" t="s">
        <v>712</v>
      </c>
      <c r="D784" t="s">
        <v>810</v>
      </c>
      <c r="E784" s="2">
        <v>3.4409999999999998</v>
      </c>
    </row>
    <row r="785" spans="1:5" x14ac:dyDescent="0.25">
      <c r="A785" t="s">
        <v>864</v>
      </c>
      <c r="B785" s="12">
        <v>2010</v>
      </c>
      <c r="C785" t="s">
        <v>719</v>
      </c>
      <c r="D785" t="s">
        <v>810</v>
      </c>
      <c r="E785" s="2">
        <v>3.4409999999999998</v>
      </c>
    </row>
    <row r="786" spans="1:5" x14ac:dyDescent="0.25">
      <c r="A786" t="s">
        <v>864</v>
      </c>
      <c r="B786" s="12">
        <v>2010</v>
      </c>
      <c r="C786" t="s">
        <v>713</v>
      </c>
      <c r="D786" t="s">
        <v>810</v>
      </c>
      <c r="E786" s="2">
        <v>3.1080000000000001</v>
      </c>
    </row>
    <row r="787" spans="1:5" x14ac:dyDescent="0.25">
      <c r="A787" t="s">
        <v>864</v>
      </c>
      <c r="B787" s="12">
        <v>2010</v>
      </c>
      <c r="C787" t="s">
        <v>714</v>
      </c>
      <c r="D787" t="s">
        <v>810</v>
      </c>
      <c r="E787" s="2">
        <v>3.4409999999999998</v>
      </c>
    </row>
    <row r="788" spans="1:5" x14ac:dyDescent="0.25">
      <c r="A788" t="s">
        <v>864</v>
      </c>
      <c r="B788" s="12">
        <v>2010</v>
      </c>
      <c r="C788" t="s">
        <v>705</v>
      </c>
      <c r="D788" t="s">
        <v>810</v>
      </c>
      <c r="E788" s="2">
        <v>3.33</v>
      </c>
    </row>
    <row r="789" spans="1:5" x14ac:dyDescent="0.25">
      <c r="A789" t="s">
        <v>864</v>
      </c>
      <c r="B789" s="12">
        <v>2010</v>
      </c>
      <c r="C789" t="s">
        <v>715</v>
      </c>
      <c r="D789" t="s">
        <v>810</v>
      </c>
      <c r="E789" s="2">
        <v>3.4409999999999998</v>
      </c>
    </row>
    <row r="790" spans="1:5" x14ac:dyDescent="0.25">
      <c r="A790" t="s">
        <v>864</v>
      </c>
      <c r="B790" s="12">
        <v>2010</v>
      </c>
      <c r="C790" t="s">
        <v>718</v>
      </c>
      <c r="D790" t="s">
        <v>810</v>
      </c>
      <c r="E790" s="2">
        <v>3.33</v>
      </c>
    </row>
    <row r="791" spans="1:5" x14ac:dyDescent="0.25">
      <c r="A791" t="s">
        <v>864</v>
      </c>
      <c r="B791" s="12">
        <v>2010</v>
      </c>
      <c r="C791" t="s">
        <v>716</v>
      </c>
      <c r="D791" t="s">
        <v>810</v>
      </c>
      <c r="E791" s="2">
        <v>3.4409999999999998</v>
      </c>
    </row>
    <row r="792" spans="1:5" x14ac:dyDescent="0.25">
      <c r="A792" t="s">
        <v>864</v>
      </c>
      <c r="B792" s="12">
        <v>2010</v>
      </c>
      <c r="C792" t="s">
        <v>708</v>
      </c>
      <c r="D792" t="s">
        <v>810</v>
      </c>
      <c r="E792" s="2">
        <v>3.4409999999999998</v>
      </c>
    </row>
    <row r="793" spans="1:5" x14ac:dyDescent="0.25">
      <c r="A793" t="s">
        <v>864</v>
      </c>
      <c r="B793" s="12">
        <v>2010</v>
      </c>
      <c r="C793" t="s">
        <v>709</v>
      </c>
      <c r="D793" t="s">
        <v>810</v>
      </c>
      <c r="E793" s="2">
        <v>3.33</v>
      </c>
    </row>
    <row r="794" spans="1:5" x14ac:dyDescent="0.25">
      <c r="A794" t="s">
        <v>864</v>
      </c>
      <c r="B794" s="12">
        <v>2010</v>
      </c>
      <c r="C794" t="s">
        <v>710</v>
      </c>
      <c r="D794" t="s">
        <v>810</v>
      </c>
      <c r="E794" s="2">
        <v>3.4409999999999998</v>
      </c>
    </row>
    <row r="795" spans="1:5" x14ac:dyDescent="0.25">
      <c r="A795" t="s">
        <v>864</v>
      </c>
      <c r="B795" s="12">
        <v>2010</v>
      </c>
      <c r="C795" t="s">
        <v>711</v>
      </c>
      <c r="D795" t="s">
        <v>810</v>
      </c>
      <c r="E795" s="2">
        <v>3.33</v>
      </c>
    </row>
    <row r="796" spans="1:5" x14ac:dyDescent="0.25">
      <c r="A796" t="s">
        <v>864</v>
      </c>
      <c r="B796" s="12">
        <v>2010</v>
      </c>
      <c r="C796" t="s">
        <v>712</v>
      </c>
      <c r="D796" t="s">
        <v>810</v>
      </c>
      <c r="E796" s="2">
        <v>3.4409999999999998</v>
      </c>
    </row>
    <row r="797" spans="1:5" x14ac:dyDescent="0.25">
      <c r="A797" t="s">
        <v>864</v>
      </c>
      <c r="B797" s="12">
        <v>2011</v>
      </c>
      <c r="C797" t="s">
        <v>719</v>
      </c>
      <c r="D797" t="s">
        <v>810</v>
      </c>
      <c r="E797" s="2">
        <v>3.4409999999999998</v>
      </c>
    </row>
    <row r="798" spans="1:5" x14ac:dyDescent="0.25">
      <c r="A798" t="s">
        <v>864</v>
      </c>
      <c r="B798" s="12">
        <v>2011</v>
      </c>
      <c r="C798" t="s">
        <v>713</v>
      </c>
      <c r="D798" t="s">
        <v>810</v>
      </c>
      <c r="E798" s="2">
        <v>3.1080000000000001</v>
      </c>
    </row>
    <row r="799" spans="1:5" x14ac:dyDescent="0.25">
      <c r="A799" t="s">
        <v>864</v>
      </c>
      <c r="B799" s="12">
        <v>2011</v>
      </c>
      <c r="C799" t="s">
        <v>714</v>
      </c>
      <c r="D799" t="s">
        <v>810</v>
      </c>
      <c r="E799" s="2">
        <v>3.4409999999999998</v>
      </c>
    </row>
    <row r="800" spans="1:5" x14ac:dyDescent="0.25">
      <c r="A800" t="s">
        <v>864</v>
      </c>
      <c r="B800" s="12">
        <v>2011</v>
      </c>
      <c r="C800" t="s">
        <v>705</v>
      </c>
      <c r="D800" t="s">
        <v>810</v>
      </c>
      <c r="E800" s="2">
        <v>3.33</v>
      </c>
    </row>
    <row r="801" spans="1:5" x14ac:dyDescent="0.25">
      <c r="A801" t="s">
        <v>864</v>
      </c>
      <c r="B801" s="12">
        <v>2011</v>
      </c>
      <c r="C801" t="s">
        <v>715</v>
      </c>
      <c r="D801" t="s">
        <v>810</v>
      </c>
      <c r="E801" s="2">
        <v>3.4409999999999998</v>
      </c>
    </row>
    <row r="802" spans="1:5" x14ac:dyDescent="0.25">
      <c r="A802" t="s">
        <v>864</v>
      </c>
      <c r="B802" s="12">
        <v>2011</v>
      </c>
      <c r="C802" t="s">
        <v>718</v>
      </c>
      <c r="D802" t="s">
        <v>810</v>
      </c>
      <c r="E802" s="2">
        <v>3.33</v>
      </c>
    </row>
    <row r="803" spans="1:5" x14ac:dyDescent="0.25">
      <c r="A803" t="s">
        <v>864</v>
      </c>
      <c r="B803" s="12">
        <v>2011</v>
      </c>
      <c r="C803" t="s">
        <v>716</v>
      </c>
      <c r="D803" t="s">
        <v>810</v>
      </c>
      <c r="E803" s="2">
        <v>3.4409999999999998</v>
      </c>
    </row>
    <row r="804" spans="1:5" x14ac:dyDescent="0.25">
      <c r="A804" t="s">
        <v>864</v>
      </c>
      <c r="B804" s="12">
        <v>2011</v>
      </c>
      <c r="C804" t="s">
        <v>708</v>
      </c>
      <c r="D804" t="s">
        <v>810</v>
      </c>
      <c r="E804" s="2">
        <v>3.4409999999999998</v>
      </c>
    </row>
    <row r="805" spans="1:5" x14ac:dyDescent="0.25">
      <c r="A805" t="s">
        <v>864</v>
      </c>
      <c r="B805" s="12">
        <v>2011</v>
      </c>
      <c r="C805" t="s">
        <v>709</v>
      </c>
      <c r="D805" t="s">
        <v>810</v>
      </c>
      <c r="E805" s="2">
        <v>3.33</v>
      </c>
    </row>
    <row r="806" spans="1:5" x14ac:dyDescent="0.25">
      <c r="A806" t="s">
        <v>864</v>
      </c>
      <c r="B806" s="12">
        <v>2011</v>
      </c>
      <c r="C806" t="s">
        <v>710</v>
      </c>
      <c r="D806" t="s">
        <v>810</v>
      </c>
      <c r="E806" s="2">
        <v>3.4409999999999998</v>
      </c>
    </row>
    <row r="807" spans="1:5" x14ac:dyDescent="0.25">
      <c r="A807" t="s">
        <v>864</v>
      </c>
      <c r="B807" s="12">
        <v>2011</v>
      </c>
      <c r="C807" t="s">
        <v>711</v>
      </c>
      <c r="D807" t="s">
        <v>810</v>
      </c>
      <c r="E807" s="2">
        <v>3.33</v>
      </c>
    </row>
    <row r="808" spans="1:5" x14ac:dyDescent="0.25">
      <c r="A808" t="s">
        <v>864</v>
      </c>
      <c r="B808" s="12">
        <v>2011</v>
      </c>
      <c r="C808" t="s">
        <v>712</v>
      </c>
      <c r="D808" t="s">
        <v>810</v>
      </c>
      <c r="E808" s="2">
        <v>3.4409999999999998</v>
      </c>
    </row>
    <row r="809" spans="1:5" x14ac:dyDescent="0.25">
      <c r="A809" t="s">
        <v>864</v>
      </c>
      <c r="B809" s="12">
        <v>2012</v>
      </c>
      <c r="C809" t="s">
        <v>719</v>
      </c>
      <c r="D809" t="s">
        <v>810</v>
      </c>
      <c r="E809" s="2">
        <v>3.4409999999999998</v>
      </c>
    </row>
    <row r="810" spans="1:5" x14ac:dyDescent="0.25">
      <c r="A810" t="s">
        <v>864</v>
      </c>
      <c r="B810" s="12">
        <v>2012</v>
      </c>
      <c r="C810" t="s">
        <v>713</v>
      </c>
      <c r="D810" t="s">
        <v>810</v>
      </c>
      <c r="E810" s="2">
        <v>3.2189999999999999</v>
      </c>
    </row>
    <row r="811" spans="1:5" x14ac:dyDescent="0.25">
      <c r="A811" t="s">
        <v>864</v>
      </c>
      <c r="B811" s="12">
        <v>2012</v>
      </c>
      <c r="C811" t="s">
        <v>714</v>
      </c>
      <c r="D811" t="s">
        <v>810</v>
      </c>
      <c r="E811" s="2">
        <v>3.4409999999999998</v>
      </c>
    </row>
    <row r="812" spans="1:5" x14ac:dyDescent="0.25">
      <c r="A812" t="s">
        <v>864</v>
      </c>
      <c r="B812" s="12">
        <v>2012</v>
      </c>
      <c r="C812" t="s">
        <v>705</v>
      </c>
      <c r="D812" t="s">
        <v>810</v>
      </c>
      <c r="E812" s="2">
        <v>3.33</v>
      </c>
    </row>
    <row r="813" spans="1:5" x14ac:dyDescent="0.25">
      <c r="A813" t="s">
        <v>864</v>
      </c>
      <c r="B813" s="12">
        <v>2012</v>
      </c>
      <c r="C813" t="s">
        <v>715</v>
      </c>
      <c r="D813" t="s">
        <v>810</v>
      </c>
      <c r="E813" s="2">
        <v>3.4409999999999998</v>
      </c>
    </row>
    <row r="814" spans="1:5" x14ac:dyDescent="0.25">
      <c r="A814" t="s">
        <v>864</v>
      </c>
      <c r="B814" s="12">
        <v>2012</v>
      </c>
      <c r="C814" t="s">
        <v>718</v>
      </c>
      <c r="D814" t="s">
        <v>810</v>
      </c>
      <c r="E814" s="2">
        <v>3.33</v>
      </c>
    </row>
    <row r="815" spans="1:5" x14ac:dyDescent="0.25">
      <c r="A815" t="s">
        <v>864</v>
      </c>
      <c r="B815" s="12">
        <v>2012</v>
      </c>
      <c r="C815" t="s">
        <v>716</v>
      </c>
      <c r="D815" t="s">
        <v>810</v>
      </c>
      <c r="E815" s="2">
        <v>3.4409999999999998</v>
      </c>
    </row>
    <row r="816" spans="1:5" x14ac:dyDescent="0.25">
      <c r="A816" t="s">
        <v>864</v>
      </c>
      <c r="B816" s="12">
        <v>2012</v>
      </c>
      <c r="C816" t="s">
        <v>708</v>
      </c>
      <c r="D816" t="s">
        <v>810</v>
      </c>
      <c r="E816" s="2">
        <v>3.4409999999999998</v>
      </c>
    </row>
    <row r="817" spans="1:5" x14ac:dyDescent="0.25">
      <c r="A817" t="s">
        <v>864</v>
      </c>
      <c r="B817" s="12">
        <v>2012</v>
      </c>
      <c r="C817" t="s">
        <v>709</v>
      </c>
      <c r="D817" t="s">
        <v>810</v>
      </c>
      <c r="E817" s="2">
        <v>3.33</v>
      </c>
    </row>
    <row r="818" spans="1:5" x14ac:dyDescent="0.25">
      <c r="A818" t="s">
        <v>864</v>
      </c>
      <c r="B818" s="12">
        <v>2012</v>
      </c>
      <c r="C818" t="s">
        <v>710</v>
      </c>
      <c r="D818" t="s">
        <v>810</v>
      </c>
      <c r="E818" s="2">
        <v>3.4409999999999998</v>
      </c>
    </row>
    <row r="819" spans="1:5" x14ac:dyDescent="0.25">
      <c r="A819" t="s">
        <v>864</v>
      </c>
      <c r="B819" s="12">
        <v>2012</v>
      </c>
      <c r="C819" t="s">
        <v>711</v>
      </c>
      <c r="D819" t="s">
        <v>810</v>
      </c>
      <c r="E819" s="2">
        <v>3.33</v>
      </c>
    </row>
    <row r="820" spans="1:5" x14ac:dyDescent="0.25">
      <c r="A820" t="s">
        <v>864</v>
      </c>
      <c r="B820" s="12">
        <v>2012</v>
      </c>
      <c r="C820" t="s">
        <v>712</v>
      </c>
      <c r="D820" t="s">
        <v>810</v>
      </c>
      <c r="E820" s="2">
        <v>3.4409999999999998</v>
      </c>
    </row>
    <row r="821" spans="1:5" x14ac:dyDescent="0.25">
      <c r="A821" t="s">
        <v>864</v>
      </c>
      <c r="B821" s="12">
        <v>2013</v>
      </c>
      <c r="C821" t="s">
        <v>719</v>
      </c>
      <c r="D821" t="s">
        <v>810</v>
      </c>
      <c r="E821" s="2">
        <v>3.4409999999999998</v>
      </c>
    </row>
    <row r="822" spans="1:5" x14ac:dyDescent="0.25">
      <c r="A822" t="s">
        <v>864</v>
      </c>
      <c r="B822" s="12">
        <v>2013</v>
      </c>
      <c r="C822" t="s">
        <v>713</v>
      </c>
      <c r="D822" t="s">
        <v>810</v>
      </c>
      <c r="E822" s="2">
        <v>3.4409999999999998</v>
      </c>
    </row>
    <row r="823" spans="1:5" x14ac:dyDescent="0.25">
      <c r="A823" t="s">
        <v>864</v>
      </c>
      <c r="B823" s="12">
        <v>2013</v>
      </c>
      <c r="C823" t="s">
        <v>714</v>
      </c>
      <c r="D823" t="s">
        <v>810</v>
      </c>
      <c r="E823" s="2">
        <v>3.4409999999999998</v>
      </c>
    </row>
    <row r="824" spans="1:5" x14ac:dyDescent="0.25">
      <c r="A824" t="s">
        <v>864</v>
      </c>
      <c r="B824" s="12">
        <v>2013</v>
      </c>
      <c r="C824" t="s">
        <v>705</v>
      </c>
      <c r="D824" t="s">
        <v>810</v>
      </c>
      <c r="E824" s="2">
        <v>3.33</v>
      </c>
    </row>
    <row r="825" spans="1:5" x14ac:dyDescent="0.25">
      <c r="A825" t="s">
        <v>864</v>
      </c>
      <c r="B825" s="12">
        <v>2013</v>
      </c>
      <c r="C825" t="s">
        <v>715</v>
      </c>
      <c r="D825" t="s">
        <v>810</v>
      </c>
      <c r="E825" s="2">
        <v>3.4409999999999998</v>
      </c>
    </row>
    <row r="826" spans="1:5" x14ac:dyDescent="0.25">
      <c r="A826" t="s">
        <v>864</v>
      </c>
      <c r="B826" s="12">
        <v>2013</v>
      </c>
      <c r="C826" t="s">
        <v>718</v>
      </c>
      <c r="D826" t="s">
        <v>810</v>
      </c>
      <c r="E826" s="2">
        <v>3.33</v>
      </c>
    </row>
    <row r="827" spans="1:5" x14ac:dyDescent="0.25">
      <c r="A827" t="s">
        <v>864</v>
      </c>
      <c r="B827" s="12">
        <v>2013</v>
      </c>
      <c r="C827" t="s">
        <v>716</v>
      </c>
      <c r="D827" t="s">
        <v>810</v>
      </c>
      <c r="E827" s="2">
        <v>3.4409999999999998</v>
      </c>
    </row>
    <row r="828" spans="1:5" x14ac:dyDescent="0.25">
      <c r="A828" t="s">
        <v>864</v>
      </c>
      <c r="B828" s="12">
        <v>2013</v>
      </c>
      <c r="C828" t="s">
        <v>708</v>
      </c>
      <c r="D828" t="s">
        <v>810</v>
      </c>
      <c r="E828" s="2">
        <v>3.4409999999999998</v>
      </c>
    </row>
    <row r="829" spans="1:5" x14ac:dyDescent="0.25">
      <c r="A829" t="s">
        <v>864</v>
      </c>
      <c r="B829" s="12">
        <v>2013</v>
      </c>
      <c r="C829" t="s">
        <v>709</v>
      </c>
      <c r="D829" t="s">
        <v>810</v>
      </c>
      <c r="E829" s="2">
        <v>3.33</v>
      </c>
    </row>
    <row r="830" spans="1:5" x14ac:dyDescent="0.25">
      <c r="A830" t="s">
        <v>864</v>
      </c>
      <c r="B830" s="12">
        <v>2013</v>
      </c>
      <c r="C830" t="s">
        <v>710</v>
      </c>
      <c r="D830" t="s">
        <v>810</v>
      </c>
      <c r="E830" s="2">
        <v>3.4409999999999998</v>
      </c>
    </row>
    <row r="831" spans="1:5" x14ac:dyDescent="0.25">
      <c r="A831" t="s">
        <v>864</v>
      </c>
      <c r="B831" s="12">
        <v>2013</v>
      </c>
      <c r="C831" t="s">
        <v>711</v>
      </c>
      <c r="D831" t="s">
        <v>810</v>
      </c>
      <c r="E831" s="2">
        <v>3.33</v>
      </c>
    </row>
    <row r="832" spans="1:5" x14ac:dyDescent="0.25">
      <c r="A832" t="s">
        <v>864</v>
      </c>
      <c r="B832" s="12">
        <v>2013</v>
      </c>
      <c r="C832" t="s">
        <v>712</v>
      </c>
      <c r="D832" t="s">
        <v>810</v>
      </c>
      <c r="E832" s="2">
        <v>3.4409999999999998</v>
      </c>
    </row>
    <row r="833" spans="1:5" x14ac:dyDescent="0.25">
      <c r="A833" t="s">
        <v>864</v>
      </c>
      <c r="B833" s="12">
        <v>2014</v>
      </c>
      <c r="C833" t="s">
        <v>719</v>
      </c>
      <c r="D833" t="s">
        <v>810</v>
      </c>
      <c r="E833" s="2">
        <v>3.4409999999999998</v>
      </c>
    </row>
    <row r="834" spans="1:5" x14ac:dyDescent="0.25">
      <c r="A834" t="s">
        <v>864</v>
      </c>
      <c r="B834" s="12">
        <v>2014</v>
      </c>
      <c r="C834" t="s">
        <v>713</v>
      </c>
      <c r="D834" t="s">
        <v>810</v>
      </c>
      <c r="E834" s="2">
        <v>3.1080000000000001</v>
      </c>
    </row>
    <row r="835" spans="1:5" x14ac:dyDescent="0.25">
      <c r="A835" t="s">
        <v>864</v>
      </c>
      <c r="B835" s="12">
        <v>2014</v>
      </c>
      <c r="C835" t="s">
        <v>714</v>
      </c>
      <c r="D835" t="s">
        <v>810</v>
      </c>
      <c r="E835" s="2">
        <v>3.4409999999999998</v>
      </c>
    </row>
    <row r="836" spans="1:5" x14ac:dyDescent="0.25">
      <c r="A836" t="s">
        <v>864</v>
      </c>
      <c r="B836" s="12">
        <v>2014</v>
      </c>
      <c r="C836" t="s">
        <v>705</v>
      </c>
      <c r="D836" t="s">
        <v>810</v>
      </c>
      <c r="E836" s="2">
        <v>3.33</v>
      </c>
    </row>
    <row r="837" spans="1:5" x14ac:dyDescent="0.25">
      <c r="A837" t="s">
        <v>864</v>
      </c>
      <c r="B837" s="12">
        <v>2014</v>
      </c>
      <c r="C837" t="s">
        <v>715</v>
      </c>
      <c r="D837" t="s">
        <v>810</v>
      </c>
      <c r="E837" s="2">
        <v>3.4409999999999998</v>
      </c>
    </row>
    <row r="838" spans="1:5" x14ac:dyDescent="0.25">
      <c r="A838" t="s">
        <v>864</v>
      </c>
      <c r="B838" s="12">
        <v>2014</v>
      </c>
      <c r="C838" t="s">
        <v>718</v>
      </c>
      <c r="D838" t="s">
        <v>810</v>
      </c>
      <c r="E838" s="2">
        <v>3.33</v>
      </c>
    </row>
    <row r="839" spans="1:5" x14ac:dyDescent="0.25">
      <c r="A839" t="s">
        <v>864</v>
      </c>
      <c r="B839" s="12">
        <v>2014</v>
      </c>
      <c r="C839" t="s">
        <v>716</v>
      </c>
      <c r="D839" t="s">
        <v>810</v>
      </c>
      <c r="E839" s="2">
        <v>3.4409999999999998</v>
      </c>
    </row>
    <row r="840" spans="1:5" x14ac:dyDescent="0.25">
      <c r="A840" t="s">
        <v>864</v>
      </c>
      <c r="B840" s="12">
        <v>2014</v>
      </c>
      <c r="C840" t="s">
        <v>708</v>
      </c>
      <c r="D840" t="s">
        <v>810</v>
      </c>
      <c r="E840" s="2">
        <v>3.4409999999999998</v>
      </c>
    </row>
    <row r="841" spans="1:5" x14ac:dyDescent="0.25">
      <c r="A841" t="s">
        <v>864</v>
      </c>
      <c r="B841" s="12">
        <v>2014</v>
      </c>
      <c r="C841" t="s">
        <v>709</v>
      </c>
      <c r="D841" t="s">
        <v>810</v>
      </c>
      <c r="E841" s="2">
        <v>3.33</v>
      </c>
    </row>
    <row r="842" spans="1:5" x14ac:dyDescent="0.25">
      <c r="A842" t="s">
        <v>864</v>
      </c>
      <c r="B842" s="12">
        <v>2014</v>
      </c>
      <c r="C842" t="s">
        <v>710</v>
      </c>
      <c r="D842" t="s">
        <v>810</v>
      </c>
      <c r="E842" s="2">
        <v>3.4409999999999998</v>
      </c>
    </row>
    <row r="843" spans="1:5" x14ac:dyDescent="0.25">
      <c r="A843" t="s">
        <v>864</v>
      </c>
      <c r="B843" s="12">
        <v>2014</v>
      </c>
      <c r="C843" t="s">
        <v>711</v>
      </c>
      <c r="D843" t="s">
        <v>810</v>
      </c>
      <c r="E843" s="2">
        <v>3.33</v>
      </c>
    </row>
    <row r="844" spans="1:5" x14ac:dyDescent="0.25">
      <c r="A844" t="s">
        <v>864</v>
      </c>
      <c r="B844" s="12">
        <v>2014</v>
      </c>
      <c r="C844" t="s">
        <v>712</v>
      </c>
      <c r="D844" t="s">
        <v>810</v>
      </c>
      <c r="E844" s="2">
        <v>3.33</v>
      </c>
    </row>
    <row r="845" spans="1:5" x14ac:dyDescent="0.25">
      <c r="A845" t="s">
        <v>864</v>
      </c>
      <c r="B845" s="12">
        <v>2015</v>
      </c>
      <c r="C845" t="s">
        <v>719</v>
      </c>
      <c r="D845" t="s">
        <v>810</v>
      </c>
      <c r="E845" s="2">
        <v>3.4409999999999998</v>
      </c>
    </row>
    <row r="846" spans="1:5" x14ac:dyDescent="0.25">
      <c r="A846" t="s">
        <v>864</v>
      </c>
      <c r="B846" s="12">
        <v>2015</v>
      </c>
      <c r="C846" t="s">
        <v>713</v>
      </c>
      <c r="D846" t="s">
        <v>810</v>
      </c>
      <c r="E846" s="2">
        <v>3.1080000000000001</v>
      </c>
    </row>
    <row r="847" spans="1:5" x14ac:dyDescent="0.25">
      <c r="A847" t="s">
        <v>864</v>
      </c>
      <c r="B847" s="12">
        <v>2015</v>
      </c>
      <c r="C847" t="s">
        <v>714</v>
      </c>
      <c r="D847" t="s">
        <v>810</v>
      </c>
      <c r="E847" s="2">
        <v>3.4409999999999998</v>
      </c>
    </row>
    <row r="848" spans="1:5" x14ac:dyDescent="0.25">
      <c r="A848" t="s">
        <v>864</v>
      </c>
      <c r="B848" s="12">
        <v>2015</v>
      </c>
      <c r="C848" t="s">
        <v>705</v>
      </c>
      <c r="D848" t="s">
        <v>810</v>
      </c>
      <c r="E848" s="2">
        <v>3.33</v>
      </c>
    </row>
    <row r="849" spans="1:5" x14ac:dyDescent="0.25">
      <c r="A849" t="s">
        <v>864</v>
      </c>
      <c r="B849" s="12">
        <v>2015</v>
      </c>
      <c r="C849" t="s">
        <v>715</v>
      </c>
      <c r="D849" t="s">
        <v>810</v>
      </c>
      <c r="E849" s="2">
        <v>3.4409999999999998</v>
      </c>
    </row>
    <row r="850" spans="1:5" x14ac:dyDescent="0.25">
      <c r="A850" t="s">
        <v>864</v>
      </c>
      <c r="B850" s="12">
        <v>2015</v>
      </c>
      <c r="C850" t="s">
        <v>718</v>
      </c>
      <c r="D850" t="s">
        <v>810</v>
      </c>
      <c r="E850" s="2">
        <v>3.33</v>
      </c>
    </row>
    <row r="851" spans="1:5" x14ac:dyDescent="0.25">
      <c r="A851" t="s">
        <v>864</v>
      </c>
      <c r="B851" s="12">
        <v>2015</v>
      </c>
      <c r="C851" t="s">
        <v>716</v>
      </c>
      <c r="D851" t="s">
        <v>810</v>
      </c>
      <c r="E851" s="2">
        <v>3.4409999999999998</v>
      </c>
    </row>
    <row r="852" spans="1:5" x14ac:dyDescent="0.25">
      <c r="A852" t="s">
        <v>864</v>
      </c>
      <c r="B852" s="12">
        <v>2015</v>
      </c>
      <c r="C852" t="s">
        <v>708</v>
      </c>
      <c r="D852" t="s">
        <v>810</v>
      </c>
      <c r="E852" s="2">
        <v>3.4409999999999998</v>
      </c>
    </row>
    <row r="853" spans="1:5" x14ac:dyDescent="0.25">
      <c r="A853" t="s">
        <v>864</v>
      </c>
      <c r="B853" s="12">
        <v>2015</v>
      </c>
      <c r="C853" t="s">
        <v>709</v>
      </c>
      <c r="D853" t="s">
        <v>810</v>
      </c>
      <c r="E853" s="2">
        <v>3.33</v>
      </c>
    </row>
    <row r="854" spans="1:5" x14ac:dyDescent="0.25">
      <c r="A854" t="s">
        <v>864</v>
      </c>
      <c r="B854" s="12">
        <v>2015</v>
      </c>
      <c r="C854" t="s">
        <v>710</v>
      </c>
      <c r="D854" t="s">
        <v>810</v>
      </c>
      <c r="E854" s="2">
        <v>3.4409999999999998</v>
      </c>
    </row>
    <row r="855" spans="1:5" x14ac:dyDescent="0.25">
      <c r="A855" t="s">
        <v>864</v>
      </c>
      <c r="B855" s="12">
        <v>2015</v>
      </c>
      <c r="C855" t="s">
        <v>711</v>
      </c>
      <c r="D855" t="s">
        <v>810</v>
      </c>
      <c r="E855" s="2">
        <v>3.33</v>
      </c>
    </row>
    <row r="856" spans="1:5" x14ac:dyDescent="0.25">
      <c r="A856" t="s">
        <v>864</v>
      </c>
      <c r="B856" s="12">
        <v>2015</v>
      </c>
      <c r="C856" t="s">
        <v>712</v>
      </c>
      <c r="D856" t="s">
        <v>810</v>
      </c>
      <c r="E856" s="2">
        <v>3.4409999999999998</v>
      </c>
    </row>
    <row r="857" spans="1:5" x14ac:dyDescent="0.25">
      <c r="A857" t="s">
        <v>864</v>
      </c>
      <c r="B857" s="12">
        <v>2016</v>
      </c>
      <c r="C857" t="s">
        <v>719</v>
      </c>
      <c r="D857" t="s">
        <v>810</v>
      </c>
      <c r="E857" s="2">
        <v>3.4409999999999998</v>
      </c>
    </row>
    <row r="858" spans="1:5" x14ac:dyDescent="0.25">
      <c r="A858" t="s">
        <v>864</v>
      </c>
      <c r="B858" s="12">
        <v>2016</v>
      </c>
      <c r="C858" t="s">
        <v>713</v>
      </c>
      <c r="D858" t="s">
        <v>810</v>
      </c>
      <c r="E858" s="2">
        <v>3.2189999999999999</v>
      </c>
    </row>
    <row r="859" spans="1:5" x14ac:dyDescent="0.25">
      <c r="A859" t="s">
        <v>864</v>
      </c>
      <c r="B859" s="12">
        <v>2016</v>
      </c>
      <c r="C859" t="s">
        <v>714</v>
      </c>
      <c r="D859" t="s">
        <v>810</v>
      </c>
      <c r="E859" s="2">
        <v>3.4409999999999998</v>
      </c>
    </row>
    <row r="860" spans="1:5" x14ac:dyDescent="0.25">
      <c r="A860" t="s">
        <v>864</v>
      </c>
      <c r="B860" s="12">
        <v>2016</v>
      </c>
      <c r="C860" t="s">
        <v>705</v>
      </c>
      <c r="D860" t="s">
        <v>810</v>
      </c>
      <c r="E860" s="2">
        <v>3.33</v>
      </c>
    </row>
    <row r="861" spans="1:5" x14ac:dyDescent="0.25">
      <c r="A861" t="s">
        <v>864</v>
      </c>
      <c r="B861" s="12">
        <v>2016</v>
      </c>
      <c r="C861" t="s">
        <v>715</v>
      </c>
      <c r="D861" t="s">
        <v>810</v>
      </c>
      <c r="E861" s="2">
        <v>3.4409999999999998</v>
      </c>
    </row>
    <row r="862" spans="1:5" x14ac:dyDescent="0.25">
      <c r="A862" t="s">
        <v>864</v>
      </c>
      <c r="B862" s="12">
        <v>2016</v>
      </c>
      <c r="C862" t="s">
        <v>718</v>
      </c>
      <c r="D862" t="s">
        <v>810</v>
      </c>
      <c r="E862" s="2">
        <v>3.33</v>
      </c>
    </row>
    <row r="863" spans="1:5" x14ac:dyDescent="0.25">
      <c r="A863" t="s">
        <v>864</v>
      </c>
      <c r="B863" s="12">
        <v>2016</v>
      </c>
      <c r="C863" t="s">
        <v>716</v>
      </c>
      <c r="D863" t="s">
        <v>810</v>
      </c>
      <c r="E863" s="2">
        <v>3.4409999999999998</v>
      </c>
    </row>
    <row r="864" spans="1:5" x14ac:dyDescent="0.25">
      <c r="A864" t="s">
        <v>864</v>
      </c>
      <c r="B864" s="12">
        <v>2016</v>
      </c>
      <c r="C864" t="s">
        <v>708</v>
      </c>
      <c r="D864" t="s">
        <v>810</v>
      </c>
      <c r="E864" s="2">
        <v>3.4409999999999998</v>
      </c>
    </row>
    <row r="865" spans="1:5" x14ac:dyDescent="0.25">
      <c r="A865" t="s">
        <v>864</v>
      </c>
      <c r="B865" s="12">
        <v>2016</v>
      </c>
      <c r="C865" t="s">
        <v>709</v>
      </c>
      <c r="D865" t="s">
        <v>810</v>
      </c>
      <c r="E865" s="2">
        <v>3.33</v>
      </c>
    </row>
    <row r="866" spans="1:5" x14ac:dyDescent="0.25">
      <c r="A866" t="s">
        <v>864</v>
      </c>
      <c r="B866" s="12">
        <v>2016</v>
      </c>
      <c r="C866" t="s">
        <v>710</v>
      </c>
      <c r="D866" t="s">
        <v>810</v>
      </c>
      <c r="E866" s="2">
        <v>3.4409999999999998</v>
      </c>
    </row>
    <row r="867" spans="1:5" x14ac:dyDescent="0.25">
      <c r="A867" t="s">
        <v>864</v>
      </c>
      <c r="B867" s="12">
        <v>2016</v>
      </c>
      <c r="C867" t="s">
        <v>711</v>
      </c>
      <c r="D867" t="s">
        <v>810</v>
      </c>
      <c r="E867" s="2">
        <v>3.33</v>
      </c>
    </row>
    <row r="868" spans="1:5" x14ac:dyDescent="0.25">
      <c r="A868" t="s">
        <v>864</v>
      </c>
      <c r="B868" s="12">
        <v>2016</v>
      </c>
      <c r="C868" t="s">
        <v>712</v>
      </c>
      <c r="D868" t="s">
        <v>810</v>
      </c>
      <c r="E868" s="2">
        <v>3.4409999999999998</v>
      </c>
    </row>
    <row r="869" spans="1:5" x14ac:dyDescent="0.25">
      <c r="A869" t="s">
        <v>864</v>
      </c>
      <c r="B869" s="12" t="s">
        <v>813</v>
      </c>
      <c r="C869" t="s">
        <v>719</v>
      </c>
      <c r="D869" t="s">
        <v>810</v>
      </c>
      <c r="E869" s="2">
        <v>3.4409999999999998</v>
      </c>
    </row>
    <row r="870" spans="1:5" x14ac:dyDescent="0.25">
      <c r="A870" t="s">
        <v>864</v>
      </c>
      <c r="B870" s="12">
        <v>2017</v>
      </c>
      <c r="C870" t="s">
        <v>713</v>
      </c>
      <c r="D870" t="s">
        <v>810</v>
      </c>
      <c r="E870" s="2">
        <v>3.1080000000000001</v>
      </c>
    </row>
    <row r="871" spans="1:5" x14ac:dyDescent="0.25">
      <c r="A871" t="s">
        <v>864</v>
      </c>
      <c r="B871" s="12" t="s">
        <v>813</v>
      </c>
      <c r="C871" t="s">
        <v>714</v>
      </c>
      <c r="D871" t="s">
        <v>810</v>
      </c>
      <c r="E871" s="2">
        <v>3.4409999999999998</v>
      </c>
    </row>
    <row r="872" spans="1:5" x14ac:dyDescent="0.25">
      <c r="A872" t="s">
        <v>864</v>
      </c>
      <c r="B872" s="12">
        <v>2017</v>
      </c>
      <c r="C872" t="s">
        <v>705</v>
      </c>
      <c r="D872" t="s">
        <v>810</v>
      </c>
      <c r="E872" s="2">
        <v>3.33</v>
      </c>
    </row>
    <row r="873" spans="1:5" x14ac:dyDescent="0.25">
      <c r="A873" t="s">
        <v>864</v>
      </c>
      <c r="B873" s="12">
        <v>2017</v>
      </c>
      <c r="C873" t="s">
        <v>715</v>
      </c>
      <c r="D873" t="s">
        <v>810</v>
      </c>
      <c r="E873" s="2">
        <v>3.4409999999999998</v>
      </c>
    </row>
    <row r="874" spans="1:5" x14ac:dyDescent="0.25">
      <c r="A874" t="s">
        <v>864</v>
      </c>
      <c r="B874" s="12" t="s">
        <v>813</v>
      </c>
      <c r="C874" t="s">
        <v>718</v>
      </c>
      <c r="D874" t="s">
        <v>810</v>
      </c>
      <c r="E874" s="2">
        <v>3.33</v>
      </c>
    </row>
    <row r="875" spans="1:5" x14ac:dyDescent="0.25">
      <c r="A875" t="s">
        <v>864</v>
      </c>
      <c r="B875" s="12">
        <v>2017</v>
      </c>
      <c r="C875" t="s">
        <v>716</v>
      </c>
      <c r="D875" t="s">
        <v>810</v>
      </c>
      <c r="E875" s="2">
        <v>3.4409999999999998</v>
      </c>
    </row>
    <row r="876" spans="1:5" x14ac:dyDescent="0.25">
      <c r="A876" t="s">
        <v>864</v>
      </c>
      <c r="B876" s="12">
        <v>2017</v>
      </c>
      <c r="C876" t="s">
        <v>708</v>
      </c>
      <c r="D876" t="s">
        <v>810</v>
      </c>
      <c r="E876" s="2">
        <v>3.4409999999999998</v>
      </c>
    </row>
    <row r="877" spans="1:5" x14ac:dyDescent="0.25">
      <c r="A877" t="s">
        <v>864</v>
      </c>
      <c r="B877" s="12">
        <v>2017</v>
      </c>
      <c r="C877" t="s">
        <v>709</v>
      </c>
      <c r="D877" t="s">
        <v>810</v>
      </c>
      <c r="E877" s="2">
        <v>3.33</v>
      </c>
    </row>
    <row r="878" spans="1:5" x14ac:dyDescent="0.25">
      <c r="A878" t="s">
        <v>864</v>
      </c>
      <c r="B878" s="12">
        <v>2017</v>
      </c>
      <c r="C878" t="s">
        <v>710</v>
      </c>
      <c r="D878" t="s">
        <v>810</v>
      </c>
      <c r="E878" s="2">
        <v>3.4409999999999998</v>
      </c>
    </row>
    <row r="879" spans="1:5" x14ac:dyDescent="0.25">
      <c r="A879" t="s">
        <v>864</v>
      </c>
      <c r="B879" s="12">
        <v>2017</v>
      </c>
      <c r="C879" t="s">
        <v>711</v>
      </c>
      <c r="D879" t="s">
        <v>810</v>
      </c>
      <c r="E879" s="2">
        <v>3.33</v>
      </c>
    </row>
    <row r="880" spans="1:5" x14ac:dyDescent="0.25">
      <c r="A880" t="s">
        <v>864</v>
      </c>
      <c r="B880" s="12">
        <v>2017</v>
      </c>
      <c r="C880" t="s">
        <v>712</v>
      </c>
      <c r="D880" t="s">
        <v>810</v>
      </c>
      <c r="E880" s="2">
        <v>3.4409999999999998</v>
      </c>
    </row>
    <row r="881" spans="1:5" x14ac:dyDescent="0.25">
      <c r="A881" t="s">
        <v>864</v>
      </c>
      <c r="B881" s="12">
        <v>2018</v>
      </c>
      <c r="C881" t="s">
        <v>719</v>
      </c>
      <c r="D881" t="s">
        <v>810</v>
      </c>
      <c r="E881" s="2">
        <v>3.4409999999999998</v>
      </c>
    </row>
    <row r="882" spans="1:5" x14ac:dyDescent="0.25">
      <c r="A882" t="s">
        <v>864</v>
      </c>
      <c r="B882" s="12">
        <v>2018</v>
      </c>
      <c r="C882" t="s">
        <v>713</v>
      </c>
      <c r="D882" t="s">
        <v>810</v>
      </c>
      <c r="E882" s="2">
        <v>3.1080000000000001</v>
      </c>
    </row>
    <row r="883" spans="1:5" x14ac:dyDescent="0.25">
      <c r="A883" t="s">
        <v>864</v>
      </c>
      <c r="B883" s="12">
        <v>2018</v>
      </c>
      <c r="C883" t="s">
        <v>714</v>
      </c>
      <c r="D883" t="s">
        <v>810</v>
      </c>
      <c r="E883" s="2">
        <v>3.4409999999999998</v>
      </c>
    </row>
    <row r="884" spans="1:5" x14ac:dyDescent="0.25">
      <c r="A884" t="s">
        <v>864</v>
      </c>
      <c r="B884" s="12">
        <v>2018</v>
      </c>
      <c r="C884" t="s">
        <v>705</v>
      </c>
      <c r="D884" t="s">
        <v>810</v>
      </c>
      <c r="E884" s="2">
        <v>3.33</v>
      </c>
    </row>
    <row r="885" spans="1:5" x14ac:dyDescent="0.25">
      <c r="A885" t="s">
        <v>864</v>
      </c>
      <c r="B885" s="12">
        <v>2018</v>
      </c>
      <c r="C885" t="s">
        <v>715</v>
      </c>
      <c r="D885" t="s">
        <v>810</v>
      </c>
      <c r="E885" s="2">
        <v>3.4409999999999998</v>
      </c>
    </row>
    <row r="886" spans="1:5" x14ac:dyDescent="0.25">
      <c r="A886" t="s">
        <v>864</v>
      </c>
      <c r="B886" s="12">
        <v>2018</v>
      </c>
      <c r="C886" t="s">
        <v>718</v>
      </c>
      <c r="D886" t="s">
        <v>810</v>
      </c>
      <c r="E886" s="2">
        <v>3.33</v>
      </c>
    </row>
    <row r="887" spans="1:5" x14ac:dyDescent="0.25">
      <c r="A887" t="s">
        <v>864</v>
      </c>
      <c r="B887" s="12">
        <v>2018</v>
      </c>
      <c r="C887" t="s">
        <v>716</v>
      </c>
      <c r="D887" t="s">
        <v>810</v>
      </c>
      <c r="E887" s="2">
        <v>3.4409999999999998</v>
      </c>
    </row>
    <row r="888" spans="1:5" x14ac:dyDescent="0.25">
      <c r="A888" t="s">
        <v>864</v>
      </c>
      <c r="B888" s="12">
        <v>2018</v>
      </c>
      <c r="C888" t="s">
        <v>708</v>
      </c>
      <c r="D888" t="s">
        <v>810</v>
      </c>
      <c r="E888" s="2">
        <v>3.4409999999999998</v>
      </c>
    </row>
    <row r="889" spans="1:5" x14ac:dyDescent="0.25">
      <c r="A889" t="s">
        <v>864</v>
      </c>
      <c r="B889" s="12">
        <v>2018</v>
      </c>
      <c r="C889" t="s">
        <v>709</v>
      </c>
      <c r="D889" t="s">
        <v>810</v>
      </c>
      <c r="E889" s="2">
        <v>3.33</v>
      </c>
    </row>
    <row r="890" spans="1:5" x14ac:dyDescent="0.25">
      <c r="A890" t="s">
        <v>864</v>
      </c>
      <c r="B890" s="12">
        <v>2018</v>
      </c>
      <c r="C890" t="s">
        <v>710</v>
      </c>
      <c r="D890" t="s">
        <v>810</v>
      </c>
      <c r="E890" s="2">
        <v>3.4409999999999998</v>
      </c>
    </row>
    <row r="891" spans="1:5" x14ac:dyDescent="0.25">
      <c r="A891" t="s">
        <v>864</v>
      </c>
      <c r="B891" s="12">
        <v>2018</v>
      </c>
      <c r="C891" t="s">
        <v>711</v>
      </c>
      <c r="D891" t="s">
        <v>810</v>
      </c>
      <c r="E891" s="2">
        <v>3.33</v>
      </c>
    </row>
    <row r="892" spans="1:5" x14ac:dyDescent="0.25">
      <c r="A892" t="s">
        <v>864</v>
      </c>
      <c r="B892" s="12">
        <v>2018</v>
      </c>
      <c r="C892" t="s">
        <v>712</v>
      </c>
      <c r="D892" t="s">
        <v>810</v>
      </c>
      <c r="E892" s="2">
        <v>3.4409999999999998</v>
      </c>
    </row>
    <row r="893" spans="1:5" x14ac:dyDescent="0.25">
      <c r="A893" t="s">
        <v>864</v>
      </c>
      <c r="B893" s="12">
        <v>2019</v>
      </c>
      <c r="C893" t="s">
        <v>719</v>
      </c>
      <c r="D893" t="s">
        <v>810</v>
      </c>
      <c r="E893" s="2">
        <v>3.4409999999999998</v>
      </c>
    </row>
    <row r="894" spans="1:5" x14ac:dyDescent="0.25">
      <c r="A894" t="s">
        <v>864</v>
      </c>
      <c r="B894" s="12">
        <v>2019</v>
      </c>
      <c r="C894" t="s">
        <v>713</v>
      </c>
      <c r="D894" t="s">
        <v>810</v>
      </c>
      <c r="E894" s="2">
        <v>3.1080000000000001</v>
      </c>
    </row>
    <row r="895" spans="1:5" x14ac:dyDescent="0.25">
      <c r="A895" t="s">
        <v>864</v>
      </c>
      <c r="B895" s="12">
        <v>2019</v>
      </c>
      <c r="C895" t="s">
        <v>714</v>
      </c>
      <c r="D895" t="s">
        <v>810</v>
      </c>
      <c r="E895" s="2">
        <v>3.4409999999999998</v>
      </c>
    </row>
    <row r="896" spans="1:5" x14ac:dyDescent="0.25">
      <c r="A896" t="s">
        <v>864</v>
      </c>
      <c r="B896" s="12">
        <v>2019</v>
      </c>
      <c r="C896" t="s">
        <v>705</v>
      </c>
      <c r="D896" t="s">
        <v>810</v>
      </c>
      <c r="E896" s="2">
        <v>3.33</v>
      </c>
    </row>
    <row r="897" spans="1:5" x14ac:dyDescent="0.25">
      <c r="A897" t="s">
        <v>864</v>
      </c>
      <c r="B897" s="12">
        <v>2019</v>
      </c>
      <c r="C897" t="s">
        <v>715</v>
      </c>
      <c r="D897" t="s">
        <v>810</v>
      </c>
      <c r="E897" s="2">
        <v>3.4409999999999998</v>
      </c>
    </row>
    <row r="898" spans="1:5" x14ac:dyDescent="0.25">
      <c r="A898" t="s">
        <v>864</v>
      </c>
      <c r="B898" s="12">
        <v>2019</v>
      </c>
      <c r="C898" t="s">
        <v>718</v>
      </c>
      <c r="D898" t="s">
        <v>810</v>
      </c>
      <c r="E898" s="2">
        <v>3.33</v>
      </c>
    </row>
    <row r="899" spans="1:5" x14ac:dyDescent="0.25">
      <c r="A899" t="s">
        <v>864</v>
      </c>
      <c r="B899" s="12">
        <v>2019</v>
      </c>
      <c r="C899" t="s">
        <v>716</v>
      </c>
      <c r="D899" t="s">
        <v>810</v>
      </c>
      <c r="E899" s="2">
        <v>3.4409999999999998</v>
      </c>
    </row>
    <row r="900" spans="1:5" x14ac:dyDescent="0.25">
      <c r="A900" t="s">
        <v>864</v>
      </c>
      <c r="B900" s="12">
        <v>2019</v>
      </c>
      <c r="C900" t="s">
        <v>708</v>
      </c>
      <c r="D900" t="s">
        <v>810</v>
      </c>
      <c r="E900" s="2">
        <v>3.4409999999999998</v>
      </c>
    </row>
    <row r="901" spans="1:5" x14ac:dyDescent="0.25">
      <c r="A901" t="s">
        <v>864</v>
      </c>
      <c r="B901" s="12">
        <v>2019</v>
      </c>
      <c r="C901" t="s">
        <v>709</v>
      </c>
      <c r="D901" t="s">
        <v>810</v>
      </c>
      <c r="E901" s="2">
        <v>3.33</v>
      </c>
    </row>
    <row r="902" spans="1:5" x14ac:dyDescent="0.25">
      <c r="A902" t="s">
        <v>864</v>
      </c>
      <c r="B902" s="12">
        <v>2019</v>
      </c>
      <c r="C902" t="s">
        <v>710</v>
      </c>
      <c r="D902" t="s">
        <v>810</v>
      </c>
      <c r="E902" s="2">
        <v>3.4409999999999998</v>
      </c>
    </row>
    <row r="903" spans="1:5" x14ac:dyDescent="0.25">
      <c r="A903" t="s">
        <v>864</v>
      </c>
      <c r="B903" s="12">
        <v>2019</v>
      </c>
      <c r="C903" t="s">
        <v>711</v>
      </c>
      <c r="D903" t="s">
        <v>810</v>
      </c>
      <c r="E903" s="2">
        <v>3.33</v>
      </c>
    </row>
    <row r="904" spans="1:5" x14ac:dyDescent="0.25">
      <c r="A904" t="s">
        <v>864</v>
      </c>
      <c r="B904" s="12">
        <v>2019</v>
      </c>
      <c r="C904" t="s">
        <v>712</v>
      </c>
      <c r="D904" t="s">
        <v>810</v>
      </c>
      <c r="E904" s="2">
        <v>3.4409999999999998</v>
      </c>
    </row>
    <row r="905" spans="1:5" x14ac:dyDescent="0.25">
      <c r="A905" t="s">
        <v>864</v>
      </c>
      <c r="B905" s="12" t="s">
        <v>814</v>
      </c>
      <c r="C905" t="s">
        <v>719</v>
      </c>
      <c r="D905" t="s">
        <v>810</v>
      </c>
      <c r="E905" s="2">
        <v>3.4409999999999998</v>
      </c>
    </row>
    <row r="906" spans="1:5" x14ac:dyDescent="0.25">
      <c r="A906" t="s">
        <v>864</v>
      </c>
      <c r="B906" s="12" t="s">
        <v>814</v>
      </c>
      <c r="C906" t="s">
        <v>713</v>
      </c>
      <c r="D906" t="s">
        <v>810</v>
      </c>
      <c r="E906" s="2">
        <v>3.2189999999999999</v>
      </c>
    </row>
    <row r="907" spans="1:5" x14ac:dyDescent="0.25">
      <c r="A907" t="s">
        <v>864</v>
      </c>
      <c r="B907" s="12" t="s">
        <v>814</v>
      </c>
      <c r="C907" t="s">
        <v>714</v>
      </c>
      <c r="D907" t="s">
        <v>810</v>
      </c>
      <c r="E907" s="2">
        <v>3.4409999999999998</v>
      </c>
    </row>
    <row r="908" spans="1:5" x14ac:dyDescent="0.25">
      <c r="A908" t="s">
        <v>864</v>
      </c>
      <c r="B908" s="12" t="s">
        <v>814</v>
      </c>
      <c r="C908" t="s">
        <v>705</v>
      </c>
      <c r="D908" t="s">
        <v>810</v>
      </c>
      <c r="E908" s="2">
        <v>3.4409999999999998</v>
      </c>
    </row>
    <row r="909" spans="1:5" x14ac:dyDescent="0.25">
      <c r="A909" t="s">
        <v>864</v>
      </c>
      <c r="B909" s="12" t="s">
        <v>814</v>
      </c>
      <c r="C909" t="s">
        <v>715</v>
      </c>
      <c r="D909" t="s">
        <v>810</v>
      </c>
      <c r="E909" s="2">
        <v>3.4409999999999998</v>
      </c>
    </row>
    <row r="910" spans="1:5" x14ac:dyDescent="0.25">
      <c r="A910" t="s">
        <v>864</v>
      </c>
      <c r="B910" s="12" t="s">
        <v>814</v>
      </c>
      <c r="C910" t="s">
        <v>718</v>
      </c>
      <c r="D910" t="s">
        <v>810</v>
      </c>
      <c r="E910" s="2">
        <v>3.33</v>
      </c>
    </row>
    <row r="911" spans="1:5" x14ac:dyDescent="0.25">
      <c r="A911" t="s">
        <v>864</v>
      </c>
      <c r="B911" s="12">
        <v>2020</v>
      </c>
      <c r="C911" t="s">
        <v>716</v>
      </c>
      <c r="D911" t="s">
        <v>810</v>
      </c>
      <c r="E911" s="2">
        <v>3.4409999999999998</v>
      </c>
    </row>
    <row r="912" spans="1:5" x14ac:dyDescent="0.25">
      <c r="A912" t="s">
        <v>864</v>
      </c>
      <c r="B912" s="12" t="s">
        <v>814</v>
      </c>
      <c r="C912" t="s">
        <v>708</v>
      </c>
      <c r="D912" t="s">
        <v>810</v>
      </c>
      <c r="E912" s="2">
        <v>3.4409999999999998</v>
      </c>
    </row>
    <row r="913" spans="1:5" x14ac:dyDescent="0.25">
      <c r="A913" t="s">
        <v>864</v>
      </c>
      <c r="B913" s="12" t="s">
        <v>814</v>
      </c>
      <c r="C913" t="s">
        <v>709</v>
      </c>
      <c r="D913" t="s">
        <v>810</v>
      </c>
      <c r="E913" s="2">
        <v>3.33</v>
      </c>
    </row>
    <row r="914" spans="1:5" x14ac:dyDescent="0.25">
      <c r="A914" t="s">
        <v>864</v>
      </c>
      <c r="B914" s="12" t="s">
        <v>814</v>
      </c>
      <c r="C914" t="s">
        <v>710</v>
      </c>
      <c r="D914" t="s">
        <v>810</v>
      </c>
      <c r="E914" s="2">
        <v>3.4409999999999998</v>
      </c>
    </row>
    <row r="915" spans="1:5" x14ac:dyDescent="0.25">
      <c r="A915" t="s">
        <v>864</v>
      </c>
      <c r="B915" s="12" t="s">
        <v>814</v>
      </c>
      <c r="C915" t="s">
        <v>711</v>
      </c>
      <c r="D915" t="s">
        <v>810</v>
      </c>
      <c r="E915" s="2">
        <v>3.33</v>
      </c>
    </row>
    <row r="916" spans="1:5" x14ac:dyDescent="0.25">
      <c r="A916" t="s">
        <v>864</v>
      </c>
      <c r="B916" s="12" t="s">
        <v>814</v>
      </c>
      <c r="C916" t="s">
        <v>712</v>
      </c>
      <c r="D916" t="s">
        <v>810</v>
      </c>
      <c r="E916" s="2">
        <v>3.4409999999999998</v>
      </c>
    </row>
    <row r="917" spans="1:5" x14ac:dyDescent="0.25">
      <c r="A917" t="s">
        <v>864</v>
      </c>
      <c r="B917" s="12" t="s">
        <v>833</v>
      </c>
      <c r="C917" t="s">
        <v>719</v>
      </c>
      <c r="D917" t="s">
        <v>810</v>
      </c>
      <c r="E917" s="2">
        <v>3.4409999999999998</v>
      </c>
    </row>
    <row r="918" spans="1:5" x14ac:dyDescent="0.25">
      <c r="A918" t="s">
        <v>864</v>
      </c>
      <c r="B918" s="12" t="s">
        <v>833</v>
      </c>
      <c r="C918" t="s">
        <v>713</v>
      </c>
      <c r="D918" t="s">
        <v>810</v>
      </c>
      <c r="E918" s="2">
        <v>3.1080000000000001</v>
      </c>
    </row>
    <row r="919" spans="1:5" x14ac:dyDescent="0.25">
      <c r="A919" t="s">
        <v>864</v>
      </c>
      <c r="B919" s="12" t="s">
        <v>833</v>
      </c>
      <c r="C919" t="s">
        <v>714</v>
      </c>
      <c r="D919" t="s">
        <v>810</v>
      </c>
      <c r="E919" s="2">
        <v>3.4409999999999998</v>
      </c>
    </row>
    <row r="920" spans="1:5" x14ac:dyDescent="0.25">
      <c r="A920" t="s">
        <v>864</v>
      </c>
      <c r="B920" s="12" t="s">
        <v>833</v>
      </c>
      <c r="C920" t="s">
        <v>705</v>
      </c>
      <c r="D920" t="s">
        <v>810</v>
      </c>
      <c r="E920" s="2">
        <v>3.33</v>
      </c>
    </row>
    <row r="921" spans="1:5" x14ac:dyDescent="0.25">
      <c r="A921" t="s">
        <v>864</v>
      </c>
      <c r="B921" s="12" t="s">
        <v>833</v>
      </c>
      <c r="C921" t="s">
        <v>715</v>
      </c>
      <c r="D921" t="s">
        <v>810</v>
      </c>
      <c r="E921" s="2">
        <v>3.4409999999999998</v>
      </c>
    </row>
    <row r="922" spans="1:5" x14ac:dyDescent="0.25">
      <c r="A922" t="s">
        <v>864</v>
      </c>
      <c r="B922" s="12" t="s">
        <v>833</v>
      </c>
      <c r="C922" t="s">
        <v>718</v>
      </c>
      <c r="D922" t="s">
        <v>810</v>
      </c>
      <c r="E922" s="2">
        <v>3.33</v>
      </c>
    </row>
    <row r="923" spans="1:5" x14ac:dyDescent="0.25">
      <c r="A923" t="s">
        <v>864</v>
      </c>
      <c r="B923" s="12" t="s">
        <v>833</v>
      </c>
      <c r="C923" t="s">
        <v>716</v>
      </c>
      <c r="D923" t="s">
        <v>810</v>
      </c>
      <c r="E923" s="2">
        <v>3.4409999999999998</v>
      </c>
    </row>
    <row r="924" spans="1:5" x14ac:dyDescent="0.25">
      <c r="A924" t="s">
        <v>864</v>
      </c>
      <c r="B924" s="12" t="s">
        <v>833</v>
      </c>
      <c r="C924" t="s">
        <v>708</v>
      </c>
      <c r="D924" t="s">
        <v>810</v>
      </c>
      <c r="E924" s="2">
        <v>3.4409999999999998</v>
      </c>
    </row>
    <row r="925" spans="1:5" x14ac:dyDescent="0.25">
      <c r="A925" t="s">
        <v>864</v>
      </c>
      <c r="B925" s="12" t="s">
        <v>833</v>
      </c>
      <c r="C925" t="s">
        <v>709</v>
      </c>
      <c r="D925" t="s">
        <v>810</v>
      </c>
      <c r="E925" s="2">
        <v>3.33</v>
      </c>
    </row>
    <row r="926" spans="1:5" x14ac:dyDescent="0.25">
      <c r="A926" t="s">
        <v>864</v>
      </c>
      <c r="B926" s="12" t="s">
        <v>833</v>
      </c>
      <c r="C926" t="s">
        <v>710</v>
      </c>
      <c r="D926" t="s">
        <v>810</v>
      </c>
      <c r="E926" s="2">
        <v>3.4409999999999998</v>
      </c>
    </row>
    <row r="927" spans="1:5" x14ac:dyDescent="0.25">
      <c r="A927" t="s">
        <v>864</v>
      </c>
      <c r="B927" s="12" t="s">
        <v>833</v>
      </c>
      <c r="C927" t="s">
        <v>711</v>
      </c>
      <c r="D927" t="s">
        <v>810</v>
      </c>
      <c r="E927" s="2">
        <v>3.33</v>
      </c>
    </row>
    <row r="928" spans="1:5" x14ac:dyDescent="0.25">
      <c r="A928" t="s">
        <v>864</v>
      </c>
      <c r="B928" s="12" t="s">
        <v>833</v>
      </c>
      <c r="C928" t="s">
        <v>712</v>
      </c>
      <c r="D928" t="s">
        <v>810</v>
      </c>
      <c r="E928" s="2">
        <v>3.4409999999999998</v>
      </c>
    </row>
    <row r="929" spans="1:5" x14ac:dyDescent="0.25">
      <c r="A929" t="s">
        <v>864</v>
      </c>
      <c r="B929" s="12" t="s">
        <v>834</v>
      </c>
      <c r="C929" t="s">
        <v>719</v>
      </c>
      <c r="D929" t="s">
        <v>810</v>
      </c>
      <c r="E929" s="2">
        <v>3.4409999999999998</v>
      </c>
    </row>
    <row r="930" spans="1:5" x14ac:dyDescent="0.25">
      <c r="A930" t="s">
        <v>864</v>
      </c>
      <c r="B930" s="12" t="s">
        <v>834</v>
      </c>
      <c r="C930" t="s">
        <v>713</v>
      </c>
      <c r="D930" t="s">
        <v>810</v>
      </c>
      <c r="E930" s="2">
        <v>3.1080000000000001</v>
      </c>
    </row>
    <row r="931" spans="1:5" x14ac:dyDescent="0.25">
      <c r="A931" t="s">
        <v>864</v>
      </c>
      <c r="B931" s="12" t="s">
        <v>834</v>
      </c>
      <c r="C931" t="s">
        <v>714</v>
      </c>
      <c r="D931" t="s">
        <v>810</v>
      </c>
      <c r="E931" s="2">
        <v>3.4409999999999998</v>
      </c>
    </row>
    <row r="932" spans="1:5" x14ac:dyDescent="0.25">
      <c r="A932" t="s">
        <v>864</v>
      </c>
      <c r="B932" s="12" t="s">
        <v>834</v>
      </c>
      <c r="C932" t="s">
        <v>705</v>
      </c>
      <c r="D932" t="s">
        <v>810</v>
      </c>
      <c r="E932" s="2">
        <v>3.33</v>
      </c>
    </row>
    <row r="933" spans="1:5" x14ac:dyDescent="0.25">
      <c r="A933" t="s">
        <v>864</v>
      </c>
      <c r="B933" s="12" t="s">
        <v>834</v>
      </c>
      <c r="C933" t="s">
        <v>715</v>
      </c>
      <c r="D933" t="s">
        <v>810</v>
      </c>
      <c r="E933" s="2">
        <v>3.4409999999999998</v>
      </c>
    </row>
    <row r="934" spans="1:5" x14ac:dyDescent="0.25">
      <c r="A934" t="s">
        <v>864</v>
      </c>
      <c r="B934" s="12" t="s">
        <v>834</v>
      </c>
      <c r="C934" t="s">
        <v>718</v>
      </c>
      <c r="D934" t="s">
        <v>810</v>
      </c>
      <c r="E934" s="2">
        <v>3.33</v>
      </c>
    </row>
    <row r="935" spans="1:5" x14ac:dyDescent="0.25">
      <c r="A935" t="s">
        <v>864</v>
      </c>
      <c r="B935" s="12" t="s">
        <v>834</v>
      </c>
      <c r="C935" t="s">
        <v>716</v>
      </c>
      <c r="D935" t="s">
        <v>810</v>
      </c>
      <c r="E935" s="2">
        <v>3.4409999999999998</v>
      </c>
    </row>
    <row r="936" spans="1:5" x14ac:dyDescent="0.25">
      <c r="A936" t="s">
        <v>864</v>
      </c>
      <c r="B936" s="12" t="s">
        <v>834</v>
      </c>
      <c r="C936" t="s">
        <v>708</v>
      </c>
      <c r="D936" t="s">
        <v>810</v>
      </c>
      <c r="E936" s="2">
        <v>3.4409999999999998</v>
      </c>
    </row>
    <row r="937" spans="1:5" x14ac:dyDescent="0.25">
      <c r="A937" t="s">
        <v>864</v>
      </c>
      <c r="B937" s="12" t="s">
        <v>834</v>
      </c>
      <c r="C937" t="s">
        <v>709</v>
      </c>
      <c r="D937" t="s">
        <v>810</v>
      </c>
      <c r="E937" s="2">
        <v>3.33</v>
      </c>
    </row>
    <row r="938" spans="1:5" x14ac:dyDescent="0.25">
      <c r="A938" t="s">
        <v>864</v>
      </c>
      <c r="B938" s="12" t="s">
        <v>834</v>
      </c>
      <c r="C938" t="s">
        <v>710</v>
      </c>
      <c r="D938" t="s">
        <v>810</v>
      </c>
      <c r="E938" s="2">
        <v>3.4409999999999998</v>
      </c>
    </row>
    <row r="939" spans="1:5" x14ac:dyDescent="0.25">
      <c r="A939" t="s">
        <v>864</v>
      </c>
      <c r="B939" s="12" t="s">
        <v>834</v>
      </c>
      <c r="C939" t="s">
        <v>711</v>
      </c>
      <c r="D939" t="s">
        <v>810</v>
      </c>
      <c r="E939" s="2">
        <v>3.33</v>
      </c>
    </row>
    <row r="940" spans="1:5" x14ac:dyDescent="0.25">
      <c r="A940" t="s">
        <v>864</v>
      </c>
      <c r="B940" s="12" t="s">
        <v>834</v>
      </c>
      <c r="C940" t="s">
        <v>712</v>
      </c>
      <c r="D940" t="s">
        <v>810</v>
      </c>
      <c r="E940" s="2">
        <v>3.4409999999999998</v>
      </c>
    </row>
    <row r="941" spans="1:5" x14ac:dyDescent="0.25">
      <c r="A941" t="s">
        <v>864</v>
      </c>
      <c r="B941" s="12" t="s">
        <v>835</v>
      </c>
      <c r="C941" t="s">
        <v>719</v>
      </c>
      <c r="D941" t="s">
        <v>810</v>
      </c>
      <c r="E941" s="2">
        <v>3.4409999999999998</v>
      </c>
    </row>
    <row r="942" spans="1:5" x14ac:dyDescent="0.25">
      <c r="A942" t="s">
        <v>864</v>
      </c>
      <c r="B942" s="12" t="s">
        <v>835</v>
      </c>
      <c r="C942" t="s">
        <v>713</v>
      </c>
      <c r="D942" t="s">
        <v>810</v>
      </c>
      <c r="E942" s="2">
        <v>3.1080000000000001</v>
      </c>
    </row>
    <row r="943" spans="1:5" x14ac:dyDescent="0.25">
      <c r="A943" t="s">
        <v>864</v>
      </c>
      <c r="B943" s="12" t="s">
        <v>835</v>
      </c>
      <c r="C943" t="s">
        <v>714</v>
      </c>
      <c r="D943" t="s">
        <v>810</v>
      </c>
      <c r="E943" s="2">
        <v>3.4409999999999998</v>
      </c>
    </row>
    <row r="944" spans="1:5" x14ac:dyDescent="0.25">
      <c r="A944" t="s">
        <v>864</v>
      </c>
      <c r="B944" s="12" t="s">
        <v>835</v>
      </c>
      <c r="C944" t="s">
        <v>705</v>
      </c>
      <c r="D944" t="s">
        <v>810</v>
      </c>
      <c r="E944" s="2">
        <v>3.33</v>
      </c>
    </row>
    <row r="945" spans="1:5" x14ac:dyDescent="0.25">
      <c r="A945" t="s">
        <v>864</v>
      </c>
      <c r="B945" s="12" t="s">
        <v>835</v>
      </c>
      <c r="C945" t="s">
        <v>715</v>
      </c>
      <c r="D945" t="s">
        <v>810</v>
      </c>
      <c r="E945" s="2">
        <v>3.4409999999999998</v>
      </c>
    </row>
    <row r="946" spans="1:5" x14ac:dyDescent="0.25">
      <c r="A946" t="s">
        <v>864</v>
      </c>
      <c r="B946" s="12" t="s">
        <v>835</v>
      </c>
      <c r="C946" t="s">
        <v>718</v>
      </c>
      <c r="D946" t="s">
        <v>810</v>
      </c>
      <c r="E946" s="2">
        <v>3.33</v>
      </c>
    </row>
    <row r="947" spans="1:5" x14ac:dyDescent="0.25">
      <c r="A947" t="s">
        <v>864</v>
      </c>
      <c r="B947" s="12" t="s">
        <v>835</v>
      </c>
      <c r="C947" t="s">
        <v>716</v>
      </c>
      <c r="D947" t="s">
        <v>810</v>
      </c>
      <c r="E947" s="2">
        <v>3.4409999999999998</v>
      </c>
    </row>
    <row r="948" spans="1:5" x14ac:dyDescent="0.25">
      <c r="A948" t="s">
        <v>864</v>
      </c>
      <c r="B948" s="12" t="s">
        <v>835</v>
      </c>
      <c r="C948" t="s">
        <v>708</v>
      </c>
      <c r="D948" t="s">
        <v>810</v>
      </c>
      <c r="E948" s="2">
        <v>3.4409999999999998</v>
      </c>
    </row>
    <row r="949" spans="1:5" x14ac:dyDescent="0.25">
      <c r="A949" t="s">
        <v>864</v>
      </c>
      <c r="B949" s="12" t="s">
        <v>835</v>
      </c>
      <c r="C949" t="s">
        <v>709</v>
      </c>
      <c r="D949" t="s">
        <v>810</v>
      </c>
      <c r="E949" s="2">
        <v>3.33</v>
      </c>
    </row>
    <row r="950" spans="1:5" x14ac:dyDescent="0.25">
      <c r="A950" t="s">
        <v>864</v>
      </c>
      <c r="D950" t="s">
        <v>810</v>
      </c>
    </row>
    <row r="951" spans="1:5" x14ac:dyDescent="0.25">
      <c r="A951" t="s">
        <v>864</v>
      </c>
      <c r="D951" t="s">
        <v>810</v>
      </c>
    </row>
    <row r="952" spans="1:5" x14ac:dyDescent="0.25">
      <c r="A952" t="s">
        <v>864</v>
      </c>
      <c r="D952" t="s">
        <v>810</v>
      </c>
    </row>
    <row r="953" spans="1:5" x14ac:dyDescent="0.25">
      <c r="A953" t="s">
        <v>864</v>
      </c>
      <c r="B953" s="12">
        <v>2018</v>
      </c>
      <c r="C953" t="s">
        <v>710</v>
      </c>
      <c r="D953" t="s">
        <v>810</v>
      </c>
    </row>
    <row r="954" spans="1:5" x14ac:dyDescent="0.25">
      <c r="A954" t="s">
        <v>864</v>
      </c>
      <c r="B954" s="12">
        <v>2018</v>
      </c>
      <c r="C954" t="s">
        <v>711</v>
      </c>
      <c r="D954" t="s">
        <v>810</v>
      </c>
    </row>
    <row r="955" spans="1:5" x14ac:dyDescent="0.25">
      <c r="A955" t="s">
        <v>864</v>
      </c>
      <c r="B955" s="12">
        <v>2018</v>
      </c>
      <c r="C955" t="s">
        <v>712</v>
      </c>
      <c r="D955" t="s">
        <v>810</v>
      </c>
    </row>
  </sheetData>
  <phoneticPr fontId="0" type="noConversion"/>
  <printOptions horizontalCentered="1" gridLines="1"/>
  <pageMargins left="0.25" right="0.25" top="1" bottom="1" header="0.5" footer="0.5"/>
  <pageSetup scale="39" fitToHeight="76" orientation="landscape" horizontalDpi="180" verticalDpi="18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7">
    <pageSetUpPr fitToPage="1"/>
  </sheetPr>
  <dimension ref="A1:L163"/>
  <sheetViews>
    <sheetView zoomScale="85" zoomScaleNormal="85" workbookViewId="0">
      <pane xSplit="2" ySplit="3" topLeftCell="C139" activePane="bottomRight" state="frozen"/>
      <selection activeCell="AM240" sqref="AM240"/>
      <selection pane="topRight" activeCell="AM240" sqref="AM240"/>
      <selection pane="bottomLeft" activeCell="AM240" sqref="AM240"/>
      <selection pane="bottomRight" activeCell="A164" sqref="A164"/>
    </sheetView>
  </sheetViews>
  <sheetFormatPr defaultRowHeight="12.5" x14ac:dyDescent="0.25"/>
  <cols>
    <col min="1" max="1" width="5.54296875" bestFit="1" customWidth="1"/>
    <col min="2" max="2" width="14.08984375" bestFit="1" customWidth="1"/>
    <col min="3" max="4" width="11.453125" customWidth="1"/>
    <col min="5" max="8" width="9.54296875" bestFit="1" customWidth="1"/>
    <col min="9" max="9" width="16.453125" style="87" hidden="1" customWidth="1"/>
    <col min="10" max="10" width="12.36328125" style="20" bestFit="1" customWidth="1"/>
    <col min="11" max="11" width="26" style="20" bestFit="1" customWidth="1"/>
    <col min="12" max="12" width="18.90625" customWidth="1"/>
  </cols>
  <sheetData>
    <row r="1" spans="1:12" ht="14" x14ac:dyDescent="0.3">
      <c r="D1" s="58"/>
      <c r="E1" s="59" t="s">
        <v>815</v>
      </c>
      <c r="F1" s="58"/>
    </row>
    <row r="2" spans="1:12" ht="14" x14ac:dyDescent="0.3">
      <c r="A2" s="58"/>
      <c r="E2" s="58"/>
      <c r="F2" s="58"/>
      <c r="G2" s="58"/>
      <c r="H2" s="58"/>
      <c r="I2" s="67"/>
      <c r="L2" s="342" t="s">
        <v>832</v>
      </c>
    </row>
    <row r="3" spans="1:12" ht="14" x14ac:dyDescent="0.3">
      <c r="A3" s="58"/>
      <c r="B3" s="58"/>
      <c r="C3" s="60" t="s">
        <v>3</v>
      </c>
      <c r="D3" s="60" t="s">
        <v>816</v>
      </c>
      <c r="E3" s="60" t="s">
        <v>5</v>
      </c>
      <c r="F3" s="60" t="s">
        <v>6</v>
      </c>
      <c r="G3" s="60" t="s">
        <v>7</v>
      </c>
      <c r="H3" s="60" t="s">
        <v>8</v>
      </c>
      <c r="I3" s="66" t="s">
        <v>817</v>
      </c>
      <c r="J3" s="66" t="s">
        <v>818</v>
      </c>
      <c r="K3" s="60" t="s">
        <v>819</v>
      </c>
      <c r="L3" s="342"/>
    </row>
    <row r="4" spans="1:12" ht="15.5" x14ac:dyDescent="0.35">
      <c r="A4" s="61">
        <v>2008</v>
      </c>
      <c r="B4" s="61" t="s">
        <v>820</v>
      </c>
      <c r="C4" s="62" t="e">
        <f>#REF!/#REF!</f>
        <v>#REF!</v>
      </c>
      <c r="D4" s="62" t="e">
        <f>#REF!/#REF!</f>
        <v>#REF!</v>
      </c>
      <c r="E4" s="62" t="e">
        <f>#REF!/#REF!</f>
        <v>#REF!</v>
      </c>
      <c r="F4" s="62" t="e">
        <f>#REF!/#REF!</f>
        <v>#REF!</v>
      </c>
      <c r="G4" s="62" t="e">
        <f>#REF!/#REF!</f>
        <v>#REF!</v>
      </c>
      <c r="H4" s="62" t="e">
        <f>#REF!/#REF!</f>
        <v>#REF!</v>
      </c>
      <c r="I4" s="67">
        <v>3.05</v>
      </c>
      <c r="J4" s="92">
        <v>1.1299999999999999</v>
      </c>
      <c r="K4" s="20">
        <v>45.830000000000005</v>
      </c>
    </row>
    <row r="5" spans="1:12" ht="15.5" x14ac:dyDescent="0.35">
      <c r="A5" s="61">
        <v>2008</v>
      </c>
      <c r="B5" s="61" t="s">
        <v>761</v>
      </c>
      <c r="C5" s="62" t="e">
        <f>#REF!/#REF!</f>
        <v>#REF!</v>
      </c>
      <c r="D5" s="62" t="e">
        <f>#REF!/#REF!</f>
        <v>#REF!</v>
      </c>
      <c r="E5" s="62" t="e">
        <f>#REF!/#REF!</f>
        <v>#REF!</v>
      </c>
      <c r="F5" s="62" t="e">
        <f>#REF!/#REF!</f>
        <v>#REF!</v>
      </c>
      <c r="G5" s="62" t="e">
        <f>#REF!/#REF!</f>
        <v>#REF!</v>
      </c>
      <c r="H5" s="62" t="e">
        <f>#REF!/#REF!</f>
        <v>#REF!</v>
      </c>
      <c r="I5" s="67">
        <v>-2.23</v>
      </c>
      <c r="J5" s="92">
        <v>2.4300000000000002</v>
      </c>
      <c r="K5" s="20">
        <v>46.8</v>
      </c>
    </row>
    <row r="6" spans="1:12" ht="15.5" x14ac:dyDescent="0.35">
      <c r="A6" s="61">
        <v>2008</v>
      </c>
      <c r="B6" s="61" t="s">
        <v>821</v>
      </c>
      <c r="C6" s="62" t="e">
        <f>#REF!/#REF!</f>
        <v>#REF!</v>
      </c>
      <c r="D6" s="62" t="e">
        <f>#REF!/#REF!</f>
        <v>#REF!</v>
      </c>
      <c r="E6" s="62" t="e">
        <f>#REF!/#REF!</f>
        <v>#REF!</v>
      </c>
      <c r="F6" s="62" t="e">
        <f>#REF!/#REF!</f>
        <v>#REF!</v>
      </c>
      <c r="G6" s="62" t="e">
        <f>#REF!/#REF!</f>
        <v>#REF!</v>
      </c>
      <c r="H6" s="62" t="e">
        <f>#REF!/#REF!</f>
        <v>#REF!</v>
      </c>
      <c r="I6" s="67">
        <v>-0.93</v>
      </c>
      <c r="J6" s="92">
        <v>2.97</v>
      </c>
      <c r="K6" s="20">
        <v>46.489999999999995</v>
      </c>
    </row>
    <row r="7" spans="1:12" ht="15.5" x14ac:dyDescent="0.35">
      <c r="A7" s="61">
        <v>2009</v>
      </c>
      <c r="B7" s="61" t="s">
        <v>822</v>
      </c>
      <c r="C7" s="62" t="e">
        <f>#REF!/#REF!</f>
        <v>#REF!</v>
      </c>
      <c r="D7" s="62" t="e">
        <f>#REF!/#REF!</f>
        <v>#REF!</v>
      </c>
      <c r="E7" s="62" t="e">
        <f>#REF!/#REF!</f>
        <v>#REF!</v>
      </c>
      <c r="F7" s="62" t="e">
        <f>#REF!/#REF!</f>
        <v>#REF!</v>
      </c>
      <c r="G7" s="62" t="e">
        <f>#REF!/#REF!</f>
        <v>#REF!</v>
      </c>
      <c r="H7" s="62" t="e">
        <f>#REF!/#REF!</f>
        <v>#REF!</v>
      </c>
      <c r="I7" s="67">
        <v>-0.39</v>
      </c>
      <c r="J7" s="92">
        <v>2.68</v>
      </c>
      <c r="K7" s="20">
        <v>47.800000000000004</v>
      </c>
    </row>
    <row r="8" spans="1:12" ht="15.5" x14ac:dyDescent="0.35">
      <c r="A8" s="61">
        <v>2009</v>
      </c>
      <c r="B8" s="61" t="s">
        <v>772</v>
      </c>
      <c r="C8" s="62" t="e">
        <f>#REF!/#REF!</f>
        <v>#REF!</v>
      </c>
      <c r="D8" s="62" t="e">
        <f>#REF!/#REF!</f>
        <v>#REF!</v>
      </c>
      <c r="E8" s="62" t="e">
        <f>#REF!/#REF!</f>
        <v>#REF!</v>
      </c>
      <c r="F8" s="62" t="e">
        <f>#REF!/#REF!</f>
        <v>#REF!</v>
      </c>
      <c r="G8" s="62" t="e">
        <f>#REF!/#REF!</f>
        <v>#REF!</v>
      </c>
      <c r="H8" s="62" t="e">
        <f>#REF!/#REF!</f>
        <v>#REF!</v>
      </c>
      <c r="I8" s="67">
        <v>-1.85</v>
      </c>
      <c r="J8" s="92">
        <v>0.35</v>
      </c>
      <c r="K8" s="20">
        <v>43.980000000000004</v>
      </c>
    </row>
    <row r="9" spans="1:12" ht="15.5" x14ac:dyDescent="0.35">
      <c r="A9" s="61">
        <v>2009</v>
      </c>
      <c r="B9" s="61" t="s">
        <v>714</v>
      </c>
      <c r="C9" s="62" t="e">
        <f>#REF!/#REF!</f>
        <v>#REF!</v>
      </c>
      <c r="D9" s="62" t="e">
        <f>#REF!/#REF!</f>
        <v>#REF!</v>
      </c>
      <c r="E9" s="62" t="e">
        <f>#REF!/#REF!</f>
        <v>#REF!</v>
      </c>
      <c r="F9" s="62" t="e">
        <f>#REF!/#REF!</f>
        <v>#REF!</v>
      </c>
      <c r="G9" s="62" t="e">
        <f>#REF!/#REF!</f>
        <v>#REF!</v>
      </c>
      <c r="H9" s="62" t="e">
        <f>#REF!/#REF!</f>
        <v>#REF!</v>
      </c>
      <c r="I9" s="67">
        <v>-1.39</v>
      </c>
      <c r="J9" s="92">
        <v>1.97</v>
      </c>
      <c r="K9" s="20">
        <v>43.15</v>
      </c>
    </row>
    <row r="10" spans="1:12" ht="15.5" x14ac:dyDescent="0.35">
      <c r="A10" s="61">
        <v>2009</v>
      </c>
      <c r="B10" s="61" t="s">
        <v>705</v>
      </c>
      <c r="C10" s="62" t="e">
        <f>#REF!/#REF!</f>
        <v>#REF!</v>
      </c>
      <c r="D10" s="62" t="e">
        <f>#REF!/#REF!</f>
        <v>#REF!</v>
      </c>
      <c r="E10" s="62" t="e">
        <f>#REF!/#REF!</f>
        <v>#REF!</v>
      </c>
      <c r="F10" s="62" t="e">
        <f>#REF!/#REF!</f>
        <v>#REF!</v>
      </c>
      <c r="G10" s="62" t="e">
        <f>#REF!/#REF!</f>
        <v>#REF!</v>
      </c>
      <c r="H10" s="62" t="e">
        <f>#REF!/#REF!</f>
        <v>#REF!</v>
      </c>
      <c r="I10" s="67">
        <v>0.86</v>
      </c>
      <c r="J10" s="92">
        <v>4.22</v>
      </c>
      <c r="K10" s="20">
        <v>42.45</v>
      </c>
    </row>
    <row r="11" spans="1:12" ht="15.5" x14ac:dyDescent="0.35">
      <c r="A11" s="61">
        <v>2009</v>
      </c>
      <c r="B11" s="63" t="s">
        <v>715</v>
      </c>
      <c r="C11" s="62" t="e">
        <f>#REF!/#REF!</f>
        <v>#REF!</v>
      </c>
      <c r="D11" s="62" t="e">
        <f>#REF!/#REF!</f>
        <v>#REF!</v>
      </c>
      <c r="E11" s="62" t="e">
        <f>#REF!/#REF!</f>
        <v>#REF!</v>
      </c>
      <c r="F11" s="62" t="e">
        <f>#REF!/#REF!</f>
        <v>#REF!</v>
      </c>
      <c r="G11" s="62" t="e">
        <f>#REF!/#REF!</f>
        <v>#REF!</v>
      </c>
      <c r="H11" s="62" t="e">
        <f>#REF!/#REF!</f>
        <v>#REF!</v>
      </c>
      <c r="I11" s="67">
        <v>4.6900000000000004</v>
      </c>
      <c r="J11" s="92">
        <v>8.0500000000000007</v>
      </c>
      <c r="K11" s="20">
        <v>39.839999999999996</v>
      </c>
    </row>
    <row r="12" spans="1:12" ht="15.5" x14ac:dyDescent="0.35">
      <c r="A12" s="61">
        <v>2009</v>
      </c>
      <c r="B12" s="61" t="s">
        <v>718</v>
      </c>
      <c r="C12" s="62" t="e">
        <f>#REF!/#REF!</f>
        <v>#REF!</v>
      </c>
      <c r="D12" s="62" t="e">
        <f>#REF!/#REF!</f>
        <v>#REF!</v>
      </c>
      <c r="E12" s="62" t="e">
        <f>#REF!/#REF!</f>
        <v>#REF!</v>
      </c>
      <c r="F12" s="62" t="e">
        <f>#REF!/#REF!</f>
        <v>#REF!</v>
      </c>
      <c r="G12" s="62" t="e">
        <f>#REF!/#REF!</f>
        <v>#REF!</v>
      </c>
      <c r="H12" s="62" t="e">
        <f>#REF!/#REF!</f>
        <v>#REF!</v>
      </c>
      <c r="I12" s="67">
        <v>2.5</v>
      </c>
      <c r="J12" s="92">
        <v>5.86</v>
      </c>
      <c r="K12" s="20">
        <v>40.9</v>
      </c>
    </row>
    <row r="13" spans="1:12" ht="15.5" x14ac:dyDescent="0.35">
      <c r="A13" s="61">
        <v>2009</v>
      </c>
      <c r="B13" s="61" t="s">
        <v>716</v>
      </c>
      <c r="C13" s="62" t="e">
        <f>#REF!/#REF!</f>
        <v>#REF!</v>
      </c>
      <c r="D13" s="62" t="e">
        <f>#REF!/#REF!</f>
        <v>#REF!</v>
      </c>
      <c r="E13" s="62" t="e">
        <f>#REF!/#REF!</f>
        <v>#REF!</v>
      </c>
      <c r="F13" s="62" t="e">
        <f>#REF!/#REF!</f>
        <v>#REF!</v>
      </c>
      <c r="G13" s="62" t="e">
        <f>#REF!/#REF!</f>
        <v>#REF!</v>
      </c>
      <c r="H13" s="62" t="e">
        <f>#REF!/#REF!</f>
        <v>#REF!</v>
      </c>
      <c r="I13" s="67">
        <v>-2.29</v>
      </c>
      <c r="J13" s="92">
        <v>1.07</v>
      </c>
      <c r="K13" s="20">
        <v>38.370000000000005</v>
      </c>
    </row>
    <row r="14" spans="1:12" ht="15.5" x14ac:dyDescent="0.35">
      <c r="A14" s="61">
        <v>2009</v>
      </c>
      <c r="B14" s="61" t="s">
        <v>708</v>
      </c>
      <c r="C14" s="62" t="e">
        <f>#REF!/#REF!</f>
        <v>#REF!</v>
      </c>
      <c r="D14" s="62" t="e">
        <f>#REF!/#REF!</f>
        <v>#REF!</v>
      </c>
      <c r="E14" s="62" t="e">
        <f>#REF!/#REF!</f>
        <v>#REF!</v>
      </c>
      <c r="F14" s="62" t="e">
        <f>#REF!/#REF!</f>
        <v>#REF!</v>
      </c>
      <c r="G14" s="62" t="e">
        <f>#REF!/#REF!</f>
        <v>#REF!</v>
      </c>
      <c r="H14" s="62" t="e">
        <f>#REF!/#REF!</f>
        <v>#REF!</v>
      </c>
      <c r="I14" s="67">
        <v>-0.9</v>
      </c>
      <c r="J14" s="92">
        <v>2.46</v>
      </c>
      <c r="K14" s="20">
        <v>39.6</v>
      </c>
    </row>
    <row r="15" spans="1:12" ht="15.5" x14ac:dyDescent="0.35">
      <c r="A15" s="61">
        <v>2009</v>
      </c>
      <c r="B15" s="61" t="s">
        <v>823</v>
      </c>
      <c r="C15" s="62" t="e">
        <f>#REF!/#REF!</f>
        <v>#REF!</v>
      </c>
      <c r="D15" s="62" t="e">
        <f>#REF!/#REF!</f>
        <v>#REF!</v>
      </c>
      <c r="E15" s="62" t="e">
        <f>#REF!/#REF!</f>
        <v>#REF!</v>
      </c>
      <c r="F15" s="62" t="e">
        <f>#REF!/#REF!</f>
        <v>#REF!</v>
      </c>
      <c r="G15" s="62" t="e">
        <f>#REF!/#REF!</f>
        <v>#REF!</v>
      </c>
      <c r="H15" s="62" t="e">
        <f>#REF!/#REF!</f>
        <v>#REF!</v>
      </c>
      <c r="I15" s="67">
        <v>-4.9999999999999822E-2</v>
      </c>
      <c r="J15" s="92">
        <v>3.31</v>
      </c>
      <c r="K15" s="20">
        <v>36.5</v>
      </c>
    </row>
    <row r="16" spans="1:12" ht="15.5" x14ac:dyDescent="0.35">
      <c r="A16" s="61">
        <v>2009</v>
      </c>
      <c r="B16" s="61" t="s">
        <v>820</v>
      </c>
      <c r="C16" s="62" t="e">
        <f>#REF!/#REF!</f>
        <v>#REF!</v>
      </c>
      <c r="D16" s="62" t="e">
        <f>#REF!/#REF!</f>
        <v>#REF!</v>
      </c>
      <c r="E16" s="62" t="e">
        <f>#REF!/#REF!</f>
        <v>#REF!</v>
      </c>
      <c r="F16" s="62" t="e">
        <f>#REF!/#REF!</f>
        <v>#REF!</v>
      </c>
      <c r="G16" s="62" t="e">
        <f>#REF!/#REF!</f>
        <v>#REF!</v>
      </c>
      <c r="H16" s="62" t="e">
        <f>#REF!/#REF!</f>
        <v>#REF!</v>
      </c>
      <c r="I16" s="67">
        <v>2.35</v>
      </c>
      <c r="J16" s="92">
        <v>5.71</v>
      </c>
      <c r="K16" s="20">
        <v>41.080000000000005</v>
      </c>
    </row>
    <row r="17" spans="1:11" ht="15.5" x14ac:dyDescent="0.35">
      <c r="A17" s="61">
        <v>2009</v>
      </c>
      <c r="B17" s="61" t="s">
        <v>761</v>
      </c>
      <c r="C17" s="62" t="e">
        <f>#REF!/#REF!</f>
        <v>#REF!</v>
      </c>
      <c r="D17" s="62" t="e">
        <f>#REF!/#REF!</f>
        <v>#REF!</v>
      </c>
      <c r="E17" s="62" t="e">
        <f>#REF!/#REF!</f>
        <v>#REF!</v>
      </c>
      <c r="F17" s="62" t="e">
        <f>#REF!/#REF!</f>
        <v>#REF!</v>
      </c>
      <c r="G17" s="62" t="e">
        <f>#REF!/#REF!</f>
        <v>#REF!</v>
      </c>
      <c r="H17" s="62" t="e">
        <f>#REF!/#REF!</f>
        <v>#REF!</v>
      </c>
      <c r="I17" s="67">
        <v>1.07</v>
      </c>
      <c r="J17" s="92">
        <v>4.43</v>
      </c>
      <c r="K17" s="20">
        <v>43.080000000000005</v>
      </c>
    </row>
    <row r="18" spans="1:11" ht="15.5" x14ac:dyDescent="0.35">
      <c r="A18" s="61">
        <v>2009</v>
      </c>
      <c r="B18" s="61" t="s">
        <v>821</v>
      </c>
      <c r="C18" s="62" t="e">
        <f>#REF!/#REF!</f>
        <v>#REF!</v>
      </c>
      <c r="D18" s="62" t="e">
        <f>#REF!/#REF!</f>
        <v>#REF!</v>
      </c>
      <c r="E18" s="62" t="e">
        <f>#REF!/#REF!</f>
        <v>#REF!</v>
      </c>
      <c r="F18" s="62" t="e">
        <f>#REF!/#REF!</f>
        <v>#REF!</v>
      </c>
      <c r="G18" s="62" t="e">
        <f>#REF!/#REF!</f>
        <v>#REF!</v>
      </c>
      <c r="H18" s="62" t="e">
        <f>#REF!/#REF!</f>
        <v>#REF!</v>
      </c>
      <c r="I18" s="67">
        <v>3.43</v>
      </c>
      <c r="J18" s="92">
        <v>6.79</v>
      </c>
      <c r="K18" s="20">
        <v>46.9</v>
      </c>
    </row>
    <row r="19" spans="1:11" ht="15.5" x14ac:dyDescent="0.35">
      <c r="A19" s="61">
        <v>2010</v>
      </c>
      <c r="B19" s="61" t="s">
        <v>822</v>
      </c>
      <c r="C19" s="62" t="e">
        <f>#REF!/#REF!</f>
        <v>#REF!</v>
      </c>
      <c r="D19" s="62" t="e">
        <f>#REF!/#REF!</f>
        <v>#REF!</v>
      </c>
      <c r="E19" s="62" t="e">
        <f>#REF!/#REF!</f>
        <v>#REF!</v>
      </c>
      <c r="F19" s="62" t="e">
        <f>#REF!/#REF!</f>
        <v>#REF!</v>
      </c>
      <c r="G19" s="62" t="e">
        <f>#REF!/#REF!</f>
        <v>#REF!</v>
      </c>
      <c r="H19" s="62" t="e">
        <f>#REF!/#REF!</f>
        <v>#REF!</v>
      </c>
      <c r="I19" s="67">
        <v>-1.8</v>
      </c>
      <c r="J19" s="92">
        <v>1.56</v>
      </c>
      <c r="K19" s="20">
        <v>45.78</v>
      </c>
    </row>
    <row r="20" spans="1:11" ht="15.5" x14ac:dyDescent="0.35">
      <c r="A20" s="61">
        <v>2010</v>
      </c>
      <c r="B20" s="61" t="s">
        <v>772</v>
      </c>
      <c r="C20" s="62" t="e">
        <f>#REF!/#REF!</f>
        <v>#REF!</v>
      </c>
      <c r="D20" s="62" t="e">
        <f>#REF!/#REF!</f>
        <v>#REF!</v>
      </c>
      <c r="E20" s="62" t="e">
        <f>#REF!/#REF!</f>
        <v>#REF!</v>
      </c>
      <c r="F20" s="62" t="e">
        <f>#REF!/#REF!</f>
        <v>#REF!</v>
      </c>
      <c r="G20" s="62" t="e">
        <f>#REF!/#REF!</f>
        <v>#REF!</v>
      </c>
      <c r="H20" s="62" t="e">
        <f>#REF!/#REF!</f>
        <v>#REF!</v>
      </c>
      <c r="I20" s="67">
        <v>-0.64</v>
      </c>
      <c r="J20" s="92">
        <v>2.12</v>
      </c>
      <c r="K20" s="20">
        <v>47.55</v>
      </c>
    </row>
    <row r="21" spans="1:11" ht="15.5" x14ac:dyDescent="0.35">
      <c r="A21" s="61">
        <v>2010</v>
      </c>
      <c r="B21" s="61" t="s">
        <v>773</v>
      </c>
      <c r="C21" s="62" t="e">
        <f>#REF!/#REF!</f>
        <v>#REF!</v>
      </c>
      <c r="D21" s="62" t="e">
        <f>#REF!/#REF!</f>
        <v>#REF!</v>
      </c>
      <c r="E21" s="62" t="e">
        <f>#REF!/#REF!</f>
        <v>#REF!</v>
      </c>
      <c r="F21" s="62" t="e">
        <f>#REF!/#REF!</f>
        <v>#REF!</v>
      </c>
      <c r="G21" s="62" t="e">
        <f>#REF!/#REF!</f>
        <v>#REF!</v>
      </c>
      <c r="H21" s="62" t="e">
        <f>#REF!/#REF!</f>
        <v>#REF!</v>
      </c>
      <c r="I21" s="67">
        <v>0.19</v>
      </c>
      <c r="J21" s="92">
        <v>3.55</v>
      </c>
      <c r="K21" s="20">
        <v>49.129999999999995</v>
      </c>
    </row>
    <row r="22" spans="1:11" ht="15.5" x14ac:dyDescent="0.35">
      <c r="A22" s="61">
        <v>2010</v>
      </c>
      <c r="B22" s="61" t="s">
        <v>774</v>
      </c>
      <c r="C22" s="62" t="e">
        <f>#REF!/#REF!</f>
        <v>#REF!</v>
      </c>
      <c r="D22" s="62" t="e">
        <f>#REF!/#REF!</f>
        <v>#REF!</v>
      </c>
      <c r="E22" s="62" t="e">
        <f>#REF!/#REF!</f>
        <v>#REF!</v>
      </c>
      <c r="F22" s="62" t="e">
        <f>#REF!/#REF!</f>
        <v>#REF!</v>
      </c>
      <c r="G22" s="62" t="e">
        <f>#REF!/#REF!</f>
        <v>#REF!</v>
      </c>
      <c r="H22" s="62" t="e">
        <f>#REF!/#REF!</f>
        <v>#REF!</v>
      </c>
      <c r="I22" s="67">
        <v>-1.86</v>
      </c>
      <c r="J22" s="92">
        <v>1.5</v>
      </c>
      <c r="K22" s="20">
        <v>46.41</v>
      </c>
    </row>
    <row r="23" spans="1:11" ht="15.5" x14ac:dyDescent="0.35">
      <c r="A23" s="61">
        <v>2010</v>
      </c>
      <c r="B23" s="61" t="s">
        <v>715</v>
      </c>
      <c r="C23" s="62" t="e">
        <f>#REF!/#REF!</f>
        <v>#REF!</v>
      </c>
      <c r="D23" s="62" t="e">
        <f>#REF!/#REF!</f>
        <v>#REF!</v>
      </c>
      <c r="E23" s="62" t="e">
        <f>#REF!/#REF!</f>
        <v>#REF!</v>
      </c>
      <c r="F23" s="62" t="e">
        <f>#REF!/#REF!</f>
        <v>#REF!</v>
      </c>
      <c r="G23" s="62" t="e">
        <f>#REF!/#REF!</f>
        <v>#REF!</v>
      </c>
      <c r="H23" s="62" t="e">
        <f>#REF!/#REF!</f>
        <v>#REF!</v>
      </c>
      <c r="I23" s="67">
        <v>-0.96</v>
      </c>
      <c r="J23" s="92">
        <v>2.4</v>
      </c>
      <c r="K23" s="20">
        <v>40.759999999999991</v>
      </c>
    </row>
    <row r="24" spans="1:11" ht="15.5" x14ac:dyDescent="0.35">
      <c r="A24" s="61">
        <v>2010</v>
      </c>
      <c r="B24" s="61" t="s">
        <v>824</v>
      </c>
      <c r="C24" s="62" t="e">
        <f>#REF!/#REF!</f>
        <v>#REF!</v>
      </c>
      <c r="D24" s="62" t="e">
        <f>#REF!/#REF!</f>
        <v>#REF!</v>
      </c>
      <c r="E24" s="62" t="e">
        <f>#REF!/#REF!</f>
        <v>#REF!</v>
      </c>
      <c r="F24" s="62" t="e">
        <f>#REF!/#REF!</f>
        <v>#REF!</v>
      </c>
      <c r="G24" s="62" t="e">
        <f>#REF!/#REF!</f>
        <v>#REF!</v>
      </c>
      <c r="H24" s="62" t="e">
        <f>#REF!/#REF!</f>
        <v>#REF!</v>
      </c>
      <c r="I24" s="67">
        <v>-1.49</v>
      </c>
      <c r="J24" s="92">
        <v>1.87</v>
      </c>
      <c r="K24" s="20">
        <v>36.769999999999996</v>
      </c>
    </row>
    <row r="25" spans="1:11" ht="15.5" x14ac:dyDescent="0.35">
      <c r="A25" s="61">
        <v>2010</v>
      </c>
      <c r="B25" s="61" t="s">
        <v>825</v>
      </c>
      <c r="C25" s="62" t="e">
        <f>#REF!/#REF!</f>
        <v>#REF!</v>
      </c>
      <c r="D25" s="62" t="e">
        <f>#REF!/#REF!</f>
        <v>#REF!</v>
      </c>
      <c r="E25" s="62" t="e">
        <f>#REF!/#REF!</f>
        <v>#REF!</v>
      </c>
      <c r="F25" s="62" t="e">
        <f>#REF!/#REF!</f>
        <v>#REF!</v>
      </c>
      <c r="G25" s="62" t="e">
        <f>#REF!/#REF!</f>
        <v>#REF!</v>
      </c>
      <c r="H25" s="62" t="e">
        <f>#REF!/#REF!</f>
        <v>#REF!</v>
      </c>
      <c r="I25" s="67">
        <v>1.8</v>
      </c>
      <c r="J25" s="92">
        <v>5.17</v>
      </c>
      <c r="K25" s="20">
        <v>40.869999999999997</v>
      </c>
    </row>
    <row r="26" spans="1:11" ht="15.5" x14ac:dyDescent="0.35">
      <c r="A26" s="61">
        <v>2010</v>
      </c>
      <c r="B26" s="61" t="s">
        <v>826</v>
      </c>
      <c r="C26" s="62" t="e">
        <f>#REF!/#REF!</f>
        <v>#REF!</v>
      </c>
      <c r="D26" s="62" t="e">
        <f>#REF!/#REF!</f>
        <v>#REF!</v>
      </c>
      <c r="E26" s="62" t="e">
        <f>#REF!/#REF!</f>
        <v>#REF!</v>
      </c>
      <c r="F26" s="62" t="e">
        <f>#REF!/#REF!</f>
        <v>#REF!</v>
      </c>
      <c r="G26" s="62" t="e">
        <f>#REF!/#REF!</f>
        <v>#REF!</v>
      </c>
      <c r="H26" s="62" t="e">
        <f>#REF!/#REF!</f>
        <v>#REF!</v>
      </c>
      <c r="I26" s="67">
        <v>1.8</v>
      </c>
      <c r="J26" s="92">
        <v>2.59</v>
      </c>
      <c r="K26" s="20">
        <v>41</v>
      </c>
    </row>
    <row r="27" spans="1:11" ht="15.5" x14ac:dyDescent="0.35">
      <c r="A27" s="61">
        <v>2010</v>
      </c>
      <c r="B27" s="61" t="s">
        <v>827</v>
      </c>
      <c r="C27" s="62" t="e">
        <f>#REF!/#REF!</f>
        <v>#REF!</v>
      </c>
      <c r="D27" s="62" t="e">
        <f>#REF!/#REF!</f>
        <v>#REF!</v>
      </c>
      <c r="E27" s="62" t="e">
        <f>#REF!/#REF!</f>
        <v>#REF!</v>
      </c>
      <c r="F27" s="62" t="e">
        <f>#REF!/#REF!</f>
        <v>#REF!</v>
      </c>
      <c r="G27" s="62" t="e">
        <f>#REF!/#REF!</f>
        <v>#REF!</v>
      </c>
      <c r="H27" s="62" t="e">
        <f>#REF!/#REF!</f>
        <v>#REF!</v>
      </c>
      <c r="I27" s="67">
        <v>2.7</v>
      </c>
      <c r="J27" s="92">
        <v>6.02</v>
      </c>
      <c r="K27" s="20">
        <v>43.709999999999994</v>
      </c>
    </row>
    <row r="28" spans="1:11" ht="15.5" x14ac:dyDescent="0.35">
      <c r="A28" s="61">
        <v>2010</v>
      </c>
      <c r="B28" s="61" t="s">
        <v>820</v>
      </c>
      <c r="C28" s="62" t="e">
        <f>#REF!/#REF!</f>
        <v>#REF!</v>
      </c>
      <c r="D28" s="62" t="e">
        <f>#REF!/#REF!</f>
        <v>#REF!</v>
      </c>
      <c r="E28" s="62" t="e">
        <f>#REF!/#REF!</f>
        <v>#REF!</v>
      </c>
      <c r="F28" s="62" t="e">
        <f>#REF!/#REF!</f>
        <v>#REF!</v>
      </c>
      <c r="G28" s="62" t="e">
        <f>#REF!/#REF!</f>
        <v>#REF!</v>
      </c>
      <c r="H28" s="62" t="e">
        <f>#REF!/#REF!</f>
        <v>#REF!</v>
      </c>
      <c r="I28" s="67">
        <v>-1.3</v>
      </c>
      <c r="J28" s="92">
        <v>3.4</v>
      </c>
      <c r="K28" s="20">
        <v>41.4</v>
      </c>
    </row>
    <row r="29" spans="1:11" ht="15.5" x14ac:dyDescent="0.35">
      <c r="A29" s="61">
        <v>2010</v>
      </c>
      <c r="B29" s="61" t="s">
        <v>761</v>
      </c>
      <c r="C29" s="62" t="e">
        <f>#REF!/#REF!</f>
        <v>#REF!</v>
      </c>
      <c r="D29" s="62" t="e">
        <f>#REF!/#REF!</f>
        <v>#REF!</v>
      </c>
      <c r="E29" s="62" t="e">
        <f>#REF!/#REF!</f>
        <v>#REF!</v>
      </c>
      <c r="F29" s="62" t="e">
        <f>#REF!/#REF!</f>
        <v>#REF!</v>
      </c>
      <c r="G29" s="62" t="e">
        <f>#REF!/#REF!</f>
        <v>#REF!</v>
      </c>
      <c r="H29" s="62" t="e">
        <f>#REF!/#REF!</f>
        <v>#REF!</v>
      </c>
      <c r="I29" s="67">
        <v>-0.9</v>
      </c>
      <c r="J29" s="92">
        <v>2.2200000000000002</v>
      </c>
      <c r="K29" s="20">
        <v>39.19</v>
      </c>
    </row>
    <row r="30" spans="1:11" ht="15.5" x14ac:dyDescent="0.35">
      <c r="A30" s="61">
        <v>2010</v>
      </c>
      <c r="B30" s="61" t="s">
        <v>821</v>
      </c>
      <c r="C30" s="62" t="e">
        <f>#REF!/#REF!</f>
        <v>#REF!</v>
      </c>
      <c r="D30" s="62" t="e">
        <f>#REF!/#REF!</f>
        <v>#REF!</v>
      </c>
      <c r="E30" s="62" t="e">
        <f>#REF!/#REF!</f>
        <v>#REF!</v>
      </c>
      <c r="F30" s="62" t="e">
        <f>#REF!/#REF!</f>
        <v>#REF!</v>
      </c>
      <c r="G30" s="62" t="e">
        <f>#REF!/#REF!</f>
        <v>#REF!</v>
      </c>
      <c r="H30" s="62" t="e">
        <f>#REF!/#REF!</f>
        <v>#REF!</v>
      </c>
      <c r="I30" s="67">
        <v>-1</v>
      </c>
      <c r="J30" s="92">
        <v>1.78</v>
      </c>
      <c r="K30" s="20">
        <v>34.18</v>
      </c>
    </row>
    <row r="31" spans="1:11" ht="15.5" x14ac:dyDescent="0.35">
      <c r="A31" s="61">
        <v>2011</v>
      </c>
      <c r="B31" s="61" t="s">
        <v>822</v>
      </c>
      <c r="C31" s="62" t="e">
        <f>#REF!/#REF!</f>
        <v>#REF!</v>
      </c>
      <c r="D31" s="62" t="e">
        <f>#REF!/#REF!</f>
        <v>#REF!</v>
      </c>
      <c r="E31" s="62" t="e">
        <f>#REF!/#REF!</f>
        <v>#REF!</v>
      </c>
      <c r="F31" s="62" t="e">
        <f>#REF!/#REF!</f>
        <v>#REF!</v>
      </c>
      <c r="G31" s="62" t="e">
        <f>#REF!/#REF!</f>
        <v>#REF!</v>
      </c>
      <c r="H31" s="62" t="e">
        <f>#REF!/#REF!</f>
        <v>#REF!</v>
      </c>
      <c r="I31" s="67">
        <v>-1.6</v>
      </c>
      <c r="J31" s="92">
        <v>2.25</v>
      </c>
      <c r="K31" s="20">
        <v>34.869999999999997</v>
      </c>
    </row>
    <row r="32" spans="1:11" ht="15.5" x14ac:dyDescent="0.35">
      <c r="A32" s="61">
        <v>2011</v>
      </c>
      <c r="B32" s="61" t="s">
        <v>772</v>
      </c>
      <c r="C32" s="62" t="e">
        <f>#REF!/#REF!</f>
        <v>#REF!</v>
      </c>
      <c r="D32" s="62" t="e">
        <f>#REF!/#REF!</f>
        <v>#REF!</v>
      </c>
      <c r="E32" s="62" t="e">
        <f>#REF!/#REF!</f>
        <v>#REF!</v>
      </c>
      <c r="F32" s="62" t="e">
        <f>#REF!/#REF!</f>
        <v>#REF!</v>
      </c>
      <c r="G32" s="62" t="e">
        <f>#REF!/#REF!</f>
        <v>#REF!</v>
      </c>
      <c r="H32" s="62" t="e">
        <f>#REF!/#REF!</f>
        <v>#REF!</v>
      </c>
      <c r="I32" s="67">
        <v>-0.5</v>
      </c>
      <c r="J32" s="92">
        <v>2.12</v>
      </c>
      <c r="K32" s="20">
        <v>34.869999999999997</v>
      </c>
    </row>
    <row r="33" spans="1:11" ht="15.5" x14ac:dyDescent="0.35">
      <c r="A33" s="61">
        <v>2011</v>
      </c>
      <c r="B33" s="61" t="s">
        <v>773</v>
      </c>
      <c r="C33" s="62" t="e">
        <f>#REF!/#REF!</f>
        <v>#REF!</v>
      </c>
      <c r="D33" s="62" t="e">
        <f>#REF!/#REF!</f>
        <v>#REF!</v>
      </c>
      <c r="E33" s="62" t="e">
        <f>#REF!/#REF!</f>
        <v>#REF!</v>
      </c>
      <c r="F33" s="62" t="e">
        <f>#REF!/#REF!</f>
        <v>#REF!</v>
      </c>
      <c r="G33" s="62" t="e">
        <f>#REF!/#REF!</f>
        <v>#REF!</v>
      </c>
      <c r="H33" s="62" t="e">
        <f>#REF!/#REF!</f>
        <v>#REF!</v>
      </c>
      <c r="I33" s="67">
        <v>0.8</v>
      </c>
      <c r="J33" s="92">
        <v>4.4000000000000004</v>
      </c>
      <c r="K33" s="20">
        <v>35.72</v>
      </c>
    </row>
    <row r="34" spans="1:11" ht="15.5" x14ac:dyDescent="0.35">
      <c r="A34" s="61">
        <v>2011</v>
      </c>
      <c r="B34" s="61" t="s">
        <v>774</v>
      </c>
      <c r="C34" s="62" t="e">
        <f>#REF!/#REF!</f>
        <v>#REF!</v>
      </c>
      <c r="D34" s="62" t="e">
        <f>#REF!/#REF!</f>
        <v>#REF!</v>
      </c>
      <c r="E34" s="62" t="e">
        <f>#REF!/#REF!</f>
        <v>#REF!</v>
      </c>
      <c r="F34" s="62" t="e">
        <f>#REF!/#REF!</f>
        <v>#REF!</v>
      </c>
      <c r="G34" s="62" t="e">
        <f>#REF!/#REF!</f>
        <v>#REF!</v>
      </c>
      <c r="H34" s="62" t="e">
        <f>#REF!/#REF!</f>
        <v>#REF!</v>
      </c>
      <c r="I34" s="67">
        <v>0.8</v>
      </c>
      <c r="J34" s="92">
        <v>3.2</v>
      </c>
      <c r="K34" s="20">
        <v>37.42</v>
      </c>
    </row>
    <row r="35" spans="1:11" ht="15.5" x14ac:dyDescent="0.35">
      <c r="A35" s="61">
        <v>2011</v>
      </c>
      <c r="B35" s="61" t="s">
        <v>715</v>
      </c>
      <c r="C35" s="62" t="e">
        <f>#REF!/#REF!</f>
        <v>#REF!</v>
      </c>
      <c r="D35" s="62" t="e">
        <f>#REF!/#REF!</f>
        <v>#REF!</v>
      </c>
      <c r="E35" s="62" t="e">
        <f>#REF!/#REF!</f>
        <v>#REF!</v>
      </c>
      <c r="F35" s="62" t="e">
        <f>#REF!/#REF!</f>
        <v>#REF!</v>
      </c>
      <c r="G35" s="62" t="e">
        <f>#REF!/#REF!</f>
        <v>#REF!</v>
      </c>
      <c r="H35" s="62" t="e">
        <f>#REF!/#REF!</f>
        <v>#REF!</v>
      </c>
      <c r="I35" s="67">
        <v>0</v>
      </c>
      <c r="J35" s="92">
        <v>1.7</v>
      </c>
      <c r="K35" s="20">
        <v>36.720000000000006</v>
      </c>
    </row>
    <row r="36" spans="1:11" ht="15.5" x14ac:dyDescent="0.35">
      <c r="A36" s="61">
        <v>2011</v>
      </c>
      <c r="B36" s="61" t="s">
        <v>718</v>
      </c>
      <c r="C36" s="62" t="e">
        <f>#REF!/#REF!</f>
        <v>#REF!</v>
      </c>
      <c r="D36" s="62" t="e">
        <f>#REF!/#REF!</f>
        <v>#REF!</v>
      </c>
      <c r="E36" s="62" t="e">
        <f>#REF!/#REF!</f>
        <v>#REF!</v>
      </c>
      <c r="F36" s="62" t="e">
        <f>#REF!/#REF!</f>
        <v>#REF!</v>
      </c>
      <c r="G36" s="62" t="e">
        <f>#REF!/#REF!</f>
        <v>#REF!</v>
      </c>
      <c r="H36" s="62" t="e">
        <f>#REF!/#REF!</f>
        <v>#REF!</v>
      </c>
      <c r="I36" s="67">
        <v>-1.4</v>
      </c>
      <c r="J36" s="92">
        <v>1.68</v>
      </c>
      <c r="K36" s="20">
        <v>36.530000000000008</v>
      </c>
    </row>
    <row r="37" spans="1:11" ht="15.5" x14ac:dyDescent="0.35">
      <c r="A37" s="61">
        <v>2011</v>
      </c>
      <c r="B37" s="61" t="s">
        <v>716</v>
      </c>
      <c r="C37" s="62" t="e">
        <f>#REF!/#REF!</f>
        <v>#REF!</v>
      </c>
      <c r="D37" s="62" t="e">
        <f>#REF!/#REF!</f>
        <v>#REF!</v>
      </c>
      <c r="E37" s="62" t="e">
        <f>#REF!/#REF!</f>
        <v>#REF!</v>
      </c>
      <c r="F37" s="62" t="e">
        <f>#REF!/#REF!</f>
        <v>#REF!</v>
      </c>
      <c r="G37" s="62" t="e">
        <f>#REF!/#REF!</f>
        <v>#REF!</v>
      </c>
      <c r="H37" s="62" t="e">
        <f>#REF!/#REF!</f>
        <v>#REF!</v>
      </c>
      <c r="I37" s="67">
        <v>-2.4</v>
      </c>
      <c r="J37" s="92">
        <v>3.03</v>
      </c>
      <c r="K37" s="20">
        <v>34.39</v>
      </c>
    </row>
    <row r="38" spans="1:11" ht="15.5" x14ac:dyDescent="0.35">
      <c r="A38" s="61">
        <v>2011</v>
      </c>
      <c r="B38" s="61" t="s">
        <v>708</v>
      </c>
      <c r="C38" s="62" t="e">
        <f>#REF!/#REF!</f>
        <v>#REF!</v>
      </c>
      <c r="D38" s="62" t="e">
        <f>#REF!/#REF!</f>
        <v>#REF!</v>
      </c>
      <c r="E38" s="62" t="e">
        <f>#REF!/#REF!</f>
        <v>#REF!</v>
      </c>
      <c r="F38" s="62" t="e">
        <f>#REF!/#REF!</f>
        <v>#REF!</v>
      </c>
      <c r="G38" s="62" t="e">
        <f>#REF!/#REF!</f>
        <v>#REF!</v>
      </c>
      <c r="H38" s="62" t="e">
        <f>#REF!/#REF!</f>
        <v>#REF!</v>
      </c>
      <c r="I38" s="67">
        <v>-2.2000000000000002</v>
      </c>
      <c r="J38" s="92">
        <v>8.92</v>
      </c>
      <c r="K38" s="20">
        <v>40.72</v>
      </c>
    </row>
    <row r="39" spans="1:11" ht="15.5" x14ac:dyDescent="0.35">
      <c r="A39" s="61">
        <v>2011</v>
      </c>
      <c r="B39" s="61" t="s">
        <v>709</v>
      </c>
      <c r="C39" s="62" t="e">
        <f>#REF!/#REF!</f>
        <v>#REF!</v>
      </c>
      <c r="D39" s="62" t="e">
        <f>#REF!/#REF!</f>
        <v>#REF!</v>
      </c>
      <c r="E39" s="62" t="e">
        <f>#REF!/#REF!</f>
        <v>#REF!</v>
      </c>
      <c r="F39" s="62" t="e">
        <f>#REF!/#REF!</f>
        <v>#REF!</v>
      </c>
      <c r="G39" s="62" t="e">
        <f>#REF!/#REF!</f>
        <v>#REF!</v>
      </c>
      <c r="H39" s="62" t="e">
        <f>#REF!/#REF!</f>
        <v>#REF!</v>
      </c>
      <c r="I39" s="67">
        <v>0</v>
      </c>
      <c r="J39" s="92">
        <v>8.84</v>
      </c>
      <c r="K39" s="20">
        <v>43.540000000000006</v>
      </c>
    </row>
    <row r="40" spans="1:11" ht="15.5" x14ac:dyDescent="0.35">
      <c r="A40" s="61">
        <v>2011</v>
      </c>
      <c r="B40" s="61" t="s">
        <v>710</v>
      </c>
      <c r="C40" s="62" t="e">
        <f>#REF!/#REF!</f>
        <v>#REF!</v>
      </c>
      <c r="D40" s="62" t="e">
        <f>#REF!/#REF!</f>
        <v>#REF!</v>
      </c>
      <c r="E40" s="62" t="e">
        <f>#REF!/#REF!</f>
        <v>#REF!</v>
      </c>
      <c r="F40" s="62" t="e">
        <f>#REF!/#REF!</f>
        <v>#REF!</v>
      </c>
      <c r="G40" s="62" t="e">
        <f>#REF!/#REF!</f>
        <v>#REF!</v>
      </c>
      <c r="H40" s="62" t="e">
        <f>#REF!/#REF!</f>
        <v>#REF!</v>
      </c>
      <c r="I40" s="67">
        <v>0.6</v>
      </c>
      <c r="J40" s="92">
        <v>3.91</v>
      </c>
      <c r="K40" s="20">
        <v>44.05</v>
      </c>
    </row>
    <row r="41" spans="1:11" ht="15.5" x14ac:dyDescent="0.35">
      <c r="A41" s="61">
        <v>2011</v>
      </c>
      <c r="B41" s="61" t="s">
        <v>711</v>
      </c>
      <c r="C41" s="62" t="e">
        <f>#REF!/#REF!</f>
        <v>#REF!</v>
      </c>
      <c r="D41" s="62" t="e">
        <f>#REF!/#REF!</f>
        <v>#REF!</v>
      </c>
      <c r="E41" s="62" t="e">
        <f>#REF!/#REF!</f>
        <v>#REF!</v>
      </c>
      <c r="F41" s="62" t="e">
        <f>#REF!/#REF!</f>
        <v>#REF!</v>
      </c>
      <c r="G41" s="62" t="e">
        <f>#REF!/#REF!</f>
        <v>#REF!</v>
      </c>
      <c r="H41" s="62" t="e">
        <f>#REF!/#REF!</f>
        <v>#REF!</v>
      </c>
      <c r="I41" s="87">
        <v>-0.2</v>
      </c>
      <c r="J41" s="92">
        <v>1.94</v>
      </c>
      <c r="K41" s="20">
        <v>43.769999999999996</v>
      </c>
    </row>
    <row r="42" spans="1:11" ht="15.5" x14ac:dyDescent="0.35">
      <c r="A42" s="61">
        <v>2011</v>
      </c>
      <c r="B42" s="61" t="s">
        <v>712</v>
      </c>
      <c r="C42" s="62" t="e">
        <f>#REF!/#REF!</f>
        <v>#REF!</v>
      </c>
      <c r="D42" s="62" t="e">
        <f>#REF!/#REF!</f>
        <v>#REF!</v>
      </c>
      <c r="E42" s="62" t="e">
        <f>#REF!/#REF!</f>
        <v>#REF!</v>
      </c>
      <c r="F42" s="62" t="e">
        <f>#REF!/#REF!</f>
        <v>#REF!</v>
      </c>
      <c r="G42" s="62" t="e">
        <f>#REF!/#REF!</f>
        <v>#REF!</v>
      </c>
      <c r="H42" s="62" t="e">
        <f>#REF!/#REF!</f>
        <v>#REF!</v>
      </c>
      <c r="I42" s="67">
        <v>0.6</v>
      </c>
      <c r="J42" s="92">
        <v>4.9000000000000004</v>
      </c>
      <c r="K42" s="20">
        <v>46.889999999999993</v>
      </c>
    </row>
    <row r="43" spans="1:11" ht="15.5" x14ac:dyDescent="0.35">
      <c r="A43" s="61">
        <v>2012</v>
      </c>
      <c r="B43" s="61" t="s">
        <v>719</v>
      </c>
      <c r="C43" s="62" t="e">
        <f>#REF!/#REF!</f>
        <v>#REF!</v>
      </c>
      <c r="D43" s="62" t="e">
        <f>#REF!/#REF!</f>
        <v>#REF!</v>
      </c>
      <c r="E43" s="62" t="e">
        <f>#REF!/#REF!</f>
        <v>#REF!</v>
      </c>
      <c r="F43" s="62" t="e">
        <f>#REF!/#REF!</f>
        <v>#REF!</v>
      </c>
      <c r="G43" s="62" t="e">
        <f>#REF!/#REF!</f>
        <v>#REF!</v>
      </c>
      <c r="H43" s="62" t="e">
        <f>#REF!/#REF!</f>
        <v>#REF!</v>
      </c>
      <c r="I43" s="87">
        <v>-1.2</v>
      </c>
      <c r="J43" s="92">
        <v>2.19</v>
      </c>
      <c r="K43" s="20">
        <v>46.829999999999991</v>
      </c>
    </row>
    <row r="44" spans="1:11" ht="15.5" x14ac:dyDescent="0.35">
      <c r="A44" s="61">
        <v>2012</v>
      </c>
      <c r="B44" s="61" t="s">
        <v>713</v>
      </c>
      <c r="C44" s="62" t="e">
        <f>#REF!/#REF!</f>
        <v>#REF!</v>
      </c>
      <c r="D44" s="62" t="e">
        <f>#REF!/#REF!</f>
        <v>#REF!</v>
      </c>
      <c r="E44" s="62" t="e">
        <f>#REF!/#REF!</f>
        <v>#REF!</v>
      </c>
      <c r="F44" s="62" t="e">
        <f>#REF!/#REF!</f>
        <v>#REF!</v>
      </c>
      <c r="G44" s="62" t="e">
        <f>#REF!/#REF!</f>
        <v>#REF!</v>
      </c>
      <c r="H44" s="62" t="e">
        <f>#REF!/#REF!</f>
        <v>#REF!</v>
      </c>
      <c r="I44" s="87">
        <v>0</v>
      </c>
      <c r="J44" s="92">
        <v>2.33</v>
      </c>
      <c r="K44" s="20">
        <v>47.039999999999992</v>
      </c>
    </row>
    <row r="45" spans="1:11" ht="15.5" x14ac:dyDescent="0.35">
      <c r="A45" s="61">
        <v>2012</v>
      </c>
      <c r="B45" s="61" t="s">
        <v>714</v>
      </c>
      <c r="C45" s="62" t="e">
        <f>#REF!/#REF!</f>
        <v>#REF!</v>
      </c>
      <c r="D45" s="62" t="e">
        <f>#REF!/#REF!</f>
        <v>#REF!</v>
      </c>
      <c r="E45" s="62" t="e">
        <f>#REF!/#REF!</f>
        <v>#REF!</v>
      </c>
      <c r="F45" s="62" t="e">
        <f>#REF!/#REF!</f>
        <v>#REF!</v>
      </c>
      <c r="G45" s="62" t="e">
        <f>#REF!/#REF!</f>
        <v>#REF!</v>
      </c>
      <c r="H45" s="62" t="e">
        <f>#REF!/#REF!</f>
        <v>#REF!</v>
      </c>
      <c r="I45" s="67">
        <v>0.5</v>
      </c>
      <c r="J45" s="92">
        <v>1.02</v>
      </c>
      <c r="K45" s="20">
        <v>43.66</v>
      </c>
    </row>
    <row r="46" spans="1:11" ht="15.5" x14ac:dyDescent="0.35">
      <c r="A46" s="61">
        <v>2012</v>
      </c>
      <c r="B46" s="61" t="s">
        <v>705</v>
      </c>
      <c r="C46" s="62" t="e">
        <f>#REF!/#REF!</f>
        <v>#REF!</v>
      </c>
      <c r="D46" s="62" t="e">
        <f>#REF!/#REF!</f>
        <v>#REF!</v>
      </c>
      <c r="E46" s="62" t="e">
        <f>#REF!/#REF!</f>
        <v>#REF!</v>
      </c>
      <c r="F46" s="62" t="e">
        <f>#REF!/#REF!</f>
        <v>#REF!</v>
      </c>
      <c r="G46" s="62" t="e">
        <f>#REF!/#REF!</f>
        <v>#REF!</v>
      </c>
      <c r="H46" s="62" t="e">
        <f>#REF!/#REF!</f>
        <v>#REF!</v>
      </c>
      <c r="I46" s="87">
        <v>-0.5</v>
      </c>
      <c r="J46" s="92">
        <v>1.92</v>
      </c>
      <c r="K46" s="20">
        <v>42.38</v>
      </c>
    </row>
    <row r="47" spans="1:11" ht="15.5" x14ac:dyDescent="0.35">
      <c r="A47" s="61">
        <v>2012</v>
      </c>
      <c r="B47" s="61" t="s">
        <v>715</v>
      </c>
      <c r="C47" s="62" t="e">
        <f>#REF!/#REF!</f>
        <v>#REF!</v>
      </c>
      <c r="D47" s="62" t="e">
        <f>#REF!/#REF!</f>
        <v>#REF!</v>
      </c>
      <c r="E47" s="62" t="e">
        <f>#REF!/#REF!</f>
        <v>#REF!</v>
      </c>
      <c r="F47" s="62" t="e">
        <f>#REF!/#REF!</f>
        <v>#REF!</v>
      </c>
      <c r="G47" s="62" t="e">
        <f>#REF!/#REF!</f>
        <v>#REF!</v>
      </c>
      <c r="H47" s="62" t="e">
        <f>#REF!/#REF!</f>
        <v>#REF!</v>
      </c>
      <c r="I47" s="67">
        <v>-1.1000000000000001</v>
      </c>
      <c r="J47" s="92">
        <v>3.28</v>
      </c>
      <c r="K47" s="20">
        <v>43.96</v>
      </c>
    </row>
    <row r="48" spans="1:11" ht="15.5" x14ac:dyDescent="0.35">
      <c r="A48" s="61">
        <v>2012</v>
      </c>
      <c r="B48" s="61" t="s">
        <v>718</v>
      </c>
      <c r="C48" s="62" t="e">
        <f>#REF!/#REF!</f>
        <v>#REF!</v>
      </c>
      <c r="D48" s="62" t="e">
        <f>#REF!/#REF!</f>
        <v>#REF!</v>
      </c>
      <c r="E48" s="62" t="e">
        <f>#REF!/#REF!</f>
        <v>#REF!</v>
      </c>
      <c r="F48" s="62" t="e">
        <f>#REF!/#REF!</f>
        <v>#REF!</v>
      </c>
      <c r="G48" s="62" t="e">
        <f>#REF!/#REF!</f>
        <v>#REF!</v>
      </c>
      <c r="H48" s="62" t="e">
        <f>#REF!/#REF!</f>
        <v>#REF!</v>
      </c>
      <c r="I48" s="87">
        <v>-2</v>
      </c>
      <c r="J48" s="92">
        <v>2.38</v>
      </c>
      <c r="K48" s="20">
        <v>44.660000000000004</v>
      </c>
    </row>
    <row r="49" spans="1:11" ht="15.5" x14ac:dyDescent="0.35">
      <c r="A49" s="61">
        <v>2012</v>
      </c>
      <c r="B49" s="61" t="s">
        <v>716</v>
      </c>
      <c r="C49" s="62" t="e">
        <f>#REF!/#REF!</f>
        <v>#REF!</v>
      </c>
      <c r="D49" s="62" t="e">
        <f>#REF!/#REF!</f>
        <v>#REF!</v>
      </c>
      <c r="E49" s="62" t="e">
        <f>#REF!/#REF!</f>
        <v>#REF!</v>
      </c>
      <c r="F49" s="62" t="e">
        <f>#REF!/#REF!</f>
        <v>#REF!</v>
      </c>
      <c r="G49" s="62" t="e">
        <f>#REF!/#REF!</f>
        <v>#REF!</v>
      </c>
      <c r="H49" s="62" t="e">
        <f>#REF!/#REF!</f>
        <v>#REF!</v>
      </c>
      <c r="I49" s="87">
        <v>-2.6</v>
      </c>
      <c r="J49" s="92">
        <v>2.81</v>
      </c>
      <c r="K49" s="20">
        <v>44.440000000000012</v>
      </c>
    </row>
    <row r="50" spans="1:11" ht="15.5" x14ac:dyDescent="0.35">
      <c r="A50" s="61">
        <v>2012</v>
      </c>
      <c r="B50" s="61" t="s">
        <v>708</v>
      </c>
      <c r="C50" s="62" t="e">
        <f>#REF!/#REF!</f>
        <v>#REF!</v>
      </c>
      <c r="D50" s="62" t="e">
        <f>#REF!/#REF!</f>
        <v>#REF!</v>
      </c>
      <c r="E50" s="62" t="e">
        <f>#REF!/#REF!</f>
        <v>#REF!</v>
      </c>
      <c r="F50" s="62" t="e">
        <f>#REF!/#REF!</f>
        <v>#REF!</v>
      </c>
      <c r="G50" s="62" t="e">
        <f>#REF!/#REF!</f>
        <v>#REF!</v>
      </c>
      <c r="H50" s="62" t="e">
        <f>#REF!/#REF!</f>
        <v>#REF!</v>
      </c>
      <c r="I50" s="87">
        <v>-4.0999999999999996</v>
      </c>
      <c r="J50" s="92">
        <v>2.78</v>
      </c>
      <c r="K50" s="20">
        <v>38.300000000000004</v>
      </c>
    </row>
    <row r="51" spans="1:11" ht="15.5" x14ac:dyDescent="0.35">
      <c r="A51" s="61">
        <v>2012</v>
      </c>
      <c r="B51" s="61" t="s">
        <v>709</v>
      </c>
      <c r="C51" s="62" t="e">
        <f>#REF!/#REF!</f>
        <v>#REF!</v>
      </c>
      <c r="D51" s="62" t="e">
        <f>#REF!/#REF!</f>
        <v>#REF!</v>
      </c>
      <c r="E51" s="62" t="e">
        <f>#REF!/#REF!</f>
        <v>#REF!</v>
      </c>
      <c r="F51" s="62" t="e">
        <f>#REF!/#REF!</f>
        <v>#REF!</v>
      </c>
      <c r="G51" s="62" t="e">
        <f>#REF!/#REF!</f>
        <v>#REF!</v>
      </c>
      <c r="H51" s="62" t="e">
        <f>#REF!/#REF!</f>
        <v>#REF!</v>
      </c>
      <c r="I51" s="87">
        <v>-3.5</v>
      </c>
      <c r="J51" s="92">
        <v>4.29</v>
      </c>
      <c r="K51" s="20">
        <v>33.75</v>
      </c>
    </row>
    <row r="52" spans="1:11" ht="15.5" x14ac:dyDescent="0.35">
      <c r="A52" s="61">
        <v>2012</v>
      </c>
      <c r="B52" s="61" t="s">
        <v>710</v>
      </c>
      <c r="C52" s="62" t="e">
        <f>#REF!/#REF!</f>
        <v>#REF!</v>
      </c>
      <c r="D52" s="62" t="e">
        <f>#REF!/#REF!</f>
        <v>#REF!</v>
      </c>
      <c r="E52" s="62" t="e">
        <f>#REF!/#REF!</f>
        <v>#REF!</v>
      </c>
      <c r="F52" s="62" t="e">
        <f>#REF!/#REF!</f>
        <v>#REF!</v>
      </c>
      <c r="G52" s="62" t="e">
        <f>#REF!/#REF!</f>
        <v>#REF!</v>
      </c>
      <c r="H52" s="62" t="e">
        <f>#REF!/#REF!</f>
        <v>#REF!</v>
      </c>
      <c r="I52" s="87">
        <v>-1</v>
      </c>
      <c r="J52" s="92">
        <v>5.82</v>
      </c>
      <c r="K52" s="20">
        <v>35.659999999999997</v>
      </c>
    </row>
    <row r="53" spans="1:11" ht="15.5" x14ac:dyDescent="0.35">
      <c r="A53" s="61">
        <v>2012</v>
      </c>
      <c r="B53" s="61" t="s">
        <v>711</v>
      </c>
      <c r="C53" s="62" t="e">
        <f>#REF!/#REF!</f>
        <v>#REF!</v>
      </c>
      <c r="D53" s="62" t="e">
        <f>#REF!/#REF!</f>
        <v>#REF!</v>
      </c>
      <c r="E53" s="62" t="e">
        <f>#REF!/#REF!</f>
        <v>#REF!</v>
      </c>
      <c r="F53" s="62" t="e">
        <f>#REF!/#REF!</f>
        <v>#REF!</v>
      </c>
      <c r="G53" s="62" t="e">
        <f>#REF!/#REF!</f>
        <v>#REF!</v>
      </c>
      <c r="H53" s="62" t="e">
        <f>#REF!/#REF!</f>
        <v>#REF!</v>
      </c>
      <c r="I53" s="87">
        <v>-1.2</v>
      </c>
      <c r="J53" s="92">
        <v>0.6</v>
      </c>
      <c r="K53" s="20">
        <v>34.32</v>
      </c>
    </row>
    <row r="54" spans="1:11" ht="15.5" x14ac:dyDescent="0.35">
      <c r="A54" s="61">
        <v>2012</v>
      </c>
      <c r="B54" s="61" t="s">
        <v>712</v>
      </c>
      <c r="C54" s="62" t="e">
        <f>#REF!/#REF!</f>
        <v>#REF!</v>
      </c>
      <c r="D54" s="62" t="e">
        <f>#REF!/#REF!</f>
        <v>#REF!</v>
      </c>
      <c r="E54" s="62" t="e">
        <f>#REF!/#REF!</f>
        <v>#REF!</v>
      </c>
      <c r="F54" s="62" t="e">
        <f>#REF!/#REF!</f>
        <v>#REF!</v>
      </c>
      <c r="G54" s="62" t="e">
        <f>#REF!/#REF!</f>
        <v>#REF!</v>
      </c>
      <c r="H54" s="62" t="e">
        <f>#REF!/#REF!</f>
        <v>#REF!</v>
      </c>
      <c r="I54" s="87">
        <v>-2.2000000000000002</v>
      </c>
      <c r="J54" s="92">
        <v>3.03</v>
      </c>
      <c r="K54" s="20">
        <v>32.449999999999996</v>
      </c>
    </row>
    <row r="55" spans="1:11" ht="15.5" x14ac:dyDescent="0.35">
      <c r="A55" s="61">
        <v>2013</v>
      </c>
      <c r="B55" s="61" t="s">
        <v>719</v>
      </c>
      <c r="C55" s="62" t="e">
        <f>#REF!/#REF!</f>
        <v>#REF!</v>
      </c>
      <c r="D55" s="62" t="e">
        <f>#REF!/#REF!</f>
        <v>#REF!</v>
      </c>
      <c r="E55" s="62" t="e">
        <f>#REF!/#REF!</f>
        <v>#REF!</v>
      </c>
      <c r="F55" s="62" t="e">
        <f>#REF!/#REF!</f>
        <v>#REF!</v>
      </c>
      <c r="G55" s="62" t="e">
        <f>#REF!/#REF!</f>
        <v>#REF!</v>
      </c>
      <c r="H55" s="62" t="e">
        <f>#REF!/#REF!</f>
        <v>#REF!</v>
      </c>
      <c r="I55" s="87">
        <v>-1.5</v>
      </c>
      <c r="J55" s="92">
        <v>2.5299999999999998</v>
      </c>
      <c r="K55" s="20">
        <v>32.79</v>
      </c>
    </row>
    <row r="56" spans="1:11" ht="15.5" x14ac:dyDescent="0.35">
      <c r="A56" s="61">
        <v>2013</v>
      </c>
      <c r="B56" s="61" t="s">
        <v>713</v>
      </c>
      <c r="C56" s="62" t="e">
        <f>#REF!/#REF!</f>
        <v>#REF!</v>
      </c>
      <c r="D56" s="62" t="e">
        <f>#REF!/#REF!</f>
        <v>#REF!</v>
      </c>
      <c r="E56" s="62" t="e">
        <f>#REF!/#REF!</f>
        <v>#REF!</v>
      </c>
      <c r="F56" s="62" t="e">
        <f>#REF!/#REF!</f>
        <v>#REF!</v>
      </c>
      <c r="G56" s="62" t="e">
        <f>#REF!/#REF!</f>
        <v>#REF!</v>
      </c>
      <c r="H56" s="62" t="e">
        <f>#REF!/#REF!</f>
        <v>#REF!</v>
      </c>
      <c r="I56" s="87">
        <v>-1</v>
      </c>
      <c r="J56" s="92">
        <v>1.67</v>
      </c>
      <c r="K56" s="20">
        <v>32.130000000000003</v>
      </c>
    </row>
    <row r="57" spans="1:11" ht="15.5" x14ac:dyDescent="0.35">
      <c r="A57" s="61">
        <v>2013</v>
      </c>
      <c r="B57" s="61" t="s">
        <v>714</v>
      </c>
      <c r="C57" s="62" t="e">
        <f>#REF!/#REF!</f>
        <v>#REF!</v>
      </c>
      <c r="D57" s="62" t="e">
        <f>#REF!/#REF!</f>
        <v>#REF!</v>
      </c>
      <c r="E57" s="62" t="e">
        <f>#REF!/#REF!</f>
        <v>#REF!</v>
      </c>
      <c r="F57" s="62" t="e">
        <f>#REF!/#REF!</f>
        <v>#REF!</v>
      </c>
      <c r="G57" s="62" t="e">
        <f>#REF!/#REF!</f>
        <v>#REF!</v>
      </c>
      <c r="H57" s="62" t="e">
        <f>#REF!/#REF!</f>
        <v>#REF!</v>
      </c>
      <c r="I57" s="87">
        <v>-0.3</v>
      </c>
      <c r="J57" s="92">
        <v>2.8</v>
      </c>
      <c r="K57" s="20">
        <v>33.909999999999997</v>
      </c>
    </row>
    <row r="58" spans="1:11" ht="15.5" x14ac:dyDescent="0.35">
      <c r="A58" s="61">
        <v>2013</v>
      </c>
      <c r="B58" s="61" t="s">
        <v>705</v>
      </c>
      <c r="C58" s="62" t="e">
        <f>#REF!/#REF!</f>
        <v>#REF!</v>
      </c>
      <c r="D58" s="62" t="e">
        <f>#REF!/#REF!</f>
        <v>#REF!</v>
      </c>
      <c r="E58" s="62" t="e">
        <f>#REF!/#REF!</f>
        <v>#REF!</v>
      </c>
      <c r="F58" s="62" t="e">
        <f>#REF!/#REF!</f>
        <v>#REF!</v>
      </c>
      <c r="G58" s="62" t="e">
        <f>#REF!/#REF!</f>
        <v>#REF!</v>
      </c>
      <c r="H58" s="62" t="e">
        <f>#REF!/#REF!</f>
        <v>#REF!</v>
      </c>
      <c r="I58" s="87">
        <v>-0.9</v>
      </c>
      <c r="J58" s="92">
        <v>2.76</v>
      </c>
      <c r="K58" s="20">
        <v>34.750000000000007</v>
      </c>
    </row>
    <row r="59" spans="1:11" ht="15.5" x14ac:dyDescent="0.35">
      <c r="A59" s="61">
        <v>2013</v>
      </c>
      <c r="B59" s="61" t="s">
        <v>715</v>
      </c>
      <c r="C59" s="62" t="e">
        <f>#REF!/#REF!</f>
        <v>#REF!</v>
      </c>
      <c r="D59" s="62" t="e">
        <f>#REF!/#REF!</f>
        <v>#REF!</v>
      </c>
      <c r="E59" s="62" t="e">
        <f>#REF!/#REF!</f>
        <v>#REF!</v>
      </c>
      <c r="F59" s="62" t="e">
        <f>#REF!/#REF!</f>
        <v>#REF!</v>
      </c>
      <c r="G59" s="62" t="e">
        <f>#REF!/#REF!</f>
        <v>#REF!</v>
      </c>
      <c r="H59" s="62" t="e">
        <f>#REF!/#REF!</f>
        <v>#REF!</v>
      </c>
      <c r="I59" s="87">
        <v>-1.3</v>
      </c>
      <c r="J59" s="92">
        <v>2.82</v>
      </c>
      <c r="K59" s="20">
        <v>34.290000000000006</v>
      </c>
    </row>
    <row r="60" spans="1:11" ht="15.5" x14ac:dyDescent="0.35">
      <c r="A60" s="61">
        <v>2013</v>
      </c>
      <c r="B60" s="61" t="s">
        <v>718</v>
      </c>
      <c r="C60" s="62" t="e">
        <f>#REF!/#REF!</f>
        <v>#REF!</v>
      </c>
      <c r="D60" s="62" t="e">
        <f>#REF!/#REF!</f>
        <v>#REF!</v>
      </c>
      <c r="E60" s="62" t="e">
        <f>#REF!/#REF!</f>
        <v>#REF!</v>
      </c>
      <c r="F60" s="62" t="e">
        <f>#REF!/#REF!</f>
        <v>#REF!</v>
      </c>
      <c r="G60" s="62" t="e">
        <f>#REF!/#REF!</f>
        <v>#REF!</v>
      </c>
      <c r="H60" s="62" t="e">
        <f>#REF!/#REF!</f>
        <v>#REF!</v>
      </c>
      <c r="I60" s="87">
        <v>-0.6</v>
      </c>
      <c r="J60" s="92">
        <v>9.9700000000000006</v>
      </c>
      <c r="K60" s="20">
        <v>41.88</v>
      </c>
    </row>
    <row r="61" spans="1:11" ht="15.5" x14ac:dyDescent="0.35">
      <c r="A61" s="61">
        <v>2013</v>
      </c>
      <c r="B61" s="61" t="s">
        <v>716</v>
      </c>
      <c r="C61" s="62" t="e">
        <f>#REF!/#REF!</f>
        <v>#REF!</v>
      </c>
      <c r="D61" s="62" t="e">
        <f>#REF!/#REF!</f>
        <v>#REF!</v>
      </c>
      <c r="E61" s="62" t="e">
        <f>#REF!/#REF!</f>
        <v>#REF!</v>
      </c>
      <c r="F61" s="62" t="e">
        <f>#REF!/#REF!</f>
        <v>#REF!</v>
      </c>
      <c r="G61" s="62" t="e">
        <f>#REF!/#REF!</f>
        <v>#REF!</v>
      </c>
      <c r="H61" s="62" t="e">
        <f>#REF!/#REF!</f>
        <v>#REF!</v>
      </c>
      <c r="I61" s="87">
        <v>-1.8</v>
      </c>
      <c r="J61" s="92">
        <v>4.43</v>
      </c>
      <c r="K61" s="20">
        <v>43.5</v>
      </c>
    </row>
    <row r="62" spans="1:11" ht="15.5" x14ac:dyDescent="0.35">
      <c r="A62" s="61">
        <v>2013</v>
      </c>
      <c r="B62" s="61" t="s">
        <v>708</v>
      </c>
      <c r="C62" s="62" t="e">
        <f>#REF!/#REF!</f>
        <v>#REF!</v>
      </c>
      <c r="D62" s="62" t="e">
        <f>#REF!/#REF!</f>
        <v>#REF!</v>
      </c>
      <c r="E62" s="62" t="e">
        <f>#REF!/#REF!</f>
        <v>#REF!</v>
      </c>
      <c r="F62" s="62" t="e">
        <f>#REF!/#REF!</f>
        <v>#REF!</v>
      </c>
      <c r="G62" s="62" t="e">
        <f>#REF!/#REF!</f>
        <v>#REF!</v>
      </c>
      <c r="H62" s="62" t="e">
        <f>#REF!/#REF!</f>
        <v>#REF!</v>
      </c>
      <c r="I62" s="87">
        <v>-2.59</v>
      </c>
      <c r="J62" s="92">
        <v>1.34</v>
      </c>
      <c r="K62" s="20">
        <v>42.06</v>
      </c>
    </row>
    <row r="63" spans="1:11" ht="15.5" x14ac:dyDescent="0.35">
      <c r="A63" s="61">
        <v>2013</v>
      </c>
      <c r="B63" s="61" t="s">
        <v>709</v>
      </c>
      <c r="C63" s="62" t="e">
        <f>#REF!/#REF!</f>
        <v>#REF!</v>
      </c>
      <c r="D63" s="62" t="e">
        <f>#REF!/#REF!</f>
        <v>#REF!</v>
      </c>
      <c r="E63" s="62" t="e">
        <f>#REF!/#REF!</f>
        <v>#REF!</v>
      </c>
      <c r="F63" s="62" t="e">
        <f>#REF!/#REF!</f>
        <v>#REF!</v>
      </c>
      <c r="G63" s="62" t="e">
        <f>#REF!/#REF!</f>
        <v>#REF!</v>
      </c>
      <c r="H63" s="62" t="e">
        <f>#REF!/#REF!</f>
        <v>#REF!</v>
      </c>
      <c r="I63" s="87">
        <v>-3.3099999999999987</v>
      </c>
      <c r="J63" s="92">
        <v>1.22</v>
      </c>
      <c r="K63" s="20">
        <v>38.99</v>
      </c>
    </row>
    <row r="64" spans="1:11" ht="15.5" x14ac:dyDescent="0.35">
      <c r="A64" s="61">
        <v>2013</v>
      </c>
      <c r="B64" s="61" t="s">
        <v>710</v>
      </c>
      <c r="C64" s="62" t="e">
        <f>#REF!/#REF!</f>
        <v>#REF!</v>
      </c>
      <c r="D64" s="62" t="e">
        <f>#REF!/#REF!</f>
        <v>#REF!</v>
      </c>
      <c r="E64" s="62" t="e">
        <f>#REF!/#REF!</f>
        <v>#REF!</v>
      </c>
      <c r="F64" s="62" t="e">
        <f>#REF!/#REF!</f>
        <v>#REF!</v>
      </c>
      <c r="G64" s="62" t="e">
        <f>#REF!/#REF!</f>
        <v>#REF!</v>
      </c>
      <c r="H64" s="62" t="e">
        <f>#REF!/#REF!</f>
        <v>#REF!</v>
      </c>
      <c r="I64" s="87">
        <v>-2.6</v>
      </c>
      <c r="J64" s="92">
        <v>6.25</v>
      </c>
      <c r="K64" s="20">
        <v>39.42</v>
      </c>
    </row>
    <row r="65" spans="1:11" ht="15.5" x14ac:dyDescent="0.35">
      <c r="A65" s="61">
        <v>2013</v>
      </c>
      <c r="B65" s="61" t="s">
        <v>711</v>
      </c>
      <c r="C65" s="62" t="e">
        <f>#REF!/#REF!</f>
        <v>#REF!</v>
      </c>
      <c r="D65" s="62" t="e">
        <f>#REF!/#REF!</f>
        <v>#REF!</v>
      </c>
      <c r="E65" s="62" t="e">
        <f>#REF!/#REF!</f>
        <v>#REF!</v>
      </c>
      <c r="F65" s="62" t="e">
        <f>#REF!/#REF!</f>
        <v>#REF!</v>
      </c>
      <c r="G65" s="62" t="e">
        <f>#REF!/#REF!</f>
        <v>#REF!</v>
      </c>
      <c r="H65" s="62" t="e">
        <f>#REF!/#REF!</f>
        <v>#REF!</v>
      </c>
      <c r="I65" s="87">
        <v>-2.2999999999999998</v>
      </c>
      <c r="J65" s="92">
        <v>2.92</v>
      </c>
      <c r="K65" s="20">
        <v>41.74</v>
      </c>
    </row>
    <row r="66" spans="1:11" ht="15.5" x14ac:dyDescent="0.35">
      <c r="A66" s="61">
        <v>2013</v>
      </c>
      <c r="B66" s="61" t="s">
        <v>712</v>
      </c>
      <c r="C66" s="62" t="e">
        <f>#REF!/#REF!</f>
        <v>#REF!</v>
      </c>
      <c r="D66" s="62" t="e">
        <f>#REF!/#REF!</f>
        <v>#REF!</v>
      </c>
      <c r="E66" s="62" t="e">
        <f>#REF!/#REF!</f>
        <v>#REF!</v>
      </c>
      <c r="F66" s="62" t="e">
        <f>#REF!/#REF!</f>
        <v>#REF!</v>
      </c>
      <c r="G66" s="62" t="e">
        <f>#REF!/#REF!</f>
        <v>#REF!</v>
      </c>
      <c r="H66" s="62" t="e">
        <f>#REF!/#REF!</f>
        <v>#REF!</v>
      </c>
      <c r="I66" s="87">
        <v>-0.3</v>
      </c>
      <c r="J66" s="92">
        <v>5.53</v>
      </c>
      <c r="K66" s="20">
        <v>44.239999999999995</v>
      </c>
    </row>
    <row r="67" spans="1:11" ht="14" x14ac:dyDescent="0.3">
      <c r="A67" s="61"/>
      <c r="B67" s="61"/>
      <c r="C67" s="60" t="s">
        <v>3</v>
      </c>
      <c r="D67" s="60" t="s">
        <v>816</v>
      </c>
      <c r="E67" s="60" t="s">
        <v>5</v>
      </c>
      <c r="F67" s="60" t="s">
        <v>6</v>
      </c>
      <c r="G67" s="60" t="s">
        <v>7</v>
      </c>
      <c r="H67" s="60" t="s">
        <v>8</v>
      </c>
      <c r="I67" s="66" t="s">
        <v>817</v>
      </c>
      <c r="J67" s="66" t="s">
        <v>818</v>
      </c>
      <c r="K67" s="60" t="s">
        <v>819</v>
      </c>
    </row>
    <row r="68" spans="1:11" ht="15.5" x14ac:dyDescent="0.35">
      <c r="A68" s="61">
        <v>2014</v>
      </c>
      <c r="B68" s="61" t="s">
        <v>719</v>
      </c>
      <c r="C68" s="62" t="e">
        <f>#REF!/#REF!</f>
        <v>#REF!</v>
      </c>
      <c r="D68" s="62" t="e">
        <f>#REF!/#REF!</f>
        <v>#REF!</v>
      </c>
      <c r="E68" s="62" t="e">
        <f>#REF!/#REF!</f>
        <v>#REF!</v>
      </c>
      <c r="F68" s="62" t="e">
        <f>#REF!/#REF!</f>
        <v>#REF!</v>
      </c>
      <c r="G68" s="62" t="e">
        <f>#REF!/#REF!</f>
        <v>#REF!</v>
      </c>
      <c r="H68" s="62" t="e">
        <f>#REF!/#REF!</f>
        <v>#REF!</v>
      </c>
      <c r="I68" s="87">
        <v>-0.4</v>
      </c>
      <c r="J68" s="92">
        <v>2.58</v>
      </c>
      <c r="K68" s="20">
        <v>44.29</v>
      </c>
    </row>
    <row r="69" spans="1:11" ht="15.5" x14ac:dyDescent="0.35">
      <c r="A69" s="61">
        <v>2014</v>
      </c>
      <c r="B69" s="61" t="s">
        <v>713</v>
      </c>
      <c r="C69" s="62" t="e">
        <f>#REF!/#REF!</f>
        <v>#REF!</v>
      </c>
      <c r="D69" s="62" t="e">
        <f>#REF!/#REF!</f>
        <v>#REF!</v>
      </c>
      <c r="E69" s="62" t="e">
        <f>#REF!/#REF!</f>
        <v>#REF!</v>
      </c>
      <c r="F69" s="62" t="e">
        <f>#REF!/#REF!</f>
        <v>#REF!</v>
      </c>
      <c r="G69" s="62" t="e">
        <f>#REF!/#REF!</f>
        <v>#REF!</v>
      </c>
      <c r="H69" s="62" t="e">
        <f>#REF!/#REF!</f>
        <v>#REF!</v>
      </c>
      <c r="I69" s="87">
        <v>1.3</v>
      </c>
      <c r="J69" s="92">
        <v>4.0199999999999996</v>
      </c>
      <c r="K69" s="20">
        <v>46.64</v>
      </c>
    </row>
    <row r="70" spans="1:11" ht="14" x14ac:dyDescent="0.3">
      <c r="A70" s="61">
        <v>2014</v>
      </c>
      <c r="B70" s="61" t="s">
        <v>714</v>
      </c>
      <c r="C70" s="62" t="e">
        <f>#REF!/#REF!</f>
        <v>#REF!</v>
      </c>
      <c r="D70" s="62" t="e">
        <f>#REF!/#REF!</f>
        <v>#REF!</v>
      </c>
      <c r="E70" s="62" t="e">
        <f>#REF!/#REF!</f>
        <v>#REF!</v>
      </c>
      <c r="F70" s="62" t="e">
        <f>#REF!/#REF!</f>
        <v>#REF!</v>
      </c>
      <c r="G70" s="62" t="e">
        <f>#REF!/#REF!</f>
        <v>#REF!</v>
      </c>
      <c r="H70" s="62" t="e">
        <f>#REF!/#REF!</f>
        <v>#REF!</v>
      </c>
      <c r="I70" s="87">
        <v>0.7</v>
      </c>
      <c r="J70" s="87" t="e">
        <f>#REF!</f>
        <v>#REF!</v>
      </c>
      <c r="K70" s="20">
        <v>48.1</v>
      </c>
    </row>
    <row r="71" spans="1:11" ht="14" x14ac:dyDescent="0.3">
      <c r="A71" s="61">
        <v>2014</v>
      </c>
      <c r="B71" s="61" t="s">
        <v>705</v>
      </c>
      <c r="C71" s="62" t="e">
        <f>#REF!/#REF!</f>
        <v>#REF!</v>
      </c>
      <c r="D71" s="62" t="e">
        <f>#REF!/#REF!</f>
        <v>#REF!</v>
      </c>
      <c r="E71" s="62" t="e">
        <f>#REF!/#REF!</f>
        <v>#REF!</v>
      </c>
      <c r="F71" s="62" t="e">
        <f>#REF!/#REF!</f>
        <v>#REF!</v>
      </c>
      <c r="G71" s="62" t="e">
        <f>#REF!/#REF!</f>
        <v>#REF!</v>
      </c>
      <c r="H71" s="62" t="e">
        <f>#REF!/#REF!</f>
        <v>#REF!</v>
      </c>
      <c r="I71" s="87">
        <v>1.0700000000000003</v>
      </c>
      <c r="J71" s="87" t="e">
        <f>#REF!</f>
        <v>#REF!</v>
      </c>
      <c r="K71" s="20">
        <v>51.809999999999995</v>
      </c>
    </row>
    <row r="72" spans="1:11" ht="14" x14ac:dyDescent="0.3">
      <c r="A72" s="61">
        <v>2014</v>
      </c>
      <c r="B72" s="61" t="s">
        <v>715</v>
      </c>
      <c r="C72" s="62" t="e">
        <f>#REF!/#REF!</f>
        <v>#REF!</v>
      </c>
      <c r="D72" s="62" t="e">
        <f>#REF!/#REF!</f>
        <v>#REF!</v>
      </c>
      <c r="E72" s="62" t="e">
        <f>#REF!/#REF!</f>
        <v>#REF!</v>
      </c>
      <c r="F72" s="62" t="e">
        <f>#REF!/#REF!</f>
        <v>#REF!</v>
      </c>
      <c r="G72" s="62" t="e">
        <f>#REF!/#REF!</f>
        <v>#REF!</v>
      </c>
      <c r="H72" s="62" t="e">
        <f>#REF!/#REF!</f>
        <v>#REF!</v>
      </c>
      <c r="I72" s="87">
        <v>1.379999999999999</v>
      </c>
      <c r="J72" s="87" t="e">
        <f>#REF!</f>
        <v>#REF!</v>
      </c>
      <c r="K72" s="20">
        <v>53.95</v>
      </c>
    </row>
    <row r="73" spans="1:11" ht="14" x14ac:dyDescent="0.3">
      <c r="A73" s="61">
        <v>2014</v>
      </c>
      <c r="B73" s="61" t="s">
        <v>718</v>
      </c>
      <c r="C73" s="62" t="e">
        <f>#REF!/#REF!</f>
        <v>#REF!</v>
      </c>
      <c r="D73" s="62" t="e">
        <f>#REF!/#REF!</f>
        <v>#REF!</v>
      </c>
      <c r="E73" s="62" t="e">
        <f>#REF!/#REF!</f>
        <v>#REF!</v>
      </c>
      <c r="F73" s="62" t="e">
        <f>#REF!/#REF!</f>
        <v>#REF!</v>
      </c>
      <c r="G73" s="62" t="e">
        <f>#REF!/#REF!</f>
        <v>#REF!</v>
      </c>
      <c r="H73" s="62" t="e">
        <f>#REF!/#REF!</f>
        <v>#REF!</v>
      </c>
      <c r="I73" s="87">
        <v>0.80999999999999872</v>
      </c>
      <c r="J73" s="87" t="e">
        <f>#REF!</f>
        <v>#REF!</v>
      </c>
      <c r="K73" s="20">
        <v>47.29</v>
      </c>
    </row>
    <row r="74" spans="1:11" ht="14" x14ac:dyDescent="0.3">
      <c r="A74" s="61">
        <v>2014</v>
      </c>
      <c r="B74" s="61" t="s">
        <v>716</v>
      </c>
      <c r="C74" s="62" t="e">
        <f>#REF!/#REF!</f>
        <v>#REF!</v>
      </c>
      <c r="D74" s="62" t="e">
        <f>#REF!/#REF!</f>
        <v>#REF!</v>
      </c>
      <c r="E74" s="62" t="e">
        <f>#REF!/#REF!</f>
        <v>#REF!</v>
      </c>
      <c r="F74" s="62" t="e">
        <f>#REF!/#REF!</f>
        <v>#REF!</v>
      </c>
      <c r="G74" s="62" t="e">
        <f>#REF!/#REF!</f>
        <v>#REF!</v>
      </c>
      <c r="H74" s="62" t="e">
        <f>#REF!/#REF!</f>
        <v>#REF!</v>
      </c>
      <c r="I74" s="87">
        <v>-0.41999999999999993</v>
      </c>
      <c r="J74" s="87" t="e">
        <f>#REF!</f>
        <v>#REF!</v>
      </c>
      <c r="K74" s="20">
        <v>47.540000000000006</v>
      </c>
    </row>
    <row r="75" spans="1:11" ht="14" x14ac:dyDescent="0.3">
      <c r="A75" s="61">
        <v>2014</v>
      </c>
      <c r="B75" s="61" t="s">
        <v>708</v>
      </c>
      <c r="C75" s="62" t="e">
        <f>#REF!/#REF!</f>
        <v>#REF!</v>
      </c>
      <c r="D75" s="62" t="e">
        <f>#REF!/#REF!</f>
        <v>#REF!</v>
      </c>
      <c r="E75" s="62" t="e">
        <f>#REF!/#REF!</f>
        <v>#REF!</v>
      </c>
      <c r="F75" s="62" t="e">
        <f>#REF!/#REF!</f>
        <v>#REF!</v>
      </c>
      <c r="G75" s="62" t="e">
        <f>#REF!/#REF!</f>
        <v>#REF!</v>
      </c>
      <c r="H75" s="62" t="e">
        <f>#REF!/#REF!</f>
        <v>#REF!</v>
      </c>
      <c r="I75" s="87">
        <v>-0.72000000000000064</v>
      </c>
      <c r="J75" s="20">
        <v>3.39</v>
      </c>
      <c r="K75" s="20">
        <v>49.59</v>
      </c>
    </row>
    <row r="76" spans="1:11" ht="14" x14ac:dyDescent="0.3">
      <c r="A76" s="61">
        <v>2014</v>
      </c>
      <c r="B76" s="61" t="s">
        <v>709</v>
      </c>
      <c r="C76" s="62" t="e">
        <f>#REF!/#REF!</f>
        <v>#REF!</v>
      </c>
      <c r="D76" s="62" t="e">
        <f>#REF!/#REF!</f>
        <v>#REF!</v>
      </c>
      <c r="E76" s="62" t="e">
        <f>#REF!/#REF!</f>
        <v>#REF!</v>
      </c>
      <c r="F76" s="62" t="e">
        <f>#REF!/#REF!</f>
        <v>#REF!</v>
      </c>
      <c r="G76" s="62" t="e">
        <f>#REF!/#REF!</f>
        <v>#REF!</v>
      </c>
      <c r="H76" s="62" t="e">
        <f>#REF!/#REF!</f>
        <v>#REF!</v>
      </c>
      <c r="I76" s="87">
        <v>-1.2400000000000002</v>
      </c>
      <c r="J76" s="20">
        <v>1.1100000000000001</v>
      </c>
      <c r="K76" s="20">
        <v>49.480000000000004</v>
      </c>
    </row>
    <row r="77" spans="1:11" ht="14" x14ac:dyDescent="0.3">
      <c r="A77" s="61">
        <v>2014</v>
      </c>
      <c r="B77" s="61" t="s">
        <v>710</v>
      </c>
      <c r="C77" s="62" t="e">
        <f>#REF!/#REF!</f>
        <v>#REF!</v>
      </c>
      <c r="D77" s="62" t="e">
        <f>#REF!/#REF!</f>
        <v>#REF!</v>
      </c>
      <c r="E77" s="62" t="e">
        <f>#REF!/#REF!</f>
        <v>#REF!</v>
      </c>
      <c r="F77" s="62" t="e">
        <f>#REF!/#REF!</f>
        <v>#REF!</v>
      </c>
      <c r="G77" s="62" t="e">
        <f>#REF!/#REF!</f>
        <v>#REF!</v>
      </c>
      <c r="H77" s="62" t="e">
        <f>#REF!/#REF!</f>
        <v>#REF!</v>
      </c>
      <c r="I77" s="87">
        <v>-0.91000000000000014</v>
      </c>
      <c r="J77" s="20">
        <v>3.49</v>
      </c>
      <c r="K77" s="20">
        <v>46.72</v>
      </c>
    </row>
    <row r="78" spans="1:11" ht="14" x14ac:dyDescent="0.3">
      <c r="A78" s="61">
        <v>2014</v>
      </c>
      <c r="B78" s="61" t="s">
        <v>711</v>
      </c>
      <c r="C78" s="62" t="e">
        <f>#REF!/#REF!</f>
        <v>#REF!</v>
      </c>
      <c r="D78" s="62" t="e">
        <f>#REF!/#REF!</f>
        <v>#REF!</v>
      </c>
      <c r="E78" s="62" t="e">
        <f>#REF!/#REF!</f>
        <v>#REF!</v>
      </c>
      <c r="F78" s="62" t="e">
        <f>#REF!/#REF!</f>
        <v>#REF!</v>
      </c>
      <c r="G78" s="62" t="e">
        <f>#REF!/#REF!</f>
        <v>#REF!</v>
      </c>
      <c r="H78" s="62" t="e">
        <f>#REF!/#REF!</f>
        <v>#REF!</v>
      </c>
      <c r="I78" s="87">
        <v>-1.1300000000000008</v>
      </c>
      <c r="J78" s="20">
        <v>2.64</v>
      </c>
      <c r="K78" s="20">
        <v>46.440000000000005</v>
      </c>
    </row>
    <row r="79" spans="1:11" ht="14" x14ac:dyDescent="0.3">
      <c r="A79" s="61">
        <v>2014</v>
      </c>
      <c r="B79" s="61" t="s">
        <v>712</v>
      </c>
      <c r="C79" s="62" t="e">
        <f>#REF!/#REF!</f>
        <v>#REF!</v>
      </c>
      <c r="D79" s="62" t="e">
        <f>#REF!/#REF!</f>
        <v>#REF!</v>
      </c>
      <c r="E79" s="62" t="e">
        <f>#REF!/#REF!</f>
        <v>#REF!</v>
      </c>
      <c r="F79" s="62" t="e">
        <f>#REF!/#REF!</f>
        <v>#REF!</v>
      </c>
      <c r="G79" s="62" t="e">
        <f>#REF!/#REF!</f>
        <v>#REF!</v>
      </c>
      <c r="H79" s="62" t="e">
        <f>#REF!/#REF!</f>
        <v>#REF!</v>
      </c>
      <c r="I79" s="87">
        <v>-0.3</v>
      </c>
      <c r="J79" s="20">
        <v>3.5</v>
      </c>
      <c r="K79" s="20">
        <v>44.41</v>
      </c>
    </row>
    <row r="80" spans="1:11" ht="14" x14ac:dyDescent="0.3">
      <c r="A80" s="61">
        <v>2015</v>
      </c>
      <c r="B80" s="61" t="s">
        <v>719</v>
      </c>
      <c r="C80" s="62" t="e">
        <f>#REF!/#REF!</f>
        <v>#REF!</v>
      </c>
      <c r="D80" s="62" t="e">
        <f>#REF!/#REF!</f>
        <v>#REF!</v>
      </c>
      <c r="E80" s="62" t="e">
        <f>#REF!/#REF!</f>
        <v>#REF!</v>
      </c>
      <c r="F80" s="62" t="e">
        <f>#REF!/#REF!</f>
        <v>#REF!</v>
      </c>
      <c r="G80" s="62" t="e">
        <f>#REF!/#REF!</f>
        <v>#REF!</v>
      </c>
      <c r="H80" s="62" t="e">
        <f>#REF!/#REF!</f>
        <v>#REF!</v>
      </c>
      <c r="I80" s="87">
        <v>0.52999999999999903</v>
      </c>
      <c r="J80" s="20">
        <v>3.73</v>
      </c>
      <c r="K80" s="20">
        <v>45.56</v>
      </c>
    </row>
    <row r="81" spans="1:11" ht="14" x14ac:dyDescent="0.3">
      <c r="A81" s="61">
        <v>2015</v>
      </c>
      <c r="B81" s="61" t="s">
        <v>713</v>
      </c>
      <c r="C81" s="62" t="e">
        <f>#REF!/#REF!</f>
        <v>#REF!</v>
      </c>
      <c r="D81" s="62" t="e">
        <f>#REF!/#REF!</f>
        <v>#REF!</v>
      </c>
      <c r="E81" s="62" t="e">
        <f>#REF!/#REF!</f>
        <v>#REF!</v>
      </c>
      <c r="F81" s="62" t="e">
        <f>#REF!/#REF!</f>
        <v>#REF!</v>
      </c>
      <c r="G81" s="62" t="e">
        <f>#REF!/#REF!</f>
        <v>#REF!</v>
      </c>
      <c r="H81" s="62" t="e">
        <f>#REF!/#REF!</f>
        <v>#REF!</v>
      </c>
      <c r="I81" s="91">
        <v>0.23000000000000043</v>
      </c>
      <c r="J81" s="87">
        <v>1.68</v>
      </c>
      <c r="K81" s="20">
        <v>43.22</v>
      </c>
    </row>
    <row r="82" spans="1:11" ht="14" x14ac:dyDescent="0.3">
      <c r="A82" s="61">
        <v>2015</v>
      </c>
      <c r="B82" s="61" t="s">
        <v>714</v>
      </c>
      <c r="C82" s="62" t="e">
        <f>#REF!/#REF!</f>
        <v>#REF!</v>
      </c>
      <c r="D82" s="62" t="e">
        <f>#REF!/#REF!</f>
        <v>#REF!</v>
      </c>
      <c r="E82" s="62" t="e">
        <f>#REF!/#REF!</f>
        <v>#REF!</v>
      </c>
      <c r="F82" s="62" t="e">
        <f>#REF!/#REF!</f>
        <v>#REF!</v>
      </c>
      <c r="G82" s="62" t="e">
        <f>#REF!/#REF!</f>
        <v>#REF!</v>
      </c>
      <c r="H82" s="62" t="e">
        <f>#REF!/#REF!</f>
        <v>#REF!</v>
      </c>
      <c r="I82" s="91">
        <v>1.4499999999999993</v>
      </c>
      <c r="J82" s="87">
        <v>4.04</v>
      </c>
      <c r="K82" s="20">
        <v>43</v>
      </c>
    </row>
    <row r="83" spans="1:11" ht="14" x14ac:dyDescent="0.3">
      <c r="A83" s="61">
        <v>2015</v>
      </c>
      <c r="B83" s="61" t="s">
        <v>705</v>
      </c>
      <c r="C83" s="62" t="e">
        <f>#REF!/#REF!</f>
        <v>#REF!</v>
      </c>
      <c r="D83" s="62" t="e">
        <f>#REF!/#REF!</f>
        <v>#REF!</v>
      </c>
      <c r="E83" s="62" t="e">
        <f>#REF!/#REF!</f>
        <v>#REF!</v>
      </c>
      <c r="F83" s="62" t="e">
        <f>#REF!/#REF!</f>
        <v>#REF!</v>
      </c>
      <c r="G83" s="62" t="e">
        <f>#REF!/#REF!</f>
        <v>#REF!</v>
      </c>
      <c r="H83" s="62" t="e">
        <f>#REF!/#REF!</f>
        <v>#REF!</v>
      </c>
      <c r="I83" s="91">
        <v>1.3899999999999988</v>
      </c>
      <c r="J83" s="87">
        <v>3.41</v>
      </c>
      <c r="K83" s="20">
        <v>39.94</v>
      </c>
    </row>
    <row r="84" spans="1:11" ht="14" x14ac:dyDescent="0.3">
      <c r="A84" s="61">
        <v>2015</v>
      </c>
      <c r="B84" s="61" t="s">
        <v>715</v>
      </c>
      <c r="C84" s="62" t="e">
        <f>#REF!/#REF!</f>
        <v>#REF!</v>
      </c>
      <c r="D84" s="62" t="e">
        <f>#REF!/#REF!</f>
        <v>#REF!</v>
      </c>
      <c r="E84" s="62" t="e">
        <f>#REF!/#REF!</f>
        <v>#REF!</v>
      </c>
      <c r="F84" s="62" t="e">
        <f>#REF!/#REF!</f>
        <v>#REF!</v>
      </c>
      <c r="G84" s="62" t="e">
        <f>#REF!/#REF!</f>
        <v>#REF!</v>
      </c>
      <c r="H84" s="62" t="e">
        <f>#REF!/#REF!</f>
        <v>#REF!</v>
      </c>
      <c r="I84" s="87">
        <v>0.2</v>
      </c>
      <c r="J84" s="20">
        <v>1.92</v>
      </c>
      <c r="K84" s="20">
        <v>36.900000000000006</v>
      </c>
    </row>
    <row r="85" spans="1:11" ht="14" x14ac:dyDescent="0.3">
      <c r="A85" s="61">
        <v>2015</v>
      </c>
      <c r="B85" s="61" t="s">
        <v>718</v>
      </c>
      <c r="C85" s="62" t="e">
        <f>#REF!/#REF!</f>
        <v>#REF!</v>
      </c>
      <c r="D85" s="62" t="e">
        <f>#REF!/#REF!</f>
        <v>#REF!</v>
      </c>
      <c r="E85" s="62" t="e">
        <f>#REF!/#REF!</f>
        <v>#REF!</v>
      </c>
      <c r="F85" s="62" t="e">
        <f>#REF!/#REF!</f>
        <v>#REF!</v>
      </c>
      <c r="G85" s="62" t="e">
        <f>#REF!/#REF!</f>
        <v>#REF!</v>
      </c>
      <c r="H85" s="62" t="e">
        <f>#REF!/#REF!</f>
        <v>#REF!</v>
      </c>
      <c r="I85" s="91">
        <v>5.01</v>
      </c>
      <c r="J85" s="87">
        <v>11.94</v>
      </c>
      <c r="K85" s="20">
        <v>45.53</v>
      </c>
    </row>
    <row r="86" spans="1:11" ht="14" x14ac:dyDescent="0.3">
      <c r="A86" s="61">
        <v>2015</v>
      </c>
      <c r="B86" s="61" t="s">
        <v>716</v>
      </c>
      <c r="C86" s="62" t="e">
        <f>#REF!/#REF!</f>
        <v>#REF!</v>
      </c>
      <c r="D86" s="62" t="e">
        <f>#REF!/#REF!</f>
        <v>#REF!</v>
      </c>
      <c r="E86" s="62" t="e">
        <f>#REF!/#REF!</f>
        <v>#REF!</v>
      </c>
      <c r="F86" s="62" t="e">
        <f>#REF!/#REF!</f>
        <v>#REF!</v>
      </c>
      <c r="G86" s="62" t="e">
        <f>#REF!/#REF!</f>
        <v>#REF!</v>
      </c>
      <c r="H86" s="62" t="e">
        <f>#REF!/#REF!</f>
        <v>#REF!</v>
      </c>
      <c r="I86" s="87">
        <v>-0.2</v>
      </c>
      <c r="J86" s="20">
        <v>5.01</v>
      </c>
      <c r="K86" s="20">
        <v>45.859999999999992</v>
      </c>
    </row>
    <row r="87" spans="1:11" ht="14" x14ac:dyDescent="0.3">
      <c r="A87" s="61">
        <v>2015</v>
      </c>
      <c r="B87" s="61" t="s">
        <v>708</v>
      </c>
      <c r="C87" s="62" t="e">
        <f>#REF!/#REF!</f>
        <v>#REF!</v>
      </c>
      <c r="D87" s="62" t="e">
        <f>#REF!/#REF!</f>
        <v>#REF!</v>
      </c>
      <c r="E87" s="62" t="e">
        <f>#REF!/#REF!</f>
        <v>#REF!</v>
      </c>
      <c r="F87" s="62" t="e">
        <f>#REF!/#REF!</f>
        <v>#REF!</v>
      </c>
      <c r="G87" s="62" t="e">
        <f>#REF!/#REF!</f>
        <v>#REF!</v>
      </c>
      <c r="H87" s="62" t="e">
        <f>#REF!/#REF!</f>
        <v>#REF!</v>
      </c>
      <c r="I87" s="87">
        <v>-2.1500000000000004</v>
      </c>
      <c r="J87" s="20">
        <v>1.1599999999999999</v>
      </c>
      <c r="K87" s="20">
        <v>43.629999999999995</v>
      </c>
    </row>
    <row r="88" spans="1:11" ht="14" x14ac:dyDescent="0.3">
      <c r="A88" s="61">
        <v>2015</v>
      </c>
      <c r="B88" s="61" t="s">
        <v>709</v>
      </c>
      <c r="C88" s="62" t="e">
        <f>#REF!/#REF!</f>
        <v>#REF!</v>
      </c>
      <c r="D88" s="62" t="e">
        <f>#REF!/#REF!</f>
        <v>#REF!</v>
      </c>
      <c r="E88" s="62" t="e">
        <f>#REF!/#REF!</f>
        <v>#REF!</v>
      </c>
      <c r="F88" s="62" t="e">
        <f>#REF!/#REF!</f>
        <v>#REF!</v>
      </c>
      <c r="G88" s="62" t="e">
        <f>#REF!/#REF!</f>
        <v>#REF!</v>
      </c>
      <c r="H88" s="62" t="e">
        <f>#REF!/#REF!</f>
        <v>#REF!</v>
      </c>
      <c r="I88" s="87">
        <v>-1.1600000000000001</v>
      </c>
      <c r="J88" s="20">
        <v>2.15</v>
      </c>
      <c r="K88" s="20">
        <v>44.669999999999995</v>
      </c>
    </row>
    <row r="89" spans="1:11" ht="14" x14ac:dyDescent="0.3">
      <c r="A89" s="61">
        <v>2015</v>
      </c>
      <c r="B89" s="61" t="s">
        <v>710</v>
      </c>
      <c r="C89" s="62" t="e">
        <f>#REF!/#REF!</f>
        <v>#REF!</v>
      </c>
      <c r="D89" s="62" t="e">
        <f>#REF!/#REF!</f>
        <v>#REF!</v>
      </c>
      <c r="E89" s="62" t="e">
        <f>#REF!/#REF!</f>
        <v>#REF!</v>
      </c>
      <c r="F89" s="62" t="e">
        <f>#REF!/#REF!</f>
        <v>#REF!</v>
      </c>
      <c r="G89" s="62" t="e">
        <f>#REF!/#REF!</f>
        <v>#REF!</v>
      </c>
      <c r="H89" s="62" t="e">
        <f>#REF!/#REF!</f>
        <v>#REF!</v>
      </c>
      <c r="I89" s="87">
        <v>-1.6</v>
      </c>
      <c r="J89" s="20">
        <v>3.04</v>
      </c>
      <c r="K89" s="20">
        <v>44.219999999999992</v>
      </c>
    </row>
    <row r="90" spans="1:11" ht="14" x14ac:dyDescent="0.3">
      <c r="A90" s="61">
        <v>2015</v>
      </c>
      <c r="B90" s="61" t="s">
        <v>711</v>
      </c>
      <c r="C90" s="62" t="e">
        <f>#REF!/#REF!</f>
        <v>#REF!</v>
      </c>
      <c r="D90" s="62" t="e">
        <f>#REF!/#REF!</f>
        <v>#REF!</v>
      </c>
      <c r="E90" s="62" t="e">
        <f>#REF!/#REF!</f>
        <v>#REF!</v>
      </c>
      <c r="F90" s="62" t="e">
        <f>#REF!/#REF!</f>
        <v>#REF!</v>
      </c>
      <c r="G90" s="62" t="e">
        <f>#REF!/#REF!</f>
        <v>#REF!</v>
      </c>
      <c r="H90" s="62" t="e">
        <f>#REF!/#REF!</f>
        <v>#REF!</v>
      </c>
      <c r="I90" s="87">
        <v>-1.33</v>
      </c>
      <c r="J90" s="20">
        <v>2.1</v>
      </c>
      <c r="K90" s="20">
        <v>43.679999999999993</v>
      </c>
    </row>
    <row r="91" spans="1:11" ht="14" x14ac:dyDescent="0.3">
      <c r="A91" s="61">
        <v>2015</v>
      </c>
      <c r="B91" s="61" t="s">
        <v>712</v>
      </c>
      <c r="C91" s="62" t="e">
        <f>#REF!/#REF!</f>
        <v>#REF!</v>
      </c>
      <c r="D91" s="62" t="e">
        <f>#REF!/#REF!</f>
        <v>#REF!</v>
      </c>
      <c r="E91" s="62" t="e">
        <f>#REF!/#REF!</f>
        <v>#REF!</v>
      </c>
      <c r="F91" s="62" t="e">
        <f>#REF!/#REF!</f>
        <v>#REF!</v>
      </c>
      <c r="G91" s="62" t="e">
        <f>#REF!/#REF!</f>
        <v>#REF!</v>
      </c>
      <c r="H91" s="62" t="e">
        <f>#REF!/#REF!</f>
        <v>#REF!</v>
      </c>
      <c r="I91" s="87">
        <v>-1.3200000000000003</v>
      </c>
      <c r="J91" s="20">
        <v>4.84</v>
      </c>
      <c r="K91" s="20">
        <v>45.019999999999996</v>
      </c>
    </row>
    <row r="92" spans="1:11" ht="14" x14ac:dyDescent="0.3">
      <c r="A92" s="61">
        <v>2016</v>
      </c>
      <c r="B92" s="61" t="s">
        <v>719</v>
      </c>
      <c r="C92" s="62" t="e">
        <f>#REF!/#REF!</f>
        <v>#REF!</v>
      </c>
      <c r="D92" s="62" t="e">
        <f>#REF!/#REF!</f>
        <v>#REF!</v>
      </c>
      <c r="E92" s="62" t="e">
        <f>#REF!/#REF!</f>
        <v>#REF!</v>
      </c>
      <c r="F92" s="62" t="e">
        <f>#REF!/#REF!</f>
        <v>#REF!</v>
      </c>
      <c r="G92" s="62" t="e">
        <f>#REF!/#REF!</f>
        <v>#REF!</v>
      </c>
      <c r="H92" s="62" t="e">
        <f>#REF!/#REF!</f>
        <v>#REF!</v>
      </c>
      <c r="I92" s="87">
        <v>0.65000000000000036</v>
      </c>
      <c r="J92" s="20">
        <v>2.68</v>
      </c>
      <c r="K92" s="20">
        <v>43.970000000000006</v>
      </c>
    </row>
    <row r="93" spans="1:11" ht="14" x14ac:dyDescent="0.3">
      <c r="A93" s="61">
        <v>2016</v>
      </c>
      <c r="B93" s="61" t="s">
        <v>713</v>
      </c>
      <c r="C93" s="62" t="e">
        <f>#REF!/#REF!</f>
        <v>#REF!</v>
      </c>
      <c r="D93" s="62" t="e">
        <f>#REF!/#REF!</f>
        <v>#REF!</v>
      </c>
      <c r="E93" s="62" t="e">
        <f>#REF!/#REF!</f>
        <v>#REF!</v>
      </c>
      <c r="F93" s="62" t="e">
        <f>#REF!/#REF!</f>
        <v>#REF!</v>
      </c>
      <c r="G93" s="62" t="e">
        <f>#REF!/#REF!</f>
        <v>#REF!</v>
      </c>
      <c r="H93" s="62" t="e">
        <f>#REF!/#REF!</f>
        <v>#REF!</v>
      </c>
      <c r="I93" s="87">
        <v>2.6199999999999992</v>
      </c>
      <c r="J93" s="20">
        <v>3.79</v>
      </c>
      <c r="K93" s="20">
        <v>46.08</v>
      </c>
    </row>
    <row r="94" spans="1:11" ht="14" x14ac:dyDescent="0.3">
      <c r="A94" s="61">
        <v>2016</v>
      </c>
      <c r="B94" s="61" t="s">
        <v>714</v>
      </c>
      <c r="C94" s="62" t="e">
        <f>#REF!/#REF!</f>
        <v>#REF!</v>
      </c>
      <c r="D94" s="62" t="e">
        <f>#REF!/#REF!</f>
        <v>#REF!</v>
      </c>
      <c r="E94" s="62" t="e">
        <f>#REF!/#REF!</f>
        <v>#REF!</v>
      </c>
      <c r="F94" s="62" t="e">
        <f>#REF!/#REF!</f>
        <v>#REF!</v>
      </c>
      <c r="G94" s="62" t="e">
        <f>#REF!/#REF!</f>
        <v>#REF!</v>
      </c>
      <c r="H94" s="62" t="e">
        <f>#REF!/#REF!</f>
        <v>#REF!</v>
      </c>
      <c r="I94" s="87">
        <v>0.33000000000000007</v>
      </c>
      <c r="J94" s="20">
        <v>1.1599999999999999</v>
      </c>
      <c r="K94" s="20">
        <v>43.199999999999996</v>
      </c>
    </row>
    <row r="95" spans="1:11" ht="14" x14ac:dyDescent="0.3">
      <c r="A95" s="61">
        <v>2016</v>
      </c>
      <c r="B95" s="61" t="s">
        <v>705</v>
      </c>
      <c r="C95" s="62" t="e">
        <f>#REF!/#REF!</f>
        <v>#REF!</v>
      </c>
      <c r="D95" s="62" t="e">
        <f>#REF!/#REF!</f>
        <v>#REF!</v>
      </c>
      <c r="E95" s="62" t="e">
        <f>#REF!/#REF!</f>
        <v>#REF!</v>
      </c>
      <c r="F95" s="62" t="e">
        <f>#REF!/#REF!</f>
        <v>#REF!</v>
      </c>
      <c r="G95" s="62" t="e">
        <f>#REF!/#REF!</f>
        <v>#REF!</v>
      </c>
      <c r="H95" s="62" t="e">
        <f>#REF!/#REF!</f>
        <v>#REF!</v>
      </c>
      <c r="I95" s="87">
        <v>-0.30000000000000071</v>
      </c>
      <c r="J95" s="20">
        <v>2.0499999999999998</v>
      </c>
      <c r="K95" s="20">
        <v>41.839999999999989</v>
      </c>
    </row>
    <row r="96" spans="1:11" ht="14" x14ac:dyDescent="0.3">
      <c r="A96" s="61">
        <v>2016</v>
      </c>
      <c r="B96" s="61" t="s">
        <v>715</v>
      </c>
      <c r="C96" s="62" t="e">
        <f>#REF!/#REF!</f>
        <v>#REF!</v>
      </c>
      <c r="D96" s="62" t="e">
        <f>#REF!/#REF!</f>
        <v>#REF!</v>
      </c>
      <c r="E96" s="62" t="e">
        <f>#REF!/#REF!</f>
        <v>#REF!</v>
      </c>
      <c r="F96" s="62" t="e">
        <f>#REF!/#REF!</f>
        <v>#REF!</v>
      </c>
      <c r="G96" s="62" t="e">
        <f>#REF!/#REF!</f>
        <v>#REF!</v>
      </c>
      <c r="H96" s="62" t="e">
        <f>#REF!/#REF!</f>
        <v>#REF!</v>
      </c>
      <c r="I96" s="87">
        <v>-0.16000000000000014</v>
      </c>
      <c r="J96" s="20">
        <v>5.65</v>
      </c>
      <c r="K96" s="20">
        <v>45.569999999999993</v>
      </c>
    </row>
    <row r="97" spans="1:11" ht="14" x14ac:dyDescent="0.3">
      <c r="A97" s="61">
        <v>2016</v>
      </c>
      <c r="B97" s="61" t="s">
        <v>718</v>
      </c>
      <c r="C97" s="62" t="e">
        <f>#REF!/#REF!</f>
        <v>#REF!</v>
      </c>
      <c r="D97" s="62" t="e">
        <f>#REF!/#REF!</f>
        <v>#REF!</v>
      </c>
      <c r="E97" s="62" t="e">
        <f>#REF!/#REF!</f>
        <v>#REF!</v>
      </c>
      <c r="F97" s="62" t="e">
        <f>#REF!/#REF!</f>
        <v>#REF!</v>
      </c>
      <c r="G97" s="62" t="e">
        <f>#REF!/#REF!</f>
        <v>#REF!</v>
      </c>
      <c r="H97" s="62" t="e">
        <f>#REF!/#REF!</f>
        <v>#REF!</v>
      </c>
      <c r="I97" s="87">
        <v>-0.58999999999999986</v>
      </c>
      <c r="J97" s="20">
        <v>3.68</v>
      </c>
      <c r="K97" s="20">
        <v>37.309999999999995</v>
      </c>
    </row>
    <row r="98" spans="1:11" ht="14" x14ac:dyDescent="0.3">
      <c r="A98" s="61">
        <v>2016</v>
      </c>
      <c r="B98" s="61" t="s">
        <v>716</v>
      </c>
      <c r="C98" s="62" t="e">
        <f>#REF!/#REF!</f>
        <v>#REF!</v>
      </c>
      <c r="D98" s="62" t="e">
        <f>#REF!/#REF!</f>
        <v>#REF!</v>
      </c>
      <c r="E98" s="62" t="e">
        <f>#REF!/#REF!</f>
        <v>#REF!</v>
      </c>
      <c r="F98" s="62" t="e">
        <f>#REF!/#REF!</f>
        <v>#REF!</v>
      </c>
      <c r="G98" s="62" t="e">
        <f>#REF!/#REF!</f>
        <v>#REF!</v>
      </c>
      <c r="H98" s="62" t="e">
        <f>#REF!/#REF!</f>
        <v>#REF!</v>
      </c>
      <c r="I98" s="87">
        <v>-1.6300000000000008</v>
      </c>
      <c r="J98" s="20">
        <v>3.13</v>
      </c>
      <c r="K98" s="20">
        <v>35.43</v>
      </c>
    </row>
    <row r="99" spans="1:11" ht="14" x14ac:dyDescent="0.3">
      <c r="A99" s="61">
        <v>2016</v>
      </c>
      <c r="B99" s="61" t="s">
        <v>708</v>
      </c>
      <c r="C99" s="62" t="e">
        <f>#REF!/#REF!</f>
        <v>#REF!</v>
      </c>
      <c r="D99" s="62" t="e">
        <f>#REF!/#REF!</f>
        <v>#REF!</v>
      </c>
      <c r="E99" s="62" t="e">
        <f>#REF!/#REF!</f>
        <v>#REF!</v>
      </c>
      <c r="F99" s="62" t="e">
        <f>#REF!/#REF!</f>
        <v>#REF!</v>
      </c>
      <c r="G99" s="62" t="e">
        <f>#REF!/#REF!</f>
        <v>#REF!</v>
      </c>
      <c r="H99" s="62" t="e">
        <f>#REF!/#REF!</f>
        <v>#REF!</v>
      </c>
      <c r="I99" s="87">
        <v>-2.1</v>
      </c>
      <c r="J99" s="20">
        <v>2.79</v>
      </c>
      <c r="K99" s="20">
        <v>37.06</v>
      </c>
    </row>
    <row r="100" spans="1:11" ht="14" x14ac:dyDescent="0.3">
      <c r="A100" s="61">
        <v>2016</v>
      </c>
      <c r="B100" s="61" t="s">
        <v>709</v>
      </c>
      <c r="C100" s="62" t="e">
        <f>#REF!/#REF!</f>
        <v>#REF!</v>
      </c>
      <c r="D100" s="62" t="e">
        <f>#REF!/#REF!</f>
        <v>#REF!</v>
      </c>
      <c r="E100" s="62" t="e">
        <f>#REF!/#REF!</f>
        <v>#REF!</v>
      </c>
      <c r="F100" s="62" t="e">
        <f>#REF!/#REF!</f>
        <v>#REF!</v>
      </c>
      <c r="G100" s="62" t="e">
        <f>#REF!/#REF!</f>
        <v>#REF!</v>
      </c>
      <c r="H100" s="62" t="e">
        <f>#REF!/#REF!</f>
        <v>#REF!</v>
      </c>
      <c r="I100" s="87">
        <v>-2.6</v>
      </c>
      <c r="J100" s="20">
        <v>2.5</v>
      </c>
      <c r="K100" s="20">
        <v>37.410000000000004</v>
      </c>
    </row>
    <row r="101" spans="1:11" ht="14" x14ac:dyDescent="0.3">
      <c r="A101" s="61">
        <v>2016</v>
      </c>
      <c r="B101" s="61" t="s">
        <v>710</v>
      </c>
      <c r="C101" s="62" t="e">
        <f>#REF!/#REF!</f>
        <v>#REF!</v>
      </c>
      <c r="D101" s="62" t="e">
        <f>#REF!/#REF!</f>
        <v>#REF!</v>
      </c>
      <c r="E101" s="62" t="e">
        <f>#REF!/#REF!</f>
        <v>#REF!</v>
      </c>
      <c r="F101" s="62" t="e">
        <f>#REF!/#REF!</f>
        <v>#REF!</v>
      </c>
      <c r="G101" s="62" t="e">
        <f>#REF!/#REF!</f>
        <v>#REF!</v>
      </c>
      <c r="H101" s="62" t="e">
        <f>#REF!/#REF!</f>
        <v>#REF!</v>
      </c>
      <c r="I101" s="87">
        <v>-3.0300000000000011</v>
      </c>
      <c r="J101" s="20">
        <v>0.9</v>
      </c>
      <c r="K101" s="20">
        <v>35.270000000000003</v>
      </c>
    </row>
    <row r="102" spans="1:11" ht="14" x14ac:dyDescent="0.3">
      <c r="A102" s="61">
        <v>2016</v>
      </c>
      <c r="B102" s="61" t="s">
        <v>711</v>
      </c>
      <c r="C102" s="62" t="e">
        <f>#REF!/#REF!</f>
        <v>#REF!</v>
      </c>
      <c r="D102" s="62" t="e">
        <f>#REF!/#REF!</f>
        <v>#REF!</v>
      </c>
      <c r="E102" s="62" t="e">
        <f>#REF!/#REF!</f>
        <v>#REF!</v>
      </c>
      <c r="F102" s="62" t="e">
        <f>#REF!/#REF!</f>
        <v>#REF!</v>
      </c>
      <c r="G102" s="62" t="e">
        <f>#REF!/#REF!</f>
        <v>#REF!</v>
      </c>
      <c r="H102" s="62" t="e">
        <f>#REF!/#REF!</f>
        <v>#REF!</v>
      </c>
      <c r="I102" s="87">
        <v>-2.92</v>
      </c>
      <c r="J102" s="20">
        <v>0.76</v>
      </c>
      <c r="K102" s="20">
        <v>33.929999999999993</v>
      </c>
    </row>
    <row r="103" spans="1:11" ht="14" x14ac:dyDescent="0.3">
      <c r="A103" s="61">
        <v>2016</v>
      </c>
      <c r="B103" s="61" t="s">
        <v>712</v>
      </c>
      <c r="C103" s="62" t="e">
        <f>#REF!/#REF!</f>
        <v>#REF!</v>
      </c>
      <c r="D103" s="62" t="e">
        <f>#REF!/#REF!</f>
        <v>#REF!</v>
      </c>
      <c r="E103" s="62" t="e">
        <f>#REF!/#REF!</f>
        <v>#REF!</v>
      </c>
      <c r="F103" s="62" t="e">
        <f>#REF!/#REF!</f>
        <v>#REF!</v>
      </c>
      <c r="G103" s="62" t="e">
        <f>#REF!/#REF!</f>
        <v>#REF!</v>
      </c>
      <c r="H103" s="62" t="e">
        <f>#REF!/#REF!</f>
        <v>#REF!</v>
      </c>
      <c r="I103" s="87">
        <v>-2.3100000000000005</v>
      </c>
      <c r="J103" s="20">
        <v>2.61</v>
      </c>
      <c r="K103" s="20">
        <v>31.7</v>
      </c>
    </row>
    <row r="104" spans="1:11" ht="14" x14ac:dyDescent="0.3">
      <c r="A104" s="61">
        <v>2017</v>
      </c>
      <c r="B104" s="61" t="s">
        <v>719</v>
      </c>
      <c r="C104" s="62" t="e">
        <f>#REF!/#REF!</f>
        <v>#REF!</v>
      </c>
      <c r="D104" s="62" t="e">
        <f>#REF!/#REF!</f>
        <v>#REF!</v>
      </c>
      <c r="E104" s="62" t="e">
        <f>#REF!/#REF!</f>
        <v>#REF!</v>
      </c>
      <c r="F104" s="62" t="e">
        <f>#REF!/#REF!</f>
        <v>#REF!</v>
      </c>
      <c r="G104" s="62" t="e">
        <f>#REF!/#REF!</f>
        <v>#REF!</v>
      </c>
      <c r="H104" s="62" t="e">
        <f>#REF!/#REF!</f>
        <v>#REF!</v>
      </c>
      <c r="I104" s="87">
        <v>-1.9700000000000006</v>
      </c>
      <c r="J104" s="20">
        <v>2.75</v>
      </c>
      <c r="K104" s="20">
        <v>31.77</v>
      </c>
    </row>
    <row r="105" spans="1:11" ht="14" x14ac:dyDescent="0.3">
      <c r="A105" s="61">
        <v>2017</v>
      </c>
      <c r="B105" s="61" t="s">
        <v>713</v>
      </c>
      <c r="C105" s="62" t="e">
        <f>#REF!/#REF!</f>
        <v>#REF!</v>
      </c>
      <c r="D105" s="62" t="e">
        <f>#REF!/#REF!</f>
        <v>#REF!</v>
      </c>
      <c r="E105" s="62" t="e">
        <f>#REF!/#REF!</f>
        <v>#REF!</v>
      </c>
      <c r="F105" s="62" t="e">
        <f>#REF!/#REF!</f>
        <v>#REF!</v>
      </c>
      <c r="G105" s="62" t="e">
        <f>#REF!/#REF!</f>
        <v>#REF!</v>
      </c>
      <c r="H105" s="62" t="e">
        <f>#REF!/#REF!</f>
        <v>#REF!</v>
      </c>
      <c r="I105" s="87">
        <v>-2.3200000000000003</v>
      </c>
      <c r="J105" s="20">
        <v>0.68</v>
      </c>
      <c r="K105" s="20">
        <v>28.659999999999997</v>
      </c>
    </row>
    <row r="106" spans="1:11" ht="14" x14ac:dyDescent="0.3">
      <c r="A106" s="61">
        <v>2017</v>
      </c>
      <c r="B106" s="61" t="s">
        <v>714</v>
      </c>
      <c r="C106" s="62" t="e">
        <f>#REF!/#REF!</f>
        <v>#REF!</v>
      </c>
      <c r="D106" s="62" t="e">
        <f>#REF!/#REF!</f>
        <v>#REF!</v>
      </c>
      <c r="E106" s="62" t="e">
        <f>#REF!/#REF!</f>
        <v>#REF!</v>
      </c>
      <c r="F106" s="62" t="e">
        <f>#REF!/#REF!</f>
        <v>#REF!</v>
      </c>
      <c r="G106" s="62" t="e">
        <f>#REF!/#REF!</f>
        <v>#REF!</v>
      </c>
      <c r="H106" s="62" t="e">
        <f>#REF!/#REF!</f>
        <v>#REF!</v>
      </c>
      <c r="I106" s="87">
        <v>-2.3200000000000003</v>
      </c>
      <c r="J106" s="20">
        <v>3.19</v>
      </c>
      <c r="K106" s="20">
        <v>30.69</v>
      </c>
    </row>
    <row r="107" spans="1:11" ht="14" x14ac:dyDescent="0.3">
      <c r="A107" s="61">
        <v>2017</v>
      </c>
      <c r="B107" s="61" t="s">
        <v>705</v>
      </c>
      <c r="C107" s="62" t="e">
        <f>#REF!/#REF!</f>
        <v>#REF!</v>
      </c>
      <c r="D107" s="62" t="e">
        <f>#REF!/#REF!</f>
        <v>#REF!</v>
      </c>
      <c r="E107" s="62" t="e">
        <f>#REF!/#REF!</f>
        <v>#REF!</v>
      </c>
      <c r="F107" s="62" t="e">
        <f>#REF!/#REF!</f>
        <v>#REF!</v>
      </c>
      <c r="G107" s="62" t="e">
        <f>#REF!/#REF!</f>
        <v>#REF!</v>
      </c>
      <c r="H107" s="62" t="e">
        <f>#REF!/#REF!</f>
        <v>#REF!</v>
      </c>
      <c r="I107" s="87">
        <v>-1.9</v>
      </c>
      <c r="J107" s="20">
        <v>2.62</v>
      </c>
      <c r="K107" s="20">
        <v>31.26</v>
      </c>
    </row>
    <row r="108" spans="1:11" ht="14" x14ac:dyDescent="0.3">
      <c r="A108" s="61">
        <v>2017</v>
      </c>
      <c r="B108" s="61" t="s">
        <v>715</v>
      </c>
      <c r="C108" s="62" t="e">
        <f>#REF!/#REF!</f>
        <v>#REF!</v>
      </c>
      <c r="D108" s="62" t="e">
        <f>#REF!/#REF!</f>
        <v>#REF!</v>
      </c>
      <c r="E108" s="62" t="e">
        <f>#REF!/#REF!</f>
        <v>#REF!</v>
      </c>
      <c r="F108" s="62" t="e">
        <f>#REF!/#REF!</f>
        <v>#REF!</v>
      </c>
      <c r="G108" s="62" t="e">
        <f>#REF!/#REF!</f>
        <v>#REF!</v>
      </c>
      <c r="H108" s="62" t="e">
        <f>#REF!/#REF!</f>
        <v>#REF!</v>
      </c>
      <c r="I108" s="87">
        <v>-0.4</v>
      </c>
      <c r="J108" s="20">
        <v>5.55</v>
      </c>
      <c r="K108" s="20">
        <f>SUM(J97:J108)</f>
        <v>31.160000000000004</v>
      </c>
    </row>
    <row r="109" spans="1:11" ht="14" x14ac:dyDescent="0.3">
      <c r="A109" s="61">
        <v>2017</v>
      </c>
      <c r="B109" s="61" t="s">
        <v>718</v>
      </c>
      <c r="C109" s="62" t="e">
        <f>#REF!/#REF!</f>
        <v>#REF!</v>
      </c>
      <c r="D109" s="62" t="e">
        <f>#REF!/#REF!</f>
        <v>#REF!</v>
      </c>
      <c r="E109" s="62" t="e">
        <f>#REF!/#REF!</f>
        <v>#REF!</v>
      </c>
      <c r="F109" s="62" t="e">
        <f>#REF!/#REF!</f>
        <v>#REF!</v>
      </c>
      <c r="G109" s="62" t="e">
        <f>#REF!/#REF!</f>
        <v>#REF!</v>
      </c>
      <c r="H109" s="62" t="e">
        <f>#REF!/#REF!</f>
        <v>#REF!</v>
      </c>
      <c r="I109" s="87">
        <v>-2.17</v>
      </c>
      <c r="J109" s="87" t="e">
        <f>#REF!</f>
        <v>#REF!</v>
      </c>
      <c r="K109" s="20" t="e">
        <f>SUM(J98:J109)</f>
        <v>#REF!</v>
      </c>
    </row>
    <row r="110" spans="1:11" ht="14" x14ac:dyDescent="0.3">
      <c r="A110" s="61">
        <v>2017</v>
      </c>
      <c r="B110" s="61" t="s">
        <v>716</v>
      </c>
      <c r="C110" s="62" t="e">
        <f>#REF!/#REF!</f>
        <v>#REF!</v>
      </c>
      <c r="D110" s="62" t="e">
        <f>#REF!/#REF!</f>
        <v>#REF!</v>
      </c>
      <c r="E110" s="62" t="e">
        <f>#REF!/#REF!</f>
        <v>#REF!</v>
      </c>
      <c r="F110" s="62" t="e">
        <f>#REF!/#REF!</f>
        <v>#REF!</v>
      </c>
      <c r="G110" s="62" t="e">
        <f>#REF!/#REF!</f>
        <v>#REF!</v>
      </c>
      <c r="H110" s="62" t="e">
        <f>#REF!/#REF!</f>
        <v>#REF!</v>
      </c>
      <c r="I110" s="87">
        <v>-2.6500000000000004</v>
      </c>
      <c r="J110" s="87" t="e">
        <f>#REF!</f>
        <v>#REF!</v>
      </c>
      <c r="K110" s="20" t="e">
        <f>SUM(J99:J110)</f>
        <v>#REF!</v>
      </c>
    </row>
    <row r="111" spans="1:11" ht="14" x14ac:dyDescent="0.3">
      <c r="A111" s="61">
        <v>2017</v>
      </c>
      <c r="B111" s="61" t="s">
        <v>708</v>
      </c>
      <c r="C111" s="62" t="e">
        <f>#REF!/#REF!</f>
        <v>#REF!</v>
      </c>
      <c r="D111" s="62" t="e">
        <f>#REF!/#REF!</f>
        <v>#REF!</v>
      </c>
      <c r="E111" s="62" t="e">
        <f>#REF!/#REF!</f>
        <v>#REF!</v>
      </c>
      <c r="F111" s="62" t="e">
        <f>#REF!/#REF!</f>
        <v>#REF!</v>
      </c>
      <c r="G111" s="62" t="e">
        <f>#REF!/#REF!</f>
        <v>#REF!</v>
      </c>
      <c r="H111" s="62" t="e">
        <f>#REF!/#REF!</f>
        <v>#REF!</v>
      </c>
      <c r="I111" s="87">
        <v>-2.7950000000000017</v>
      </c>
      <c r="J111" s="87" t="e">
        <f>#REF!</f>
        <v>#REF!</v>
      </c>
      <c r="K111" s="20" t="e">
        <f>SUM(J100:J111)</f>
        <v>#REF!</v>
      </c>
    </row>
    <row r="112" spans="1:11" ht="14" x14ac:dyDescent="0.3">
      <c r="A112" s="61">
        <v>2017</v>
      </c>
      <c r="B112" s="61" t="s">
        <v>709</v>
      </c>
      <c r="C112" s="62" t="e">
        <f>#REF!/#REF!</f>
        <v>#REF!</v>
      </c>
      <c r="D112" s="62" t="e">
        <f>#REF!/#REF!</f>
        <v>#REF!</v>
      </c>
      <c r="E112" s="62" t="e">
        <f>#REF!/#REF!</f>
        <v>#REF!</v>
      </c>
      <c r="F112" s="62" t="e">
        <f>#REF!/#REF!</f>
        <v>#REF!</v>
      </c>
      <c r="G112" s="62" t="e">
        <f>#REF!/#REF!</f>
        <v>#REF!</v>
      </c>
      <c r="H112" s="62" t="e">
        <f>#REF!/#REF!</f>
        <v>#REF!</v>
      </c>
      <c r="I112" s="87">
        <v>-2.9400000000000013</v>
      </c>
      <c r="J112" s="87" t="e">
        <f>#REF!</f>
        <v>#REF!</v>
      </c>
      <c r="K112" s="20" t="e">
        <f>SUM(J101:J112)</f>
        <v>#REF!</v>
      </c>
    </row>
    <row r="113" spans="1:12" ht="14" x14ac:dyDescent="0.3">
      <c r="A113" s="61">
        <v>2017</v>
      </c>
      <c r="B113" s="61" t="s">
        <v>710</v>
      </c>
      <c r="C113" s="62" t="e">
        <f>#REF!/#REF!</f>
        <v>#REF!</v>
      </c>
      <c r="D113" s="62" t="e">
        <f>#REF!/#REF!</f>
        <v>#REF!</v>
      </c>
      <c r="E113" s="62" t="e">
        <f>#REF!/#REF!</f>
        <v>#REF!</v>
      </c>
      <c r="F113" s="62" t="e">
        <f>#REF!/#REF!</f>
        <v>#REF!</v>
      </c>
      <c r="G113" s="62" t="e">
        <f>#REF!/#REF!</f>
        <v>#REF!</v>
      </c>
      <c r="H113" s="62" t="e">
        <f>#REF!/#REF!</f>
        <v>#REF!</v>
      </c>
      <c r="I113" s="87">
        <v>-3.2</v>
      </c>
      <c r="J113" s="20">
        <v>2.02</v>
      </c>
      <c r="K113" s="20" t="e">
        <f t="shared" ref="K113:K119" si="0">SUM(J102:J113)</f>
        <v>#REF!</v>
      </c>
    </row>
    <row r="114" spans="1:12" ht="14" x14ac:dyDescent="0.3">
      <c r="A114" s="61">
        <v>2017</v>
      </c>
      <c r="B114" s="61" t="s">
        <v>711</v>
      </c>
      <c r="C114" s="62" t="e">
        <f>#REF!/#REF!</f>
        <v>#REF!</v>
      </c>
      <c r="D114" s="62" t="e">
        <f>#REF!/#REF!</f>
        <v>#REF!</v>
      </c>
      <c r="E114" s="62" t="e">
        <f>#REF!/#REF!</f>
        <v>#REF!</v>
      </c>
      <c r="F114" s="62" t="e">
        <f>#REF!/#REF!</f>
        <v>#REF!</v>
      </c>
      <c r="G114" s="62" t="e">
        <f>#REF!/#REF!</f>
        <v>#REF!</v>
      </c>
      <c r="H114" s="62" t="e">
        <f>#REF!/#REF!</f>
        <v>#REF!</v>
      </c>
      <c r="I114" s="87">
        <v>-3.0300000000000011</v>
      </c>
      <c r="J114" s="20">
        <v>2</v>
      </c>
      <c r="K114" s="20" t="e">
        <f t="shared" si="0"/>
        <v>#REF!</v>
      </c>
    </row>
    <row r="115" spans="1:12" ht="14" x14ac:dyDescent="0.3">
      <c r="A115" s="61">
        <v>2017</v>
      </c>
      <c r="B115" s="61" t="s">
        <v>712</v>
      </c>
      <c r="C115" s="62" t="e">
        <f>#REF!/#REF!</f>
        <v>#REF!</v>
      </c>
      <c r="D115" s="62" t="e">
        <f>#REF!/#REF!</f>
        <v>#REF!</v>
      </c>
      <c r="E115" s="62" t="e">
        <f>#REF!/#REF!</f>
        <v>#REF!</v>
      </c>
      <c r="F115" s="62" t="e">
        <f>#REF!/#REF!</f>
        <v>#REF!</v>
      </c>
      <c r="G115" s="62" t="e">
        <f>#REF!/#REF!</f>
        <v>#REF!</v>
      </c>
      <c r="H115" s="62" t="e">
        <f>#REF!/#REF!</f>
        <v>#REF!</v>
      </c>
      <c r="I115" s="87">
        <v>-3.1400000000000006</v>
      </c>
      <c r="J115" s="20">
        <v>0.5</v>
      </c>
      <c r="K115" s="20" t="e">
        <f t="shared" si="0"/>
        <v>#REF!</v>
      </c>
    </row>
    <row r="116" spans="1:12" ht="14" x14ac:dyDescent="0.3">
      <c r="A116" s="61">
        <v>2018</v>
      </c>
      <c r="B116" s="61" t="s">
        <v>719</v>
      </c>
      <c r="C116" s="62" t="e">
        <f>#REF!/#REF!</f>
        <v>#REF!</v>
      </c>
      <c r="D116" s="62" t="e">
        <f>#REF!/#REF!</f>
        <v>#REF!</v>
      </c>
      <c r="E116" s="62" t="e">
        <f>#REF!/#REF!</f>
        <v>#REF!</v>
      </c>
      <c r="F116" s="62" t="e">
        <f>#REF!/#REF!</f>
        <v>#REF!</v>
      </c>
      <c r="G116" s="62" t="e">
        <f>#REF!/#REF!</f>
        <v>#REF!</v>
      </c>
      <c r="H116" s="62" t="e">
        <f>#REF!/#REF!</f>
        <v>#REF!</v>
      </c>
      <c r="I116" s="87">
        <v>-3.3000000000000007</v>
      </c>
      <c r="J116" s="20">
        <v>0.94</v>
      </c>
      <c r="K116" s="20" t="e">
        <f t="shared" si="0"/>
        <v>#REF!</v>
      </c>
    </row>
    <row r="117" spans="1:12" ht="14" x14ac:dyDescent="0.3">
      <c r="A117" s="61">
        <v>2018</v>
      </c>
      <c r="B117" s="61" t="s">
        <v>713</v>
      </c>
      <c r="C117" s="62" t="e">
        <f>#REF!/#REF!</f>
        <v>#REF!</v>
      </c>
      <c r="D117" s="62" t="e">
        <f>#REF!/#REF!</f>
        <v>#REF!</v>
      </c>
      <c r="E117" s="62" t="e">
        <f>#REF!/#REF!</f>
        <v>#REF!</v>
      </c>
      <c r="F117" s="62" t="e">
        <f>#REF!/#REF!</f>
        <v>#REF!</v>
      </c>
      <c r="G117" s="62" t="e">
        <f>#REF!/#REF!</f>
        <v>#REF!</v>
      </c>
      <c r="H117" s="62" t="e">
        <f>#REF!/#REF!</f>
        <v>#REF!</v>
      </c>
      <c r="I117" s="87">
        <v>-1.2000000000000011</v>
      </c>
      <c r="J117" s="20">
        <v>4.79</v>
      </c>
      <c r="K117" s="20" t="e">
        <f t="shared" si="0"/>
        <v>#REF!</v>
      </c>
    </row>
    <row r="118" spans="1:12" ht="14" x14ac:dyDescent="0.3">
      <c r="A118" s="61">
        <v>2018</v>
      </c>
      <c r="B118" s="61" t="s">
        <v>714</v>
      </c>
      <c r="C118" s="62" t="e">
        <f>#REF!/#REF!</f>
        <v>#REF!</v>
      </c>
      <c r="D118" s="62" t="e">
        <f>#REF!/#REF!</f>
        <v>#REF!</v>
      </c>
      <c r="E118" s="62" t="e">
        <f>#REF!/#REF!</f>
        <v>#REF!</v>
      </c>
      <c r="F118" s="62" t="e">
        <f>#REF!/#REF!</f>
        <v>#REF!</v>
      </c>
      <c r="G118" s="62" t="e">
        <f>#REF!/#REF!</f>
        <v>#REF!</v>
      </c>
      <c r="H118" s="62" t="e">
        <f>#REF!/#REF!</f>
        <v>#REF!</v>
      </c>
      <c r="I118" s="87">
        <v>-1.3800000000000008</v>
      </c>
      <c r="J118" s="20">
        <v>1.92</v>
      </c>
      <c r="K118" s="20" t="e">
        <f t="shared" si="0"/>
        <v>#REF!</v>
      </c>
      <c r="L118" s="62" t="e">
        <f>((#REF!-#REF!))/#REF!</f>
        <v>#REF!</v>
      </c>
    </row>
    <row r="119" spans="1:12" ht="14" x14ac:dyDescent="0.3">
      <c r="A119" s="61">
        <v>2018</v>
      </c>
      <c r="B119" s="61" t="s">
        <v>705</v>
      </c>
      <c r="C119" s="62" t="e">
        <f>#REF!/#REF!</f>
        <v>#REF!</v>
      </c>
      <c r="D119" s="62" t="e">
        <f>#REF!/#REF!</f>
        <v>#REF!</v>
      </c>
      <c r="E119" s="62" t="e">
        <f>#REF!/#REF!</f>
        <v>#REF!</v>
      </c>
      <c r="F119" s="62" t="e">
        <f>#REF!/#REF!</f>
        <v>#REF!</v>
      </c>
      <c r="G119" s="62" t="e">
        <f>#REF!/#REF!</f>
        <v>#REF!</v>
      </c>
      <c r="H119" s="62" t="e">
        <f>#REF!/#REF!</f>
        <v>#REF!</v>
      </c>
      <c r="I119" s="87">
        <v>-0.54000000000000092</v>
      </c>
      <c r="J119" s="20">
        <v>3.59</v>
      </c>
      <c r="K119" s="20" t="e">
        <f t="shared" si="0"/>
        <v>#REF!</v>
      </c>
      <c r="L119" s="62" t="e">
        <f>((#REF!-#REF!))/#REF!</f>
        <v>#REF!</v>
      </c>
    </row>
    <row r="120" spans="1:12" ht="14" x14ac:dyDescent="0.3">
      <c r="A120" s="61">
        <v>2018</v>
      </c>
      <c r="B120" s="61" t="s">
        <v>715</v>
      </c>
      <c r="C120" s="62" t="e">
        <f>#REF!/#REF!</f>
        <v>#REF!</v>
      </c>
      <c r="D120" s="62" t="e">
        <f>#REF!/#REF!</f>
        <v>#REF!</v>
      </c>
      <c r="E120" s="62" t="e">
        <f>#REF!/#REF!</f>
        <v>#REF!</v>
      </c>
      <c r="F120" s="62" t="e">
        <f>#REF!/#REF!</f>
        <v>#REF!</v>
      </c>
      <c r="G120" s="62" t="e">
        <f>#REF!/#REF!</f>
        <v>#REF!</v>
      </c>
      <c r="H120" s="62" t="e">
        <f>#REF!/#REF!</f>
        <v>#REF!</v>
      </c>
      <c r="I120" s="87">
        <v>-0.76999999999999957</v>
      </c>
      <c r="J120" s="87" t="e">
        <f>+#REF!</f>
        <v>#REF!</v>
      </c>
      <c r="K120" s="87" t="e">
        <f>+#REF!</f>
        <v>#REF!</v>
      </c>
      <c r="L120" s="62" t="e">
        <f>((#REF!-#REF!))/#REF!</f>
        <v>#REF!</v>
      </c>
    </row>
    <row r="121" spans="1:12" ht="14" x14ac:dyDescent="0.3">
      <c r="A121" s="61">
        <v>2018</v>
      </c>
      <c r="B121" s="61" t="s">
        <v>718</v>
      </c>
      <c r="C121" s="62" t="e">
        <f>#REF!/#REF!</f>
        <v>#REF!</v>
      </c>
      <c r="D121" s="62" t="e">
        <f>#REF!/#REF!</f>
        <v>#REF!</v>
      </c>
      <c r="E121" s="62" t="e">
        <f>#REF!/#REF!</f>
        <v>#REF!</v>
      </c>
      <c r="F121" s="62" t="e">
        <f>#REF!/#REF!</f>
        <v>#REF!</v>
      </c>
      <c r="G121" s="62" t="e">
        <f>#REF!/#REF!</f>
        <v>#REF!</v>
      </c>
      <c r="H121" s="62" t="e">
        <f>#REF!/#REF!</f>
        <v>#REF!</v>
      </c>
      <c r="I121" s="87">
        <v>-0.63000000000000078</v>
      </c>
      <c r="J121" s="87" t="e">
        <f>+#REF!</f>
        <v>#REF!</v>
      </c>
      <c r="K121" s="87" t="e">
        <f>+#REF!</f>
        <v>#REF!</v>
      </c>
      <c r="L121" s="62" t="e">
        <f>((#REF!-#REF!))/#REF!</f>
        <v>#REF!</v>
      </c>
    </row>
    <row r="122" spans="1:12" ht="14" x14ac:dyDescent="0.3">
      <c r="A122" s="61">
        <v>2018</v>
      </c>
      <c r="B122" s="61" t="s">
        <v>716</v>
      </c>
      <c r="C122" s="62" t="e">
        <f>#REF!/#REF!</f>
        <v>#REF!</v>
      </c>
      <c r="D122" s="62" t="e">
        <f>#REF!/#REF!</f>
        <v>#REF!</v>
      </c>
      <c r="E122" s="62" t="e">
        <f>#REF!/#REF!</f>
        <v>#REF!</v>
      </c>
      <c r="F122" s="62" t="e">
        <f>#REF!/#REF!</f>
        <v>#REF!</v>
      </c>
      <c r="G122" s="62" t="e">
        <f>#REF!/#REF!</f>
        <v>#REF!</v>
      </c>
      <c r="H122" s="62" t="e">
        <f>#REF!/#REF!</f>
        <v>#REF!</v>
      </c>
      <c r="I122" s="87">
        <v>-0.42999999999999972</v>
      </c>
      <c r="J122" s="87" t="e">
        <f>+#REF!</f>
        <v>#REF!</v>
      </c>
      <c r="K122" s="87" t="e">
        <f>+#REF!</f>
        <v>#REF!</v>
      </c>
      <c r="L122" s="62" t="e">
        <f>((#REF!-#REF!))/#REF!</f>
        <v>#REF!</v>
      </c>
    </row>
    <row r="123" spans="1:12" ht="14" x14ac:dyDescent="0.3">
      <c r="A123" s="61">
        <v>2018</v>
      </c>
      <c r="B123" s="61" t="s">
        <v>708</v>
      </c>
      <c r="C123" s="62" t="e">
        <f>#REF!/#REF!</f>
        <v>#REF!</v>
      </c>
      <c r="D123" s="62" t="e">
        <f>#REF!/#REF!</f>
        <v>#REF!</v>
      </c>
      <c r="E123" s="62" t="e">
        <f>#REF!/#REF!</f>
        <v>#REF!</v>
      </c>
      <c r="F123" s="62" t="e">
        <f>#REF!/#REF!</f>
        <v>#REF!</v>
      </c>
      <c r="G123" s="62" t="e">
        <f>#REF!/#REF!</f>
        <v>#REF!</v>
      </c>
      <c r="H123" s="62" t="e">
        <f>#REF!/#REF!</f>
        <v>#REF!</v>
      </c>
      <c r="I123" s="87">
        <v>-1.1899999999999995</v>
      </c>
      <c r="J123" s="87" t="e">
        <f>+#REF!</f>
        <v>#REF!</v>
      </c>
      <c r="K123" s="87" t="e">
        <f>+#REF!</f>
        <v>#REF!</v>
      </c>
      <c r="L123" s="62" t="e">
        <f>((#REF!-#REF!))/#REF!</f>
        <v>#REF!</v>
      </c>
    </row>
    <row r="124" spans="1:12" ht="14" x14ac:dyDescent="0.3">
      <c r="A124" s="61">
        <v>2018</v>
      </c>
      <c r="B124" s="61" t="s">
        <v>709</v>
      </c>
      <c r="C124" s="62" t="e">
        <f>#REF!/#REF!</f>
        <v>#REF!</v>
      </c>
      <c r="D124" s="62" t="e">
        <f>#REF!/#REF!</f>
        <v>#REF!</v>
      </c>
      <c r="E124" s="62" t="e">
        <f>#REF!/#REF!</f>
        <v>#REF!</v>
      </c>
      <c r="F124" s="62" t="e">
        <f>#REF!/#REF!</f>
        <v>#REF!</v>
      </c>
      <c r="G124" s="62" t="e">
        <f>#REF!/#REF!</f>
        <v>#REF!</v>
      </c>
      <c r="H124" s="62" t="e">
        <f>#REF!/#REF!</f>
        <v>#REF!</v>
      </c>
      <c r="I124" s="87">
        <v>2.6999999999999993</v>
      </c>
      <c r="J124" s="87" t="e">
        <f>+#REF!</f>
        <v>#REF!</v>
      </c>
      <c r="K124" s="87" t="e">
        <f>+#REF!</f>
        <v>#REF!</v>
      </c>
      <c r="L124" s="62" t="e">
        <f>((#REF!-#REF!))/#REF!</f>
        <v>#REF!</v>
      </c>
    </row>
    <row r="125" spans="1:12" ht="14" x14ac:dyDescent="0.3">
      <c r="A125" s="61">
        <v>2018</v>
      </c>
      <c r="B125" s="61" t="s">
        <v>710</v>
      </c>
      <c r="C125" s="62" t="e">
        <f>#REF!/#REF!</f>
        <v>#REF!</v>
      </c>
      <c r="D125" s="62" t="e">
        <f>#REF!/#REF!</f>
        <v>#REF!</v>
      </c>
      <c r="E125" s="62" t="e">
        <f>#REF!/#REF!</f>
        <v>#REF!</v>
      </c>
      <c r="F125" s="62" t="e">
        <f>#REF!/#REF!</f>
        <v>#REF!</v>
      </c>
      <c r="G125" s="62" t="e">
        <f>#REF!/#REF!</f>
        <v>#REF!</v>
      </c>
      <c r="H125" s="62" t="e">
        <f>#REF!/#REF!</f>
        <v>#REF!</v>
      </c>
      <c r="I125" s="87">
        <v>0.77999999999999936</v>
      </c>
      <c r="J125" s="20">
        <v>3.06</v>
      </c>
      <c r="K125" s="87" t="e">
        <f>+#REF!</f>
        <v>#REF!</v>
      </c>
      <c r="L125" s="62" t="e">
        <f>((#REF!-#REF!))/#REF!</f>
        <v>#REF!</v>
      </c>
    </row>
    <row r="126" spans="1:12" ht="14" x14ac:dyDescent="0.3">
      <c r="A126" s="61">
        <v>2018</v>
      </c>
      <c r="B126" s="61" t="s">
        <v>711</v>
      </c>
      <c r="C126" s="62" t="e">
        <f>#REF!/#REF!</f>
        <v>#REF!</v>
      </c>
      <c r="D126" s="62" t="e">
        <f>#REF!/#REF!</f>
        <v>#REF!</v>
      </c>
      <c r="E126" s="62" t="e">
        <f>#REF!/#REF!</f>
        <v>#REF!</v>
      </c>
      <c r="F126" s="62" t="e">
        <f>#REF!/#REF!</f>
        <v>#REF!</v>
      </c>
      <c r="G126" s="62" t="e">
        <f>#REF!/#REF!</f>
        <v>#REF!</v>
      </c>
      <c r="H126" s="62" t="e">
        <f>#REF!/#REF!</f>
        <v>#REF!</v>
      </c>
      <c r="I126" s="87">
        <v>2.3699999999999992</v>
      </c>
      <c r="J126" s="20">
        <v>7.57</v>
      </c>
      <c r="K126" s="87" t="e">
        <f>+#REF!</f>
        <v>#REF!</v>
      </c>
      <c r="L126" s="62" t="e">
        <f>((#REF!-#REF!))/#REF!</f>
        <v>#REF!</v>
      </c>
    </row>
    <row r="127" spans="1:12" ht="14" x14ac:dyDescent="0.3">
      <c r="A127" s="61">
        <v>2018</v>
      </c>
      <c r="B127" s="61" t="s">
        <v>712</v>
      </c>
      <c r="C127" s="62" t="e">
        <f>#REF!/#REF!</f>
        <v>#REF!</v>
      </c>
      <c r="D127" s="62" t="e">
        <f>#REF!/#REF!</f>
        <v>#REF!</v>
      </c>
      <c r="E127" s="62" t="e">
        <f>#REF!/#REF!</f>
        <v>#REF!</v>
      </c>
      <c r="F127" s="62" t="e">
        <f>#REF!/#REF!</f>
        <v>#REF!</v>
      </c>
      <c r="G127" s="62" t="e">
        <f>#REF!/#REF!</f>
        <v>#REF!</v>
      </c>
      <c r="H127" s="62" t="e">
        <f>#REF!/#REF!</f>
        <v>#REF!</v>
      </c>
      <c r="I127" s="87">
        <v>2.5350000000000001</v>
      </c>
      <c r="J127" s="20">
        <v>5.82</v>
      </c>
      <c r="K127" s="87" t="e">
        <f>+#REF!</f>
        <v>#REF!</v>
      </c>
      <c r="L127" s="62" t="e">
        <f>((#REF!-#REF!))/#REF!</f>
        <v>#REF!</v>
      </c>
    </row>
    <row r="128" spans="1:12" ht="14" x14ac:dyDescent="0.3">
      <c r="A128" s="61">
        <v>2019</v>
      </c>
      <c r="B128" s="61" t="s">
        <v>719</v>
      </c>
      <c r="C128" s="62" t="e">
        <f>#REF!/#REF!</f>
        <v>#REF!</v>
      </c>
      <c r="D128" s="62" t="e">
        <f>#REF!/#REF!</f>
        <v>#REF!</v>
      </c>
      <c r="E128" s="62" t="e">
        <f>#REF!/#REF!</f>
        <v>#REF!</v>
      </c>
      <c r="F128" s="62" t="e">
        <f>#REF!/#REF!</f>
        <v>#REF!</v>
      </c>
      <c r="G128" s="62" t="e">
        <f>#REF!/#REF!</f>
        <v>#REF!</v>
      </c>
      <c r="H128" s="62" t="e">
        <f>#REF!/#REF!</f>
        <v>#REF!</v>
      </c>
      <c r="I128" s="87">
        <v>2.6999999999999993</v>
      </c>
      <c r="J128" s="20">
        <v>2.4900000000000002</v>
      </c>
      <c r="K128" s="87" t="e">
        <f>+#REF!</f>
        <v>#REF!</v>
      </c>
      <c r="L128" s="62" t="e">
        <f>((#REF!-#REF!))/#REF!</f>
        <v>#REF!</v>
      </c>
    </row>
    <row r="129" spans="1:12" ht="14" x14ac:dyDescent="0.3">
      <c r="A129" s="61">
        <v>2019</v>
      </c>
      <c r="B129" s="61" t="s">
        <v>713</v>
      </c>
      <c r="C129" s="62" t="e">
        <f>#REF!/#REF!</f>
        <v>#REF!</v>
      </c>
      <c r="D129" s="62" t="e">
        <f>#REF!/#REF!</f>
        <v>#REF!</v>
      </c>
      <c r="E129" s="62" t="e">
        <f>#REF!/#REF!</f>
        <v>#REF!</v>
      </c>
      <c r="F129" s="62" t="e">
        <f>#REF!/#REF!</f>
        <v>#REF!</v>
      </c>
      <c r="G129" s="62" t="e">
        <f>#REF!/#REF!</f>
        <v>#REF!</v>
      </c>
      <c r="H129" s="62" t="e">
        <f>#REF!/#REF!</f>
        <v>#REF!</v>
      </c>
      <c r="I129" s="87">
        <v>2.6999999999999993</v>
      </c>
      <c r="J129" s="20">
        <v>3.52</v>
      </c>
      <c r="K129" s="87" t="e">
        <f>+#REF!</f>
        <v>#REF!</v>
      </c>
      <c r="L129" s="62" t="e">
        <f>((#REF!-#REF!))/#REF!</f>
        <v>#REF!</v>
      </c>
    </row>
    <row r="130" spans="1:12" ht="14" x14ac:dyDescent="0.3">
      <c r="A130" s="61">
        <v>2019</v>
      </c>
      <c r="B130" s="61" t="s">
        <v>714</v>
      </c>
      <c r="C130" s="62" t="e">
        <f>#REF!/#REF!</f>
        <v>#REF!</v>
      </c>
      <c r="D130" s="62" t="e">
        <f>#REF!/#REF!</f>
        <v>#REF!</v>
      </c>
      <c r="E130" s="62" t="e">
        <f>#REF!/#REF!</f>
        <v>#REF!</v>
      </c>
      <c r="F130" s="62" t="e">
        <f>#REF!/#REF!</f>
        <v>#REF!</v>
      </c>
      <c r="G130" s="62" t="e">
        <f>#REF!/#REF!</f>
        <v>#REF!</v>
      </c>
      <c r="H130" s="62" t="e">
        <f>#REF!/#REF!</f>
        <v>#REF!</v>
      </c>
      <c r="I130" s="87">
        <v>2.5199999999999996</v>
      </c>
      <c r="J130" s="20">
        <v>4</v>
      </c>
      <c r="K130" s="87" t="e">
        <f>+#REF!</f>
        <v>#REF!</v>
      </c>
      <c r="L130" s="62" t="e">
        <f>((#REF!-#REF!))/#REF!</f>
        <v>#REF!</v>
      </c>
    </row>
    <row r="131" spans="1:12" ht="14" x14ac:dyDescent="0.3">
      <c r="A131" s="61">
        <v>2019</v>
      </c>
      <c r="B131" s="61" t="s">
        <v>705</v>
      </c>
      <c r="C131" s="62" t="e">
        <f>#REF!/#REF!</f>
        <v>#REF!</v>
      </c>
      <c r="D131" s="62" t="e">
        <f>#REF!/#REF!</f>
        <v>#REF!</v>
      </c>
      <c r="E131" s="62" t="e">
        <f>#REF!/#REF!</f>
        <v>#REF!</v>
      </c>
      <c r="F131" s="62" t="e">
        <f>#REF!/#REF!</f>
        <v>#REF!</v>
      </c>
      <c r="G131" s="62" t="e">
        <f>#REF!/#REF!</f>
        <v>#REF!</v>
      </c>
      <c r="H131" s="62" t="e">
        <f>#REF!/#REF!</f>
        <v>#REF!</v>
      </c>
      <c r="I131" s="87">
        <v>1.3599999999999994</v>
      </c>
      <c r="J131" s="20">
        <v>2.2400000000000002</v>
      </c>
      <c r="K131" s="87" t="e">
        <f>+#REF!</f>
        <v>#REF!</v>
      </c>
      <c r="L131" s="62" t="e">
        <f>((#REF!-#REF!))/#REF!</f>
        <v>#REF!</v>
      </c>
    </row>
    <row r="132" spans="1:12" ht="14" x14ac:dyDescent="0.3">
      <c r="A132" s="61">
        <v>2019</v>
      </c>
      <c r="B132" s="61" t="s">
        <v>715</v>
      </c>
      <c r="C132" s="62" t="e">
        <f>#REF!/#REF!</f>
        <v>#REF!</v>
      </c>
      <c r="D132" s="62" t="e">
        <f>#REF!/#REF!</f>
        <v>#REF!</v>
      </c>
      <c r="E132" s="62" t="e">
        <f>#REF!/#REF!</f>
        <v>#REF!</v>
      </c>
      <c r="F132" s="62" t="e">
        <f>#REF!/#REF!</f>
        <v>#REF!</v>
      </c>
      <c r="G132" s="62" t="e">
        <f>#REF!/#REF!</f>
        <v>#REF!</v>
      </c>
      <c r="H132" s="62" t="e">
        <f>#REF!/#REF!</f>
        <v>#REF!</v>
      </c>
      <c r="I132" s="87">
        <v>2.8000000000000007</v>
      </c>
      <c r="J132" s="20">
        <v>4.97</v>
      </c>
      <c r="K132" s="87" t="e">
        <f>+#REF!</f>
        <v>#REF!</v>
      </c>
      <c r="L132" s="62" t="e">
        <f>((#REF!-#REF!))/#REF!</f>
        <v>#REF!</v>
      </c>
    </row>
    <row r="133" spans="1:12" ht="14" x14ac:dyDescent="0.3">
      <c r="A133" s="61">
        <v>2019</v>
      </c>
      <c r="B133" s="61" t="s">
        <v>718</v>
      </c>
      <c r="C133" s="62" t="e">
        <f>#REF!/#REF!</f>
        <v>#REF!</v>
      </c>
      <c r="D133" s="62" t="e">
        <f>#REF!/#REF!</f>
        <v>#REF!</v>
      </c>
      <c r="E133" s="62" t="e">
        <f>#REF!/#REF!</f>
        <v>#REF!</v>
      </c>
      <c r="F133" s="62" t="e">
        <f>#REF!/#REF!</f>
        <v>#REF!</v>
      </c>
      <c r="G133" s="62" t="e">
        <f>#REF!/#REF!</f>
        <v>#REF!</v>
      </c>
      <c r="H133" s="62" t="e">
        <f>#REF!/#REF!</f>
        <v>#REF!</v>
      </c>
      <c r="I133" s="87">
        <v>2.5099999999999998</v>
      </c>
      <c r="J133" s="20">
        <v>4.2699999999999996</v>
      </c>
      <c r="K133" s="87" t="e">
        <f>+#REF!</f>
        <v>#REF!</v>
      </c>
      <c r="L133" s="62" t="e">
        <f>((#REF!-#REF!))/#REF!</f>
        <v>#REF!</v>
      </c>
    </row>
    <row r="134" spans="1:12" ht="14" x14ac:dyDescent="0.3">
      <c r="A134" s="61">
        <v>2019</v>
      </c>
      <c r="B134" s="61" t="s">
        <v>716</v>
      </c>
      <c r="C134" s="62" t="e">
        <f>#REF!/#REF!</f>
        <v>#REF!</v>
      </c>
      <c r="D134" s="62" t="e">
        <f>#REF!/#REF!</f>
        <v>#REF!</v>
      </c>
      <c r="E134" s="62" t="e">
        <f>#REF!/#REF!</f>
        <v>#REF!</v>
      </c>
      <c r="F134" s="62" t="e">
        <f>#REF!/#REF!</f>
        <v>#REF!</v>
      </c>
      <c r="G134" s="62" t="e">
        <f>#REF!/#REF!</f>
        <v>#REF!</v>
      </c>
      <c r="H134" s="62" t="e">
        <f>#REF!/#REF!</f>
        <v>#REF!</v>
      </c>
      <c r="I134" s="87">
        <v>2.5999999999999996</v>
      </c>
      <c r="J134" s="20">
        <v>6.49</v>
      </c>
      <c r="K134" s="87" t="e">
        <f>+#REF!</f>
        <v>#REF!</v>
      </c>
      <c r="L134" s="62" t="e">
        <f>((#REF!-#REF!))/#REF!</f>
        <v>#REF!</v>
      </c>
    </row>
    <row r="135" spans="1:12" ht="14" x14ac:dyDescent="0.3">
      <c r="A135" s="61">
        <v>2019</v>
      </c>
      <c r="B135" s="61" t="s">
        <v>708</v>
      </c>
      <c r="C135" s="62" t="e">
        <f>#REF!/#REF!</f>
        <v>#REF!</v>
      </c>
      <c r="D135" s="62" t="e">
        <f>#REF!/#REF!</f>
        <v>#REF!</v>
      </c>
      <c r="E135" s="62" t="e">
        <f>#REF!/#REF!</f>
        <v>#REF!</v>
      </c>
      <c r="F135" s="62" t="e">
        <f>#REF!/#REF!</f>
        <v>#REF!</v>
      </c>
      <c r="G135" s="62" t="e">
        <f>#REF!/#REF!</f>
        <v>#REF!</v>
      </c>
      <c r="H135" s="62" t="e">
        <f>#REF!/#REF!</f>
        <v>#REF!</v>
      </c>
      <c r="I135" s="87">
        <v>-0.94000000000000128</v>
      </c>
      <c r="J135" s="20">
        <v>1.99</v>
      </c>
      <c r="K135" s="87" t="e">
        <f>+#REF!</f>
        <v>#REF!</v>
      </c>
      <c r="L135" s="62" t="e">
        <f>((#REF!-#REF!))/#REF!</f>
        <v>#REF!</v>
      </c>
    </row>
    <row r="136" spans="1:12" ht="14" x14ac:dyDescent="0.3">
      <c r="A136" s="61">
        <v>2019</v>
      </c>
      <c r="B136" s="61" t="s">
        <v>709</v>
      </c>
      <c r="C136" s="62" t="e">
        <f>#REF!/#REF!</f>
        <v>#REF!</v>
      </c>
      <c r="D136" s="62" t="e">
        <f>#REF!/#REF!</f>
        <v>#REF!</v>
      </c>
      <c r="E136" s="62" t="e">
        <f>#REF!/#REF!</f>
        <v>#REF!</v>
      </c>
      <c r="F136" s="62" t="e">
        <f>#REF!/#REF!</f>
        <v>#REF!</v>
      </c>
      <c r="G136" s="62" t="e">
        <f>#REF!/#REF!</f>
        <v>#REF!</v>
      </c>
      <c r="H136" s="62" t="e">
        <f>#REF!/#REF!</f>
        <v>#REF!</v>
      </c>
      <c r="I136" s="87">
        <v>-2.0600000000000005</v>
      </c>
      <c r="J136" s="20">
        <v>0.25</v>
      </c>
      <c r="K136" s="87" t="e">
        <f>+#REF!</f>
        <v>#REF!</v>
      </c>
      <c r="L136" s="62" t="e">
        <f>((#REF!-#REF!))/#REF!</f>
        <v>#REF!</v>
      </c>
    </row>
    <row r="137" spans="1:12" ht="14" x14ac:dyDescent="0.3">
      <c r="A137" s="61">
        <v>2019</v>
      </c>
      <c r="B137" s="61" t="s">
        <v>710</v>
      </c>
      <c r="C137" s="62" t="e">
        <f>#REF!/#REF!</f>
        <v>#REF!</v>
      </c>
      <c r="D137" s="62" t="e">
        <f>#REF!/#REF!</f>
        <v>#REF!</v>
      </c>
      <c r="E137" s="62" t="e">
        <f>#REF!/#REF!</f>
        <v>#REF!</v>
      </c>
      <c r="F137" s="62" t="e">
        <f>#REF!/#REF!</f>
        <v>#REF!</v>
      </c>
      <c r="G137" s="62" t="e">
        <f>#REF!/#REF!</f>
        <v>#REF!</v>
      </c>
      <c r="H137" s="62" t="e">
        <f>#REF!/#REF!</f>
        <v>#REF!</v>
      </c>
      <c r="I137" s="87">
        <v>1.02</v>
      </c>
      <c r="J137" s="87" t="e">
        <f>#REF!</f>
        <v>#REF!</v>
      </c>
      <c r="K137" s="87" t="e">
        <f>+#REF!</f>
        <v>#REF!</v>
      </c>
      <c r="L137" s="62" t="e">
        <f>((#REF!-#REF!))/#REF!</f>
        <v>#REF!</v>
      </c>
    </row>
    <row r="138" spans="1:12" ht="14" x14ac:dyDescent="0.3">
      <c r="A138" s="61">
        <v>2019</v>
      </c>
      <c r="B138" s="61" t="s">
        <v>711</v>
      </c>
      <c r="C138" s="62" t="e">
        <f>#REF!/#REF!</f>
        <v>#REF!</v>
      </c>
      <c r="D138" s="62" t="e">
        <f>#REF!/#REF!</f>
        <v>#REF!</v>
      </c>
      <c r="E138" s="62" t="e">
        <f>#REF!/#REF!</f>
        <v>#REF!</v>
      </c>
      <c r="F138" s="62" t="e">
        <f>#REF!/#REF!</f>
        <v>#REF!</v>
      </c>
      <c r="G138" s="62" t="e">
        <f>#REF!/#REF!</f>
        <v>#REF!</v>
      </c>
      <c r="H138" s="62" t="e">
        <f>#REF!/#REF!</f>
        <v>#REF!</v>
      </c>
      <c r="I138" s="87">
        <v>0.75</v>
      </c>
      <c r="J138" s="87" t="e">
        <f>#REF!</f>
        <v>#REF!</v>
      </c>
      <c r="K138" s="87" t="e">
        <f>+#REF!</f>
        <v>#REF!</v>
      </c>
      <c r="L138" s="62" t="e">
        <f>((#REF!-#REF!))/#REF!</f>
        <v>#REF!</v>
      </c>
    </row>
    <row r="139" spans="1:12" ht="14" x14ac:dyDescent="0.3">
      <c r="A139" s="61">
        <v>2019</v>
      </c>
      <c r="B139" s="61" t="s">
        <v>712</v>
      </c>
      <c r="C139" s="62" t="e">
        <f>#REF!/#REF!</f>
        <v>#REF!</v>
      </c>
      <c r="D139" s="62" t="e">
        <f>#REF!/#REF!</f>
        <v>#REF!</v>
      </c>
      <c r="E139" s="62" t="e">
        <f>#REF!/#REF!</f>
        <v>#REF!</v>
      </c>
      <c r="F139" s="62" t="e">
        <f>#REF!/#REF!</f>
        <v>#REF!</v>
      </c>
      <c r="G139" s="62" t="e">
        <f>#REF!/#REF!</f>
        <v>#REF!</v>
      </c>
      <c r="H139" s="62" t="e">
        <f>#REF!/#REF!</f>
        <v>#REF!</v>
      </c>
      <c r="I139" s="87">
        <v>0.51</v>
      </c>
      <c r="J139" s="87" t="e">
        <f>#REF!</f>
        <v>#REF!</v>
      </c>
      <c r="K139" s="87" t="e">
        <f>+#REF!</f>
        <v>#REF!</v>
      </c>
      <c r="L139" s="62" t="e">
        <f>((#REF!-#REF!))/#REF!</f>
        <v>#REF!</v>
      </c>
    </row>
    <row r="140" spans="1:12" ht="14" x14ac:dyDescent="0.3">
      <c r="A140" s="61">
        <v>2020</v>
      </c>
      <c r="B140" s="61" t="s">
        <v>719</v>
      </c>
      <c r="C140" s="62" t="e">
        <f>#REF!/#REF!</f>
        <v>#REF!</v>
      </c>
      <c r="D140" s="62" t="e">
        <f>#REF!/#REF!</f>
        <v>#REF!</v>
      </c>
      <c r="E140" s="62" t="e">
        <f>#REF!/#REF!</f>
        <v>#REF!</v>
      </c>
      <c r="F140" s="62" t="e">
        <f>#REF!/#REF!</f>
        <v>#REF!</v>
      </c>
      <c r="G140" s="62" t="e">
        <f>#REF!/#REF!</f>
        <v>#REF!</v>
      </c>
      <c r="H140" s="62" t="e">
        <f>#REF!/#REF!</f>
        <v>#REF!</v>
      </c>
      <c r="I140" s="87">
        <v>-2.9</v>
      </c>
      <c r="J140" s="87" t="e">
        <f>#REF!</f>
        <v>#REF!</v>
      </c>
      <c r="K140" s="87" t="e">
        <f>+#REF!</f>
        <v>#REF!</v>
      </c>
      <c r="L140" s="62" t="e">
        <f>((#REF!-#REF!))/#REF!</f>
        <v>#REF!</v>
      </c>
    </row>
    <row r="141" spans="1:12" ht="14" x14ac:dyDescent="0.3">
      <c r="A141" s="61">
        <v>2020</v>
      </c>
      <c r="B141" s="61" t="s">
        <v>713</v>
      </c>
      <c r="C141" s="62" t="e">
        <f>#REF!/#REF!</f>
        <v>#REF!</v>
      </c>
      <c r="D141" s="62" t="e">
        <f>#REF!/#REF!</f>
        <v>#REF!</v>
      </c>
      <c r="E141" s="62" t="e">
        <f>#REF!/#REF!</f>
        <v>#REF!</v>
      </c>
      <c r="F141" s="62" t="e">
        <f>#REF!/#REF!</f>
        <v>#REF!</v>
      </c>
      <c r="G141" s="62" t="e">
        <f>#REF!/#REF!</f>
        <v>#REF!</v>
      </c>
      <c r="H141" s="62" t="e">
        <f>#REF!/#REF!</f>
        <v>#REF!</v>
      </c>
      <c r="I141" s="87">
        <v>-1.9</v>
      </c>
      <c r="J141" s="87" t="e">
        <f>#REF!</f>
        <v>#REF!</v>
      </c>
      <c r="K141" s="87" t="e">
        <f>+#REF!</f>
        <v>#REF!</v>
      </c>
      <c r="L141" s="62" t="e">
        <f>((#REF!-#REF!))/#REF!</f>
        <v>#REF!</v>
      </c>
    </row>
    <row r="142" spans="1:12" ht="14" x14ac:dyDescent="0.3">
      <c r="A142" s="61">
        <v>2020</v>
      </c>
      <c r="B142" s="61" t="s">
        <v>714</v>
      </c>
      <c r="C142" s="62" t="e">
        <f>#REF!/#REF!</f>
        <v>#REF!</v>
      </c>
      <c r="D142" s="62" t="e">
        <f>#REF!/#REF!</f>
        <v>#REF!</v>
      </c>
      <c r="E142" s="62" t="e">
        <f>#REF!/#REF!</f>
        <v>#REF!</v>
      </c>
      <c r="F142" s="62" t="e">
        <f>#REF!/#REF!</f>
        <v>#REF!</v>
      </c>
      <c r="G142" s="62" t="e">
        <f>#REF!/#REF!</f>
        <v>#REF!</v>
      </c>
      <c r="H142" s="62" t="e">
        <f>#REF!/#REF!</f>
        <v>#REF!</v>
      </c>
      <c r="J142" s="20">
        <v>2.31</v>
      </c>
      <c r="K142" s="87" t="e">
        <f>+#REF!</f>
        <v>#REF!</v>
      </c>
      <c r="L142" s="62" t="e">
        <f>((#REF!-#REF!))/#REF!</f>
        <v>#REF!</v>
      </c>
    </row>
    <row r="143" spans="1:12" ht="14" x14ac:dyDescent="0.3">
      <c r="A143" s="61">
        <v>2020</v>
      </c>
      <c r="B143" s="61" t="s">
        <v>705</v>
      </c>
      <c r="C143" s="62" t="e">
        <f>#REF!/#REF!</f>
        <v>#REF!</v>
      </c>
      <c r="D143" s="62" t="e">
        <f>#REF!/#REF!</f>
        <v>#REF!</v>
      </c>
      <c r="E143" s="62" t="e">
        <f>#REF!/#REF!</f>
        <v>#REF!</v>
      </c>
      <c r="F143" s="62" t="e">
        <f>#REF!/#REF!</f>
        <v>#REF!</v>
      </c>
      <c r="G143" s="62" t="e">
        <f>#REF!/#REF!</f>
        <v>#REF!</v>
      </c>
      <c r="H143" s="62" t="e">
        <f>#REF!/#REF!</f>
        <v>#REF!</v>
      </c>
      <c r="J143" s="87" t="e">
        <f>#REF!</f>
        <v>#REF!</v>
      </c>
      <c r="K143" s="87" t="e">
        <f>+#REF!</f>
        <v>#REF!</v>
      </c>
      <c r="L143" s="62" t="e">
        <f>((#REF!-#REF!))/#REF!</f>
        <v>#REF!</v>
      </c>
    </row>
    <row r="144" spans="1:12" ht="14" x14ac:dyDescent="0.3">
      <c r="A144" s="61">
        <v>2020</v>
      </c>
      <c r="B144" s="61" t="s">
        <v>715</v>
      </c>
      <c r="C144" s="62" t="e">
        <f>#REF!/#REF!</f>
        <v>#REF!</v>
      </c>
      <c r="D144" s="62" t="e">
        <f>#REF!/#REF!</f>
        <v>#REF!</v>
      </c>
      <c r="E144" s="62" t="e">
        <f>#REF!/#REF!</f>
        <v>#REF!</v>
      </c>
      <c r="F144" s="62" t="e">
        <f>#REF!/#REF!</f>
        <v>#REF!</v>
      </c>
      <c r="G144" s="62" t="e">
        <f>#REF!/#REF!</f>
        <v>#REF!</v>
      </c>
      <c r="H144" s="62" t="e">
        <f>#REF!/#REF!</f>
        <v>#REF!</v>
      </c>
      <c r="J144" s="87" t="e">
        <f>#REF!</f>
        <v>#REF!</v>
      </c>
      <c r="K144" s="87" t="e">
        <f>+#REF!</f>
        <v>#REF!</v>
      </c>
      <c r="L144" s="62" t="e">
        <f>((#REF!-#REF!))/#REF!</f>
        <v>#REF!</v>
      </c>
    </row>
    <row r="145" spans="1:12" ht="14" x14ac:dyDescent="0.3">
      <c r="A145" s="61">
        <v>2020</v>
      </c>
      <c r="B145" s="61" t="s">
        <v>718</v>
      </c>
      <c r="C145" s="62" t="e">
        <f>#REF!/#REF!</f>
        <v>#REF!</v>
      </c>
      <c r="D145" s="62" t="e">
        <f>#REF!/#REF!</f>
        <v>#REF!</v>
      </c>
      <c r="E145" s="62" t="e">
        <f>#REF!/#REF!</f>
        <v>#REF!</v>
      </c>
      <c r="F145" s="62" t="e">
        <f>#REF!/#REF!</f>
        <v>#REF!</v>
      </c>
      <c r="G145" s="62" t="e">
        <f>#REF!/#REF!</f>
        <v>#REF!</v>
      </c>
      <c r="H145" s="62" t="e">
        <f>#REF!/#REF!</f>
        <v>#REF!</v>
      </c>
      <c r="J145" s="87" t="e">
        <f>#REF!</f>
        <v>#REF!</v>
      </c>
      <c r="K145" s="87" t="e">
        <f>+#REF!</f>
        <v>#REF!</v>
      </c>
      <c r="L145" s="62" t="e">
        <f>((#REF!-#REF!))/#REF!</f>
        <v>#REF!</v>
      </c>
    </row>
    <row r="146" spans="1:12" ht="14" x14ac:dyDescent="0.3">
      <c r="A146" s="61">
        <v>2020</v>
      </c>
      <c r="B146" s="61" t="s">
        <v>716</v>
      </c>
      <c r="C146" s="62" t="e">
        <f>#REF!/#REF!</f>
        <v>#REF!</v>
      </c>
      <c r="D146" s="62" t="e">
        <f>#REF!/#REF!</f>
        <v>#REF!</v>
      </c>
      <c r="E146" s="62" t="e">
        <f>#REF!/#REF!</f>
        <v>#REF!</v>
      </c>
      <c r="F146" s="62" t="e">
        <f>#REF!/#REF!</f>
        <v>#REF!</v>
      </c>
      <c r="G146" s="62" t="e">
        <f>#REF!/#REF!</f>
        <v>#REF!</v>
      </c>
      <c r="H146" s="62" t="e">
        <f>#REF!/#REF!</f>
        <v>#REF!</v>
      </c>
      <c r="I146" s="62" t="e">
        <f>#REF!/#REF!</f>
        <v>#REF!</v>
      </c>
      <c r="J146" s="87" t="e">
        <f>#REF!</f>
        <v>#REF!</v>
      </c>
      <c r="K146" s="87" t="e">
        <f>+#REF!</f>
        <v>#REF!</v>
      </c>
      <c r="L146" s="62" t="e">
        <f>((#REF!-#REF!))/#REF!</f>
        <v>#REF!</v>
      </c>
    </row>
    <row r="147" spans="1:12" ht="14" x14ac:dyDescent="0.3">
      <c r="A147" s="61">
        <v>2020</v>
      </c>
      <c r="B147" s="61" t="s">
        <v>708</v>
      </c>
      <c r="C147" s="62" t="e">
        <f>#REF!/#REF!</f>
        <v>#REF!</v>
      </c>
      <c r="D147" s="62" t="e">
        <f>#REF!/#REF!</f>
        <v>#REF!</v>
      </c>
      <c r="E147" s="62" t="e">
        <f>#REF!/#REF!</f>
        <v>#REF!</v>
      </c>
      <c r="F147" s="62" t="e">
        <f>#REF!/#REF!</f>
        <v>#REF!</v>
      </c>
      <c r="G147" s="62" t="e">
        <f>#REF!/#REF!</f>
        <v>#REF!</v>
      </c>
      <c r="H147" s="62" t="e">
        <f>#REF!/#REF!</f>
        <v>#REF!</v>
      </c>
      <c r="J147" s="87" t="e">
        <f>#REF!</f>
        <v>#REF!</v>
      </c>
      <c r="K147" s="87" t="e">
        <f>+#REF!</f>
        <v>#REF!</v>
      </c>
      <c r="L147" s="62" t="e">
        <f>((#REF!-#REF!))/#REF!</f>
        <v>#REF!</v>
      </c>
    </row>
    <row r="148" spans="1:12" ht="14" x14ac:dyDescent="0.3">
      <c r="A148" s="61">
        <v>2020</v>
      </c>
      <c r="B148" s="61" t="s">
        <v>709</v>
      </c>
      <c r="C148" s="62" t="e">
        <f>#REF!/#REF!</f>
        <v>#REF!</v>
      </c>
      <c r="D148" s="62" t="e">
        <f>#REF!/#REF!</f>
        <v>#REF!</v>
      </c>
      <c r="E148" s="62" t="e">
        <f>#REF!/#REF!</f>
        <v>#REF!</v>
      </c>
      <c r="F148" s="62" t="e">
        <f>#REF!/#REF!</f>
        <v>#REF!</v>
      </c>
      <c r="G148" s="62" t="e">
        <f>#REF!/#REF!</f>
        <v>#REF!</v>
      </c>
      <c r="H148" s="62" t="e">
        <f>#REF!/#REF!</f>
        <v>#REF!</v>
      </c>
      <c r="J148" s="87" t="e">
        <f>#REF!</f>
        <v>#REF!</v>
      </c>
      <c r="K148" s="87" t="e">
        <f>+#REF!</f>
        <v>#REF!</v>
      </c>
      <c r="L148" s="62" t="e">
        <f>((#REF!-#REF!))/#REF!</f>
        <v>#REF!</v>
      </c>
    </row>
    <row r="149" spans="1:12" ht="14" x14ac:dyDescent="0.3">
      <c r="A149" s="61">
        <v>2020</v>
      </c>
      <c r="B149" s="61" t="s">
        <v>710</v>
      </c>
      <c r="C149" s="62" t="e">
        <f>#REF!/#REF!</f>
        <v>#REF!</v>
      </c>
      <c r="D149" s="62" t="e">
        <f>#REF!/#REF!</f>
        <v>#REF!</v>
      </c>
      <c r="E149" s="62" t="e">
        <f>#REF!/#REF!</f>
        <v>#REF!</v>
      </c>
      <c r="F149" s="62" t="e">
        <f>#REF!/#REF!</f>
        <v>#REF!</v>
      </c>
      <c r="G149" s="62" t="e">
        <f>#REF!/#REF!</f>
        <v>#REF!</v>
      </c>
      <c r="H149" s="62" t="e">
        <f>#REF!/#REF!</f>
        <v>#REF!</v>
      </c>
      <c r="I149" s="62" t="e">
        <f>#REF!/#REF!</f>
        <v>#REF!</v>
      </c>
      <c r="J149" s="87" t="e">
        <f>#REF!</f>
        <v>#REF!</v>
      </c>
      <c r="K149" s="87" t="e">
        <f>+#REF!</f>
        <v>#REF!</v>
      </c>
      <c r="L149" s="62" t="e">
        <f>((#REF!-#REF!))/#REF!</f>
        <v>#REF!</v>
      </c>
    </row>
    <row r="150" spans="1:12" ht="14" x14ac:dyDescent="0.3">
      <c r="A150" s="61">
        <v>2020</v>
      </c>
      <c r="B150" s="61" t="s">
        <v>711</v>
      </c>
      <c r="C150" s="62" t="e">
        <f>#REF!/#REF!</f>
        <v>#REF!</v>
      </c>
      <c r="D150" s="62" t="e">
        <f>#REF!/#REF!</f>
        <v>#REF!</v>
      </c>
      <c r="E150" s="62" t="e">
        <f>#REF!/#REF!</f>
        <v>#REF!</v>
      </c>
      <c r="F150" s="62" t="e">
        <f>#REF!/#REF!</f>
        <v>#REF!</v>
      </c>
      <c r="G150" s="62" t="e">
        <f>#REF!/#REF!</f>
        <v>#REF!</v>
      </c>
      <c r="H150" s="62" t="e">
        <f>#REF!/#REF!</f>
        <v>#REF!</v>
      </c>
      <c r="J150" s="87" t="e">
        <f>#REF!</f>
        <v>#REF!</v>
      </c>
      <c r="K150" s="87" t="e">
        <f>+#REF!</f>
        <v>#REF!</v>
      </c>
      <c r="L150" s="62" t="e">
        <f>((#REF!-#REF!))/#REF!</f>
        <v>#REF!</v>
      </c>
    </row>
    <row r="151" spans="1:12" ht="14" x14ac:dyDescent="0.3">
      <c r="A151" s="61">
        <v>2020</v>
      </c>
      <c r="B151" s="61" t="s">
        <v>712</v>
      </c>
      <c r="C151" s="62" t="e">
        <f>#REF!/#REF!</f>
        <v>#REF!</v>
      </c>
      <c r="D151" s="62" t="e">
        <f>#REF!/#REF!</f>
        <v>#REF!</v>
      </c>
      <c r="E151" s="62" t="e">
        <f>#REF!/#REF!</f>
        <v>#REF!</v>
      </c>
      <c r="F151" s="62" t="e">
        <f>#REF!/#REF!</f>
        <v>#REF!</v>
      </c>
      <c r="G151" s="62" t="e">
        <f>#REF!/#REF!</f>
        <v>#REF!</v>
      </c>
      <c r="H151" s="62" t="e">
        <f>#REF!/#REF!</f>
        <v>#REF!</v>
      </c>
      <c r="J151" s="87" t="e">
        <f>#REF!</f>
        <v>#REF!</v>
      </c>
      <c r="K151" s="87" t="e">
        <f>+#REF!</f>
        <v>#REF!</v>
      </c>
      <c r="L151" s="62" t="e">
        <f>((#REF!-#REF!))/#REF!</f>
        <v>#REF!</v>
      </c>
    </row>
    <row r="152" spans="1:12" ht="14" x14ac:dyDescent="0.3">
      <c r="A152" s="61">
        <v>2021</v>
      </c>
      <c r="B152" s="61" t="s">
        <v>719</v>
      </c>
      <c r="C152" s="62" t="e">
        <f>#REF!/#REF!</f>
        <v>#REF!</v>
      </c>
      <c r="D152" s="62" t="e">
        <f>#REF!/#REF!</f>
        <v>#REF!</v>
      </c>
      <c r="E152" s="62" t="e">
        <f>#REF!/#REF!</f>
        <v>#REF!</v>
      </c>
      <c r="F152" s="62" t="e">
        <f>#REF!/#REF!</f>
        <v>#REF!</v>
      </c>
      <c r="G152" s="62" t="e">
        <f>#REF!/#REF!</f>
        <v>#REF!</v>
      </c>
      <c r="H152" s="62" t="e">
        <f>#REF!/#REF!</f>
        <v>#REF!</v>
      </c>
      <c r="J152" s="87" t="e">
        <f>#REF!</f>
        <v>#REF!</v>
      </c>
      <c r="K152" s="87" t="e">
        <f>+#REF!</f>
        <v>#REF!</v>
      </c>
      <c r="L152" s="62" t="e">
        <f>((#REF!-#REF!))/#REF!</f>
        <v>#REF!</v>
      </c>
    </row>
    <row r="153" spans="1:12" ht="14" x14ac:dyDescent="0.3">
      <c r="A153" s="61">
        <v>2021</v>
      </c>
      <c r="B153" s="61" t="s">
        <v>713</v>
      </c>
      <c r="C153" s="62" t="e">
        <f>#REF!/#REF!</f>
        <v>#REF!</v>
      </c>
      <c r="D153" s="62" t="e">
        <f>#REF!/#REF!</f>
        <v>#REF!</v>
      </c>
      <c r="E153" s="62" t="e">
        <f>#REF!/#REF!</f>
        <v>#REF!</v>
      </c>
      <c r="F153" s="62" t="e">
        <f>#REF!/#REF!</f>
        <v>#REF!</v>
      </c>
      <c r="G153" s="62" t="e">
        <f>#REF!/#REF!</f>
        <v>#REF!</v>
      </c>
      <c r="H153" s="62" t="e">
        <f>#REF!/#REF!</f>
        <v>#REF!</v>
      </c>
      <c r="J153" s="87" t="e">
        <f>#REF!</f>
        <v>#REF!</v>
      </c>
      <c r="K153" s="87" t="e">
        <f>+#REF!</f>
        <v>#REF!</v>
      </c>
      <c r="L153" s="62" t="e">
        <f>((#REF!-#REF!))/#REF!</f>
        <v>#REF!</v>
      </c>
    </row>
    <row r="154" spans="1:12" ht="14" x14ac:dyDescent="0.3">
      <c r="A154" s="61">
        <v>2021</v>
      </c>
      <c r="B154" s="61" t="s">
        <v>714</v>
      </c>
      <c r="C154" s="62" t="e">
        <f>#REF!/#REF!</f>
        <v>#REF!</v>
      </c>
      <c r="D154" s="62" t="e">
        <f>#REF!/#REF!</f>
        <v>#REF!</v>
      </c>
      <c r="E154" s="62" t="e">
        <f>#REF!/#REF!</f>
        <v>#REF!</v>
      </c>
      <c r="F154" s="62" t="e">
        <f>#REF!/#REF!</f>
        <v>#REF!</v>
      </c>
      <c r="G154" s="62" t="e">
        <f>#REF!/#REF!</f>
        <v>#REF!</v>
      </c>
      <c r="H154" s="62" t="e">
        <f>#REF!/#REF!</f>
        <v>#REF!</v>
      </c>
      <c r="J154" s="87" t="e">
        <f>#REF!</f>
        <v>#REF!</v>
      </c>
      <c r="K154" s="87" t="e">
        <f>+#REF!</f>
        <v>#REF!</v>
      </c>
      <c r="L154" s="62" t="e">
        <f>((#REF!-#REF!))/#REF!</f>
        <v>#REF!</v>
      </c>
    </row>
    <row r="155" spans="1:12" ht="14" x14ac:dyDescent="0.3">
      <c r="A155" s="61">
        <v>2021</v>
      </c>
      <c r="B155" s="61" t="s">
        <v>705</v>
      </c>
      <c r="C155" s="62" t="e">
        <f>#REF!/#REF!</f>
        <v>#REF!</v>
      </c>
      <c r="D155" s="62" t="e">
        <f>#REF!/#REF!</f>
        <v>#REF!</v>
      </c>
      <c r="E155" s="62" t="e">
        <f>#REF!/#REF!</f>
        <v>#REF!</v>
      </c>
      <c r="F155" s="62" t="e">
        <f>#REF!/#REF!</f>
        <v>#REF!</v>
      </c>
      <c r="G155" s="62" t="e">
        <f>#REF!/#REF!</f>
        <v>#REF!</v>
      </c>
      <c r="H155" s="62" t="e">
        <f>#REF!/#REF!</f>
        <v>#REF!</v>
      </c>
      <c r="J155" s="87" t="e">
        <f>#REF!</f>
        <v>#REF!</v>
      </c>
      <c r="K155" s="87" t="e">
        <f>+#REF!</f>
        <v>#REF!</v>
      </c>
      <c r="L155" s="62" t="e">
        <f>((#REF!-#REF!))/#REF!</f>
        <v>#REF!</v>
      </c>
    </row>
    <row r="156" spans="1:12" ht="14" x14ac:dyDescent="0.3">
      <c r="A156" s="61">
        <v>2021</v>
      </c>
      <c r="B156" s="61" t="s">
        <v>715</v>
      </c>
      <c r="C156" s="62" t="e">
        <f>#REF!/#REF!</f>
        <v>#REF!</v>
      </c>
      <c r="D156" s="62" t="e">
        <f>#REF!/#REF!</f>
        <v>#REF!</v>
      </c>
      <c r="E156" s="62" t="e">
        <f>#REF!/#REF!</f>
        <v>#REF!</v>
      </c>
      <c r="F156" s="62" t="e">
        <f>#REF!/#REF!</f>
        <v>#REF!</v>
      </c>
      <c r="G156" s="62" t="e">
        <f>#REF!/#REF!</f>
        <v>#REF!</v>
      </c>
      <c r="H156" s="62" t="e">
        <f>#REF!/#REF!</f>
        <v>#REF!</v>
      </c>
      <c r="J156" s="87" t="e">
        <f>#REF!</f>
        <v>#REF!</v>
      </c>
      <c r="K156" s="87" t="e">
        <f>+#REF!</f>
        <v>#REF!</v>
      </c>
      <c r="L156" s="62" t="e">
        <f>((#REF!-#REF!))/#REF!</f>
        <v>#REF!</v>
      </c>
    </row>
    <row r="157" spans="1:12" ht="14" x14ac:dyDescent="0.3">
      <c r="A157" s="61">
        <v>2021</v>
      </c>
      <c r="B157" s="61" t="s">
        <v>718</v>
      </c>
      <c r="C157" s="62" t="e">
        <f>#REF!/#REF!</f>
        <v>#REF!</v>
      </c>
      <c r="D157" s="62" t="e">
        <f>#REF!/#REF!</f>
        <v>#REF!</v>
      </c>
      <c r="E157" s="62" t="e">
        <f>#REF!/#REF!</f>
        <v>#REF!</v>
      </c>
      <c r="F157" s="62" t="e">
        <f>#REF!/#REF!</f>
        <v>#REF!</v>
      </c>
      <c r="G157" s="62" t="e">
        <f>#REF!/#REF!</f>
        <v>#REF!</v>
      </c>
      <c r="H157" s="62" t="e">
        <f>#REF!/#REF!</f>
        <v>#REF!</v>
      </c>
      <c r="J157" s="87" t="e">
        <f>#REF!</f>
        <v>#REF!</v>
      </c>
      <c r="K157" s="87" t="e">
        <f>+#REF!</f>
        <v>#REF!</v>
      </c>
      <c r="L157" s="62" t="e">
        <f>((#REF!-#REF!))/#REF!</f>
        <v>#REF!</v>
      </c>
    </row>
    <row r="158" spans="1:12" ht="14" x14ac:dyDescent="0.3">
      <c r="A158" s="61">
        <v>2021</v>
      </c>
      <c r="B158" s="61" t="s">
        <v>716</v>
      </c>
      <c r="C158" s="62" t="e">
        <f>#REF!/#REF!</f>
        <v>#REF!</v>
      </c>
      <c r="D158" s="62" t="e">
        <f>#REF!/#REF!</f>
        <v>#REF!</v>
      </c>
      <c r="E158" s="62" t="e">
        <f>#REF!/#REF!</f>
        <v>#REF!</v>
      </c>
      <c r="F158" s="62" t="e">
        <f>#REF!/#REF!</f>
        <v>#REF!</v>
      </c>
      <c r="G158" s="62" t="e">
        <f>#REF!/#REF!</f>
        <v>#REF!</v>
      </c>
      <c r="H158" s="62" t="e">
        <f>#REF!/#REF!</f>
        <v>#REF!</v>
      </c>
      <c r="J158" s="87" t="e">
        <f>#REF!</f>
        <v>#REF!</v>
      </c>
      <c r="K158" s="87" t="e">
        <f>+#REF!</f>
        <v>#REF!</v>
      </c>
      <c r="L158" s="62" t="e">
        <f>((#REF!-#REF!))/#REF!</f>
        <v>#REF!</v>
      </c>
    </row>
    <row r="159" spans="1:12" ht="14" x14ac:dyDescent="0.3">
      <c r="A159" s="61">
        <v>2021</v>
      </c>
      <c r="B159" s="61" t="s">
        <v>708</v>
      </c>
      <c r="C159" s="62" t="e">
        <f>#REF!/#REF!</f>
        <v>#REF!</v>
      </c>
      <c r="D159" s="62" t="e">
        <f>#REF!/#REF!</f>
        <v>#REF!</v>
      </c>
      <c r="E159" s="62" t="e">
        <f>#REF!/#REF!</f>
        <v>#REF!</v>
      </c>
      <c r="F159" s="62" t="e">
        <f>#REF!/#REF!</f>
        <v>#REF!</v>
      </c>
      <c r="G159" s="62" t="e">
        <f>#REF!/#REF!</f>
        <v>#REF!</v>
      </c>
      <c r="H159" s="62" t="e">
        <f>#REF!/#REF!</f>
        <v>#REF!</v>
      </c>
      <c r="J159" s="87" t="e">
        <f>#REF!</f>
        <v>#REF!</v>
      </c>
      <c r="K159" s="87" t="e">
        <f>+#REF!</f>
        <v>#REF!</v>
      </c>
      <c r="L159" s="62" t="e">
        <f>((#REF!-#REF!))/#REF!</f>
        <v>#REF!</v>
      </c>
    </row>
    <row r="160" spans="1:12" ht="14" x14ac:dyDescent="0.3">
      <c r="A160" s="61">
        <v>2021</v>
      </c>
      <c r="B160" s="61" t="s">
        <v>709</v>
      </c>
      <c r="C160" s="62" t="e">
        <f>#REF!/#REF!</f>
        <v>#REF!</v>
      </c>
      <c r="D160" s="62" t="e">
        <f>#REF!/#REF!</f>
        <v>#REF!</v>
      </c>
      <c r="E160" s="62" t="e">
        <f>#REF!/#REF!</f>
        <v>#REF!</v>
      </c>
      <c r="F160" s="62" t="e">
        <f>#REF!/#REF!</f>
        <v>#REF!</v>
      </c>
      <c r="G160" s="62" t="e">
        <f>#REF!/#REF!</f>
        <v>#REF!</v>
      </c>
      <c r="H160" s="62" t="e">
        <f>#REF!/#REF!</f>
        <v>#REF!</v>
      </c>
      <c r="J160" s="87" t="e">
        <f>#REF!</f>
        <v>#REF!</v>
      </c>
      <c r="K160" s="87" t="e">
        <f>+#REF!</f>
        <v>#REF!</v>
      </c>
      <c r="L160" s="62" t="e">
        <f>((#REF!-#REF!))/#REF!</f>
        <v>#REF!</v>
      </c>
    </row>
    <row r="161" spans="1:12" ht="14" x14ac:dyDescent="0.3">
      <c r="A161" s="61">
        <v>2021</v>
      </c>
      <c r="B161" s="61" t="s">
        <v>710</v>
      </c>
      <c r="C161" s="62" t="e">
        <f>#REF!/#REF!</f>
        <v>#REF!</v>
      </c>
      <c r="D161" s="62" t="e">
        <f>#REF!/#REF!</f>
        <v>#REF!</v>
      </c>
      <c r="E161" s="62" t="e">
        <f>#REF!/#REF!</f>
        <v>#REF!</v>
      </c>
      <c r="F161" s="62" t="e">
        <f>#REF!/#REF!</f>
        <v>#REF!</v>
      </c>
      <c r="G161" s="62" t="e">
        <f>#REF!/#REF!</f>
        <v>#REF!</v>
      </c>
      <c r="H161" s="62" t="e">
        <f>#REF!/#REF!</f>
        <v>#REF!</v>
      </c>
      <c r="J161" s="87" t="e">
        <f>#REF!</f>
        <v>#REF!</v>
      </c>
      <c r="K161" s="87" t="e">
        <f>+#REF!</f>
        <v>#REF!</v>
      </c>
      <c r="L161" s="62" t="e">
        <f>((#REF!-#REF!))/#REF!</f>
        <v>#REF!</v>
      </c>
    </row>
    <row r="162" spans="1:12" ht="14" x14ac:dyDescent="0.3">
      <c r="A162" s="61">
        <v>2021</v>
      </c>
      <c r="B162" s="61" t="s">
        <v>711</v>
      </c>
      <c r="C162" s="62" t="e">
        <f>#REF!/#REF!</f>
        <v>#REF!</v>
      </c>
      <c r="D162" s="62" t="e">
        <f>#REF!/#REF!</f>
        <v>#REF!</v>
      </c>
      <c r="E162" s="62" t="e">
        <f>#REF!/#REF!</f>
        <v>#REF!</v>
      </c>
      <c r="F162" s="62" t="e">
        <f>#REF!/#REF!</f>
        <v>#REF!</v>
      </c>
      <c r="G162" s="62" t="e">
        <f>#REF!/#REF!</f>
        <v>#REF!</v>
      </c>
      <c r="H162" s="62" t="e">
        <f>#REF!/#REF!</f>
        <v>#REF!</v>
      </c>
      <c r="J162" s="87" t="e">
        <f>#REF!</f>
        <v>#REF!</v>
      </c>
      <c r="K162" s="87" t="e">
        <f>+#REF!</f>
        <v>#REF!</v>
      </c>
      <c r="L162" s="62" t="e">
        <f>((#REF!-#REF!))/#REF!</f>
        <v>#REF!</v>
      </c>
    </row>
    <row r="163" spans="1:12" ht="14" x14ac:dyDescent="0.3">
      <c r="A163" s="61">
        <v>2021</v>
      </c>
      <c r="B163" s="61" t="s">
        <v>712</v>
      </c>
      <c r="C163" s="62" t="e">
        <f>#REF!/#REF!</f>
        <v>#REF!</v>
      </c>
      <c r="D163" s="62" t="e">
        <f>#REF!/#REF!</f>
        <v>#REF!</v>
      </c>
      <c r="E163" s="62" t="e">
        <f>#REF!/#REF!</f>
        <v>#REF!</v>
      </c>
      <c r="F163" s="62" t="e">
        <f>#REF!/#REF!</f>
        <v>#REF!</v>
      </c>
      <c r="G163" s="62" t="e">
        <f>#REF!/#REF!</f>
        <v>#REF!</v>
      </c>
      <c r="H163" s="62" t="e">
        <f>#REF!/#REF!</f>
        <v>#REF!</v>
      </c>
      <c r="J163" s="87" t="e">
        <f>#REF!</f>
        <v>#REF!</v>
      </c>
      <c r="K163" s="87" t="e">
        <f>+#REF!</f>
        <v>#REF!</v>
      </c>
      <c r="L163" s="62" t="e">
        <f>((#REF!-#REF!))/#REF!</f>
        <v>#REF!</v>
      </c>
    </row>
  </sheetData>
  <mergeCells count="1">
    <mergeCell ref="L2:L3"/>
  </mergeCells>
  <phoneticPr fontId="28" type="noConversion"/>
  <pageMargins left="0.75" right="0.75" top="1" bottom="1" header="0.5" footer="0.5"/>
  <pageSetup scale="97" fitToHeight="0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8"/>
  <dimension ref="A3:F149"/>
  <sheetViews>
    <sheetView topLeftCell="A61" workbookViewId="0">
      <selection activeCell="AM240" sqref="AM240"/>
    </sheetView>
  </sheetViews>
  <sheetFormatPr defaultRowHeight="12.5" x14ac:dyDescent="0.25"/>
  <cols>
    <col min="1" max="1" width="7" customWidth="1"/>
    <col min="2" max="2" width="18" customWidth="1"/>
    <col min="3" max="3" width="12.54296875" bestFit="1" customWidth="1"/>
    <col min="5" max="5" width="12" bestFit="1" customWidth="1"/>
  </cols>
  <sheetData>
    <row r="3" spans="1:6" ht="15.5" x14ac:dyDescent="0.35">
      <c r="A3" s="16"/>
      <c r="B3" s="16"/>
    </row>
    <row r="4" spans="1:6" ht="15.5" x14ac:dyDescent="0.35">
      <c r="A4" s="16"/>
      <c r="B4" s="16"/>
    </row>
    <row r="5" spans="1:6" ht="38.5" x14ac:dyDescent="0.35">
      <c r="A5" s="16"/>
      <c r="B5" s="16"/>
      <c r="C5" t="s">
        <v>696</v>
      </c>
      <c r="D5" s="90" t="s">
        <v>828</v>
      </c>
      <c r="E5" s="90" t="s">
        <v>829</v>
      </c>
      <c r="F5" s="90" t="s">
        <v>830</v>
      </c>
    </row>
    <row r="6" spans="1:6" ht="15.5" x14ac:dyDescent="0.35">
      <c r="A6" s="16"/>
      <c r="B6" s="16"/>
      <c r="C6" t="s">
        <v>350</v>
      </c>
    </row>
    <row r="7" spans="1:6" ht="15.5" x14ac:dyDescent="0.35">
      <c r="A7" s="16" t="s">
        <v>700</v>
      </c>
      <c r="B7" s="16" t="s">
        <v>701</v>
      </c>
      <c r="C7" t="s">
        <v>703</v>
      </c>
    </row>
    <row r="8" spans="1:6" ht="15.5" x14ac:dyDescent="0.35">
      <c r="A8" s="18"/>
      <c r="B8" s="16"/>
    </row>
    <row r="9" spans="1:6" ht="15.5" x14ac:dyDescent="0.35">
      <c r="A9" s="56">
        <v>2003</v>
      </c>
      <c r="B9" s="57" t="s">
        <v>704</v>
      </c>
      <c r="C9">
        <v>124.17419354838709</v>
      </c>
      <c r="D9">
        <f>((C9-C10)/C9)*100</f>
        <v>2.0759264894714642</v>
      </c>
    </row>
    <row r="10" spans="1:6" ht="15.5" x14ac:dyDescent="0.35">
      <c r="A10" s="18">
        <v>2003</v>
      </c>
      <c r="B10" s="16" t="s">
        <v>713</v>
      </c>
      <c r="C10">
        <v>121.59642857142856</v>
      </c>
      <c r="D10">
        <f t="shared" ref="D10:D73" si="0">((C10-C11)/C10)*100</f>
        <v>2.9072714473446006</v>
      </c>
    </row>
    <row r="11" spans="1:6" ht="15.5" x14ac:dyDescent="0.35">
      <c r="A11" s="18">
        <v>2003</v>
      </c>
      <c r="B11" s="16" t="s">
        <v>714</v>
      </c>
      <c r="C11">
        <v>118.06129032258065</v>
      </c>
      <c r="D11">
        <f t="shared" si="0"/>
        <v>-1.2496698452598836</v>
      </c>
    </row>
    <row r="12" spans="1:6" ht="15.5" x14ac:dyDescent="0.35">
      <c r="A12" s="18">
        <v>2003</v>
      </c>
      <c r="B12" s="16" t="s">
        <v>705</v>
      </c>
      <c r="C12">
        <v>119.53666666666666</v>
      </c>
      <c r="D12">
        <f t="shared" si="0"/>
        <v>1.7631698016804924</v>
      </c>
    </row>
    <row r="13" spans="1:6" ht="15.5" x14ac:dyDescent="0.35">
      <c r="A13" s="18">
        <v>2003</v>
      </c>
      <c r="B13" s="16" t="s">
        <v>715</v>
      </c>
      <c r="C13">
        <v>117.42903225806452</v>
      </c>
      <c r="D13">
        <f t="shared" si="0"/>
        <v>-8.5421531192484128</v>
      </c>
    </row>
    <row r="14" spans="1:6" ht="15.5" x14ac:dyDescent="0.35">
      <c r="A14" s="18">
        <v>2003</v>
      </c>
      <c r="B14" s="16" t="s">
        <v>706</v>
      </c>
      <c r="C14">
        <v>127.46000000000001</v>
      </c>
      <c r="D14">
        <f t="shared" si="0"/>
        <v>-7.4011834199723427</v>
      </c>
    </row>
    <row r="15" spans="1:6" ht="15.5" x14ac:dyDescent="0.35">
      <c r="A15" s="18">
        <v>2003</v>
      </c>
      <c r="B15" s="16" t="s">
        <v>716</v>
      </c>
      <c r="C15">
        <v>136.89354838709676</v>
      </c>
      <c r="D15">
        <f t="shared" si="0"/>
        <v>0.35346513655535444</v>
      </c>
    </row>
    <row r="16" spans="1:6" ht="15.5" x14ac:dyDescent="0.35">
      <c r="A16" s="18">
        <v>2003</v>
      </c>
      <c r="B16" s="16" t="s">
        <v>708</v>
      </c>
      <c r="C16">
        <v>136.40967741935484</v>
      </c>
      <c r="D16">
        <f t="shared" si="0"/>
        <v>4.9309874587146512</v>
      </c>
    </row>
    <row r="17" spans="1:6" ht="15.5" x14ac:dyDescent="0.35">
      <c r="A17" s="18">
        <v>2003</v>
      </c>
      <c r="B17" s="44">
        <v>40969</v>
      </c>
      <c r="C17">
        <v>129.68333333333334</v>
      </c>
      <c r="D17">
        <f t="shared" si="0"/>
        <v>3.7357334449921433</v>
      </c>
    </row>
    <row r="18" spans="1:6" ht="15.5" x14ac:dyDescent="0.35">
      <c r="A18" s="18">
        <v>2003</v>
      </c>
      <c r="B18" s="16" t="s">
        <v>710</v>
      </c>
      <c r="C18">
        <v>124.83870967741936</v>
      </c>
      <c r="D18">
        <f t="shared" si="0"/>
        <v>1.1230835486649471</v>
      </c>
    </row>
    <row r="19" spans="1:6" ht="15.5" x14ac:dyDescent="0.35">
      <c r="A19" s="18">
        <v>2003</v>
      </c>
      <c r="B19" s="16" t="s">
        <v>711</v>
      </c>
      <c r="C19">
        <v>123.43666666666667</v>
      </c>
      <c r="D19">
        <f t="shared" si="0"/>
        <v>7.0151337893883126</v>
      </c>
    </row>
    <row r="20" spans="1:6" ht="15.5" x14ac:dyDescent="0.35">
      <c r="A20" s="18">
        <v>2003</v>
      </c>
      <c r="B20" s="16" t="s">
        <v>712</v>
      </c>
      <c r="C20">
        <v>114.77741935483871</v>
      </c>
      <c r="D20">
        <f t="shared" si="0"/>
        <v>-5.323065681121947</v>
      </c>
      <c r="E20">
        <f>SUM(C9:C20)</f>
        <v>1494.2969662058372</v>
      </c>
      <c r="F20" s="48" t="s">
        <v>831</v>
      </c>
    </row>
    <row r="21" spans="1:6" ht="15.5" x14ac:dyDescent="0.35">
      <c r="A21" s="18">
        <v>2004</v>
      </c>
      <c r="B21" s="16" t="s">
        <v>704</v>
      </c>
      <c r="C21">
        <v>120.88709677419355</v>
      </c>
      <c r="D21">
        <f t="shared" si="0"/>
        <v>-0.42428285523681486</v>
      </c>
    </row>
    <row r="22" spans="1:6" ht="15.5" x14ac:dyDescent="0.35">
      <c r="A22" s="18">
        <v>2004</v>
      </c>
      <c r="B22" s="16" t="s">
        <v>713</v>
      </c>
      <c r="C22">
        <v>121.39999999999999</v>
      </c>
      <c r="D22">
        <f t="shared" si="0"/>
        <v>-0.39751288728278927</v>
      </c>
    </row>
    <row r="23" spans="1:6" ht="15.5" x14ac:dyDescent="0.35">
      <c r="A23" s="18">
        <v>2004</v>
      </c>
      <c r="B23" s="16" t="s">
        <v>714</v>
      </c>
      <c r="C23">
        <v>121.8825806451613</v>
      </c>
      <c r="D23">
        <f t="shared" si="0"/>
        <v>-4.7951227516700339</v>
      </c>
    </row>
    <row r="24" spans="1:6" ht="15.5" x14ac:dyDescent="0.35">
      <c r="A24" s="18">
        <v>2004</v>
      </c>
      <c r="B24" s="16" t="s">
        <v>705</v>
      </c>
      <c r="C24">
        <v>127.727</v>
      </c>
      <c r="D24">
        <f t="shared" si="0"/>
        <v>-3.5886266500350907</v>
      </c>
    </row>
    <row r="25" spans="1:6" ht="15.5" x14ac:dyDescent="0.35">
      <c r="A25" s="18">
        <v>2004</v>
      </c>
      <c r="B25" s="16" t="s">
        <v>715</v>
      </c>
      <c r="C25">
        <v>132.31064516129032</v>
      </c>
      <c r="D25">
        <f t="shared" si="0"/>
        <v>-2.5629241707971273</v>
      </c>
    </row>
    <row r="26" spans="1:6" ht="15.5" x14ac:dyDescent="0.35">
      <c r="A26" s="18">
        <v>2004</v>
      </c>
      <c r="B26" s="16" t="s">
        <v>706</v>
      </c>
      <c r="C26">
        <v>135.70166666666665</v>
      </c>
      <c r="D26">
        <f t="shared" si="0"/>
        <v>-5.1162595367526214</v>
      </c>
    </row>
    <row r="27" spans="1:6" ht="15.5" x14ac:dyDescent="0.35">
      <c r="A27" s="18">
        <v>2004</v>
      </c>
      <c r="B27" s="16" t="s">
        <v>707</v>
      </c>
      <c r="C27">
        <v>142.64451612903224</v>
      </c>
      <c r="D27">
        <f t="shared" si="0"/>
        <v>4.1108281810410405</v>
      </c>
    </row>
    <row r="28" spans="1:6" ht="15.5" x14ac:dyDescent="0.35">
      <c r="A28" s="18">
        <v>2004</v>
      </c>
      <c r="B28" s="16" t="s">
        <v>708</v>
      </c>
      <c r="C28">
        <v>136.78064516129035</v>
      </c>
      <c r="D28">
        <f t="shared" si="0"/>
        <v>0.72596418407938845</v>
      </c>
    </row>
    <row r="29" spans="1:6" ht="15.5" x14ac:dyDescent="0.35">
      <c r="A29" s="18">
        <v>2004</v>
      </c>
      <c r="B29" s="16" t="s">
        <v>709</v>
      </c>
      <c r="C29">
        <v>135.78766666666667</v>
      </c>
      <c r="D29">
        <f t="shared" si="0"/>
        <v>5.9988741118823015</v>
      </c>
    </row>
    <row r="30" spans="1:6" ht="15.5" x14ac:dyDescent="0.35">
      <c r="A30" s="18">
        <v>2004</v>
      </c>
      <c r="B30" s="16" t="s">
        <v>710</v>
      </c>
      <c r="C30">
        <v>127.64193548387097</v>
      </c>
      <c r="D30">
        <f t="shared" si="0"/>
        <v>6.3471320141187935</v>
      </c>
    </row>
    <row r="31" spans="1:6" ht="15.5" x14ac:dyDescent="0.35">
      <c r="A31" s="18">
        <v>2004</v>
      </c>
      <c r="B31" s="16" t="s">
        <v>717</v>
      </c>
      <c r="C31">
        <v>119.54033333333334</v>
      </c>
      <c r="D31">
        <f t="shared" si="0"/>
        <v>1.9494117745475108</v>
      </c>
    </row>
    <row r="32" spans="1:6" ht="15.5" x14ac:dyDescent="0.35">
      <c r="A32" s="18">
        <v>2004</v>
      </c>
      <c r="B32" s="16" t="s">
        <v>712</v>
      </c>
      <c r="C32">
        <v>117.21</v>
      </c>
      <c r="D32">
        <f t="shared" si="0"/>
        <v>-2.9519665557546353</v>
      </c>
      <c r="E32">
        <f>SUM(C21:C32)</f>
        <v>1539.5140860215056</v>
      </c>
      <c r="F32">
        <f>+((E32-E20)/E20)*100</f>
        <v>3.025979496597587</v>
      </c>
    </row>
    <row r="33" spans="1:6" ht="15.5" x14ac:dyDescent="0.35">
      <c r="A33" s="18">
        <v>2005</v>
      </c>
      <c r="B33" s="16" t="s">
        <v>704</v>
      </c>
      <c r="C33">
        <v>120.67</v>
      </c>
      <c r="D33">
        <f t="shared" si="0"/>
        <v>2.1463495483550208</v>
      </c>
    </row>
    <row r="34" spans="1:6" ht="15.5" x14ac:dyDescent="0.35">
      <c r="A34" s="18">
        <v>2005</v>
      </c>
      <c r="B34" s="16" t="s">
        <v>713</v>
      </c>
      <c r="C34">
        <v>118.08</v>
      </c>
      <c r="D34">
        <f t="shared" si="0"/>
        <v>1.6395663956639506</v>
      </c>
    </row>
    <row r="35" spans="1:6" ht="15.5" x14ac:dyDescent="0.35">
      <c r="A35" s="18">
        <v>2005</v>
      </c>
      <c r="B35" s="16" t="s">
        <v>714</v>
      </c>
      <c r="C35">
        <v>116.14400000000001</v>
      </c>
      <c r="D35">
        <f t="shared" si="0"/>
        <v>-4.190487670478019</v>
      </c>
    </row>
    <row r="36" spans="1:6" ht="15.5" x14ac:dyDescent="0.35">
      <c r="A36" s="18">
        <v>2005</v>
      </c>
      <c r="B36" s="16" t="s">
        <v>705</v>
      </c>
      <c r="C36">
        <v>121.011</v>
      </c>
      <c r="D36">
        <f t="shared" si="0"/>
        <v>3.939311302278302</v>
      </c>
    </row>
    <row r="37" spans="1:6" ht="15.5" x14ac:dyDescent="0.35">
      <c r="A37" s="18">
        <v>2005</v>
      </c>
      <c r="B37" s="16" t="s">
        <v>715</v>
      </c>
      <c r="C37">
        <v>116.244</v>
      </c>
      <c r="D37">
        <f t="shared" si="0"/>
        <v>-10.840129383021917</v>
      </c>
    </row>
    <row r="38" spans="1:6" ht="15.5" x14ac:dyDescent="0.35">
      <c r="A38" s="18">
        <v>2005</v>
      </c>
      <c r="B38" s="16" t="s">
        <v>718</v>
      </c>
      <c r="C38">
        <v>128.845</v>
      </c>
      <c r="D38">
        <f t="shared" si="0"/>
        <v>-1.1083084326128272</v>
      </c>
    </row>
    <row r="39" spans="1:6" ht="15.5" x14ac:dyDescent="0.35">
      <c r="A39" s="18">
        <v>2005</v>
      </c>
      <c r="B39" s="16" t="s">
        <v>716</v>
      </c>
      <c r="C39">
        <v>130.273</v>
      </c>
      <c r="D39">
        <f t="shared" si="0"/>
        <v>-1.3579176038012524</v>
      </c>
    </row>
    <row r="40" spans="1:6" ht="15.5" x14ac:dyDescent="0.35">
      <c r="A40" s="18">
        <v>2005</v>
      </c>
      <c r="B40" s="16" t="s">
        <v>708</v>
      </c>
      <c r="C40">
        <v>132.042</v>
      </c>
      <c r="D40">
        <f t="shared" si="0"/>
        <v>-1.0360339891852555</v>
      </c>
    </row>
    <row r="41" spans="1:6" ht="15.5" x14ac:dyDescent="0.35">
      <c r="A41" s="18">
        <v>2005</v>
      </c>
      <c r="B41" s="16" t="s">
        <v>709</v>
      </c>
      <c r="C41">
        <v>133.41</v>
      </c>
      <c r="D41">
        <f t="shared" si="0"/>
        <v>8.2762161756989681</v>
      </c>
    </row>
    <row r="42" spans="1:6" ht="15.5" x14ac:dyDescent="0.35">
      <c r="A42" s="18">
        <v>2005</v>
      </c>
      <c r="B42" s="16" t="s">
        <v>710</v>
      </c>
      <c r="C42">
        <v>122.3687</v>
      </c>
      <c r="D42">
        <f t="shared" si="0"/>
        <v>6.3845574889657293</v>
      </c>
    </row>
    <row r="43" spans="1:6" ht="15.5" x14ac:dyDescent="0.35">
      <c r="A43" s="18">
        <v>2005</v>
      </c>
      <c r="B43" s="16" t="s">
        <v>711</v>
      </c>
      <c r="C43">
        <v>114.556</v>
      </c>
      <c r="D43">
        <f t="shared" si="0"/>
        <v>5.9411990642131336</v>
      </c>
    </row>
    <row r="44" spans="1:6" ht="15.5" x14ac:dyDescent="0.35">
      <c r="A44" s="18">
        <v>2005</v>
      </c>
      <c r="B44" s="16" t="s">
        <v>712</v>
      </c>
      <c r="C44">
        <v>107.75</v>
      </c>
      <c r="D44">
        <f t="shared" si="0"/>
        <v>3.996751740139211</v>
      </c>
      <c r="E44">
        <f>SUM(C33:C44)</f>
        <v>1461.3937000000001</v>
      </c>
      <c r="F44">
        <f>+((E44-E32)/E32)*100</f>
        <v>-5.0743534424805672</v>
      </c>
    </row>
    <row r="45" spans="1:6" ht="15.5" x14ac:dyDescent="0.35">
      <c r="A45" s="18">
        <v>2006</v>
      </c>
      <c r="B45" s="16" t="s">
        <v>719</v>
      </c>
      <c r="C45">
        <v>103.4435</v>
      </c>
      <c r="D45">
        <f t="shared" si="0"/>
        <v>0.23636091199543918</v>
      </c>
    </row>
    <row r="46" spans="1:6" ht="15.5" x14ac:dyDescent="0.35">
      <c r="A46" s="18">
        <v>2006</v>
      </c>
      <c r="B46" s="16" t="s">
        <v>713</v>
      </c>
      <c r="C46">
        <v>103.199</v>
      </c>
      <c r="D46">
        <f t="shared" si="0"/>
        <v>0.81455246659366665</v>
      </c>
    </row>
    <row r="47" spans="1:6" ht="15.5" x14ac:dyDescent="0.35">
      <c r="A47" s="18">
        <v>2006</v>
      </c>
      <c r="B47" s="16" t="s">
        <v>714</v>
      </c>
      <c r="C47">
        <v>102.35839</v>
      </c>
      <c r="D47">
        <f t="shared" si="0"/>
        <v>-4.3685818036020283</v>
      </c>
    </row>
    <row r="48" spans="1:6" ht="15.5" x14ac:dyDescent="0.35">
      <c r="A48" s="18">
        <v>2006</v>
      </c>
      <c r="B48" s="16" t="s">
        <v>705</v>
      </c>
      <c r="C48">
        <v>106.83</v>
      </c>
      <c r="D48">
        <f t="shared" si="0"/>
        <v>-3.6852943929607767</v>
      </c>
    </row>
    <row r="49" spans="1:6" ht="15.5" x14ac:dyDescent="0.35">
      <c r="A49" s="18">
        <v>2006</v>
      </c>
      <c r="B49" s="16" t="s">
        <v>715</v>
      </c>
      <c r="C49">
        <v>110.767</v>
      </c>
      <c r="D49">
        <f t="shared" si="0"/>
        <v>-8.1414139590311194</v>
      </c>
    </row>
    <row r="50" spans="1:6" ht="15.5" x14ac:dyDescent="0.35">
      <c r="A50" s="18">
        <v>2006</v>
      </c>
      <c r="B50" s="16" t="s">
        <v>718</v>
      </c>
      <c r="C50">
        <v>119.785</v>
      </c>
      <c r="D50">
        <f t="shared" si="0"/>
        <v>-6.6426848102850977</v>
      </c>
    </row>
    <row r="51" spans="1:6" ht="15.5" x14ac:dyDescent="0.35">
      <c r="A51" s="18">
        <v>2006</v>
      </c>
      <c r="B51" s="16" t="s">
        <v>716</v>
      </c>
      <c r="C51">
        <v>127.74194</v>
      </c>
      <c r="D51">
        <f t="shared" si="0"/>
        <v>-4.3956276223768009</v>
      </c>
    </row>
    <row r="52" spans="1:6" ht="15.5" x14ac:dyDescent="0.35">
      <c r="A52" s="18">
        <v>2006</v>
      </c>
      <c r="B52" s="16" t="s">
        <v>708</v>
      </c>
      <c r="C52">
        <v>133.357</v>
      </c>
      <c r="D52">
        <f t="shared" si="0"/>
        <v>12.728990604167755</v>
      </c>
    </row>
    <row r="53" spans="1:6" ht="15.5" x14ac:dyDescent="0.35">
      <c r="A53" s="18">
        <v>2006</v>
      </c>
      <c r="B53" s="16" t="s">
        <v>709</v>
      </c>
      <c r="C53">
        <v>116.38200000000001</v>
      </c>
      <c r="D53">
        <f t="shared" si="0"/>
        <v>5.5352202230585545</v>
      </c>
    </row>
    <row r="54" spans="1:6" ht="15.5" x14ac:dyDescent="0.35">
      <c r="A54" s="18">
        <v>2006</v>
      </c>
      <c r="B54" s="16" t="s">
        <v>710</v>
      </c>
      <c r="C54">
        <v>109.94</v>
      </c>
      <c r="D54">
        <f t="shared" si="0"/>
        <v>5.7434327815171899</v>
      </c>
    </row>
    <row r="55" spans="1:6" ht="15.5" x14ac:dyDescent="0.35">
      <c r="A55" s="18">
        <v>2006</v>
      </c>
      <c r="B55" s="16" t="s">
        <v>711</v>
      </c>
      <c r="C55">
        <v>103.62567</v>
      </c>
      <c r="D55">
        <f t="shared" si="0"/>
        <v>3.3723979782229629</v>
      </c>
    </row>
    <row r="56" spans="1:6" ht="15.5" x14ac:dyDescent="0.35">
      <c r="A56" s="18">
        <v>2006</v>
      </c>
      <c r="B56" s="16" t="s">
        <v>712</v>
      </c>
      <c r="C56">
        <v>100.131</v>
      </c>
      <c r="D56">
        <f t="shared" si="0"/>
        <v>3.9707982542868834</v>
      </c>
      <c r="E56">
        <f>SUM(C45:C56)</f>
        <v>1337.5605</v>
      </c>
      <c r="F56">
        <f>+((E56-E44)/E44)*100</f>
        <v>-8.473637186201092</v>
      </c>
    </row>
    <row r="57" spans="1:6" ht="15.5" x14ac:dyDescent="0.35">
      <c r="A57" s="18">
        <v>2007</v>
      </c>
      <c r="B57" s="16" t="s">
        <v>719</v>
      </c>
      <c r="C57">
        <v>96.155000000000001</v>
      </c>
      <c r="D57">
        <f t="shared" si="0"/>
        <v>-13.552077375071505</v>
      </c>
    </row>
    <row r="58" spans="1:6" ht="15.5" x14ac:dyDescent="0.35">
      <c r="A58" s="18">
        <v>2007</v>
      </c>
      <c r="B58" s="16" t="s">
        <v>713</v>
      </c>
      <c r="C58">
        <v>109.18600000000001</v>
      </c>
      <c r="D58">
        <f t="shared" si="0"/>
        <v>4.5729305954975992</v>
      </c>
    </row>
    <row r="59" spans="1:6" ht="15.5" x14ac:dyDescent="0.35">
      <c r="A59" s="18">
        <v>2007</v>
      </c>
      <c r="B59" s="16" t="s">
        <v>714</v>
      </c>
      <c r="C59">
        <v>104.193</v>
      </c>
      <c r="D59">
        <f t="shared" si="0"/>
        <v>-1.5202556793642599</v>
      </c>
    </row>
    <row r="60" spans="1:6" ht="15.5" x14ac:dyDescent="0.35">
      <c r="A60" s="18">
        <v>2007</v>
      </c>
      <c r="B60" s="16" t="s">
        <v>705</v>
      </c>
      <c r="C60">
        <v>105.777</v>
      </c>
      <c r="D60">
        <f t="shared" si="0"/>
        <v>-11.881599969747676</v>
      </c>
    </row>
    <row r="61" spans="1:6" ht="15.5" x14ac:dyDescent="0.35">
      <c r="A61" s="18">
        <v>2007</v>
      </c>
      <c r="B61" s="16" t="s">
        <v>715</v>
      </c>
      <c r="C61">
        <v>118.345</v>
      </c>
      <c r="D61">
        <f t="shared" si="0"/>
        <v>-12.243018293971021</v>
      </c>
    </row>
    <row r="62" spans="1:6" ht="15.5" x14ac:dyDescent="0.35">
      <c r="A62" s="18">
        <v>2007</v>
      </c>
      <c r="B62" s="16" t="s">
        <v>718</v>
      </c>
      <c r="C62">
        <v>132.834</v>
      </c>
      <c r="D62">
        <f t="shared" si="0"/>
        <v>-0.41028652302873325</v>
      </c>
    </row>
    <row r="63" spans="1:6" ht="15.5" x14ac:dyDescent="0.35">
      <c r="A63" s="18">
        <v>2007</v>
      </c>
      <c r="B63" s="16" t="s">
        <v>716</v>
      </c>
      <c r="C63">
        <v>133.37899999999999</v>
      </c>
      <c r="D63">
        <f t="shared" si="0"/>
        <v>1.0174015399725589</v>
      </c>
    </row>
    <row r="64" spans="1:6" ht="15.5" x14ac:dyDescent="0.35">
      <c r="A64" s="18">
        <v>2007</v>
      </c>
      <c r="B64" s="16" t="s">
        <v>708</v>
      </c>
      <c r="C64">
        <v>132.02199999999999</v>
      </c>
      <c r="D64">
        <f t="shared" si="0"/>
        <v>5.4695429549620442</v>
      </c>
    </row>
    <row r="65" spans="1:6" ht="15.5" x14ac:dyDescent="0.35">
      <c r="A65" s="18">
        <v>2007</v>
      </c>
      <c r="B65" s="16" t="s">
        <v>709</v>
      </c>
      <c r="C65">
        <v>124.801</v>
      </c>
      <c r="D65">
        <f t="shared" si="0"/>
        <v>4.6281680435252897</v>
      </c>
    </row>
    <row r="66" spans="1:6" ht="15.5" x14ac:dyDescent="0.35">
      <c r="A66" s="18">
        <v>2007</v>
      </c>
      <c r="B66" s="16" t="s">
        <v>710</v>
      </c>
      <c r="C66">
        <v>119.02500000000001</v>
      </c>
      <c r="D66">
        <f t="shared" si="0"/>
        <v>13.007351396765385</v>
      </c>
    </row>
    <row r="67" spans="1:6" ht="15.5" x14ac:dyDescent="0.35">
      <c r="A67" s="18">
        <v>2007</v>
      </c>
      <c r="B67" s="16" t="s">
        <v>711</v>
      </c>
      <c r="C67">
        <v>103.54300000000001</v>
      </c>
      <c r="D67">
        <f t="shared" si="0"/>
        <v>4.7332992090242794</v>
      </c>
    </row>
    <row r="68" spans="1:6" ht="15.5" x14ac:dyDescent="0.35">
      <c r="A68" s="18">
        <v>2007</v>
      </c>
      <c r="B68" s="16" t="s">
        <v>712</v>
      </c>
      <c r="C68">
        <v>98.641999999999996</v>
      </c>
      <c r="D68">
        <f t="shared" si="0"/>
        <v>-0.23418016666329633</v>
      </c>
      <c r="E68">
        <f>SUM(C57:C68)</f>
        <v>1377.9020000000003</v>
      </c>
      <c r="F68">
        <f>+((E68-E56)/E56)*100</f>
        <v>3.0160504889311714</v>
      </c>
    </row>
    <row r="69" spans="1:6" ht="15.5" x14ac:dyDescent="0.35">
      <c r="A69" s="18">
        <v>2008</v>
      </c>
      <c r="B69" s="16" t="s">
        <v>719</v>
      </c>
      <c r="C69">
        <v>98.873000000000005</v>
      </c>
      <c r="D69">
        <f t="shared" si="0"/>
        <v>-6.2322373145347987</v>
      </c>
    </row>
    <row r="70" spans="1:6" ht="15.5" x14ac:dyDescent="0.35">
      <c r="A70" s="18">
        <v>2008</v>
      </c>
      <c r="B70" s="16" t="s">
        <v>713</v>
      </c>
      <c r="C70">
        <v>105.035</v>
      </c>
      <c r="D70">
        <f t="shared" si="0"/>
        <v>-0.40653115628124603</v>
      </c>
    </row>
    <row r="71" spans="1:6" ht="15.5" x14ac:dyDescent="0.35">
      <c r="A71" s="18">
        <v>2008</v>
      </c>
      <c r="B71" s="16" t="s">
        <v>714</v>
      </c>
      <c r="C71">
        <v>105.462</v>
      </c>
      <c r="D71">
        <f t="shared" si="0"/>
        <v>-2.6843792076767015</v>
      </c>
    </row>
    <row r="72" spans="1:6" ht="15.5" x14ac:dyDescent="0.35">
      <c r="A72" s="18">
        <v>2008</v>
      </c>
      <c r="B72" s="16" t="s">
        <v>705</v>
      </c>
      <c r="C72">
        <v>108.29300000000001</v>
      </c>
      <c r="D72">
        <f t="shared" si="0"/>
        <v>-0.92526756115353281</v>
      </c>
    </row>
    <row r="73" spans="1:6" ht="15.5" x14ac:dyDescent="0.35">
      <c r="A73" s="18">
        <v>2008</v>
      </c>
      <c r="B73" s="16" t="s">
        <v>715</v>
      </c>
      <c r="C73">
        <v>109.295</v>
      </c>
      <c r="D73">
        <f t="shared" si="0"/>
        <v>-13.792945697424406</v>
      </c>
    </row>
    <row r="74" spans="1:6" ht="15.5" x14ac:dyDescent="0.35">
      <c r="A74" s="18">
        <v>2008</v>
      </c>
      <c r="B74" s="16" t="s">
        <v>718</v>
      </c>
      <c r="C74">
        <v>124.37</v>
      </c>
      <c r="D74">
        <f t="shared" ref="D74:D129" si="1">((C74-C75)/C74)*100</f>
        <v>-1.5188550293479102</v>
      </c>
    </row>
    <row r="75" spans="1:6" ht="15.5" x14ac:dyDescent="0.35">
      <c r="A75" s="18">
        <v>2008</v>
      </c>
      <c r="B75" s="16" t="s">
        <v>716</v>
      </c>
      <c r="C75">
        <v>126.259</v>
      </c>
      <c r="D75">
        <f t="shared" si="1"/>
        <v>5.9354184652183211</v>
      </c>
    </row>
    <row r="76" spans="1:6" ht="15.5" x14ac:dyDescent="0.35">
      <c r="A76" s="18">
        <v>2008</v>
      </c>
      <c r="B76" s="16" t="s">
        <v>708</v>
      </c>
      <c r="C76">
        <v>118.765</v>
      </c>
      <c r="D76">
        <f t="shared" si="1"/>
        <v>-3.6222792910369268</v>
      </c>
    </row>
    <row r="77" spans="1:6" ht="15.5" x14ac:dyDescent="0.35">
      <c r="A77" s="18">
        <v>2008</v>
      </c>
      <c r="B77" s="16" t="s">
        <v>709</v>
      </c>
      <c r="C77">
        <v>123.06700000000001</v>
      </c>
      <c r="D77">
        <f t="shared" si="1"/>
        <v>11.375917183322915</v>
      </c>
    </row>
    <row r="78" spans="1:6" ht="15.5" x14ac:dyDescent="0.35">
      <c r="A78" s="18">
        <v>2008</v>
      </c>
      <c r="B78" s="16" t="s">
        <v>710</v>
      </c>
      <c r="C78">
        <v>109.06699999999999</v>
      </c>
      <c r="D78">
        <f t="shared" si="1"/>
        <v>6.9709444653286461</v>
      </c>
    </row>
    <row r="79" spans="1:6" ht="15.5" x14ac:dyDescent="0.35">
      <c r="A79" s="18">
        <v>2008</v>
      </c>
      <c r="B79" s="16" t="s">
        <v>711</v>
      </c>
      <c r="C79">
        <v>101.464</v>
      </c>
      <c r="D79">
        <f t="shared" si="1"/>
        <v>-0.98557123708901684</v>
      </c>
    </row>
    <row r="80" spans="1:6" ht="15.5" x14ac:dyDescent="0.35">
      <c r="A80" s="18">
        <v>2008</v>
      </c>
      <c r="B80" s="16" t="s">
        <v>712</v>
      </c>
      <c r="C80">
        <v>102.464</v>
      </c>
      <c r="D80">
        <f t="shared" si="1"/>
        <v>-5.2467207995003173</v>
      </c>
      <c r="E80">
        <f>SUM(C69:C80)</f>
        <v>1332.4139999999998</v>
      </c>
      <c r="F80">
        <f>+((E80-E68)/E68)*100</f>
        <v>-3.3012507420702275</v>
      </c>
    </row>
    <row r="81" spans="1:6" ht="15.5" x14ac:dyDescent="0.35">
      <c r="A81" s="18">
        <v>2009</v>
      </c>
      <c r="B81" s="16" t="s">
        <v>719</v>
      </c>
      <c r="C81">
        <v>107.84</v>
      </c>
      <c r="D81">
        <f t="shared" si="1"/>
        <v>3.47108149639678</v>
      </c>
    </row>
    <row r="82" spans="1:6" ht="15.5" x14ac:dyDescent="0.35">
      <c r="A82" s="18">
        <v>2009</v>
      </c>
      <c r="B82" s="16" t="s">
        <v>713</v>
      </c>
      <c r="C82">
        <v>104.09678571428572</v>
      </c>
      <c r="D82">
        <f t="shared" si="1"/>
        <v>-1.6016001591925046</v>
      </c>
    </row>
    <row r="83" spans="1:6" ht="15.5" x14ac:dyDescent="0.35">
      <c r="A83" s="18">
        <v>2009</v>
      </c>
      <c r="B83" s="16" t="s">
        <v>714</v>
      </c>
      <c r="C83">
        <v>105.764</v>
      </c>
      <c r="D83">
        <f t="shared" si="1"/>
        <v>0.47369615370068319</v>
      </c>
    </row>
    <row r="84" spans="1:6" ht="15.5" x14ac:dyDescent="0.35">
      <c r="A84" s="18">
        <v>2009</v>
      </c>
      <c r="B84" s="16" t="s">
        <v>705</v>
      </c>
      <c r="C84">
        <v>105.26300000000001</v>
      </c>
      <c r="D84">
        <f t="shared" si="1"/>
        <v>-6.8419102628653921</v>
      </c>
    </row>
    <row r="85" spans="1:6" ht="15.5" x14ac:dyDescent="0.35">
      <c r="A85" s="18">
        <v>2009</v>
      </c>
      <c r="B85" s="16" t="s">
        <v>715</v>
      </c>
      <c r="C85">
        <v>112.465</v>
      </c>
      <c r="D85">
        <f t="shared" si="1"/>
        <v>-1.3630907393411293</v>
      </c>
    </row>
    <row r="86" spans="1:6" ht="15.5" x14ac:dyDescent="0.35">
      <c r="A86" s="18">
        <v>2009</v>
      </c>
      <c r="B86" s="68" t="s">
        <v>718</v>
      </c>
      <c r="C86">
        <v>113.998</v>
      </c>
      <c r="D86">
        <f t="shared" si="1"/>
        <v>-3.4860260706328092</v>
      </c>
    </row>
    <row r="87" spans="1:6" ht="15.5" x14ac:dyDescent="0.35">
      <c r="A87" s="18">
        <v>2009</v>
      </c>
      <c r="B87" s="68" t="s">
        <v>716</v>
      </c>
      <c r="C87">
        <v>117.97199999999999</v>
      </c>
      <c r="D87">
        <f t="shared" si="1"/>
        <v>-8.2078798358932694</v>
      </c>
    </row>
    <row r="88" spans="1:6" ht="15.5" x14ac:dyDescent="0.35">
      <c r="A88" s="18">
        <v>2009</v>
      </c>
      <c r="B88" s="68" t="s">
        <v>708</v>
      </c>
      <c r="C88">
        <v>127.655</v>
      </c>
      <c r="D88">
        <f t="shared" si="1"/>
        <v>11.115898319689787</v>
      </c>
    </row>
    <row r="89" spans="1:6" ht="15.5" x14ac:dyDescent="0.35">
      <c r="A89" s="18">
        <v>2009</v>
      </c>
      <c r="B89" s="68" t="s">
        <v>709</v>
      </c>
      <c r="C89">
        <v>113.465</v>
      </c>
      <c r="D89">
        <f t="shared" si="1"/>
        <v>8.2765610540695409</v>
      </c>
    </row>
    <row r="90" spans="1:6" ht="15.5" x14ac:dyDescent="0.35">
      <c r="A90" s="18">
        <v>2009</v>
      </c>
      <c r="B90" s="68" t="s">
        <v>710</v>
      </c>
      <c r="C90">
        <v>104.074</v>
      </c>
      <c r="D90">
        <f t="shared" si="1"/>
        <v>6.0530968349443679</v>
      </c>
    </row>
    <row r="91" spans="1:6" ht="15.5" x14ac:dyDescent="0.35">
      <c r="A91" s="18">
        <v>2009</v>
      </c>
      <c r="B91" s="68" t="s">
        <v>711</v>
      </c>
      <c r="C91">
        <v>97.774299999999997</v>
      </c>
      <c r="D91">
        <f t="shared" si="1"/>
        <v>1.8800441424791592</v>
      </c>
    </row>
    <row r="92" spans="1:6" ht="15.5" x14ac:dyDescent="0.35">
      <c r="A92" s="18">
        <v>2009</v>
      </c>
      <c r="B92" s="68" t="s">
        <v>712</v>
      </c>
      <c r="C92">
        <v>95.936099999999996</v>
      </c>
      <c r="D92">
        <f t="shared" si="1"/>
        <v>-1.0370131785636543</v>
      </c>
      <c r="E92">
        <f>SUM(C81:C92)</f>
        <v>1306.3031857142857</v>
      </c>
      <c r="F92">
        <f>+((E92-E80)/E80)*100</f>
        <v>-1.9596622585558257</v>
      </c>
    </row>
    <row r="93" spans="1:6" ht="15.5" x14ac:dyDescent="0.35">
      <c r="A93" s="18">
        <v>2010</v>
      </c>
      <c r="B93" s="68" t="s">
        <v>719</v>
      </c>
      <c r="C93">
        <v>96.930970000000002</v>
      </c>
      <c r="D93">
        <f t="shared" si="1"/>
        <v>0.63178981908466203</v>
      </c>
    </row>
    <row r="94" spans="1:6" ht="15.5" x14ac:dyDescent="0.35">
      <c r="A94" s="18">
        <v>2010.3333333333301</v>
      </c>
      <c r="B94" s="68" t="s">
        <v>713</v>
      </c>
      <c r="C94">
        <v>96.318569999999994</v>
      </c>
      <c r="D94">
        <f t="shared" si="1"/>
        <v>0.37538970937795318</v>
      </c>
    </row>
    <row r="95" spans="1:6" ht="15.5" x14ac:dyDescent="0.35">
      <c r="A95" s="18">
        <v>2010</v>
      </c>
      <c r="B95" s="68" t="s">
        <v>714</v>
      </c>
      <c r="C95">
        <v>95.956999999999994</v>
      </c>
      <c r="D95">
        <f t="shared" si="1"/>
        <v>-1.6965932657336102</v>
      </c>
    </row>
    <row r="96" spans="1:6" ht="15.5" x14ac:dyDescent="0.35">
      <c r="A96" s="18">
        <v>2009.6666666666699</v>
      </c>
      <c r="B96" s="68" t="s">
        <v>705</v>
      </c>
      <c r="C96">
        <v>97.584999999999994</v>
      </c>
      <c r="D96">
        <f t="shared" si="1"/>
        <v>-5.3988830250550839</v>
      </c>
    </row>
    <row r="97" spans="1:6" ht="15.5" x14ac:dyDescent="0.35">
      <c r="A97" s="18">
        <v>2009.6666666666699</v>
      </c>
      <c r="B97" s="68" t="s">
        <v>715</v>
      </c>
      <c r="C97">
        <v>102.8535</v>
      </c>
      <c r="D97">
        <f t="shared" si="1"/>
        <v>-18.059822952062881</v>
      </c>
    </row>
    <row r="98" spans="1:6" ht="15.5" x14ac:dyDescent="0.35">
      <c r="A98" s="18">
        <v>2009.5333333333399</v>
      </c>
      <c r="B98" s="68" t="s">
        <v>718</v>
      </c>
      <c r="C98">
        <v>121.42865999999999</v>
      </c>
      <c r="D98">
        <f t="shared" si="1"/>
        <v>-7.5236407121679507</v>
      </c>
    </row>
    <row r="99" spans="1:6" ht="15.5" x14ac:dyDescent="0.35">
      <c r="A99" s="18">
        <v>2010</v>
      </c>
      <c r="B99" s="68" t="s">
        <v>716</v>
      </c>
      <c r="C99">
        <v>130.56451609999999</v>
      </c>
      <c r="D99">
        <f t="shared" si="1"/>
        <v>11.031253843095275</v>
      </c>
    </row>
    <row r="100" spans="1:6" ht="15.5" x14ac:dyDescent="0.35">
      <c r="A100" s="18">
        <v>2010.4666666666601</v>
      </c>
      <c r="B100" s="68" t="s">
        <v>708</v>
      </c>
      <c r="C100">
        <v>116.16161289999999</v>
      </c>
      <c r="D100">
        <f t="shared" si="1"/>
        <v>4.9387631221501342</v>
      </c>
    </row>
    <row r="101" spans="1:6" ht="15.5" x14ac:dyDescent="0.35">
      <c r="A101" s="18">
        <v>2010</v>
      </c>
      <c r="B101" s="68" t="s">
        <v>709</v>
      </c>
      <c r="C101">
        <v>110.424666</v>
      </c>
      <c r="D101">
        <f t="shared" si="1"/>
        <v>11.112367774786845</v>
      </c>
    </row>
    <row r="102" spans="1:6" ht="15.5" x14ac:dyDescent="0.35">
      <c r="A102" s="18">
        <v>2010.4666666666601</v>
      </c>
      <c r="B102" s="68" t="s">
        <v>710</v>
      </c>
      <c r="C102">
        <v>98.153870999999995</v>
      </c>
      <c r="D102">
        <f t="shared" si="1"/>
        <v>-8.0741889436026408</v>
      </c>
    </row>
    <row r="103" spans="1:6" ht="15.5" x14ac:dyDescent="0.35">
      <c r="A103" s="18">
        <v>2010</v>
      </c>
      <c r="B103" s="68" t="s">
        <v>711</v>
      </c>
      <c r="C103">
        <v>106.07899999999999</v>
      </c>
      <c r="D103">
        <f t="shared" si="1"/>
        <v>11.780899141206074</v>
      </c>
    </row>
    <row r="104" spans="1:6" ht="15.5" x14ac:dyDescent="0.35">
      <c r="A104" s="18">
        <v>2010</v>
      </c>
      <c r="B104" s="68" t="s">
        <v>712</v>
      </c>
      <c r="C104">
        <v>93.581940000000003</v>
      </c>
      <c r="D104">
        <f t="shared" si="1"/>
        <v>-1.5783921555804505</v>
      </c>
      <c r="E104">
        <f>SUM(C93:C104)</f>
        <v>1266.0393060000001</v>
      </c>
      <c r="F104">
        <f>+((E104-E92)/E92)*100</f>
        <v>-3.0822767757600897</v>
      </c>
    </row>
    <row r="105" spans="1:6" ht="15.5" x14ac:dyDescent="0.35">
      <c r="A105" s="18">
        <v>2011</v>
      </c>
      <c r="B105" s="68" t="s">
        <v>719</v>
      </c>
      <c r="C105">
        <v>95.059030000000007</v>
      </c>
      <c r="D105">
        <f t="shared" si="1"/>
        <v>-1.903596112857451</v>
      </c>
    </row>
    <row r="106" spans="1:6" ht="15.5" x14ac:dyDescent="0.35">
      <c r="A106" s="18">
        <v>2011</v>
      </c>
      <c r="B106" s="68" t="s">
        <v>713</v>
      </c>
      <c r="C106">
        <v>96.868570000000005</v>
      </c>
      <c r="D106">
        <f t="shared" si="1"/>
        <v>3.5970077807486969</v>
      </c>
    </row>
    <row r="107" spans="1:6" ht="15.5" x14ac:dyDescent="0.35">
      <c r="A107" s="18">
        <v>2011</v>
      </c>
      <c r="B107" s="68" t="s">
        <v>714</v>
      </c>
      <c r="C107">
        <v>93.384200000000007</v>
      </c>
      <c r="D107">
        <f t="shared" si="1"/>
        <v>-2.986372427027264</v>
      </c>
    </row>
    <row r="108" spans="1:6" ht="15.5" x14ac:dyDescent="0.35">
      <c r="A108" s="18">
        <v>2011</v>
      </c>
      <c r="B108" s="68" t="s">
        <v>705</v>
      </c>
      <c r="C108">
        <v>96.173000000000002</v>
      </c>
      <c r="D108">
        <f t="shared" si="1"/>
        <v>-8.8663138302850086</v>
      </c>
    </row>
    <row r="109" spans="1:6" ht="15.5" x14ac:dyDescent="0.35">
      <c r="A109" s="18">
        <v>2011</v>
      </c>
      <c r="B109" s="68" t="s">
        <v>715</v>
      </c>
      <c r="C109">
        <v>104.7</v>
      </c>
      <c r="D109">
        <f t="shared" si="1"/>
        <v>-8.909901337153773</v>
      </c>
    </row>
    <row r="110" spans="1:6" ht="15.5" x14ac:dyDescent="0.35">
      <c r="A110" s="18">
        <v>2011</v>
      </c>
      <c r="B110" s="68" t="s">
        <v>718</v>
      </c>
      <c r="C110">
        <v>114.0286667</v>
      </c>
      <c r="D110">
        <f t="shared" si="1"/>
        <v>-6.5888986668297118</v>
      </c>
    </row>
    <row r="111" spans="1:6" ht="15.5" x14ac:dyDescent="0.35">
      <c r="A111" s="18">
        <v>2011</v>
      </c>
      <c r="B111" s="68" t="s">
        <v>716</v>
      </c>
      <c r="C111">
        <v>121.5419</v>
      </c>
      <c r="D111">
        <f t="shared" si="1"/>
        <v>4.1672048898363396</v>
      </c>
    </row>
    <row r="112" spans="1:6" ht="15.5" x14ac:dyDescent="0.35">
      <c r="A112" s="18">
        <v>2011</v>
      </c>
      <c r="B112" s="68" t="s">
        <v>708</v>
      </c>
      <c r="C112">
        <v>116.477</v>
      </c>
      <c r="D112">
        <f t="shared" si="1"/>
        <v>4.0454338624792907</v>
      </c>
    </row>
    <row r="113" spans="1:6" ht="15.5" x14ac:dyDescent="0.35">
      <c r="A113" s="18">
        <v>2011</v>
      </c>
      <c r="B113" s="68" t="s">
        <v>709</v>
      </c>
      <c r="C113">
        <v>111.765</v>
      </c>
      <c r="D113">
        <f t="shared" si="1"/>
        <v>11.453612490493446</v>
      </c>
    </row>
    <row r="114" spans="1:6" ht="15.5" x14ac:dyDescent="0.35">
      <c r="A114" s="18">
        <v>2011</v>
      </c>
      <c r="B114" s="68" t="s">
        <v>710</v>
      </c>
      <c r="C114">
        <v>98.96387</v>
      </c>
      <c r="D114">
        <f t="shared" si="1"/>
        <v>2.7126465446430079</v>
      </c>
    </row>
    <row r="115" spans="1:6" ht="15.5" x14ac:dyDescent="0.35">
      <c r="A115" s="18">
        <v>2011</v>
      </c>
      <c r="B115" s="68" t="s">
        <v>711</v>
      </c>
      <c r="C115">
        <v>96.279330000000002</v>
      </c>
      <c r="D115">
        <f t="shared" si="1"/>
        <v>6.6559769371058213</v>
      </c>
    </row>
    <row r="116" spans="1:6" ht="15.5" x14ac:dyDescent="0.35">
      <c r="A116" s="18">
        <v>2011</v>
      </c>
      <c r="B116" s="68" t="s">
        <v>712</v>
      </c>
      <c r="C116">
        <v>89.870999999999995</v>
      </c>
      <c r="D116">
        <f t="shared" si="1"/>
        <v>-2.0651823168764216</v>
      </c>
      <c r="E116">
        <f>SUM(C105:C116)</f>
        <v>1235.1115667000001</v>
      </c>
      <c r="F116">
        <f>+((E116-E104)/E104)*100</f>
        <v>-2.4428735469291962</v>
      </c>
    </row>
    <row r="117" spans="1:6" ht="15.5" x14ac:dyDescent="0.35">
      <c r="A117" s="18">
        <v>2012</v>
      </c>
      <c r="B117" s="68" t="s">
        <v>719</v>
      </c>
      <c r="C117">
        <v>91.727000000000004</v>
      </c>
      <c r="D117">
        <f t="shared" si="1"/>
        <v>3.6477809151067881</v>
      </c>
    </row>
    <row r="118" spans="1:6" ht="15.5" x14ac:dyDescent="0.35">
      <c r="A118" s="18">
        <v>2012.3333333333301</v>
      </c>
      <c r="B118" s="68" t="s">
        <v>713</v>
      </c>
      <c r="C118">
        <v>88.381</v>
      </c>
      <c r="D118">
        <f t="shared" si="1"/>
        <v>-2.3347778368653951</v>
      </c>
    </row>
    <row r="119" spans="1:6" ht="15.5" x14ac:dyDescent="0.35">
      <c r="A119" s="18">
        <v>2012</v>
      </c>
      <c r="B119" s="68" t="s">
        <v>714</v>
      </c>
      <c r="C119">
        <v>90.444500000000005</v>
      </c>
      <c r="D119">
        <f t="shared" si="1"/>
        <v>-8.4819972469304314</v>
      </c>
    </row>
    <row r="120" spans="1:6" ht="15.5" x14ac:dyDescent="0.35">
      <c r="A120" s="18">
        <v>2012.1111111111099</v>
      </c>
      <c r="B120" s="68" t="s">
        <v>705</v>
      </c>
      <c r="C120">
        <v>98.116</v>
      </c>
      <c r="D120">
        <f t="shared" si="1"/>
        <v>-3.8395631701251638</v>
      </c>
    </row>
    <row r="121" spans="1:6" ht="15.5" x14ac:dyDescent="0.35">
      <c r="A121" s="18">
        <v>2011.92592592593</v>
      </c>
      <c r="B121" s="68" t="s">
        <v>715</v>
      </c>
      <c r="C121">
        <v>101.88322580000001</v>
      </c>
      <c r="D121">
        <f t="shared" si="1"/>
        <v>-8.5036316154803089</v>
      </c>
    </row>
    <row r="122" spans="1:6" ht="15.5" x14ac:dyDescent="0.35">
      <c r="A122" s="18">
        <v>2011.74074074075</v>
      </c>
      <c r="B122" s="68" t="s">
        <v>718</v>
      </c>
      <c r="C122">
        <v>110.547</v>
      </c>
      <c r="D122">
        <f t="shared" si="1"/>
        <v>-12.922015070513002</v>
      </c>
    </row>
    <row r="123" spans="1:6" ht="15.5" x14ac:dyDescent="0.35">
      <c r="A123" s="18">
        <v>2011.7037037037101</v>
      </c>
      <c r="B123" s="68" t="s">
        <v>716</v>
      </c>
      <c r="C123">
        <v>124.8319</v>
      </c>
      <c r="D123">
        <f t="shared" si="1"/>
        <v>7.8815384529114754</v>
      </c>
    </row>
    <row r="124" spans="1:6" ht="15.5" x14ac:dyDescent="0.35">
      <c r="A124" s="18">
        <v>2011.5679012345799</v>
      </c>
      <c r="B124" s="68" t="s">
        <v>708</v>
      </c>
      <c r="C124">
        <v>114.9932258</v>
      </c>
      <c r="D124">
        <f t="shared" si="1"/>
        <v>8.2667702674360584</v>
      </c>
    </row>
    <row r="125" spans="1:6" ht="15.5" x14ac:dyDescent="0.35">
      <c r="A125" s="18">
        <v>2011.5679012345799</v>
      </c>
      <c r="B125" s="68" t="s">
        <v>709</v>
      </c>
      <c r="C125">
        <v>105.48699999999999</v>
      </c>
      <c r="D125">
        <f t="shared" si="1"/>
        <v>10.769099509892214</v>
      </c>
    </row>
    <row r="126" spans="1:6" ht="15.5" x14ac:dyDescent="0.35">
      <c r="A126" s="18">
        <v>2012</v>
      </c>
      <c r="B126" s="68" t="s">
        <v>710</v>
      </c>
      <c r="C126">
        <v>94.126999999999995</v>
      </c>
      <c r="D126">
        <f t="shared" si="1"/>
        <v>6.1841979453291813</v>
      </c>
    </row>
    <row r="127" spans="1:6" ht="15.5" x14ac:dyDescent="0.35">
      <c r="A127" s="18">
        <v>2012.1440329218101</v>
      </c>
      <c r="B127" s="68" t="s">
        <v>711</v>
      </c>
      <c r="C127">
        <v>88.305999999999997</v>
      </c>
      <c r="D127">
        <f t="shared" si="1"/>
        <v>6.9644191787647403</v>
      </c>
    </row>
    <row r="128" spans="1:6" ht="15.5" x14ac:dyDescent="0.35">
      <c r="A128" s="18">
        <v>2012.28806584362</v>
      </c>
      <c r="B128" s="68" t="s">
        <v>712</v>
      </c>
      <c r="C128">
        <v>82.156000000000006</v>
      </c>
      <c r="D128">
        <f t="shared" si="1"/>
        <v>-6.6142460684551301</v>
      </c>
      <c r="E128">
        <f>SUM(C117:C128)</f>
        <v>1190.9998515999998</v>
      </c>
      <c r="F128">
        <f>+((E128-E116)/E116)*100</f>
        <v>-3.5714761556204206</v>
      </c>
    </row>
    <row r="129" spans="1:4" ht="15.5" x14ac:dyDescent="0.35">
      <c r="A129" s="18">
        <v>2013</v>
      </c>
      <c r="B129" s="68" t="s">
        <v>719</v>
      </c>
      <c r="C129">
        <v>87.59</v>
      </c>
      <c r="D129">
        <f t="shared" si="1"/>
        <v>100</v>
      </c>
    </row>
    <row r="130" spans="1:4" ht="15.5" x14ac:dyDescent="0.35">
      <c r="A130" s="18"/>
      <c r="B130" s="68"/>
    </row>
    <row r="131" spans="1:4" x14ac:dyDescent="0.25">
      <c r="A131" s="89"/>
    </row>
    <row r="134" spans="1:4" ht="15.5" x14ac:dyDescent="0.35">
      <c r="A134" s="16"/>
      <c r="B134" s="16"/>
    </row>
    <row r="135" spans="1:4" ht="15.5" x14ac:dyDescent="0.35">
      <c r="A135" s="16"/>
      <c r="B135" s="16"/>
    </row>
    <row r="136" spans="1:4" ht="15.5" x14ac:dyDescent="0.35">
      <c r="A136" s="16"/>
      <c r="B136" s="16"/>
    </row>
    <row r="137" spans="1:4" ht="15.5" x14ac:dyDescent="0.35">
      <c r="A137" s="16"/>
      <c r="B137" s="16"/>
    </row>
    <row r="138" spans="1:4" ht="15.5" x14ac:dyDescent="0.35">
      <c r="A138" s="16"/>
      <c r="B138" s="16"/>
    </row>
    <row r="139" spans="1:4" ht="15.5" x14ac:dyDescent="0.35">
      <c r="A139" s="16"/>
      <c r="B139" s="16"/>
    </row>
    <row r="140" spans="1:4" ht="15.5" x14ac:dyDescent="0.35">
      <c r="A140" s="16"/>
      <c r="B140" s="16"/>
    </row>
    <row r="141" spans="1:4" ht="15.5" x14ac:dyDescent="0.35">
      <c r="A141" s="16"/>
      <c r="B141" s="16"/>
    </row>
    <row r="142" spans="1:4" ht="15.5" x14ac:dyDescent="0.35">
      <c r="A142" s="16"/>
      <c r="B142" s="16"/>
    </row>
    <row r="143" spans="1:4" ht="15.5" x14ac:dyDescent="0.35">
      <c r="A143" s="16"/>
      <c r="B143" s="16"/>
    </row>
    <row r="144" spans="1:4" ht="15.5" x14ac:dyDescent="0.35">
      <c r="A144" s="16"/>
      <c r="B144" s="16"/>
    </row>
    <row r="145" spans="1:2" ht="15.5" x14ac:dyDescent="0.35">
      <c r="A145" s="16"/>
      <c r="B145" s="16"/>
    </row>
    <row r="146" spans="1:2" ht="15.5" x14ac:dyDescent="0.35">
      <c r="A146" s="16"/>
      <c r="B146" s="16"/>
    </row>
    <row r="147" spans="1:2" ht="15.5" x14ac:dyDescent="0.35">
      <c r="A147" s="16"/>
      <c r="B147" s="16"/>
    </row>
    <row r="148" spans="1:2" ht="15.5" x14ac:dyDescent="0.35">
      <c r="A148" s="18"/>
      <c r="B148" s="16"/>
    </row>
    <row r="149" spans="1:2" ht="15.5" x14ac:dyDescent="0.35">
      <c r="A149" s="16"/>
      <c r="B149" s="1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9"/>
  <dimension ref="A1"/>
  <sheetViews>
    <sheetView zoomScale="70" zoomScaleNormal="70" workbookViewId="0">
      <selection activeCell="AM240" sqref="AM240"/>
    </sheetView>
  </sheetViews>
  <sheetFormatPr defaultRowHeight="12.5" x14ac:dyDescent="0.2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0"/>
  <dimension ref="B3:O21"/>
  <sheetViews>
    <sheetView workbookViewId="0">
      <selection activeCell="AM240" sqref="AM240"/>
    </sheetView>
  </sheetViews>
  <sheetFormatPr defaultRowHeight="12.5" x14ac:dyDescent="0.25"/>
  <cols>
    <col min="2" max="2" width="13.6328125" bestFit="1" customWidth="1"/>
    <col min="3" max="3" width="8.36328125" bestFit="1" customWidth="1"/>
    <col min="4" max="4" width="10.90625" bestFit="1" customWidth="1"/>
    <col min="6" max="6" width="9.54296875" bestFit="1" customWidth="1"/>
    <col min="7" max="7" width="19.54296875" customWidth="1"/>
    <col min="8" max="8" width="11.6328125" customWidth="1"/>
    <col min="11" max="11" width="13.08984375" bestFit="1" customWidth="1"/>
    <col min="12" max="12" width="20.36328125" customWidth="1"/>
    <col min="14" max="14" width="14" bestFit="1" customWidth="1"/>
    <col min="15" max="15" width="18" bestFit="1" customWidth="1"/>
  </cols>
  <sheetData>
    <row r="3" spans="2:15" ht="13" thickBot="1" x14ac:dyDescent="0.3"/>
    <row r="4" spans="2:15" ht="14" x14ac:dyDescent="0.3">
      <c r="B4" s="212"/>
      <c r="C4" s="330" t="s">
        <v>0</v>
      </c>
      <c r="D4" s="331"/>
      <c r="E4" s="331"/>
      <c r="F4" s="331"/>
      <c r="G4" s="331"/>
      <c r="H4" s="331"/>
      <c r="I4" s="220" t="s">
        <v>1</v>
      </c>
      <c r="J4" s="221"/>
      <c r="K4" s="221"/>
      <c r="L4" s="221"/>
      <c r="M4" s="213"/>
    </row>
    <row r="5" spans="2:15" ht="14" x14ac:dyDescent="0.3">
      <c r="B5" s="219" t="s">
        <v>2</v>
      </c>
      <c r="C5" s="214" t="s">
        <v>3</v>
      </c>
      <c r="D5" s="211" t="s">
        <v>4</v>
      </c>
      <c r="E5" s="211" t="s">
        <v>5</v>
      </c>
      <c r="F5" s="211" t="s">
        <v>6</v>
      </c>
      <c r="G5" s="211" t="s">
        <v>7</v>
      </c>
      <c r="H5" s="211" t="s">
        <v>8</v>
      </c>
      <c r="I5" s="214" t="s">
        <v>9</v>
      </c>
      <c r="J5" s="211" t="s">
        <v>10</v>
      </c>
      <c r="K5" s="211" t="s">
        <v>11</v>
      </c>
      <c r="L5" s="211" t="s">
        <v>12</v>
      </c>
      <c r="M5" s="222" t="s">
        <v>13</v>
      </c>
      <c r="N5" s="211" t="s">
        <v>14</v>
      </c>
      <c r="O5" s="211" t="s">
        <v>15</v>
      </c>
    </row>
    <row r="6" spans="2:15" ht="14.5" thickBot="1" x14ac:dyDescent="0.35">
      <c r="B6" s="215">
        <v>291.40920832450519</v>
      </c>
      <c r="C6" s="215">
        <v>118.58322052355349</v>
      </c>
      <c r="D6" s="218">
        <v>27.768098911268265</v>
      </c>
      <c r="E6" s="218">
        <v>12.866963805498171</v>
      </c>
      <c r="F6" s="218">
        <v>0.96088661789113128</v>
      </c>
      <c r="G6" s="218">
        <v>0.9623597965993963</v>
      </c>
      <c r="H6" s="218">
        <v>130.20480406969466</v>
      </c>
      <c r="I6" s="215">
        <v>56</v>
      </c>
      <c r="J6" s="216">
        <v>55.54911666666667</v>
      </c>
      <c r="K6" s="217">
        <v>4.0734000000000012</v>
      </c>
      <c r="L6" s="216">
        <v>25.105770523553524</v>
      </c>
      <c r="M6" s="223">
        <v>5.6110666666666695</v>
      </c>
      <c r="N6">
        <v>5.523316666666668</v>
      </c>
      <c r="O6">
        <v>6.8899499999999971</v>
      </c>
    </row>
    <row r="9" spans="2:15" x14ac:dyDescent="0.25">
      <c r="B9" s="2">
        <f>+C6+D6+E6+F6+G6+H6</f>
        <v>291.34633372450514</v>
      </c>
    </row>
    <row r="21" spans="11:11" x14ac:dyDescent="0.25">
      <c r="K21">
        <f>265-106</f>
        <v>159</v>
      </c>
    </row>
  </sheetData>
  <mergeCells count="1">
    <mergeCell ref="C4:H4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43C6E52B0A0940A745E860ECC58F5E" ma:contentTypeVersion="2" ma:contentTypeDescription="Create a new document." ma:contentTypeScope="" ma:versionID="a7b5fa15107c5dc02d3ae0389d87775f">
  <xsd:schema xmlns:xsd="http://www.w3.org/2001/XMLSchema" xmlns:xs="http://www.w3.org/2001/XMLSchema" xmlns:p="http://schemas.microsoft.com/office/2006/metadata/properties" xmlns:ns2="457e86d8-e6fd-4aed-92d4-f4e24905c720" targetNamespace="http://schemas.microsoft.com/office/2006/metadata/properties" ma:root="true" ma:fieldsID="9c0b5cffd8723416cc13acd6faa92768" ns2:_="">
    <xsd:import namespace="457e86d8-e6fd-4aed-92d4-f4e24905c72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57e86d8-e6fd-4aed-92d4-f4e24905c72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D9CC394-55F2-4ED5-B295-8E5BFE9F2CF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29A0170-F016-497F-8805-66917C2F6AA0}">
  <ds:schemaRefs>
    <ds:schemaRef ds:uri="457e86d8-e6fd-4aed-92d4-f4e24905c720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74D6EF31-38AE-4F23-B0D4-2BFD31014E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57e86d8-e6fd-4aed-92d4-f4e24905c72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8d05cdc4-bf69-4e6a-b5d3-428050a7f00f}" enabled="0" method="" siteId="{8d05cdc4-bf69-4e6a-b5d3-428050a7f00f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11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9</vt:i4>
      </vt:variant>
    </vt:vector>
  </HeadingPairs>
  <TitlesOfParts>
    <vt:vector size="21" baseType="lpstr">
      <vt:lpstr>Sheet2 (2)</vt:lpstr>
      <vt:lpstr>RPT_FLOW_CHRT</vt:lpstr>
      <vt:lpstr>S.O.P.</vt:lpstr>
      <vt:lpstr>YR_FLOW_RPT</vt:lpstr>
      <vt:lpstr>YR_HC_RPT</vt:lpstr>
      <vt:lpstr>WSSC_ALL</vt:lpstr>
      <vt:lpstr>VIENNA</vt:lpstr>
      <vt:lpstr>Flow Ratios</vt:lpstr>
      <vt:lpstr>Sheet1</vt:lpstr>
      <vt:lpstr>Fairfax Charts</vt:lpstr>
      <vt:lpstr>Sheet2</vt:lpstr>
      <vt:lpstr>Chart1</vt:lpstr>
      <vt:lpstr>'Flow Ratios'!Print_Area</vt:lpstr>
      <vt:lpstr>RPT_FLOW_CHRT!Print_Area</vt:lpstr>
      <vt:lpstr>S.O.P.!Print_Area</vt:lpstr>
      <vt:lpstr>WSSC_ALL!Print_Area</vt:lpstr>
      <vt:lpstr>YR_FLOW_RPT!Print_Area</vt:lpstr>
      <vt:lpstr>YR_HC_RPT!Print_Area</vt:lpstr>
      <vt:lpstr>WSSC_ALL!Print_Titles</vt:lpstr>
      <vt:lpstr>YR_FLOW_RPT!Print_Titles</vt:lpstr>
      <vt:lpstr>YR_HC_RPT!Print_Titles</vt:lpstr>
    </vt:vector>
  </TitlesOfParts>
  <Manager/>
  <Company>Unknown Organization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Antonio M. Ramos-Izquierdo</dc:creator>
  <cp:keywords/>
  <dc:description/>
  <cp:lastModifiedBy>Eyasu M. Yilma</cp:lastModifiedBy>
  <cp:revision/>
  <dcterms:created xsi:type="dcterms:W3CDTF">1998-09-29T01:49:53Z</dcterms:created>
  <dcterms:modified xsi:type="dcterms:W3CDTF">2024-01-22T18:27:07Z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0x0101005D43C6E52B0A0940A745E860ECC58F5E</vt:lpwstr>
  </property>
</Properties>
</file>